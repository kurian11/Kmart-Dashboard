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5600" activeTab="0"/>
  </bookViews>
  <sheets>
    <sheet name="Main Dashboard" sheetId="1" r:id="rId1"/>
    <sheet name="KMART DATA" sheetId="2" r:id="rId2"/>
    <sheet name="Pivots" sheetId="3" r:id="rId3"/>
    <sheet name="Raw Data (Unclean)" sheetId="4" r:id="rId4"/>
    <sheet name="Notes" sheetId="5" r:id="rId5"/>
  </sheets>
  <definedNames>
    <definedName name="_xlnm.Print_Area" localSheetId="0">'Main Dashboard'!$A$1:$CB$21</definedName>
    <definedName name="Slicer_Financial_Year">#N/A</definedName>
    <definedName name="Slicer_Type">#N/A</definedName>
    <definedName name="Slicer_State">#N/A</definedName>
    <definedName name="Slicer_Category">#N/A</definedName>
  </definedNames>
  <calcPr calcId="191029" fullCalcOnLoad="1"/>
  <pivotCaches>
    <pivotCache cacheId="1" r:id="rIdPC"/>
  </pivotCaches>
  <extLst>
    <ext xmlns:x14="http://schemas.microsoft.com/office/spreadsheetml/2009/9/main" uri="{BBE1A952-AA13-448e-AADC-164F8A28A991}">
      <x14:slicerCaches>
        <x14:slicerCache r:id="rIdSC1"/>
        <x14:slicerCache r:id="rIdSC2"/>
        <x14:slicerCache r:id="rIdSC3"/>
        <x14:slicerCache r:id="rIdSC4"/>
      </x14:slicerCaches>
    </ext>
  </extLst>
</workbook>
</file>

<file path=xl/sharedStrings.xml><?xml version="1.0" encoding="utf-8"?>
<sst xmlns="http://schemas.openxmlformats.org/spreadsheetml/2006/main" count="350" uniqueCount="350">
  <si>
    <t xml:space="preserve">KMART  |  Store &amp; Online sales performance</t>
  </si>
  <si>
    <t xml:space="preserve">Kmart Sales Dashboard</t>
  </si>
  <si>
    <t xml:space="preserve">Click a slicer button to filter every KPI and chart. Ctrl+click to pick several; the funnel-x icon clears a slicer.</t>
  </si>
  <si>
    <t xml:space="preserve">TOTAL SALES</t>
  </si>
  <si>
    <t xml:space="preserve">AVERAGE SALE</t>
  </si>
  <si>
    <t xml:space="preserve">Sales trend by state</t>
  </si>
  <si>
    <t xml:space="preserve">State</t>
  </si>
  <si>
    <t xml:space="preserve">Sales</t>
  </si>
  <si>
    <t xml:space="preserve">Trend</t>
  </si>
  <si>
    <t xml:space="preserve">NSW</t>
  </si>
  <si>
    <t xml:space="preserve">VIC</t>
  </si>
  <si>
    <t xml:space="preserve">QLD</t>
  </si>
  <si>
    <t xml:space="preserve">WA</t>
  </si>
  <si>
    <t xml:space="preserve">SA</t>
  </si>
  <si>
    <t xml:space="preserve">NT</t>
  </si>
  <si>
    <t xml:space="preserve">TAS</t>
  </si>
  <si>
    <t xml:space="preserve">ACT</t>
  </si>
  <si>
    <t xml:space="preserve">Date</t>
  </si>
  <si>
    <t xml:space="preserve">Financial Year</t>
  </si>
  <si>
    <t xml:space="preserve">Month</t>
  </si>
  <si>
    <t xml:space="preserve">Type</t>
  </si>
  <si>
    <t xml:space="preserve">Suburb</t>
  </si>
  <si>
    <t xml:space="preserve">Full State</t>
  </si>
  <si>
    <t xml:space="preserve">Postcode</t>
  </si>
  <si>
    <t xml:space="preserve">Country</t>
  </si>
  <si>
    <t xml:space="preserve">Manager</t>
  </si>
  <si>
    <t xml:space="preserve">Category</t>
  </si>
  <si>
    <t xml:space="preserve">Buyer</t>
  </si>
  <si>
    <t xml:space="preserve">Store</t>
  </si>
  <si>
    <t xml:space="preserve">Yeppoon</t>
  </si>
  <si>
    <t xml:space="preserve">4703</t>
  </si>
  <si>
    <t xml:space="preserve">Australia</t>
  </si>
  <si>
    <t xml:space="preserve">Amber Ward</t>
  </si>
  <si>
    <t xml:space="preserve">Electronics &amp; Entertainment</t>
  </si>
  <si>
    <t xml:space="preserve">Maggie Mayer</t>
  </si>
  <si>
    <t xml:space="preserve">Warrnambool</t>
  </si>
  <si>
    <t xml:space="preserve">3280</t>
  </si>
  <si>
    <t xml:space="preserve">Jerry Fulton</t>
  </si>
  <si>
    <t xml:space="preserve">Accessories</t>
  </si>
  <si>
    <t xml:space="preserve">Sara Ferrell</t>
  </si>
  <si>
    <t xml:space="preserve">Woodville</t>
  </si>
  <si>
    <t xml:space="preserve">5011</t>
  </si>
  <si>
    <t xml:space="preserve">Ray Watson</t>
  </si>
  <si>
    <t xml:space="preserve">Baby &amp; Nursery</t>
  </si>
  <si>
    <t xml:space="preserve">Amy Buchanan</t>
  </si>
  <si>
    <t xml:space="preserve">Online</t>
  </si>
  <si>
    <t xml:space="preserve">Beauty &amp; Personal Care</t>
  </si>
  <si>
    <t xml:space="preserve">Chester George</t>
  </si>
  <si>
    <t xml:space="preserve">Broome</t>
  </si>
  <si>
    <t xml:space="preserve">6725</t>
  </si>
  <si>
    <t xml:space="preserve">John Harper</t>
  </si>
  <si>
    <t xml:space="preserve">Rosny Park</t>
  </si>
  <si>
    <t xml:space="preserve">7018</t>
  </si>
  <si>
    <t xml:space="preserve">Simone Prior</t>
  </si>
  <si>
    <t xml:space="preserve">Toombul</t>
  </si>
  <si>
    <t xml:space="preserve">4012</t>
  </si>
  <si>
    <t xml:space="preserve">Terri Wright</t>
  </si>
  <si>
    <t xml:space="preserve">Toys &amp; Outdoor Play</t>
  </si>
  <si>
    <t xml:space="preserve">Howard Wright</t>
  </si>
  <si>
    <t xml:space="preserve">North Lakes</t>
  </si>
  <si>
    <t xml:space="preserve">4509</t>
  </si>
  <si>
    <t xml:space="preserve">Ricky Wilkinson</t>
  </si>
  <si>
    <t xml:space="preserve">Geraldton</t>
  </si>
  <si>
    <t xml:space="preserve">6530</t>
  </si>
  <si>
    <t xml:space="preserve">Southport</t>
  </si>
  <si>
    <t xml:space="preserve">4215</t>
  </si>
  <si>
    <t xml:space="preserve">Party &amp; Gift Wrap</t>
  </si>
  <si>
    <t xml:space="preserve">Chris Monroe</t>
  </si>
  <si>
    <t xml:space="preserve">Ballina</t>
  </si>
  <si>
    <t xml:space="preserve">2478</t>
  </si>
  <si>
    <t xml:space="preserve">Claire Bridges</t>
  </si>
  <si>
    <t xml:space="preserve">Clothing &amp; Fashion</t>
  </si>
  <si>
    <t xml:space="preserve">Bruce Curran</t>
  </si>
  <si>
    <t xml:space="preserve">Penrith</t>
  </si>
  <si>
    <t xml:space="preserve">2750</t>
  </si>
  <si>
    <t xml:space="preserve">John Gardner</t>
  </si>
  <si>
    <t xml:space="preserve">Atherton</t>
  </si>
  <si>
    <t xml:space="preserve">4883</t>
  </si>
  <si>
    <t xml:space="preserve">Caroline Tucker</t>
  </si>
  <si>
    <t xml:space="preserve">Lidcombe</t>
  </si>
  <si>
    <t xml:space="preserve">2141</t>
  </si>
  <si>
    <t xml:space="preserve">Lillian Pruitt</t>
  </si>
  <si>
    <t xml:space="preserve">Maroochydore</t>
  </si>
  <si>
    <t xml:space="preserve">4558</t>
  </si>
  <si>
    <t xml:space="preserve">Shellie Thomas</t>
  </si>
  <si>
    <t xml:space="preserve">Thornleigh</t>
  </si>
  <si>
    <t xml:space="preserve">2120</t>
  </si>
  <si>
    <t xml:space="preserve">Chadstone</t>
  </si>
  <si>
    <t xml:space="preserve">3148</t>
  </si>
  <si>
    <t xml:space="preserve">Rachael Long</t>
  </si>
  <si>
    <t xml:space="preserve">Ballarat</t>
  </si>
  <si>
    <t xml:space="preserve">3353</t>
  </si>
  <si>
    <t xml:space="preserve">Wodonga</t>
  </si>
  <si>
    <t xml:space="preserve">3690</t>
  </si>
  <si>
    <t xml:space="preserve">Owen Pierce</t>
  </si>
  <si>
    <t xml:space="preserve">Home &amp; Living</t>
  </si>
  <si>
    <t xml:space="preserve">Elizabeth Gentry</t>
  </si>
  <si>
    <t xml:space="preserve">Chatswood</t>
  </si>
  <si>
    <t xml:space="preserve">2067</t>
  </si>
  <si>
    <t xml:space="preserve">Jeremy Garcia</t>
  </si>
  <si>
    <t xml:space="preserve">Claremont</t>
  </si>
  <si>
    <t xml:space="preserve">6010</t>
  </si>
  <si>
    <t xml:space="preserve">Tom McKenzie</t>
  </si>
  <si>
    <t xml:space="preserve">Balcatta</t>
  </si>
  <si>
    <t xml:space="preserve">6021</t>
  </si>
  <si>
    <t xml:space="preserve">Nowra</t>
  </si>
  <si>
    <t xml:space="preserve">2541</t>
  </si>
  <si>
    <t xml:space="preserve">George Chester</t>
  </si>
  <si>
    <t xml:space="preserve">Bathurst</t>
  </si>
  <si>
    <t xml:space="preserve">2795</t>
  </si>
  <si>
    <t xml:space="preserve">Narrabeen</t>
  </si>
  <si>
    <t xml:space="preserve">2101</t>
  </si>
  <si>
    <t xml:space="preserve">Stationery &amp; Office Supplies</t>
  </si>
  <si>
    <t xml:space="preserve">Ella Hickman</t>
  </si>
  <si>
    <t xml:space="preserve">Randwick</t>
  </si>
  <si>
    <t xml:space="preserve">2031</t>
  </si>
  <si>
    <t xml:space="preserve">Tweed Heads</t>
  </si>
  <si>
    <t xml:space="preserve">2485</t>
  </si>
  <si>
    <t xml:space="preserve">Epping</t>
  </si>
  <si>
    <t xml:space="preserve">3076</t>
  </si>
  <si>
    <t xml:space="preserve">Brian Hubbard</t>
  </si>
  <si>
    <t xml:space="preserve">Noosaville</t>
  </si>
  <si>
    <t xml:space="preserve">4566</t>
  </si>
  <si>
    <t xml:space="preserve">Footwear</t>
  </si>
  <si>
    <t xml:space="preserve">Richard Carr</t>
  </si>
  <si>
    <t xml:space="preserve">Mornington</t>
  </si>
  <si>
    <t xml:space="preserve">3931</t>
  </si>
  <si>
    <t xml:space="preserve">Airlie Beach</t>
  </si>
  <si>
    <t xml:space="preserve">4802</t>
  </si>
  <si>
    <t xml:space="preserve">Collingwood</t>
  </si>
  <si>
    <t xml:space="preserve">3066</t>
  </si>
  <si>
    <t xml:space="preserve">Hervey Bay</t>
  </si>
  <si>
    <t xml:space="preserve">4655</t>
  </si>
  <si>
    <t xml:space="preserve">Sunbury</t>
  </si>
  <si>
    <t xml:space="preserve">3429</t>
  </si>
  <si>
    <t xml:space="preserve">Fyshwick</t>
  </si>
  <si>
    <t xml:space="preserve">2609</t>
  </si>
  <si>
    <t xml:space="preserve">Ringwood</t>
  </si>
  <si>
    <t xml:space="preserve">3134</t>
  </si>
  <si>
    <t xml:space="preserve">Frankston</t>
  </si>
  <si>
    <t xml:space="preserve">3199</t>
  </si>
  <si>
    <t xml:space="preserve">Ulladulla</t>
  </si>
  <si>
    <t xml:space="preserve">2539</t>
  </si>
  <si>
    <t xml:space="preserve">Darwin</t>
  </si>
  <si>
    <t xml:space="preserve">0800</t>
  </si>
  <si>
    <t xml:space="preserve">Michael Carney</t>
  </si>
  <si>
    <t xml:space="preserve">Lithgow</t>
  </si>
  <si>
    <t xml:space="preserve">2790</t>
  </si>
  <si>
    <t xml:space="preserve">Esperance</t>
  </si>
  <si>
    <t xml:space="preserve">6450</t>
  </si>
  <si>
    <t xml:space="preserve">Launceston</t>
  </si>
  <si>
    <t xml:space="preserve">7250</t>
  </si>
  <si>
    <t xml:space="preserve">Ipswich</t>
  </si>
  <si>
    <t xml:space="preserve">4305</t>
  </si>
  <si>
    <t xml:space="preserve">Caloundra</t>
  </si>
  <si>
    <t xml:space="preserve">4551</t>
  </si>
  <si>
    <t xml:space="preserve">Dubbo</t>
  </si>
  <si>
    <t xml:space="preserve">2830</t>
  </si>
  <si>
    <t xml:space="preserve">Gympie</t>
  </si>
  <si>
    <t xml:space="preserve">4570</t>
  </si>
  <si>
    <t xml:space="preserve">Bussleton</t>
  </si>
  <si>
    <t xml:space="preserve">6280</t>
  </si>
  <si>
    <t xml:space="preserve">Miles Hammond</t>
  </si>
  <si>
    <t xml:space="preserve">Castle Hill</t>
  </si>
  <si>
    <t xml:space="preserve">2154</t>
  </si>
  <si>
    <t xml:space="preserve">Artarmon</t>
  </si>
  <si>
    <t xml:space="preserve">2064</t>
  </si>
  <si>
    <t xml:space="preserve">Mindarie</t>
  </si>
  <si>
    <t xml:space="preserve">6030</t>
  </si>
  <si>
    <t xml:space="preserve">Joondalup</t>
  </si>
  <si>
    <t xml:space="preserve">6027</t>
  </si>
  <si>
    <t xml:space="preserve">Mildura</t>
  </si>
  <si>
    <t xml:space="preserve">3500</t>
  </si>
  <si>
    <t xml:space="preserve">Burleigh Waters</t>
  </si>
  <si>
    <t xml:space="preserve">4220</t>
  </si>
  <si>
    <t xml:space="preserve">Belconnen</t>
  </si>
  <si>
    <t xml:space="preserve">2617</t>
  </si>
  <si>
    <t xml:space="preserve">Albany</t>
  </si>
  <si>
    <t xml:space="preserve">6330</t>
  </si>
  <si>
    <t xml:space="preserve">Alexandria</t>
  </si>
  <si>
    <t xml:space="preserve">2015</t>
  </si>
  <si>
    <t xml:space="preserve">Underwood</t>
  </si>
  <si>
    <t xml:space="preserve">4119</t>
  </si>
  <si>
    <t xml:space="preserve">Lismore</t>
  </si>
  <si>
    <t xml:space="preserve">2480</t>
  </si>
  <si>
    <t xml:space="preserve">Maddington</t>
  </si>
  <si>
    <t xml:space="preserve">6109</t>
  </si>
  <si>
    <t xml:space="preserve">Cairns</t>
  </si>
  <si>
    <t xml:space="preserve">4870</t>
  </si>
  <si>
    <t xml:space="preserve">Ashfield</t>
  </si>
  <si>
    <t xml:space="preserve">2131</t>
  </si>
  <si>
    <t xml:space="preserve">Werribee</t>
  </si>
  <si>
    <t xml:space="preserve">3030</t>
  </si>
  <si>
    <t xml:space="preserve">Mascot</t>
  </si>
  <si>
    <t xml:space="preserve">2020</t>
  </si>
  <si>
    <t xml:space="preserve">Rockhampton</t>
  </si>
  <si>
    <t xml:space="preserve">4700</t>
  </si>
  <si>
    <t xml:space="preserve">Campbelltown</t>
  </si>
  <si>
    <t xml:space="preserve">2560</t>
  </si>
  <si>
    <t xml:space="preserve">Seaford</t>
  </si>
  <si>
    <t xml:space="preserve">5169</t>
  </si>
  <si>
    <t xml:space="preserve">Nunawading</t>
  </si>
  <si>
    <t xml:space="preserve">3131</t>
  </si>
  <si>
    <t xml:space="preserve">Dandenong</t>
  </si>
  <si>
    <t xml:space="preserve">3175</t>
  </si>
  <si>
    <t xml:space="preserve">Horsham</t>
  </si>
  <si>
    <t xml:space="preserve">3400</t>
  </si>
  <si>
    <t xml:space="preserve">Mt Isa</t>
  </si>
  <si>
    <t xml:space="preserve">4825</t>
  </si>
  <si>
    <t xml:space="preserve">Rydalmere</t>
  </si>
  <si>
    <t xml:space="preserve">2116</t>
  </si>
  <si>
    <t xml:space="preserve">Wagga Wagga</t>
  </si>
  <si>
    <t xml:space="preserve">2650</t>
  </si>
  <si>
    <t xml:space="preserve">Mackay</t>
  </si>
  <si>
    <t xml:space="preserve">4740</t>
  </si>
  <si>
    <t xml:space="preserve">Burnie</t>
  </si>
  <si>
    <t xml:space="preserve">7320</t>
  </si>
  <si>
    <t xml:space="preserve">Croydon</t>
  </si>
  <si>
    <t xml:space="preserve">3136</t>
  </si>
  <si>
    <t xml:space="preserve">Indooroopilly</t>
  </si>
  <si>
    <t xml:space="preserve">4068</t>
  </si>
  <si>
    <t xml:space="preserve">Stafford</t>
  </si>
  <si>
    <t xml:space="preserve">4053</t>
  </si>
  <si>
    <t xml:space="preserve">Hastings</t>
  </si>
  <si>
    <t xml:space="preserve">3915</t>
  </si>
  <si>
    <t xml:space="preserve">Port Lincoln</t>
  </si>
  <si>
    <t xml:space="preserve">5607</t>
  </si>
  <si>
    <t xml:space="preserve">Alex Nash</t>
  </si>
  <si>
    <t xml:space="preserve">Gladstone</t>
  </si>
  <si>
    <t xml:space="preserve">4680</t>
  </si>
  <si>
    <t xml:space="preserve">Mt Gambier</t>
  </si>
  <si>
    <t xml:space="preserve">5290</t>
  </si>
  <si>
    <t xml:space="preserve">Orange</t>
  </si>
  <si>
    <t xml:space="preserve">2800</t>
  </si>
  <si>
    <t xml:space="preserve">Dural</t>
  </si>
  <si>
    <t xml:space="preserve">2158</t>
  </si>
  <si>
    <t xml:space="preserve">Inglewood</t>
  </si>
  <si>
    <t xml:space="preserve">6052</t>
  </si>
  <si>
    <t xml:space="preserve">Prospect</t>
  </si>
  <si>
    <t xml:space="preserve">5082</t>
  </si>
  <si>
    <t xml:space="preserve">Glenorchy</t>
  </si>
  <si>
    <t xml:space="preserve">7010</t>
  </si>
  <si>
    <t xml:space="preserve">Cranbourne</t>
  </si>
  <si>
    <t xml:space="preserve">3977</t>
  </si>
  <si>
    <t xml:space="preserve">Noarlunga</t>
  </si>
  <si>
    <t xml:space="preserve">5168</t>
  </si>
  <si>
    <t xml:space="preserve">Epsom</t>
  </si>
  <si>
    <t xml:space="preserve">3551</t>
  </si>
  <si>
    <t xml:space="preserve">Harrisdale</t>
  </si>
  <si>
    <t xml:space="preserve">6112</t>
  </si>
  <si>
    <t xml:space="preserve">Bendigo</t>
  </si>
  <si>
    <t xml:space="preserve">3550</t>
  </si>
  <si>
    <t xml:space="preserve">Shepparton</t>
  </si>
  <si>
    <t xml:space="preserve">3630</t>
  </si>
  <si>
    <t xml:space="preserve">Berri</t>
  </si>
  <si>
    <t xml:space="preserve">5343</t>
  </si>
  <si>
    <t xml:space="preserve">Armidale</t>
  </si>
  <si>
    <t xml:space="preserve">2350</t>
  </si>
  <si>
    <t xml:space="preserve">Alice Springs</t>
  </si>
  <si>
    <t xml:space="preserve">0870</t>
  </si>
  <si>
    <t xml:space="preserve">Scoresby</t>
  </si>
  <si>
    <t xml:space="preserve">3179</t>
  </si>
  <si>
    <t xml:space="preserve">Altona</t>
  </si>
  <si>
    <t xml:space="preserve">3018</t>
  </si>
  <si>
    <t xml:space="preserve">Marion</t>
  </si>
  <si>
    <t xml:space="preserve">5043</t>
  </si>
  <si>
    <t xml:space="preserve">State x month (feeds sparklines)</t>
  </si>
  <si>
    <t xml:space="preserve">Total sales over time</t>
  </si>
  <si>
    <t xml:space="preserve">Avg sales over time</t>
  </si>
  <si>
    <t xml:space="preserve">Sales by category</t>
  </si>
  <si>
    <t xml:space="preserve">Sales by category - proportions (top 10 suburbs)</t>
  </si>
  <si>
    <t xml:space="preserve">Online Vs Store</t>
  </si>
  <si>
    <t xml:space="preserve">Sales by manager</t>
  </si>
  <si>
    <t xml:space="preserve">Sales by buyers - online</t>
  </si>
  <si>
    <t xml:space="preserve">Sales by state</t>
  </si>
  <si>
    <t xml:space="preserve">Total Sales</t>
  </si>
  <si>
    <t xml:space="preserve">Transactions</t>
  </si>
  <si>
    <t xml:space="preserve">Avg Sale</t>
  </si>
  <si>
    <t xml:space="preserve">Grand Total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</si>
  <si>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</si>
  <si>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</si>
  <si>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</si>
  <si>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</si>
  <si>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</si>
  <si>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</si>
  <si>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</si>
  <si>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</si>
  <si>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</si>
  <si>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</si>
  <si>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</si>
  <si>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</si>
  <si>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</si>
  <si>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</si>
  <si>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</si>
  <si>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</si>
  <si>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</si>
  <si>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</si>
  <si>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</si>
  <si>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</si>
  <si>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</si>
  <si>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</si>
  <si>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</si>
  <si>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</si>
  <si>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MAP DATA: select A47:C55, then Insert &gt; Maps &gt; Filled Map (live: follows the slicers via GETPIVOTDATA)</t>
  </si>
  <si>
    <t xml:space="preserve">New South Wales</t>
  </si>
  <si>
    <t xml:space="preserve">Victoria</t>
  </si>
  <si>
    <t xml:space="preserve">Queensland</t>
  </si>
  <si>
    <t xml:space="preserve">Western Australia</t>
  </si>
  <si>
    <t xml:space="preserve">South Australia</t>
  </si>
  <si>
    <t xml:space="preserve">Northern Territory</t>
  </si>
  <si>
    <t xml:space="preserve">Tasmania</t>
  </si>
  <si>
    <t xml:space="preserve">Australian Capital Territory</t>
  </si>
  <si>
    <t xml:space="preserve">Sparkline feed: months visible after slicers (from PT_AvgOverTime) x state (from PT_StateTrend). Months with no data return NA() so the sparkline shows a gap.</t>
  </si>
  <si>
    <t xml:space="preserve">Every number on this sheet is generated by a pivot table or a formula on a pivot table. Do not type over it; edit the KMART DATA sheet and use Data &gt; Refresh All.</t>
  </si>
  <si>
    <t xml:space="preserve">Financial Year2</t>
  </si>
  <si>
    <t xml:space="preserve">2024-2025</t>
  </si>
  <si>
    <t xml:space="preserve">KMART STORE</t>
  </si>
  <si>
    <t xml:space="preserve">03rdDec2024</t>
  </si>
  <si>
    <t xml:space="preserve">2023-2024</t>
  </si>
  <si>
    <t xml:space="preserve">KMART ONLINE</t>
  </si>
  <si>
    <t xml:space="preserve">13thOct2024</t>
  </si>
  <si>
    <t xml:space="preserve">2025-2026</t>
  </si>
  <si>
    <t xml:space="preserve">How this workbook works</t>
  </si>
  <si>
    <t xml:space="preserve">Main Dashboard</t>
  </si>
  <si>
    <t xml:space="preserve">One-screen dashboard. The 4 slicers (Financial Year, Type, State, Category) are connected to every pivot table, so one click filters both KPI cards and all charts.</t>
  </si>
  <si>
    <t xml:space="preserve">KMART DATA</t>
  </si>
  <si>
    <t xml:space="preserve">Cleaned master table (Excel table "KMART_DATA"). Financial Year, Month and Full State are formulas. Add rows at the bottom of the table and they are picked up automatically.</t>
  </si>
  <si>
    <t xml:space="preserve">Pivots</t>
  </si>
  <si>
    <t xml:space="preserve">One pivot table per visual, all sharing a single pivot cache. KPI cards, the state table, the map and the sparklines read from these pivots with GETPIVOTDATA, so nothing is hardcoded.</t>
  </si>
  <si>
    <t xml:space="preserve">Refreshing</t>
  </si>
  <si>
    <t xml:space="preserve">Pivots refresh automatically every time the file is opened. After editing data while the file is open, use Data &gt; Refresh All.</t>
  </si>
  <si>
    <t xml:space="preserve">Exception: buyers chart</t>
  </si>
  <si>
    <t xml:space="preserve">"Sales by buyers - online" is fixed to Online sales, so the Type slicer is deliberately not connected to it; the other three slicers are.</t>
  </si>
  <si>
    <t xml:space="preserve">Category-mix chart</t>
  </si>
  <si>
    <t xml:space="preserve">There are 97 suburbs, too many to read as bars, so the 100% stacked chart shows the top 10 suburbs by sales for the current slicer selection (pivot Top 10 filter).</t>
  </si>
  <si>
    <t xml:space="preserve">Filled map</t>
  </si>
  <si>
    <t xml:space="preserve">Excel must create filled maps itself (it embeds Bing map data). On the Pivots sheet select A47:C55, then Insert &gt; Maps &gt; Filled Map, cut the chart and paste it over "Sales by state" on the dashboard. It stays live because A47:C55 reads the slicer-filtered state pivot. Needs Excel 2019 / Microsoft 365 and internet.</t>
  </si>
  <si>
    <t xml:space="preserve">Colours</t>
  </si>
  <si>
    <t xml:space="preserve">Brand palette from the Kmart guidelines is set as the workbook theme: Ocean Deep blue = Online / single-series, Primary Scarlet red = Store. The 10-category mix chart needs more than two colours, so it uses the brand supplementary palette.</t>
  </si>
  <si>
    <t xml:space="preserve">Data cleaning log (raw sheet -&gt; KMART DATA)</t>
  </si>
  <si>
    <t xml:space="preserve">2 dates stored as text (e.g. "03rdDec2024") converted to real dates.</t>
  </si>
  <si>
    <t xml:space="preserve">"KMART ONLINE"/"KMART STORE" shortened to "Online"/"Store" for slicers and legends.</t>
  </si>
  <si>
    <t xml:space="preserve">2 blank suburbs filled from postcode (each postcode maps to exactly one suburb in the data).</t>
  </si>
  <si>
    <t xml:space="preserve">3 blank postcodes filled from suburb; postcodes stored as 4-digit text so NT codes keep their leading zero (800 -&gt; "0800").</t>
  </si>
  <si>
    <t xml:space="preserve">2 blank values. Column is now a formula derived from Date (Australian FY, July-June), labelled e.g. "FY2024-25".</t>
  </si>
  <si>
    <t xml:space="preserve">New formula column (e.g. "2024-07") used for the month/year trend charts.</t>
  </si>
  <si>
    <t xml:space="preserve">Formula derived from the State code, so it can never drift from State.</t>
  </si>
  <si>
    <t xml:space="preserve">Dropped - duplicated Financial Year.</t>
  </si>
  <si>
    <t xml:space="preserve">Checks</t>
  </si>
  <si>
    <t xml:space="preserve">No duplicate rows, no negative or zero sales, no stray whitespace found. Row count unchanged (4,505).</t>
  </si>
</sst>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&quot;$&quot;#,##0,&quot;K&quot;;;&quot;-&quot;"/>
  </numFmts>
  <fonts count="18">
    <font>
      <sz val="11"/>
      <color theme="1"/>
      <name val="Calibri"/>
      <family val="2"/>
    </font>
    <font>
      <b/>
      <sz val="10"/>
      <color rgb="FFFFFFFF"/>
      <name val="Roboto"/>
      <family val="2"/>
    </font>
    <font>
      <sz val="10"/>
      <color rgb="FF293745"/>
      <name val="Roboto"/>
      <family val="2"/>
    </font>
    <font>
      <b/>
      <sz val="11"/>
      <color rgb="FFDD182C"/>
      <name val="Roboto"/>
      <family val="2"/>
    </font>
    <font>
      <b/>
      <sz val="10"/>
      <color rgb="FF293745"/>
      <name val="Roboto"/>
      <family val="2"/>
    </font>
    <font>
      <i/>
      <sz val="9"/>
      <color rgb="FF7F7F7F"/>
      <name val="Roboto"/>
      <family val="2"/>
    </font>
    <font>
      <b/>
      <sz val="9"/>
      <color rgb="FFFFFFFF"/>
      <name val="Roboto"/>
      <family val="2"/>
    </font>
    <font>
      <sz val="9"/>
      <color rgb="FFFFFFFF"/>
      <name val="Roboto"/>
      <family val="2"/>
    </font>
    <font>
      <b/>
      <sz val="22"/>
      <color rgb="FF293745"/>
      <name val="Roboto"/>
      <family val="2"/>
    </font>
    <font>
      <i/>
      <sz val="8"/>
      <color rgb="FF595959"/>
      <name val="Roboto"/>
      <family val="2"/>
    </font>
    <font>
      <b/>
      <sz val="9"/>
      <color rgb="FF595959"/>
      <name val="Roboto"/>
      <family val="2"/>
    </font>
    <font>
      <b/>
      <sz val="20"/>
      <color rgb="FFDD182C"/>
      <name val="Roboto"/>
      <family val="2"/>
    </font>
    <font>
      <sz val="9"/>
      <color rgb="FF595959"/>
      <name val="Roboto"/>
      <family val="2"/>
    </font>
    <font>
      <b/>
      <sz val="20"/>
      <color rgb="FF3266AB"/>
      <name val="Roboto"/>
      <family val="2"/>
    </font>
    <font>
      <b/>
      <sz val="11"/>
      <color rgb="FF293745"/>
      <name val="Roboto"/>
      <family val="2"/>
    </font>
    <font>
      <b/>
      <sz val="9"/>
      <color rgb="FF293745"/>
      <name val="Roboto"/>
      <family val="2"/>
    </font>
    <font>
      <sz val="9"/>
      <color rgb="FF293745"/>
      <name val="Roboto"/>
      <family val="2"/>
    </font>
    <font>
      <b/>
      <sz val="14"/>
      <color rgb="FFDD182C"/>
      <name val="Roboto"/>
      <family val="2"/>
    </font>
  </fonts>
  <fills count="6">
    <fill>
      <patternFill patternType="none"/>
    </fill>
    <fill>
      <patternFill patternType="gray125"/>
    </fill>
    <fill>
      <patternFill patternType="solid">
        <fgColor rgb="FF293745"/>
        <bgColor indexed="64"/>
      </patternFill>
    </fill>
    <fill>
      <patternFill patternType="solid">
        <fgColor rgb="FFB1C7E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ck">
        <color rgb="FFDD182C"/>
      </left>
      <right/>
      <top/>
      <bottom/>
      <diagonal/>
    </border>
    <border>
      <left style="thick">
        <color rgb="FF3266AB"/>
      </left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14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165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4" fillId="3" borderId="0" xfId="0" applyNumberFormat="1" applyFont="1" applyFill="1" applyBorder="1" applyAlignment="1"/>
    <xf numFmtId="164" fontId="2" fillId="0" borderId="0" xfId="0" applyNumberFormat="1" applyFont="1" applyFill="1" applyBorder="1" applyAlignment="1"/>
    <xf numFmtId="3" fontId="2" fillId="0" borderId="0" xfId="0" applyNumberFormat="1" applyFont="1" applyFill="1" applyBorder="1" applyAlignment="1"/>
    <xf numFmtId="164" fontId="4" fillId="0" borderId="0" xfId="0" applyNumberFormat="1" applyFont="1" applyFill="1" applyBorder="1" applyAlignment="1"/>
    <xf numFmtId="0" fontId="5" fillId="0" borderId="0" xfId="0" applyNumberFormat="1" applyFont="1" applyFill="1" applyBorder="1" applyAlignment="1"/>
    <xf numFmtId="165" fontId="4" fillId="0" borderId="0" xfId="0" applyNumberFormat="1" applyFont="1" applyFill="1" applyBorder="1" applyAlignment="1"/>
    <xf numFmtId="0" fontId="2" fillId="4" borderId="0" xfId="0" applyNumberFormat="1" applyFont="1" applyFill="1" applyBorder="1" applyAlignment="1">
      <alignment vertical="center"/>
    </xf>
    <xf numFmtId="0" fontId="2" fillId="5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horizontal="right" vertical="center"/>
    </xf>
    <xf numFmtId="0" fontId="8" fillId="5" borderId="0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right" vertical="center" wrapText="1"/>
    </xf>
    <xf numFmtId="0" fontId="2" fillId="5" borderId="1" xfId="0" applyNumberFormat="1" applyFont="1" applyFill="1" applyBorder="1" applyAlignment="1">
      <alignment vertical="center"/>
    </xf>
    <xf numFmtId="0" fontId="10" fillId="5" borderId="1" xfId="0" applyNumberFormat="1" applyFont="1" applyFill="1" applyBorder="1" applyAlignment="1">
      <alignment vertical="bottom" indent="1"/>
    </xf>
    <xf numFmtId="164" fontId="11" fillId="5" borderId="1" xfId="0" applyNumberFormat="1" applyFont="1" applyFill="1" applyBorder="1" applyAlignment="1">
      <alignment vertical="center" indent="1"/>
    </xf>
    <xf numFmtId="0" fontId="12" fillId="5" borderId="1" xfId="0" applyNumberFormat="1" applyFont="1" applyFill="1" applyBorder="1" applyAlignment="1">
      <alignment vertical="top" indent="1"/>
    </xf>
    <xf numFmtId="0" fontId="2" fillId="5" borderId="2" xfId="0" applyNumberFormat="1" applyFont="1" applyFill="1" applyBorder="1" applyAlignment="1">
      <alignment vertical="center"/>
    </xf>
    <xf numFmtId="0" fontId="10" fillId="5" borderId="2" xfId="0" applyNumberFormat="1" applyFont="1" applyFill="1" applyBorder="1" applyAlignment="1">
      <alignment vertical="bottom" indent="1"/>
    </xf>
    <xf numFmtId="165" fontId="13" fillId="5" borderId="2" xfId="0" applyNumberFormat="1" applyFont="1" applyFill="1" applyBorder="1" applyAlignment="1">
      <alignment vertical="center" indent="1"/>
    </xf>
    <xf numFmtId="0" fontId="12" fillId="5" borderId="2" xfId="0" applyNumberFormat="1" applyFont="1" applyFill="1" applyBorder="1" applyAlignment="1">
      <alignment vertical="top" indent="1"/>
    </xf>
    <xf numFmtId="0" fontId="14" fillId="5" borderId="0" xfId="0" applyNumberFormat="1" applyFont="1" applyFill="1" applyBorder="1" applyAlignment="1">
      <alignment vertical="center" indent="1"/>
    </xf>
    <xf numFmtId="0" fontId="10" fillId="5" borderId="3" xfId="0" applyNumberFormat="1" applyFont="1" applyFill="1" applyBorder="1" applyAlignment="1">
      <alignment horizontal="center" vertical="center"/>
    </xf>
    <xf numFmtId="0" fontId="15" fillId="5" borderId="0" xfId="0" applyNumberFormat="1" applyFont="1" applyFill="1" applyBorder="1" applyAlignment="1">
      <alignment horizontal="center" vertical="center"/>
    </xf>
    <xf numFmtId="166" fontId="16" fillId="5" borderId="0" xfId="0" applyNumberFormat="1" applyFont="1" applyFill="1" applyBorder="1" applyAlignment="1">
      <alignment horizontal="right" vertical="center"/>
    </xf>
    <xf numFmtId="0" fontId="9" fillId="4" borderId="0" xfId="0" applyNumberFormat="1" applyFont="1" applyFill="1" applyBorder="1" applyAlignment="1">
      <alignment vertical="center"/>
    </xf>
    <xf numFmtId="0" fontId="17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BFBFBF"/>
      </font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Styles" Type="http://schemas.openxmlformats.org/officeDocument/2006/relationships/styles" Target="styles.xml"/><Relationship Id="rIdTheme" Type="http://schemas.openxmlformats.org/officeDocument/2006/relationships/theme" Target="theme/theme1.xml"/><Relationship Id="rIdSST" Type="http://schemas.openxmlformats.org/officeDocument/2006/relationships/sharedStrings" Target="sharedStrings.xml"/><Relationship Id="rIdPC" Type="http://schemas.openxmlformats.org/officeDocument/2006/relationships/pivotCacheDefinition" Target="pivotCache/pivotCacheDefinition1.xml"/><Relationship Id="rIdSC1" Type="http://schemas.microsoft.com/office/2007/relationships/slicerCache" Target="slicerCaches/slicerCache1.xml"/><Relationship Id="rIdSC2" Type="http://schemas.microsoft.com/office/2007/relationships/slicerCache" Target="slicerCaches/slicerCache2.xml"/><Relationship Id="rIdSC3" Type="http://schemas.microsoft.com/office/2007/relationships/slicerCache" Target="slicerCaches/slicerCache3.xml"/><Relationship Id="rIdSC4" Type="http://schemas.microsoft.com/office/2007/relationships/slicerCache" Target="slicerCaches/slicerCach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pivotSource>
    <c:name>[Kmart_Sales_Dashboard.xlsx]Pivots!PT_SalesOverTime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293745"/>
                </a:solidFill>
                <a:latin typeface="Roboto"/>
                <a:cs typeface="Roboto"/>
              </a:defRPr>
            </a:pPr>
            <a:r>
              <a:rPr lang="en-AU" sz="1100" b="1">
                <a:solidFill>
                  <a:srgbClr val="293745"/>
                </a:solidFill>
                <a:latin typeface="Roboto"/>
              </a:rPr>
              <a:t>Total sales over time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Pivots!$F$4</c:f>
              <c:strCache>
                <c:ptCount val="1"/>
                <c:pt idx="0">
                  <c:v>Online</c:v>
                </c:pt>
              </c:strCache>
            </c:strRef>
          </c:tx>
          <c:cat>
            <c:strRef>
              <c:f>Pivots!$E$5:$E$28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Pivots!$F$5:$F$28</c:f>
              <c:numCache>
                <c:formatCode>General</c:formatCode>
                <c:ptCount val="24"/>
                <c:pt idx="0">
                  <c:v>17665.07</c:v>
                </c:pt>
                <c:pt idx="1">
                  <c:v>12622.539999999999</c:v>
                </c:pt>
                <c:pt idx="2">
                  <c:v>30766.69</c:v>
                </c:pt>
                <c:pt idx="3">
                  <c:v>27919.52</c:v>
                </c:pt>
                <c:pt idx="4">
                  <c:v>32337.62</c:v>
                </c:pt>
                <c:pt idx="5">
                  <c:v>42988.65</c:v>
                </c:pt>
                <c:pt idx="6">
                  <c:v>23888.629999999997</c:v>
                </c:pt>
                <c:pt idx="7">
                  <c:v>31904.03</c:v>
                </c:pt>
                <c:pt idx="8">
                  <c:v>24828.08</c:v>
                </c:pt>
                <c:pt idx="9">
                  <c:v>17343.39</c:v>
                </c:pt>
                <c:pt idx="10">
                  <c:v>18723.63</c:v>
                </c:pt>
                <c:pt idx="11">
                  <c:v>31199.5</c:v>
                </c:pt>
                <c:pt idx="12">
                  <c:v>27492.12</c:v>
                </c:pt>
                <c:pt idx="13">
                  <c:v>24833.15</c:v>
                </c:pt>
                <c:pt idx="14">
                  <c:v>10692.77</c:v>
                </c:pt>
                <c:pt idx="15">
                  <c:v>38255.05</c:v>
                </c:pt>
                <c:pt idx="16">
                  <c:v>29125.19</c:v>
                </c:pt>
                <c:pt idx="17">
                  <c:v>25348.78</c:v>
                </c:pt>
                <c:pt idx="18">
                  <c:v>25256.57</c:v>
                </c:pt>
                <c:pt idx="19">
                  <c:v>52893.44</c:v>
                </c:pt>
                <c:pt idx="20">
                  <c:v>22345.94</c:v>
                </c:pt>
                <c:pt idx="21">
                  <c:v>26766.3</c:v>
                </c:pt>
                <c:pt idx="22">
                  <c:v>38143.5</c:v>
                </c:pt>
                <c:pt idx="23">
                  <c:v>24775.33</c:v>
                </c:pt>
              </c:numCache>
            </c:numRef>
          </c:val>
        </c:ser>
        <c:ser>
          <c:idx val="1"/>
          <c:order val="1"/>
          <c:tx>
            <c:strRef>
              <c:f>Pivots!$G$4</c:f>
              <c:strCache>
                <c:ptCount val="1"/>
                <c:pt idx="0">
                  <c:v>Store</c:v>
                </c:pt>
              </c:strCache>
            </c:strRef>
          </c:tx>
          <c:cat>
            <c:strRef>
              <c:f>Pivots!$E$5:$E$28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Pivots!$G$5:$G$28</c:f>
              <c:numCache>
                <c:formatCode>General</c:formatCode>
                <c:ptCount val="24"/>
                <c:pt idx="0">
                  <c:v>113131.16</c:v>
                </c:pt>
                <c:pt idx="1">
                  <c:v>119907.95</c:v>
                </c:pt>
                <c:pt idx="2">
                  <c:v>90020.7</c:v>
                </c:pt>
                <c:pt idx="3">
                  <c:v>142763.91</c:v>
                </c:pt>
                <c:pt idx="4">
                  <c:v>92188.86</c:v>
                </c:pt>
                <c:pt idx="5">
                  <c:v>145977.94</c:v>
                </c:pt>
                <c:pt idx="6">
                  <c:v>109827.61</c:v>
                </c:pt>
                <c:pt idx="7">
                  <c:v>120579.63</c:v>
                </c:pt>
                <c:pt idx="8">
                  <c:v>108649.16</c:v>
                </c:pt>
                <c:pt idx="9">
                  <c:v>106032.67</c:v>
                </c:pt>
                <c:pt idx="10">
                  <c:v>73922.55</c:v>
                </c:pt>
                <c:pt idx="11">
                  <c:v>96264.17</c:v>
                </c:pt>
                <c:pt idx="12">
                  <c:v>80258.24</c:v>
                </c:pt>
                <c:pt idx="13">
                  <c:v>85681.38</c:v>
                </c:pt>
                <c:pt idx="14">
                  <c:v>105683.08</c:v>
                </c:pt>
                <c:pt idx="15">
                  <c:v>88755.87</c:v>
                </c:pt>
                <c:pt idx="16">
                  <c:v>99078.17</c:v>
                </c:pt>
                <c:pt idx="17">
                  <c:v>68440.26</c:v>
                </c:pt>
                <c:pt idx="18">
                  <c:v>103031.8</c:v>
                </c:pt>
                <c:pt idx="19">
                  <c:v>154883.61</c:v>
                </c:pt>
                <c:pt idx="20">
                  <c:v>92873.92</c:v>
                </c:pt>
                <c:pt idx="21">
                  <c:v>113682.51</c:v>
                </c:pt>
                <c:pt idx="22">
                  <c:v>103374.33</c:v>
                </c:pt>
                <c:pt idx="23">
                  <c:v>113133.51</c:v>
                </c:pt>
              </c:numCache>
            </c:numRef>
          </c:val>
        </c:ser>
        <c:axId val="10"/>
        <c:axId val="2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 rot="-2700000" vert="horz"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numFmt formatCode="&quot;$&quot;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10"/>
        <c:crosses val="autoZero"/>
        <c:crossBetween val="midCat"/>
      </c:valAx>
    </c:plotArea>
    <c:legend>
      <c:legendPos val="t"/>
      <c:overlay val="0"/>
      <c:txPr>
        <a:bodyPr/>
        <a:lstStyle/>
        <a:p>
          <a:pPr>
            <a:defRPr sz="750" b="0">
              <a:solidFill>
                <a:srgbClr val="293745"/>
              </a:solidFill>
              <a:latin typeface="Roboto"/>
              <a:cs typeface="Roboto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800" b="0">
          <a:solidFill>
            <a:srgbClr val="293745"/>
          </a:solidFill>
          <a:latin typeface="Roboto"/>
          <a:cs typeface="Roboto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pivotSource>
    <c:name>[Kmart_Sales_Dashboard.xlsx]Pivots!PT_AvgOverTime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293745"/>
                </a:solidFill>
                <a:latin typeface="Roboto"/>
                <a:cs typeface="Roboto"/>
              </a:defRPr>
            </a:pPr>
            <a:r>
              <a:rPr lang="en-AU" sz="1100" b="1">
                <a:solidFill>
                  <a:srgbClr val="293745"/>
                </a:solidFill>
                <a:latin typeface="Roboto"/>
              </a:rPr>
              <a:t>Avg sales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Pivots!$L$3</c:f>
              <c:strCache>
                <c:ptCount val="1"/>
                <c:pt idx="0">
                  <c:v>Avg Sale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Pivots!$K$4:$K$27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Pivots!$L$4:$L$27</c:f>
              <c:numCache>
                <c:formatCode>General</c:formatCode>
                <c:ptCount val="24"/>
                <c:pt idx="0">
                  <c:v>710.8490760869565</c:v>
                </c:pt>
                <c:pt idx="1">
                  <c:v>704.949414893617</c:v>
                </c:pt>
                <c:pt idx="2">
                  <c:v>616.262193877551</c:v>
                </c:pt>
                <c:pt idx="3">
                  <c:v>832.6020975609756</c:v>
                </c:pt>
                <c:pt idx="4">
                  <c:v>669.4972043010753</c:v>
                </c:pt>
                <c:pt idx="5">
                  <c:v>949.5808542713568</c:v>
                </c:pt>
                <c:pt idx="6">
                  <c:v>692.8302590673575</c:v>
                </c:pt>
                <c:pt idx="7">
                  <c:v>729.5868899521531</c:v>
                </c:pt>
                <c:pt idx="8">
                  <c:v>713.7820320855615</c:v>
                </c:pt>
                <c:pt idx="9">
                  <c:v>677.8904395604395</c:v>
                </c:pt>
                <c:pt idx="10">
                  <c:v>561.492</c:v>
                </c:pt>
                <c:pt idx="11">
                  <c:v>712.0875418994414</c:v>
                </c:pt>
                <c:pt idx="12">
                  <c:v>615.7163428571429</c:v>
                </c:pt>
                <c:pt idx="13">
                  <c:v>673.8690853658536</c:v>
                </c:pt>
                <c:pt idx="14">
                  <c:v>696.8613772455091</c:v>
                </c:pt>
                <c:pt idx="15">
                  <c:v>658.0876683937823</c:v>
                </c:pt>
                <c:pt idx="16">
                  <c:v>637.8276616915423</c:v>
                </c:pt>
                <c:pt idx="17">
                  <c:v>491.04209424083774</c:v>
                </c:pt>
                <c:pt idx="18">
                  <c:v>716.6948044692737</c:v>
                </c:pt>
                <c:pt idx="19">
                  <c:v>1049.3790404040403</c:v>
                </c:pt>
                <c:pt idx="20">
                  <c:v>640.1103333333333</c:v>
                </c:pt>
                <c:pt idx="21">
                  <c:v>731.50421875</c:v>
                </c:pt>
                <c:pt idx="22">
                  <c:v>740.9310471204187</c:v>
                </c:pt>
                <c:pt idx="23">
                  <c:v>686.113631840796</c:v>
                </c:pt>
              </c:numCache>
            </c:numRef>
          </c:val>
          <c:smooth val="0"/>
        </c:ser>
        <c:marker val="1"/>
        <c:smooth val="0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 rot="-2700000" vert="horz"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>
          <c:spPr>
            <a:ln w="6350">
              <a:solidFill>
                <a:srgbClr val="E3E3E3"/>
              </a:solidFill>
            </a:ln>
          </c:spPr>
        </c:majorGridlines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800" b="0">
          <a:solidFill>
            <a:srgbClr val="293745"/>
          </a:solidFill>
          <a:latin typeface="Roboto"/>
          <a:cs typeface="Roboto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pivotSource>
    <c:name>[Kmart_Sales_Dashboard.xlsx]Pivots!PT_OnlineVsStore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293745"/>
                </a:solidFill>
                <a:latin typeface="Roboto"/>
                <a:cs typeface="Roboto"/>
              </a:defRPr>
            </a:pPr>
            <a:r>
              <a:rPr lang="en-AU" sz="1100" b="1">
                <a:solidFill>
                  <a:srgbClr val="293745"/>
                </a:solidFill>
                <a:latin typeface="Roboto"/>
              </a:rPr>
              <a:t>Online Vs Store - proportion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Pivots!$AH$3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Pivots!$AG$4:$AG$5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Pivots!$AH$4:$AH$5</c:f>
              <c:numCache>
                <c:formatCode>General</c:formatCode>
                <c:ptCount val="2"/>
                <c:pt idx="0">
                  <c:v>658115.49</c:v>
                </c:pt>
                <c:pt idx="1">
                  <c:v>2528142.99</c:v>
                </c:pt>
              </c:numCache>
            </c:numRef>
          </c:val>
        </c:ser>
        <c:dLbls>
          <c:numFmt formatCode="0%" sourceLinked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1">
                  <a:solidFill>
                    <a:srgbClr val="FFFFFF"/>
                  </a:solidFill>
                  <a:latin typeface="Roboto"/>
                  <a:cs typeface="Roboto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8"/>
      </c:doughnutChart>
    </c:plotArea>
    <c:legend>
      <c:legendPos val="b"/>
      <c:overlay val="0"/>
      <c:txPr>
        <a:bodyPr/>
        <a:lstStyle/>
        <a:p>
          <a:pPr>
            <a:defRPr sz="750" b="0">
              <a:solidFill>
                <a:srgbClr val="293745"/>
              </a:solidFill>
              <a:latin typeface="Roboto"/>
              <a:cs typeface="Roboto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800" b="0">
          <a:solidFill>
            <a:srgbClr val="293745"/>
          </a:solidFill>
          <a:latin typeface="Roboto"/>
          <a:cs typeface="Roboto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pivotSource>
    <c:name>[Kmart_Sales_Dashboard.xlsx]Pivots!PT_SalesByState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293745"/>
                </a:solidFill>
                <a:latin typeface="Roboto"/>
                <a:cs typeface="Roboto"/>
              </a:defRPr>
            </a:pPr>
            <a:r>
              <a:rPr lang="en-AU" sz="1100" b="1">
                <a:solidFill>
                  <a:srgbClr val="293745"/>
                </a:solidFill>
                <a:latin typeface="Roboto"/>
              </a:rPr>
              <a:t>Sales by state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Pivots!$AR$3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Pivots!$AQ$4:$AQ$11</c:f>
              <c:strCache>
                <c:ptCount val="8"/>
                <c:pt idx="0">
                  <c:v>ACT</c:v>
                </c:pt>
                <c:pt idx="1">
                  <c:v>TAS</c:v>
                </c:pt>
                <c:pt idx="2">
                  <c:v>NT</c:v>
                </c:pt>
                <c:pt idx="3">
                  <c:v>SA</c:v>
                </c:pt>
                <c:pt idx="4">
                  <c:v>WA</c:v>
                </c:pt>
                <c:pt idx="5">
                  <c:v>QLD</c:v>
                </c:pt>
                <c:pt idx="6">
                  <c:v>VIC</c:v>
                </c:pt>
                <c:pt idx="7">
                  <c:v>NSW</c:v>
                </c:pt>
              </c:strCache>
            </c:strRef>
          </c:cat>
          <c:val>
            <c:numRef>
              <c:f>Pivots!$AR$4:$AR$11</c:f>
              <c:numCache>
                <c:formatCode>General</c:formatCode>
                <c:ptCount val="8"/>
                <c:pt idx="0">
                  <c:v>38681.96</c:v>
                </c:pt>
                <c:pt idx="1">
                  <c:v>59512.45</c:v>
                </c:pt>
                <c:pt idx="2">
                  <c:v>67846.81</c:v>
                </c:pt>
                <c:pt idx="3">
                  <c:v>112716.27</c:v>
                </c:pt>
                <c:pt idx="4">
                  <c:v>312583.22</c:v>
                </c:pt>
                <c:pt idx="5">
                  <c:v>603864.98</c:v>
                </c:pt>
                <c:pt idx="6">
                  <c:v>825449.32</c:v>
                </c:pt>
                <c:pt idx="7">
                  <c:v>1165603.47</c:v>
                </c:pt>
              </c:numCache>
            </c:numRef>
          </c:val>
        </c:ser>
        <c:gapWidth val="50"/>
        <c:axId val="10"/>
        <c:axId val="2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b"/>
        <c:majorGridlines>
          <c:spPr>
            <a:ln w="6350">
              <a:solidFill>
                <a:srgbClr val="E3E3E3"/>
              </a:solidFill>
            </a:ln>
          </c:spPr>
        </c:majorGridlines>
        <c:numFmt formatCode="&quot;$&quot;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800" b="0">
          <a:solidFill>
            <a:srgbClr val="293745"/>
          </a:solidFill>
          <a:latin typeface="Roboto"/>
          <a:cs typeface="Roboto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pivotSource>
    <c:name>[Kmart_Sales_Dashboard.xlsx]Pivots!PT_SalesByCategory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293745"/>
                </a:solidFill>
                <a:latin typeface="Roboto"/>
                <a:cs typeface="Roboto"/>
              </a:defRPr>
            </a:pPr>
            <a:r>
              <a:rPr lang="en-AU" sz="1100" b="1">
                <a:solidFill>
                  <a:srgbClr val="293745"/>
                </a:solidFill>
                <a:latin typeface="Roboto"/>
              </a:rPr>
              <a:t>Sales by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Pivots!$P$3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Pivots!$O$4:$O$13</c:f>
              <c:strCache>
                <c:ptCount val="10"/>
                <c:pt idx="0">
                  <c:v>Party &amp; Gift Wrap</c:v>
                </c:pt>
                <c:pt idx="1">
                  <c:v>Stationery &amp; Office Supplies</c:v>
                </c:pt>
                <c:pt idx="2">
                  <c:v>Accessories</c:v>
                </c:pt>
                <c:pt idx="3">
                  <c:v>Electronics &amp; Entertainment</c:v>
                </c:pt>
                <c:pt idx="4">
                  <c:v>Baby &amp; Nursery</c:v>
                </c:pt>
                <c:pt idx="5">
                  <c:v>Beauty &amp; Personal Care</c:v>
                </c:pt>
                <c:pt idx="6">
                  <c:v>Footwear</c:v>
                </c:pt>
                <c:pt idx="7">
                  <c:v>Toys &amp; Outdoor Play</c:v>
                </c:pt>
                <c:pt idx="8">
                  <c:v>Home &amp; Living</c:v>
                </c:pt>
                <c:pt idx="9">
                  <c:v>Clothing &amp; Fashion</c:v>
                </c:pt>
              </c:strCache>
            </c:strRef>
          </c:cat>
          <c:val>
            <c:numRef>
              <c:f>Pivots!$P$4:$P$13</c:f>
              <c:numCache>
                <c:formatCode>General</c:formatCode>
                <c:ptCount val="10"/>
                <c:pt idx="0">
                  <c:v>61587.13</c:v>
                </c:pt>
                <c:pt idx="1">
                  <c:v>66885.88</c:v>
                </c:pt>
                <c:pt idx="2">
                  <c:v>87457.9</c:v>
                </c:pt>
                <c:pt idx="3">
                  <c:v>164706.16</c:v>
                </c:pt>
                <c:pt idx="4">
                  <c:v>219917.08</c:v>
                </c:pt>
                <c:pt idx="5">
                  <c:v>360173.77</c:v>
                </c:pt>
                <c:pt idx="6">
                  <c:v>381623.78</c:v>
                </c:pt>
                <c:pt idx="7">
                  <c:v>549402.55</c:v>
                </c:pt>
                <c:pt idx="8">
                  <c:v>608024.39</c:v>
                </c:pt>
                <c:pt idx="9">
                  <c:v>686479.84</c:v>
                </c:pt>
              </c:numCache>
            </c:numRef>
          </c:val>
        </c:ser>
        <c:gapWidth val="50"/>
        <c:axId val="10"/>
        <c:axId val="2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b"/>
        <c:majorGridlines>
          <c:spPr>
            <a:ln w="6350">
              <a:solidFill>
                <a:srgbClr val="E3E3E3"/>
              </a:solidFill>
            </a:ln>
          </c:spPr>
        </c:majorGridlines>
        <c:numFmt formatCode="&quot;$&quot;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800" b="0">
          <a:solidFill>
            <a:srgbClr val="293745"/>
          </a:solidFill>
          <a:latin typeface="Roboto"/>
          <a:cs typeface="Roboto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pivotSource>
    <c:name>[Kmart_Sales_Dashboard.xlsx]Pivots!PT_CategoryMix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293745"/>
                </a:solidFill>
                <a:latin typeface="Roboto"/>
                <a:cs typeface="Roboto"/>
              </a:defRPr>
            </a:pPr>
            <a:r>
              <a:rPr lang="en-AU" sz="1100" b="1">
                <a:solidFill>
                  <a:srgbClr val="293745"/>
                </a:solidFill>
                <a:latin typeface="Roboto"/>
              </a:rPr>
              <a:t>Sales by category - proportions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Pivots!$T$4</c:f>
              <c:strCache>
                <c:ptCount val="1"/>
                <c:pt idx="0">
                  <c:v>Accessories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Pivots!$T$5:$T$14</c:f>
              <c:numCache>
                <c:formatCode>General</c:formatCode>
                <c:ptCount val="10"/>
                <c:pt idx="0">
                  <c:v>1347.13</c:v>
                </c:pt>
                <c:pt idx="1">
                  <c:v>1316.52</c:v>
                </c:pt>
                <c:pt idx="2">
                  <c:v>1761.4900000000002</c:v>
                </c:pt>
                <c:pt idx="3">
                  <c:v>2305.12</c:v>
                </c:pt>
                <c:pt idx="4">
                  <c:v>2105.78</c:v>
                </c:pt>
                <c:pt idx="5">
                  <c:v>2067.24</c:v>
                </c:pt>
                <c:pt idx="6">
                  <c:v>1666.9</c:v>
                </c:pt>
                <c:pt idx="7">
                  <c:v>1850.6</c:v>
                </c:pt>
                <c:pt idx="8">
                  <c:v>1999.58</c:v>
                </c:pt>
                <c:pt idx="9">
                  <c:v>3846.59</c:v>
                </c:pt>
              </c:numCache>
            </c:numRef>
          </c:val>
        </c:ser>
        <c:ser>
          <c:idx val="1"/>
          <c:order val="1"/>
          <c:tx>
            <c:strRef>
              <c:f>Pivots!$U$4</c:f>
              <c:strCache>
                <c:ptCount val="1"/>
                <c:pt idx="0">
                  <c:v>Baby &amp; Nursery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Pivots!$U$5:$U$14</c:f>
              <c:numCache>
                <c:formatCode>General</c:formatCode>
                <c:ptCount val="10"/>
                <c:pt idx="0">
                  <c:v>4377.85</c:v>
                </c:pt>
                <c:pt idx="1">
                  <c:v>4593.16</c:v>
                </c:pt>
                <c:pt idx="2">
                  <c:v>5484.72</c:v>
                </c:pt>
                <c:pt idx="3">
                  <c:v>3130.79</c:v>
                </c:pt>
                <c:pt idx="4">
                  <c:v>3812.26</c:v>
                </c:pt>
                <c:pt idx="5">
                  <c:v>4309.11</c:v>
                </c:pt>
                <c:pt idx="6">
                  <c:v>5566.92</c:v>
                </c:pt>
                <c:pt idx="7">
                  <c:v>5103.5</c:v>
                </c:pt>
                <c:pt idx="8">
                  <c:v>6086.26</c:v>
                </c:pt>
                <c:pt idx="9">
                  <c:v>8076.25</c:v>
                </c:pt>
              </c:numCache>
            </c:numRef>
          </c:val>
        </c:ser>
        <c:ser>
          <c:idx val="2"/>
          <c:order val="2"/>
          <c:tx>
            <c:strRef>
              <c:f>Pivots!$V$4</c:f>
              <c:strCache>
                <c:ptCount val="1"/>
                <c:pt idx="0">
                  <c:v>Beauty &amp; Personal Care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Pivots!$V$5:$V$14</c:f>
              <c:numCache>
                <c:formatCode>General</c:formatCode>
                <c:ptCount val="10"/>
                <c:pt idx="0">
                  <c:v>8610.5</c:v>
                </c:pt>
                <c:pt idx="1">
                  <c:v>8246.4</c:v>
                </c:pt>
                <c:pt idx="2">
                  <c:v>7371.37</c:v>
                </c:pt>
                <c:pt idx="3">
                  <c:v>7774.610000000001</c:v>
                </c:pt>
                <c:pt idx="4">
                  <c:v>9132.92</c:v>
                </c:pt>
                <c:pt idx="5">
                  <c:v>7818.1900000000005</c:v>
                </c:pt>
                <c:pt idx="6">
                  <c:v>6057.08</c:v>
                </c:pt>
                <c:pt idx="7">
                  <c:v>9284.55</c:v>
                </c:pt>
                <c:pt idx="8">
                  <c:v>9578.03</c:v>
                </c:pt>
                <c:pt idx="9">
                  <c:v>6997.02</c:v>
                </c:pt>
              </c:numCache>
            </c:numRef>
          </c:val>
        </c:ser>
        <c:ser>
          <c:idx val="3"/>
          <c:order val="3"/>
          <c:tx>
            <c:strRef>
              <c:f>Pivots!$W$4</c:f>
              <c:strCache>
                <c:ptCount val="1"/>
                <c:pt idx="0">
                  <c:v>Clothing &amp; Fashion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Pivots!$W$5:$W$14</c:f>
              <c:numCache>
                <c:formatCode>General</c:formatCode>
                <c:ptCount val="10"/>
                <c:pt idx="0">
                  <c:v>13106.26</c:v>
                </c:pt>
                <c:pt idx="1">
                  <c:v>10246.11</c:v>
                </c:pt>
                <c:pt idx="2">
                  <c:v>14638.279999999999</c:v>
                </c:pt>
                <c:pt idx="3">
                  <c:v>10121.09</c:v>
                </c:pt>
                <c:pt idx="4">
                  <c:v>11790.65</c:v>
                </c:pt>
                <c:pt idx="5">
                  <c:v>12232.58</c:v>
                </c:pt>
                <c:pt idx="6">
                  <c:v>12294.73</c:v>
                </c:pt>
                <c:pt idx="7">
                  <c:v>13186.63</c:v>
                </c:pt>
                <c:pt idx="8">
                  <c:v>16966.76</c:v>
                </c:pt>
                <c:pt idx="9">
                  <c:v>19061.78</c:v>
                </c:pt>
              </c:numCache>
            </c:numRef>
          </c:val>
        </c:ser>
        <c:ser>
          <c:idx val="4"/>
          <c:order val="4"/>
          <c:tx>
            <c:strRef>
              <c:f>Pivots!$X$4</c:f>
              <c:strCache>
                <c:ptCount val="1"/>
                <c:pt idx="0">
                  <c:v>Electronics &amp; Entertainment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Pivots!$X$5:$X$14</c:f>
              <c:numCache>
                <c:formatCode>General</c:formatCode>
                <c:ptCount val="10"/>
                <c:pt idx="0">
                  <c:v>4283.33</c:v>
                </c:pt>
                <c:pt idx="1">
                  <c:v>3735.07</c:v>
                </c:pt>
                <c:pt idx="2">
                  <c:v>2590.0699999999997</c:v>
                </c:pt>
                <c:pt idx="3">
                  <c:v>2326.9300000000003</c:v>
                </c:pt>
                <c:pt idx="4">
                  <c:v>2501.3</c:v>
                </c:pt>
                <c:pt idx="5">
                  <c:v>4314.61</c:v>
                </c:pt>
                <c:pt idx="6">
                  <c:v>3533.5200000000004</c:v>
                </c:pt>
                <c:pt idx="7">
                  <c:v>3069.1899999999996</c:v>
                </c:pt>
                <c:pt idx="8">
                  <c:v>4715.68</c:v>
                </c:pt>
                <c:pt idx="9">
                  <c:v>5277.63</c:v>
                </c:pt>
              </c:numCache>
            </c:numRef>
          </c:val>
        </c:ser>
        <c:ser>
          <c:idx val="5"/>
          <c:order val="5"/>
          <c:tx>
            <c:strRef>
              <c:f>Pivots!$Y$4</c:f>
              <c:strCache>
                <c:ptCount val="1"/>
                <c:pt idx="0">
                  <c:v>Footwear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Pivots!$Y$5:$Y$14</c:f>
              <c:numCache>
                <c:formatCode>General</c:formatCode>
                <c:ptCount val="10"/>
                <c:pt idx="0">
                  <c:v>10777.39</c:v>
                </c:pt>
                <c:pt idx="1">
                  <c:v>9216.48</c:v>
                </c:pt>
                <c:pt idx="2">
                  <c:v>10116.580000000002</c:v>
                </c:pt>
                <c:pt idx="3">
                  <c:v>6995.65</c:v>
                </c:pt>
                <c:pt idx="4">
                  <c:v>10899.75</c:v>
                </c:pt>
                <c:pt idx="5">
                  <c:v>12561.76</c:v>
                </c:pt>
                <c:pt idx="6">
                  <c:v>13926.98</c:v>
                </c:pt>
                <c:pt idx="7">
                  <c:v>9271.01</c:v>
                </c:pt>
                <c:pt idx="8">
                  <c:v>13497.35</c:v>
                </c:pt>
                <c:pt idx="9">
                  <c:v>15647.41</c:v>
                </c:pt>
              </c:numCache>
            </c:numRef>
          </c:val>
        </c:ser>
        <c:ser>
          <c:idx val="6"/>
          <c:order val="6"/>
          <c:tx>
            <c:strRef>
              <c:f>Pivots!$Z$4</c:f>
              <c:strCache>
                <c:ptCount val="1"/>
                <c:pt idx="0">
                  <c:v>Home &amp; Living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Pivots!$Z$5:$Z$14</c:f>
              <c:numCache>
                <c:formatCode>General</c:formatCode>
                <c:ptCount val="10"/>
                <c:pt idx="0">
                  <c:v>17481.19</c:v>
                </c:pt>
                <c:pt idx="1">
                  <c:v>14923.91</c:v>
                </c:pt>
                <c:pt idx="2">
                  <c:v>18923.99</c:v>
                </c:pt>
                <c:pt idx="3">
                  <c:v>23651.68</c:v>
                </c:pt>
                <c:pt idx="4">
                  <c:v>18865.280000000002</c:v>
                </c:pt>
                <c:pt idx="5">
                  <c:v>18243.11</c:v>
                </c:pt>
                <c:pt idx="6">
                  <c:v>17731.54</c:v>
                </c:pt>
                <c:pt idx="7">
                  <c:v>24056.329999999998</c:v>
                </c:pt>
                <c:pt idx="8">
                  <c:v>23944.059999999998</c:v>
                </c:pt>
                <c:pt idx="9">
                  <c:v>24951.05</c:v>
                </c:pt>
              </c:numCache>
            </c:numRef>
          </c:val>
        </c:ser>
        <c:ser>
          <c:idx val="7"/>
          <c:order val="7"/>
          <c:tx>
            <c:strRef>
              <c:f>Pivots!$AA$4</c:f>
              <c:strCache>
                <c:ptCount val="1"/>
                <c:pt idx="0">
                  <c:v>Party &amp; Gift Wrap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Pivots!$AA$5:$AA$14</c:f>
              <c:numCache>
                <c:formatCode>General</c:formatCode>
                <c:ptCount val="10"/>
                <c:pt idx="0">
                  <c:v>1039.55</c:v>
                </c:pt>
                <c:pt idx="1">
                  <c:v>1856.47</c:v>
                </c:pt>
                <c:pt idx="2">
                  <c:v>1734.45</c:v>
                </c:pt>
                <c:pt idx="3">
                  <c:v>1367.0</c:v>
                </c:pt>
                <c:pt idx="4">
                  <c:v>3222.9</c:v>
                </c:pt>
                <c:pt idx="5">
                  <c:v>2115.46</c:v>
                </c:pt>
                <c:pt idx="6">
                  <c:v>1406.9</c:v>
                </c:pt>
                <c:pt idx="7">
                  <c:v>2539.58</c:v>
                </c:pt>
                <c:pt idx="8">
                  <c:v>2804.7400000000002</c:v>
                </c:pt>
                <c:pt idx="9">
                  <c:v>3095.06</c:v>
                </c:pt>
              </c:numCache>
            </c:numRef>
          </c:val>
        </c:ser>
        <c:ser>
          <c:idx val="8"/>
          <c:order val="8"/>
          <c:tx>
            <c:strRef>
              <c:f>Pivots!$AB$4</c:f>
              <c:strCache>
                <c:ptCount val="1"/>
                <c:pt idx="0">
                  <c:v>Stationery &amp; Office Supplies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Pivots!$AB$5:$AB$14</c:f>
              <c:numCache>
                <c:formatCode>General</c:formatCode>
                <c:ptCount val="10"/>
                <c:pt idx="0">
                  <c:v>1677.76</c:v>
                </c:pt>
                <c:pt idx="1">
                  <c:v>2517.72</c:v>
                </c:pt>
                <c:pt idx="2">
                  <c:v>442.78</c:v>
                </c:pt>
                <c:pt idx="3">
                  <c:v>2066.48</c:v>
                </c:pt>
                <c:pt idx="4">
                  <c:v>2003.34</c:v>
                </c:pt>
                <c:pt idx="5">
                  <c:v>1518.57</c:v>
                </c:pt>
                <c:pt idx="6">
                  <c:v>2840.44</c:v>
                </c:pt>
                <c:pt idx="7">
                  <c:v>2129.7000000000003</c:v>
                </c:pt>
                <c:pt idx="8">
                  <c:v>2973.17</c:v>
                </c:pt>
                <c:pt idx="9">
                  <c:v>2289.82</c:v>
                </c:pt>
              </c:numCache>
            </c:numRef>
          </c:val>
        </c:ser>
        <c:ser>
          <c:idx val="9"/>
          <c:order val="9"/>
          <c:tx>
            <c:strRef>
              <c:f>Pivots!$AC$4</c:f>
              <c:strCache>
                <c:ptCount val="1"/>
                <c:pt idx="0">
                  <c:v>Toys &amp; Outdoor Play</c:v>
                </c:pt>
              </c:strCache>
            </c:strRef>
          </c:tx>
          <c:invertIfNegative val="0"/>
          <c:cat>
            <c:strRef>
              <c:f>Pivots!$S$5:$S$14</c:f>
              <c:strCache>
                <c:ptCount val="10"/>
                <c:pt idx="0">
                  <c:v>Castle Hill</c:v>
                </c:pt>
                <c:pt idx="1">
                  <c:v>Armidale</c:v>
                </c:pt>
                <c:pt idx="2">
                  <c:v>Ballarat</c:v>
                </c:pt>
                <c:pt idx="3">
                  <c:v>Dubbo</c:v>
                </c:pt>
                <c:pt idx="4">
                  <c:v>Alexandria</c:v>
                </c:pt>
                <c:pt idx="5">
                  <c:v>Albany</c:v>
                </c:pt>
                <c:pt idx="6">
                  <c:v>Underwood</c:v>
                </c:pt>
                <c:pt idx="7">
                  <c:v>Chadstone</c:v>
                </c:pt>
                <c:pt idx="8">
                  <c:v>Campbelltown</c:v>
                </c:pt>
                <c:pt idx="9">
                  <c:v>Frankston</c:v>
                </c:pt>
              </c:strCache>
            </c:strRef>
          </c:cat>
          <c:val>
            <c:numRef>
              <c:f>Pivots!$AC$5:$AC$14</c:f>
              <c:numCache>
                <c:formatCode>General</c:formatCode>
                <c:ptCount val="10"/>
                <c:pt idx="0">
                  <c:v>9090.8</c:v>
                </c:pt>
                <c:pt idx="1">
                  <c:v>16456.41</c:v>
                </c:pt>
                <c:pt idx="2">
                  <c:v>11353.6</c:v>
                </c:pt>
                <c:pt idx="3">
                  <c:v>14999.57</c:v>
                </c:pt>
                <c:pt idx="4">
                  <c:v>11128.74</c:v>
                </c:pt>
                <c:pt idx="5">
                  <c:v>10926.36</c:v>
                </c:pt>
                <c:pt idx="6">
                  <c:v>12193.57</c:v>
                </c:pt>
                <c:pt idx="7">
                  <c:v>13750.970000000001</c:v>
                </c:pt>
                <c:pt idx="8">
                  <c:v>14879.73</c:v>
                </c:pt>
                <c:pt idx="9">
                  <c:v>16479.7</c:v>
                </c:pt>
              </c:numCache>
            </c:numRef>
          </c:val>
        </c:ser>
        <c:gapWidth val="35"/>
        <c:overlap val="100"/>
        <c:axId val="10"/>
        <c:axId val="2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  <c:max val="1"/>
        </c:scaling>
        <c:delete val="0"/>
        <c:axPos val="b"/>
        <c:majorGridlines>
          <c:spPr>
            <a:ln w="6350">
              <a:solidFill>
                <a:srgbClr val="E3E3E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750" b="0">
              <a:solidFill>
                <a:srgbClr val="293745"/>
              </a:solidFill>
              <a:latin typeface="Roboto"/>
              <a:cs typeface="Roboto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800" b="0">
          <a:solidFill>
            <a:srgbClr val="293745"/>
          </a:solidFill>
          <a:latin typeface="Roboto"/>
          <a:cs typeface="Roboto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pivotSource>
    <c:name>[Kmart_Sales_Dashboard.xlsx]Pivots!PT_SalesByManager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293745"/>
                </a:solidFill>
                <a:latin typeface="Roboto"/>
                <a:cs typeface="Roboto"/>
              </a:defRPr>
            </a:pPr>
            <a:r>
              <a:rPr lang="en-AU" sz="1100" b="1">
                <a:solidFill>
                  <a:srgbClr val="293745"/>
                </a:solidFill>
                <a:latin typeface="Roboto"/>
              </a:rPr>
              <a:t>Sales by manager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Pivots!$AK$3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Pivots!$AJ$4:$AJ$24</c:f>
              <c:strCache>
                <c:ptCount val="21"/>
                <c:pt idx="0">
                  <c:v>Alex Nash</c:v>
                </c:pt>
                <c:pt idx="1">
                  <c:v>Caroline Tucker</c:v>
                </c:pt>
                <c:pt idx="2">
                  <c:v>Simone Prior</c:v>
                </c:pt>
                <c:pt idx="3">
                  <c:v>Amber Ward</c:v>
                </c:pt>
                <c:pt idx="4">
                  <c:v>Owen Pierce</c:v>
                </c:pt>
                <c:pt idx="5">
                  <c:v>Tom McKenzie</c:v>
                </c:pt>
                <c:pt idx="6">
                  <c:v>Michael Carney</c:v>
                </c:pt>
                <c:pt idx="7">
                  <c:v>Ray Watson</c:v>
                </c:pt>
                <c:pt idx="8">
                  <c:v>John Harper</c:v>
                </c:pt>
                <c:pt idx="9">
                  <c:v>Ricky Wilkinson</c:v>
                </c:pt>
                <c:pt idx="10">
                  <c:v>Shellie Thomas</c:v>
                </c:pt>
                <c:pt idx="11">
                  <c:v>Miles Hammond</c:v>
                </c:pt>
                <c:pt idx="12">
                  <c:v>Claire Bridges</c:v>
                </c:pt>
                <c:pt idx="13">
                  <c:v>Brian Hubbard</c:v>
                </c:pt>
                <c:pt idx="14">
                  <c:v>Terri Wright</c:v>
                </c:pt>
                <c:pt idx="15">
                  <c:v>George Chester</c:v>
                </c:pt>
                <c:pt idx="16">
                  <c:v>Jerry Fulton</c:v>
                </c:pt>
                <c:pt idx="17">
                  <c:v>Jeremy Garcia</c:v>
                </c:pt>
                <c:pt idx="18">
                  <c:v>Lillian Pruitt</c:v>
                </c:pt>
                <c:pt idx="19">
                  <c:v>John Gardner</c:v>
                </c:pt>
                <c:pt idx="20">
                  <c:v>Rachael Long</c:v>
                </c:pt>
              </c:strCache>
            </c:strRef>
          </c:cat>
          <c:val>
            <c:numRef>
              <c:f>Pivots!$AK$4:$AK$24</c:f>
              <c:numCache>
                <c:formatCode>General</c:formatCode>
                <c:ptCount val="21"/>
                <c:pt idx="0">
                  <c:v>32930.34</c:v>
                </c:pt>
                <c:pt idx="1">
                  <c:v>54140.090000000004</c:v>
                </c:pt>
                <c:pt idx="2">
                  <c:v>59512.45</c:v>
                </c:pt>
                <c:pt idx="3">
                  <c:v>63037.0</c:v>
                </c:pt>
                <c:pt idx="4">
                  <c:v>67318.87</c:v>
                </c:pt>
                <c:pt idx="5">
                  <c:v>67634.36</c:v>
                </c:pt>
                <c:pt idx="6">
                  <c:v>67846.81</c:v>
                </c:pt>
                <c:pt idx="7">
                  <c:v>79785.93</c:v>
                </c:pt>
                <c:pt idx="8">
                  <c:v>95154.19</c:v>
                </c:pt>
                <c:pt idx="9">
                  <c:v>135254.32</c:v>
                </c:pt>
                <c:pt idx="10">
                  <c:v>139095.3</c:v>
                </c:pt>
                <c:pt idx="11">
                  <c:v>149794.67</c:v>
                </c:pt>
                <c:pt idx="12">
                  <c:v>158764.65</c:v>
                </c:pt>
                <c:pt idx="13">
                  <c:v>199582.91</c:v>
                </c:pt>
                <c:pt idx="14">
                  <c:v>212338.27</c:v>
                </c:pt>
                <c:pt idx="15">
                  <c:v>224691.45</c:v>
                </c:pt>
                <c:pt idx="16">
                  <c:v>248771.27</c:v>
                </c:pt>
                <c:pt idx="17">
                  <c:v>253667.24</c:v>
                </c:pt>
                <c:pt idx="18">
                  <c:v>271081.19</c:v>
                </c:pt>
                <c:pt idx="19">
                  <c:v>296080.9</c:v>
                </c:pt>
                <c:pt idx="20">
                  <c:v>309776.27</c:v>
                </c:pt>
              </c:numCache>
            </c:numRef>
          </c:val>
        </c:ser>
        <c:gapWidth val="35"/>
        <c:axId val="10"/>
        <c:axId val="2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b"/>
        <c:majorGridlines>
          <c:spPr>
            <a:ln w="6350">
              <a:solidFill>
                <a:srgbClr val="E3E3E3"/>
              </a:solidFill>
            </a:ln>
          </c:spPr>
        </c:majorGridlines>
        <c:numFmt formatCode="&quot;$&quot;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800" b="0">
          <a:solidFill>
            <a:srgbClr val="293745"/>
          </a:solidFill>
          <a:latin typeface="Roboto"/>
          <a:cs typeface="Roboto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pivotSource>
    <c:name>[Kmart_Sales_Dashboard.xlsx]Pivots!PT_BuyersOnline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293745"/>
                </a:solidFill>
                <a:latin typeface="Roboto"/>
                <a:cs typeface="Roboto"/>
              </a:defRPr>
            </a:pPr>
            <a:r>
              <a:rPr lang="en-AU" sz="1100" b="1">
                <a:solidFill>
                  <a:srgbClr val="293745"/>
                </a:solidFill>
                <a:latin typeface="Roboto"/>
              </a:rPr>
              <a:t>Sales by buyers - online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Pivots!$AN$5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Pivots!$AM$6:$AM$15</c:f>
              <c:strCache>
                <c:ptCount val="10"/>
                <c:pt idx="0">
                  <c:v>Chris Monroe</c:v>
                </c:pt>
                <c:pt idx="1">
                  <c:v>Ella Hickman</c:v>
                </c:pt>
                <c:pt idx="2">
                  <c:v>Sara Ferrell</c:v>
                </c:pt>
                <c:pt idx="3">
                  <c:v>Maggie Mayer</c:v>
                </c:pt>
                <c:pt idx="4">
                  <c:v>Amy Buchanan</c:v>
                </c:pt>
                <c:pt idx="5">
                  <c:v>Richard Carr</c:v>
                </c:pt>
                <c:pt idx="6">
                  <c:v>Chester George</c:v>
                </c:pt>
                <c:pt idx="7">
                  <c:v>Elizabeth Gentry</c:v>
                </c:pt>
                <c:pt idx="8">
                  <c:v>Howard Wright</c:v>
                </c:pt>
                <c:pt idx="9">
                  <c:v>Bruce Curran</c:v>
                </c:pt>
              </c:strCache>
            </c:strRef>
          </c:cat>
          <c:val>
            <c:numRef>
              <c:f>Pivots!$AN$6:$AN$15</c:f>
              <c:numCache>
                <c:formatCode>General</c:formatCode>
                <c:ptCount val="10"/>
                <c:pt idx="0">
                  <c:v>12738.55</c:v>
                </c:pt>
                <c:pt idx="1">
                  <c:v>15631.69</c:v>
                </c:pt>
                <c:pt idx="2">
                  <c:v>23548.91</c:v>
                </c:pt>
                <c:pt idx="3">
                  <c:v>39203.43</c:v>
                </c:pt>
                <c:pt idx="4">
                  <c:v>45816.3</c:v>
                </c:pt>
                <c:pt idx="5">
                  <c:v>69084.55</c:v>
                </c:pt>
                <c:pt idx="6">
                  <c:v>81915.97</c:v>
                </c:pt>
                <c:pt idx="7">
                  <c:v>104554.16</c:v>
                </c:pt>
                <c:pt idx="8">
                  <c:v>121697.56</c:v>
                </c:pt>
                <c:pt idx="9">
                  <c:v>143924.37</c:v>
                </c:pt>
              </c:numCache>
            </c:numRef>
          </c:val>
        </c:ser>
        <c:gapWidth val="50"/>
        <c:axId val="10"/>
        <c:axId val="2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b"/>
        <c:majorGridlines>
          <c:spPr>
            <a:ln w="6350">
              <a:solidFill>
                <a:srgbClr val="E3E3E3"/>
              </a:solidFill>
            </a:ln>
          </c:spPr>
        </c:majorGridlines>
        <c:numFmt formatCode="&quot;$&quot;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750" b="0">
                <a:solidFill>
                  <a:srgbClr val="293745"/>
                </a:solidFill>
                <a:latin typeface="Roboto"/>
                <a:cs typeface="Roboto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800" b="0">
          <a:solidFill>
            <a:srgbClr val="293745"/>
          </a:solidFill>
          <a:latin typeface="Roboto"/>
          <a:cs typeface="Roboto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76200</xdr:rowOff>
    </xdr:from>
    <xdr:to>
      <xdr:col>5</xdr:col>
      <xdr:colOff>66675</xdr:colOff>
      <xdr:row>1</xdr:row>
      <xdr:rowOff>495300</xdr:rowOff>
    </xdr:to>
    <xdr:pic>
      <xdr:nvPicPr>
        <xdr:cNvPr id="2" name="Kmart logo" descr="Kmart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8675" cy="4191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24</xdr:col>
      <xdr:colOff>0</xdr:colOff>
      <xdr:row>8</xdr:row>
      <xdr:rowOff>0</xdr:rowOff>
    </xdr:to>
    <xdr:graphicFrame macro="">
      <xdr:nvGraphicFramePr>
        <xdr:cNvPr id="3" name="time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24</xdr:col>
      <xdr:colOff>95250</xdr:colOff>
      <xdr:row>7</xdr:row>
      <xdr:rowOff>0</xdr:rowOff>
    </xdr:from>
    <xdr:to>
      <xdr:col>43</xdr:col>
      <xdr:colOff>95250</xdr:colOff>
      <xdr:row>8</xdr:row>
      <xdr:rowOff>0</xdr:rowOff>
    </xdr:to>
    <xdr:graphicFrame macro="">
      <xdr:nvGraphicFramePr>
        <xdr:cNvPr id="4" name="avg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44</xdr:col>
      <xdr:colOff>0</xdr:colOff>
      <xdr:row>7</xdr:row>
      <xdr:rowOff>0</xdr:rowOff>
    </xdr:from>
    <xdr:to>
      <xdr:col>57</xdr:col>
      <xdr:colOff>0</xdr:colOff>
      <xdr:row>8</xdr:row>
      <xdr:rowOff>0</xdr:rowOff>
    </xdr:to>
    <xdr:graphicFrame macro="">
      <xdr:nvGraphicFramePr>
        <xdr:cNvPr id="5" name="type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57</xdr:col>
      <xdr:colOff>95250</xdr:colOff>
      <xdr:row>7</xdr:row>
      <xdr:rowOff>0</xdr:rowOff>
    </xdr:from>
    <xdr:to>
      <xdr:col>79</xdr:col>
      <xdr:colOff>0</xdr:colOff>
      <xdr:row>8</xdr:row>
      <xdr:rowOff>0</xdr:rowOff>
    </xdr:to>
    <xdr:graphicFrame macro="">
      <xdr:nvGraphicFramePr>
        <xdr:cNvPr id="6" name="state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7" name="cat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18</xdr:col>
      <xdr:colOff>95250</xdr:colOff>
      <xdr:row>9</xdr:row>
      <xdr:rowOff>0</xdr:rowOff>
    </xdr:from>
    <xdr:to>
      <xdr:col>40</xdr:col>
      <xdr:colOff>95250</xdr:colOff>
      <xdr:row>19</xdr:row>
      <xdr:rowOff>0</xdr:rowOff>
    </xdr:to>
    <xdr:graphicFrame macro="">
      <xdr:nvGraphicFramePr>
        <xdr:cNvPr id="8" name="mix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41</xdr:col>
      <xdr:colOff>0</xdr:colOff>
      <xdr:row>9</xdr:row>
      <xdr:rowOff>0</xdr:rowOff>
    </xdr:from>
    <xdr:to>
      <xdr:col>56</xdr:col>
      <xdr:colOff>0</xdr:colOff>
      <xdr:row>19</xdr:row>
      <xdr:rowOff>0</xdr:rowOff>
    </xdr:to>
    <xdr:graphicFrame macro="">
      <xdr:nvGraphicFramePr>
        <xdr:cNvPr id="9" name="mgr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56</xdr:col>
      <xdr:colOff>95250</xdr:colOff>
      <xdr:row>9</xdr:row>
      <xdr:rowOff>0</xdr:rowOff>
    </xdr:from>
    <xdr:to>
      <xdr:col>68</xdr:col>
      <xdr:colOff>95250</xdr:colOff>
      <xdr:row>19</xdr:row>
      <xdr:rowOff>0</xdr:rowOff>
    </xdr:to>
    <xdr:graphicFrame macro="">
      <xdr:nvGraphicFramePr>
        <xdr:cNvPr id="10" name="buy char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21</xdr:col>
      <xdr:colOff>0</xdr:colOff>
      <xdr:row>3</xdr:row>
      <xdr:rowOff>0</xdr:rowOff>
    </xdr:from>
    <xdr:to>
      <xdr:col>32</xdr:col>
      <xdr:colOff>0</xdr:colOff>
      <xdr:row>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Financial 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nancial Year"/>
            </a:graphicData>
          </a:graphic>
        </xdr:graphicFrame>
      </mc:Choice>
      <mc:Fallback>
        <xdr:sp macro="" textlink="">
          <xdr:nvSpPr>
            <xdr:cNvPr id="11" name="Financial Year"/>
            <xdr:cNvSpPr>
              <a:spLocks noTextEdit="1"/>
            </xdr:cNvSpPr>
          </xdr:nvSpPr>
          <xdr:spPr>
            <a:xfrm>
              <a:off x="0" y="0"/>
              <a:ext cx="2095500" cy="123825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BFBFBF"/>
              </a:solidFill>
            </a:ln>
          </xdr:spPr>
          <xdr:txBody>
            <a:bodyPr vertOverflow="clip" horzOverflow="clip"/>
            <a:lstStyle/>
            <a:p>
              <a:r>
                <a:rPr lang="en-US" sz="1000"/>
                <a:t>Slicer: Financial Year (requires Excel 2010 or later)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95250</xdr:colOff>
      <xdr:row>3</xdr:row>
      <xdr:rowOff>0</xdr:rowOff>
    </xdr:from>
    <xdr:to>
      <xdr:col>40</xdr:col>
      <xdr:colOff>0</xdr:colOff>
      <xdr:row>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>
        <xdr:sp macro="" textlink="">
          <xdr:nvSpPr>
            <xdr:cNvPr id="12" name="Type"/>
            <xdr:cNvSpPr>
              <a:spLocks noTextEdit="1"/>
            </xdr:cNvSpPr>
          </xdr:nvSpPr>
          <xdr:spPr>
            <a:xfrm>
              <a:off x="0" y="0"/>
              <a:ext cx="1428750" cy="123825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BFBFBF"/>
              </a:solidFill>
            </a:ln>
          </xdr:spPr>
          <xdr:txBody>
            <a:bodyPr vertOverflow="clip" horzOverflow="clip"/>
            <a:lstStyle/>
            <a:p>
              <a:r>
                <a:rPr lang="en-US" sz="1000"/>
                <a:t>Slicer: Type (requires Excel 2010 or later)</a:t>
              </a:r>
            </a:p>
          </xdr:txBody>
        </xdr:sp>
      </mc:Fallback>
    </mc:AlternateContent>
    <xdr:clientData/>
  </xdr:twoCellAnchor>
  <xdr:twoCellAnchor editAs="oneCell">
    <xdr:from>
      <xdr:col>40</xdr:col>
      <xdr:colOff>0</xdr:colOff>
      <xdr:row>3</xdr:row>
      <xdr:rowOff>0</xdr:rowOff>
    </xdr:from>
    <xdr:to>
      <xdr:col>54</xdr:col>
      <xdr:colOff>0</xdr:colOff>
      <xdr:row>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>
        <xdr:sp macro="" textlink="">
          <xdr:nvSpPr>
            <xdr:cNvPr id="13" name="State"/>
            <xdr:cNvSpPr>
              <a:spLocks noTextEdit="1"/>
            </xdr:cNvSpPr>
          </xdr:nvSpPr>
          <xdr:spPr>
            <a:xfrm>
              <a:off x="0" y="0"/>
              <a:ext cx="2667000" cy="123825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BFBFBF"/>
              </a:solidFill>
            </a:ln>
          </xdr:spPr>
          <xdr:txBody>
            <a:bodyPr vertOverflow="clip" horzOverflow="clip"/>
            <a:lstStyle/>
            <a:p>
              <a:r>
                <a:rPr lang="en-US" sz="1000"/>
                <a:t>Slicer: State (requires Excel 2010 or later)</a:t>
              </a:r>
            </a:p>
          </xdr:txBody>
        </xdr:sp>
      </mc:Fallback>
    </mc:AlternateContent>
    <xdr:clientData/>
  </xdr:twoCellAnchor>
  <xdr:twoCellAnchor editAs="oneCell">
    <xdr:from>
      <xdr:col>54</xdr:col>
      <xdr:colOff>95250</xdr:colOff>
      <xdr:row>3</xdr:row>
      <xdr:rowOff>0</xdr:rowOff>
    </xdr:from>
    <xdr:to>
      <xdr:col>79</xdr:col>
      <xdr:colOff>0</xdr:colOff>
      <xdr:row>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14" name="Category"/>
            <xdr:cNvSpPr>
              <a:spLocks noTextEdit="1"/>
            </xdr:cNvSpPr>
          </xdr:nvSpPr>
          <xdr:spPr>
            <a:xfrm>
              <a:off x="0" y="0"/>
              <a:ext cx="4667250" cy="1238250"/>
            </a:xfrm>
            <a:prstGeom prst="rect">
              <a:avLst/>
            </a:prstGeom>
            <a:solidFill>
              <a:srgbClr val="FFFFFF"/>
            </a:solidFill>
            <a:ln w="1">
              <a:solidFill>
                <a:srgbClr val="BFBFBF"/>
              </a:solidFill>
            </a:ln>
          </xdr:spPr>
          <xdr:txBody>
            <a:bodyPr vertOverflow="clip" horzOverflow="clip"/>
            <a:lstStyle/>
            <a:p>
              <a:r>
                <a:rPr lang="en-US" sz="1000"/>
                <a:t>Slicer: Category (requires Excel 2010 or later)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Kmart Dashboard" refreshedDate="46301.5" createdVersion="6" refreshedVersion="6" minRefreshableVersion="3" recordCount="4505">
  <cacheSource type="worksheet">
    <worksheetSource name="KMART_DATA"/>
  </cacheSource>
  <cacheFields count="13">
    <cacheField name="Date" numFmtId="14">
      <sharedItems containsSemiMixedTypes="0" containsNonDate="0" containsDate="1" containsString="0" minDate="2024-01-01T00:00:00" maxDate="2026-01-01T00:00:00"/>
    </cacheField>
    <cacheField name="Financial Year" numFmtId="0">
      <sharedItems count="3">
        <s v="FY2023-24"/>
        <s v="FY2024-25"/>
        <s v="FY2025-26"/>
      </sharedItems>
    </cacheField>
    <cacheField name="Month" numFmtId="0">
      <sharedItems count="2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Type" numFmtId="0">
      <sharedItems count="2">
        <s v="Online"/>
        <s v="Store"/>
      </sharedItems>
    </cacheField>
    <cacheField name="Suburb" numFmtId="0">
      <sharedItems count="97">
        <s v="Airlie Beach"/>
        <s v="Albany"/>
        <s v="Alexandria"/>
        <s v="Alice Springs"/>
        <s v="Altona"/>
        <s v="Armidale"/>
        <s v="Artarmon"/>
        <s v="Ashfield"/>
        <s v="Atherton"/>
        <s v="Balcatta"/>
        <s v="Ballarat"/>
        <s v="Ballina"/>
        <s v="Bathurst"/>
        <s v="Belconnen"/>
        <s v="Bendigo"/>
        <s v="Berri"/>
        <s v="Broome"/>
        <s v="Burleigh Waters"/>
        <s v="Burnie"/>
        <s v="Bussleton"/>
        <s v="Cairns"/>
        <s v="Caloundra"/>
        <s v="Campbelltown"/>
        <s v="Castle Hill"/>
        <s v="Chadstone"/>
        <s v="Chatswood"/>
        <s v="Claremont"/>
        <s v="Collingwood"/>
        <s v="Cranbourne"/>
        <s v="Croydon"/>
        <s v="Dandenong"/>
        <s v="Darwin"/>
        <s v="Dubbo"/>
        <s v="Dural"/>
        <s v="Epping"/>
        <s v="Epsom"/>
        <s v="Esperance"/>
        <s v="Frankston"/>
        <s v="Fyshwick"/>
        <s v="Geraldton"/>
        <s v="Gladstone"/>
        <s v="Glenorchy"/>
        <s v="Gympie"/>
        <s v="Harrisdale"/>
        <s v="Hastings"/>
        <s v="Hervey Bay"/>
        <s v="Horsham"/>
        <s v="Indooroopilly"/>
        <s v="Inglewood"/>
        <s v="Ipswich"/>
        <s v="Joondalup"/>
        <s v="Launceston"/>
        <s v="Lidcombe"/>
        <s v="Lismore"/>
        <s v="Lithgow"/>
        <s v="Mackay"/>
        <s v="Maddington"/>
        <s v="Marion"/>
        <s v="Maroochydore"/>
        <s v="Mascot"/>
        <s v="Mildura"/>
        <s v="Mindarie"/>
        <s v="Mornington"/>
        <s v="Mt Gambier"/>
        <s v="Mt Isa"/>
        <s v="Narrabeen"/>
        <s v="Noarlunga"/>
        <s v="Noosaville"/>
        <s v="North Lakes"/>
        <s v="Nowra"/>
        <s v="Nunawading"/>
        <s v="Orange"/>
        <s v="Penrith"/>
        <s v="Port Lincoln"/>
        <s v="Prospect"/>
        <s v="Randwick"/>
        <s v="Ringwood"/>
        <s v="Rockhampton"/>
        <s v="Rosny Park"/>
        <s v="Rydalmere"/>
        <s v="Scoresby"/>
        <s v="Seaford"/>
        <s v="Shepparton"/>
        <s v="Southport"/>
        <s v="Stafford"/>
        <s v="Sunbury"/>
        <s v="Thornleigh"/>
        <s v="Toombul"/>
        <s v="Tweed Heads"/>
        <s v="Ulladulla"/>
        <s v="Underwood"/>
        <s v="Wagga Wagga"/>
        <s v="Warrnambool"/>
        <s v="Werribee"/>
        <s v="Wodonga"/>
        <s v="Woodville"/>
        <s v="Yeppoon"/>
      </sharedItems>
    </cacheField>
    <cacheField name="State" numFmtId="0">
      <sharedItems count="8">
        <s v="ACT"/>
        <s v="NSW"/>
        <s v="NT"/>
        <s v="QLD"/>
        <s v="SA"/>
        <s v="TAS"/>
        <s v="VIC"/>
        <s v="WA"/>
      </sharedItems>
    </cacheField>
    <cacheField name="Full State" numFmtId="0">
      <sharedItems count="8">
        <s v="Australian Capital Territory"/>
        <s v="New South Wales"/>
        <s v="Northern Territory"/>
        <s v="Queensland"/>
        <s v="South Australia"/>
        <s v="Tasmania"/>
        <s v="Victoria"/>
        <s v="Western Australia"/>
      </sharedItems>
    </cacheField>
    <cacheField name="Postcode" numFmtId="0">
      <sharedItems count="97">
        <s v="0800"/>
        <s v="0870"/>
        <s v="2015"/>
        <s v="2020"/>
        <s v="2031"/>
        <s v="2064"/>
        <s v="2067"/>
        <s v="2101"/>
        <s v="2116"/>
        <s v="2120"/>
        <s v="2131"/>
        <s v="2141"/>
        <s v="2154"/>
        <s v="2158"/>
        <s v="2350"/>
        <s v="2478"/>
        <s v="2480"/>
        <s v="2485"/>
        <s v="2539"/>
        <s v="2541"/>
        <s v="2560"/>
        <s v="2609"/>
        <s v="2617"/>
        <s v="2650"/>
        <s v="2750"/>
        <s v="2790"/>
        <s v="2795"/>
        <s v="2800"/>
        <s v="2830"/>
        <s v="3018"/>
        <s v="3030"/>
        <s v="3066"/>
        <s v="3076"/>
        <s v="3131"/>
        <s v="3134"/>
        <s v="3136"/>
        <s v="3148"/>
        <s v="3175"/>
        <s v="3179"/>
        <s v="3199"/>
        <s v="3280"/>
        <s v="3353"/>
        <s v="3400"/>
        <s v="3429"/>
        <s v="3500"/>
        <s v="3550"/>
        <s v="3551"/>
        <s v="3630"/>
        <s v="3690"/>
        <s v="3915"/>
        <s v="3931"/>
        <s v="3977"/>
        <s v="4012"/>
        <s v="4053"/>
        <s v="4068"/>
        <s v="4119"/>
        <s v="4215"/>
        <s v="4220"/>
        <s v="4305"/>
        <s v="4509"/>
        <s v="4551"/>
        <s v="4558"/>
        <s v="4566"/>
        <s v="4570"/>
        <s v="4655"/>
        <s v="4680"/>
        <s v="4700"/>
        <s v="4703"/>
        <s v="4740"/>
        <s v="4802"/>
        <s v="4825"/>
        <s v="4870"/>
        <s v="4883"/>
        <s v="5011"/>
        <s v="5043"/>
        <s v="5082"/>
        <s v="5168"/>
        <s v="5169"/>
        <s v="5290"/>
        <s v="5343"/>
        <s v="5607"/>
        <s v="6010"/>
        <s v="6021"/>
        <s v="6027"/>
        <s v="6030"/>
        <s v="6052"/>
        <s v="6109"/>
        <s v="6112"/>
        <s v="6280"/>
        <s v="6330"/>
        <s v="6450"/>
        <s v="6530"/>
        <s v="6725"/>
        <s v="7010"/>
        <s v="7018"/>
        <s v="7250"/>
        <s v="7320"/>
      </sharedItems>
    </cacheField>
    <cacheField name="Country" numFmtId="0">
      <sharedItems count="1">
        <s v="Australia"/>
      </sharedItems>
    </cacheField>
    <cacheField name="Manager" numFmtId="0">
      <sharedItems count="21">
        <s v="Alex Nash"/>
        <s v="Amber Ward"/>
        <s v="Brian Hubbard"/>
        <s v="Caroline Tucker"/>
        <s v="Claire Bridges"/>
        <s v="George Chester"/>
        <s v="Jeremy Garcia"/>
        <s v="Jerry Fulton"/>
        <s v="John Gardner"/>
        <s v="John Harper"/>
        <s v="Lillian Pruitt"/>
        <s v="Michael Carney"/>
        <s v="Miles Hammond"/>
        <s v="Owen Pierce"/>
        <s v="Rachael Long"/>
        <s v="Ray Watson"/>
        <s v="Ricky Wilkinson"/>
        <s v="Shellie Thomas"/>
        <s v="Simone Prior"/>
        <s v="Terri Wright"/>
        <s v="Tom McKenzie"/>
      </sharedItems>
    </cacheField>
    <cacheField name="Category" numFmtId="0">
      <sharedItems count="10">
        <s v="Accessories"/>
        <s v="Baby &amp; Nursery"/>
        <s v="Beauty &amp; Personal Care"/>
        <s v="Clothing &amp; Fashion"/>
        <s v="Electronics &amp; Entertainment"/>
        <s v="Footwear"/>
        <s v="Home &amp; Living"/>
        <s v="Party &amp; Gift Wrap"/>
        <s v="Stationery &amp; Office Supplies"/>
        <s v="Toys &amp; Outdoor Play"/>
      </sharedItems>
    </cacheField>
    <cacheField name="Buyer" numFmtId="0">
      <sharedItems count="10">
        <s v="Amy Buchanan"/>
        <s v="Bruce Curran"/>
        <s v="Chester George"/>
        <s v="Chris Monroe"/>
        <s v="Elizabeth Gentry"/>
        <s v="Ella Hickman"/>
        <s v="Howard Wright"/>
        <s v="Maggie Mayer"/>
        <s v="Richard Carr"/>
        <s v="Sara Ferrell"/>
      </sharedItems>
    </cacheField>
    <cacheField name="Sales" numFmtId="0">
      <sharedItems containsSemiMixedTypes="0" containsString="0" containsNumber="1" minValue="1.0" maxValue="12653.0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05">
  <r>
    <d v="2024-01-01T00:00:00"/>
    <x v="0"/>
    <x v="0"/>
    <x v="1"/>
    <x v="96"/>
    <x v="3"/>
    <x v="3"/>
    <x v="67"/>
    <x v="0"/>
    <x v="1"/>
    <x v="4"/>
    <x v="7"/>
    <n v="9.98"/>
  </r>
  <r>
    <d v="2024-01-01T00:00:00"/>
    <x v="0"/>
    <x v="0"/>
    <x v="1"/>
    <x v="92"/>
    <x v="6"/>
    <x v="6"/>
    <x v="40"/>
    <x v="0"/>
    <x v="7"/>
    <x v="0"/>
    <x v="9"/>
    <n v="23.92"/>
  </r>
  <r>
    <d v="2024-01-01T00:00:00"/>
    <x v="0"/>
    <x v="0"/>
    <x v="1"/>
    <x v="95"/>
    <x v="4"/>
    <x v="4"/>
    <x v="73"/>
    <x v="0"/>
    <x v="15"/>
    <x v="1"/>
    <x v="0"/>
    <n v="35.48"/>
  </r>
  <r>
    <d v="2024-01-01T00:00:00"/>
    <x v="0"/>
    <x v="0"/>
    <x v="0"/>
    <x v="96"/>
    <x v="3"/>
    <x v="3"/>
    <x v="67"/>
    <x v="0"/>
    <x v="1"/>
    <x v="2"/>
    <x v="2"/>
    <n v="184.87"/>
  </r>
  <r>
    <d v="2024-01-01T00:00:00"/>
    <x v="0"/>
    <x v="0"/>
    <x v="1"/>
    <x v="16"/>
    <x v="7"/>
    <x v="7"/>
    <x v="92"/>
    <x v="0"/>
    <x v="9"/>
    <x v="4"/>
    <x v="7"/>
    <n v="635.04"/>
  </r>
  <r>
    <d v="2024-01-01T00:00:00"/>
    <x v="0"/>
    <x v="0"/>
    <x v="1"/>
    <x v="78"/>
    <x v="5"/>
    <x v="5"/>
    <x v="94"/>
    <x v="0"/>
    <x v="18"/>
    <x v="2"/>
    <x v="2"/>
    <n v="893.23"/>
  </r>
  <r>
    <d v="2024-01-01T00:00:00"/>
    <x v="0"/>
    <x v="0"/>
    <x v="0"/>
    <x v="87"/>
    <x v="3"/>
    <x v="3"/>
    <x v="52"/>
    <x v="0"/>
    <x v="19"/>
    <x v="9"/>
    <x v="6"/>
    <n v="1180.27"/>
  </r>
  <r>
    <d v="2024-01-01T00:00:00"/>
    <x v="0"/>
    <x v="0"/>
    <x v="1"/>
    <x v="68"/>
    <x v="3"/>
    <x v="3"/>
    <x v="59"/>
    <x v="0"/>
    <x v="16"/>
    <x v="1"/>
    <x v="0"/>
    <n v="1354.21"/>
  </r>
  <r>
    <d v="2024-01-02T00:00:00"/>
    <x v="0"/>
    <x v="0"/>
    <x v="1"/>
    <x v="39"/>
    <x v="7"/>
    <x v="7"/>
    <x v="91"/>
    <x v="0"/>
    <x v="9"/>
    <x v="2"/>
    <x v="2"/>
    <n v="12.99"/>
  </r>
  <r>
    <d v="2024-01-02T00:00:00"/>
    <x v="0"/>
    <x v="0"/>
    <x v="1"/>
    <x v="83"/>
    <x v="3"/>
    <x v="3"/>
    <x v="56"/>
    <x v="0"/>
    <x v="16"/>
    <x v="7"/>
    <x v="3"/>
    <n v="318.18"/>
  </r>
  <r>
    <d v="2024-01-02T00:00:00"/>
    <x v="0"/>
    <x v="0"/>
    <x v="1"/>
    <x v="11"/>
    <x v="1"/>
    <x v="1"/>
    <x v="15"/>
    <x v="0"/>
    <x v="4"/>
    <x v="3"/>
    <x v="1"/>
    <n v="526.89"/>
  </r>
  <r>
    <d v="2024-01-02T00:00:00"/>
    <x v="0"/>
    <x v="0"/>
    <x v="1"/>
    <x v="72"/>
    <x v="1"/>
    <x v="1"/>
    <x v="24"/>
    <x v="0"/>
    <x v="8"/>
    <x v="9"/>
    <x v="6"/>
    <n v="551.43"/>
  </r>
  <r>
    <d v="2024-01-02T00:00:00"/>
    <x v="0"/>
    <x v="0"/>
    <x v="1"/>
    <x v="8"/>
    <x v="3"/>
    <x v="3"/>
    <x v="72"/>
    <x v="0"/>
    <x v="3"/>
    <x v="4"/>
    <x v="7"/>
    <n v="597.02"/>
  </r>
  <r>
    <d v="2024-01-03T00:00:00"/>
    <x v="0"/>
    <x v="0"/>
    <x v="1"/>
    <x v="52"/>
    <x v="1"/>
    <x v="1"/>
    <x v="11"/>
    <x v="0"/>
    <x v="10"/>
    <x v="0"/>
    <x v="9"/>
    <n v="6.0"/>
  </r>
  <r>
    <d v="2024-01-03T00:00:00"/>
    <x v="0"/>
    <x v="0"/>
    <x v="1"/>
    <x v="58"/>
    <x v="3"/>
    <x v="3"/>
    <x v="61"/>
    <x v="0"/>
    <x v="17"/>
    <x v="3"/>
    <x v="1"/>
    <n v="159.58"/>
  </r>
  <r>
    <d v="2024-01-03T00:00:00"/>
    <x v="0"/>
    <x v="0"/>
    <x v="0"/>
    <x v="86"/>
    <x v="1"/>
    <x v="1"/>
    <x v="9"/>
    <x v="0"/>
    <x v="10"/>
    <x v="3"/>
    <x v="1"/>
    <n v="221.83"/>
  </r>
  <r>
    <d v="2024-01-03T00:00:00"/>
    <x v="0"/>
    <x v="0"/>
    <x v="1"/>
    <x v="24"/>
    <x v="6"/>
    <x v="6"/>
    <x v="36"/>
    <x v="0"/>
    <x v="14"/>
    <x v="9"/>
    <x v="6"/>
    <n v="8918.28"/>
  </r>
  <r>
    <d v="2024-01-05T00:00:00"/>
    <x v="0"/>
    <x v="0"/>
    <x v="1"/>
    <x v="10"/>
    <x v="6"/>
    <x v="6"/>
    <x v="41"/>
    <x v="0"/>
    <x v="7"/>
    <x v="4"/>
    <x v="7"/>
    <n v="70.83"/>
  </r>
  <r>
    <d v="2024-01-05T00:00:00"/>
    <x v="0"/>
    <x v="0"/>
    <x v="0"/>
    <x v="78"/>
    <x v="5"/>
    <x v="5"/>
    <x v="94"/>
    <x v="0"/>
    <x v="18"/>
    <x v="4"/>
    <x v="7"/>
    <n v="96.82"/>
  </r>
  <r>
    <d v="2024-01-05T00:00:00"/>
    <x v="0"/>
    <x v="0"/>
    <x v="1"/>
    <x v="94"/>
    <x v="6"/>
    <x v="6"/>
    <x v="48"/>
    <x v="0"/>
    <x v="13"/>
    <x v="6"/>
    <x v="4"/>
    <n v="104.79"/>
  </r>
  <r>
    <d v="2024-01-05T00:00:00"/>
    <x v="0"/>
    <x v="0"/>
    <x v="1"/>
    <x v="25"/>
    <x v="1"/>
    <x v="1"/>
    <x v="6"/>
    <x v="0"/>
    <x v="6"/>
    <x v="6"/>
    <x v="4"/>
    <n v="204.21"/>
  </r>
  <r>
    <d v="2024-01-05T00:00:00"/>
    <x v="0"/>
    <x v="0"/>
    <x v="1"/>
    <x v="95"/>
    <x v="4"/>
    <x v="4"/>
    <x v="73"/>
    <x v="0"/>
    <x v="15"/>
    <x v="3"/>
    <x v="1"/>
    <n v="4282.26"/>
  </r>
  <r>
    <d v="2024-01-06T00:00:00"/>
    <x v="0"/>
    <x v="0"/>
    <x v="1"/>
    <x v="87"/>
    <x v="3"/>
    <x v="3"/>
    <x v="52"/>
    <x v="0"/>
    <x v="19"/>
    <x v="1"/>
    <x v="0"/>
    <n v="4.0"/>
  </r>
  <r>
    <d v="2024-01-06T00:00:00"/>
    <x v="0"/>
    <x v="0"/>
    <x v="1"/>
    <x v="26"/>
    <x v="7"/>
    <x v="7"/>
    <x v="81"/>
    <x v="0"/>
    <x v="20"/>
    <x v="1"/>
    <x v="0"/>
    <n v="52.97"/>
  </r>
  <r>
    <d v="2024-01-06T00:00:00"/>
    <x v="0"/>
    <x v="0"/>
    <x v="0"/>
    <x v="9"/>
    <x v="7"/>
    <x v="7"/>
    <x v="82"/>
    <x v="0"/>
    <x v="20"/>
    <x v="9"/>
    <x v="6"/>
    <n v="1624.77"/>
  </r>
  <r>
    <d v="2024-01-06T00:00:00"/>
    <x v="0"/>
    <x v="0"/>
    <x v="1"/>
    <x v="39"/>
    <x v="7"/>
    <x v="7"/>
    <x v="91"/>
    <x v="0"/>
    <x v="9"/>
    <x v="6"/>
    <x v="4"/>
    <n v="7077.93"/>
  </r>
  <r>
    <d v="2024-01-07T00:00:00"/>
    <x v="0"/>
    <x v="0"/>
    <x v="1"/>
    <x v="69"/>
    <x v="1"/>
    <x v="1"/>
    <x v="19"/>
    <x v="0"/>
    <x v="5"/>
    <x v="1"/>
    <x v="0"/>
    <n v="14.57"/>
  </r>
  <r>
    <d v="2024-01-07T00:00:00"/>
    <x v="0"/>
    <x v="0"/>
    <x v="0"/>
    <x v="12"/>
    <x v="1"/>
    <x v="1"/>
    <x v="26"/>
    <x v="0"/>
    <x v="8"/>
    <x v="2"/>
    <x v="2"/>
    <n v="14.97"/>
  </r>
  <r>
    <d v="2024-01-07T00:00:00"/>
    <x v="0"/>
    <x v="0"/>
    <x v="0"/>
    <x v="65"/>
    <x v="1"/>
    <x v="1"/>
    <x v="7"/>
    <x v="0"/>
    <x v="10"/>
    <x v="8"/>
    <x v="5"/>
    <n v="116.71"/>
  </r>
  <r>
    <d v="2024-01-07T00:00:00"/>
    <x v="0"/>
    <x v="0"/>
    <x v="1"/>
    <x v="75"/>
    <x v="1"/>
    <x v="1"/>
    <x v="4"/>
    <x v="0"/>
    <x v="6"/>
    <x v="9"/>
    <x v="6"/>
    <n v="149.95"/>
  </r>
  <r>
    <d v="2024-01-07T00:00:00"/>
    <x v="0"/>
    <x v="0"/>
    <x v="0"/>
    <x v="88"/>
    <x v="1"/>
    <x v="1"/>
    <x v="17"/>
    <x v="0"/>
    <x v="4"/>
    <x v="4"/>
    <x v="7"/>
    <n v="166.25"/>
  </r>
  <r>
    <d v="2024-01-07T00:00:00"/>
    <x v="0"/>
    <x v="0"/>
    <x v="1"/>
    <x v="34"/>
    <x v="6"/>
    <x v="6"/>
    <x v="32"/>
    <x v="0"/>
    <x v="2"/>
    <x v="3"/>
    <x v="1"/>
    <n v="346.11"/>
  </r>
  <r>
    <d v="2024-01-07T00:00:00"/>
    <x v="0"/>
    <x v="0"/>
    <x v="1"/>
    <x v="67"/>
    <x v="3"/>
    <x v="3"/>
    <x v="62"/>
    <x v="0"/>
    <x v="17"/>
    <x v="5"/>
    <x v="8"/>
    <n v="449.75"/>
  </r>
  <r>
    <d v="2024-01-07T00:00:00"/>
    <x v="0"/>
    <x v="0"/>
    <x v="1"/>
    <x v="62"/>
    <x v="6"/>
    <x v="6"/>
    <x v="50"/>
    <x v="0"/>
    <x v="13"/>
    <x v="4"/>
    <x v="7"/>
    <n v="510.02"/>
  </r>
  <r>
    <d v="2024-01-07T00:00:00"/>
    <x v="0"/>
    <x v="0"/>
    <x v="1"/>
    <x v="11"/>
    <x v="1"/>
    <x v="1"/>
    <x v="15"/>
    <x v="0"/>
    <x v="4"/>
    <x v="3"/>
    <x v="1"/>
    <n v="4324.25"/>
  </r>
  <r>
    <d v="2024-01-08T00:00:00"/>
    <x v="0"/>
    <x v="0"/>
    <x v="1"/>
    <x v="0"/>
    <x v="3"/>
    <x v="3"/>
    <x v="69"/>
    <x v="0"/>
    <x v="3"/>
    <x v="1"/>
    <x v="0"/>
    <n v="6.0"/>
  </r>
  <r>
    <d v="2024-01-08T00:00:00"/>
    <x v="0"/>
    <x v="0"/>
    <x v="1"/>
    <x v="27"/>
    <x v="6"/>
    <x v="6"/>
    <x v="31"/>
    <x v="0"/>
    <x v="2"/>
    <x v="6"/>
    <x v="4"/>
    <n v="48.93"/>
  </r>
  <r>
    <d v="2024-01-08T00:00:00"/>
    <x v="0"/>
    <x v="0"/>
    <x v="0"/>
    <x v="45"/>
    <x v="3"/>
    <x v="3"/>
    <x v="64"/>
    <x v="0"/>
    <x v="1"/>
    <x v="8"/>
    <x v="5"/>
    <n v="105.88"/>
  </r>
  <r>
    <d v="2024-01-08T00:00:00"/>
    <x v="0"/>
    <x v="0"/>
    <x v="1"/>
    <x v="85"/>
    <x v="6"/>
    <x v="6"/>
    <x v="43"/>
    <x v="0"/>
    <x v="7"/>
    <x v="5"/>
    <x v="8"/>
    <n v="231.19"/>
  </r>
  <r>
    <d v="2024-01-08T00:00:00"/>
    <x v="0"/>
    <x v="0"/>
    <x v="1"/>
    <x v="38"/>
    <x v="0"/>
    <x v="0"/>
    <x v="21"/>
    <x v="0"/>
    <x v="5"/>
    <x v="6"/>
    <x v="4"/>
    <n v="468.84"/>
  </r>
  <r>
    <d v="2024-01-09T00:00:00"/>
    <x v="0"/>
    <x v="0"/>
    <x v="1"/>
    <x v="76"/>
    <x v="6"/>
    <x v="6"/>
    <x v="34"/>
    <x v="0"/>
    <x v="14"/>
    <x v="3"/>
    <x v="1"/>
    <n v="2.0"/>
  </r>
  <r>
    <d v="2024-01-09T00:00:00"/>
    <x v="0"/>
    <x v="0"/>
    <x v="1"/>
    <x v="37"/>
    <x v="6"/>
    <x v="6"/>
    <x v="39"/>
    <x v="0"/>
    <x v="14"/>
    <x v="0"/>
    <x v="9"/>
    <n v="17.0"/>
  </r>
  <r>
    <d v="2024-01-09T00:00:00"/>
    <x v="0"/>
    <x v="0"/>
    <x v="1"/>
    <x v="69"/>
    <x v="1"/>
    <x v="1"/>
    <x v="19"/>
    <x v="0"/>
    <x v="5"/>
    <x v="3"/>
    <x v="1"/>
    <n v="18.0"/>
  </r>
  <r>
    <d v="2024-01-09T00:00:00"/>
    <x v="0"/>
    <x v="0"/>
    <x v="0"/>
    <x v="89"/>
    <x v="1"/>
    <x v="1"/>
    <x v="18"/>
    <x v="0"/>
    <x v="5"/>
    <x v="3"/>
    <x v="1"/>
    <n v="376.58"/>
  </r>
  <r>
    <d v="2024-01-09T00:00:00"/>
    <x v="0"/>
    <x v="0"/>
    <x v="1"/>
    <x v="31"/>
    <x v="2"/>
    <x v="2"/>
    <x v="0"/>
    <x v="0"/>
    <x v="11"/>
    <x v="6"/>
    <x v="4"/>
    <n v="5444.25"/>
  </r>
  <r>
    <d v="2024-01-10T00:00:00"/>
    <x v="0"/>
    <x v="0"/>
    <x v="1"/>
    <x v="54"/>
    <x v="1"/>
    <x v="1"/>
    <x v="25"/>
    <x v="0"/>
    <x v="8"/>
    <x v="1"/>
    <x v="0"/>
    <n v="5.99"/>
  </r>
  <r>
    <d v="2024-01-10T00:00:00"/>
    <x v="0"/>
    <x v="0"/>
    <x v="1"/>
    <x v="36"/>
    <x v="7"/>
    <x v="7"/>
    <x v="90"/>
    <x v="0"/>
    <x v="9"/>
    <x v="4"/>
    <x v="7"/>
    <n v="34.91"/>
  </r>
  <r>
    <d v="2024-01-10T00:00:00"/>
    <x v="0"/>
    <x v="0"/>
    <x v="1"/>
    <x v="95"/>
    <x v="4"/>
    <x v="4"/>
    <x v="73"/>
    <x v="0"/>
    <x v="15"/>
    <x v="3"/>
    <x v="1"/>
    <n v="84.94"/>
  </r>
  <r>
    <d v="2024-01-10T00:00:00"/>
    <x v="0"/>
    <x v="0"/>
    <x v="1"/>
    <x v="51"/>
    <x v="5"/>
    <x v="5"/>
    <x v="95"/>
    <x v="0"/>
    <x v="18"/>
    <x v="1"/>
    <x v="0"/>
    <n v="158.78"/>
  </r>
  <r>
    <d v="2024-01-10T00:00:00"/>
    <x v="0"/>
    <x v="0"/>
    <x v="1"/>
    <x v="49"/>
    <x v="3"/>
    <x v="3"/>
    <x v="58"/>
    <x v="0"/>
    <x v="16"/>
    <x v="4"/>
    <x v="7"/>
    <n v="285.38"/>
  </r>
  <r>
    <d v="2024-01-10T00:00:00"/>
    <x v="0"/>
    <x v="0"/>
    <x v="1"/>
    <x v="21"/>
    <x v="3"/>
    <x v="3"/>
    <x v="60"/>
    <x v="0"/>
    <x v="17"/>
    <x v="0"/>
    <x v="9"/>
    <n v="341.41"/>
  </r>
  <r>
    <d v="2024-01-11T00:00:00"/>
    <x v="0"/>
    <x v="0"/>
    <x v="1"/>
    <x v="32"/>
    <x v="1"/>
    <x v="1"/>
    <x v="28"/>
    <x v="0"/>
    <x v="8"/>
    <x v="2"/>
    <x v="2"/>
    <n v="1.5"/>
  </r>
  <r>
    <d v="2024-01-11T00:00:00"/>
    <x v="0"/>
    <x v="0"/>
    <x v="1"/>
    <x v="42"/>
    <x v="3"/>
    <x v="3"/>
    <x v="63"/>
    <x v="0"/>
    <x v="17"/>
    <x v="4"/>
    <x v="7"/>
    <n v="39.96"/>
  </r>
  <r>
    <d v="2024-01-11T00:00:00"/>
    <x v="0"/>
    <x v="0"/>
    <x v="1"/>
    <x v="19"/>
    <x v="7"/>
    <x v="7"/>
    <x v="88"/>
    <x v="0"/>
    <x v="12"/>
    <x v="1"/>
    <x v="0"/>
    <n v="787.32"/>
  </r>
  <r>
    <d v="2024-01-12T00:00:00"/>
    <x v="0"/>
    <x v="0"/>
    <x v="1"/>
    <x v="23"/>
    <x v="1"/>
    <x v="1"/>
    <x v="12"/>
    <x v="0"/>
    <x v="10"/>
    <x v="1"/>
    <x v="0"/>
    <n v="2.6"/>
  </r>
  <r>
    <d v="2024-01-12T00:00:00"/>
    <x v="0"/>
    <x v="0"/>
    <x v="1"/>
    <x v="6"/>
    <x v="1"/>
    <x v="1"/>
    <x v="5"/>
    <x v="0"/>
    <x v="6"/>
    <x v="6"/>
    <x v="4"/>
    <n v="6.99"/>
  </r>
  <r>
    <d v="2024-01-12T00:00:00"/>
    <x v="0"/>
    <x v="0"/>
    <x v="0"/>
    <x v="65"/>
    <x v="1"/>
    <x v="1"/>
    <x v="7"/>
    <x v="0"/>
    <x v="10"/>
    <x v="5"/>
    <x v="8"/>
    <n v="18.89"/>
  </r>
  <r>
    <d v="2024-01-12T00:00:00"/>
    <x v="0"/>
    <x v="0"/>
    <x v="0"/>
    <x v="61"/>
    <x v="7"/>
    <x v="7"/>
    <x v="84"/>
    <x v="0"/>
    <x v="20"/>
    <x v="2"/>
    <x v="2"/>
    <n v="41.93"/>
  </r>
  <r>
    <d v="2024-01-12T00:00:00"/>
    <x v="0"/>
    <x v="0"/>
    <x v="1"/>
    <x v="50"/>
    <x v="7"/>
    <x v="7"/>
    <x v="83"/>
    <x v="0"/>
    <x v="20"/>
    <x v="9"/>
    <x v="6"/>
    <n v="65.89"/>
  </r>
  <r>
    <d v="2024-01-12T00:00:00"/>
    <x v="0"/>
    <x v="0"/>
    <x v="0"/>
    <x v="60"/>
    <x v="6"/>
    <x v="6"/>
    <x v="44"/>
    <x v="0"/>
    <x v="7"/>
    <x v="0"/>
    <x v="9"/>
    <n v="136.41"/>
  </r>
  <r>
    <d v="2024-01-12T00:00:00"/>
    <x v="0"/>
    <x v="0"/>
    <x v="1"/>
    <x v="17"/>
    <x v="3"/>
    <x v="3"/>
    <x v="57"/>
    <x v="0"/>
    <x v="16"/>
    <x v="4"/>
    <x v="7"/>
    <n v="261.73"/>
  </r>
  <r>
    <d v="2024-01-12T00:00:00"/>
    <x v="0"/>
    <x v="0"/>
    <x v="1"/>
    <x v="25"/>
    <x v="1"/>
    <x v="1"/>
    <x v="6"/>
    <x v="0"/>
    <x v="6"/>
    <x v="0"/>
    <x v="9"/>
    <n v="544.26"/>
  </r>
  <r>
    <d v="2024-01-13T00:00:00"/>
    <x v="0"/>
    <x v="0"/>
    <x v="0"/>
    <x v="11"/>
    <x v="1"/>
    <x v="1"/>
    <x v="15"/>
    <x v="0"/>
    <x v="4"/>
    <x v="8"/>
    <x v="5"/>
    <n v="129.74"/>
  </r>
  <r>
    <d v="2024-01-13T00:00:00"/>
    <x v="0"/>
    <x v="0"/>
    <x v="1"/>
    <x v="95"/>
    <x v="4"/>
    <x v="4"/>
    <x v="73"/>
    <x v="0"/>
    <x v="15"/>
    <x v="2"/>
    <x v="2"/>
    <n v="1347.3"/>
  </r>
  <r>
    <d v="2024-01-13T00:00:00"/>
    <x v="0"/>
    <x v="0"/>
    <x v="1"/>
    <x v="32"/>
    <x v="1"/>
    <x v="1"/>
    <x v="28"/>
    <x v="0"/>
    <x v="8"/>
    <x v="4"/>
    <x v="7"/>
    <n v="1890.17"/>
  </r>
  <r>
    <d v="2024-01-14T00:00:00"/>
    <x v="0"/>
    <x v="0"/>
    <x v="1"/>
    <x v="34"/>
    <x v="6"/>
    <x v="6"/>
    <x v="32"/>
    <x v="0"/>
    <x v="2"/>
    <x v="2"/>
    <x v="2"/>
    <n v="12.99"/>
  </r>
  <r>
    <d v="2024-01-14T00:00:00"/>
    <x v="0"/>
    <x v="0"/>
    <x v="1"/>
    <x v="94"/>
    <x v="6"/>
    <x v="6"/>
    <x v="48"/>
    <x v="0"/>
    <x v="13"/>
    <x v="8"/>
    <x v="5"/>
    <n v="17.94"/>
  </r>
  <r>
    <d v="2024-01-14T00:00:00"/>
    <x v="0"/>
    <x v="0"/>
    <x v="1"/>
    <x v="13"/>
    <x v="0"/>
    <x v="0"/>
    <x v="22"/>
    <x v="0"/>
    <x v="5"/>
    <x v="1"/>
    <x v="0"/>
    <n v="47.94"/>
  </r>
  <r>
    <d v="2024-01-14T00:00:00"/>
    <x v="0"/>
    <x v="0"/>
    <x v="1"/>
    <x v="95"/>
    <x v="4"/>
    <x v="4"/>
    <x v="73"/>
    <x v="0"/>
    <x v="15"/>
    <x v="9"/>
    <x v="6"/>
    <n v="155.74"/>
  </r>
  <r>
    <d v="2024-01-14T00:00:00"/>
    <x v="0"/>
    <x v="0"/>
    <x v="1"/>
    <x v="76"/>
    <x v="6"/>
    <x v="6"/>
    <x v="34"/>
    <x v="0"/>
    <x v="14"/>
    <x v="5"/>
    <x v="8"/>
    <n v="201.22"/>
  </r>
  <r>
    <d v="2024-01-14T00:00:00"/>
    <x v="0"/>
    <x v="0"/>
    <x v="1"/>
    <x v="17"/>
    <x v="3"/>
    <x v="3"/>
    <x v="57"/>
    <x v="0"/>
    <x v="16"/>
    <x v="3"/>
    <x v="1"/>
    <n v="425.47"/>
  </r>
  <r>
    <d v="2024-01-14T00:00:00"/>
    <x v="0"/>
    <x v="0"/>
    <x v="0"/>
    <x v="1"/>
    <x v="7"/>
    <x v="7"/>
    <x v="89"/>
    <x v="0"/>
    <x v="12"/>
    <x v="1"/>
    <x v="0"/>
    <n v="1111.06"/>
  </r>
  <r>
    <d v="2024-01-14T00:00:00"/>
    <x v="0"/>
    <x v="0"/>
    <x v="1"/>
    <x v="39"/>
    <x v="7"/>
    <x v="7"/>
    <x v="91"/>
    <x v="0"/>
    <x v="9"/>
    <x v="3"/>
    <x v="1"/>
    <n v="1188.68"/>
  </r>
  <r>
    <d v="2024-01-14T00:00:00"/>
    <x v="0"/>
    <x v="0"/>
    <x v="0"/>
    <x v="2"/>
    <x v="1"/>
    <x v="1"/>
    <x v="2"/>
    <x v="0"/>
    <x v="6"/>
    <x v="3"/>
    <x v="1"/>
    <n v="1685.24"/>
  </r>
  <r>
    <d v="2024-01-15T00:00:00"/>
    <x v="0"/>
    <x v="0"/>
    <x v="0"/>
    <x v="24"/>
    <x v="6"/>
    <x v="6"/>
    <x v="36"/>
    <x v="0"/>
    <x v="14"/>
    <x v="4"/>
    <x v="7"/>
    <n v="31.68"/>
  </r>
  <r>
    <d v="2024-01-15T00:00:00"/>
    <x v="0"/>
    <x v="0"/>
    <x v="1"/>
    <x v="52"/>
    <x v="1"/>
    <x v="1"/>
    <x v="11"/>
    <x v="0"/>
    <x v="10"/>
    <x v="8"/>
    <x v="5"/>
    <n v="44.91"/>
  </r>
  <r>
    <d v="2024-01-15T00:00:00"/>
    <x v="0"/>
    <x v="0"/>
    <x v="0"/>
    <x v="45"/>
    <x v="3"/>
    <x v="3"/>
    <x v="64"/>
    <x v="0"/>
    <x v="1"/>
    <x v="9"/>
    <x v="6"/>
    <n v="79.98"/>
  </r>
  <r>
    <d v="2024-01-15T00:00:00"/>
    <x v="0"/>
    <x v="0"/>
    <x v="1"/>
    <x v="42"/>
    <x v="3"/>
    <x v="3"/>
    <x v="63"/>
    <x v="0"/>
    <x v="17"/>
    <x v="1"/>
    <x v="0"/>
    <n v="96.53"/>
  </r>
  <r>
    <d v="2024-01-15T00:00:00"/>
    <x v="0"/>
    <x v="0"/>
    <x v="0"/>
    <x v="61"/>
    <x v="7"/>
    <x v="7"/>
    <x v="84"/>
    <x v="0"/>
    <x v="20"/>
    <x v="9"/>
    <x v="6"/>
    <n v="118.8"/>
  </r>
  <r>
    <d v="2024-01-15T00:00:00"/>
    <x v="0"/>
    <x v="0"/>
    <x v="1"/>
    <x v="39"/>
    <x v="7"/>
    <x v="7"/>
    <x v="91"/>
    <x v="0"/>
    <x v="9"/>
    <x v="9"/>
    <x v="6"/>
    <n v="119.36"/>
  </r>
  <r>
    <d v="2024-01-15T00:00:00"/>
    <x v="0"/>
    <x v="0"/>
    <x v="1"/>
    <x v="90"/>
    <x v="3"/>
    <x v="3"/>
    <x v="55"/>
    <x v="0"/>
    <x v="19"/>
    <x v="4"/>
    <x v="7"/>
    <n v="2104.53"/>
  </r>
  <r>
    <d v="2024-01-16T00:00:00"/>
    <x v="0"/>
    <x v="0"/>
    <x v="0"/>
    <x v="53"/>
    <x v="1"/>
    <x v="1"/>
    <x v="16"/>
    <x v="0"/>
    <x v="4"/>
    <x v="1"/>
    <x v="0"/>
    <n v="10.8"/>
  </r>
  <r>
    <d v="2024-01-16T00:00:00"/>
    <x v="0"/>
    <x v="0"/>
    <x v="0"/>
    <x v="56"/>
    <x v="7"/>
    <x v="7"/>
    <x v="86"/>
    <x v="0"/>
    <x v="12"/>
    <x v="2"/>
    <x v="2"/>
    <n v="104.93"/>
  </r>
  <r>
    <d v="2024-01-16T00:00:00"/>
    <x v="0"/>
    <x v="0"/>
    <x v="0"/>
    <x v="32"/>
    <x v="1"/>
    <x v="1"/>
    <x v="28"/>
    <x v="0"/>
    <x v="8"/>
    <x v="6"/>
    <x v="4"/>
    <n v="184.24"/>
  </r>
  <r>
    <d v="2024-01-16T00:00:00"/>
    <x v="0"/>
    <x v="0"/>
    <x v="0"/>
    <x v="32"/>
    <x v="1"/>
    <x v="1"/>
    <x v="28"/>
    <x v="0"/>
    <x v="8"/>
    <x v="7"/>
    <x v="3"/>
    <n v="184.62"/>
  </r>
  <r>
    <d v="2024-01-16T00:00:00"/>
    <x v="0"/>
    <x v="0"/>
    <x v="1"/>
    <x v="20"/>
    <x v="3"/>
    <x v="3"/>
    <x v="71"/>
    <x v="0"/>
    <x v="3"/>
    <x v="4"/>
    <x v="7"/>
    <n v="202.28"/>
  </r>
  <r>
    <d v="2024-01-17T00:00:00"/>
    <x v="0"/>
    <x v="0"/>
    <x v="0"/>
    <x v="9"/>
    <x v="7"/>
    <x v="7"/>
    <x v="82"/>
    <x v="0"/>
    <x v="20"/>
    <x v="1"/>
    <x v="0"/>
    <n v="35.97"/>
  </r>
  <r>
    <d v="2024-01-17T00:00:00"/>
    <x v="0"/>
    <x v="0"/>
    <x v="1"/>
    <x v="26"/>
    <x v="7"/>
    <x v="7"/>
    <x v="81"/>
    <x v="0"/>
    <x v="20"/>
    <x v="6"/>
    <x v="4"/>
    <n v="127.28"/>
  </r>
  <r>
    <d v="2024-01-17T00:00:00"/>
    <x v="0"/>
    <x v="0"/>
    <x v="1"/>
    <x v="37"/>
    <x v="6"/>
    <x v="6"/>
    <x v="39"/>
    <x v="0"/>
    <x v="14"/>
    <x v="1"/>
    <x v="0"/>
    <n v="726.38"/>
  </r>
  <r>
    <d v="2024-01-18T00:00:00"/>
    <x v="0"/>
    <x v="0"/>
    <x v="1"/>
    <x v="86"/>
    <x v="1"/>
    <x v="1"/>
    <x v="9"/>
    <x v="0"/>
    <x v="10"/>
    <x v="1"/>
    <x v="0"/>
    <n v="3.0"/>
  </r>
  <r>
    <d v="2024-01-18T00:00:00"/>
    <x v="0"/>
    <x v="0"/>
    <x v="0"/>
    <x v="69"/>
    <x v="1"/>
    <x v="1"/>
    <x v="19"/>
    <x v="0"/>
    <x v="5"/>
    <x v="0"/>
    <x v="9"/>
    <n v="10.0"/>
  </r>
  <r>
    <d v="2024-01-18T00:00:00"/>
    <x v="0"/>
    <x v="0"/>
    <x v="1"/>
    <x v="32"/>
    <x v="1"/>
    <x v="1"/>
    <x v="28"/>
    <x v="0"/>
    <x v="8"/>
    <x v="0"/>
    <x v="9"/>
    <n v="13.0"/>
  </r>
  <r>
    <d v="2024-01-18T00:00:00"/>
    <x v="0"/>
    <x v="0"/>
    <x v="1"/>
    <x v="7"/>
    <x v="1"/>
    <x v="1"/>
    <x v="10"/>
    <x v="0"/>
    <x v="10"/>
    <x v="2"/>
    <x v="2"/>
    <n v="142.89"/>
  </r>
  <r>
    <d v="2024-01-18T00:00:00"/>
    <x v="0"/>
    <x v="0"/>
    <x v="1"/>
    <x v="16"/>
    <x v="7"/>
    <x v="7"/>
    <x v="92"/>
    <x v="0"/>
    <x v="9"/>
    <x v="3"/>
    <x v="1"/>
    <n v="220.83"/>
  </r>
  <r>
    <d v="2024-01-18T00:00:00"/>
    <x v="0"/>
    <x v="0"/>
    <x v="1"/>
    <x v="37"/>
    <x v="6"/>
    <x v="6"/>
    <x v="39"/>
    <x v="0"/>
    <x v="14"/>
    <x v="5"/>
    <x v="8"/>
    <n v="1131.73"/>
  </r>
  <r>
    <d v="2024-01-18T00:00:00"/>
    <x v="0"/>
    <x v="0"/>
    <x v="1"/>
    <x v="37"/>
    <x v="6"/>
    <x v="6"/>
    <x v="39"/>
    <x v="0"/>
    <x v="14"/>
    <x v="7"/>
    <x v="3"/>
    <n v="2690.33"/>
  </r>
  <r>
    <d v="2024-01-18T00:00:00"/>
    <x v="0"/>
    <x v="0"/>
    <x v="1"/>
    <x v="90"/>
    <x v="3"/>
    <x v="3"/>
    <x v="55"/>
    <x v="0"/>
    <x v="19"/>
    <x v="6"/>
    <x v="4"/>
    <n v="6393.69"/>
  </r>
  <r>
    <d v="2024-01-19T00:00:00"/>
    <x v="0"/>
    <x v="0"/>
    <x v="1"/>
    <x v="93"/>
    <x v="6"/>
    <x v="6"/>
    <x v="30"/>
    <x v="0"/>
    <x v="2"/>
    <x v="1"/>
    <x v="0"/>
    <n v="4.5"/>
  </r>
  <r>
    <d v="2024-01-19T00:00:00"/>
    <x v="0"/>
    <x v="0"/>
    <x v="1"/>
    <x v="27"/>
    <x v="6"/>
    <x v="6"/>
    <x v="31"/>
    <x v="0"/>
    <x v="2"/>
    <x v="0"/>
    <x v="9"/>
    <n v="27.0"/>
  </r>
  <r>
    <d v="2024-01-19T00:00:00"/>
    <x v="0"/>
    <x v="0"/>
    <x v="1"/>
    <x v="59"/>
    <x v="1"/>
    <x v="1"/>
    <x v="3"/>
    <x v="0"/>
    <x v="6"/>
    <x v="5"/>
    <x v="8"/>
    <n v="393.64"/>
  </r>
  <r>
    <d v="2024-01-19T00:00:00"/>
    <x v="0"/>
    <x v="0"/>
    <x v="1"/>
    <x v="77"/>
    <x v="3"/>
    <x v="3"/>
    <x v="66"/>
    <x v="0"/>
    <x v="1"/>
    <x v="9"/>
    <x v="6"/>
    <n v="827.26"/>
  </r>
  <r>
    <d v="2024-01-19T00:00:00"/>
    <x v="0"/>
    <x v="0"/>
    <x v="0"/>
    <x v="7"/>
    <x v="1"/>
    <x v="1"/>
    <x v="10"/>
    <x v="0"/>
    <x v="10"/>
    <x v="6"/>
    <x v="4"/>
    <n v="1198.2"/>
  </r>
  <r>
    <d v="2024-01-19T00:00:00"/>
    <x v="0"/>
    <x v="0"/>
    <x v="0"/>
    <x v="10"/>
    <x v="6"/>
    <x v="6"/>
    <x v="41"/>
    <x v="0"/>
    <x v="7"/>
    <x v="2"/>
    <x v="2"/>
    <n v="2043.55"/>
  </r>
  <r>
    <d v="2024-01-19T00:00:00"/>
    <x v="0"/>
    <x v="0"/>
    <x v="1"/>
    <x v="75"/>
    <x v="1"/>
    <x v="1"/>
    <x v="4"/>
    <x v="0"/>
    <x v="6"/>
    <x v="9"/>
    <x v="6"/>
    <n v="5722.39"/>
  </r>
  <r>
    <d v="2024-01-20T00:00:00"/>
    <x v="0"/>
    <x v="0"/>
    <x v="1"/>
    <x v="85"/>
    <x v="6"/>
    <x v="6"/>
    <x v="43"/>
    <x v="0"/>
    <x v="7"/>
    <x v="8"/>
    <x v="5"/>
    <n v="17.97"/>
  </r>
  <r>
    <d v="2024-01-20T00:00:00"/>
    <x v="0"/>
    <x v="0"/>
    <x v="1"/>
    <x v="22"/>
    <x v="1"/>
    <x v="1"/>
    <x v="20"/>
    <x v="0"/>
    <x v="5"/>
    <x v="2"/>
    <x v="2"/>
    <n v="22.25"/>
  </r>
  <r>
    <d v="2024-01-20T00:00:00"/>
    <x v="0"/>
    <x v="0"/>
    <x v="1"/>
    <x v="13"/>
    <x v="0"/>
    <x v="0"/>
    <x v="22"/>
    <x v="0"/>
    <x v="5"/>
    <x v="5"/>
    <x v="8"/>
    <n v="1340.78"/>
  </r>
  <r>
    <d v="2024-01-20T00:00:00"/>
    <x v="0"/>
    <x v="0"/>
    <x v="1"/>
    <x v="60"/>
    <x v="6"/>
    <x v="6"/>
    <x v="44"/>
    <x v="0"/>
    <x v="7"/>
    <x v="2"/>
    <x v="2"/>
    <n v="1927.96"/>
  </r>
  <r>
    <d v="2024-01-20T00:00:00"/>
    <x v="0"/>
    <x v="0"/>
    <x v="1"/>
    <x v="10"/>
    <x v="6"/>
    <x v="6"/>
    <x v="41"/>
    <x v="0"/>
    <x v="7"/>
    <x v="6"/>
    <x v="4"/>
    <n v="8030.14"/>
  </r>
  <r>
    <d v="2024-01-21T00:00:00"/>
    <x v="0"/>
    <x v="0"/>
    <x v="1"/>
    <x v="81"/>
    <x v="4"/>
    <x v="4"/>
    <x v="77"/>
    <x v="0"/>
    <x v="15"/>
    <x v="5"/>
    <x v="8"/>
    <n v="7.99"/>
  </r>
  <r>
    <d v="2024-01-21T00:00:00"/>
    <x v="0"/>
    <x v="0"/>
    <x v="1"/>
    <x v="94"/>
    <x v="6"/>
    <x v="6"/>
    <x v="48"/>
    <x v="0"/>
    <x v="13"/>
    <x v="0"/>
    <x v="9"/>
    <n v="38.48"/>
  </r>
  <r>
    <d v="2024-01-21T00:00:00"/>
    <x v="0"/>
    <x v="0"/>
    <x v="0"/>
    <x v="70"/>
    <x v="6"/>
    <x v="6"/>
    <x v="33"/>
    <x v="0"/>
    <x v="14"/>
    <x v="5"/>
    <x v="8"/>
    <n v="44.97"/>
  </r>
  <r>
    <d v="2024-01-21T00:00:00"/>
    <x v="0"/>
    <x v="0"/>
    <x v="1"/>
    <x v="72"/>
    <x v="1"/>
    <x v="1"/>
    <x v="24"/>
    <x v="0"/>
    <x v="8"/>
    <x v="8"/>
    <x v="5"/>
    <n v="66.65"/>
  </r>
  <r>
    <d v="2024-01-21T00:00:00"/>
    <x v="0"/>
    <x v="0"/>
    <x v="1"/>
    <x v="58"/>
    <x v="3"/>
    <x v="3"/>
    <x v="61"/>
    <x v="0"/>
    <x v="17"/>
    <x v="6"/>
    <x v="4"/>
    <n v="87.78"/>
  </r>
  <r>
    <d v="2024-01-21T00:00:00"/>
    <x v="0"/>
    <x v="0"/>
    <x v="0"/>
    <x v="38"/>
    <x v="0"/>
    <x v="0"/>
    <x v="21"/>
    <x v="0"/>
    <x v="5"/>
    <x v="2"/>
    <x v="2"/>
    <n v="297.62"/>
  </r>
  <r>
    <d v="2024-01-21T00:00:00"/>
    <x v="0"/>
    <x v="0"/>
    <x v="1"/>
    <x v="2"/>
    <x v="1"/>
    <x v="1"/>
    <x v="2"/>
    <x v="0"/>
    <x v="6"/>
    <x v="2"/>
    <x v="2"/>
    <n v="435.29"/>
  </r>
  <r>
    <d v="2024-01-21T00:00:00"/>
    <x v="0"/>
    <x v="0"/>
    <x v="1"/>
    <x v="20"/>
    <x v="3"/>
    <x v="3"/>
    <x v="71"/>
    <x v="0"/>
    <x v="3"/>
    <x v="6"/>
    <x v="4"/>
    <n v="983.55"/>
  </r>
  <r>
    <d v="2024-01-22T00:00:00"/>
    <x v="0"/>
    <x v="0"/>
    <x v="1"/>
    <x v="59"/>
    <x v="1"/>
    <x v="1"/>
    <x v="3"/>
    <x v="0"/>
    <x v="6"/>
    <x v="8"/>
    <x v="5"/>
    <n v="3.99"/>
  </r>
  <r>
    <d v="2024-01-22T00:00:00"/>
    <x v="0"/>
    <x v="0"/>
    <x v="1"/>
    <x v="39"/>
    <x v="7"/>
    <x v="7"/>
    <x v="91"/>
    <x v="0"/>
    <x v="9"/>
    <x v="7"/>
    <x v="3"/>
    <n v="47.64"/>
  </r>
  <r>
    <d v="2024-01-22T00:00:00"/>
    <x v="0"/>
    <x v="0"/>
    <x v="1"/>
    <x v="21"/>
    <x v="3"/>
    <x v="3"/>
    <x v="60"/>
    <x v="0"/>
    <x v="17"/>
    <x v="6"/>
    <x v="4"/>
    <n v="74.88"/>
  </r>
  <r>
    <d v="2024-01-22T00:00:00"/>
    <x v="0"/>
    <x v="0"/>
    <x v="1"/>
    <x v="30"/>
    <x v="6"/>
    <x v="6"/>
    <x v="37"/>
    <x v="0"/>
    <x v="14"/>
    <x v="6"/>
    <x v="4"/>
    <n v="88.92"/>
  </r>
  <r>
    <d v="2024-01-22T00:00:00"/>
    <x v="0"/>
    <x v="0"/>
    <x v="1"/>
    <x v="38"/>
    <x v="0"/>
    <x v="0"/>
    <x v="21"/>
    <x v="0"/>
    <x v="5"/>
    <x v="0"/>
    <x v="9"/>
    <n v="332.75"/>
  </r>
  <r>
    <d v="2024-01-23T00:00:00"/>
    <x v="0"/>
    <x v="0"/>
    <x v="0"/>
    <x v="85"/>
    <x v="6"/>
    <x v="6"/>
    <x v="43"/>
    <x v="0"/>
    <x v="7"/>
    <x v="5"/>
    <x v="8"/>
    <n v="122.63"/>
  </r>
  <r>
    <d v="2024-01-23T00:00:00"/>
    <x v="0"/>
    <x v="0"/>
    <x v="0"/>
    <x v="46"/>
    <x v="6"/>
    <x v="6"/>
    <x v="42"/>
    <x v="0"/>
    <x v="7"/>
    <x v="1"/>
    <x v="0"/>
    <n v="147.89"/>
  </r>
  <r>
    <d v="2024-01-23T00:00:00"/>
    <x v="0"/>
    <x v="0"/>
    <x v="1"/>
    <x v="53"/>
    <x v="1"/>
    <x v="1"/>
    <x v="16"/>
    <x v="0"/>
    <x v="4"/>
    <x v="1"/>
    <x v="0"/>
    <n v="428.18"/>
  </r>
  <r>
    <d v="2024-01-24T00:00:00"/>
    <x v="0"/>
    <x v="0"/>
    <x v="1"/>
    <x v="64"/>
    <x v="3"/>
    <x v="3"/>
    <x v="70"/>
    <x v="0"/>
    <x v="3"/>
    <x v="4"/>
    <x v="7"/>
    <n v="3.0"/>
  </r>
  <r>
    <d v="2024-01-24T00:00:00"/>
    <x v="0"/>
    <x v="0"/>
    <x v="1"/>
    <x v="65"/>
    <x v="1"/>
    <x v="1"/>
    <x v="7"/>
    <x v="0"/>
    <x v="10"/>
    <x v="1"/>
    <x v="0"/>
    <n v="16.5"/>
  </r>
  <r>
    <d v="2024-01-24T00:00:00"/>
    <x v="0"/>
    <x v="0"/>
    <x v="1"/>
    <x v="10"/>
    <x v="6"/>
    <x v="6"/>
    <x v="41"/>
    <x v="0"/>
    <x v="7"/>
    <x v="5"/>
    <x v="8"/>
    <n v="38.13"/>
  </r>
  <r>
    <d v="2024-01-24T00:00:00"/>
    <x v="0"/>
    <x v="0"/>
    <x v="0"/>
    <x v="30"/>
    <x v="6"/>
    <x v="6"/>
    <x v="37"/>
    <x v="0"/>
    <x v="14"/>
    <x v="4"/>
    <x v="7"/>
    <n v="81.81"/>
  </r>
  <r>
    <d v="2024-01-24T00:00:00"/>
    <x v="0"/>
    <x v="0"/>
    <x v="1"/>
    <x v="79"/>
    <x v="1"/>
    <x v="1"/>
    <x v="8"/>
    <x v="0"/>
    <x v="10"/>
    <x v="3"/>
    <x v="1"/>
    <n v="181.11"/>
  </r>
  <r>
    <d v="2024-01-24T00:00:00"/>
    <x v="0"/>
    <x v="0"/>
    <x v="0"/>
    <x v="17"/>
    <x v="3"/>
    <x v="3"/>
    <x v="57"/>
    <x v="0"/>
    <x v="16"/>
    <x v="4"/>
    <x v="7"/>
    <n v="238.1"/>
  </r>
  <r>
    <d v="2024-01-25T00:00:00"/>
    <x v="0"/>
    <x v="0"/>
    <x v="1"/>
    <x v="65"/>
    <x v="1"/>
    <x v="1"/>
    <x v="7"/>
    <x v="0"/>
    <x v="10"/>
    <x v="8"/>
    <x v="5"/>
    <n v="2.45"/>
  </r>
  <r>
    <d v="2024-01-25T00:00:00"/>
    <x v="0"/>
    <x v="0"/>
    <x v="0"/>
    <x v="91"/>
    <x v="1"/>
    <x v="1"/>
    <x v="23"/>
    <x v="0"/>
    <x v="8"/>
    <x v="1"/>
    <x v="0"/>
    <n v="3.5"/>
  </r>
  <r>
    <d v="2024-01-25T00:00:00"/>
    <x v="0"/>
    <x v="0"/>
    <x v="1"/>
    <x v="60"/>
    <x v="6"/>
    <x v="6"/>
    <x v="44"/>
    <x v="0"/>
    <x v="7"/>
    <x v="0"/>
    <x v="9"/>
    <n v="35.88"/>
  </r>
  <r>
    <d v="2024-01-25T00:00:00"/>
    <x v="0"/>
    <x v="0"/>
    <x v="1"/>
    <x v="19"/>
    <x v="7"/>
    <x v="7"/>
    <x v="88"/>
    <x v="0"/>
    <x v="12"/>
    <x v="4"/>
    <x v="7"/>
    <n v="54.13"/>
  </r>
  <r>
    <d v="2024-01-25T00:00:00"/>
    <x v="0"/>
    <x v="0"/>
    <x v="1"/>
    <x v="26"/>
    <x v="7"/>
    <x v="7"/>
    <x v="81"/>
    <x v="0"/>
    <x v="20"/>
    <x v="3"/>
    <x v="1"/>
    <n v="83.93"/>
  </r>
  <r>
    <d v="2024-01-25T00:00:00"/>
    <x v="0"/>
    <x v="0"/>
    <x v="0"/>
    <x v="39"/>
    <x v="7"/>
    <x v="7"/>
    <x v="91"/>
    <x v="0"/>
    <x v="9"/>
    <x v="3"/>
    <x v="1"/>
    <n v="485.51"/>
  </r>
  <r>
    <d v="2024-01-25T00:00:00"/>
    <x v="0"/>
    <x v="0"/>
    <x v="1"/>
    <x v="77"/>
    <x v="3"/>
    <x v="3"/>
    <x v="66"/>
    <x v="0"/>
    <x v="1"/>
    <x v="2"/>
    <x v="2"/>
    <n v="912.27"/>
  </r>
  <r>
    <d v="2024-01-25T00:00:00"/>
    <x v="0"/>
    <x v="0"/>
    <x v="1"/>
    <x v="19"/>
    <x v="7"/>
    <x v="7"/>
    <x v="88"/>
    <x v="0"/>
    <x v="12"/>
    <x v="9"/>
    <x v="6"/>
    <n v="3893.05"/>
  </r>
  <r>
    <d v="2024-01-26T00:00:00"/>
    <x v="0"/>
    <x v="0"/>
    <x v="1"/>
    <x v="59"/>
    <x v="1"/>
    <x v="1"/>
    <x v="3"/>
    <x v="0"/>
    <x v="6"/>
    <x v="4"/>
    <x v="7"/>
    <n v="1.0"/>
  </r>
  <r>
    <d v="2024-01-26T00:00:00"/>
    <x v="0"/>
    <x v="0"/>
    <x v="1"/>
    <x v="0"/>
    <x v="3"/>
    <x v="3"/>
    <x v="69"/>
    <x v="0"/>
    <x v="3"/>
    <x v="3"/>
    <x v="1"/>
    <n v="2.0"/>
  </r>
  <r>
    <d v="2024-01-26T00:00:00"/>
    <x v="0"/>
    <x v="0"/>
    <x v="1"/>
    <x v="76"/>
    <x v="6"/>
    <x v="6"/>
    <x v="34"/>
    <x v="0"/>
    <x v="14"/>
    <x v="1"/>
    <x v="0"/>
    <n v="3.0"/>
  </r>
  <r>
    <d v="2024-01-26T00:00:00"/>
    <x v="0"/>
    <x v="0"/>
    <x v="0"/>
    <x v="55"/>
    <x v="3"/>
    <x v="3"/>
    <x v="68"/>
    <x v="0"/>
    <x v="1"/>
    <x v="0"/>
    <x v="9"/>
    <n v="59.9"/>
  </r>
  <r>
    <d v="2024-01-26T00:00:00"/>
    <x v="0"/>
    <x v="0"/>
    <x v="0"/>
    <x v="20"/>
    <x v="3"/>
    <x v="3"/>
    <x v="71"/>
    <x v="0"/>
    <x v="3"/>
    <x v="8"/>
    <x v="5"/>
    <n v="79.62"/>
  </r>
  <r>
    <d v="2024-01-26T00:00:00"/>
    <x v="0"/>
    <x v="0"/>
    <x v="1"/>
    <x v="25"/>
    <x v="1"/>
    <x v="1"/>
    <x v="6"/>
    <x v="0"/>
    <x v="6"/>
    <x v="7"/>
    <x v="3"/>
    <n v="595.94"/>
  </r>
  <r>
    <d v="2024-01-26T00:00:00"/>
    <x v="0"/>
    <x v="0"/>
    <x v="1"/>
    <x v="27"/>
    <x v="6"/>
    <x v="6"/>
    <x v="31"/>
    <x v="0"/>
    <x v="2"/>
    <x v="7"/>
    <x v="3"/>
    <n v="1474.3"/>
  </r>
  <r>
    <d v="2024-01-26T00:00:00"/>
    <x v="0"/>
    <x v="0"/>
    <x v="1"/>
    <x v="18"/>
    <x v="5"/>
    <x v="5"/>
    <x v="96"/>
    <x v="0"/>
    <x v="18"/>
    <x v="2"/>
    <x v="2"/>
    <n v="1765.48"/>
  </r>
  <r>
    <d v="2024-01-27T00:00:00"/>
    <x v="0"/>
    <x v="0"/>
    <x v="0"/>
    <x v="24"/>
    <x v="6"/>
    <x v="6"/>
    <x v="36"/>
    <x v="0"/>
    <x v="14"/>
    <x v="8"/>
    <x v="5"/>
    <n v="47.84"/>
  </r>
  <r>
    <d v="2024-01-27T00:00:00"/>
    <x v="0"/>
    <x v="0"/>
    <x v="1"/>
    <x v="89"/>
    <x v="1"/>
    <x v="1"/>
    <x v="18"/>
    <x v="0"/>
    <x v="5"/>
    <x v="2"/>
    <x v="2"/>
    <n v="51.96"/>
  </r>
  <r>
    <d v="2024-01-27T00:00:00"/>
    <x v="0"/>
    <x v="0"/>
    <x v="1"/>
    <x v="59"/>
    <x v="1"/>
    <x v="1"/>
    <x v="3"/>
    <x v="0"/>
    <x v="6"/>
    <x v="2"/>
    <x v="2"/>
    <n v="64.95"/>
  </r>
  <r>
    <d v="2024-01-27T00:00:00"/>
    <x v="0"/>
    <x v="0"/>
    <x v="1"/>
    <x v="29"/>
    <x v="6"/>
    <x v="6"/>
    <x v="35"/>
    <x v="0"/>
    <x v="14"/>
    <x v="1"/>
    <x v="0"/>
    <n v="74.95"/>
  </r>
  <r>
    <d v="2024-01-27T00:00:00"/>
    <x v="0"/>
    <x v="0"/>
    <x v="0"/>
    <x v="88"/>
    <x v="1"/>
    <x v="1"/>
    <x v="17"/>
    <x v="0"/>
    <x v="4"/>
    <x v="6"/>
    <x v="4"/>
    <n v="108.78"/>
  </r>
  <r>
    <d v="2024-01-27T00:00:00"/>
    <x v="0"/>
    <x v="0"/>
    <x v="1"/>
    <x v="47"/>
    <x v="3"/>
    <x v="3"/>
    <x v="54"/>
    <x v="0"/>
    <x v="19"/>
    <x v="6"/>
    <x v="4"/>
    <n v="286.38"/>
  </r>
  <r>
    <d v="2024-01-27T00:00:00"/>
    <x v="0"/>
    <x v="0"/>
    <x v="1"/>
    <x v="56"/>
    <x v="7"/>
    <x v="7"/>
    <x v="86"/>
    <x v="0"/>
    <x v="12"/>
    <x v="5"/>
    <x v="8"/>
    <n v="361.15"/>
  </r>
  <r>
    <d v="2024-01-28T00:00:00"/>
    <x v="0"/>
    <x v="0"/>
    <x v="0"/>
    <x v="61"/>
    <x v="7"/>
    <x v="7"/>
    <x v="84"/>
    <x v="0"/>
    <x v="20"/>
    <x v="5"/>
    <x v="8"/>
    <n v="29.97"/>
  </r>
  <r>
    <d v="2024-01-28T00:00:00"/>
    <x v="0"/>
    <x v="0"/>
    <x v="0"/>
    <x v="84"/>
    <x v="3"/>
    <x v="3"/>
    <x v="53"/>
    <x v="0"/>
    <x v="19"/>
    <x v="4"/>
    <x v="7"/>
    <n v="44.84"/>
  </r>
  <r>
    <d v="2024-01-28T00:00:00"/>
    <x v="0"/>
    <x v="0"/>
    <x v="0"/>
    <x v="55"/>
    <x v="3"/>
    <x v="3"/>
    <x v="68"/>
    <x v="0"/>
    <x v="1"/>
    <x v="0"/>
    <x v="9"/>
    <n v="52.92"/>
  </r>
  <r>
    <d v="2024-01-28T00:00:00"/>
    <x v="0"/>
    <x v="0"/>
    <x v="1"/>
    <x v="30"/>
    <x v="6"/>
    <x v="6"/>
    <x v="37"/>
    <x v="0"/>
    <x v="14"/>
    <x v="3"/>
    <x v="1"/>
    <n v="59.97"/>
  </r>
  <r>
    <d v="2024-01-28T00:00:00"/>
    <x v="0"/>
    <x v="0"/>
    <x v="0"/>
    <x v="51"/>
    <x v="5"/>
    <x v="5"/>
    <x v="95"/>
    <x v="0"/>
    <x v="18"/>
    <x v="3"/>
    <x v="1"/>
    <n v="67.83"/>
  </r>
  <r>
    <d v="2024-01-28T00:00:00"/>
    <x v="0"/>
    <x v="0"/>
    <x v="1"/>
    <x v="61"/>
    <x v="7"/>
    <x v="7"/>
    <x v="84"/>
    <x v="0"/>
    <x v="20"/>
    <x v="2"/>
    <x v="2"/>
    <n v="415.52"/>
  </r>
  <r>
    <d v="2024-01-28T00:00:00"/>
    <x v="0"/>
    <x v="0"/>
    <x v="1"/>
    <x v="79"/>
    <x v="1"/>
    <x v="1"/>
    <x v="8"/>
    <x v="0"/>
    <x v="10"/>
    <x v="0"/>
    <x v="9"/>
    <n v="469.28"/>
  </r>
  <r>
    <d v="2024-01-28T00:00:00"/>
    <x v="0"/>
    <x v="0"/>
    <x v="0"/>
    <x v="44"/>
    <x v="6"/>
    <x v="6"/>
    <x v="49"/>
    <x v="0"/>
    <x v="13"/>
    <x v="6"/>
    <x v="4"/>
    <n v="520.22"/>
  </r>
  <r>
    <d v="2024-01-28T00:00:00"/>
    <x v="0"/>
    <x v="0"/>
    <x v="1"/>
    <x v="59"/>
    <x v="1"/>
    <x v="1"/>
    <x v="3"/>
    <x v="0"/>
    <x v="6"/>
    <x v="1"/>
    <x v="0"/>
    <n v="1425.63"/>
  </r>
  <r>
    <d v="2024-01-29T00:00:00"/>
    <x v="0"/>
    <x v="0"/>
    <x v="1"/>
    <x v="73"/>
    <x v="4"/>
    <x v="4"/>
    <x v="80"/>
    <x v="0"/>
    <x v="0"/>
    <x v="3"/>
    <x v="1"/>
    <n v="213.75"/>
  </r>
  <r>
    <d v="2024-01-30T00:00:00"/>
    <x v="0"/>
    <x v="0"/>
    <x v="1"/>
    <x v="40"/>
    <x v="3"/>
    <x v="3"/>
    <x v="65"/>
    <x v="0"/>
    <x v="1"/>
    <x v="1"/>
    <x v="0"/>
    <n v="27.5"/>
  </r>
  <r>
    <d v="2024-01-30T00:00:00"/>
    <x v="0"/>
    <x v="0"/>
    <x v="1"/>
    <x v="21"/>
    <x v="3"/>
    <x v="3"/>
    <x v="60"/>
    <x v="0"/>
    <x v="17"/>
    <x v="1"/>
    <x v="0"/>
    <n v="51.0"/>
  </r>
  <r>
    <d v="2024-01-31T00:00:00"/>
    <x v="0"/>
    <x v="0"/>
    <x v="1"/>
    <x v="77"/>
    <x v="3"/>
    <x v="3"/>
    <x v="66"/>
    <x v="0"/>
    <x v="1"/>
    <x v="5"/>
    <x v="8"/>
    <n v="24.49"/>
  </r>
  <r>
    <d v="2024-01-31T00:00:00"/>
    <x v="0"/>
    <x v="0"/>
    <x v="1"/>
    <x v="7"/>
    <x v="1"/>
    <x v="1"/>
    <x v="10"/>
    <x v="0"/>
    <x v="10"/>
    <x v="1"/>
    <x v="0"/>
    <n v="36.0"/>
  </r>
  <r>
    <d v="2024-01-31T00:00:00"/>
    <x v="0"/>
    <x v="0"/>
    <x v="1"/>
    <x v="86"/>
    <x v="1"/>
    <x v="1"/>
    <x v="9"/>
    <x v="0"/>
    <x v="10"/>
    <x v="0"/>
    <x v="9"/>
    <n v="102.43"/>
  </r>
  <r>
    <d v="2024-01-31T00:00:00"/>
    <x v="0"/>
    <x v="0"/>
    <x v="1"/>
    <x v="76"/>
    <x v="6"/>
    <x v="6"/>
    <x v="34"/>
    <x v="0"/>
    <x v="14"/>
    <x v="5"/>
    <x v="8"/>
    <n v="120.78"/>
  </r>
  <r>
    <d v="2024-01-31T00:00:00"/>
    <x v="0"/>
    <x v="0"/>
    <x v="0"/>
    <x v="20"/>
    <x v="3"/>
    <x v="3"/>
    <x v="71"/>
    <x v="0"/>
    <x v="3"/>
    <x v="1"/>
    <x v="0"/>
    <n v="165.22"/>
  </r>
  <r>
    <d v="2024-01-31T00:00:00"/>
    <x v="0"/>
    <x v="0"/>
    <x v="0"/>
    <x v="54"/>
    <x v="1"/>
    <x v="1"/>
    <x v="25"/>
    <x v="0"/>
    <x v="8"/>
    <x v="8"/>
    <x v="5"/>
    <n v="234.14"/>
  </r>
  <r>
    <d v="2024-01-31T00:00:00"/>
    <x v="0"/>
    <x v="0"/>
    <x v="0"/>
    <x v="54"/>
    <x v="1"/>
    <x v="1"/>
    <x v="25"/>
    <x v="0"/>
    <x v="8"/>
    <x v="9"/>
    <x v="6"/>
    <n v="452.57"/>
  </r>
  <r>
    <d v="2024-01-31T00:00:00"/>
    <x v="0"/>
    <x v="0"/>
    <x v="0"/>
    <x v="0"/>
    <x v="3"/>
    <x v="3"/>
    <x v="69"/>
    <x v="0"/>
    <x v="3"/>
    <x v="9"/>
    <x v="6"/>
    <n v="457.41"/>
  </r>
  <r>
    <d v="2024-01-31T00:00:00"/>
    <x v="0"/>
    <x v="0"/>
    <x v="1"/>
    <x v="32"/>
    <x v="1"/>
    <x v="1"/>
    <x v="28"/>
    <x v="0"/>
    <x v="8"/>
    <x v="8"/>
    <x v="5"/>
    <n v="855.37"/>
  </r>
  <r>
    <d v="2024-01-31T00:00:00"/>
    <x v="0"/>
    <x v="0"/>
    <x v="1"/>
    <x v="37"/>
    <x v="6"/>
    <x v="6"/>
    <x v="39"/>
    <x v="0"/>
    <x v="14"/>
    <x v="0"/>
    <x v="9"/>
    <n v="1014.33"/>
  </r>
  <r>
    <d v="2024-01-31T00:00:00"/>
    <x v="0"/>
    <x v="0"/>
    <x v="0"/>
    <x v="54"/>
    <x v="1"/>
    <x v="1"/>
    <x v="25"/>
    <x v="0"/>
    <x v="8"/>
    <x v="3"/>
    <x v="1"/>
    <n v="1028.55"/>
  </r>
  <r>
    <d v="2024-01-31T00:00:00"/>
    <x v="0"/>
    <x v="0"/>
    <x v="1"/>
    <x v="70"/>
    <x v="6"/>
    <x v="6"/>
    <x v="33"/>
    <x v="0"/>
    <x v="14"/>
    <x v="6"/>
    <x v="4"/>
    <n v="1107.77"/>
  </r>
  <r>
    <d v="2024-01-31T00:00:00"/>
    <x v="0"/>
    <x v="0"/>
    <x v="1"/>
    <x v="23"/>
    <x v="1"/>
    <x v="1"/>
    <x v="12"/>
    <x v="0"/>
    <x v="10"/>
    <x v="3"/>
    <x v="1"/>
    <n v="1316.56"/>
  </r>
  <r>
    <d v="2024-01-31T00:00:00"/>
    <x v="0"/>
    <x v="0"/>
    <x v="1"/>
    <x v="25"/>
    <x v="1"/>
    <x v="1"/>
    <x v="6"/>
    <x v="0"/>
    <x v="6"/>
    <x v="3"/>
    <x v="1"/>
    <n v="1473.64"/>
  </r>
  <r>
    <d v="2024-01-31T00:00:00"/>
    <x v="0"/>
    <x v="0"/>
    <x v="0"/>
    <x v="58"/>
    <x v="3"/>
    <x v="3"/>
    <x v="61"/>
    <x v="0"/>
    <x v="17"/>
    <x v="2"/>
    <x v="2"/>
    <n v="1678.24"/>
  </r>
  <r>
    <d v="2024-01-31T00:00:00"/>
    <x v="0"/>
    <x v="0"/>
    <x v="1"/>
    <x v="25"/>
    <x v="1"/>
    <x v="1"/>
    <x v="6"/>
    <x v="0"/>
    <x v="6"/>
    <x v="9"/>
    <x v="6"/>
    <n v="1741.8"/>
  </r>
  <r>
    <d v="2024-01-31T00:00:00"/>
    <x v="0"/>
    <x v="0"/>
    <x v="1"/>
    <x v="75"/>
    <x v="1"/>
    <x v="1"/>
    <x v="4"/>
    <x v="0"/>
    <x v="6"/>
    <x v="9"/>
    <x v="6"/>
    <n v="4783.68"/>
  </r>
  <r>
    <d v="2024-01-31T00:00:00"/>
    <x v="0"/>
    <x v="0"/>
    <x v="1"/>
    <x v="37"/>
    <x v="6"/>
    <x v="6"/>
    <x v="39"/>
    <x v="0"/>
    <x v="14"/>
    <x v="5"/>
    <x v="8"/>
    <n v="7284.18"/>
  </r>
  <r>
    <d v="2024-02-01T00:00:00"/>
    <x v="0"/>
    <x v="1"/>
    <x v="1"/>
    <x v="31"/>
    <x v="2"/>
    <x v="2"/>
    <x v="0"/>
    <x v="0"/>
    <x v="11"/>
    <x v="8"/>
    <x v="5"/>
    <n v="33.41"/>
  </r>
  <r>
    <d v="2024-02-01T00:00:00"/>
    <x v="0"/>
    <x v="1"/>
    <x v="1"/>
    <x v="50"/>
    <x v="7"/>
    <x v="7"/>
    <x v="83"/>
    <x v="0"/>
    <x v="20"/>
    <x v="3"/>
    <x v="1"/>
    <n v="55.92"/>
  </r>
  <r>
    <d v="2024-02-01T00:00:00"/>
    <x v="0"/>
    <x v="1"/>
    <x v="1"/>
    <x v="92"/>
    <x v="6"/>
    <x v="6"/>
    <x v="40"/>
    <x v="0"/>
    <x v="7"/>
    <x v="3"/>
    <x v="1"/>
    <n v="72.84"/>
  </r>
  <r>
    <d v="2024-02-01T00:00:00"/>
    <x v="0"/>
    <x v="1"/>
    <x v="1"/>
    <x v="47"/>
    <x v="3"/>
    <x v="3"/>
    <x v="54"/>
    <x v="0"/>
    <x v="19"/>
    <x v="0"/>
    <x v="9"/>
    <n v="439.62"/>
  </r>
  <r>
    <d v="2024-02-01T00:00:00"/>
    <x v="0"/>
    <x v="1"/>
    <x v="1"/>
    <x v="56"/>
    <x v="7"/>
    <x v="7"/>
    <x v="86"/>
    <x v="0"/>
    <x v="12"/>
    <x v="6"/>
    <x v="4"/>
    <n v="703.34"/>
  </r>
  <r>
    <d v="2024-02-01T00:00:00"/>
    <x v="0"/>
    <x v="1"/>
    <x v="1"/>
    <x v="59"/>
    <x v="1"/>
    <x v="1"/>
    <x v="3"/>
    <x v="0"/>
    <x v="6"/>
    <x v="4"/>
    <x v="7"/>
    <n v="2102.93"/>
  </r>
  <r>
    <d v="2024-02-02T00:00:00"/>
    <x v="0"/>
    <x v="1"/>
    <x v="0"/>
    <x v="63"/>
    <x v="4"/>
    <x v="4"/>
    <x v="78"/>
    <x v="0"/>
    <x v="0"/>
    <x v="8"/>
    <x v="5"/>
    <n v="3.99"/>
  </r>
  <r>
    <d v="2024-02-02T00:00:00"/>
    <x v="0"/>
    <x v="1"/>
    <x v="1"/>
    <x v="46"/>
    <x v="6"/>
    <x v="6"/>
    <x v="42"/>
    <x v="0"/>
    <x v="7"/>
    <x v="3"/>
    <x v="1"/>
    <n v="51.87"/>
  </r>
  <r>
    <d v="2024-02-02T00:00:00"/>
    <x v="0"/>
    <x v="1"/>
    <x v="1"/>
    <x v="23"/>
    <x v="1"/>
    <x v="1"/>
    <x v="12"/>
    <x v="0"/>
    <x v="10"/>
    <x v="4"/>
    <x v="7"/>
    <n v="3296.71"/>
  </r>
  <r>
    <d v="2024-02-03T00:00:00"/>
    <x v="0"/>
    <x v="1"/>
    <x v="1"/>
    <x v="2"/>
    <x v="1"/>
    <x v="1"/>
    <x v="2"/>
    <x v="0"/>
    <x v="6"/>
    <x v="0"/>
    <x v="9"/>
    <n v="3.99"/>
  </r>
  <r>
    <d v="2024-02-03T00:00:00"/>
    <x v="0"/>
    <x v="1"/>
    <x v="1"/>
    <x v="71"/>
    <x v="1"/>
    <x v="1"/>
    <x v="27"/>
    <x v="0"/>
    <x v="8"/>
    <x v="1"/>
    <x v="0"/>
    <n v="17.99"/>
  </r>
  <r>
    <d v="2024-02-03T00:00:00"/>
    <x v="0"/>
    <x v="1"/>
    <x v="1"/>
    <x v="33"/>
    <x v="1"/>
    <x v="1"/>
    <x v="13"/>
    <x v="0"/>
    <x v="10"/>
    <x v="8"/>
    <x v="5"/>
    <n v="23.92"/>
  </r>
  <r>
    <d v="2024-02-03T00:00:00"/>
    <x v="0"/>
    <x v="1"/>
    <x v="1"/>
    <x v="93"/>
    <x v="6"/>
    <x v="6"/>
    <x v="30"/>
    <x v="0"/>
    <x v="2"/>
    <x v="6"/>
    <x v="4"/>
    <n v="786.16"/>
  </r>
  <r>
    <d v="2024-02-03T00:00:00"/>
    <x v="0"/>
    <x v="1"/>
    <x v="1"/>
    <x v="22"/>
    <x v="1"/>
    <x v="1"/>
    <x v="20"/>
    <x v="0"/>
    <x v="5"/>
    <x v="6"/>
    <x v="4"/>
    <n v="12653.07"/>
  </r>
  <r>
    <d v="2024-02-04T00:00:00"/>
    <x v="0"/>
    <x v="1"/>
    <x v="0"/>
    <x v="90"/>
    <x v="3"/>
    <x v="3"/>
    <x v="55"/>
    <x v="0"/>
    <x v="19"/>
    <x v="6"/>
    <x v="4"/>
    <n v="14.97"/>
  </r>
  <r>
    <d v="2024-02-04T00:00:00"/>
    <x v="0"/>
    <x v="1"/>
    <x v="1"/>
    <x v="49"/>
    <x v="3"/>
    <x v="3"/>
    <x v="58"/>
    <x v="0"/>
    <x v="16"/>
    <x v="8"/>
    <x v="5"/>
    <n v="37.91"/>
  </r>
  <r>
    <d v="2024-02-04T00:00:00"/>
    <x v="0"/>
    <x v="1"/>
    <x v="1"/>
    <x v="94"/>
    <x v="6"/>
    <x v="6"/>
    <x v="48"/>
    <x v="0"/>
    <x v="13"/>
    <x v="5"/>
    <x v="8"/>
    <n v="49.97"/>
  </r>
  <r>
    <d v="2024-02-04T00:00:00"/>
    <x v="0"/>
    <x v="1"/>
    <x v="1"/>
    <x v="87"/>
    <x v="3"/>
    <x v="3"/>
    <x v="52"/>
    <x v="0"/>
    <x v="19"/>
    <x v="5"/>
    <x v="8"/>
    <n v="58.96"/>
  </r>
  <r>
    <d v="2024-02-04T00:00:00"/>
    <x v="0"/>
    <x v="1"/>
    <x v="0"/>
    <x v="20"/>
    <x v="3"/>
    <x v="3"/>
    <x v="71"/>
    <x v="0"/>
    <x v="3"/>
    <x v="4"/>
    <x v="7"/>
    <n v="188.22"/>
  </r>
  <r>
    <d v="2024-02-04T00:00:00"/>
    <x v="0"/>
    <x v="1"/>
    <x v="0"/>
    <x v="60"/>
    <x v="6"/>
    <x v="6"/>
    <x v="44"/>
    <x v="0"/>
    <x v="7"/>
    <x v="6"/>
    <x v="4"/>
    <n v="258.74"/>
  </r>
  <r>
    <d v="2024-02-04T00:00:00"/>
    <x v="0"/>
    <x v="1"/>
    <x v="1"/>
    <x v="51"/>
    <x v="5"/>
    <x v="5"/>
    <x v="95"/>
    <x v="0"/>
    <x v="18"/>
    <x v="5"/>
    <x v="8"/>
    <n v="396.54"/>
  </r>
  <r>
    <d v="2024-02-04T00:00:00"/>
    <x v="0"/>
    <x v="1"/>
    <x v="1"/>
    <x v="62"/>
    <x v="6"/>
    <x v="6"/>
    <x v="50"/>
    <x v="0"/>
    <x v="13"/>
    <x v="3"/>
    <x v="1"/>
    <n v="457.87"/>
  </r>
  <r>
    <d v="2024-02-04T00:00:00"/>
    <x v="0"/>
    <x v="1"/>
    <x v="1"/>
    <x v="51"/>
    <x v="5"/>
    <x v="5"/>
    <x v="95"/>
    <x v="0"/>
    <x v="18"/>
    <x v="4"/>
    <x v="7"/>
    <n v="514.98"/>
  </r>
  <r>
    <d v="2024-02-04T00:00:00"/>
    <x v="0"/>
    <x v="1"/>
    <x v="1"/>
    <x v="2"/>
    <x v="1"/>
    <x v="1"/>
    <x v="2"/>
    <x v="0"/>
    <x v="6"/>
    <x v="1"/>
    <x v="0"/>
    <n v="575.43"/>
  </r>
  <r>
    <d v="2024-02-04T00:00:00"/>
    <x v="0"/>
    <x v="1"/>
    <x v="1"/>
    <x v="48"/>
    <x v="7"/>
    <x v="7"/>
    <x v="85"/>
    <x v="0"/>
    <x v="20"/>
    <x v="9"/>
    <x v="6"/>
    <n v="1059.79"/>
  </r>
  <r>
    <d v="2024-02-04T00:00:00"/>
    <x v="0"/>
    <x v="1"/>
    <x v="1"/>
    <x v="65"/>
    <x v="1"/>
    <x v="1"/>
    <x v="7"/>
    <x v="0"/>
    <x v="10"/>
    <x v="3"/>
    <x v="1"/>
    <n v="6048.97"/>
  </r>
  <r>
    <d v="2024-02-05T00:00:00"/>
    <x v="0"/>
    <x v="1"/>
    <x v="0"/>
    <x v="12"/>
    <x v="1"/>
    <x v="1"/>
    <x v="26"/>
    <x v="0"/>
    <x v="8"/>
    <x v="1"/>
    <x v="0"/>
    <n v="9.99"/>
  </r>
  <r>
    <d v="2024-02-05T00:00:00"/>
    <x v="0"/>
    <x v="1"/>
    <x v="1"/>
    <x v="73"/>
    <x v="4"/>
    <x v="4"/>
    <x v="80"/>
    <x v="0"/>
    <x v="0"/>
    <x v="3"/>
    <x v="1"/>
    <n v="35.92"/>
  </r>
  <r>
    <d v="2024-02-05T00:00:00"/>
    <x v="0"/>
    <x v="1"/>
    <x v="0"/>
    <x v="76"/>
    <x v="6"/>
    <x v="6"/>
    <x v="34"/>
    <x v="0"/>
    <x v="14"/>
    <x v="1"/>
    <x v="0"/>
    <n v="67.47"/>
  </r>
  <r>
    <d v="2024-02-05T00:00:00"/>
    <x v="0"/>
    <x v="1"/>
    <x v="0"/>
    <x v="42"/>
    <x v="3"/>
    <x v="3"/>
    <x v="63"/>
    <x v="0"/>
    <x v="17"/>
    <x v="6"/>
    <x v="4"/>
    <n v="105.37"/>
  </r>
  <r>
    <d v="2024-02-05T00:00:00"/>
    <x v="0"/>
    <x v="1"/>
    <x v="0"/>
    <x v="63"/>
    <x v="4"/>
    <x v="4"/>
    <x v="78"/>
    <x v="0"/>
    <x v="0"/>
    <x v="6"/>
    <x v="4"/>
    <n v="139.72"/>
  </r>
  <r>
    <d v="2024-02-05T00:00:00"/>
    <x v="0"/>
    <x v="1"/>
    <x v="1"/>
    <x v="74"/>
    <x v="4"/>
    <x v="4"/>
    <x v="75"/>
    <x v="0"/>
    <x v="15"/>
    <x v="2"/>
    <x v="2"/>
    <n v="537.24"/>
  </r>
  <r>
    <d v="2024-02-05T00:00:00"/>
    <x v="0"/>
    <x v="1"/>
    <x v="1"/>
    <x v="22"/>
    <x v="1"/>
    <x v="1"/>
    <x v="20"/>
    <x v="0"/>
    <x v="5"/>
    <x v="5"/>
    <x v="8"/>
    <n v="598.1"/>
  </r>
  <r>
    <d v="2024-02-05T00:00:00"/>
    <x v="0"/>
    <x v="1"/>
    <x v="1"/>
    <x v="22"/>
    <x v="1"/>
    <x v="1"/>
    <x v="20"/>
    <x v="0"/>
    <x v="5"/>
    <x v="2"/>
    <x v="2"/>
    <n v="2330.86"/>
  </r>
  <r>
    <d v="2024-02-06T00:00:00"/>
    <x v="0"/>
    <x v="1"/>
    <x v="1"/>
    <x v="38"/>
    <x v="0"/>
    <x v="0"/>
    <x v="21"/>
    <x v="0"/>
    <x v="5"/>
    <x v="8"/>
    <x v="5"/>
    <n v="31.0"/>
  </r>
  <r>
    <d v="2024-02-06T00:00:00"/>
    <x v="0"/>
    <x v="1"/>
    <x v="0"/>
    <x v="48"/>
    <x v="7"/>
    <x v="7"/>
    <x v="85"/>
    <x v="0"/>
    <x v="20"/>
    <x v="1"/>
    <x v="0"/>
    <n v="76.92"/>
  </r>
  <r>
    <d v="2024-02-06T00:00:00"/>
    <x v="0"/>
    <x v="1"/>
    <x v="1"/>
    <x v="1"/>
    <x v="7"/>
    <x v="7"/>
    <x v="89"/>
    <x v="0"/>
    <x v="12"/>
    <x v="6"/>
    <x v="4"/>
    <n v="138.26"/>
  </r>
  <r>
    <d v="2024-02-06T00:00:00"/>
    <x v="0"/>
    <x v="1"/>
    <x v="1"/>
    <x v="47"/>
    <x v="3"/>
    <x v="3"/>
    <x v="54"/>
    <x v="0"/>
    <x v="19"/>
    <x v="1"/>
    <x v="0"/>
    <n v="749.56"/>
  </r>
  <r>
    <d v="2024-02-06T00:00:00"/>
    <x v="0"/>
    <x v="1"/>
    <x v="1"/>
    <x v="31"/>
    <x v="2"/>
    <x v="2"/>
    <x v="0"/>
    <x v="0"/>
    <x v="11"/>
    <x v="3"/>
    <x v="1"/>
    <n v="1956.58"/>
  </r>
  <r>
    <d v="2024-02-07T00:00:00"/>
    <x v="0"/>
    <x v="1"/>
    <x v="1"/>
    <x v="27"/>
    <x v="6"/>
    <x v="6"/>
    <x v="31"/>
    <x v="0"/>
    <x v="2"/>
    <x v="0"/>
    <x v="9"/>
    <n v="4.79"/>
  </r>
  <r>
    <d v="2024-02-07T00:00:00"/>
    <x v="0"/>
    <x v="1"/>
    <x v="0"/>
    <x v="92"/>
    <x v="6"/>
    <x v="6"/>
    <x v="40"/>
    <x v="0"/>
    <x v="7"/>
    <x v="0"/>
    <x v="9"/>
    <n v="157.74"/>
  </r>
  <r>
    <d v="2024-02-07T00:00:00"/>
    <x v="0"/>
    <x v="1"/>
    <x v="0"/>
    <x v="92"/>
    <x v="6"/>
    <x v="6"/>
    <x v="40"/>
    <x v="0"/>
    <x v="7"/>
    <x v="1"/>
    <x v="0"/>
    <n v="201.92"/>
  </r>
  <r>
    <d v="2024-02-07T00:00:00"/>
    <x v="0"/>
    <x v="1"/>
    <x v="1"/>
    <x v="92"/>
    <x v="6"/>
    <x v="6"/>
    <x v="40"/>
    <x v="0"/>
    <x v="7"/>
    <x v="4"/>
    <x v="7"/>
    <n v="427.52"/>
  </r>
  <r>
    <d v="2024-02-07T00:00:00"/>
    <x v="0"/>
    <x v="1"/>
    <x v="1"/>
    <x v="76"/>
    <x v="6"/>
    <x v="6"/>
    <x v="34"/>
    <x v="0"/>
    <x v="14"/>
    <x v="2"/>
    <x v="2"/>
    <n v="1058.18"/>
  </r>
  <r>
    <d v="2024-02-07T00:00:00"/>
    <x v="0"/>
    <x v="1"/>
    <x v="1"/>
    <x v="69"/>
    <x v="1"/>
    <x v="1"/>
    <x v="19"/>
    <x v="0"/>
    <x v="5"/>
    <x v="7"/>
    <x v="3"/>
    <n v="3134.88"/>
  </r>
  <r>
    <d v="2024-02-07T00:00:00"/>
    <x v="0"/>
    <x v="1"/>
    <x v="1"/>
    <x v="37"/>
    <x v="6"/>
    <x v="6"/>
    <x v="39"/>
    <x v="0"/>
    <x v="14"/>
    <x v="3"/>
    <x v="1"/>
    <n v="6446.12"/>
  </r>
  <r>
    <d v="2024-02-08T00:00:00"/>
    <x v="0"/>
    <x v="1"/>
    <x v="1"/>
    <x v="31"/>
    <x v="2"/>
    <x v="2"/>
    <x v="0"/>
    <x v="0"/>
    <x v="11"/>
    <x v="1"/>
    <x v="0"/>
    <n v="12.99"/>
  </r>
  <r>
    <d v="2024-02-08T00:00:00"/>
    <x v="0"/>
    <x v="1"/>
    <x v="1"/>
    <x v="41"/>
    <x v="5"/>
    <x v="5"/>
    <x v="93"/>
    <x v="0"/>
    <x v="18"/>
    <x v="1"/>
    <x v="0"/>
    <n v="20.98"/>
  </r>
  <r>
    <d v="2024-02-08T00:00:00"/>
    <x v="0"/>
    <x v="1"/>
    <x v="1"/>
    <x v="6"/>
    <x v="1"/>
    <x v="1"/>
    <x v="5"/>
    <x v="0"/>
    <x v="6"/>
    <x v="2"/>
    <x v="2"/>
    <n v="25.98"/>
  </r>
  <r>
    <d v="2024-02-08T00:00:00"/>
    <x v="0"/>
    <x v="1"/>
    <x v="1"/>
    <x v="28"/>
    <x v="6"/>
    <x v="6"/>
    <x v="51"/>
    <x v="0"/>
    <x v="13"/>
    <x v="3"/>
    <x v="1"/>
    <n v="33.98"/>
  </r>
  <r>
    <d v="2024-02-08T00:00:00"/>
    <x v="0"/>
    <x v="1"/>
    <x v="1"/>
    <x v="66"/>
    <x v="4"/>
    <x v="4"/>
    <x v="76"/>
    <x v="0"/>
    <x v="15"/>
    <x v="9"/>
    <x v="6"/>
    <n v="105.91"/>
  </r>
  <r>
    <d v="2024-02-08T00:00:00"/>
    <x v="0"/>
    <x v="1"/>
    <x v="1"/>
    <x v="35"/>
    <x v="6"/>
    <x v="6"/>
    <x v="46"/>
    <x v="0"/>
    <x v="7"/>
    <x v="8"/>
    <x v="5"/>
    <n v="154.87"/>
  </r>
  <r>
    <d v="2024-02-08T00:00:00"/>
    <x v="0"/>
    <x v="1"/>
    <x v="1"/>
    <x v="58"/>
    <x v="3"/>
    <x v="3"/>
    <x v="61"/>
    <x v="0"/>
    <x v="17"/>
    <x v="6"/>
    <x v="4"/>
    <n v="274.45"/>
  </r>
  <r>
    <d v="2024-02-08T00:00:00"/>
    <x v="0"/>
    <x v="1"/>
    <x v="1"/>
    <x v="72"/>
    <x v="1"/>
    <x v="1"/>
    <x v="24"/>
    <x v="0"/>
    <x v="8"/>
    <x v="9"/>
    <x v="6"/>
    <n v="598.93"/>
  </r>
  <r>
    <d v="2024-02-08T00:00:00"/>
    <x v="0"/>
    <x v="1"/>
    <x v="1"/>
    <x v="16"/>
    <x v="7"/>
    <x v="7"/>
    <x v="92"/>
    <x v="0"/>
    <x v="9"/>
    <x v="6"/>
    <x v="4"/>
    <n v="652.07"/>
  </r>
  <r>
    <d v="2024-02-09T00:00:00"/>
    <x v="0"/>
    <x v="1"/>
    <x v="1"/>
    <x v="84"/>
    <x v="3"/>
    <x v="3"/>
    <x v="53"/>
    <x v="0"/>
    <x v="19"/>
    <x v="3"/>
    <x v="1"/>
    <n v="3.0"/>
  </r>
  <r>
    <d v="2024-02-09T00:00:00"/>
    <x v="0"/>
    <x v="1"/>
    <x v="1"/>
    <x v="30"/>
    <x v="6"/>
    <x v="6"/>
    <x v="37"/>
    <x v="0"/>
    <x v="14"/>
    <x v="2"/>
    <x v="2"/>
    <n v="10.0"/>
  </r>
  <r>
    <d v="2024-02-09T00:00:00"/>
    <x v="0"/>
    <x v="1"/>
    <x v="1"/>
    <x v="49"/>
    <x v="3"/>
    <x v="3"/>
    <x v="58"/>
    <x v="0"/>
    <x v="16"/>
    <x v="2"/>
    <x v="2"/>
    <n v="51.96"/>
  </r>
  <r>
    <d v="2024-02-09T00:00:00"/>
    <x v="0"/>
    <x v="1"/>
    <x v="1"/>
    <x v="59"/>
    <x v="1"/>
    <x v="1"/>
    <x v="3"/>
    <x v="0"/>
    <x v="6"/>
    <x v="5"/>
    <x v="8"/>
    <n v="584.04"/>
  </r>
  <r>
    <d v="2024-02-09T00:00:00"/>
    <x v="0"/>
    <x v="1"/>
    <x v="1"/>
    <x v="28"/>
    <x v="6"/>
    <x v="6"/>
    <x v="51"/>
    <x v="0"/>
    <x v="13"/>
    <x v="1"/>
    <x v="0"/>
    <n v="673.73"/>
  </r>
  <r>
    <d v="2024-02-09T00:00:00"/>
    <x v="0"/>
    <x v="1"/>
    <x v="1"/>
    <x v="22"/>
    <x v="1"/>
    <x v="1"/>
    <x v="20"/>
    <x v="0"/>
    <x v="5"/>
    <x v="9"/>
    <x v="6"/>
    <n v="6008.17"/>
  </r>
  <r>
    <d v="2024-02-10T00:00:00"/>
    <x v="0"/>
    <x v="1"/>
    <x v="1"/>
    <x v="85"/>
    <x v="6"/>
    <x v="6"/>
    <x v="43"/>
    <x v="0"/>
    <x v="7"/>
    <x v="1"/>
    <x v="0"/>
    <n v="1.8"/>
  </r>
  <r>
    <d v="2024-02-10T00:00:00"/>
    <x v="0"/>
    <x v="1"/>
    <x v="1"/>
    <x v="23"/>
    <x v="1"/>
    <x v="1"/>
    <x v="12"/>
    <x v="0"/>
    <x v="10"/>
    <x v="3"/>
    <x v="1"/>
    <n v="9.99"/>
  </r>
  <r>
    <d v="2024-02-10T00:00:00"/>
    <x v="0"/>
    <x v="1"/>
    <x v="1"/>
    <x v="25"/>
    <x v="1"/>
    <x v="1"/>
    <x v="6"/>
    <x v="0"/>
    <x v="6"/>
    <x v="9"/>
    <x v="6"/>
    <n v="25.98"/>
  </r>
  <r>
    <d v="2024-02-10T00:00:00"/>
    <x v="0"/>
    <x v="1"/>
    <x v="1"/>
    <x v="17"/>
    <x v="3"/>
    <x v="3"/>
    <x v="57"/>
    <x v="0"/>
    <x v="16"/>
    <x v="4"/>
    <x v="7"/>
    <n v="31.12"/>
  </r>
  <r>
    <d v="2024-02-10T00:00:00"/>
    <x v="0"/>
    <x v="1"/>
    <x v="1"/>
    <x v="52"/>
    <x v="1"/>
    <x v="1"/>
    <x v="11"/>
    <x v="0"/>
    <x v="10"/>
    <x v="1"/>
    <x v="0"/>
    <n v="58.97"/>
  </r>
  <r>
    <d v="2024-02-10T00:00:00"/>
    <x v="0"/>
    <x v="1"/>
    <x v="0"/>
    <x v="46"/>
    <x v="6"/>
    <x v="6"/>
    <x v="42"/>
    <x v="0"/>
    <x v="7"/>
    <x v="2"/>
    <x v="2"/>
    <n v="207.84"/>
  </r>
  <r>
    <d v="2024-02-10T00:00:00"/>
    <x v="0"/>
    <x v="1"/>
    <x v="1"/>
    <x v="21"/>
    <x v="3"/>
    <x v="3"/>
    <x v="60"/>
    <x v="0"/>
    <x v="17"/>
    <x v="1"/>
    <x v="0"/>
    <n v="2026.49"/>
  </r>
  <r>
    <d v="2024-02-11T00:00:00"/>
    <x v="0"/>
    <x v="1"/>
    <x v="1"/>
    <x v="26"/>
    <x v="7"/>
    <x v="7"/>
    <x v="81"/>
    <x v="0"/>
    <x v="20"/>
    <x v="3"/>
    <x v="1"/>
    <n v="1.0"/>
  </r>
  <r>
    <d v="2024-02-11T00:00:00"/>
    <x v="0"/>
    <x v="1"/>
    <x v="1"/>
    <x v="39"/>
    <x v="7"/>
    <x v="7"/>
    <x v="91"/>
    <x v="0"/>
    <x v="9"/>
    <x v="9"/>
    <x v="6"/>
    <n v="10.99"/>
  </r>
  <r>
    <d v="2024-02-11T00:00:00"/>
    <x v="0"/>
    <x v="1"/>
    <x v="0"/>
    <x v="59"/>
    <x v="1"/>
    <x v="1"/>
    <x v="3"/>
    <x v="0"/>
    <x v="6"/>
    <x v="2"/>
    <x v="2"/>
    <n v="14.99"/>
  </r>
  <r>
    <d v="2024-02-11T00:00:00"/>
    <x v="0"/>
    <x v="1"/>
    <x v="1"/>
    <x v="93"/>
    <x v="6"/>
    <x v="6"/>
    <x v="30"/>
    <x v="0"/>
    <x v="2"/>
    <x v="1"/>
    <x v="0"/>
    <n v="15.99"/>
  </r>
  <r>
    <d v="2024-02-11T00:00:00"/>
    <x v="0"/>
    <x v="1"/>
    <x v="1"/>
    <x v="58"/>
    <x v="3"/>
    <x v="3"/>
    <x v="61"/>
    <x v="0"/>
    <x v="17"/>
    <x v="6"/>
    <x v="4"/>
    <n v="27.27"/>
  </r>
  <r>
    <d v="2024-02-11T00:00:00"/>
    <x v="0"/>
    <x v="1"/>
    <x v="1"/>
    <x v="81"/>
    <x v="4"/>
    <x v="4"/>
    <x v="77"/>
    <x v="0"/>
    <x v="15"/>
    <x v="2"/>
    <x v="2"/>
    <n v="53.91"/>
  </r>
  <r>
    <d v="2024-02-11T00:00:00"/>
    <x v="0"/>
    <x v="1"/>
    <x v="0"/>
    <x v="55"/>
    <x v="3"/>
    <x v="3"/>
    <x v="68"/>
    <x v="0"/>
    <x v="1"/>
    <x v="3"/>
    <x v="1"/>
    <n v="81.95"/>
  </r>
  <r>
    <d v="2024-02-11T00:00:00"/>
    <x v="0"/>
    <x v="1"/>
    <x v="1"/>
    <x v="53"/>
    <x v="1"/>
    <x v="1"/>
    <x v="16"/>
    <x v="0"/>
    <x v="4"/>
    <x v="5"/>
    <x v="8"/>
    <n v="701.67"/>
  </r>
  <r>
    <d v="2024-02-11T00:00:00"/>
    <x v="0"/>
    <x v="1"/>
    <x v="1"/>
    <x v="52"/>
    <x v="1"/>
    <x v="1"/>
    <x v="11"/>
    <x v="0"/>
    <x v="10"/>
    <x v="2"/>
    <x v="2"/>
    <n v="2088.89"/>
  </r>
  <r>
    <d v="2024-02-11T00:00:00"/>
    <x v="0"/>
    <x v="1"/>
    <x v="1"/>
    <x v="31"/>
    <x v="2"/>
    <x v="2"/>
    <x v="0"/>
    <x v="0"/>
    <x v="11"/>
    <x v="9"/>
    <x v="6"/>
    <n v="4345.06"/>
  </r>
  <r>
    <d v="2024-02-12T00:00:00"/>
    <x v="0"/>
    <x v="1"/>
    <x v="1"/>
    <x v="36"/>
    <x v="7"/>
    <x v="7"/>
    <x v="90"/>
    <x v="0"/>
    <x v="9"/>
    <x v="8"/>
    <x v="5"/>
    <n v="63.89"/>
  </r>
  <r>
    <d v="2024-02-12T00:00:00"/>
    <x v="0"/>
    <x v="1"/>
    <x v="1"/>
    <x v="72"/>
    <x v="1"/>
    <x v="1"/>
    <x v="24"/>
    <x v="0"/>
    <x v="8"/>
    <x v="0"/>
    <x v="9"/>
    <n v="183.67"/>
  </r>
  <r>
    <d v="2024-02-12T00:00:00"/>
    <x v="0"/>
    <x v="1"/>
    <x v="1"/>
    <x v="19"/>
    <x v="7"/>
    <x v="7"/>
    <x v="88"/>
    <x v="0"/>
    <x v="12"/>
    <x v="5"/>
    <x v="8"/>
    <n v="2951.13"/>
  </r>
  <r>
    <d v="2024-02-13T00:00:00"/>
    <x v="0"/>
    <x v="1"/>
    <x v="1"/>
    <x v="56"/>
    <x v="7"/>
    <x v="7"/>
    <x v="86"/>
    <x v="0"/>
    <x v="12"/>
    <x v="1"/>
    <x v="0"/>
    <n v="8.0"/>
  </r>
  <r>
    <d v="2024-02-13T00:00:00"/>
    <x v="0"/>
    <x v="1"/>
    <x v="0"/>
    <x v="84"/>
    <x v="3"/>
    <x v="3"/>
    <x v="53"/>
    <x v="0"/>
    <x v="19"/>
    <x v="7"/>
    <x v="3"/>
    <n v="44.38"/>
  </r>
  <r>
    <d v="2024-02-13T00:00:00"/>
    <x v="0"/>
    <x v="1"/>
    <x v="1"/>
    <x v="35"/>
    <x v="6"/>
    <x v="6"/>
    <x v="46"/>
    <x v="0"/>
    <x v="7"/>
    <x v="1"/>
    <x v="0"/>
    <n v="91.95"/>
  </r>
  <r>
    <d v="2024-02-13T00:00:00"/>
    <x v="0"/>
    <x v="1"/>
    <x v="0"/>
    <x v="23"/>
    <x v="1"/>
    <x v="1"/>
    <x v="12"/>
    <x v="0"/>
    <x v="10"/>
    <x v="0"/>
    <x v="9"/>
    <n v="114.78"/>
  </r>
  <r>
    <d v="2024-02-13T00:00:00"/>
    <x v="0"/>
    <x v="1"/>
    <x v="1"/>
    <x v="75"/>
    <x v="1"/>
    <x v="1"/>
    <x v="4"/>
    <x v="0"/>
    <x v="6"/>
    <x v="0"/>
    <x v="9"/>
    <n v="209.8"/>
  </r>
  <r>
    <d v="2024-02-13T00:00:00"/>
    <x v="0"/>
    <x v="1"/>
    <x v="1"/>
    <x v="26"/>
    <x v="7"/>
    <x v="7"/>
    <x v="81"/>
    <x v="0"/>
    <x v="20"/>
    <x v="4"/>
    <x v="7"/>
    <n v="537.05"/>
  </r>
  <r>
    <d v="2024-02-13T00:00:00"/>
    <x v="0"/>
    <x v="1"/>
    <x v="1"/>
    <x v="45"/>
    <x v="3"/>
    <x v="3"/>
    <x v="64"/>
    <x v="0"/>
    <x v="1"/>
    <x v="2"/>
    <x v="2"/>
    <n v="983.98"/>
  </r>
  <r>
    <d v="2024-02-14T00:00:00"/>
    <x v="0"/>
    <x v="1"/>
    <x v="1"/>
    <x v="43"/>
    <x v="7"/>
    <x v="7"/>
    <x v="87"/>
    <x v="0"/>
    <x v="12"/>
    <x v="4"/>
    <x v="7"/>
    <n v="2.99"/>
  </r>
  <r>
    <d v="2024-02-14T00:00:00"/>
    <x v="0"/>
    <x v="1"/>
    <x v="0"/>
    <x v="62"/>
    <x v="6"/>
    <x v="6"/>
    <x v="50"/>
    <x v="0"/>
    <x v="13"/>
    <x v="2"/>
    <x v="2"/>
    <n v="12.99"/>
  </r>
  <r>
    <d v="2024-02-14T00:00:00"/>
    <x v="0"/>
    <x v="1"/>
    <x v="0"/>
    <x v="65"/>
    <x v="1"/>
    <x v="1"/>
    <x v="7"/>
    <x v="0"/>
    <x v="10"/>
    <x v="1"/>
    <x v="0"/>
    <n v="17.96"/>
  </r>
  <r>
    <d v="2024-02-14T00:00:00"/>
    <x v="0"/>
    <x v="1"/>
    <x v="1"/>
    <x v="77"/>
    <x v="3"/>
    <x v="3"/>
    <x v="66"/>
    <x v="0"/>
    <x v="1"/>
    <x v="1"/>
    <x v="0"/>
    <n v="23.99"/>
  </r>
  <r>
    <d v="2024-02-14T00:00:00"/>
    <x v="0"/>
    <x v="1"/>
    <x v="1"/>
    <x v="93"/>
    <x v="6"/>
    <x v="6"/>
    <x v="30"/>
    <x v="0"/>
    <x v="2"/>
    <x v="3"/>
    <x v="1"/>
    <n v="24.45"/>
  </r>
  <r>
    <d v="2024-02-14T00:00:00"/>
    <x v="0"/>
    <x v="1"/>
    <x v="1"/>
    <x v="68"/>
    <x v="3"/>
    <x v="3"/>
    <x v="59"/>
    <x v="0"/>
    <x v="16"/>
    <x v="6"/>
    <x v="4"/>
    <n v="103.0"/>
  </r>
  <r>
    <d v="2024-02-14T00:00:00"/>
    <x v="0"/>
    <x v="1"/>
    <x v="0"/>
    <x v="23"/>
    <x v="1"/>
    <x v="1"/>
    <x v="12"/>
    <x v="0"/>
    <x v="10"/>
    <x v="4"/>
    <x v="7"/>
    <n v="258.35"/>
  </r>
  <r>
    <d v="2024-02-14T00:00:00"/>
    <x v="0"/>
    <x v="1"/>
    <x v="1"/>
    <x v="18"/>
    <x v="5"/>
    <x v="5"/>
    <x v="96"/>
    <x v="0"/>
    <x v="18"/>
    <x v="0"/>
    <x v="9"/>
    <n v="308.04"/>
  </r>
  <r>
    <d v="2024-02-14T00:00:00"/>
    <x v="0"/>
    <x v="1"/>
    <x v="0"/>
    <x v="31"/>
    <x v="2"/>
    <x v="2"/>
    <x v="0"/>
    <x v="0"/>
    <x v="11"/>
    <x v="1"/>
    <x v="0"/>
    <n v="484.4"/>
  </r>
  <r>
    <d v="2024-02-14T00:00:00"/>
    <x v="0"/>
    <x v="1"/>
    <x v="1"/>
    <x v="71"/>
    <x v="1"/>
    <x v="1"/>
    <x v="27"/>
    <x v="0"/>
    <x v="8"/>
    <x v="2"/>
    <x v="2"/>
    <n v="569.67"/>
  </r>
  <r>
    <d v="2024-02-14T00:00:00"/>
    <x v="0"/>
    <x v="1"/>
    <x v="1"/>
    <x v="55"/>
    <x v="3"/>
    <x v="3"/>
    <x v="68"/>
    <x v="0"/>
    <x v="1"/>
    <x v="1"/>
    <x v="0"/>
    <n v="811.31"/>
  </r>
  <r>
    <d v="2024-02-14T00:00:00"/>
    <x v="0"/>
    <x v="1"/>
    <x v="1"/>
    <x v="32"/>
    <x v="1"/>
    <x v="1"/>
    <x v="28"/>
    <x v="0"/>
    <x v="8"/>
    <x v="8"/>
    <x v="5"/>
    <n v="946.79"/>
  </r>
  <r>
    <d v="2024-02-14T00:00:00"/>
    <x v="0"/>
    <x v="1"/>
    <x v="1"/>
    <x v="88"/>
    <x v="1"/>
    <x v="1"/>
    <x v="17"/>
    <x v="0"/>
    <x v="4"/>
    <x v="9"/>
    <x v="6"/>
    <n v="1369.4"/>
  </r>
  <r>
    <d v="2024-02-15T00:00:00"/>
    <x v="0"/>
    <x v="1"/>
    <x v="1"/>
    <x v="47"/>
    <x v="3"/>
    <x v="3"/>
    <x v="54"/>
    <x v="0"/>
    <x v="19"/>
    <x v="1"/>
    <x v="0"/>
    <n v="1.5"/>
  </r>
  <r>
    <d v="2024-02-15T00:00:00"/>
    <x v="0"/>
    <x v="1"/>
    <x v="1"/>
    <x v="30"/>
    <x v="6"/>
    <x v="6"/>
    <x v="37"/>
    <x v="0"/>
    <x v="14"/>
    <x v="1"/>
    <x v="0"/>
    <n v="22.0"/>
  </r>
  <r>
    <d v="2024-02-15T00:00:00"/>
    <x v="0"/>
    <x v="1"/>
    <x v="0"/>
    <x v="43"/>
    <x v="7"/>
    <x v="7"/>
    <x v="87"/>
    <x v="0"/>
    <x v="12"/>
    <x v="8"/>
    <x v="5"/>
    <n v="28.95"/>
  </r>
  <r>
    <d v="2024-02-15T00:00:00"/>
    <x v="0"/>
    <x v="1"/>
    <x v="1"/>
    <x v="14"/>
    <x v="6"/>
    <x v="6"/>
    <x v="45"/>
    <x v="0"/>
    <x v="7"/>
    <x v="9"/>
    <x v="6"/>
    <n v="32.85"/>
  </r>
  <r>
    <d v="2024-02-15T00:00:00"/>
    <x v="0"/>
    <x v="1"/>
    <x v="1"/>
    <x v="40"/>
    <x v="3"/>
    <x v="3"/>
    <x v="65"/>
    <x v="0"/>
    <x v="1"/>
    <x v="2"/>
    <x v="2"/>
    <n v="49.94"/>
  </r>
  <r>
    <d v="2024-02-15T00:00:00"/>
    <x v="0"/>
    <x v="1"/>
    <x v="1"/>
    <x v="69"/>
    <x v="1"/>
    <x v="1"/>
    <x v="19"/>
    <x v="0"/>
    <x v="5"/>
    <x v="8"/>
    <x v="5"/>
    <n v="51.0"/>
  </r>
  <r>
    <d v="2024-02-15T00:00:00"/>
    <x v="0"/>
    <x v="1"/>
    <x v="1"/>
    <x v="35"/>
    <x v="6"/>
    <x v="6"/>
    <x v="46"/>
    <x v="0"/>
    <x v="7"/>
    <x v="3"/>
    <x v="1"/>
    <n v="740.32"/>
  </r>
  <r>
    <d v="2024-02-15T00:00:00"/>
    <x v="0"/>
    <x v="1"/>
    <x v="1"/>
    <x v="96"/>
    <x v="3"/>
    <x v="3"/>
    <x v="67"/>
    <x v="0"/>
    <x v="1"/>
    <x v="3"/>
    <x v="1"/>
    <n v="2078.84"/>
  </r>
  <r>
    <d v="2024-02-15T00:00:00"/>
    <x v="0"/>
    <x v="1"/>
    <x v="1"/>
    <x v="24"/>
    <x v="6"/>
    <x v="6"/>
    <x v="36"/>
    <x v="0"/>
    <x v="14"/>
    <x v="9"/>
    <x v="6"/>
    <n v="3753.87"/>
  </r>
  <r>
    <d v="2024-02-16T00:00:00"/>
    <x v="0"/>
    <x v="1"/>
    <x v="1"/>
    <x v="1"/>
    <x v="7"/>
    <x v="7"/>
    <x v="89"/>
    <x v="0"/>
    <x v="12"/>
    <x v="8"/>
    <x v="5"/>
    <n v="11.97"/>
  </r>
  <r>
    <d v="2024-02-16T00:00:00"/>
    <x v="0"/>
    <x v="1"/>
    <x v="1"/>
    <x v="82"/>
    <x v="6"/>
    <x v="6"/>
    <x v="47"/>
    <x v="0"/>
    <x v="13"/>
    <x v="4"/>
    <x v="7"/>
    <n v="25.95"/>
  </r>
  <r>
    <d v="2024-02-16T00:00:00"/>
    <x v="0"/>
    <x v="1"/>
    <x v="0"/>
    <x v="63"/>
    <x v="4"/>
    <x v="4"/>
    <x v="78"/>
    <x v="0"/>
    <x v="0"/>
    <x v="4"/>
    <x v="7"/>
    <n v="45.65"/>
  </r>
  <r>
    <d v="2024-02-16T00:00:00"/>
    <x v="0"/>
    <x v="1"/>
    <x v="1"/>
    <x v="86"/>
    <x v="1"/>
    <x v="1"/>
    <x v="9"/>
    <x v="0"/>
    <x v="10"/>
    <x v="1"/>
    <x v="0"/>
    <n v="68.0"/>
  </r>
  <r>
    <d v="2024-02-16T00:00:00"/>
    <x v="0"/>
    <x v="1"/>
    <x v="1"/>
    <x v="87"/>
    <x v="3"/>
    <x v="3"/>
    <x v="52"/>
    <x v="0"/>
    <x v="19"/>
    <x v="1"/>
    <x v="0"/>
    <n v="198.84"/>
  </r>
  <r>
    <d v="2024-02-16T00:00:00"/>
    <x v="0"/>
    <x v="1"/>
    <x v="0"/>
    <x v="46"/>
    <x v="6"/>
    <x v="6"/>
    <x v="42"/>
    <x v="0"/>
    <x v="7"/>
    <x v="5"/>
    <x v="8"/>
    <n v="242.72"/>
  </r>
  <r>
    <d v="2024-02-16T00:00:00"/>
    <x v="0"/>
    <x v="1"/>
    <x v="1"/>
    <x v="96"/>
    <x v="3"/>
    <x v="3"/>
    <x v="67"/>
    <x v="0"/>
    <x v="1"/>
    <x v="2"/>
    <x v="2"/>
    <n v="716.45"/>
  </r>
  <r>
    <d v="2024-02-16T00:00:00"/>
    <x v="0"/>
    <x v="1"/>
    <x v="1"/>
    <x v="47"/>
    <x v="3"/>
    <x v="3"/>
    <x v="54"/>
    <x v="0"/>
    <x v="19"/>
    <x v="6"/>
    <x v="4"/>
    <n v="4192.79"/>
  </r>
  <r>
    <d v="2024-02-17T00:00:00"/>
    <x v="0"/>
    <x v="1"/>
    <x v="1"/>
    <x v="43"/>
    <x v="7"/>
    <x v="7"/>
    <x v="87"/>
    <x v="0"/>
    <x v="12"/>
    <x v="1"/>
    <x v="0"/>
    <n v="29.0"/>
  </r>
  <r>
    <d v="2024-02-17T00:00:00"/>
    <x v="0"/>
    <x v="1"/>
    <x v="0"/>
    <x v="89"/>
    <x v="1"/>
    <x v="1"/>
    <x v="18"/>
    <x v="0"/>
    <x v="5"/>
    <x v="1"/>
    <x v="0"/>
    <n v="115.93"/>
  </r>
  <r>
    <d v="2024-02-17T00:00:00"/>
    <x v="0"/>
    <x v="1"/>
    <x v="1"/>
    <x v="83"/>
    <x v="3"/>
    <x v="3"/>
    <x v="56"/>
    <x v="0"/>
    <x v="16"/>
    <x v="3"/>
    <x v="1"/>
    <n v="229.63"/>
  </r>
  <r>
    <d v="2024-02-17T00:00:00"/>
    <x v="0"/>
    <x v="1"/>
    <x v="1"/>
    <x v="71"/>
    <x v="1"/>
    <x v="1"/>
    <x v="27"/>
    <x v="0"/>
    <x v="8"/>
    <x v="2"/>
    <x v="2"/>
    <n v="451.41"/>
  </r>
  <r>
    <d v="2024-02-17T00:00:00"/>
    <x v="0"/>
    <x v="1"/>
    <x v="1"/>
    <x v="14"/>
    <x v="6"/>
    <x v="6"/>
    <x v="45"/>
    <x v="0"/>
    <x v="7"/>
    <x v="6"/>
    <x v="4"/>
    <n v="577.17"/>
  </r>
  <r>
    <d v="2024-02-17T00:00:00"/>
    <x v="0"/>
    <x v="1"/>
    <x v="0"/>
    <x v="89"/>
    <x v="1"/>
    <x v="1"/>
    <x v="18"/>
    <x v="0"/>
    <x v="5"/>
    <x v="3"/>
    <x v="1"/>
    <n v="674.38"/>
  </r>
  <r>
    <d v="2024-02-17T00:00:00"/>
    <x v="0"/>
    <x v="1"/>
    <x v="1"/>
    <x v="92"/>
    <x v="6"/>
    <x v="6"/>
    <x v="40"/>
    <x v="0"/>
    <x v="7"/>
    <x v="4"/>
    <x v="7"/>
    <n v="1175.09"/>
  </r>
  <r>
    <d v="2024-02-18T00:00:00"/>
    <x v="0"/>
    <x v="1"/>
    <x v="1"/>
    <x v="49"/>
    <x v="3"/>
    <x v="3"/>
    <x v="58"/>
    <x v="0"/>
    <x v="16"/>
    <x v="5"/>
    <x v="8"/>
    <n v="11.98"/>
  </r>
  <r>
    <d v="2024-02-18T00:00:00"/>
    <x v="0"/>
    <x v="1"/>
    <x v="0"/>
    <x v="24"/>
    <x v="6"/>
    <x v="6"/>
    <x v="36"/>
    <x v="0"/>
    <x v="14"/>
    <x v="5"/>
    <x v="8"/>
    <n v="15.96"/>
  </r>
  <r>
    <d v="2024-02-18T00:00:00"/>
    <x v="0"/>
    <x v="1"/>
    <x v="0"/>
    <x v="34"/>
    <x v="6"/>
    <x v="6"/>
    <x v="32"/>
    <x v="0"/>
    <x v="2"/>
    <x v="6"/>
    <x v="4"/>
    <n v="31.96"/>
  </r>
  <r>
    <d v="2024-02-18T00:00:00"/>
    <x v="0"/>
    <x v="1"/>
    <x v="1"/>
    <x v="74"/>
    <x v="4"/>
    <x v="4"/>
    <x v="75"/>
    <x v="0"/>
    <x v="15"/>
    <x v="0"/>
    <x v="9"/>
    <n v="38.96"/>
  </r>
  <r>
    <d v="2024-02-18T00:00:00"/>
    <x v="0"/>
    <x v="1"/>
    <x v="0"/>
    <x v="67"/>
    <x v="3"/>
    <x v="3"/>
    <x v="62"/>
    <x v="0"/>
    <x v="17"/>
    <x v="8"/>
    <x v="5"/>
    <n v="103.77"/>
  </r>
  <r>
    <d v="2024-02-18T00:00:00"/>
    <x v="0"/>
    <x v="1"/>
    <x v="0"/>
    <x v="95"/>
    <x v="4"/>
    <x v="4"/>
    <x v="73"/>
    <x v="0"/>
    <x v="15"/>
    <x v="2"/>
    <x v="2"/>
    <n v="405.68"/>
  </r>
  <r>
    <d v="2024-02-18T00:00:00"/>
    <x v="0"/>
    <x v="1"/>
    <x v="1"/>
    <x v="26"/>
    <x v="7"/>
    <x v="7"/>
    <x v="81"/>
    <x v="0"/>
    <x v="20"/>
    <x v="9"/>
    <x v="6"/>
    <n v="1722.97"/>
  </r>
  <r>
    <d v="2024-02-19T00:00:00"/>
    <x v="0"/>
    <x v="1"/>
    <x v="0"/>
    <x v="48"/>
    <x v="7"/>
    <x v="7"/>
    <x v="85"/>
    <x v="0"/>
    <x v="20"/>
    <x v="1"/>
    <x v="0"/>
    <n v="5.0"/>
  </r>
  <r>
    <d v="2024-02-19T00:00:00"/>
    <x v="0"/>
    <x v="1"/>
    <x v="0"/>
    <x v="89"/>
    <x v="1"/>
    <x v="1"/>
    <x v="18"/>
    <x v="0"/>
    <x v="5"/>
    <x v="5"/>
    <x v="8"/>
    <n v="207.73"/>
  </r>
  <r>
    <d v="2024-02-19T00:00:00"/>
    <x v="0"/>
    <x v="1"/>
    <x v="1"/>
    <x v="63"/>
    <x v="4"/>
    <x v="4"/>
    <x v="78"/>
    <x v="0"/>
    <x v="0"/>
    <x v="6"/>
    <x v="4"/>
    <n v="438.21"/>
  </r>
  <r>
    <d v="2024-02-19T00:00:00"/>
    <x v="0"/>
    <x v="1"/>
    <x v="1"/>
    <x v="90"/>
    <x v="3"/>
    <x v="3"/>
    <x v="55"/>
    <x v="0"/>
    <x v="19"/>
    <x v="5"/>
    <x v="8"/>
    <n v="807.67"/>
  </r>
  <r>
    <d v="2024-02-19T00:00:00"/>
    <x v="0"/>
    <x v="1"/>
    <x v="1"/>
    <x v="37"/>
    <x v="6"/>
    <x v="6"/>
    <x v="39"/>
    <x v="0"/>
    <x v="14"/>
    <x v="8"/>
    <x v="5"/>
    <n v="1159.49"/>
  </r>
  <r>
    <d v="2024-02-19T00:00:00"/>
    <x v="0"/>
    <x v="1"/>
    <x v="0"/>
    <x v="0"/>
    <x v="3"/>
    <x v="3"/>
    <x v="69"/>
    <x v="0"/>
    <x v="3"/>
    <x v="6"/>
    <x v="4"/>
    <n v="1191.32"/>
  </r>
  <r>
    <d v="2024-02-20T00:00:00"/>
    <x v="0"/>
    <x v="1"/>
    <x v="0"/>
    <x v="20"/>
    <x v="3"/>
    <x v="3"/>
    <x v="71"/>
    <x v="0"/>
    <x v="3"/>
    <x v="5"/>
    <x v="8"/>
    <n v="58.89"/>
  </r>
  <r>
    <d v="2024-02-20T00:00:00"/>
    <x v="0"/>
    <x v="1"/>
    <x v="1"/>
    <x v="10"/>
    <x v="6"/>
    <x v="6"/>
    <x v="41"/>
    <x v="0"/>
    <x v="7"/>
    <x v="8"/>
    <x v="5"/>
    <n v="79.72"/>
  </r>
  <r>
    <d v="2024-02-20T00:00:00"/>
    <x v="0"/>
    <x v="1"/>
    <x v="1"/>
    <x v="35"/>
    <x v="6"/>
    <x v="6"/>
    <x v="46"/>
    <x v="0"/>
    <x v="7"/>
    <x v="1"/>
    <x v="0"/>
    <n v="521.39"/>
  </r>
  <r>
    <d v="2024-02-20T00:00:00"/>
    <x v="0"/>
    <x v="1"/>
    <x v="1"/>
    <x v="77"/>
    <x v="3"/>
    <x v="3"/>
    <x v="66"/>
    <x v="0"/>
    <x v="1"/>
    <x v="4"/>
    <x v="7"/>
    <n v="858.96"/>
  </r>
  <r>
    <d v="2024-02-20T00:00:00"/>
    <x v="0"/>
    <x v="1"/>
    <x v="0"/>
    <x v="86"/>
    <x v="1"/>
    <x v="1"/>
    <x v="9"/>
    <x v="0"/>
    <x v="10"/>
    <x v="9"/>
    <x v="6"/>
    <n v="1254.73"/>
  </r>
  <r>
    <d v="2024-02-20T00:00:00"/>
    <x v="0"/>
    <x v="1"/>
    <x v="0"/>
    <x v="1"/>
    <x v="7"/>
    <x v="7"/>
    <x v="89"/>
    <x v="0"/>
    <x v="12"/>
    <x v="3"/>
    <x v="1"/>
    <n v="4750.72"/>
  </r>
  <r>
    <d v="2024-02-20T00:00:00"/>
    <x v="0"/>
    <x v="1"/>
    <x v="1"/>
    <x v="37"/>
    <x v="6"/>
    <x v="6"/>
    <x v="39"/>
    <x v="0"/>
    <x v="14"/>
    <x v="5"/>
    <x v="8"/>
    <n v="5804.51"/>
  </r>
  <r>
    <d v="2024-02-21T00:00:00"/>
    <x v="0"/>
    <x v="1"/>
    <x v="1"/>
    <x v="23"/>
    <x v="1"/>
    <x v="1"/>
    <x v="12"/>
    <x v="0"/>
    <x v="10"/>
    <x v="3"/>
    <x v="1"/>
    <n v="21.49"/>
  </r>
  <r>
    <d v="2024-02-21T00:00:00"/>
    <x v="0"/>
    <x v="1"/>
    <x v="1"/>
    <x v="31"/>
    <x v="2"/>
    <x v="2"/>
    <x v="0"/>
    <x v="0"/>
    <x v="11"/>
    <x v="9"/>
    <x v="6"/>
    <n v="61.0"/>
  </r>
  <r>
    <d v="2024-02-21T00:00:00"/>
    <x v="0"/>
    <x v="1"/>
    <x v="1"/>
    <x v="70"/>
    <x v="6"/>
    <x v="6"/>
    <x v="33"/>
    <x v="0"/>
    <x v="14"/>
    <x v="4"/>
    <x v="7"/>
    <n v="948.54"/>
  </r>
  <r>
    <d v="2024-02-21T00:00:00"/>
    <x v="0"/>
    <x v="1"/>
    <x v="1"/>
    <x v="21"/>
    <x v="3"/>
    <x v="3"/>
    <x v="60"/>
    <x v="0"/>
    <x v="17"/>
    <x v="2"/>
    <x v="2"/>
    <n v="1653.39"/>
  </r>
  <r>
    <d v="2024-02-21T00:00:00"/>
    <x v="0"/>
    <x v="1"/>
    <x v="1"/>
    <x v="47"/>
    <x v="3"/>
    <x v="3"/>
    <x v="54"/>
    <x v="0"/>
    <x v="19"/>
    <x v="4"/>
    <x v="7"/>
    <n v="2547.41"/>
  </r>
  <r>
    <d v="2024-02-22T00:00:00"/>
    <x v="0"/>
    <x v="1"/>
    <x v="1"/>
    <x v="15"/>
    <x v="4"/>
    <x v="4"/>
    <x v="79"/>
    <x v="0"/>
    <x v="0"/>
    <x v="4"/>
    <x v="7"/>
    <n v="5.97"/>
  </r>
  <r>
    <d v="2024-02-22T00:00:00"/>
    <x v="0"/>
    <x v="1"/>
    <x v="1"/>
    <x v="5"/>
    <x v="1"/>
    <x v="1"/>
    <x v="14"/>
    <x v="0"/>
    <x v="4"/>
    <x v="1"/>
    <x v="0"/>
    <n v="23.16"/>
  </r>
  <r>
    <d v="2024-02-22T00:00:00"/>
    <x v="0"/>
    <x v="1"/>
    <x v="1"/>
    <x v="75"/>
    <x v="1"/>
    <x v="1"/>
    <x v="4"/>
    <x v="0"/>
    <x v="6"/>
    <x v="5"/>
    <x v="8"/>
    <n v="428.14"/>
  </r>
  <r>
    <d v="2024-02-22T00:00:00"/>
    <x v="0"/>
    <x v="1"/>
    <x v="1"/>
    <x v="39"/>
    <x v="7"/>
    <x v="7"/>
    <x v="91"/>
    <x v="0"/>
    <x v="9"/>
    <x v="0"/>
    <x v="9"/>
    <n v="1849.15"/>
  </r>
  <r>
    <d v="2024-02-23T00:00:00"/>
    <x v="0"/>
    <x v="1"/>
    <x v="0"/>
    <x v="20"/>
    <x v="3"/>
    <x v="3"/>
    <x v="71"/>
    <x v="0"/>
    <x v="3"/>
    <x v="3"/>
    <x v="1"/>
    <n v="14.99"/>
  </r>
  <r>
    <d v="2024-02-23T00:00:00"/>
    <x v="0"/>
    <x v="1"/>
    <x v="0"/>
    <x v="68"/>
    <x v="3"/>
    <x v="3"/>
    <x v="59"/>
    <x v="0"/>
    <x v="16"/>
    <x v="6"/>
    <x v="4"/>
    <n v="17.54"/>
  </r>
  <r>
    <d v="2024-02-23T00:00:00"/>
    <x v="0"/>
    <x v="1"/>
    <x v="1"/>
    <x v="42"/>
    <x v="3"/>
    <x v="3"/>
    <x v="63"/>
    <x v="0"/>
    <x v="17"/>
    <x v="0"/>
    <x v="9"/>
    <n v="28.47"/>
  </r>
  <r>
    <d v="2024-02-23T00:00:00"/>
    <x v="0"/>
    <x v="1"/>
    <x v="0"/>
    <x v="70"/>
    <x v="6"/>
    <x v="6"/>
    <x v="33"/>
    <x v="0"/>
    <x v="14"/>
    <x v="9"/>
    <x v="6"/>
    <n v="47.92"/>
  </r>
  <r>
    <d v="2024-02-23T00:00:00"/>
    <x v="0"/>
    <x v="1"/>
    <x v="1"/>
    <x v="27"/>
    <x v="6"/>
    <x v="6"/>
    <x v="31"/>
    <x v="0"/>
    <x v="2"/>
    <x v="7"/>
    <x v="3"/>
    <n v="64.96"/>
  </r>
  <r>
    <d v="2024-02-23T00:00:00"/>
    <x v="0"/>
    <x v="1"/>
    <x v="1"/>
    <x v="35"/>
    <x v="6"/>
    <x v="6"/>
    <x v="46"/>
    <x v="0"/>
    <x v="7"/>
    <x v="8"/>
    <x v="5"/>
    <n v="571.46"/>
  </r>
  <r>
    <d v="2024-02-23T00:00:00"/>
    <x v="0"/>
    <x v="1"/>
    <x v="1"/>
    <x v="69"/>
    <x v="1"/>
    <x v="1"/>
    <x v="19"/>
    <x v="0"/>
    <x v="5"/>
    <x v="2"/>
    <x v="2"/>
    <n v="573.83"/>
  </r>
  <r>
    <d v="2024-02-24T00:00:00"/>
    <x v="0"/>
    <x v="1"/>
    <x v="1"/>
    <x v="41"/>
    <x v="5"/>
    <x v="5"/>
    <x v="93"/>
    <x v="0"/>
    <x v="18"/>
    <x v="0"/>
    <x v="9"/>
    <n v="29.95"/>
  </r>
  <r>
    <d v="2024-02-24T00:00:00"/>
    <x v="0"/>
    <x v="1"/>
    <x v="1"/>
    <x v="1"/>
    <x v="7"/>
    <x v="7"/>
    <x v="89"/>
    <x v="0"/>
    <x v="12"/>
    <x v="5"/>
    <x v="8"/>
    <n v="34.93"/>
  </r>
  <r>
    <d v="2024-02-24T00:00:00"/>
    <x v="0"/>
    <x v="1"/>
    <x v="1"/>
    <x v="81"/>
    <x v="4"/>
    <x v="4"/>
    <x v="77"/>
    <x v="0"/>
    <x v="15"/>
    <x v="1"/>
    <x v="0"/>
    <n v="59.0"/>
  </r>
  <r>
    <d v="2024-02-24T00:00:00"/>
    <x v="0"/>
    <x v="1"/>
    <x v="1"/>
    <x v="85"/>
    <x v="6"/>
    <x v="6"/>
    <x v="43"/>
    <x v="0"/>
    <x v="7"/>
    <x v="2"/>
    <x v="2"/>
    <n v="504.95"/>
  </r>
  <r>
    <d v="2024-02-24T00:00:00"/>
    <x v="0"/>
    <x v="1"/>
    <x v="1"/>
    <x v="79"/>
    <x v="1"/>
    <x v="1"/>
    <x v="8"/>
    <x v="0"/>
    <x v="10"/>
    <x v="5"/>
    <x v="8"/>
    <n v="715.62"/>
  </r>
  <r>
    <d v="2024-02-24T00:00:00"/>
    <x v="0"/>
    <x v="1"/>
    <x v="1"/>
    <x v="90"/>
    <x v="3"/>
    <x v="3"/>
    <x v="55"/>
    <x v="0"/>
    <x v="19"/>
    <x v="9"/>
    <x v="6"/>
    <n v="747.11"/>
  </r>
  <r>
    <d v="2024-02-25T00:00:00"/>
    <x v="0"/>
    <x v="1"/>
    <x v="1"/>
    <x v="47"/>
    <x v="3"/>
    <x v="3"/>
    <x v="54"/>
    <x v="0"/>
    <x v="19"/>
    <x v="3"/>
    <x v="1"/>
    <n v="7.0"/>
  </r>
  <r>
    <d v="2024-02-25T00:00:00"/>
    <x v="0"/>
    <x v="1"/>
    <x v="1"/>
    <x v="30"/>
    <x v="6"/>
    <x v="6"/>
    <x v="37"/>
    <x v="0"/>
    <x v="14"/>
    <x v="9"/>
    <x v="6"/>
    <n v="15.98"/>
  </r>
  <r>
    <d v="2024-02-25T00:00:00"/>
    <x v="0"/>
    <x v="1"/>
    <x v="0"/>
    <x v="22"/>
    <x v="1"/>
    <x v="1"/>
    <x v="20"/>
    <x v="0"/>
    <x v="5"/>
    <x v="7"/>
    <x v="3"/>
    <n v="127.73"/>
  </r>
  <r>
    <d v="2024-02-25T00:00:00"/>
    <x v="0"/>
    <x v="1"/>
    <x v="1"/>
    <x v="39"/>
    <x v="7"/>
    <x v="7"/>
    <x v="91"/>
    <x v="0"/>
    <x v="9"/>
    <x v="7"/>
    <x v="3"/>
    <n v="179.13"/>
  </r>
  <r>
    <d v="2024-02-25T00:00:00"/>
    <x v="0"/>
    <x v="1"/>
    <x v="1"/>
    <x v="84"/>
    <x v="3"/>
    <x v="3"/>
    <x v="53"/>
    <x v="0"/>
    <x v="19"/>
    <x v="9"/>
    <x v="6"/>
    <n v="525.38"/>
  </r>
  <r>
    <d v="2024-02-26T00:00:00"/>
    <x v="0"/>
    <x v="1"/>
    <x v="1"/>
    <x v="79"/>
    <x v="1"/>
    <x v="1"/>
    <x v="8"/>
    <x v="0"/>
    <x v="10"/>
    <x v="3"/>
    <x v="1"/>
    <n v="2.0"/>
  </r>
  <r>
    <d v="2024-02-26T00:00:00"/>
    <x v="0"/>
    <x v="1"/>
    <x v="0"/>
    <x v="68"/>
    <x v="3"/>
    <x v="3"/>
    <x v="59"/>
    <x v="0"/>
    <x v="16"/>
    <x v="2"/>
    <x v="2"/>
    <n v="3.0"/>
  </r>
  <r>
    <d v="2024-02-26T00:00:00"/>
    <x v="0"/>
    <x v="1"/>
    <x v="0"/>
    <x v="23"/>
    <x v="1"/>
    <x v="1"/>
    <x v="12"/>
    <x v="0"/>
    <x v="10"/>
    <x v="5"/>
    <x v="8"/>
    <n v="40.23"/>
  </r>
  <r>
    <d v="2024-02-26T00:00:00"/>
    <x v="0"/>
    <x v="1"/>
    <x v="1"/>
    <x v="71"/>
    <x v="1"/>
    <x v="1"/>
    <x v="27"/>
    <x v="0"/>
    <x v="8"/>
    <x v="0"/>
    <x v="9"/>
    <n v="536.42"/>
  </r>
  <r>
    <d v="2024-02-27T00:00:00"/>
    <x v="0"/>
    <x v="1"/>
    <x v="1"/>
    <x v="1"/>
    <x v="7"/>
    <x v="7"/>
    <x v="89"/>
    <x v="0"/>
    <x v="12"/>
    <x v="8"/>
    <x v="5"/>
    <n v="45.54"/>
  </r>
  <r>
    <d v="2024-02-27T00:00:00"/>
    <x v="0"/>
    <x v="1"/>
    <x v="1"/>
    <x v="2"/>
    <x v="1"/>
    <x v="1"/>
    <x v="2"/>
    <x v="0"/>
    <x v="6"/>
    <x v="2"/>
    <x v="2"/>
    <n v="87.85"/>
  </r>
  <r>
    <d v="2024-02-27T00:00:00"/>
    <x v="0"/>
    <x v="1"/>
    <x v="1"/>
    <x v="76"/>
    <x v="6"/>
    <x v="6"/>
    <x v="34"/>
    <x v="0"/>
    <x v="14"/>
    <x v="9"/>
    <x v="6"/>
    <n v="137.77"/>
  </r>
  <r>
    <d v="2024-02-27T00:00:00"/>
    <x v="0"/>
    <x v="1"/>
    <x v="1"/>
    <x v="5"/>
    <x v="1"/>
    <x v="1"/>
    <x v="14"/>
    <x v="0"/>
    <x v="4"/>
    <x v="6"/>
    <x v="4"/>
    <n v="330.32"/>
  </r>
  <r>
    <d v="2024-02-27T00:00:00"/>
    <x v="0"/>
    <x v="1"/>
    <x v="0"/>
    <x v="8"/>
    <x v="3"/>
    <x v="3"/>
    <x v="72"/>
    <x v="0"/>
    <x v="3"/>
    <x v="1"/>
    <x v="0"/>
    <n v="664.64"/>
  </r>
  <r>
    <d v="2024-02-27T00:00:00"/>
    <x v="0"/>
    <x v="1"/>
    <x v="1"/>
    <x v="18"/>
    <x v="5"/>
    <x v="5"/>
    <x v="96"/>
    <x v="0"/>
    <x v="18"/>
    <x v="3"/>
    <x v="1"/>
    <n v="2156.94"/>
  </r>
  <r>
    <d v="2024-02-28T00:00:00"/>
    <x v="0"/>
    <x v="1"/>
    <x v="1"/>
    <x v="14"/>
    <x v="6"/>
    <x v="6"/>
    <x v="45"/>
    <x v="0"/>
    <x v="7"/>
    <x v="1"/>
    <x v="0"/>
    <n v="7.99"/>
  </r>
  <r>
    <d v="2024-02-28T00:00:00"/>
    <x v="0"/>
    <x v="1"/>
    <x v="1"/>
    <x v="30"/>
    <x v="6"/>
    <x v="6"/>
    <x v="37"/>
    <x v="0"/>
    <x v="14"/>
    <x v="6"/>
    <x v="4"/>
    <n v="21.97"/>
  </r>
  <r>
    <d v="2024-02-28T00:00:00"/>
    <x v="0"/>
    <x v="1"/>
    <x v="0"/>
    <x v="91"/>
    <x v="1"/>
    <x v="1"/>
    <x v="23"/>
    <x v="0"/>
    <x v="8"/>
    <x v="6"/>
    <x v="4"/>
    <n v="110.41"/>
  </r>
  <r>
    <d v="2024-02-28T00:00:00"/>
    <x v="0"/>
    <x v="1"/>
    <x v="1"/>
    <x v="66"/>
    <x v="4"/>
    <x v="4"/>
    <x v="76"/>
    <x v="0"/>
    <x v="15"/>
    <x v="9"/>
    <x v="6"/>
    <n v="786.86"/>
  </r>
  <r>
    <d v="2024-02-28T00:00:00"/>
    <x v="0"/>
    <x v="1"/>
    <x v="1"/>
    <x v="17"/>
    <x v="3"/>
    <x v="3"/>
    <x v="57"/>
    <x v="0"/>
    <x v="16"/>
    <x v="5"/>
    <x v="8"/>
    <n v="915.32"/>
  </r>
  <r>
    <d v="2024-02-28T00:00:00"/>
    <x v="0"/>
    <x v="1"/>
    <x v="1"/>
    <x v="25"/>
    <x v="1"/>
    <x v="1"/>
    <x v="6"/>
    <x v="0"/>
    <x v="6"/>
    <x v="3"/>
    <x v="1"/>
    <n v="2741.97"/>
  </r>
  <r>
    <d v="2024-03-01T00:00:00"/>
    <x v="0"/>
    <x v="2"/>
    <x v="1"/>
    <x v="7"/>
    <x v="1"/>
    <x v="1"/>
    <x v="10"/>
    <x v="0"/>
    <x v="10"/>
    <x v="1"/>
    <x v="0"/>
    <n v="3.0"/>
  </r>
  <r>
    <d v="2024-03-01T00:00:00"/>
    <x v="0"/>
    <x v="2"/>
    <x v="1"/>
    <x v="49"/>
    <x v="3"/>
    <x v="3"/>
    <x v="58"/>
    <x v="0"/>
    <x v="16"/>
    <x v="1"/>
    <x v="0"/>
    <n v="15.98"/>
  </r>
  <r>
    <d v="2024-03-01T00:00:00"/>
    <x v="0"/>
    <x v="2"/>
    <x v="1"/>
    <x v="3"/>
    <x v="2"/>
    <x v="2"/>
    <x v="1"/>
    <x v="0"/>
    <x v="11"/>
    <x v="3"/>
    <x v="1"/>
    <n v="29.97"/>
  </r>
  <r>
    <d v="2024-03-01T00:00:00"/>
    <x v="0"/>
    <x v="2"/>
    <x v="0"/>
    <x v="23"/>
    <x v="1"/>
    <x v="1"/>
    <x v="12"/>
    <x v="0"/>
    <x v="10"/>
    <x v="0"/>
    <x v="9"/>
    <n v="121.32"/>
  </r>
  <r>
    <d v="2024-03-01T00:00:00"/>
    <x v="0"/>
    <x v="2"/>
    <x v="0"/>
    <x v="22"/>
    <x v="1"/>
    <x v="1"/>
    <x v="20"/>
    <x v="0"/>
    <x v="5"/>
    <x v="8"/>
    <x v="5"/>
    <n v="134.18"/>
  </r>
  <r>
    <d v="2024-03-01T00:00:00"/>
    <x v="0"/>
    <x v="2"/>
    <x v="1"/>
    <x v="1"/>
    <x v="7"/>
    <x v="7"/>
    <x v="89"/>
    <x v="0"/>
    <x v="12"/>
    <x v="4"/>
    <x v="7"/>
    <n v="488.77"/>
  </r>
  <r>
    <d v="2024-03-01T00:00:00"/>
    <x v="0"/>
    <x v="2"/>
    <x v="1"/>
    <x v="17"/>
    <x v="3"/>
    <x v="3"/>
    <x v="57"/>
    <x v="0"/>
    <x v="16"/>
    <x v="3"/>
    <x v="1"/>
    <n v="1047.99"/>
  </r>
  <r>
    <d v="2024-03-01T00:00:00"/>
    <x v="0"/>
    <x v="2"/>
    <x v="1"/>
    <x v="10"/>
    <x v="6"/>
    <x v="6"/>
    <x v="41"/>
    <x v="0"/>
    <x v="7"/>
    <x v="4"/>
    <x v="7"/>
    <n v="2054.2"/>
  </r>
  <r>
    <d v="2024-03-02T00:00:00"/>
    <x v="0"/>
    <x v="2"/>
    <x v="0"/>
    <x v="28"/>
    <x v="6"/>
    <x v="6"/>
    <x v="51"/>
    <x v="0"/>
    <x v="13"/>
    <x v="5"/>
    <x v="8"/>
    <n v="6.0"/>
  </r>
  <r>
    <d v="2024-03-02T00:00:00"/>
    <x v="0"/>
    <x v="2"/>
    <x v="0"/>
    <x v="68"/>
    <x v="3"/>
    <x v="3"/>
    <x v="59"/>
    <x v="0"/>
    <x v="16"/>
    <x v="4"/>
    <x v="7"/>
    <n v="11.96"/>
  </r>
  <r>
    <d v="2024-03-02T00:00:00"/>
    <x v="0"/>
    <x v="2"/>
    <x v="1"/>
    <x v="77"/>
    <x v="3"/>
    <x v="3"/>
    <x v="66"/>
    <x v="0"/>
    <x v="1"/>
    <x v="0"/>
    <x v="9"/>
    <n v="39.96"/>
  </r>
  <r>
    <d v="2024-03-02T00:00:00"/>
    <x v="0"/>
    <x v="2"/>
    <x v="1"/>
    <x v="16"/>
    <x v="7"/>
    <x v="7"/>
    <x v="92"/>
    <x v="0"/>
    <x v="9"/>
    <x v="1"/>
    <x v="0"/>
    <n v="99.39"/>
  </r>
  <r>
    <d v="2024-03-02T00:00:00"/>
    <x v="0"/>
    <x v="2"/>
    <x v="1"/>
    <x v="84"/>
    <x v="3"/>
    <x v="3"/>
    <x v="53"/>
    <x v="0"/>
    <x v="19"/>
    <x v="7"/>
    <x v="3"/>
    <n v="951.94"/>
  </r>
  <r>
    <d v="2024-03-02T00:00:00"/>
    <x v="0"/>
    <x v="2"/>
    <x v="1"/>
    <x v="75"/>
    <x v="1"/>
    <x v="1"/>
    <x v="4"/>
    <x v="0"/>
    <x v="6"/>
    <x v="3"/>
    <x v="1"/>
    <n v="3979.81"/>
  </r>
  <r>
    <d v="2024-03-03T00:00:00"/>
    <x v="0"/>
    <x v="2"/>
    <x v="1"/>
    <x v="24"/>
    <x v="6"/>
    <x v="6"/>
    <x v="36"/>
    <x v="0"/>
    <x v="14"/>
    <x v="1"/>
    <x v="0"/>
    <n v="21.75"/>
  </r>
  <r>
    <d v="2024-03-03T00:00:00"/>
    <x v="0"/>
    <x v="2"/>
    <x v="0"/>
    <x v="55"/>
    <x v="3"/>
    <x v="3"/>
    <x v="68"/>
    <x v="0"/>
    <x v="1"/>
    <x v="3"/>
    <x v="1"/>
    <n v="270.68"/>
  </r>
  <r>
    <d v="2024-03-03T00:00:00"/>
    <x v="0"/>
    <x v="2"/>
    <x v="1"/>
    <x v="12"/>
    <x v="1"/>
    <x v="1"/>
    <x v="26"/>
    <x v="0"/>
    <x v="8"/>
    <x v="1"/>
    <x v="0"/>
    <n v="1191.03"/>
  </r>
  <r>
    <d v="2024-03-03T00:00:00"/>
    <x v="0"/>
    <x v="2"/>
    <x v="0"/>
    <x v="79"/>
    <x v="1"/>
    <x v="1"/>
    <x v="8"/>
    <x v="0"/>
    <x v="10"/>
    <x v="5"/>
    <x v="8"/>
    <n v="2342.46"/>
  </r>
  <r>
    <d v="2024-03-04T00:00:00"/>
    <x v="0"/>
    <x v="2"/>
    <x v="1"/>
    <x v="24"/>
    <x v="6"/>
    <x v="6"/>
    <x v="36"/>
    <x v="0"/>
    <x v="14"/>
    <x v="1"/>
    <x v="0"/>
    <n v="8.1"/>
  </r>
  <r>
    <d v="2024-03-04T00:00:00"/>
    <x v="0"/>
    <x v="2"/>
    <x v="1"/>
    <x v="52"/>
    <x v="1"/>
    <x v="1"/>
    <x v="11"/>
    <x v="0"/>
    <x v="10"/>
    <x v="1"/>
    <x v="0"/>
    <n v="10.0"/>
  </r>
  <r>
    <d v="2024-03-04T00:00:00"/>
    <x v="0"/>
    <x v="2"/>
    <x v="1"/>
    <x v="2"/>
    <x v="1"/>
    <x v="1"/>
    <x v="2"/>
    <x v="0"/>
    <x v="6"/>
    <x v="9"/>
    <x v="6"/>
    <n v="37.62"/>
  </r>
  <r>
    <d v="2024-03-04T00:00:00"/>
    <x v="0"/>
    <x v="2"/>
    <x v="1"/>
    <x v="59"/>
    <x v="1"/>
    <x v="1"/>
    <x v="3"/>
    <x v="0"/>
    <x v="6"/>
    <x v="1"/>
    <x v="0"/>
    <n v="163.38"/>
  </r>
  <r>
    <d v="2024-03-04T00:00:00"/>
    <x v="0"/>
    <x v="2"/>
    <x v="1"/>
    <x v="68"/>
    <x v="3"/>
    <x v="3"/>
    <x v="59"/>
    <x v="0"/>
    <x v="16"/>
    <x v="8"/>
    <x v="5"/>
    <n v="260.73"/>
  </r>
  <r>
    <d v="2024-03-04T00:00:00"/>
    <x v="0"/>
    <x v="2"/>
    <x v="1"/>
    <x v="80"/>
    <x v="6"/>
    <x v="6"/>
    <x v="38"/>
    <x v="0"/>
    <x v="14"/>
    <x v="6"/>
    <x v="4"/>
    <n v="411.6"/>
  </r>
  <r>
    <d v="2024-03-04T00:00:00"/>
    <x v="0"/>
    <x v="2"/>
    <x v="1"/>
    <x v="32"/>
    <x v="1"/>
    <x v="1"/>
    <x v="28"/>
    <x v="0"/>
    <x v="8"/>
    <x v="3"/>
    <x v="1"/>
    <n v="728.16"/>
  </r>
  <r>
    <d v="2024-03-04T00:00:00"/>
    <x v="0"/>
    <x v="2"/>
    <x v="1"/>
    <x v="30"/>
    <x v="6"/>
    <x v="6"/>
    <x v="37"/>
    <x v="0"/>
    <x v="14"/>
    <x v="2"/>
    <x v="2"/>
    <n v="4474.44"/>
  </r>
  <r>
    <d v="2024-03-05T00:00:00"/>
    <x v="0"/>
    <x v="2"/>
    <x v="0"/>
    <x v="90"/>
    <x v="3"/>
    <x v="3"/>
    <x v="55"/>
    <x v="0"/>
    <x v="19"/>
    <x v="1"/>
    <x v="0"/>
    <n v="7.98"/>
  </r>
  <r>
    <d v="2024-03-05T00:00:00"/>
    <x v="0"/>
    <x v="2"/>
    <x v="1"/>
    <x v="40"/>
    <x v="3"/>
    <x v="3"/>
    <x v="65"/>
    <x v="0"/>
    <x v="1"/>
    <x v="0"/>
    <x v="9"/>
    <n v="51.5"/>
  </r>
  <r>
    <d v="2024-03-05T00:00:00"/>
    <x v="0"/>
    <x v="2"/>
    <x v="1"/>
    <x v="10"/>
    <x v="6"/>
    <x v="6"/>
    <x v="41"/>
    <x v="0"/>
    <x v="7"/>
    <x v="6"/>
    <x v="4"/>
    <n v="381.49"/>
  </r>
  <r>
    <d v="2024-03-05T00:00:00"/>
    <x v="0"/>
    <x v="2"/>
    <x v="1"/>
    <x v="32"/>
    <x v="1"/>
    <x v="1"/>
    <x v="28"/>
    <x v="0"/>
    <x v="8"/>
    <x v="9"/>
    <x v="6"/>
    <n v="479.32"/>
  </r>
  <r>
    <d v="2024-03-05T00:00:00"/>
    <x v="0"/>
    <x v="2"/>
    <x v="1"/>
    <x v="83"/>
    <x v="3"/>
    <x v="3"/>
    <x v="56"/>
    <x v="0"/>
    <x v="16"/>
    <x v="9"/>
    <x v="6"/>
    <n v="3350.8"/>
  </r>
  <r>
    <d v="2024-03-06T00:00:00"/>
    <x v="0"/>
    <x v="2"/>
    <x v="1"/>
    <x v="63"/>
    <x v="4"/>
    <x v="4"/>
    <x v="78"/>
    <x v="0"/>
    <x v="0"/>
    <x v="0"/>
    <x v="9"/>
    <n v="165.67"/>
  </r>
  <r>
    <d v="2024-03-06T00:00:00"/>
    <x v="0"/>
    <x v="2"/>
    <x v="1"/>
    <x v="52"/>
    <x v="1"/>
    <x v="1"/>
    <x v="11"/>
    <x v="0"/>
    <x v="10"/>
    <x v="5"/>
    <x v="8"/>
    <n v="335.48"/>
  </r>
  <r>
    <d v="2024-03-06T00:00:00"/>
    <x v="0"/>
    <x v="2"/>
    <x v="1"/>
    <x v="85"/>
    <x v="6"/>
    <x v="6"/>
    <x v="43"/>
    <x v="0"/>
    <x v="7"/>
    <x v="4"/>
    <x v="7"/>
    <n v="801.68"/>
  </r>
  <r>
    <d v="2024-03-06T00:00:00"/>
    <x v="0"/>
    <x v="2"/>
    <x v="1"/>
    <x v="84"/>
    <x v="3"/>
    <x v="3"/>
    <x v="53"/>
    <x v="0"/>
    <x v="19"/>
    <x v="1"/>
    <x v="0"/>
    <n v="818.34"/>
  </r>
  <r>
    <d v="2024-03-06T00:00:00"/>
    <x v="0"/>
    <x v="2"/>
    <x v="1"/>
    <x v="75"/>
    <x v="1"/>
    <x v="1"/>
    <x v="4"/>
    <x v="0"/>
    <x v="6"/>
    <x v="8"/>
    <x v="5"/>
    <n v="1308.19"/>
  </r>
  <r>
    <d v="2024-03-06T00:00:00"/>
    <x v="0"/>
    <x v="2"/>
    <x v="0"/>
    <x v="4"/>
    <x v="6"/>
    <x v="6"/>
    <x v="29"/>
    <x v="0"/>
    <x v="2"/>
    <x v="2"/>
    <x v="2"/>
    <n v="3326.51"/>
  </r>
  <r>
    <d v="2024-03-07T00:00:00"/>
    <x v="0"/>
    <x v="2"/>
    <x v="0"/>
    <x v="34"/>
    <x v="6"/>
    <x v="6"/>
    <x v="32"/>
    <x v="0"/>
    <x v="2"/>
    <x v="2"/>
    <x v="2"/>
    <n v="29.95"/>
  </r>
  <r>
    <d v="2024-03-07T00:00:00"/>
    <x v="0"/>
    <x v="2"/>
    <x v="0"/>
    <x v="62"/>
    <x v="6"/>
    <x v="6"/>
    <x v="50"/>
    <x v="0"/>
    <x v="13"/>
    <x v="3"/>
    <x v="1"/>
    <n v="213.8"/>
  </r>
  <r>
    <d v="2024-03-07T00:00:00"/>
    <x v="0"/>
    <x v="2"/>
    <x v="1"/>
    <x v="12"/>
    <x v="1"/>
    <x v="1"/>
    <x v="26"/>
    <x v="0"/>
    <x v="8"/>
    <x v="3"/>
    <x v="1"/>
    <n v="600.72"/>
  </r>
  <r>
    <d v="2024-03-08T00:00:00"/>
    <x v="0"/>
    <x v="2"/>
    <x v="0"/>
    <x v="25"/>
    <x v="1"/>
    <x v="1"/>
    <x v="6"/>
    <x v="0"/>
    <x v="6"/>
    <x v="6"/>
    <x v="4"/>
    <n v="2.98"/>
  </r>
  <r>
    <d v="2024-03-08T00:00:00"/>
    <x v="0"/>
    <x v="2"/>
    <x v="1"/>
    <x v="58"/>
    <x v="3"/>
    <x v="3"/>
    <x v="61"/>
    <x v="0"/>
    <x v="17"/>
    <x v="3"/>
    <x v="1"/>
    <n v="4.99"/>
  </r>
  <r>
    <d v="2024-03-08T00:00:00"/>
    <x v="0"/>
    <x v="2"/>
    <x v="0"/>
    <x v="53"/>
    <x v="1"/>
    <x v="1"/>
    <x v="16"/>
    <x v="0"/>
    <x v="4"/>
    <x v="6"/>
    <x v="4"/>
    <n v="43.75"/>
  </r>
  <r>
    <d v="2024-03-08T00:00:00"/>
    <x v="0"/>
    <x v="2"/>
    <x v="0"/>
    <x v="63"/>
    <x v="4"/>
    <x v="4"/>
    <x v="78"/>
    <x v="0"/>
    <x v="0"/>
    <x v="0"/>
    <x v="9"/>
    <n v="92.82"/>
  </r>
  <r>
    <d v="2024-03-08T00:00:00"/>
    <x v="0"/>
    <x v="2"/>
    <x v="1"/>
    <x v="28"/>
    <x v="6"/>
    <x v="6"/>
    <x v="51"/>
    <x v="0"/>
    <x v="13"/>
    <x v="5"/>
    <x v="8"/>
    <n v="146.63"/>
  </r>
  <r>
    <d v="2024-03-08T00:00:00"/>
    <x v="0"/>
    <x v="2"/>
    <x v="1"/>
    <x v="1"/>
    <x v="7"/>
    <x v="7"/>
    <x v="89"/>
    <x v="0"/>
    <x v="12"/>
    <x v="1"/>
    <x v="0"/>
    <n v="147.89"/>
  </r>
  <r>
    <d v="2024-03-08T00:00:00"/>
    <x v="0"/>
    <x v="2"/>
    <x v="1"/>
    <x v="25"/>
    <x v="1"/>
    <x v="1"/>
    <x v="6"/>
    <x v="0"/>
    <x v="6"/>
    <x v="3"/>
    <x v="1"/>
    <n v="210.75"/>
  </r>
  <r>
    <d v="2024-03-08T00:00:00"/>
    <x v="0"/>
    <x v="2"/>
    <x v="1"/>
    <x v="0"/>
    <x v="3"/>
    <x v="3"/>
    <x v="69"/>
    <x v="0"/>
    <x v="3"/>
    <x v="1"/>
    <x v="0"/>
    <n v="243.83"/>
  </r>
  <r>
    <d v="2024-03-08T00:00:00"/>
    <x v="0"/>
    <x v="2"/>
    <x v="1"/>
    <x v="11"/>
    <x v="1"/>
    <x v="1"/>
    <x v="15"/>
    <x v="0"/>
    <x v="4"/>
    <x v="5"/>
    <x v="8"/>
    <n v="539.91"/>
  </r>
  <r>
    <d v="2024-03-08T00:00:00"/>
    <x v="0"/>
    <x v="2"/>
    <x v="1"/>
    <x v="67"/>
    <x v="3"/>
    <x v="3"/>
    <x v="62"/>
    <x v="0"/>
    <x v="17"/>
    <x v="2"/>
    <x v="2"/>
    <n v="632.79"/>
  </r>
  <r>
    <d v="2024-03-09T00:00:00"/>
    <x v="0"/>
    <x v="2"/>
    <x v="0"/>
    <x v="24"/>
    <x v="6"/>
    <x v="6"/>
    <x v="36"/>
    <x v="0"/>
    <x v="14"/>
    <x v="0"/>
    <x v="9"/>
    <n v="15.53"/>
  </r>
  <r>
    <d v="2024-03-09T00:00:00"/>
    <x v="0"/>
    <x v="2"/>
    <x v="1"/>
    <x v="27"/>
    <x v="6"/>
    <x v="6"/>
    <x v="31"/>
    <x v="0"/>
    <x v="2"/>
    <x v="4"/>
    <x v="7"/>
    <n v="39.95"/>
  </r>
  <r>
    <d v="2024-03-09T00:00:00"/>
    <x v="0"/>
    <x v="2"/>
    <x v="0"/>
    <x v="45"/>
    <x v="3"/>
    <x v="3"/>
    <x v="64"/>
    <x v="0"/>
    <x v="1"/>
    <x v="2"/>
    <x v="2"/>
    <n v="65.89"/>
  </r>
  <r>
    <d v="2024-03-09T00:00:00"/>
    <x v="0"/>
    <x v="2"/>
    <x v="0"/>
    <x v="36"/>
    <x v="7"/>
    <x v="7"/>
    <x v="90"/>
    <x v="0"/>
    <x v="9"/>
    <x v="3"/>
    <x v="1"/>
    <n v="307.73"/>
  </r>
  <r>
    <d v="2024-03-09T00:00:00"/>
    <x v="0"/>
    <x v="2"/>
    <x v="1"/>
    <x v="61"/>
    <x v="7"/>
    <x v="7"/>
    <x v="84"/>
    <x v="0"/>
    <x v="20"/>
    <x v="4"/>
    <x v="7"/>
    <n v="310.93"/>
  </r>
  <r>
    <d v="2024-03-09T00:00:00"/>
    <x v="0"/>
    <x v="2"/>
    <x v="1"/>
    <x v="65"/>
    <x v="1"/>
    <x v="1"/>
    <x v="7"/>
    <x v="0"/>
    <x v="10"/>
    <x v="4"/>
    <x v="7"/>
    <n v="317.45"/>
  </r>
  <r>
    <d v="2024-03-09T00:00:00"/>
    <x v="0"/>
    <x v="2"/>
    <x v="0"/>
    <x v="92"/>
    <x v="6"/>
    <x v="6"/>
    <x v="40"/>
    <x v="0"/>
    <x v="7"/>
    <x v="8"/>
    <x v="5"/>
    <n v="335.35"/>
  </r>
  <r>
    <d v="2024-03-09T00:00:00"/>
    <x v="0"/>
    <x v="2"/>
    <x v="1"/>
    <x v="49"/>
    <x v="3"/>
    <x v="3"/>
    <x v="58"/>
    <x v="0"/>
    <x v="16"/>
    <x v="4"/>
    <x v="7"/>
    <n v="428.84"/>
  </r>
  <r>
    <d v="2024-03-09T00:00:00"/>
    <x v="0"/>
    <x v="2"/>
    <x v="0"/>
    <x v="41"/>
    <x v="5"/>
    <x v="5"/>
    <x v="93"/>
    <x v="0"/>
    <x v="18"/>
    <x v="3"/>
    <x v="1"/>
    <n v="510.4"/>
  </r>
  <r>
    <d v="2024-03-09T00:00:00"/>
    <x v="0"/>
    <x v="2"/>
    <x v="0"/>
    <x v="2"/>
    <x v="1"/>
    <x v="1"/>
    <x v="2"/>
    <x v="0"/>
    <x v="6"/>
    <x v="6"/>
    <x v="4"/>
    <n v="7676.07"/>
  </r>
  <r>
    <d v="2024-03-10T00:00:00"/>
    <x v="0"/>
    <x v="2"/>
    <x v="0"/>
    <x v="21"/>
    <x v="3"/>
    <x v="3"/>
    <x v="60"/>
    <x v="0"/>
    <x v="17"/>
    <x v="8"/>
    <x v="5"/>
    <n v="23.94"/>
  </r>
  <r>
    <d v="2024-03-10T00:00:00"/>
    <x v="0"/>
    <x v="2"/>
    <x v="1"/>
    <x v="13"/>
    <x v="0"/>
    <x v="0"/>
    <x v="22"/>
    <x v="0"/>
    <x v="5"/>
    <x v="9"/>
    <x v="6"/>
    <n v="218.43"/>
  </r>
  <r>
    <d v="2024-03-11T00:00:00"/>
    <x v="0"/>
    <x v="2"/>
    <x v="0"/>
    <x v="83"/>
    <x v="3"/>
    <x v="3"/>
    <x v="56"/>
    <x v="0"/>
    <x v="16"/>
    <x v="0"/>
    <x v="9"/>
    <n v="5.99"/>
  </r>
  <r>
    <d v="2024-03-11T00:00:00"/>
    <x v="0"/>
    <x v="2"/>
    <x v="1"/>
    <x v="65"/>
    <x v="1"/>
    <x v="1"/>
    <x v="7"/>
    <x v="0"/>
    <x v="10"/>
    <x v="2"/>
    <x v="2"/>
    <n v="7.99"/>
  </r>
  <r>
    <d v="2024-03-11T00:00:00"/>
    <x v="0"/>
    <x v="2"/>
    <x v="0"/>
    <x v="69"/>
    <x v="1"/>
    <x v="1"/>
    <x v="19"/>
    <x v="0"/>
    <x v="5"/>
    <x v="1"/>
    <x v="0"/>
    <n v="28.97"/>
  </r>
  <r>
    <d v="2024-03-11T00:00:00"/>
    <x v="0"/>
    <x v="2"/>
    <x v="1"/>
    <x v="7"/>
    <x v="1"/>
    <x v="1"/>
    <x v="10"/>
    <x v="0"/>
    <x v="10"/>
    <x v="1"/>
    <x v="0"/>
    <n v="194.06"/>
  </r>
  <r>
    <d v="2024-03-11T00:00:00"/>
    <x v="0"/>
    <x v="2"/>
    <x v="1"/>
    <x v="83"/>
    <x v="3"/>
    <x v="3"/>
    <x v="56"/>
    <x v="0"/>
    <x v="16"/>
    <x v="0"/>
    <x v="9"/>
    <n v="747.07"/>
  </r>
  <r>
    <d v="2024-03-11T00:00:00"/>
    <x v="0"/>
    <x v="2"/>
    <x v="1"/>
    <x v="55"/>
    <x v="3"/>
    <x v="3"/>
    <x v="68"/>
    <x v="0"/>
    <x v="1"/>
    <x v="4"/>
    <x v="7"/>
    <n v="749.75"/>
  </r>
  <r>
    <d v="2024-03-11T00:00:00"/>
    <x v="0"/>
    <x v="2"/>
    <x v="1"/>
    <x v="30"/>
    <x v="6"/>
    <x v="6"/>
    <x v="37"/>
    <x v="0"/>
    <x v="14"/>
    <x v="5"/>
    <x v="8"/>
    <n v="4015.23"/>
  </r>
  <r>
    <d v="2024-03-12T00:00:00"/>
    <x v="0"/>
    <x v="2"/>
    <x v="1"/>
    <x v="67"/>
    <x v="3"/>
    <x v="3"/>
    <x v="62"/>
    <x v="0"/>
    <x v="17"/>
    <x v="0"/>
    <x v="9"/>
    <n v="2.0"/>
  </r>
  <r>
    <d v="2024-03-12T00:00:00"/>
    <x v="0"/>
    <x v="2"/>
    <x v="1"/>
    <x v="37"/>
    <x v="6"/>
    <x v="6"/>
    <x v="39"/>
    <x v="0"/>
    <x v="14"/>
    <x v="2"/>
    <x v="2"/>
    <n v="13.99"/>
  </r>
  <r>
    <d v="2024-03-12T00:00:00"/>
    <x v="0"/>
    <x v="2"/>
    <x v="1"/>
    <x v="82"/>
    <x v="6"/>
    <x v="6"/>
    <x v="47"/>
    <x v="0"/>
    <x v="13"/>
    <x v="5"/>
    <x v="8"/>
    <n v="51.98"/>
  </r>
  <r>
    <d v="2024-03-12T00:00:00"/>
    <x v="0"/>
    <x v="2"/>
    <x v="1"/>
    <x v="33"/>
    <x v="1"/>
    <x v="1"/>
    <x v="13"/>
    <x v="0"/>
    <x v="10"/>
    <x v="3"/>
    <x v="1"/>
    <n v="243.72"/>
  </r>
  <r>
    <d v="2024-03-12T00:00:00"/>
    <x v="0"/>
    <x v="2"/>
    <x v="1"/>
    <x v="56"/>
    <x v="7"/>
    <x v="7"/>
    <x v="86"/>
    <x v="0"/>
    <x v="12"/>
    <x v="0"/>
    <x v="9"/>
    <n v="540.04"/>
  </r>
  <r>
    <d v="2024-03-12T00:00:00"/>
    <x v="0"/>
    <x v="2"/>
    <x v="0"/>
    <x v="4"/>
    <x v="6"/>
    <x v="6"/>
    <x v="29"/>
    <x v="0"/>
    <x v="2"/>
    <x v="9"/>
    <x v="6"/>
    <n v="817.7"/>
  </r>
  <r>
    <d v="2024-03-12T00:00:00"/>
    <x v="0"/>
    <x v="2"/>
    <x v="1"/>
    <x v="47"/>
    <x v="3"/>
    <x v="3"/>
    <x v="54"/>
    <x v="0"/>
    <x v="19"/>
    <x v="1"/>
    <x v="0"/>
    <n v="1207.94"/>
  </r>
  <r>
    <d v="2024-03-12T00:00:00"/>
    <x v="0"/>
    <x v="2"/>
    <x v="1"/>
    <x v="90"/>
    <x v="3"/>
    <x v="3"/>
    <x v="55"/>
    <x v="0"/>
    <x v="19"/>
    <x v="3"/>
    <x v="1"/>
    <n v="2631.58"/>
  </r>
  <r>
    <d v="2024-03-13T00:00:00"/>
    <x v="0"/>
    <x v="2"/>
    <x v="1"/>
    <x v="81"/>
    <x v="4"/>
    <x v="4"/>
    <x v="77"/>
    <x v="0"/>
    <x v="15"/>
    <x v="2"/>
    <x v="2"/>
    <n v="7.0"/>
  </r>
  <r>
    <d v="2024-03-13T00:00:00"/>
    <x v="0"/>
    <x v="2"/>
    <x v="0"/>
    <x v="65"/>
    <x v="1"/>
    <x v="1"/>
    <x v="7"/>
    <x v="0"/>
    <x v="10"/>
    <x v="4"/>
    <x v="7"/>
    <n v="19.96"/>
  </r>
  <r>
    <d v="2024-03-13T00:00:00"/>
    <x v="0"/>
    <x v="2"/>
    <x v="0"/>
    <x v="76"/>
    <x v="6"/>
    <x v="6"/>
    <x v="34"/>
    <x v="0"/>
    <x v="14"/>
    <x v="2"/>
    <x v="2"/>
    <n v="38.97"/>
  </r>
  <r>
    <d v="2024-03-13T00:00:00"/>
    <x v="0"/>
    <x v="2"/>
    <x v="0"/>
    <x v="12"/>
    <x v="1"/>
    <x v="1"/>
    <x v="26"/>
    <x v="0"/>
    <x v="8"/>
    <x v="6"/>
    <x v="4"/>
    <n v="49.9"/>
  </r>
  <r>
    <d v="2024-03-14T00:00:00"/>
    <x v="0"/>
    <x v="2"/>
    <x v="0"/>
    <x v="56"/>
    <x v="7"/>
    <x v="7"/>
    <x v="86"/>
    <x v="0"/>
    <x v="12"/>
    <x v="1"/>
    <x v="0"/>
    <n v="138.38"/>
  </r>
  <r>
    <d v="2024-03-14T00:00:00"/>
    <x v="0"/>
    <x v="2"/>
    <x v="1"/>
    <x v="65"/>
    <x v="1"/>
    <x v="1"/>
    <x v="7"/>
    <x v="0"/>
    <x v="10"/>
    <x v="6"/>
    <x v="4"/>
    <n v="203.68"/>
  </r>
  <r>
    <d v="2024-03-14T00:00:00"/>
    <x v="0"/>
    <x v="2"/>
    <x v="1"/>
    <x v="77"/>
    <x v="3"/>
    <x v="3"/>
    <x v="66"/>
    <x v="0"/>
    <x v="1"/>
    <x v="1"/>
    <x v="0"/>
    <n v="385.87"/>
  </r>
  <r>
    <d v="2024-03-14T00:00:00"/>
    <x v="0"/>
    <x v="2"/>
    <x v="1"/>
    <x v="85"/>
    <x v="6"/>
    <x v="6"/>
    <x v="43"/>
    <x v="0"/>
    <x v="7"/>
    <x v="9"/>
    <x v="6"/>
    <n v="1285.48"/>
  </r>
  <r>
    <d v="2024-03-14T00:00:00"/>
    <x v="0"/>
    <x v="2"/>
    <x v="1"/>
    <x v="75"/>
    <x v="1"/>
    <x v="1"/>
    <x v="4"/>
    <x v="0"/>
    <x v="6"/>
    <x v="4"/>
    <x v="7"/>
    <n v="1513.38"/>
  </r>
  <r>
    <d v="2024-03-15T00:00:00"/>
    <x v="0"/>
    <x v="2"/>
    <x v="1"/>
    <x v="9"/>
    <x v="7"/>
    <x v="7"/>
    <x v="82"/>
    <x v="0"/>
    <x v="20"/>
    <x v="1"/>
    <x v="0"/>
    <n v="9.0"/>
  </r>
  <r>
    <d v="2024-03-15T00:00:00"/>
    <x v="0"/>
    <x v="2"/>
    <x v="1"/>
    <x v="74"/>
    <x v="4"/>
    <x v="4"/>
    <x v="75"/>
    <x v="0"/>
    <x v="15"/>
    <x v="4"/>
    <x v="7"/>
    <n v="35.98"/>
  </r>
  <r>
    <d v="2024-03-15T00:00:00"/>
    <x v="0"/>
    <x v="2"/>
    <x v="0"/>
    <x v="58"/>
    <x v="3"/>
    <x v="3"/>
    <x v="61"/>
    <x v="0"/>
    <x v="17"/>
    <x v="8"/>
    <x v="5"/>
    <n v="95.84"/>
  </r>
  <r>
    <d v="2024-03-15T00:00:00"/>
    <x v="0"/>
    <x v="2"/>
    <x v="1"/>
    <x v="63"/>
    <x v="4"/>
    <x v="4"/>
    <x v="78"/>
    <x v="0"/>
    <x v="0"/>
    <x v="5"/>
    <x v="8"/>
    <n v="176.19"/>
  </r>
  <r>
    <d v="2024-03-16T00:00:00"/>
    <x v="0"/>
    <x v="2"/>
    <x v="1"/>
    <x v="9"/>
    <x v="7"/>
    <x v="7"/>
    <x v="82"/>
    <x v="0"/>
    <x v="20"/>
    <x v="3"/>
    <x v="1"/>
    <n v="10.0"/>
  </r>
  <r>
    <d v="2024-03-16T00:00:00"/>
    <x v="0"/>
    <x v="2"/>
    <x v="1"/>
    <x v="47"/>
    <x v="3"/>
    <x v="3"/>
    <x v="54"/>
    <x v="0"/>
    <x v="19"/>
    <x v="1"/>
    <x v="0"/>
    <n v="11.98"/>
  </r>
  <r>
    <d v="2024-03-16T00:00:00"/>
    <x v="0"/>
    <x v="2"/>
    <x v="1"/>
    <x v="13"/>
    <x v="0"/>
    <x v="0"/>
    <x v="22"/>
    <x v="0"/>
    <x v="5"/>
    <x v="3"/>
    <x v="1"/>
    <n v="35.96"/>
  </r>
  <r>
    <d v="2024-03-16T00:00:00"/>
    <x v="0"/>
    <x v="2"/>
    <x v="1"/>
    <x v="34"/>
    <x v="6"/>
    <x v="6"/>
    <x v="32"/>
    <x v="0"/>
    <x v="2"/>
    <x v="9"/>
    <x v="6"/>
    <n v="97.74"/>
  </r>
  <r>
    <d v="2024-03-16T00:00:00"/>
    <x v="0"/>
    <x v="2"/>
    <x v="1"/>
    <x v="30"/>
    <x v="6"/>
    <x v="6"/>
    <x v="37"/>
    <x v="0"/>
    <x v="14"/>
    <x v="0"/>
    <x v="9"/>
    <n v="194.65"/>
  </r>
  <r>
    <d v="2024-03-16T00:00:00"/>
    <x v="0"/>
    <x v="2"/>
    <x v="0"/>
    <x v="39"/>
    <x v="7"/>
    <x v="7"/>
    <x v="91"/>
    <x v="0"/>
    <x v="9"/>
    <x v="8"/>
    <x v="5"/>
    <n v="218.63"/>
  </r>
  <r>
    <d v="2024-03-16T00:00:00"/>
    <x v="0"/>
    <x v="2"/>
    <x v="1"/>
    <x v="66"/>
    <x v="4"/>
    <x v="4"/>
    <x v="76"/>
    <x v="0"/>
    <x v="15"/>
    <x v="5"/>
    <x v="8"/>
    <n v="306.46"/>
  </r>
  <r>
    <d v="2024-03-16T00:00:00"/>
    <x v="0"/>
    <x v="2"/>
    <x v="1"/>
    <x v="34"/>
    <x v="6"/>
    <x v="6"/>
    <x v="32"/>
    <x v="0"/>
    <x v="2"/>
    <x v="1"/>
    <x v="0"/>
    <n v="945.3"/>
  </r>
  <r>
    <d v="2024-03-16T00:00:00"/>
    <x v="0"/>
    <x v="2"/>
    <x v="1"/>
    <x v="85"/>
    <x v="6"/>
    <x v="6"/>
    <x v="43"/>
    <x v="0"/>
    <x v="7"/>
    <x v="2"/>
    <x v="2"/>
    <n v="1318.03"/>
  </r>
  <r>
    <d v="2024-03-17T00:00:00"/>
    <x v="0"/>
    <x v="2"/>
    <x v="1"/>
    <x v="3"/>
    <x v="2"/>
    <x v="2"/>
    <x v="1"/>
    <x v="0"/>
    <x v="11"/>
    <x v="9"/>
    <x v="6"/>
    <n v="208.22"/>
  </r>
  <r>
    <d v="2024-03-17T00:00:00"/>
    <x v="0"/>
    <x v="2"/>
    <x v="1"/>
    <x v="35"/>
    <x v="6"/>
    <x v="6"/>
    <x v="46"/>
    <x v="0"/>
    <x v="7"/>
    <x v="0"/>
    <x v="9"/>
    <n v="896.08"/>
  </r>
  <r>
    <d v="2024-03-17T00:00:00"/>
    <x v="0"/>
    <x v="2"/>
    <x v="1"/>
    <x v="34"/>
    <x v="6"/>
    <x v="6"/>
    <x v="32"/>
    <x v="0"/>
    <x v="2"/>
    <x v="3"/>
    <x v="1"/>
    <n v="3579.12"/>
  </r>
  <r>
    <d v="2024-03-17T00:00:00"/>
    <x v="0"/>
    <x v="2"/>
    <x v="1"/>
    <x v="58"/>
    <x v="3"/>
    <x v="3"/>
    <x v="61"/>
    <x v="0"/>
    <x v="17"/>
    <x v="2"/>
    <x v="2"/>
    <n v="5564.14"/>
  </r>
  <r>
    <d v="2024-03-18T00:00:00"/>
    <x v="0"/>
    <x v="2"/>
    <x v="0"/>
    <x v="91"/>
    <x v="1"/>
    <x v="1"/>
    <x v="23"/>
    <x v="0"/>
    <x v="8"/>
    <x v="3"/>
    <x v="1"/>
    <n v="1.0"/>
  </r>
  <r>
    <d v="2024-03-18T00:00:00"/>
    <x v="0"/>
    <x v="2"/>
    <x v="1"/>
    <x v="70"/>
    <x v="6"/>
    <x v="6"/>
    <x v="33"/>
    <x v="0"/>
    <x v="14"/>
    <x v="1"/>
    <x v="0"/>
    <n v="80.5"/>
  </r>
  <r>
    <d v="2024-03-18T00:00:00"/>
    <x v="0"/>
    <x v="2"/>
    <x v="0"/>
    <x v="94"/>
    <x v="6"/>
    <x v="6"/>
    <x v="48"/>
    <x v="0"/>
    <x v="13"/>
    <x v="5"/>
    <x v="8"/>
    <n v="653.3"/>
  </r>
  <r>
    <d v="2024-03-18T00:00:00"/>
    <x v="0"/>
    <x v="2"/>
    <x v="1"/>
    <x v="53"/>
    <x v="1"/>
    <x v="1"/>
    <x v="16"/>
    <x v="0"/>
    <x v="4"/>
    <x v="9"/>
    <x v="6"/>
    <n v="3460.91"/>
  </r>
  <r>
    <d v="2024-03-19T00:00:00"/>
    <x v="0"/>
    <x v="2"/>
    <x v="1"/>
    <x v="72"/>
    <x v="1"/>
    <x v="1"/>
    <x v="24"/>
    <x v="0"/>
    <x v="8"/>
    <x v="1"/>
    <x v="0"/>
    <n v="6.0"/>
  </r>
  <r>
    <d v="2024-03-19T00:00:00"/>
    <x v="0"/>
    <x v="2"/>
    <x v="1"/>
    <x v="38"/>
    <x v="0"/>
    <x v="0"/>
    <x v="21"/>
    <x v="0"/>
    <x v="5"/>
    <x v="1"/>
    <x v="0"/>
    <n v="25.98"/>
  </r>
  <r>
    <d v="2024-03-19T00:00:00"/>
    <x v="0"/>
    <x v="2"/>
    <x v="1"/>
    <x v="32"/>
    <x v="1"/>
    <x v="1"/>
    <x v="28"/>
    <x v="0"/>
    <x v="8"/>
    <x v="7"/>
    <x v="3"/>
    <n v="66.93"/>
  </r>
  <r>
    <d v="2024-03-19T00:00:00"/>
    <x v="0"/>
    <x v="2"/>
    <x v="1"/>
    <x v="84"/>
    <x v="3"/>
    <x v="3"/>
    <x v="53"/>
    <x v="0"/>
    <x v="19"/>
    <x v="2"/>
    <x v="2"/>
    <n v="97.0"/>
  </r>
  <r>
    <d v="2024-03-19T00:00:00"/>
    <x v="0"/>
    <x v="2"/>
    <x v="1"/>
    <x v="15"/>
    <x v="4"/>
    <x v="4"/>
    <x v="79"/>
    <x v="0"/>
    <x v="0"/>
    <x v="3"/>
    <x v="1"/>
    <n v="163.77"/>
  </r>
  <r>
    <d v="2024-03-19T00:00:00"/>
    <x v="0"/>
    <x v="2"/>
    <x v="0"/>
    <x v="9"/>
    <x v="7"/>
    <x v="7"/>
    <x v="82"/>
    <x v="0"/>
    <x v="20"/>
    <x v="6"/>
    <x v="4"/>
    <n v="188.94"/>
  </r>
  <r>
    <d v="2024-03-19T00:00:00"/>
    <x v="0"/>
    <x v="2"/>
    <x v="1"/>
    <x v="91"/>
    <x v="1"/>
    <x v="1"/>
    <x v="23"/>
    <x v="0"/>
    <x v="8"/>
    <x v="6"/>
    <x v="4"/>
    <n v="209.62"/>
  </r>
  <r>
    <d v="2024-03-19T00:00:00"/>
    <x v="0"/>
    <x v="2"/>
    <x v="1"/>
    <x v="32"/>
    <x v="1"/>
    <x v="1"/>
    <x v="28"/>
    <x v="0"/>
    <x v="8"/>
    <x v="6"/>
    <x v="4"/>
    <n v="471.99"/>
  </r>
  <r>
    <d v="2024-03-19T00:00:00"/>
    <x v="0"/>
    <x v="2"/>
    <x v="1"/>
    <x v="37"/>
    <x v="6"/>
    <x v="6"/>
    <x v="39"/>
    <x v="0"/>
    <x v="14"/>
    <x v="9"/>
    <x v="6"/>
    <n v="472.0"/>
  </r>
  <r>
    <d v="2024-03-19T00:00:00"/>
    <x v="0"/>
    <x v="2"/>
    <x v="1"/>
    <x v="22"/>
    <x v="1"/>
    <x v="1"/>
    <x v="20"/>
    <x v="0"/>
    <x v="5"/>
    <x v="3"/>
    <x v="1"/>
    <n v="2156.38"/>
  </r>
  <r>
    <d v="2024-03-20T00:00:00"/>
    <x v="0"/>
    <x v="2"/>
    <x v="1"/>
    <x v="1"/>
    <x v="7"/>
    <x v="7"/>
    <x v="89"/>
    <x v="0"/>
    <x v="12"/>
    <x v="4"/>
    <x v="7"/>
    <n v="6.98"/>
  </r>
  <r>
    <d v="2024-03-20T00:00:00"/>
    <x v="0"/>
    <x v="2"/>
    <x v="1"/>
    <x v="0"/>
    <x v="3"/>
    <x v="3"/>
    <x v="69"/>
    <x v="0"/>
    <x v="3"/>
    <x v="1"/>
    <x v="0"/>
    <n v="19.99"/>
  </r>
  <r>
    <d v="2024-03-20T00:00:00"/>
    <x v="0"/>
    <x v="2"/>
    <x v="1"/>
    <x v="74"/>
    <x v="4"/>
    <x v="4"/>
    <x v="75"/>
    <x v="0"/>
    <x v="15"/>
    <x v="9"/>
    <x v="6"/>
    <n v="531.43"/>
  </r>
  <r>
    <d v="2024-03-20T00:00:00"/>
    <x v="0"/>
    <x v="2"/>
    <x v="1"/>
    <x v="42"/>
    <x v="3"/>
    <x v="3"/>
    <x v="63"/>
    <x v="0"/>
    <x v="17"/>
    <x v="9"/>
    <x v="6"/>
    <n v="627.51"/>
  </r>
  <r>
    <d v="2024-03-20T00:00:00"/>
    <x v="0"/>
    <x v="2"/>
    <x v="1"/>
    <x v="33"/>
    <x v="1"/>
    <x v="1"/>
    <x v="13"/>
    <x v="0"/>
    <x v="10"/>
    <x v="9"/>
    <x v="6"/>
    <n v="2013.69"/>
  </r>
  <r>
    <d v="2024-03-21T00:00:00"/>
    <x v="0"/>
    <x v="2"/>
    <x v="1"/>
    <x v="44"/>
    <x v="6"/>
    <x v="6"/>
    <x v="49"/>
    <x v="0"/>
    <x v="13"/>
    <x v="6"/>
    <x v="4"/>
    <n v="25.84"/>
  </r>
  <r>
    <d v="2024-03-21T00:00:00"/>
    <x v="0"/>
    <x v="2"/>
    <x v="1"/>
    <x v="60"/>
    <x v="6"/>
    <x v="6"/>
    <x v="44"/>
    <x v="0"/>
    <x v="7"/>
    <x v="4"/>
    <x v="7"/>
    <n v="42.92"/>
  </r>
  <r>
    <d v="2024-03-21T00:00:00"/>
    <x v="0"/>
    <x v="2"/>
    <x v="0"/>
    <x v="12"/>
    <x v="1"/>
    <x v="1"/>
    <x v="26"/>
    <x v="0"/>
    <x v="8"/>
    <x v="1"/>
    <x v="0"/>
    <n v="59.96"/>
  </r>
  <r>
    <d v="2024-03-21T00:00:00"/>
    <x v="0"/>
    <x v="2"/>
    <x v="0"/>
    <x v="80"/>
    <x v="6"/>
    <x v="6"/>
    <x v="38"/>
    <x v="0"/>
    <x v="14"/>
    <x v="1"/>
    <x v="0"/>
    <n v="97.92"/>
  </r>
  <r>
    <d v="2024-03-21T00:00:00"/>
    <x v="0"/>
    <x v="2"/>
    <x v="1"/>
    <x v="74"/>
    <x v="4"/>
    <x v="4"/>
    <x v="75"/>
    <x v="0"/>
    <x v="15"/>
    <x v="1"/>
    <x v="0"/>
    <n v="102.9"/>
  </r>
  <r>
    <d v="2024-03-21T00:00:00"/>
    <x v="0"/>
    <x v="2"/>
    <x v="0"/>
    <x v="69"/>
    <x v="1"/>
    <x v="1"/>
    <x v="19"/>
    <x v="0"/>
    <x v="5"/>
    <x v="6"/>
    <x v="4"/>
    <n v="154.47"/>
  </r>
  <r>
    <d v="2024-03-21T00:00:00"/>
    <x v="0"/>
    <x v="2"/>
    <x v="0"/>
    <x v="86"/>
    <x v="1"/>
    <x v="1"/>
    <x v="9"/>
    <x v="0"/>
    <x v="10"/>
    <x v="3"/>
    <x v="1"/>
    <n v="164.89"/>
  </r>
  <r>
    <d v="2024-03-21T00:00:00"/>
    <x v="0"/>
    <x v="2"/>
    <x v="0"/>
    <x v="23"/>
    <x v="1"/>
    <x v="1"/>
    <x v="12"/>
    <x v="0"/>
    <x v="10"/>
    <x v="0"/>
    <x v="9"/>
    <n v="367.59"/>
  </r>
  <r>
    <d v="2024-03-21T00:00:00"/>
    <x v="0"/>
    <x v="2"/>
    <x v="1"/>
    <x v="79"/>
    <x v="1"/>
    <x v="1"/>
    <x v="8"/>
    <x v="0"/>
    <x v="10"/>
    <x v="2"/>
    <x v="2"/>
    <n v="433.04"/>
  </r>
  <r>
    <d v="2024-03-21T00:00:00"/>
    <x v="0"/>
    <x v="2"/>
    <x v="1"/>
    <x v="39"/>
    <x v="7"/>
    <x v="7"/>
    <x v="91"/>
    <x v="0"/>
    <x v="9"/>
    <x v="3"/>
    <x v="1"/>
    <n v="1487.17"/>
  </r>
  <r>
    <d v="2024-03-22T00:00:00"/>
    <x v="0"/>
    <x v="2"/>
    <x v="0"/>
    <x v="67"/>
    <x v="3"/>
    <x v="3"/>
    <x v="62"/>
    <x v="0"/>
    <x v="17"/>
    <x v="4"/>
    <x v="7"/>
    <n v="25.95"/>
  </r>
  <r>
    <d v="2024-03-22T00:00:00"/>
    <x v="0"/>
    <x v="2"/>
    <x v="1"/>
    <x v="89"/>
    <x v="1"/>
    <x v="1"/>
    <x v="18"/>
    <x v="0"/>
    <x v="5"/>
    <x v="6"/>
    <x v="4"/>
    <n v="33.93"/>
  </r>
  <r>
    <d v="2024-03-22T00:00:00"/>
    <x v="0"/>
    <x v="2"/>
    <x v="0"/>
    <x v="55"/>
    <x v="3"/>
    <x v="3"/>
    <x v="68"/>
    <x v="0"/>
    <x v="1"/>
    <x v="5"/>
    <x v="8"/>
    <n v="37.42"/>
  </r>
  <r>
    <d v="2024-03-22T00:00:00"/>
    <x v="0"/>
    <x v="2"/>
    <x v="0"/>
    <x v="20"/>
    <x v="3"/>
    <x v="3"/>
    <x v="71"/>
    <x v="0"/>
    <x v="3"/>
    <x v="1"/>
    <x v="0"/>
    <n v="80.45"/>
  </r>
  <r>
    <d v="2024-03-22T00:00:00"/>
    <x v="0"/>
    <x v="2"/>
    <x v="1"/>
    <x v="14"/>
    <x v="6"/>
    <x v="6"/>
    <x v="45"/>
    <x v="0"/>
    <x v="7"/>
    <x v="1"/>
    <x v="0"/>
    <n v="124.08"/>
  </r>
  <r>
    <d v="2024-03-22T00:00:00"/>
    <x v="0"/>
    <x v="2"/>
    <x v="1"/>
    <x v="37"/>
    <x v="6"/>
    <x v="6"/>
    <x v="39"/>
    <x v="0"/>
    <x v="14"/>
    <x v="1"/>
    <x v="0"/>
    <n v="981.79"/>
  </r>
  <r>
    <d v="2024-03-23T00:00:00"/>
    <x v="0"/>
    <x v="2"/>
    <x v="1"/>
    <x v="69"/>
    <x v="1"/>
    <x v="1"/>
    <x v="19"/>
    <x v="0"/>
    <x v="5"/>
    <x v="3"/>
    <x v="1"/>
    <n v="5.0"/>
  </r>
  <r>
    <d v="2024-03-23T00:00:00"/>
    <x v="0"/>
    <x v="2"/>
    <x v="1"/>
    <x v="86"/>
    <x v="1"/>
    <x v="1"/>
    <x v="9"/>
    <x v="0"/>
    <x v="10"/>
    <x v="8"/>
    <x v="5"/>
    <n v="23.92"/>
  </r>
  <r>
    <d v="2024-03-23T00:00:00"/>
    <x v="0"/>
    <x v="2"/>
    <x v="1"/>
    <x v="45"/>
    <x v="3"/>
    <x v="3"/>
    <x v="64"/>
    <x v="0"/>
    <x v="1"/>
    <x v="5"/>
    <x v="8"/>
    <n v="29.97"/>
  </r>
  <r>
    <d v="2024-03-23T00:00:00"/>
    <x v="0"/>
    <x v="2"/>
    <x v="1"/>
    <x v="90"/>
    <x v="3"/>
    <x v="3"/>
    <x v="55"/>
    <x v="0"/>
    <x v="19"/>
    <x v="1"/>
    <x v="0"/>
    <n v="31.88"/>
  </r>
  <r>
    <d v="2024-03-23T00:00:00"/>
    <x v="0"/>
    <x v="2"/>
    <x v="0"/>
    <x v="11"/>
    <x v="1"/>
    <x v="1"/>
    <x v="15"/>
    <x v="0"/>
    <x v="4"/>
    <x v="2"/>
    <x v="2"/>
    <n v="36.97"/>
  </r>
  <r>
    <d v="2024-03-23T00:00:00"/>
    <x v="0"/>
    <x v="2"/>
    <x v="0"/>
    <x v="58"/>
    <x v="3"/>
    <x v="3"/>
    <x v="61"/>
    <x v="0"/>
    <x v="17"/>
    <x v="6"/>
    <x v="4"/>
    <n v="55.13"/>
  </r>
  <r>
    <d v="2024-03-23T00:00:00"/>
    <x v="0"/>
    <x v="2"/>
    <x v="0"/>
    <x v="60"/>
    <x v="6"/>
    <x v="6"/>
    <x v="44"/>
    <x v="0"/>
    <x v="7"/>
    <x v="0"/>
    <x v="9"/>
    <n v="89.93"/>
  </r>
  <r>
    <d v="2024-03-23T00:00:00"/>
    <x v="0"/>
    <x v="2"/>
    <x v="1"/>
    <x v="29"/>
    <x v="6"/>
    <x v="6"/>
    <x v="35"/>
    <x v="0"/>
    <x v="14"/>
    <x v="6"/>
    <x v="4"/>
    <n v="344.23"/>
  </r>
  <r>
    <d v="2024-03-23T00:00:00"/>
    <x v="0"/>
    <x v="2"/>
    <x v="1"/>
    <x v="37"/>
    <x v="6"/>
    <x v="6"/>
    <x v="39"/>
    <x v="0"/>
    <x v="14"/>
    <x v="0"/>
    <x v="9"/>
    <n v="1717.09"/>
  </r>
  <r>
    <d v="2024-03-24T00:00:00"/>
    <x v="0"/>
    <x v="2"/>
    <x v="1"/>
    <x v="90"/>
    <x v="3"/>
    <x v="3"/>
    <x v="55"/>
    <x v="0"/>
    <x v="19"/>
    <x v="1"/>
    <x v="0"/>
    <n v="17.83"/>
  </r>
  <r>
    <d v="2024-03-24T00:00:00"/>
    <x v="0"/>
    <x v="2"/>
    <x v="1"/>
    <x v="78"/>
    <x v="5"/>
    <x v="5"/>
    <x v="94"/>
    <x v="0"/>
    <x v="18"/>
    <x v="3"/>
    <x v="1"/>
    <n v="41.92"/>
  </r>
  <r>
    <d v="2024-03-24T00:00:00"/>
    <x v="0"/>
    <x v="2"/>
    <x v="1"/>
    <x v="10"/>
    <x v="6"/>
    <x v="6"/>
    <x v="41"/>
    <x v="0"/>
    <x v="7"/>
    <x v="5"/>
    <x v="8"/>
    <n v="69.27"/>
  </r>
  <r>
    <d v="2024-03-24T00:00:00"/>
    <x v="0"/>
    <x v="2"/>
    <x v="1"/>
    <x v="14"/>
    <x v="6"/>
    <x v="6"/>
    <x v="45"/>
    <x v="0"/>
    <x v="7"/>
    <x v="5"/>
    <x v="8"/>
    <n v="78.62"/>
  </r>
  <r>
    <d v="2024-03-24T00:00:00"/>
    <x v="0"/>
    <x v="2"/>
    <x v="0"/>
    <x v="55"/>
    <x v="3"/>
    <x v="3"/>
    <x v="68"/>
    <x v="0"/>
    <x v="1"/>
    <x v="1"/>
    <x v="0"/>
    <n v="254.87"/>
  </r>
  <r>
    <d v="2024-03-24T00:00:00"/>
    <x v="0"/>
    <x v="2"/>
    <x v="0"/>
    <x v="54"/>
    <x v="1"/>
    <x v="1"/>
    <x v="25"/>
    <x v="0"/>
    <x v="8"/>
    <x v="3"/>
    <x v="1"/>
    <n v="450.03"/>
  </r>
  <r>
    <d v="2024-03-24T00:00:00"/>
    <x v="0"/>
    <x v="2"/>
    <x v="1"/>
    <x v="17"/>
    <x v="3"/>
    <x v="3"/>
    <x v="57"/>
    <x v="0"/>
    <x v="16"/>
    <x v="5"/>
    <x v="8"/>
    <n v="625.77"/>
  </r>
  <r>
    <d v="2024-03-24T00:00:00"/>
    <x v="0"/>
    <x v="2"/>
    <x v="1"/>
    <x v="84"/>
    <x v="3"/>
    <x v="3"/>
    <x v="53"/>
    <x v="0"/>
    <x v="19"/>
    <x v="3"/>
    <x v="1"/>
    <n v="1519.16"/>
  </r>
  <r>
    <d v="2024-03-25T00:00:00"/>
    <x v="0"/>
    <x v="2"/>
    <x v="1"/>
    <x v="84"/>
    <x v="3"/>
    <x v="3"/>
    <x v="53"/>
    <x v="0"/>
    <x v="19"/>
    <x v="1"/>
    <x v="0"/>
    <n v="5.99"/>
  </r>
  <r>
    <d v="2024-03-25T00:00:00"/>
    <x v="0"/>
    <x v="2"/>
    <x v="1"/>
    <x v="0"/>
    <x v="3"/>
    <x v="3"/>
    <x v="69"/>
    <x v="0"/>
    <x v="3"/>
    <x v="8"/>
    <x v="5"/>
    <n v="19.9"/>
  </r>
  <r>
    <d v="2024-03-25T00:00:00"/>
    <x v="0"/>
    <x v="2"/>
    <x v="1"/>
    <x v="86"/>
    <x v="1"/>
    <x v="1"/>
    <x v="9"/>
    <x v="0"/>
    <x v="10"/>
    <x v="5"/>
    <x v="8"/>
    <n v="26.98"/>
  </r>
  <r>
    <d v="2024-03-25T00:00:00"/>
    <x v="0"/>
    <x v="2"/>
    <x v="1"/>
    <x v="77"/>
    <x v="3"/>
    <x v="3"/>
    <x v="66"/>
    <x v="0"/>
    <x v="1"/>
    <x v="8"/>
    <x v="5"/>
    <n v="74.34"/>
  </r>
  <r>
    <d v="2024-03-25T00:00:00"/>
    <x v="0"/>
    <x v="2"/>
    <x v="1"/>
    <x v="33"/>
    <x v="1"/>
    <x v="1"/>
    <x v="13"/>
    <x v="0"/>
    <x v="10"/>
    <x v="5"/>
    <x v="8"/>
    <n v="88.86"/>
  </r>
  <r>
    <d v="2024-03-26T00:00:00"/>
    <x v="0"/>
    <x v="2"/>
    <x v="0"/>
    <x v="69"/>
    <x v="1"/>
    <x v="1"/>
    <x v="19"/>
    <x v="0"/>
    <x v="5"/>
    <x v="6"/>
    <x v="4"/>
    <n v="39.58"/>
  </r>
  <r>
    <d v="2024-03-26T00:00:00"/>
    <x v="0"/>
    <x v="2"/>
    <x v="0"/>
    <x v="61"/>
    <x v="7"/>
    <x v="7"/>
    <x v="84"/>
    <x v="0"/>
    <x v="20"/>
    <x v="2"/>
    <x v="2"/>
    <n v="44.97"/>
  </r>
  <r>
    <d v="2024-03-26T00:00:00"/>
    <x v="0"/>
    <x v="2"/>
    <x v="0"/>
    <x v="61"/>
    <x v="7"/>
    <x v="7"/>
    <x v="84"/>
    <x v="0"/>
    <x v="20"/>
    <x v="0"/>
    <x v="9"/>
    <n v="104.98"/>
  </r>
  <r>
    <d v="2024-03-26T00:00:00"/>
    <x v="0"/>
    <x v="2"/>
    <x v="0"/>
    <x v="92"/>
    <x v="6"/>
    <x v="6"/>
    <x v="40"/>
    <x v="0"/>
    <x v="7"/>
    <x v="8"/>
    <x v="5"/>
    <n v="266.9"/>
  </r>
  <r>
    <d v="2024-03-26T00:00:00"/>
    <x v="0"/>
    <x v="2"/>
    <x v="1"/>
    <x v="27"/>
    <x v="6"/>
    <x v="6"/>
    <x v="31"/>
    <x v="0"/>
    <x v="2"/>
    <x v="9"/>
    <x v="6"/>
    <n v="3137.04"/>
  </r>
  <r>
    <d v="2024-03-26T00:00:00"/>
    <x v="0"/>
    <x v="2"/>
    <x v="1"/>
    <x v="75"/>
    <x v="1"/>
    <x v="1"/>
    <x v="4"/>
    <x v="0"/>
    <x v="6"/>
    <x v="2"/>
    <x v="2"/>
    <n v="3188.12"/>
  </r>
  <r>
    <d v="2024-03-26T00:00:00"/>
    <x v="0"/>
    <x v="2"/>
    <x v="0"/>
    <x v="7"/>
    <x v="1"/>
    <x v="1"/>
    <x v="10"/>
    <x v="0"/>
    <x v="10"/>
    <x v="3"/>
    <x v="1"/>
    <n v="4650.51"/>
  </r>
  <r>
    <d v="2024-03-27T00:00:00"/>
    <x v="0"/>
    <x v="2"/>
    <x v="1"/>
    <x v="8"/>
    <x v="3"/>
    <x v="3"/>
    <x v="72"/>
    <x v="0"/>
    <x v="3"/>
    <x v="4"/>
    <x v="7"/>
    <n v="204.61"/>
  </r>
  <r>
    <d v="2024-03-27T00:00:00"/>
    <x v="0"/>
    <x v="2"/>
    <x v="1"/>
    <x v="65"/>
    <x v="1"/>
    <x v="1"/>
    <x v="7"/>
    <x v="0"/>
    <x v="10"/>
    <x v="4"/>
    <x v="7"/>
    <n v="310.82"/>
  </r>
  <r>
    <d v="2024-03-27T00:00:00"/>
    <x v="0"/>
    <x v="2"/>
    <x v="0"/>
    <x v="4"/>
    <x v="6"/>
    <x v="6"/>
    <x v="29"/>
    <x v="0"/>
    <x v="2"/>
    <x v="4"/>
    <x v="7"/>
    <n v="2052.53"/>
  </r>
  <r>
    <d v="2024-03-28T00:00:00"/>
    <x v="0"/>
    <x v="2"/>
    <x v="1"/>
    <x v="44"/>
    <x v="6"/>
    <x v="6"/>
    <x v="49"/>
    <x v="0"/>
    <x v="13"/>
    <x v="0"/>
    <x v="9"/>
    <n v="10.5"/>
  </r>
  <r>
    <d v="2024-03-28T00:00:00"/>
    <x v="0"/>
    <x v="2"/>
    <x v="1"/>
    <x v="96"/>
    <x v="3"/>
    <x v="3"/>
    <x v="67"/>
    <x v="0"/>
    <x v="1"/>
    <x v="4"/>
    <x v="7"/>
    <n v="11.97"/>
  </r>
  <r>
    <d v="2024-03-28T00:00:00"/>
    <x v="0"/>
    <x v="2"/>
    <x v="1"/>
    <x v="95"/>
    <x v="4"/>
    <x v="4"/>
    <x v="73"/>
    <x v="0"/>
    <x v="15"/>
    <x v="4"/>
    <x v="7"/>
    <n v="14.0"/>
  </r>
  <r>
    <d v="2024-03-28T00:00:00"/>
    <x v="0"/>
    <x v="2"/>
    <x v="0"/>
    <x v="84"/>
    <x v="3"/>
    <x v="3"/>
    <x v="53"/>
    <x v="0"/>
    <x v="19"/>
    <x v="9"/>
    <x v="6"/>
    <n v="179.94"/>
  </r>
  <r>
    <d v="2024-03-28T00:00:00"/>
    <x v="0"/>
    <x v="2"/>
    <x v="0"/>
    <x v="9"/>
    <x v="7"/>
    <x v="7"/>
    <x v="82"/>
    <x v="0"/>
    <x v="20"/>
    <x v="2"/>
    <x v="2"/>
    <n v="213.83"/>
  </r>
  <r>
    <d v="2024-03-28T00:00:00"/>
    <x v="0"/>
    <x v="2"/>
    <x v="1"/>
    <x v="19"/>
    <x v="7"/>
    <x v="7"/>
    <x v="88"/>
    <x v="0"/>
    <x v="12"/>
    <x v="0"/>
    <x v="9"/>
    <n v="295.34"/>
  </r>
  <r>
    <d v="2024-03-28T00:00:00"/>
    <x v="0"/>
    <x v="2"/>
    <x v="1"/>
    <x v="92"/>
    <x v="6"/>
    <x v="6"/>
    <x v="40"/>
    <x v="0"/>
    <x v="7"/>
    <x v="0"/>
    <x v="9"/>
    <n v="507.42"/>
  </r>
  <r>
    <d v="2024-03-28T00:00:00"/>
    <x v="0"/>
    <x v="2"/>
    <x v="0"/>
    <x v="1"/>
    <x v="7"/>
    <x v="7"/>
    <x v="89"/>
    <x v="0"/>
    <x v="12"/>
    <x v="5"/>
    <x v="8"/>
    <n v="1618.07"/>
  </r>
  <r>
    <d v="2024-03-29T00:00:00"/>
    <x v="0"/>
    <x v="2"/>
    <x v="1"/>
    <x v="57"/>
    <x v="4"/>
    <x v="4"/>
    <x v="74"/>
    <x v="0"/>
    <x v="15"/>
    <x v="1"/>
    <x v="0"/>
    <n v="43.0"/>
  </r>
  <r>
    <d v="2024-03-29T00:00:00"/>
    <x v="0"/>
    <x v="2"/>
    <x v="1"/>
    <x v="39"/>
    <x v="7"/>
    <x v="7"/>
    <x v="91"/>
    <x v="0"/>
    <x v="9"/>
    <x v="6"/>
    <x v="4"/>
    <n v="152.71"/>
  </r>
  <r>
    <d v="2024-03-29T00:00:00"/>
    <x v="0"/>
    <x v="2"/>
    <x v="0"/>
    <x v="94"/>
    <x v="6"/>
    <x v="6"/>
    <x v="48"/>
    <x v="0"/>
    <x v="13"/>
    <x v="0"/>
    <x v="9"/>
    <n v="288.49"/>
  </r>
  <r>
    <d v="2024-03-29T00:00:00"/>
    <x v="0"/>
    <x v="2"/>
    <x v="1"/>
    <x v="91"/>
    <x v="1"/>
    <x v="1"/>
    <x v="23"/>
    <x v="0"/>
    <x v="8"/>
    <x v="4"/>
    <x v="7"/>
    <n v="462.55"/>
  </r>
  <r>
    <d v="2024-03-29T00:00:00"/>
    <x v="0"/>
    <x v="2"/>
    <x v="1"/>
    <x v="27"/>
    <x v="6"/>
    <x v="6"/>
    <x v="31"/>
    <x v="0"/>
    <x v="2"/>
    <x v="9"/>
    <x v="6"/>
    <n v="1461.26"/>
  </r>
  <r>
    <d v="2024-03-30T00:00:00"/>
    <x v="0"/>
    <x v="2"/>
    <x v="1"/>
    <x v="19"/>
    <x v="7"/>
    <x v="7"/>
    <x v="88"/>
    <x v="0"/>
    <x v="12"/>
    <x v="1"/>
    <x v="0"/>
    <n v="3.0"/>
  </r>
  <r>
    <d v="2024-03-30T00:00:00"/>
    <x v="0"/>
    <x v="2"/>
    <x v="1"/>
    <x v="77"/>
    <x v="3"/>
    <x v="3"/>
    <x v="66"/>
    <x v="0"/>
    <x v="1"/>
    <x v="6"/>
    <x v="4"/>
    <n v="19.99"/>
  </r>
  <r>
    <d v="2024-03-30T00:00:00"/>
    <x v="0"/>
    <x v="2"/>
    <x v="0"/>
    <x v="35"/>
    <x v="6"/>
    <x v="6"/>
    <x v="46"/>
    <x v="0"/>
    <x v="7"/>
    <x v="6"/>
    <x v="4"/>
    <n v="192.46"/>
  </r>
  <r>
    <d v="2024-03-30T00:00:00"/>
    <x v="0"/>
    <x v="2"/>
    <x v="1"/>
    <x v="84"/>
    <x v="3"/>
    <x v="3"/>
    <x v="53"/>
    <x v="0"/>
    <x v="19"/>
    <x v="8"/>
    <x v="5"/>
    <n v="659.71"/>
  </r>
  <r>
    <d v="2024-03-30T00:00:00"/>
    <x v="0"/>
    <x v="2"/>
    <x v="0"/>
    <x v="10"/>
    <x v="6"/>
    <x v="6"/>
    <x v="41"/>
    <x v="0"/>
    <x v="7"/>
    <x v="7"/>
    <x v="3"/>
    <n v="1413.93"/>
  </r>
  <r>
    <d v="2024-03-30T00:00:00"/>
    <x v="0"/>
    <x v="2"/>
    <x v="1"/>
    <x v="12"/>
    <x v="1"/>
    <x v="1"/>
    <x v="26"/>
    <x v="0"/>
    <x v="8"/>
    <x v="4"/>
    <x v="7"/>
    <n v="1601.73"/>
  </r>
  <r>
    <d v="2024-03-30T00:00:00"/>
    <x v="0"/>
    <x v="2"/>
    <x v="1"/>
    <x v="32"/>
    <x v="1"/>
    <x v="1"/>
    <x v="28"/>
    <x v="0"/>
    <x v="8"/>
    <x v="9"/>
    <x v="6"/>
    <n v="4082.2"/>
  </r>
  <r>
    <d v="2024-03-31T00:00:00"/>
    <x v="0"/>
    <x v="2"/>
    <x v="1"/>
    <x v="37"/>
    <x v="6"/>
    <x v="6"/>
    <x v="39"/>
    <x v="0"/>
    <x v="14"/>
    <x v="3"/>
    <x v="1"/>
    <n v="26.95"/>
  </r>
  <r>
    <d v="2024-03-31T00:00:00"/>
    <x v="0"/>
    <x v="2"/>
    <x v="0"/>
    <x v="19"/>
    <x v="7"/>
    <x v="7"/>
    <x v="88"/>
    <x v="0"/>
    <x v="12"/>
    <x v="2"/>
    <x v="2"/>
    <n v="28.04"/>
  </r>
  <r>
    <d v="2024-03-31T00:00:00"/>
    <x v="0"/>
    <x v="2"/>
    <x v="1"/>
    <x v="44"/>
    <x v="6"/>
    <x v="6"/>
    <x v="49"/>
    <x v="0"/>
    <x v="13"/>
    <x v="5"/>
    <x v="8"/>
    <n v="32.95"/>
  </r>
  <r>
    <d v="2024-03-31T00:00:00"/>
    <x v="0"/>
    <x v="2"/>
    <x v="1"/>
    <x v="31"/>
    <x v="2"/>
    <x v="2"/>
    <x v="0"/>
    <x v="0"/>
    <x v="11"/>
    <x v="7"/>
    <x v="3"/>
    <n v="44.82"/>
  </r>
  <r>
    <d v="2024-03-31T00:00:00"/>
    <x v="0"/>
    <x v="2"/>
    <x v="1"/>
    <x v="13"/>
    <x v="0"/>
    <x v="0"/>
    <x v="22"/>
    <x v="0"/>
    <x v="5"/>
    <x v="1"/>
    <x v="0"/>
    <n v="241.85"/>
  </r>
  <r>
    <d v="2024-03-31T00:00:00"/>
    <x v="0"/>
    <x v="2"/>
    <x v="1"/>
    <x v="43"/>
    <x v="7"/>
    <x v="7"/>
    <x v="87"/>
    <x v="0"/>
    <x v="12"/>
    <x v="2"/>
    <x v="2"/>
    <n v="402.07"/>
  </r>
  <r>
    <d v="2024-04-01T00:00:00"/>
    <x v="0"/>
    <x v="3"/>
    <x v="1"/>
    <x v="43"/>
    <x v="7"/>
    <x v="7"/>
    <x v="87"/>
    <x v="0"/>
    <x v="12"/>
    <x v="1"/>
    <x v="0"/>
    <n v="136.47"/>
  </r>
  <r>
    <d v="2024-04-01T00:00:00"/>
    <x v="0"/>
    <x v="3"/>
    <x v="1"/>
    <x v="10"/>
    <x v="6"/>
    <x v="6"/>
    <x v="41"/>
    <x v="0"/>
    <x v="7"/>
    <x v="1"/>
    <x v="0"/>
    <n v="192.47"/>
  </r>
  <r>
    <d v="2024-04-01T00:00:00"/>
    <x v="0"/>
    <x v="3"/>
    <x v="1"/>
    <x v="66"/>
    <x v="4"/>
    <x v="4"/>
    <x v="76"/>
    <x v="0"/>
    <x v="15"/>
    <x v="2"/>
    <x v="2"/>
    <n v="447.43"/>
  </r>
  <r>
    <d v="2024-04-01T00:00:00"/>
    <x v="0"/>
    <x v="3"/>
    <x v="1"/>
    <x v="33"/>
    <x v="1"/>
    <x v="1"/>
    <x v="13"/>
    <x v="0"/>
    <x v="10"/>
    <x v="4"/>
    <x v="7"/>
    <n v="984.48"/>
  </r>
  <r>
    <d v="2024-04-01T00:00:00"/>
    <x v="0"/>
    <x v="3"/>
    <x v="1"/>
    <x v="44"/>
    <x v="6"/>
    <x v="6"/>
    <x v="49"/>
    <x v="0"/>
    <x v="13"/>
    <x v="3"/>
    <x v="1"/>
    <n v="2625.18"/>
  </r>
  <r>
    <d v="2024-04-02T00:00:00"/>
    <x v="0"/>
    <x v="3"/>
    <x v="1"/>
    <x v="46"/>
    <x v="6"/>
    <x v="6"/>
    <x v="42"/>
    <x v="0"/>
    <x v="7"/>
    <x v="0"/>
    <x v="9"/>
    <n v="3.0"/>
  </r>
  <r>
    <d v="2024-04-02T00:00:00"/>
    <x v="0"/>
    <x v="3"/>
    <x v="1"/>
    <x v="3"/>
    <x v="2"/>
    <x v="2"/>
    <x v="1"/>
    <x v="0"/>
    <x v="11"/>
    <x v="4"/>
    <x v="7"/>
    <n v="15.96"/>
  </r>
  <r>
    <d v="2024-04-02T00:00:00"/>
    <x v="0"/>
    <x v="3"/>
    <x v="0"/>
    <x v="47"/>
    <x v="3"/>
    <x v="3"/>
    <x v="54"/>
    <x v="0"/>
    <x v="19"/>
    <x v="7"/>
    <x v="3"/>
    <n v="67.86"/>
  </r>
  <r>
    <d v="2024-04-02T00:00:00"/>
    <x v="0"/>
    <x v="3"/>
    <x v="1"/>
    <x v="72"/>
    <x v="1"/>
    <x v="1"/>
    <x v="24"/>
    <x v="0"/>
    <x v="8"/>
    <x v="0"/>
    <x v="9"/>
    <n v="112.78"/>
  </r>
  <r>
    <d v="2024-04-02T00:00:00"/>
    <x v="0"/>
    <x v="3"/>
    <x v="1"/>
    <x v="96"/>
    <x v="3"/>
    <x v="3"/>
    <x v="67"/>
    <x v="0"/>
    <x v="1"/>
    <x v="4"/>
    <x v="7"/>
    <n v="175.13"/>
  </r>
  <r>
    <d v="2024-04-02T00:00:00"/>
    <x v="0"/>
    <x v="3"/>
    <x v="0"/>
    <x v="29"/>
    <x v="6"/>
    <x v="6"/>
    <x v="35"/>
    <x v="0"/>
    <x v="14"/>
    <x v="1"/>
    <x v="0"/>
    <n v="593.6"/>
  </r>
  <r>
    <d v="2024-04-02T00:00:00"/>
    <x v="0"/>
    <x v="3"/>
    <x v="1"/>
    <x v="71"/>
    <x v="1"/>
    <x v="1"/>
    <x v="27"/>
    <x v="0"/>
    <x v="8"/>
    <x v="3"/>
    <x v="1"/>
    <n v="1945.35"/>
  </r>
  <r>
    <d v="2024-04-03T00:00:00"/>
    <x v="0"/>
    <x v="3"/>
    <x v="1"/>
    <x v="73"/>
    <x v="4"/>
    <x v="4"/>
    <x v="80"/>
    <x v="0"/>
    <x v="0"/>
    <x v="6"/>
    <x v="4"/>
    <n v="17.98"/>
  </r>
  <r>
    <d v="2024-04-03T00:00:00"/>
    <x v="0"/>
    <x v="3"/>
    <x v="1"/>
    <x v="95"/>
    <x v="4"/>
    <x v="4"/>
    <x v="73"/>
    <x v="0"/>
    <x v="15"/>
    <x v="8"/>
    <x v="5"/>
    <n v="53.91"/>
  </r>
  <r>
    <d v="2024-04-03T00:00:00"/>
    <x v="0"/>
    <x v="3"/>
    <x v="0"/>
    <x v="63"/>
    <x v="4"/>
    <x v="4"/>
    <x v="78"/>
    <x v="0"/>
    <x v="0"/>
    <x v="0"/>
    <x v="9"/>
    <n v="56.46"/>
  </r>
  <r>
    <d v="2024-04-03T00:00:00"/>
    <x v="0"/>
    <x v="3"/>
    <x v="1"/>
    <x v="83"/>
    <x v="3"/>
    <x v="3"/>
    <x v="56"/>
    <x v="0"/>
    <x v="16"/>
    <x v="6"/>
    <x v="4"/>
    <n v="97.86"/>
  </r>
  <r>
    <d v="2024-04-03T00:00:00"/>
    <x v="0"/>
    <x v="3"/>
    <x v="1"/>
    <x v="68"/>
    <x v="3"/>
    <x v="3"/>
    <x v="59"/>
    <x v="0"/>
    <x v="16"/>
    <x v="2"/>
    <x v="2"/>
    <n v="411.78"/>
  </r>
  <r>
    <d v="2024-04-03T00:00:00"/>
    <x v="0"/>
    <x v="3"/>
    <x v="1"/>
    <x v="22"/>
    <x v="1"/>
    <x v="1"/>
    <x v="20"/>
    <x v="0"/>
    <x v="5"/>
    <x v="1"/>
    <x v="0"/>
    <n v="729.09"/>
  </r>
  <r>
    <d v="2024-04-04T00:00:00"/>
    <x v="0"/>
    <x v="3"/>
    <x v="1"/>
    <x v="82"/>
    <x v="6"/>
    <x v="6"/>
    <x v="47"/>
    <x v="0"/>
    <x v="13"/>
    <x v="6"/>
    <x v="4"/>
    <n v="1564.75"/>
  </r>
  <r>
    <d v="2024-04-04T00:00:00"/>
    <x v="0"/>
    <x v="3"/>
    <x v="1"/>
    <x v="65"/>
    <x v="1"/>
    <x v="1"/>
    <x v="7"/>
    <x v="0"/>
    <x v="10"/>
    <x v="3"/>
    <x v="1"/>
    <n v="2121.4"/>
  </r>
  <r>
    <d v="2024-04-04T00:00:00"/>
    <x v="0"/>
    <x v="3"/>
    <x v="1"/>
    <x v="21"/>
    <x v="3"/>
    <x v="3"/>
    <x v="60"/>
    <x v="0"/>
    <x v="17"/>
    <x v="5"/>
    <x v="8"/>
    <n v="4197.76"/>
  </r>
  <r>
    <d v="2024-04-05T00:00:00"/>
    <x v="0"/>
    <x v="3"/>
    <x v="0"/>
    <x v="28"/>
    <x v="6"/>
    <x v="6"/>
    <x v="51"/>
    <x v="0"/>
    <x v="13"/>
    <x v="1"/>
    <x v="0"/>
    <n v="7.5"/>
  </r>
  <r>
    <d v="2024-04-05T00:00:00"/>
    <x v="0"/>
    <x v="3"/>
    <x v="0"/>
    <x v="90"/>
    <x v="3"/>
    <x v="3"/>
    <x v="55"/>
    <x v="0"/>
    <x v="19"/>
    <x v="0"/>
    <x v="9"/>
    <n v="55.93"/>
  </r>
  <r>
    <d v="2024-04-05T00:00:00"/>
    <x v="0"/>
    <x v="3"/>
    <x v="1"/>
    <x v="79"/>
    <x v="1"/>
    <x v="1"/>
    <x v="8"/>
    <x v="0"/>
    <x v="10"/>
    <x v="7"/>
    <x v="3"/>
    <n v="83.02"/>
  </r>
  <r>
    <d v="2024-04-05T00:00:00"/>
    <x v="0"/>
    <x v="3"/>
    <x v="1"/>
    <x v="47"/>
    <x v="3"/>
    <x v="3"/>
    <x v="54"/>
    <x v="0"/>
    <x v="19"/>
    <x v="8"/>
    <x v="5"/>
    <n v="86.77"/>
  </r>
  <r>
    <d v="2024-04-05T00:00:00"/>
    <x v="0"/>
    <x v="3"/>
    <x v="1"/>
    <x v="78"/>
    <x v="5"/>
    <x v="5"/>
    <x v="94"/>
    <x v="0"/>
    <x v="18"/>
    <x v="4"/>
    <x v="7"/>
    <n v="411.59"/>
  </r>
  <r>
    <d v="2024-04-05T00:00:00"/>
    <x v="0"/>
    <x v="3"/>
    <x v="1"/>
    <x v="31"/>
    <x v="2"/>
    <x v="2"/>
    <x v="0"/>
    <x v="0"/>
    <x v="11"/>
    <x v="1"/>
    <x v="0"/>
    <n v="2004.58"/>
  </r>
  <r>
    <d v="2024-04-05T00:00:00"/>
    <x v="0"/>
    <x v="3"/>
    <x v="1"/>
    <x v="22"/>
    <x v="1"/>
    <x v="1"/>
    <x v="20"/>
    <x v="0"/>
    <x v="5"/>
    <x v="5"/>
    <x v="8"/>
    <n v="4329.04"/>
  </r>
  <r>
    <d v="2024-04-06T00:00:00"/>
    <x v="0"/>
    <x v="3"/>
    <x v="1"/>
    <x v="2"/>
    <x v="1"/>
    <x v="1"/>
    <x v="2"/>
    <x v="0"/>
    <x v="6"/>
    <x v="6"/>
    <x v="4"/>
    <n v="4.65"/>
  </r>
  <r>
    <d v="2024-04-06T00:00:00"/>
    <x v="0"/>
    <x v="3"/>
    <x v="0"/>
    <x v="75"/>
    <x v="1"/>
    <x v="1"/>
    <x v="4"/>
    <x v="0"/>
    <x v="6"/>
    <x v="2"/>
    <x v="2"/>
    <n v="12.99"/>
  </r>
  <r>
    <d v="2024-04-06T00:00:00"/>
    <x v="0"/>
    <x v="3"/>
    <x v="1"/>
    <x v="56"/>
    <x v="7"/>
    <x v="7"/>
    <x v="86"/>
    <x v="0"/>
    <x v="12"/>
    <x v="5"/>
    <x v="8"/>
    <n v="30.63"/>
  </r>
  <r>
    <d v="2024-04-06T00:00:00"/>
    <x v="0"/>
    <x v="3"/>
    <x v="0"/>
    <x v="11"/>
    <x v="1"/>
    <x v="1"/>
    <x v="15"/>
    <x v="0"/>
    <x v="4"/>
    <x v="3"/>
    <x v="1"/>
    <n v="34.93"/>
  </r>
  <r>
    <d v="2024-04-06T00:00:00"/>
    <x v="0"/>
    <x v="3"/>
    <x v="1"/>
    <x v="30"/>
    <x v="6"/>
    <x v="6"/>
    <x v="37"/>
    <x v="0"/>
    <x v="14"/>
    <x v="7"/>
    <x v="3"/>
    <n v="43.56"/>
  </r>
  <r>
    <d v="2024-04-06T00:00:00"/>
    <x v="0"/>
    <x v="3"/>
    <x v="1"/>
    <x v="79"/>
    <x v="1"/>
    <x v="1"/>
    <x v="8"/>
    <x v="0"/>
    <x v="10"/>
    <x v="6"/>
    <x v="4"/>
    <n v="69.4"/>
  </r>
  <r>
    <d v="2024-04-06T00:00:00"/>
    <x v="0"/>
    <x v="3"/>
    <x v="0"/>
    <x v="80"/>
    <x v="6"/>
    <x v="6"/>
    <x v="38"/>
    <x v="0"/>
    <x v="14"/>
    <x v="2"/>
    <x v="2"/>
    <n v="79.29"/>
  </r>
  <r>
    <d v="2024-04-06T00:00:00"/>
    <x v="0"/>
    <x v="3"/>
    <x v="1"/>
    <x v="50"/>
    <x v="7"/>
    <x v="7"/>
    <x v="83"/>
    <x v="0"/>
    <x v="20"/>
    <x v="5"/>
    <x v="8"/>
    <n v="204.69"/>
  </r>
  <r>
    <d v="2024-04-06T00:00:00"/>
    <x v="0"/>
    <x v="3"/>
    <x v="1"/>
    <x v="84"/>
    <x v="3"/>
    <x v="3"/>
    <x v="53"/>
    <x v="0"/>
    <x v="19"/>
    <x v="4"/>
    <x v="7"/>
    <n v="281.91"/>
  </r>
  <r>
    <d v="2024-04-07T00:00:00"/>
    <x v="0"/>
    <x v="3"/>
    <x v="1"/>
    <x v="38"/>
    <x v="0"/>
    <x v="0"/>
    <x v="21"/>
    <x v="0"/>
    <x v="5"/>
    <x v="1"/>
    <x v="0"/>
    <n v="20.0"/>
  </r>
  <r>
    <d v="2024-04-07T00:00:00"/>
    <x v="0"/>
    <x v="3"/>
    <x v="1"/>
    <x v="23"/>
    <x v="1"/>
    <x v="1"/>
    <x v="12"/>
    <x v="0"/>
    <x v="10"/>
    <x v="7"/>
    <x v="3"/>
    <n v="29.65"/>
  </r>
  <r>
    <d v="2024-04-07T00:00:00"/>
    <x v="0"/>
    <x v="3"/>
    <x v="1"/>
    <x v="2"/>
    <x v="1"/>
    <x v="1"/>
    <x v="2"/>
    <x v="0"/>
    <x v="6"/>
    <x v="4"/>
    <x v="7"/>
    <n v="214.48"/>
  </r>
  <r>
    <d v="2024-04-07T00:00:00"/>
    <x v="0"/>
    <x v="3"/>
    <x v="1"/>
    <x v="76"/>
    <x v="6"/>
    <x v="6"/>
    <x v="34"/>
    <x v="0"/>
    <x v="14"/>
    <x v="1"/>
    <x v="0"/>
    <n v="462.74"/>
  </r>
  <r>
    <d v="2024-04-07T00:00:00"/>
    <x v="0"/>
    <x v="3"/>
    <x v="1"/>
    <x v="8"/>
    <x v="3"/>
    <x v="3"/>
    <x v="72"/>
    <x v="0"/>
    <x v="3"/>
    <x v="2"/>
    <x v="2"/>
    <n v="643.77"/>
  </r>
  <r>
    <d v="2024-04-07T00:00:00"/>
    <x v="0"/>
    <x v="3"/>
    <x v="1"/>
    <x v="24"/>
    <x v="6"/>
    <x v="6"/>
    <x v="36"/>
    <x v="0"/>
    <x v="14"/>
    <x v="4"/>
    <x v="7"/>
    <n v="2327.43"/>
  </r>
  <r>
    <d v="2024-04-07T00:00:00"/>
    <x v="0"/>
    <x v="3"/>
    <x v="1"/>
    <x v="75"/>
    <x v="1"/>
    <x v="1"/>
    <x v="4"/>
    <x v="0"/>
    <x v="6"/>
    <x v="6"/>
    <x v="4"/>
    <n v="5111.37"/>
  </r>
  <r>
    <d v="2024-04-07T00:00:00"/>
    <x v="0"/>
    <x v="3"/>
    <x v="1"/>
    <x v="37"/>
    <x v="6"/>
    <x v="6"/>
    <x v="39"/>
    <x v="0"/>
    <x v="14"/>
    <x v="6"/>
    <x v="4"/>
    <n v="12583.42"/>
  </r>
  <r>
    <d v="2024-04-08T00:00:00"/>
    <x v="0"/>
    <x v="3"/>
    <x v="0"/>
    <x v="13"/>
    <x v="0"/>
    <x v="0"/>
    <x v="22"/>
    <x v="0"/>
    <x v="5"/>
    <x v="2"/>
    <x v="2"/>
    <n v="6.56"/>
  </r>
  <r>
    <d v="2024-04-08T00:00:00"/>
    <x v="0"/>
    <x v="3"/>
    <x v="1"/>
    <x v="14"/>
    <x v="6"/>
    <x v="6"/>
    <x v="45"/>
    <x v="0"/>
    <x v="7"/>
    <x v="4"/>
    <x v="7"/>
    <n v="9.98"/>
  </r>
  <r>
    <d v="2024-04-08T00:00:00"/>
    <x v="0"/>
    <x v="3"/>
    <x v="0"/>
    <x v="62"/>
    <x v="6"/>
    <x v="6"/>
    <x v="50"/>
    <x v="0"/>
    <x v="13"/>
    <x v="4"/>
    <x v="7"/>
    <n v="41.88"/>
  </r>
  <r>
    <d v="2024-04-08T00:00:00"/>
    <x v="0"/>
    <x v="3"/>
    <x v="0"/>
    <x v="33"/>
    <x v="1"/>
    <x v="1"/>
    <x v="13"/>
    <x v="0"/>
    <x v="10"/>
    <x v="4"/>
    <x v="7"/>
    <n v="498.38"/>
  </r>
  <r>
    <d v="2024-04-08T00:00:00"/>
    <x v="0"/>
    <x v="3"/>
    <x v="1"/>
    <x v="4"/>
    <x v="6"/>
    <x v="6"/>
    <x v="29"/>
    <x v="0"/>
    <x v="2"/>
    <x v="4"/>
    <x v="7"/>
    <n v="628.27"/>
  </r>
  <r>
    <d v="2024-04-08T00:00:00"/>
    <x v="0"/>
    <x v="3"/>
    <x v="1"/>
    <x v="39"/>
    <x v="7"/>
    <x v="7"/>
    <x v="91"/>
    <x v="0"/>
    <x v="9"/>
    <x v="4"/>
    <x v="7"/>
    <n v="2416.16"/>
  </r>
  <r>
    <d v="2024-04-09T00:00:00"/>
    <x v="0"/>
    <x v="3"/>
    <x v="1"/>
    <x v="45"/>
    <x v="3"/>
    <x v="3"/>
    <x v="64"/>
    <x v="0"/>
    <x v="1"/>
    <x v="1"/>
    <x v="0"/>
    <n v="7.5"/>
  </r>
  <r>
    <d v="2024-04-09T00:00:00"/>
    <x v="0"/>
    <x v="3"/>
    <x v="1"/>
    <x v="18"/>
    <x v="5"/>
    <x v="5"/>
    <x v="96"/>
    <x v="0"/>
    <x v="18"/>
    <x v="4"/>
    <x v="7"/>
    <n v="7.99"/>
  </r>
  <r>
    <d v="2024-04-09T00:00:00"/>
    <x v="0"/>
    <x v="3"/>
    <x v="1"/>
    <x v="39"/>
    <x v="7"/>
    <x v="7"/>
    <x v="91"/>
    <x v="0"/>
    <x v="9"/>
    <x v="5"/>
    <x v="8"/>
    <n v="62.21"/>
  </r>
  <r>
    <d v="2024-04-09T00:00:00"/>
    <x v="0"/>
    <x v="3"/>
    <x v="0"/>
    <x v="24"/>
    <x v="6"/>
    <x v="6"/>
    <x v="36"/>
    <x v="0"/>
    <x v="14"/>
    <x v="7"/>
    <x v="3"/>
    <n v="237.69"/>
  </r>
  <r>
    <d v="2024-04-09T00:00:00"/>
    <x v="0"/>
    <x v="3"/>
    <x v="0"/>
    <x v="34"/>
    <x v="6"/>
    <x v="6"/>
    <x v="32"/>
    <x v="0"/>
    <x v="2"/>
    <x v="8"/>
    <x v="5"/>
    <n v="247.39"/>
  </r>
  <r>
    <d v="2024-04-09T00:00:00"/>
    <x v="0"/>
    <x v="3"/>
    <x v="1"/>
    <x v="79"/>
    <x v="1"/>
    <x v="1"/>
    <x v="8"/>
    <x v="0"/>
    <x v="10"/>
    <x v="1"/>
    <x v="0"/>
    <n v="688.07"/>
  </r>
  <r>
    <d v="2024-04-09T00:00:00"/>
    <x v="0"/>
    <x v="3"/>
    <x v="0"/>
    <x v="0"/>
    <x v="3"/>
    <x v="3"/>
    <x v="69"/>
    <x v="0"/>
    <x v="3"/>
    <x v="4"/>
    <x v="7"/>
    <n v="870.45"/>
  </r>
  <r>
    <d v="2024-04-10T00:00:00"/>
    <x v="0"/>
    <x v="3"/>
    <x v="1"/>
    <x v="41"/>
    <x v="5"/>
    <x v="5"/>
    <x v="93"/>
    <x v="0"/>
    <x v="18"/>
    <x v="1"/>
    <x v="0"/>
    <n v="10.0"/>
  </r>
  <r>
    <d v="2024-04-10T00:00:00"/>
    <x v="0"/>
    <x v="3"/>
    <x v="1"/>
    <x v="35"/>
    <x v="6"/>
    <x v="6"/>
    <x v="46"/>
    <x v="0"/>
    <x v="7"/>
    <x v="4"/>
    <x v="7"/>
    <n v="57.18"/>
  </r>
  <r>
    <d v="2024-04-10T00:00:00"/>
    <x v="0"/>
    <x v="3"/>
    <x v="1"/>
    <x v="26"/>
    <x v="7"/>
    <x v="7"/>
    <x v="81"/>
    <x v="0"/>
    <x v="20"/>
    <x v="4"/>
    <x v="7"/>
    <n v="281.53"/>
  </r>
  <r>
    <d v="2024-04-10T00:00:00"/>
    <x v="0"/>
    <x v="3"/>
    <x v="0"/>
    <x v="28"/>
    <x v="6"/>
    <x v="6"/>
    <x v="51"/>
    <x v="0"/>
    <x v="13"/>
    <x v="1"/>
    <x v="0"/>
    <n v="516.3"/>
  </r>
  <r>
    <d v="2024-04-10T00:00:00"/>
    <x v="0"/>
    <x v="3"/>
    <x v="1"/>
    <x v="25"/>
    <x v="1"/>
    <x v="1"/>
    <x v="6"/>
    <x v="0"/>
    <x v="6"/>
    <x v="8"/>
    <x v="5"/>
    <n v="797.75"/>
  </r>
  <r>
    <d v="2024-04-10T00:00:00"/>
    <x v="0"/>
    <x v="3"/>
    <x v="1"/>
    <x v="85"/>
    <x v="6"/>
    <x v="6"/>
    <x v="43"/>
    <x v="0"/>
    <x v="7"/>
    <x v="6"/>
    <x v="4"/>
    <n v="977.03"/>
  </r>
  <r>
    <d v="2024-04-10T00:00:00"/>
    <x v="0"/>
    <x v="3"/>
    <x v="1"/>
    <x v="90"/>
    <x v="3"/>
    <x v="3"/>
    <x v="55"/>
    <x v="0"/>
    <x v="19"/>
    <x v="9"/>
    <x v="6"/>
    <n v="5809.87"/>
  </r>
  <r>
    <d v="2024-04-11T00:00:00"/>
    <x v="0"/>
    <x v="3"/>
    <x v="1"/>
    <x v="18"/>
    <x v="5"/>
    <x v="5"/>
    <x v="96"/>
    <x v="0"/>
    <x v="18"/>
    <x v="2"/>
    <x v="2"/>
    <n v="12.99"/>
  </r>
  <r>
    <d v="2024-04-11T00:00:00"/>
    <x v="0"/>
    <x v="3"/>
    <x v="1"/>
    <x v="38"/>
    <x v="0"/>
    <x v="0"/>
    <x v="21"/>
    <x v="0"/>
    <x v="5"/>
    <x v="6"/>
    <x v="4"/>
    <n v="19.96"/>
  </r>
  <r>
    <d v="2024-04-11T00:00:00"/>
    <x v="0"/>
    <x v="3"/>
    <x v="1"/>
    <x v="74"/>
    <x v="4"/>
    <x v="4"/>
    <x v="75"/>
    <x v="0"/>
    <x v="15"/>
    <x v="5"/>
    <x v="8"/>
    <n v="49.94"/>
  </r>
  <r>
    <d v="2024-04-11T00:00:00"/>
    <x v="0"/>
    <x v="3"/>
    <x v="1"/>
    <x v="61"/>
    <x v="7"/>
    <x v="7"/>
    <x v="84"/>
    <x v="0"/>
    <x v="20"/>
    <x v="9"/>
    <x v="6"/>
    <n v="833.92"/>
  </r>
  <r>
    <d v="2024-04-11T00:00:00"/>
    <x v="0"/>
    <x v="3"/>
    <x v="0"/>
    <x v="5"/>
    <x v="1"/>
    <x v="1"/>
    <x v="14"/>
    <x v="0"/>
    <x v="4"/>
    <x v="1"/>
    <x v="0"/>
    <n v="1063.39"/>
  </r>
  <r>
    <d v="2024-04-11T00:00:00"/>
    <x v="0"/>
    <x v="3"/>
    <x v="1"/>
    <x v="84"/>
    <x v="3"/>
    <x v="3"/>
    <x v="53"/>
    <x v="0"/>
    <x v="19"/>
    <x v="9"/>
    <x v="6"/>
    <n v="2950.46"/>
  </r>
  <r>
    <d v="2024-04-11T00:00:00"/>
    <x v="0"/>
    <x v="3"/>
    <x v="1"/>
    <x v="24"/>
    <x v="6"/>
    <x v="6"/>
    <x v="36"/>
    <x v="0"/>
    <x v="14"/>
    <x v="5"/>
    <x v="8"/>
    <n v="4040.88"/>
  </r>
  <r>
    <d v="2024-04-12T00:00:00"/>
    <x v="0"/>
    <x v="3"/>
    <x v="1"/>
    <x v="69"/>
    <x v="1"/>
    <x v="1"/>
    <x v="19"/>
    <x v="0"/>
    <x v="5"/>
    <x v="3"/>
    <x v="1"/>
    <n v="6.0"/>
  </r>
  <r>
    <d v="2024-04-12T00:00:00"/>
    <x v="0"/>
    <x v="3"/>
    <x v="1"/>
    <x v="1"/>
    <x v="7"/>
    <x v="7"/>
    <x v="89"/>
    <x v="0"/>
    <x v="12"/>
    <x v="1"/>
    <x v="0"/>
    <n v="16.0"/>
  </r>
  <r>
    <d v="2024-04-12T00:00:00"/>
    <x v="0"/>
    <x v="3"/>
    <x v="1"/>
    <x v="89"/>
    <x v="1"/>
    <x v="1"/>
    <x v="18"/>
    <x v="0"/>
    <x v="5"/>
    <x v="4"/>
    <x v="7"/>
    <n v="21.95"/>
  </r>
  <r>
    <d v="2024-04-12T00:00:00"/>
    <x v="0"/>
    <x v="3"/>
    <x v="0"/>
    <x v="65"/>
    <x v="1"/>
    <x v="1"/>
    <x v="7"/>
    <x v="0"/>
    <x v="10"/>
    <x v="3"/>
    <x v="1"/>
    <n v="23.39"/>
  </r>
  <r>
    <d v="2024-04-12T00:00:00"/>
    <x v="0"/>
    <x v="3"/>
    <x v="1"/>
    <x v="54"/>
    <x v="1"/>
    <x v="1"/>
    <x v="25"/>
    <x v="0"/>
    <x v="8"/>
    <x v="4"/>
    <x v="7"/>
    <n v="43.89"/>
  </r>
  <r>
    <d v="2024-04-12T00:00:00"/>
    <x v="0"/>
    <x v="3"/>
    <x v="1"/>
    <x v="95"/>
    <x v="4"/>
    <x v="4"/>
    <x v="73"/>
    <x v="0"/>
    <x v="15"/>
    <x v="6"/>
    <x v="4"/>
    <n v="91.77"/>
  </r>
  <r>
    <d v="2024-04-12T00:00:00"/>
    <x v="0"/>
    <x v="3"/>
    <x v="1"/>
    <x v="21"/>
    <x v="3"/>
    <x v="3"/>
    <x v="60"/>
    <x v="0"/>
    <x v="17"/>
    <x v="6"/>
    <x v="4"/>
    <n v="148.82"/>
  </r>
  <r>
    <d v="2024-04-12T00:00:00"/>
    <x v="0"/>
    <x v="3"/>
    <x v="0"/>
    <x v="32"/>
    <x v="1"/>
    <x v="1"/>
    <x v="28"/>
    <x v="0"/>
    <x v="8"/>
    <x v="1"/>
    <x v="0"/>
    <n v="189.82"/>
  </r>
  <r>
    <d v="2024-04-12T00:00:00"/>
    <x v="0"/>
    <x v="3"/>
    <x v="1"/>
    <x v="66"/>
    <x v="4"/>
    <x v="4"/>
    <x v="76"/>
    <x v="0"/>
    <x v="15"/>
    <x v="1"/>
    <x v="0"/>
    <n v="300.36"/>
  </r>
  <r>
    <d v="2024-04-12T00:00:00"/>
    <x v="0"/>
    <x v="3"/>
    <x v="1"/>
    <x v="11"/>
    <x v="1"/>
    <x v="1"/>
    <x v="15"/>
    <x v="0"/>
    <x v="4"/>
    <x v="1"/>
    <x v="0"/>
    <n v="443.18"/>
  </r>
  <r>
    <d v="2024-04-12T00:00:00"/>
    <x v="0"/>
    <x v="3"/>
    <x v="0"/>
    <x v="37"/>
    <x v="6"/>
    <x v="6"/>
    <x v="39"/>
    <x v="0"/>
    <x v="14"/>
    <x v="5"/>
    <x v="8"/>
    <n v="1261.94"/>
  </r>
  <r>
    <d v="2024-04-12T00:00:00"/>
    <x v="0"/>
    <x v="3"/>
    <x v="1"/>
    <x v="33"/>
    <x v="1"/>
    <x v="1"/>
    <x v="13"/>
    <x v="0"/>
    <x v="10"/>
    <x v="6"/>
    <x v="4"/>
    <n v="1316.53"/>
  </r>
  <r>
    <d v="2024-04-12T00:00:00"/>
    <x v="0"/>
    <x v="3"/>
    <x v="1"/>
    <x v="43"/>
    <x v="7"/>
    <x v="7"/>
    <x v="87"/>
    <x v="0"/>
    <x v="12"/>
    <x v="3"/>
    <x v="1"/>
    <n v="1472.92"/>
  </r>
  <r>
    <d v="2024-04-12T00:00:00"/>
    <x v="0"/>
    <x v="3"/>
    <x v="1"/>
    <x v="34"/>
    <x v="6"/>
    <x v="6"/>
    <x v="32"/>
    <x v="0"/>
    <x v="2"/>
    <x v="2"/>
    <x v="2"/>
    <n v="1612.65"/>
  </r>
  <r>
    <d v="2024-04-12T00:00:00"/>
    <x v="0"/>
    <x v="3"/>
    <x v="0"/>
    <x v="89"/>
    <x v="1"/>
    <x v="1"/>
    <x v="18"/>
    <x v="0"/>
    <x v="5"/>
    <x v="9"/>
    <x v="6"/>
    <n v="1933.56"/>
  </r>
  <r>
    <d v="2024-04-13T00:00:00"/>
    <x v="0"/>
    <x v="3"/>
    <x v="1"/>
    <x v="80"/>
    <x v="6"/>
    <x v="6"/>
    <x v="38"/>
    <x v="0"/>
    <x v="14"/>
    <x v="6"/>
    <x v="4"/>
    <n v="10.0"/>
  </r>
  <r>
    <d v="2024-04-13T00:00:00"/>
    <x v="0"/>
    <x v="3"/>
    <x v="0"/>
    <x v="84"/>
    <x v="3"/>
    <x v="3"/>
    <x v="53"/>
    <x v="0"/>
    <x v="19"/>
    <x v="2"/>
    <x v="2"/>
    <n v="16.99"/>
  </r>
  <r>
    <d v="2024-04-13T00:00:00"/>
    <x v="0"/>
    <x v="3"/>
    <x v="1"/>
    <x v="50"/>
    <x v="7"/>
    <x v="7"/>
    <x v="83"/>
    <x v="0"/>
    <x v="20"/>
    <x v="8"/>
    <x v="5"/>
    <n v="41.93"/>
  </r>
  <r>
    <d v="2024-04-13T00:00:00"/>
    <x v="0"/>
    <x v="3"/>
    <x v="0"/>
    <x v="38"/>
    <x v="0"/>
    <x v="0"/>
    <x v="21"/>
    <x v="0"/>
    <x v="5"/>
    <x v="3"/>
    <x v="1"/>
    <n v="253.81"/>
  </r>
  <r>
    <d v="2024-04-13T00:00:00"/>
    <x v="0"/>
    <x v="3"/>
    <x v="1"/>
    <x v="27"/>
    <x v="6"/>
    <x v="6"/>
    <x v="31"/>
    <x v="0"/>
    <x v="2"/>
    <x v="7"/>
    <x v="3"/>
    <n v="428.31"/>
  </r>
  <r>
    <d v="2024-04-13T00:00:00"/>
    <x v="0"/>
    <x v="3"/>
    <x v="1"/>
    <x v="11"/>
    <x v="1"/>
    <x v="1"/>
    <x v="15"/>
    <x v="0"/>
    <x v="4"/>
    <x v="9"/>
    <x v="6"/>
    <n v="837.27"/>
  </r>
  <r>
    <d v="2024-04-14T00:00:00"/>
    <x v="0"/>
    <x v="3"/>
    <x v="1"/>
    <x v="57"/>
    <x v="4"/>
    <x v="4"/>
    <x v="74"/>
    <x v="0"/>
    <x v="15"/>
    <x v="3"/>
    <x v="1"/>
    <n v="3.0"/>
  </r>
  <r>
    <d v="2024-04-14T00:00:00"/>
    <x v="0"/>
    <x v="3"/>
    <x v="1"/>
    <x v="93"/>
    <x v="6"/>
    <x v="6"/>
    <x v="30"/>
    <x v="0"/>
    <x v="2"/>
    <x v="3"/>
    <x v="1"/>
    <n v="570.93"/>
  </r>
  <r>
    <d v="2024-04-14T00:00:00"/>
    <x v="0"/>
    <x v="3"/>
    <x v="0"/>
    <x v="54"/>
    <x v="1"/>
    <x v="1"/>
    <x v="25"/>
    <x v="0"/>
    <x v="8"/>
    <x v="5"/>
    <x v="8"/>
    <n v="685.08"/>
  </r>
  <r>
    <d v="2024-04-14T00:00:00"/>
    <x v="0"/>
    <x v="3"/>
    <x v="1"/>
    <x v="90"/>
    <x v="3"/>
    <x v="3"/>
    <x v="55"/>
    <x v="0"/>
    <x v="19"/>
    <x v="3"/>
    <x v="1"/>
    <n v="1925.47"/>
  </r>
  <r>
    <d v="2024-04-15T00:00:00"/>
    <x v="0"/>
    <x v="3"/>
    <x v="1"/>
    <x v="52"/>
    <x v="1"/>
    <x v="1"/>
    <x v="11"/>
    <x v="0"/>
    <x v="10"/>
    <x v="2"/>
    <x v="2"/>
    <n v="38.97"/>
  </r>
  <r>
    <d v="2024-04-15T00:00:00"/>
    <x v="0"/>
    <x v="3"/>
    <x v="0"/>
    <x v="58"/>
    <x v="3"/>
    <x v="3"/>
    <x v="61"/>
    <x v="0"/>
    <x v="17"/>
    <x v="7"/>
    <x v="3"/>
    <n v="73.89"/>
  </r>
  <r>
    <d v="2024-04-15T00:00:00"/>
    <x v="0"/>
    <x v="3"/>
    <x v="1"/>
    <x v="53"/>
    <x v="1"/>
    <x v="1"/>
    <x v="16"/>
    <x v="0"/>
    <x v="4"/>
    <x v="2"/>
    <x v="2"/>
    <n v="532.92"/>
  </r>
  <r>
    <d v="2024-04-15T00:00:00"/>
    <x v="0"/>
    <x v="3"/>
    <x v="1"/>
    <x v="28"/>
    <x v="6"/>
    <x v="6"/>
    <x v="51"/>
    <x v="0"/>
    <x v="13"/>
    <x v="9"/>
    <x v="6"/>
    <n v="655.78"/>
  </r>
  <r>
    <d v="2024-04-15T00:00:00"/>
    <x v="0"/>
    <x v="3"/>
    <x v="1"/>
    <x v="52"/>
    <x v="1"/>
    <x v="1"/>
    <x v="11"/>
    <x v="0"/>
    <x v="10"/>
    <x v="3"/>
    <x v="1"/>
    <n v="685.12"/>
  </r>
  <r>
    <d v="2024-04-15T00:00:00"/>
    <x v="0"/>
    <x v="3"/>
    <x v="1"/>
    <x v="68"/>
    <x v="3"/>
    <x v="3"/>
    <x v="59"/>
    <x v="0"/>
    <x v="16"/>
    <x v="3"/>
    <x v="1"/>
    <n v="1316.6"/>
  </r>
  <r>
    <d v="2024-04-16T00:00:00"/>
    <x v="0"/>
    <x v="3"/>
    <x v="1"/>
    <x v="38"/>
    <x v="0"/>
    <x v="0"/>
    <x v="21"/>
    <x v="0"/>
    <x v="5"/>
    <x v="5"/>
    <x v="8"/>
    <n v="6.0"/>
  </r>
  <r>
    <d v="2024-04-16T00:00:00"/>
    <x v="0"/>
    <x v="3"/>
    <x v="1"/>
    <x v="4"/>
    <x v="6"/>
    <x v="6"/>
    <x v="29"/>
    <x v="0"/>
    <x v="2"/>
    <x v="3"/>
    <x v="1"/>
    <n v="14.97"/>
  </r>
  <r>
    <d v="2024-04-16T00:00:00"/>
    <x v="0"/>
    <x v="3"/>
    <x v="0"/>
    <x v="59"/>
    <x v="1"/>
    <x v="1"/>
    <x v="3"/>
    <x v="0"/>
    <x v="6"/>
    <x v="4"/>
    <x v="7"/>
    <n v="37.62"/>
  </r>
  <r>
    <d v="2024-04-16T00:00:00"/>
    <x v="0"/>
    <x v="3"/>
    <x v="1"/>
    <x v="76"/>
    <x v="6"/>
    <x v="6"/>
    <x v="34"/>
    <x v="0"/>
    <x v="14"/>
    <x v="9"/>
    <x v="6"/>
    <n v="248.02"/>
  </r>
  <r>
    <d v="2024-04-16T00:00:00"/>
    <x v="0"/>
    <x v="3"/>
    <x v="1"/>
    <x v="83"/>
    <x v="3"/>
    <x v="3"/>
    <x v="56"/>
    <x v="0"/>
    <x v="16"/>
    <x v="4"/>
    <x v="7"/>
    <n v="2139.31"/>
  </r>
  <r>
    <d v="2024-04-17T00:00:00"/>
    <x v="0"/>
    <x v="3"/>
    <x v="0"/>
    <x v="35"/>
    <x v="6"/>
    <x v="6"/>
    <x v="46"/>
    <x v="0"/>
    <x v="7"/>
    <x v="0"/>
    <x v="9"/>
    <n v="4.0"/>
  </r>
  <r>
    <d v="2024-04-17T00:00:00"/>
    <x v="0"/>
    <x v="3"/>
    <x v="0"/>
    <x v="12"/>
    <x v="1"/>
    <x v="1"/>
    <x v="26"/>
    <x v="0"/>
    <x v="8"/>
    <x v="5"/>
    <x v="8"/>
    <n v="24.88"/>
  </r>
  <r>
    <d v="2024-04-17T00:00:00"/>
    <x v="0"/>
    <x v="3"/>
    <x v="1"/>
    <x v="13"/>
    <x v="0"/>
    <x v="0"/>
    <x v="22"/>
    <x v="0"/>
    <x v="5"/>
    <x v="9"/>
    <x v="6"/>
    <n v="1905.38"/>
  </r>
  <r>
    <d v="2024-04-17T00:00:00"/>
    <x v="0"/>
    <x v="3"/>
    <x v="0"/>
    <x v="4"/>
    <x v="6"/>
    <x v="6"/>
    <x v="29"/>
    <x v="0"/>
    <x v="2"/>
    <x v="6"/>
    <x v="4"/>
    <n v="4557.68"/>
  </r>
  <r>
    <d v="2024-04-17T00:00:00"/>
    <x v="0"/>
    <x v="3"/>
    <x v="1"/>
    <x v="22"/>
    <x v="1"/>
    <x v="1"/>
    <x v="20"/>
    <x v="0"/>
    <x v="5"/>
    <x v="3"/>
    <x v="1"/>
    <n v="4624.0"/>
  </r>
  <r>
    <d v="2024-04-18T00:00:00"/>
    <x v="0"/>
    <x v="3"/>
    <x v="0"/>
    <x v="77"/>
    <x v="3"/>
    <x v="3"/>
    <x v="66"/>
    <x v="0"/>
    <x v="1"/>
    <x v="9"/>
    <x v="6"/>
    <n v="59.97"/>
  </r>
  <r>
    <d v="2024-04-18T00:00:00"/>
    <x v="0"/>
    <x v="3"/>
    <x v="0"/>
    <x v="17"/>
    <x v="3"/>
    <x v="3"/>
    <x v="57"/>
    <x v="0"/>
    <x v="16"/>
    <x v="5"/>
    <x v="8"/>
    <n v="121.8"/>
  </r>
  <r>
    <d v="2024-04-18T00:00:00"/>
    <x v="0"/>
    <x v="3"/>
    <x v="0"/>
    <x v="41"/>
    <x v="5"/>
    <x v="5"/>
    <x v="93"/>
    <x v="0"/>
    <x v="18"/>
    <x v="4"/>
    <x v="7"/>
    <n v="580.65"/>
  </r>
  <r>
    <d v="2024-04-18T00:00:00"/>
    <x v="0"/>
    <x v="3"/>
    <x v="1"/>
    <x v="33"/>
    <x v="1"/>
    <x v="1"/>
    <x v="13"/>
    <x v="0"/>
    <x v="10"/>
    <x v="1"/>
    <x v="0"/>
    <n v="660.34"/>
  </r>
  <r>
    <d v="2024-04-18T00:00:00"/>
    <x v="0"/>
    <x v="3"/>
    <x v="1"/>
    <x v="92"/>
    <x v="6"/>
    <x v="6"/>
    <x v="40"/>
    <x v="0"/>
    <x v="7"/>
    <x v="2"/>
    <x v="2"/>
    <n v="733.47"/>
  </r>
  <r>
    <d v="2024-04-18T00:00:00"/>
    <x v="0"/>
    <x v="3"/>
    <x v="0"/>
    <x v="28"/>
    <x v="6"/>
    <x v="6"/>
    <x v="51"/>
    <x v="0"/>
    <x v="13"/>
    <x v="3"/>
    <x v="1"/>
    <n v="895.24"/>
  </r>
  <r>
    <d v="2024-04-18T00:00:00"/>
    <x v="0"/>
    <x v="3"/>
    <x v="1"/>
    <x v="34"/>
    <x v="6"/>
    <x v="6"/>
    <x v="32"/>
    <x v="0"/>
    <x v="2"/>
    <x v="6"/>
    <x v="4"/>
    <n v="6065.88"/>
  </r>
  <r>
    <d v="2024-04-19T00:00:00"/>
    <x v="0"/>
    <x v="3"/>
    <x v="1"/>
    <x v="22"/>
    <x v="1"/>
    <x v="1"/>
    <x v="20"/>
    <x v="0"/>
    <x v="5"/>
    <x v="6"/>
    <x v="4"/>
    <n v="6.99"/>
  </r>
  <r>
    <d v="2024-04-19T00:00:00"/>
    <x v="0"/>
    <x v="3"/>
    <x v="1"/>
    <x v="53"/>
    <x v="1"/>
    <x v="1"/>
    <x v="16"/>
    <x v="0"/>
    <x v="4"/>
    <x v="6"/>
    <x v="4"/>
    <n v="69.86"/>
  </r>
  <r>
    <d v="2024-04-19T00:00:00"/>
    <x v="0"/>
    <x v="3"/>
    <x v="1"/>
    <x v="59"/>
    <x v="1"/>
    <x v="1"/>
    <x v="3"/>
    <x v="0"/>
    <x v="6"/>
    <x v="6"/>
    <x v="4"/>
    <n v="104.79"/>
  </r>
  <r>
    <d v="2024-04-19T00:00:00"/>
    <x v="0"/>
    <x v="3"/>
    <x v="1"/>
    <x v="33"/>
    <x v="1"/>
    <x v="1"/>
    <x v="13"/>
    <x v="0"/>
    <x v="10"/>
    <x v="1"/>
    <x v="0"/>
    <n v="121.92"/>
  </r>
  <r>
    <d v="2024-04-19T00:00:00"/>
    <x v="0"/>
    <x v="3"/>
    <x v="0"/>
    <x v="32"/>
    <x v="1"/>
    <x v="1"/>
    <x v="28"/>
    <x v="0"/>
    <x v="8"/>
    <x v="5"/>
    <x v="8"/>
    <n v="459.51"/>
  </r>
  <r>
    <d v="2024-04-19T00:00:00"/>
    <x v="0"/>
    <x v="3"/>
    <x v="1"/>
    <x v="51"/>
    <x v="5"/>
    <x v="5"/>
    <x v="95"/>
    <x v="0"/>
    <x v="18"/>
    <x v="5"/>
    <x v="8"/>
    <n v="768.2"/>
  </r>
  <r>
    <d v="2024-04-19T00:00:00"/>
    <x v="0"/>
    <x v="3"/>
    <x v="1"/>
    <x v="65"/>
    <x v="1"/>
    <x v="1"/>
    <x v="7"/>
    <x v="0"/>
    <x v="10"/>
    <x v="1"/>
    <x v="0"/>
    <n v="1137.77"/>
  </r>
  <r>
    <d v="2024-04-19T00:00:00"/>
    <x v="0"/>
    <x v="3"/>
    <x v="0"/>
    <x v="26"/>
    <x v="7"/>
    <x v="7"/>
    <x v="81"/>
    <x v="0"/>
    <x v="20"/>
    <x v="9"/>
    <x v="6"/>
    <n v="1695.33"/>
  </r>
  <r>
    <d v="2024-04-19T00:00:00"/>
    <x v="0"/>
    <x v="3"/>
    <x v="0"/>
    <x v="27"/>
    <x v="6"/>
    <x v="6"/>
    <x v="31"/>
    <x v="0"/>
    <x v="2"/>
    <x v="2"/>
    <x v="2"/>
    <n v="5220.72"/>
  </r>
  <r>
    <d v="2024-04-20T00:00:00"/>
    <x v="0"/>
    <x v="3"/>
    <x v="1"/>
    <x v="36"/>
    <x v="7"/>
    <x v="7"/>
    <x v="90"/>
    <x v="0"/>
    <x v="9"/>
    <x v="1"/>
    <x v="0"/>
    <n v="8.5"/>
  </r>
  <r>
    <d v="2024-04-20T00:00:00"/>
    <x v="0"/>
    <x v="3"/>
    <x v="0"/>
    <x v="35"/>
    <x v="6"/>
    <x v="6"/>
    <x v="46"/>
    <x v="0"/>
    <x v="7"/>
    <x v="6"/>
    <x v="4"/>
    <n v="15.96"/>
  </r>
  <r>
    <d v="2024-04-20T00:00:00"/>
    <x v="0"/>
    <x v="3"/>
    <x v="1"/>
    <x v="95"/>
    <x v="4"/>
    <x v="4"/>
    <x v="73"/>
    <x v="0"/>
    <x v="15"/>
    <x v="4"/>
    <x v="7"/>
    <n v="172.73"/>
  </r>
  <r>
    <d v="2024-04-20T00:00:00"/>
    <x v="0"/>
    <x v="3"/>
    <x v="1"/>
    <x v="77"/>
    <x v="3"/>
    <x v="3"/>
    <x v="66"/>
    <x v="0"/>
    <x v="1"/>
    <x v="1"/>
    <x v="0"/>
    <n v="196.88"/>
  </r>
  <r>
    <d v="2024-04-20T00:00:00"/>
    <x v="0"/>
    <x v="3"/>
    <x v="1"/>
    <x v="1"/>
    <x v="7"/>
    <x v="7"/>
    <x v="89"/>
    <x v="0"/>
    <x v="12"/>
    <x v="3"/>
    <x v="1"/>
    <n v="260.73"/>
  </r>
  <r>
    <d v="2024-04-20T00:00:00"/>
    <x v="0"/>
    <x v="3"/>
    <x v="0"/>
    <x v="3"/>
    <x v="2"/>
    <x v="2"/>
    <x v="1"/>
    <x v="0"/>
    <x v="11"/>
    <x v="9"/>
    <x v="6"/>
    <n v="858.9"/>
  </r>
  <r>
    <d v="2024-04-21T00:00:00"/>
    <x v="0"/>
    <x v="3"/>
    <x v="1"/>
    <x v="28"/>
    <x v="6"/>
    <x v="6"/>
    <x v="51"/>
    <x v="0"/>
    <x v="13"/>
    <x v="2"/>
    <x v="2"/>
    <n v="25.98"/>
  </r>
  <r>
    <d v="2024-04-21T00:00:00"/>
    <x v="0"/>
    <x v="3"/>
    <x v="1"/>
    <x v="79"/>
    <x v="1"/>
    <x v="1"/>
    <x v="8"/>
    <x v="0"/>
    <x v="10"/>
    <x v="8"/>
    <x v="5"/>
    <n v="262.82"/>
  </r>
  <r>
    <d v="2024-04-21T00:00:00"/>
    <x v="0"/>
    <x v="3"/>
    <x v="1"/>
    <x v="28"/>
    <x v="6"/>
    <x v="6"/>
    <x v="51"/>
    <x v="0"/>
    <x v="13"/>
    <x v="9"/>
    <x v="6"/>
    <n v="481.89"/>
  </r>
  <r>
    <d v="2024-04-21T00:00:00"/>
    <x v="0"/>
    <x v="3"/>
    <x v="1"/>
    <x v="25"/>
    <x v="1"/>
    <x v="1"/>
    <x v="6"/>
    <x v="0"/>
    <x v="6"/>
    <x v="1"/>
    <x v="0"/>
    <n v="1105.97"/>
  </r>
  <r>
    <d v="2024-04-21T00:00:00"/>
    <x v="0"/>
    <x v="3"/>
    <x v="1"/>
    <x v="33"/>
    <x v="1"/>
    <x v="1"/>
    <x v="13"/>
    <x v="0"/>
    <x v="10"/>
    <x v="6"/>
    <x v="4"/>
    <n v="2283.95"/>
  </r>
  <r>
    <d v="2024-04-22T00:00:00"/>
    <x v="0"/>
    <x v="3"/>
    <x v="1"/>
    <x v="32"/>
    <x v="1"/>
    <x v="1"/>
    <x v="28"/>
    <x v="0"/>
    <x v="8"/>
    <x v="4"/>
    <x v="7"/>
    <n v="4.99"/>
  </r>
  <r>
    <d v="2024-04-22T00:00:00"/>
    <x v="0"/>
    <x v="3"/>
    <x v="0"/>
    <x v="69"/>
    <x v="1"/>
    <x v="1"/>
    <x v="19"/>
    <x v="0"/>
    <x v="5"/>
    <x v="0"/>
    <x v="9"/>
    <n v="5.99"/>
  </r>
  <r>
    <d v="2024-04-22T00:00:00"/>
    <x v="0"/>
    <x v="3"/>
    <x v="0"/>
    <x v="43"/>
    <x v="7"/>
    <x v="7"/>
    <x v="87"/>
    <x v="0"/>
    <x v="12"/>
    <x v="2"/>
    <x v="2"/>
    <n v="25.98"/>
  </r>
  <r>
    <d v="2024-04-22T00:00:00"/>
    <x v="0"/>
    <x v="3"/>
    <x v="0"/>
    <x v="62"/>
    <x v="6"/>
    <x v="6"/>
    <x v="50"/>
    <x v="0"/>
    <x v="13"/>
    <x v="1"/>
    <x v="0"/>
    <n v="79.95"/>
  </r>
  <r>
    <d v="2024-04-22T00:00:00"/>
    <x v="0"/>
    <x v="3"/>
    <x v="0"/>
    <x v="20"/>
    <x v="3"/>
    <x v="3"/>
    <x v="71"/>
    <x v="0"/>
    <x v="3"/>
    <x v="3"/>
    <x v="1"/>
    <n v="89.91"/>
  </r>
  <r>
    <d v="2024-04-22T00:00:00"/>
    <x v="0"/>
    <x v="3"/>
    <x v="1"/>
    <x v="67"/>
    <x v="3"/>
    <x v="3"/>
    <x v="62"/>
    <x v="0"/>
    <x v="17"/>
    <x v="9"/>
    <x v="6"/>
    <n v="451.26"/>
  </r>
  <r>
    <d v="2024-04-22T00:00:00"/>
    <x v="0"/>
    <x v="3"/>
    <x v="0"/>
    <x v="40"/>
    <x v="3"/>
    <x v="3"/>
    <x v="65"/>
    <x v="0"/>
    <x v="1"/>
    <x v="8"/>
    <x v="5"/>
    <n v="454.93"/>
  </r>
  <r>
    <d v="2024-04-22T00:00:00"/>
    <x v="0"/>
    <x v="3"/>
    <x v="0"/>
    <x v="9"/>
    <x v="7"/>
    <x v="7"/>
    <x v="82"/>
    <x v="0"/>
    <x v="20"/>
    <x v="9"/>
    <x v="6"/>
    <n v="898.84"/>
  </r>
  <r>
    <d v="2024-04-22T00:00:00"/>
    <x v="0"/>
    <x v="3"/>
    <x v="1"/>
    <x v="22"/>
    <x v="1"/>
    <x v="1"/>
    <x v="20"/>
    <x v="0"/>
    <x v="5"/>
    <x v="6"/>
    <x v="4"/>
    <n v="9101.49"/>
  </r>
  <r>
    <d v="2024-04-23T00:00:00"/>
    <x v="0"/>
    <x v="3"/>
    <x v="1"/>
    <x v="85"/>
    <x v="6"/>
    <x v="6"/>
    <x v="43"/>
    <x v="0"/>
    <x v="7"/>
    <x v="2"/>
    <x v="2"/>
    <n v="29.98"/>
  </r>
  <r>
    <d v="2024-04-23T00:00:00"/>
    <x v="0"/>
    <x v="3"/>
    <x v="1"/>
    <x v="52"/>
    <x v="1"/>
    <x v="1"/>
    <x v="11"/>
    <x v="0"/>
    <x v="10"/>
    <x v="4"/>
    <x v="7"/>
    <n v="431.38"/>
  </r>
  <r>
    <d v="2024-04-23T00:00:00"/>
    <x v="0"/>
    <x v="3"/>
    <x v="1"/>
    <x v="37"/>
    <x v="6"/>
    <x v="6"/>
    <x v="39"/>
    <x v="0"/>
    <x v="14"/>
    <x v="1"/>
    <x v="0"/>
    <n v="1315.84"/>
  </r>
  <r>
    <d v="2024-04-23T00:00:00"/>
    <x v="0"/>
    <x v="3"/>
    <x v="1"/>
    <x v="30"/>
    <x v="6"/>
    <x v="6"/>
    <x v="37"/>
    <x v="0"/>
    <x v="14"/>
    <x v="1"/>
    <x v="0"/>
    <n v="1485.79"/>
  </r>
  <r>
    <d v="2024-04-23T00:00:00"/>
    <x v="0"/>
    <x v="3"/>
    <x v="1"/>
    <x v="83"/>
    <x v="3"/>
    <x v="3"/>
    <x v="56"/>
    <x v="0"/>
    <x v="16"/>
    <x v="3"/>
    <x v="1"/>
    <n v="2400.23"/>
  </r>
  <r>
    <d v="2024-04-24T00:00:00"/>
    <x v="0"/>
    <x v="3"/>
    <x v="1"/>
    <x v="0"/>
    <x v="3"/>
    <x v="3"/>
    <x v="69"/>
    <x v="0"/>
    <x v="3"/>
    <x v="5"/>
    <x v="8"/>
    <n v="38.92"/>
  </r>
  <r>
    <d v="2024-04-24T00:00:00"/>
    <x v="0"/>
    <x v="3"/>
    <x v="0"/>
    <x v="96"/>
    <x v="3"/>
    <x v="3"/>
    <x v="67"/>
    <x v="0"/>
    <x v="1"/>
    <x v="3"/>
    <x v="1"/>
    <n v="80.94"/>
  </r>
  <r>
    <d v="2024-04-24T00:00:00"/>
    <x v="0"/>
    <x v="3"/>
    <x v="1"/>
    <x v="19"/>
    <x v="7"/>
    <x v="7"/>
    <x v="88"/>
    <x v="0"/>
    <x v="12"/>
    <x v="0"/>
    <x v="9"/>
    <n v="240.71"/>
  </r>
  <r>
    <d v="2024-04-24T00:00:00"/>
    <x v="0"/>
    <x v="3"/>
    <x v="1"/>
    <x v="47"/>
    <x v="3"/>
    <x v="3"/>
    <x v="54"/>
    <x v="0"/>
    <x v="19"/>
    <x v="9"/>
    <x v="6"/>
    <n v="321.53"/>
  </r>
  <r>
    <d v="2024-04-24T00:00:00"/>
    <x v="0"/>
    <x v="3"/>
    <x v="1"/>
    <x v="73"/>
    <x v="4"/>
    <x v="4"/>
    <x v="80"/>
    <x v="0"/>
    <x v="0"/>
    <x v="5"/>
    <x v="8"/>
    <n v="514.5"/>
  </r>
  <r>
    <d v="2024-04-24T00:00:00"/>
    <x v="0"/>
    <x v="3"/>
    <x v="1"/>
    <x v="52"/>
    <x v="1"/>
    <x v="1"/>
    <x v="11"/>
    <x v="0"/>
    <x v="10"/>
    <x v="3"/>
    <x v="1"/>
    <n v="1141.28"/>
  </r>
  <r>
    <d v="2024-04-25T00:00:00"/>
    <x v="0"/>
    <x v="3"/>
    <x v="1"/>
    <x v="44"/>
    <x v="6"/>
    <x v="6"/>
    <x v="49"/>
    <x v="0"/>
    <x v="13"/>
    <x v="1"/>
    <x v="0"/>
    <n v="7.0"/>
  </r>
  <r>
    <d v="2024-04-25T00:00:00"/>
    <x v="0"/>
    <x v="3"/>
    <x v="1"/>
    <x v="1"/>
    <x v="7"/>
    <x v="7"/>
    <x v="89"/>
    <x v="0"/>
    <x v="12"/>
    <x v="1"/>
    <x v="0"/>
    <n v="73.49"/>
  </r>
  <r>
    <d v="2024-04-25T00:00:00"/>
    <x v="0"/>
    <x v="3"/>
    <x v="0"/>
    <x v="23"/>
    <x v="1"/>
    <x v="1"/>
    <x v="12"/>
    <x v="0"/>
    <x v="10"/>
    <x v="8"/>
    <x v="5"/>
    <n v="109.7"/>
  </r>
  <r>
    <d v="2024-04-25T00:00:00"/>
    <x v="0"/>
    <x v="3"/>
    <x v="1"/>
    <x v="75"/>
    <x v="1"/>
    <x v="1"/>
    <x v="4"/>
    <x v="0"/>
    <x v="6"/>
    <x v="6"/>
    <x v="4"/>
    <n v="242.06"/>
  </r>
  <r>
    <d v="2024-04-25T00:00:00"/>
    <x v="0"/>
    <x v="3"/>
    <x v="1"/>
    <x v="35"/>
    <x v="6"/>
    <x v="6"/>
    <x v="46"/>
    <x v="0"/>
    <x v="7"/>
    <x v="5"/>
    <x v="8"/>
    <n v="404.72"/>
  </r>
  <r>
    <d v="2024-04-25T00:00:00"/>
    <x v="0"/>
    <x v="3"/>
    <x v="1"/>
    <x v="23"/>
    <x v="1"/>
    <x v="1"/>
    <x v="12"/>
    <x v="0"/>
    <x v="10"/>
    <x v="6"/>
    <x v="4"/>
    <n v="504.9"/>
  </r>
  <r>
    <d v="2024-04-25T00:00:00"/>
    <x v="0"/>
    <x v="3"/>
    <x v="1"/>
    <x v="34"/>
    <x v="6"/>
    <x v="6"/>
    <x v="32"/>
    <x v="0"/>
    <x v="2"/>
    <x v="4"/>
    <x v="7"/>
    <n v="606.93"/>
  </r>
  <r>
    <d v="2024-04-25T00:00:00"/>
    <x v="0"/>
    <x v="3"/>
    <x v="1"/>
    <x v="32"/>
    <x v="1"/>
    <x v="1"/>
    <x v="28"/>
    <x v="0"/>
    <x v="8"/>
    <x v="3"/>
    <x v="1"/>
    <n v="3180.78"/>
  </r>
  <r>
    <d v="2024-04-26T00:00:00"/>
    <x v="0"/>
    <x v="3"/>
    <x v="1"/>
    <x v="36"/>
    <x v="7"/>
    <x v="7"/>
    <x v="90"/>
    <x v="0"/>
    <x v="9"/>
    <x v="8"/>
    <x v="5"/>
    <n v="3.59"/>
  </r>
  <r>
    <d v="2024-04-26T00:00:00"/>
    <x v="0"/>
    <x v="3"/>
    <x v="1"/>
    <x v="3"/>
    <x v="2"/>
    <x v="2"/>
    <x v="1"/>
    <x v="0"/>
    <x v="11"/>
    <x v="1"/>
    <x v="0"/>
    <n v="9.0"/>
  </r>
  <r>
    <d v="2024-04-26T00:00:00"/>
    <x v="0"/>
    <x v="3"/>
    <x v="0"/>
    <x v="12"/>
    <x v="1"/>
    <x v="1"/>
    <x v="26"/>
    <x v="0"/>
    <x v="8"/>
    <x v="3"/>
    <x v="1"/>
    <n v="21.31"/>
  </r>
  <r>
    <d v="2024-04-26T00:00:00"/>
    <x v="0"/>
    <x v="3"/>
    <x v="0"/>
    <x v="45"/>
    <x v="3"/>
    <x v="3"/>
    <x v="64"/>
    <x v="0"/>
    <x v="1"/>
    <x v="5"/>
    <x v="8"/>
    <n v="425.77"/>
  </r>
  <r>
    <d v="2024-04-26T00:00:00"/>
    <x v="0"/>
    <x v="3"/>
    <x v="0"/>
    <x v="26"/>
    <x v="7"/>
    <x v="7"/>
    <x v="81"/>
    <x v="0"/>
    <x v="20"/>
    <x v="3"/>
    <x v="1"/>
    <n v="802.75"/>
  </r>
  <r>
    <d v="2024-04-26T00:00:00"/>
    <x v="0"/>
    <x v="3"/>
    <x v="1"/>
    <x v="68"/>
    <x v="3"/>
    <x v="3"/>
    <x v="59"/>
    <x v="0"/>
    <x v="16"/>
    <x v="3"/>
    <x v="1"/>
    <n v="813.89"/>
  </r>
  <r>
    <d v="2024-04-27T00:00:00"/>
    <x v="0"/>
    <x v="3"/>
    <x v="1"/>
    <x v="35"/>
    <x v="6"/>
    <x v="6"/>
    <x v="46"/>
    <x v="0"/>
    <x v="7"/>
    <x v="6"/>
    <x v="4"/>
    <n v="2.25"/>
  </r>
  <r>
    <d v="2024-04-27T00:00:00"/>
    <x v="0"/>
    <x v="3"/>
    <x v="1"/>
    <x v="4"/>
    <x v="6"/>
    <x v="6"/>
    <x v="29"/>
    <x v="0"/>
    <x v="2"/>
    <x v="6"/>
    <x v="4"/>
    <n v="33.0"/>
  </r>
  <r>
    <d v="2024-04-27T00:00:00"/>
    <x v="0"/>
    <x v="3"/>
    <x v="1"/>
    <x v="87"/>
    <x v="3"/>
    <x v="3"/>
    <x v="52"/>
    <x v="0"/>
    <x v="19"/>
    <x v="8"/>
    <x v="5"/>
    <n v="47.92"/>
  </r>
  <r>
    <d v="2024-04-27T00:00:00"/>
    <x v="0"/>
    <x v="3"/>
    <x v="1"/>
    <x v="13"/>
    <x v="0"/>
    <x v="0"/>
    <x v="22"/>
    <x v="0"/>
    <x v="5"/>
    <x v="1"/>
    <x v="0"/>
    <n v="305.88"/>
  </r>
  <r>
    <d v="2024-04-27T00:00:00"/>
    <x v="0"/>
    <x v="3"/>
    <x v="1"/>
    <x v="79"/>
    <x v="1"/>
    <x v="1"/>
    <x v="8"/>
    <x v="0"/>
    <x v="10"/>
    <x v="1"/>
    <x v="0"/>
    <n v="606.08"/>
  </r>
  <r>
    <d v="2024-04-27T00:00:00"/>
    <x v="0"/>
    <x v="3"/>
    <x v="1"/>
    <x v="57"/>
    <x v="4"/>
    <x v="4"/>
    <x v="74"/>
    <x v="0"/>
    <x v="15"/>
    <x v="6"/>
    <x v="4"/>
    <n v="609.69"/>
  </r>
  <r>
    <d v="2024-04-27T00:00:00"/>
    <x v="0"/>
    <x v="3"/>
    <x v="0"/>
    <x v="34"/>
    <x v="6"/>
    <x v="6"/>
    <x v="32"/>
    <x v="0"/>
    <x v="2"/>
    <x v="5"/>
    <x v="8"/>
    <n v="638.17"/>
  </r>
  <r>
    <d v="2024-04-27T00:00:00"/>
    <x v="0"/>
    <x v="3"/>
    <x v="1"/>
    <x v="63"/>
    <x v="4"/>
    <x v="4"/>
    <x v="78"/>
    <x v="0"/>
    <x v="0"/>
    <x v="3"/>
    <x v="1"/>
    <n v="1131.28"/>
  </r>
  <r>
    <d v="2024-04-27T00:00:00"/>
    <x v="0"/>
    <x v="3"/>
    <x v="1"/>
    <x v="79"/>
    <x v="1"/>
    <x v="1"/>
    <x v="8"/>
    <x v="0"/>
    <x v="10"/>
    <x v="6"/>
    <x v="4"/>
    <n v="5062.93"/>
  </r>
  <r>
    <d v="2024-04-28T00:00:00"/>
    <x v="0"/>
    <x v="3"/>
    <x v="1"/>
    <x v="18"/>
    <x v="5"/>
    <x v="5"/>
    <x v="96"/>
    <x v="0"/>
    <x v="18"/>
    <x v="3"/>
    <x v="1"/>
    <n v="7.0"/>
  </r>
  <r>
    <d v="2024-04-28T00:00:00"/>
    <x v="0"/>
    <x v="3"/>
    <x v="1"/>
    <x v="94"/>
    <x v="6"/>
    <x v="6"/>
    <x v="48"/>
    <x v="0"/>
    <x v="13"/>
    <x v="3"/>
    <x v="1"/>
    <n v="27.96"/>
  </r>
  <r>
    <d v="2024-04-28T00:00:00"/>
    <x v="0"/>
    <x v="3"/>
    <x v="1"/>
    <x v="80"/>
    <x v="6"/>
    <x v="6"/>
    <x v="38"/>
    <x v="0"/>
    <x v="14"/>
    <x v="9"/>
    <x v="6"/>
    <n v="466.74"/>
  </r>
  <r>
    <d v="2024-04-29T00:00:00"/>
    <x v="0"/>
    <x v="3"/>
    <x v="0"/>
    <x v="37"/>
    <x v="6"/>
    <x v="6"/>
    <x v="39"/>
    <x v="0"/>
    <x v="14"/>
    <x v="1"/>
    <x v="0"/>
    <n v="33.75"/>
  </r>
  <r>
    <d v="2024-04-29T00:00:00"/>
    <x v="0"/>
    <x v="3"/>
    <x v="0"/>
    <x v="80"/>
    <x v="6"/>
    <x v="6"/>
    <x v="38"/>
    <x v="0"/>
    <x v="14"/>
    <x v="5"/>
    <x v="8"/>
    <n v="85.84"/>
  </r>
  <r>
    <d v="2024-04-29T00:00:00"/>
    <x v="0"/>
    <x v="3"/>
    <x v="1"/>
    <x v="27"/>
    <x v="6"/>
    <x v="6"/>
    <x v="31"/>
    <x v="0"/>
    <x v="2"/>
    <x v="6"/>
    <x v="4"/>
    <n v="120.49"/>
  </r>
  <r>
    <d v="2024-04-29T00:00:00"/>
    <x v="0"/>
    <x v="3"/>
    <x v="1"/>
    <x v="8"/>
    <x v="3"/>
    <x v="3"/>
    <x v="72"/>
    <x v="0"/>
    <x v="3"/>
    <x v="9"/>
    <x v="6"/>
    <n v="209.65"/>
  </r>
  <r>
    <d v="2024-04-29T00:00:00"/>
    <x v="0"/>
    <x v="3"/>
    <x v="0"/>
    <x v="39"/>
    <x v="7"/>
    <x v="7"/>
    <x v="91"/>
    <x v="0"/>
    <x v="9"/>
    <x v="1"/>
    <x v="0"/>
    <n v="304.11"/>
  </r>
  <r>
    <d v="2024-04-29T00:00:00"/>
    <x v="0"/>
    <x v="3"/>
    <x v="0"/>
    <x v="41"/>
    <x v="5"/>
    <x v="5"/>
    <x v="93"/>
    <x v="0"/>
    <x v="18"/>
    <x v="3"/>
    <x v="1"/>
    <n v="386.58"/>
  </r>
  <r>
    <d v="2024-04-29T00:00:00"/>
    <x v="0"/>
    <x v="3"/>
    <x v="1"/>
    <x v="4"/>
    <x v="6"/>
    <x v="6"/>
    <x v="29"/>
    <x v="0"/>
    <x v="2"/>
    <x v="5"/>
    <x v="8"/>
    <n v="412.16"/>
  </r>
  <r>
    <d v="2024-04-29T00:00:00"/>
    <x v="0"/>
    <x v="3"/>
    <x v="1"/>
    <x v="35"/>
    <x v="6"/>
    <x v="6"/>
    <x v="46"/>
    <x v="0"/>
    <x v="7"/>
    <x v="3"/>
    <x v="1"/>
    <n v="422.3"/>
  </r>
  <r>
    <d v="2024-04-29T00:00:00"/>
    <x v="0"/>
    <x v="3"/>
    <x v="1"/>
    <x v="62"/>
    <x v="6"/>
    <x v="6"/>
    <x v="50"/>
    <x v="0"/>
    <x v="13"/>
    <x v="2"/>
    <x v="2"/>
    <n v="665.34"/>
  </r>
  <r>
    <d v="2024-04-30T00:00:00"/>
    <x v="0"/>
    <x v="3"/>
    <x v="1"/>
    <x v="46"/>
    <x v="6"/>
    <x v="6"/>
    <x v="42"/>
    <x v="0"/>
    <x v="7"/>
    <x v="1"/>
    <x v="0"/>
    <n v="11.0"/>
  </r>
  <r>
    <d v="2024-04-30T00:00:00"/>
    <x v="0"/>
    <x v="3"/>
    <x v="0"/>
    <x v="80"/>
    <x v="6"/>
    <x v="6"/>
    <x v="38"/>
    <x v="0"/>
    <x v="14"/>
    <x v="2"/>
    <x v="2"/>
    <n v="25.98"/>
  </r>
  <r>
    <d v="2024-04-30T00:00:00"/>
    <x v="0"/>
    <x v="3"/>
    <x v="1"/>
    <x v="39"/>
    <x v="7"/>
    <x v="7"/>
    <x v="91"/>
    <x v="0"/>
    <x v="9"/>
    <x v="0"/>
    <x v="9"/>
    <n v="32.56"/>
  </r>
  <r>
    <d v="2024-04-30T00:00:00"/>
    <x v="0"/>
    <x v="3"/>
    <x v="1"/>
    <x v="26"/>
    <x v="7"/>
    <x v="7"/>
    <x v="81"/>
    <x v="0"/>
    <x v="20"/>
    <x v="1"/>
    <x v="0"/>
    <n v="44.97"/>
  </r>
  <r>
    <d v="2024-04-30T00:00:00"/>
    <x v="0"/>
    <x v="3"/>
    <x v="0"/>
    <x v="84"/>
    <x v="3"/>
    <x v="3"/>
    <x v="53"/>
    <x v="0"/>
    <x v="19"/>
    <x v="5"/>
    <x v="8"/>
    <n v="87.68"/>
  </r>
  <r>
    <d v="2024-04-30T00:00:00"/>
    <x v="0"/>
    <x v="3"/>
    <x v="1"/>
    <x v="94"/>
    <x v="6"/>
    <x v="6"/>
    <x v="48"/>
    <x v="0"/>
    <x v="13"/>
    <x v="1"/>
    <x v="0"/>
    <n v="98.99"/>
  </r>
  <r>
    <d v="2024-04-30T00:00:00"/>
    <x v="0"/>
    <x v="3"/>
    <x v="1"/>
    <x v="17"/>
    <x v="3"/>
    <x v="3"/>
    <x v="57"/>
    <x v="0"/>
    <x v="16"/>
    <x v="1"/>
    <x v="0"/>
    <n v="369.64"/>
  </r>
  <r>
    <d v="2024-04-30T00:00:00"/>
    <x v="0"/>
    <x v="3"/>
    <x v="1"/>
    <x v="23"/>
    <x v="1"/>
    <x v="1"/>
    <x v="12"/>
    <x v="0"/>
    <x v="10"/>
    <x v="8"/>
    <x v="5"/>
    <n v="1239.77"/>
  </r>
  <r>
    <d v="2024-04-30T00:00:00"/>
    <x v="0"/>
    <x v="3"/>
    <x v="1"/>
    <x v="53"/>
    <x v="1"/>
    <x v="1"/>
    <x v="16"/>
    <x v="0"/>
    <x v="4"/>
    <x v="4"/>
    <x v="7"/>
    <n v="2554.57"/>
  </r>
  <r>
    <d v="2024-04-30T00:00:00"/>
    <x v="0"/>
    <x v="3"/>
    <x v="1"/>
    <x v="91"/>
    <x v="1"/>
    <x v="1"/>
    <x v="23"/>
    <x v="0"/>
    <x v="8"/>
    <x v="9"/>
    <x v="6"/>
    <n v="4593.59"/>
  </r>
  <r>
    <d v="2024-05-01T00:00:00"/>
    <x v="0"/>
    <x v="4"/>
    <x v="1"/>
    <x v="79"/>
    <x v="1"/>
    <x v="1"/>
    <x v="8"/>
    <x v="0"/>
    <x v="10"/>
    <x v="3"/>
    <x v="1"/>
    <n v="8.44"/>
  </r>
  <r>
    <d v="2024-05-01T00:00:00"/>
    <x v="0"/>
    <x v="4"/>
    <x v="1"/>
    <x v="95"/>
    <x v="4"/>
    <x v="4"/>
    <x v="73"/>
    <x v="0"/>
    <x v="15"/>
    <x v="5"/>
    <x v="8"/>
    <n v="25.95"/>
  </r>
  <r>
    <d v="2024-05-01T00:00:00"/>
    <x v="0"/>
    <x v="4"/>
    <x v="1"/>
    <x v="17"/>
    <x v="3"/>
    <x v="3"/>
    <x v="57"/>
    <x v="0"/>
    <x v="16"/>
    <x v="8"/>
    <x v="5"/>
    <n v="35.62"/>
  </r>
  <r>
    <d v="2024-05-01T00:00:00"/>
    <x v="0"/>
    <x v="4"/>
    <x v="0"/>
    <x v="55"/>
    <x v="3"/>
    <x v="3"/>
    <x v="68"/>
    <x v="0"/>
    <x v="1"/>
    <x v="0"/>
    <x v="9"/>
    <n v="121.78"/>
  </r>
  <r>
    <d v="2024-05-01T00:00:00"/>
    <x v="0"/>
    <x v="4"/>
    <x v="1"/>
    <x v="46"/>
    <x v="6"/>
    <x v="6"/>
    <x v="42"/>
    <x v="0"/>
    <x v="7"/>
    <x v="6"/>
    <x v="4"/>
    <n v="576.84"/>
  </r>
  <r>
    <d v="2024-05-01T00:00:00"/>
    <x v="0"/>
    <x v="4"/>
    <x v="0"/>
    <x v="7"/>
    <x v="1"/>
    <x v="1"/>
    <x v="10"/>
    <x v="0"/>
    <x v="10"/>
    <x v="2"/>
    <x v="2"/>
    <n v="2075.67"/>
  </r>
  <r>
    <d v="2024-05-01T00:00:00"/>
    <x v="0"/>
    <x v="4"/>
    <x v="1"/>
    <x v="83"/>
    <x v="3"/>
    <x v="3"/>
    <x v="56"/>
    <x v="0"/>
    <x v="16"/>
    <x v="2"/>
    <x v="2"/>
    <n v="2866.54"/>
  </r>
  <r>
    <d v="2024-05-02T00:00:00"/>
    <x v="0"/>
    <x v="4"/>
    <x v="1"/>
    <x v="2"/>
    <x v="1"/>
    <x v="1"/>
    <x v="2"/>
    <x v="0"/>
    <x v="6"/>
    <x v="2"/>
    <x v="2"/>
    <n v="15.98"/>
  </r>
  <r>
    <d v="2024-05-02T00:00:00"/>
    <x v="0"/>
    <x v="4"/>
    <x v="1"/>
    <x v="49"/>
    <x v="3"/>
    <x v="3"/>
    <x v="58"/>
    <x v="0"/>
    <x v="16"/>
    <x v="1"/>
    <x v="0"/>
    <n v="29.97"/>
  </r>
  <r>
    <d v="2024-05-02T00:00:00"/>
    <x v="0"/>
    <x v="4"/>
    <x v="0"/>
    <x v="23"/>
    <x v="1"/>
    <x v="1"/>
    <x v="12"/>
    <x v="0"/>
    <x v="10"/>
    <x v="2"/>
    <x v="2"/>
    <n v="39.5"/>
  </r>
  <r>
    <d v="2024-05-02T00:00:00"/>
    <x v="0"/>
    <x v="4"/>
    <x v="0"/>
    <x v="16"/>
    <x v="7"/>
    <x v="7"/>
    <x v="92"/>
    <x v="0"/>
    <x v="9"/>
    <x v="8"/>
    <x v="5"/>
    <n v="39.92"/>
  </r>
  <r>
    <d v="2024-05-02T00:00:00"/>
    <x v="0"/>
    <x v="4"/>
    <x v="1"/>
    <x v="3"/>
    <x v="2"/>
    <x v="2"/>
    <x v="1"/>
    <x v="0"/>
    <x v="11"/>
    <x v="0"/>
    <x v="9"/>
    <n v="48.93"/>
  </r>
  <r>
    <d v="2024-05-02T00:00:00"/>
    <x v="0"/>
    <x v="4"/>
    <x v="0"/>
    <x v="23"/>
    <x v="1"/>
    <x v="1"/>
    <x v="12"/>
    <x v="0"/>
    <x v="10"/>
    <x v="9"/>
    <x v="6"/>
    <n v="373.36"/>
  </r>
  <r>
    <d v="2024-05-02T00:00:00"/>
    <x v="0"/>
    <x v="4"/>
    <x v="0"/>
    <x v="7"/>
    <x v="1"/>
    <x v="1"/>
    <x v="10"/>
    <x v="0"/>
    <x v="10"/>
    <x v="5"/>
    <x v="8"/>
    <n v="791.39"/>
  </r>
  <r>
    <d v="2024-05-03T00:00:00"/>
    <x v="0"/>
    <x v="4"/>
    <x v="0"/>
    <x v="75"/>
    <x v="1"/>
    <x v="1"/>
    <x v="4"/>
    <x v="0"/>
    <x v="6"/>
    <x v="6"/>
    <x v="4"/>
    <n v="3.75"/>
  </r>
  <r>
    <d v="2024-05-03T00:00:00"/>
    <x v="0"/>
    <x v="4"/>
    <x v="0"/>
    <x v="16"/>
    <x v="7"/>
    <x v="7"/>
    <x v="92"/>
    <x v="0"/>
    <x v="9"/>
    <x v="6"/>
    <x v="4"/>
    <n v="91.37"/>
  </r>
  <r>
    <d v="2024-05-03T00:00:00"/>
    <x v="0"/>
    <x v="4"/>
    <x v="1"/>
    <x v="37"/>
    <x v="6"/>
    <x v="6"/>
    <x v="39"/>
    <x v="0"/>
    <x v="14"/>
    <x v="7"/>
    <x v="3"/>
    <n v="100.77"/>
  </r>
  <r>
    <d v="2024-05-03T00:00:00"/>
    <x v="0"/>
    <x v="4"/>
    <x v="1"/>
    <x v="21"/>
    <x v="3"/>
    <x v="3"/>
    <x v="60"/>
    <x v="0"/>
    <x v="17"/>
    <x v="1"/>
    <x v="0"/>
    <n v="530.37"/>
  </r>
  <r>
    <d v="2024-05-03T00:00:00"/>
    <x v="0"/>
    <x v="4"/>
    <x v="1"/>
    <x v="27"/>
    <x v="6"/>
    <x v="6"/>
    <x v="31"/>
    <x v="0"/>
    <x v="2"/>
    <x v="0"/>
    <x v="9"/>
    <n v="1281.54"/>
  </r>
  <r>
    <d v="2024-05-03T00:00:00"/>
    <x v="0"/>
    <x v="4"/>
    <x v="0"/>
    <x v="36"/>
    <x v="7"/>
    <x v="7"/>
    <x v="90"/>
    <x v="0"/>
    <x v="9"/>
    <x v="3"/>
    <x v="1"/>
    <n v="2916.7"/>
  </r>
  <r>
    <d v="2024-05-04T00:00:00"/>
    <x v="0"/>
    <x v="4"/>
    <x v="0"/>
    <x v="13"/>
    <x v="0"/>
    <x v="0"/>
    <x v="22"/>
    <x v="0"/>
    <x v="5"/>
    <x v="6"/>
    <x v="4"/>
    <n v="1.0"/>
  </r>
  <r>
    <d v="2024-05-04T00:00:00"/>
    <x v="0"/>
    <x v="4"/>
    <x v="0"/>
    <x v="67"/>
    <x v="3"/>
    <x v="3"/>
    <x v="62"/>
    <x v="0"/>
    <x v="17"/>
    <x v="5"/>
    <x v="8"/>
    <n v="69.11"/>
  </r>
  <r>
    <d v="2024-05-04T00:00:00"/>
    <x v="0"/>
    <x v="4"/>
    <x v="0"/>
    <x v="48"/>
    <x v="7"/>
    <x v="7"/>
    <x v="85"/>
    <x v="0"/>
    <x v="20"/>
    <x v="8"/>
    <x v="5"/>
    <n v="85.82"/>
  </r>
  <r>
    <d v="2024-05-04T00:00:00"/>
    <x v="0"/>
    <x v="4"/>
    <x v="0"/>
    <x v="64"/>
    <x v="3"/>
    <x v="3"/>
    <x v="70"/>
    <x v="0"/>
    <x v="3"/>
    <x v="2"/>
    <x v="2"/>
    <n v="94.91"/>
  </r>
  <r>
    <d v="2024-05-04T00:00:00"/>
    <x v="0"/>
    <x v="4"/>
    <x v="0"/>
    <x v="38"/>
    <x v="0"/>
    <x v="0"/>
    <x v="21"/>
    <x v="0"/>
    <x v="5"/>
    <x v="0"/>
    <x v="9"/>
    <n v="111.7"/>
  </r>
  <r>
    <d v="2024-05-04T00:00:00"/>
    <x v="0"/>
    <x v="4"/>
    <x v="1"/>
    <x v="58"/>
    <x v="3"/>
    <x v="3"/>
    <x v="61"/>
    <x v="0"/>
    <x v="17"/>
    <x v="8"/>
    <x v="5"/>
    <n v="185.7"/>
  </r>
  <r>
    <d v="2024-05-05T00:00:00"/>
    <x v="0"/>
    <x v="4"/>
    <x v="1"/>
    <x v="87"/>
    <x v="3"/>
    <x v="3"/>
    <x v="52"/>
    <x v="0"/>
    <x v="19"/>
    <x v="2"/>
    <x v="2"/>
    <n v="7.0"/>
  </r>
  <r>
    <d v="2024-05-05T00:00:00"/>
    <x v="0"/>
    <x v="4"/>
    <x v="0"/>
    <x v="91"/>
    <x v="1"/>
    <x v="1"/>
    <x v="23"/>
    <x v="0"/>
    <x v="8"/>
    <x v="1"/>
    <x v="0"/>
    <n v="59.0"/>
  </r>
  <r>
    <d v="2024-05-05T00:00:00"/>
    <x v="0"/>
    <x v="4"/>
    <x v="0"/>
    <x v="67"/>
    <x v="3"/>
    <x v="3"/>
    <x v="62"/>
    <x v="0"/>
    <x v="17"/>
    <x v="1"/>
    <x v="0"/>
    <n v="121.92"/>
  </r>
  <r>
    <d v="2024-05-05T00:00:00"/>
    <x v="0"/>
    <x v="4"/>
    <x v="1"/>
    <x v="8"/>
    <x v="3"/>
    <x v="3"/>
    <x v="72"/>
    <x v="0"/>
    <x v="3"/>
    <x v="3"/>
    <x v="1"/>
    <n v="253.82"/>
  </r>
  <r>
    <d v="2024-05-05T00:00:00"/>
    <x v="0"/>
    <x v="4"/>
    <x v="1"/>
    <x v="23"/>
    <x v="1"/>
    <x v="1"/>
    <x v="12"/>
    <x v="0"/>
    <x v="10"/>
    <x v="0"/>
    <x v="9"/>
    <n v="631.58"/>
  </r>
  <r>
    <d v="2024-05-05T00:00:00"/>
    <x v="0"/>
    <x v="4"/>
    <x v="1"/>
    <x v="15"/>
    <x v="4"/>
    <x v="4"/>
    <x v="79"/>
    <x v="0"/>
    <x v="0"/>
    <x v="3"/>
    <x v="1"/>
    <n v="1596.64"/>
  </r>
  <r>
    <d v="2024-05-06T00:00:00"/>
    <x v="0"/>
    <x v="4"/>
    <x v="1"/>
    <x v="17"/>
    <x v="3"/>
    <x v="3"/>
    <x v="57"/>
    <x v="0"/>
    <x v="16"/>
    <x v="0"/>
    <x v="9"/>
    <n v="3.0"/>
  </r>
  <r>
    <d v="2024-05-06T00:00:00"/>
    <x v="0"/>
    <x v="4"/>
    <x v="1"/>
    <x v="83"/>
    <x v="3"/>
    <x v="3"/>
    <x v="56"/>
    <x v="0"/>
    <x v="16"/>
    <x v="6"/>
    <x v="4"/>
    <n v="118.5"/>
  </r>
  <r>
    <d v="2024-05-06T00:00:00"/>
    <x v="0"/>
    <x v="4"/>
    <x v="1"/>
    <x v="50"/>
    <x v="7"/>
    <x v="7"/>
    <x v="83"/>
    <x v="0"/>
    <x v="20"/>
    <x v="1"/>
    <x v="0"/>
    <n v="119.92"/>
  </r>
  <r>
    <d v="2024-05-06T00:00:00"/>
    <x v="0"/>
    <x v="4"/>
    <x v="0"/>
    <x v="2"/>
    <x v="1"/>
    <x v="1"/>
    <x v="2"/>
    <x v="0"/>
    <x v="6"/>
    <x v="7"/>
    <x v="3"/>
    <n v="2977.15"/>
  </r>
  <r>
    <d v="2024-05-07T00:00:00"/>
    <x v="0"/>
    <x v="4"/>
    <x v="1"/>
    <x v="86"/>
    <x v="1"/>
    <x v="1"/>
    <x v="9"/>
    <x v="0"/>
    <x v="10"/>
    <x v="8"/>
    <x v="5"/>
    <n v="1.47"/>
  </r>
  <r>
    <d v="2024-05-07T00:00:00"/>
    <x v="0"/>
    <x v="4"/>
    <x v="1"/>
    <x v="18"/>
    <x v="5"/>
    <x v="5"/>
    <x v="96"/>
    <x v="0"/>
    <x v="18"/>
    <x v="9"/>
    <x v="6"/>
    <n v="11.98"/>
  </r>
  <r>
    <d v="2024-05-07T00:00:00"/>
    <x v="0"/>
    <x v="4"/>
    <x v="1"/>
    <x v="74"/>
    <x v="4"/>
    <x v="4"/>
    <x v="75"/>
    <x v="0"/>
    <x v="15"/>
    <x v="5"/>
    <x v="8"/>
    <n v="36.49"/>
  </r>
  <r>
    <d v="2024-05-07T00:00:00"/>
    <x v="0"/>
    <x v="4"/>
    <x v="0"/>
    <x v="56"/>
    <x v="7"/>
    <x v="7"/>
    <x v="86"/>
    <x v="0"/>
    <x v="12"/>
    <x v="4"/>
    <x v="7"/>
    <n v="155.46"/>
  </r>
  <r>
    <d v="2024-05-07T00:00:00"/>
    <x v="0"/>
    <x v="4"/>
    <x v="1"/>
    <x v="53"/>
    <x v="1"/>
    <x v="1"/>
    <x v="16"/>
    <x v="0"/>
    <x v="4"/>
    <x v="0"/>
    <x v="9"/>
    <n v="972.04"/>
  </r>
  <r>
    <d v="2024-05-07T00:00:00"/>
    <x v="0"/>
    <x v="4"/>
    <x v="1"/>
    <x v="2"/>
    <x v="1"/>
    <x v="1"/>
    <x v="2"/>
    <x v="0"/>
    <x v="6"/>
    <x v="0"/>
    <x v="9"/>
    <n v="1115.99"/>
  </r>
  <r>
    <d v="2024-05-07T00:00:00"/>
    <x v="0"/>
    <x v="4"/>
    <x v="0"/>
    <x v="40"/>
    <x v="3"/>
    <x v="3"/>
    <x v="65"/>
    <x v="0"/>
    <x v="1"/>
    <x v="9"/>
    <x v="6"/>
    <n v="1452.26"/>
  </r>
  <r>
    <d v="2024-05-07T00:00:00"/>
    <x v="0"/>
    <x v="4"/>
    <x v="1"/>
    <x v="25"/>
    <x v="1"/>
    <x v="1"/>
    <x v="6"/>
    <x v="0"/>
    <x v="6"/>
    <x v="9"/>
    <x v="6"/>
    <n v="3248.45"/>
  </r>
  <r>
    <d v="2024-05-07T00:00:00"/>
    <x v="0"/>
    <x v="4"/>
    <x v="1"/>
    <x v="53"/>
    <x v="1"/>
    <x v="1"/>
    <x v="16"/>
    <x v="0"/>
    <x v="4"/>
    <x v="6"/>
    <x v="4"/>
    <n v="6442.17"/>
  </r>
  <r>
    <d v="2024-05-08T00:00:00"/>
    <x v="0"/>
    <x v="4"/>
    <x v="1"/>
    <x v="73"/>
    <x v="4"/>
    <x v="4"/>
    <x v="80"/>
    <x v="0"/>
    <x v="0"/>
    <x v="1"/>
    <x v="0"/>
    <n v="70.5"/>
  </r>
  <r>
    <d v="2024-05-08T00:00:00"/>
    <x v="0"/>
    <x v="4"/>
    <x v="1"/>
    <x v="63"/>
    <x v="4"/>
    <x v="4"/>
    <x v="78"/>
    <x v="0"/>
    <x v="0"/>
    <x v="4"/>
    <x v="7"/>
    <n v="261.36"/>
  </r>
  <r>
    <d v="2024-05-08T00:00:00"/>
    <x v="0"/>
    <x v="4"/>
    <x v="1"/>
    <x v="43"/>
    <x v="7"/>
    <x v="7"/>
    <x v="87"/>
    <x v="0"/>
    <x v="12"/>
    <x v="5"/>
    <x v="8"/>
    <n v="414.84"/>
  </r>
  <r>
    <d v="2024-05-08T00:00:00"/>
    <x v="0"/>
    <x v="4"/>
    <x v="1"/>
    <x v="53"/>
    <x v="1"/>
    <x v="1"/>
    <x v="16"/>
    <x v="0"/>
    <x v="4"/>
    <x v="1"/>
    <x v="0"/>
    <n v="506.49"/>
  </r>
  <r>
    <d v="2024-05-08T00:00:00"/>
    <x v="0"/>
    <x v="4"/>
    <x v="1"/>
    <x v="43"/>
    <x v="7"/>
    <x v="7"/>
    <x v="87"/>
    <x v="0"/>
    <x v="12"/>
    <x v="3"/>
    <x v="1"/>
    <n v="525.14"/>
  </r>
  <r>
    <d v="2024-05-08T00:00:00"/>
    <x v="0"/>
    <x v="4"/>
    <x v="0"/>
    <x v="31"/>
    <x v="2"/>
    <x v="2"/>
    <x v="0"/>
    <x v="0"/>
    <x v="11"/>
    <x v="0"/>
    <x v="9"/>
    <n v="650.32"/>
  </r>
  <r>
    <d v="2024-05-08T00:00:00"/>
    <x v="0"/>
    <x v="4"/>
    <x v="1"/>
    <x v="18"/>
    <x v="5"/>
    <x v="5"/>
    <x v="96"/>
    <x v="0"/>
    <x v="18"/>
    <x v="6"/>
    <x v="4"/>
    <n v="1136.53"/>
  </r>
  <r>
    <d v="2024-05-08T00:00:00"/>
    <x v="0"/>
    <x v="4"/>
    <x v="1"/>
    <x v="31"/>
    <x v="2"/>
    <x v="2"/>
    <x v="0"/>
    <x v="0"/>
    <x v="11"/>
    <x v="4"/>
    <x v="7"/>
    <n v="1571.03"/>
  </r>
  <r>
    <d v="2024-05-08T00:00:00"/>
    <x v="0"/>
    <x v="4"/>
    <x v="0"/>
    <x v="58"/>
    <x v="3"/>
    <x v="3"/>
    <x v="61"/>
    <x v="0"/>
    <x v="17"/>
    <x v="3"/>
    <x v="1"/>
    <n v="2414.86"/>
  </r>
  <r>
    <d v="2024-05-08T00:00:00"/>
    <x v="0"/>
    <x v="4"/>
    <x v="1"/>
    <x v="48"/>
    <x v="7"/>
    <x v="7"/>
    <x v="85"/>
    <x v="0"/>
    <x v="20"/>
    <x v="3"/>
    <x v="1"/>
    <n v="3048.11"/>
  </r>
  <r>
    <d v="2024-05-09T00:00:00"/>
    <x v="0"/>
    <x v="4"/>
    <x v="0"/>
    <x v="80"/>
    <x v="6"/>
    <x v="6"/>
    <x v="38"/>
    <x v="0"/>
    <x v="14"/>
    <x v="4"/>
    <x v="7"/>
    <n v="14.97"/>
  </r>
  <r>
    <d v="2024-05-09T00:00:00"/>
    <x v="0"/>
    <x v="4"/>
    <x v="0"/>
    <x v="12"/>
    <x v="1"/>
    <x v="1"/>
    <x v="26"/>
    <x v="0"/>
    <x v="8"/>
    <x v="2"/>
    <x v="2"/>
    <n v="86.94"/>
  </r>
  <r>
    <d v="2024-05-09T00:00:00"/>
    <x v="0"/>
    <x v="4"/>
    <x v="0"/>
    <x v="54"/>
    <x v="1"/>
    <x v="1"/>
    <x v="25"/>
    <x v="0"/>
    <x v="8"/>
    <x v="8"/>
    <x v="5"/>
    <n v="95.84"/>
  </r>
  <r>
    <d v="2024-05-09T00:00:00"/>
    <x v="0"/>
    <x v="4"/>
    <x v="0"/>
    <x v="95"/>
    <x v="4"/>
    <x v="4"/>
    <x v="73"/>
    <x v="0"/>
    <x v="15"/>
    <x v="0"/>
    <x v="9"/>
    <n v="296.59"/>
  </r>
  <r>
    <d v="2024-05-09T00:00:00"/>
    <x v="0"/>
    <x v="4"/>
    <x v="1"/>
    <x v="77"/>
    <x v="3"/>
    <x v="3"/>
    <x v="66"/>
    <x v="0"/>
    <x v="1"/>
    <x v="0"/>
    <x v="9"/>
    <n v="297.77"/>
  </r>
  <r>
    <d v="2024-05-09T00:00:00"/>
    <x v="0"/>
    <x v="4"/>
    <x v="1"/>
    <x v="90"/>
    <x v="3"/>
    <x v="3"/>
    <x v="55"/>
    <x v="0"/>
    <x v="19"/>
    <x v="6"/>
    <x v="4"/>
    <n v="10233.57"/>
  </r>
  <r>
    <d v="2024-05-10T00:00:00"/>
    <x v="0"/>
    <x v="4"/>
    <x v="0"/>
    <x v="84"/>
    <x v="3"/>
    <x v="3"/>
    <x v="53"/>
    <x v="0"/>
    <x v="19"/>
    <x v="7"/>
    <x v="3"/>
    <n v="20.58"/>
  </r>
  <r>
    <d v="2024-05-10T00:00:00"/>
    <x v="0"/>
    <x v="4"/>
    <x v="1"/>
    <x v="47"/>
    <x v="3"/>
    <x v="3"/>
    <x v="54"/>
    <x v="0"/>
    <x v="19"/>
    <x v="0"/>
    <x v="9"/>
    <n v="73.22"/>
  </r>
  <r>
    <d v="2024-05-10T00:00:00"/>
    <x v="0"/>
    <x v="4"/>
    <x v="1"/>
    <x v="94"/>
    <x v="6"/>
    <x v="6"/>
    <x v="48"/>
    <x v="0"/>
    <x v="13"/>
    <x v="2"/>
    <x v="2"/>
    <n v="77.94"/>
  </r>
  <r>
    <d v="2024-05-10T00:00:00"/>
    <x v="0"/>
    <x v="4"/>
    <x v="1"/>
    <x v="28"/>
    <x v="6"/>
    <x v="6"/>
    <x v="51"/>
    <x v="0"/>
    <x v="13"/>
    <x v="1"/>
    <x v="0"/>
    <n v="118.5"/>
  </r>
  <r>
    <d v="2024-05-10T00:00:00"/>
    <x v="0"/>
    <x v="4"/>
    <x v="1"/>
    <x v="41"/>
    <x v="5"/>
    <x v="5"/>
    <x v="93"/>
    <x v="0"/>
    <x v="18"/>
    <x v="4"/>
    <x v="7"/>
    <n v="175.07"/>
  </r>
  <r>
    <d v="2024-05-10T00:00:00"/>
    <x v="0"/>
    <x v="4"/>
    <x v="1"/>
    <x v="34"/>
    <x v="6"/>
    <x v="6"/>
    <x v="32"/>
    <x v="0"/>
    <x v="2"/>
    <x v="6"/>
    <x v="4"/>
    <n v="640.4"/>
  </r>
  <r>
    <d v="2024-05-10T00:00:00"/>
    <x v="0"/>
    <x v="4"/>
    <x v="1"/>
    <x v="62"/>
    <x v="6"/>
    <x v="6"/>
    <x v="50"/>
    <x v="0"/>
    <x v="13"/>
    <x v="9"/>
    <x v="6"/>
    <n v="653.88"/>
  </r>
  <r>
    <d v="2024-05-10T00:00:00"/>
    <x v="0"/>
    <x v="4"/>
    <x v="1"/>
    <x v="32"/>
    <x v="1"/>
    <x v="1"/>
    <x v="28"/>
    <x v="0"/>
    <x v="8"/>
    <x v="0"/>
    <x v="9"/>
    <n v="1276.37"/>
  </r>
  <r>
    <d v="2024-05-11T00:00:00"/>
    <x v="0"/>
    <x v="4"/>
    <x v="1"/>
    <x v="33"/>
    <x v="1"/>
    <x v="1"/>
    <x v="13"/>
    <x v="0"/>
    <x v="10"/>
    <x v="2"/>
    <x v="2"/>
    <n v="5.0"/>
  </r>
  <r>
    <d v="2024-05-11T00:00:00"/>
    <x v="0"/>
    <x v="4"/>
    <x v="0"/>
    <x v="9"/>
    <x v="7"/>
    <x v="7"/>
    <x v="82"/>
    <x v="0"/>
    <x v="20"/>
    <x v="5"/>
    <x v="8"/>
    <n v="287.87"/>
  </r>
  <r>
    <d v="2024-05-11T00:00:00"/>
    <x v="0"/>
    <x v="4"/>
    <x v="1"/>
    <x v="71"/>
    <x v="1"/>
    <x v="1"/>
    <x v="27"/>
    <x v="0"/>
    <x v="8"/>
    <x v="1"/>
    <x v="0"/>
    <n v="518.5"/>
  </r>
  <r>
    <d v="2024-05-11T00:00:00"/>
    <x v="0"/>
    <x v="4"/>
    <x v="0"/>
    <x v="6"/>
    <x v="1"/>
    <x v="1"/>
    <x v="5"/>
    <x v="0"/>
    <x v="6"/>
    <x v="9"/>
    <x v="6"/>
    <n v="1340.95"/>
  </r>
  <r>
    <d v="2024-05-12T00:00:00"/>
    <x v="0"/>
    <x v="4"/>
    <x v="0"/>
    <x v="16"/>
    <x v="7"/>
    <x v="7"/>
    <x v="92"/>
    <x v="0"/>
    <x v="9"/>
    <x v="8"/>
    <x v="5"/>
    <n v="11.98"/>
  </r>
  <r>
    <d v="2024-05-12T00:00:00"/>
    <x v="0"/>
    <x v="4"/>
    <x v="1"/>
    <x v="59"/>
    <x v="1"/>
    <x v="1"/>
    <x v="3"/>
    <x v="0"/>
    <x v="6"/>
    <x v="2"/>
    <x v="2"/>
    <n v="1021.88"/>
  </r>
  <r>
    <d v="2024-05-12T00:00:00"/>
    <x v="0"/>
    <x v="4"/>
    <x v="1"/>
    <x v="24"/>
    <x v="6"/>
    <x v="6"/>
    <x v="36"/>
    <x v="0"/>
    <x v="14"/>
    <x v="5"/>
    <x v="8"/>
    <n v="3867.6"/>
  </r>
  <r>
    <d v="2024-05-13T00:00:00"/>
    <x v="0"/>
    <x v="4"/>
    <x v="1"/>
    <x v="74"/>
    <x v="4"/>
    <x v="4"/>
    <x v="75"/>
    <x v="0"/>
    <x v="15"/>
    <x v="4"/>
    <x v="7"/>
    <n v="54.89"/>
  </r>
  <r>
    <d v="2024-05-13T00:00:00"/>
    <x v="0"/>
    <x v="4"/>
    <x v="0"/>
    <x v="43"/>
    <x v="7"/>
    <x v="7"/>
    <x v="87"/>
    <x v="0"/>
    <x v="12"/>
    <x v="5"/>
    <x v="8"/>
    <n v="146.68"/>
  </r>
  <r>
    <d v="2024-05-13T00:00:00"/>
    <x v="0"/>
    <x v="4"/>
    <x v="1"/>
    <x v="15"/>
    <x v="4"/>
    <x v="4"/>
    <x v="79"/>
    <x v="0"/>
    <x v="0"/>
    <x v="9"/>
    <x v="6"/>
    <n v="208.44"/>
  </r>
  <r>
    <d v="2024-05-14T00:00:00"/>
    <x v="0"/>
    <x v="4"/>
    <x v="1"/>
    <x v="41"/>
    <x v="5"/>
    <x v="5"/>
    <x v="93"/>
    <x v="0"/>
    <x v="18"/>
    <x v="5"/>
    <x v="8"/>
    <n v="19.99"/>
  </r>
  <r>
    <d v="2024-05-14T00:00:00"/>
    <x v="0"/>
    <x v="4"/>
    <x v="1"/>
    <x v="31"/>
    <x v="2"/>
    <x v="2"/>
    <x v="0"/>
    <x v="0"/>
    <x v="11"/>
    <x v="0"/>
    <x v="9"/>
    <n v="23.96"/>
  </r>
  <r>
    <d v="2024-05-14T00:00:00"/>
    <x v="0"/>
    <x v="4"/>
    <x v="1"/>
    <x v="95"/>
    <x v="4"/>
    <x v="4"/>
    <x v="73"/>
    <x v="0"/>
    <x v="15"/>
    <x v="1"/>
    <x v="0"/>
    <n v="36.0"/>
  </r>
  <r>
    <d v="2024-05-14T00:00:00"/>
    <x v="0"/>
    <x v="4"/>
    <x v="0"/>
    <x v="42"/>
    <x v="3"/>
    <x v="3"/>
    <x v="63"/>
    <x v="0"/>
    <x v="17"/>
    <x v="3"/>
    <x v="1"/>
    <n v="75.41"/>
  </r>
  <r>
    <d v="2024-05-14T00:00:00"/>
    <x v="0"/>
    <x v="4"/>
    <x v="1"/>
    <x v="1"/>
    <x v="7"/>
    <x v="7"/>
    <x v="89"/>
    <x v="0"/>
    <x v="12"/>
    <x v="9"/>
    <x v="6"/>
    <n v="108.87"/>
  </r>
  <r>
    <d v="2024-05-14T00:00:00"/>
    <x v="0"/>
    <x v="4"/>
    <x v="0"/>
    <x v="38"/>
    <x v="0"/>
    <x v="0"/>
    <x v="21"/>
    <x v="0"/>
    <x v="5"/>
    <x v="3"/>
    <x v="1"/>
    <n v="269.82"/>
  </r>
  <r>
    <d v="2024-05-14T00:00:00"/>
    <x v="0"/>
    <x v="4"/>
    <x v="1"/>
    <x v="91"/>
    <x v="1"/>
    <x v="1"/>
    <x v="23"/>
    <x v="0"/>
    <x v="8"/>
    <x v="1"/>
    <x v="0"/>
    <n v="496.84"/>
  </r>
  <r>
    <d v="2024-05-14T00:00:00"/>
    <x v="0"/>
    <x v="4"/>
    <x v="1"/>
    <x v="47"/>
    <x v="3"/>
    <x v="3"/>
    <x v="54"/>
    <x v="0"/>
    <x v="19"/>
    <x v="3"/>
    <x v="1"/>
    <n v="3061.93"/>
  </r>
  <r>
    <d v="2024-05-15T00:00:00"/>
    <x v="0"/>
    <x v="4"/>
    <x v="1"/>
    <x v="86"/>
    <x v="1"/>
    <x v="1"/>
    <x v="9"/>
    <x v="0"/>
    <x v="10"/>
    <x v="1"/>
    <x v="0"/>
    <n v="4.5"/>
  </r>
  <r>
    <d v="2024-05-15T00:00:00"/>
    <x v="0"/>
    <x v="4"/>
    <x v="0"/>
    <x v="35"/>
    <x v="6"/>
    <x v="6"/>
    <x v="46"/>
    <x v="0"/>
    <x v="7"/>
    <x v="1"/>
    <x v="0"/>
    <n v="49.94"/>
  </r>
  <r>
    <d v="2024-05-15T00:00:00"/>
    <x v="0"/>
    <x v="4"/>
    <x v="0"/>
    <x v="16"/>
    <x v="7"/>
    <x v="7"/>
    <x v="92"/>
    <x v="0"/>
    <x v="9"/>
    <x v="5"/>
    <x v="8"/>
    <n v="57.86"/>
  </r>
  <r>
    <d v="2024-05-15T00:00:00"/>
    <x v="0"/>
    <x v="4"/>
    <x v="1"/>
    <x v="47"/>
    <x v="3"/>
    <x v="3"/>
    <x v="54"/>
    <x v="0"/>
    <x v="19"/>
    <x v="1"/>
    <x v="0"/>
    <n v="185.34"/>
  </r>
  <r>
    <d v="2024-05-15T00:00:00"/>
    <x v="0"/>
    <x v="4"/>
    <x v="1"/>
    <x v="71"/>
    <x v="1"/>
    <x v="1"/>
    <x v="27"/>
    <x v="0"/>
    <x v="8"/>
    <x v="1"/>
    <x v="0"/>
    <n v="381.15"/>
  </r>
  <r>
    <d v="2024-05-15T00:00:00"/>
    <x v="0"/>
    <x v="4"/>
    <x v="0"/>
    <x v="7"/>
    <x v="1"/>
    <x v="1"/>
    <x v="10"/>
    <x v="0"/>
    <x v="10"/>
    <x v="1"/>
    <x v="0"/>
    <n v="389.97"/>
  </r>
  <r>
    <d v="2024-05-15T00:00:00"/>
    <x v="0"/>
    <x v="4"/>
    <x v="1"/>
    <x v="27"/>
    <x v="6"/>
    <x v="6"/>
    <x v="31"/>
    <x v="0"/>
    <x v="2"/>
    <x v="3"/>
    <x v="1"/>
    <n v="1473.94"/>
  </r>
  <r>
    <d v="2024-05-16T00:00:00"/>
    <x v="0"/>
    <x v="4"/>
    <x v="1"/>
    <x v="41"/>
    <x v="5"/>
    <x v="5"/>
    <x v="93"/>
    <x v="0"/>
    <x v="18"/>
    <x v="2"/>
    <x v="2"/>
    <n v="53.91"/>
  </r>
  <r>
    <d v="2024-05-16T00:00:00"/>
    <x v="0"/>
    <x v="4"/>
    <x v="0"/>
    <x v="91"/>
    <x v="1"/>
    <x v="1"/>
    <x v="23"/>
    <x v="0"/>
    <x v="8"/>
    <x v="5"/>
    <x v="8"/>
    <n v="116.57"/>
  </r>
  <r>
    <d v="2024-05-16T00:00:00"/>
    <x v="0"/>
    <x v="4"/>
    <x v="0"/>
    <x v="52"/>
    <x v="1"/>
    <x v="1"/>
    <x v="11"/>
    <x v="0"/>
    <x v="10"/>
    <x v="1"/>
    <x v="0"/>
    <n v="135.92"/>
  </r>
  <r>
    <d v="2024-05-16T00:00:00"/>
    <x v="0"/>
    <x v="4"/>
    <x v="0"/>
    <x v="52"/>
    <x v="1"/>
    <x v="1"/>
    <x v="11"/>
    <x v="0"/>
    <x v="10"/>
    <x v="9"/>
    <x v="6"/>
    <n v="149.79"/>
  </r>
  <r>
    <d v="2024-05-16T00:00:00"/>
    <x v="0"/>
    <x v="4"/>
    <x v="1"/>
    <x v="58"/>
    <x v="3"/>
    <x v="3"/>
    <x v="61"/>
    <x v="0"/>
    <x v="17"/>
    <x v="3"/>
    <x v="1"/>
    <n v="204.48"/>
  </r>
  <r>
    <d v="2024-05-16T00:00:00"/>
    <x v="0"/>
    <x v="4"/>
    <x v="1"/>
    <x v="2"/>
    <x v="1"/>
    <x v="1"/>
    <x v="2"/>
    <x v="0"/>
    <x v="6"/>
    <x v="8"/>
    <x v="5"/>
    <n v="306.1"/>
  </r>
  <r>
    <d v="2024-05-16T00:00:00"/>
    <x v="0"/>
    <x v="4"/>
    <x v="1"/>
    <x v="47"/>
    <x v="3"/>
    <x v="3"/>
    <x v="54"/>
    <x v="0"/>
    <x v="19"/>
    <x v="6"/>
    <x v="4"/>
    <n v="419.45"/>
  </r>
  <r>
    <d v="2024-05-16T00:00:00"/>
    <x v="0"/>
    <x v="4"/>
    <x v="1"/>
    <x v="8"/>
    <x v="3"/>
    <x v="3"/>
    <x v="72"/>
    <x v="0"/>
    <x v="3"/>
    <x v="3"/>
    <x v="1"/>
    <n v="597.24"/>
  </r>
  <r>
    <d v="2024-05-16T00:00:00"/>
    <x v="0"/>
    <x v="4"/>
    <x v="0"/>
    <x v="3"/>
    <x v="2"/>
    <x v="2"/>
    <x v="1"/>
    <x v="0"/>
    <x v="11"/>
    <x v="2"/>
    <x v="2"/>
    <n v="647.31"/>
  </r>
  <r>
    <d v="2024-05-16T00:00:00"/>
    <x v="0"/>
    <x v="4"/>
    <x v="1"/>
    <x v="17"/>
    <x v="3"/>
    <x v="3"/>
    <x v="57"/>
    <x v="0"/>
    <x v="16"/>
    <x v="4"/>
    <x v="7"/>
    <n v="1115.72"/>
  </r>
  <r>
    <d v="2024-05-17T00:00:00"/>
    <x v="0"/>
    <x v="4"/>
    <x v="1"/>
    <x v="82"/>
    <x v="6"/>
    <x v="6"/>
    <x v="47"/>
    <x v="0"/>
    <x v="13"/>
    <x v="1"/>
    <x v="0"/>
    <n v="204.79"/>
  </r>
  <r>
    <d v="2024-05-17T00:00:00"/>
    <x v="0"/>
    <x v="4"/>
    <x v="0"/>
    <x v="86"/>
    <x v="1"/>
    <x v="1"/>
    <x v="9"/>
    <x v="0"/>
    <x v="10"/>
    <x v="6"/>
    <x v="4"/>
    <n v="541.8"/>
  </r>
  <r>
    <d v="2024-05-17T00:00:00"/>
    <x v="0"/>
    <x v="4"/>
    <x v="1"/>
    <x v="71"/>
    <x v="1"/>
    <x v="1"/>
    <x v="27"/>
    <x v="0"/>
    <x v="8"/>
    <x v="5"/>
    <x v="8"/>
    <n v="598.52"/>
  </r>
  <r>
    <d v="2024-05-17T00:00:00"/>
    <x v="0"/>
    <x v="4"/>
    <x v="1"/>
    <x v="30"/>
    <x v="6"/>
    <x v="6"/>
    <x v="37"/>
    <x v="0"/>
    <x v="14"/>
    <x v="2"/>
    <x v="2"/>
    <n v="1905.39"/>
  </r>
  <r>
    <d v="2024-05-18T00:00:00"/>
    <x v="0"/>
    <x v="4"/>
    <x v="1"/>
    <x v="24"/>
    <x v="6"/>
    <x v="6"/>
    <x v="36"/>
    <x v="0"/>
    <x v="14"/>
    <x v="6"/>
    <x v="4"/>
    <n v="7.09"/>
  </r>
  <r>
    <d v="2024-05-18T00:00:00"/>
    <x v="0"/>
    <x v="4"/>
    <x v="1"/>
    <x v="79"/>
    <x v="1"/>
    <x v="1"/>
    <x v="8"/>
    <x v="0"/>
    <x v="10"/>
    <x v="4"/>
    <x v="7"/>
    <n v="9.97"/>
  </r>
  <r>
    <d v="2024-05-18T00:00:00"/>
    <x v="0"/>
    <x v="4"/>
    <x v="1"/>
    <x v="74"/>
    <x v="4"/>
    <x v="4"/>
    <x v="75"/>
    <x v="0"/>
    <x v="15"/>
    <x v="4"/>
    <x v="7"/>
    <n v="27.94"/>
  </r>
  <r>
    <d v="2024-05-18T00:00:00"/>
    <x v="0"/>
    <x v="4"/>
    <x v="0"/>
    <x v="92"/>
    <x v="6"/>
    <x v="6"/>
    <x v="40"/>
    <x v="0"/>
    <x v="7"/>
    <x v="9"/>
    <x v="6"/>
    <n v="89.82"/>
  </r>
  <r>
    <d v="2024-05-18T00:00:00"/>
    <x v="0"/>
    <x v="4"/>
    <x v="1"/>
    <x v="31"/>
    <x v="2"/>
    <x v="2"/>
    <x v="0"/>
    <x v="0"/>
    <x v="11"/>
    <x v="1"/>
    <x v="0"/>
    <n v="91.7"/>
  </r>
  <r>
    <d v="2024-05-18T00:00:00"/>
    <x v="0"/>
    <x v="4"/>
    <x v="1"/>
    <x v="61"/>
    <x v="7"/>
    <x v="7"/>
    <x v="84"/>
    <x v="0"/>
    <x v="20"/>
    <x v="5"/>
    <x v="8"/>
    <n v="295.7"/>
  </r>
  <r>
    <d v="2024-05-18T00:00:00"/>
    <x v="0"/>
    <x v="4"/>
    <x v="1"/>
    <x v="90"/>
    <x v="3"/>
    <x v="3"/>
    <x v="55"/>
    <x v="0"/>
    <x v="19"/>
    <x v="1"/>
    <x v="0"/>
    <n v="592.81"/>
  </r>
  <r>
    <d v="2024-05-18T00:00:00"/>
    <x v="0"/>
    <x v="4"/>
    <x v="1"/>
    <x v="56"/>
    <x v="7"/>
    <x v="7"/>
    <x v="86"/>
    <x v="0"/>
    <x v="12"/>
    <x v="9"/>
    <x v="6"/>
    <n v="877.07"/>
  </r>
  <r>
    <d v="2024-05-18T00:00:00"/>
    <x v="0"/>
    <x v="4"/>
    <x v="1"/>
    <x v="41"/>
    <x v="5"/>
    <x v="5"/>
    <x v="93"/>
    <x v="0"/>
    <x v="18"/>
    <x v="9"/>
    <x v="6"/>
    <n v="1431.45"/>
  </r>
  <r>
    <d v="2024-05-19T00:00:00"/>
    <x v="0"/>
    <x v="4"/>
    <x v="1"/>
    <x v="57"/>
    <x v="4"/>
    <x v="4"/>
    <x v="74"/>
    <x v="0"/>
    <x v="15"/>
    <x v="1"/>
    <x v="0"/>
    <n v="21.0"/>
  </r>
  <r>
    <d v="2024-05-19T00:00:00"/>
    <x v="0"/>
    <x v="4"/>
    <x v="0"/>
    <x v="24"/>
    <x v="6"/>
    <x v="6"/>
    <x v="36"/>
    <x v="0"/>
    <x v="14"/>
    <x v="6"/>
    <x v="4"/>
    <n v="119.8"/>
  </r>
  <r>
    <d v="2024-05-19T00:00:00"/>
    <x v="0"/>
    <x v="4"/>
    <x v="1"/>
    <x v="67"/>
    <x v="3"/>
    <x v="3"/>
    <x v="62"/>
    <x v="0"/>
    <x v="17"/>
    <x v="9"/>
    <x v="6"/>
    <n v="470.95"/>
  </r>
  <r>
    <d v="2024-05-19T00:00:00"/>
    <x v="0"/>
    <x v="4"/>
    <x v="1"/>
    <x v="70"/>
    <x v="6"/>
    <x v="6"/>
    <x v="33"/>
    <x v="0"/>
    <x v="14"/>
    <x v="3"/>
    <x v="1"/>
    <n v="884.32"/>
  </r>
  <r>
    <d v="2024-05-19T00:00:00"/>
    <x v="0"/>
    <x v="4"/>
    <x v="1"/>
    <x v="47"/>
    <x v="3"/>
    <x v="3"/>
    <x v="54"/>
    <x v="0"/>
    <x v="19"/>
    <x v="6"/>
    <x v="4"/>
    <n v="7049.45"/>
  </r>
  <r>
    <d v="2024-05-20T00:00:00"/>
    <x v="0"/>
    <x v="4"/>
    <x v="0"/>
    <x v="90"/>
    <x v="3"/>
    <x v="3"/>
    <x v="55"/>
    <x v="0"/>
    <x v="19"/>
    <x v="2"/>
    <x v="2"/>
    <n v="103.92"/>
  </r>
  <r>
    <d v="2024-05-20T00:00:00"/>
    <x v="0"/>
    <x v="4"/>
    <x v="0"/>
    <x v="0"/>
    <x v="3"/>
    <x v="3"/>
    <x v="69"/>
    <x v="0"/>
    <x v="3"/>
    <x v="6"/>
    <x v="4"/>
    <n v="710.89"/>
  </r>
  <r>
    <d v="2024-05-20T00:00:00"/>
    <x v="0"/>
    <x v="4"/>
    <x v="1"/>
    <x v="53"/>
    <x v="1"/>
    <x v="1"/>
    <x v="16"/>
    <x v="0"/>
    <x v="4"/>
    <x v="9"/>
    <x v="6"/>
    <n v="1068.93"/>
  </r>
  <r>
    <d v="2024-05-21T00:00:00"/>
    <x v="0"/>
    <x v="4"/>
    <x v="1"/>
    <x v="83"/>
    <x v="3"/>
    <x v="3"/>
    <x v="56"/>
    <x v="0"/>
    <x v="16"/>
    <x v="2"/>
    <x v="2"/>
    <n v="25.98"/>
  </r>
  <r>
    <d v="2024-05-21T00:00:00"/>
    <x v="0"/>
    <x v="4"/>
    <x v="1"/>
    <x v="21"/>
    <x v="3"/>
    <x v="3"/>
    <x v="60"/>
    <x v="0"/>
    <x v="17"/>
    <x v="8"/>
    <x v="5"/>
    <n v="43.9"/>
  </r>
  <r>
    <d v="2024-05-21T00:00:00"/>
    <x v="0"/>
    <x v="4"/>
    <x v="1"/>
    <x v="37"/>
    <x v="6"/>
    <x v="6"/>
    <x v="39"/>
    <x v="0"/>
    <x v="14"/>
    <x v="7"/>
    <x v="3"/>
    <n v="164.26"/>
  </r>
  <r>
    <d v="2024-05-21T00:00:00"/>
    <x v="0"/>
    <x v="4"/>
    <x v="1"/>
    <x v="16"/>
    <x v="7"/>
    <x v="7"/>
    <x v="92"/>
    <x v="0"/>
    <x v="9"/>
    <x v="1"/>
    <x v="0"/>
    <n v="239.83"/>
  </r>
  <r>
    <d v="2024-05-21T00:00:00"/>
    <x v="0"/>
    <x v="4"/>
    <x v="1"/>
    <x v="93"/>
    <x v="6"/>
    <x v="6"/>
    <x v="30"/>
    <x v="0"/>
    <x v="2"/>
    <x v="1"/>
    <x v="0"/>
    <n v="257.29"/>
  </r>
  <r>
    <d v="2024-05-21T00:00:00"/>
    <x v="0"/>
    <x v="4"/>
    <x v="1"/>
    <x v="25"/>
    <x v="1"/>
    <x v="1"/>
    <x v="6"/>
    <x v="0"/>
    <x v="6"/>
    <x v="0"/>
    <x v="9"/>
    <n v="299.78"/>
  </r>
  <r>
    <d v="2024-05-21T00:00:00"/>
    <x v="0"/>
    <x v="4"/>
    <x v="1"/>
    <x v="71"/>
    <x v="1"/>
    <x v="1"/>
    <x v="27"/>
    <x v="0"/>
    <x v="8"/>
    <x v="1"/>
    <x v="0"/>
    <n v="452.97"/>
  </r>
  <r>
    <d v="2024-05-22T00:00:00"/>
    <x v="0"/>
    <x v="4"/>
    <x v="1"/>
    <x v="71"/>
    <x v="1"/>
    <x v="1"/>
    <x v="27"/>
    <x v="0"/>
    <x v="8"/>
    <x v="4"/>
    <x v="7"/>
    <n v="1.0"/>
  </r>
  <r>
    <d v="2024-05-22T00:00:00"/>
    <x v="0"/>
    <x v="4"/>
    <x v="1"/>
    <x v="7"/>
    <x v="1"/>
    <x v="1"/>
    <x v="10"/>
    <x v="0"/>
    <x v="10"/>
    <x v="3"/>
    <x v="1"/>
    <n v="285.74"/>
  </r>
  <r>
    <d v="2024-05-22T00:00:00"/>
    <x v="0"/>
    <x v="4"/>
    <x v="1"/>
    <x v="21"/>
    <x v="3"/>
    <x v="3"/>
    <x v="60"/>
    <x v="0"/>
    <x v="17"/>
    <x v="8"/>
    <x v="5"/>
    <n v="299.5"/>
  </r>
  <r>
    <d v="2024-05-22T00:00:00"/>
    <x v="0"/>
    <x v="4"/>
    <x v="1"/>
    <x v="91"/>
    <x v="1"/>
    <x v="1"/>
    <x v="23"/>
    <x v="0"/>
    <x v="8"/>
    <x v="8"/>
    <x v="5"/>
    <n v="382.07"/>
  </r>
  <r>
    <d v="2024-05-22T00:00:00"/>
    <x v="0"/>
    <x v="4"/>
    <x v="1"/>
    <x v="96"/>
    <x v="3"/>
    <x v="3"/>
    <x v="67"/>
    <x v="0"/>
    <x v="1"/>
    <x v="9"/>
    <x v="6"/>
    <n v="390.86"/>
  </r>
  <r>
    <d v="2024-05-22T00:00:00"/>
    <x v="0"/>
    <x v="4"/>
    <x v="1"/>
    <x v="92"/>
    <x v="6"/>
    <x v="6"/>
    <x v="40"/>
    <x v="0"/>
    <x v="7"/>
    <x v="2"/>
    <x v="2"/>
    <n v="544.09"/>
  </r>
  <r>
    <d v="2024-05-23T00:00:00"/>
    <x v="0"/>
    <x v="4"/>
    <x v="1"/>
    <x v="86"/>
    <x v="1"/>
    <x v="1"/>
    <x v="9"/>
    <x v="0"/>
    <x v="10"/>
    <x v="2"/>
    <x v="2"/>
    <n v="20.98"/>
  </r>
  <r>
    <d v="2024-05-23T00:00:00"/>
    <x v="0"/>
    <x v="4"/>
    <x v="1"/>
    <x v="89"/>
    <x v="1"/>
    <x v="1"/>
    <x v="18"/>
    <x v="0"/>
    <x v="5"/>
    <x v="1"/>
    <x v="0"/>
    <n v="25.98"/>
  </r>
  <r>
    <d v="2024-05-23T00:00:00"/>
    <x v="0"/>
    <x v="4"/>
    <x v="1"/>
    <x v="22"/>
    <x v="1"/>
    <x v="1"/>
    <x v="20"/>
    <x v="0"/>
    <x v="5"/>
    <x v="2"/>
    <x v="2"/>
    <n v="33.98"/>
  </r>
  <r>
    <d v="2024-05-23T00:00:00"/>
    <x v="0"/>
    <x v="4"/>
    <x v="1"/>
    <x v="10"/>
    <x v="6"/>
    <x v="6"/>
    <x v="41"/>
    <x v="0"/>
    <x v="7"/>
    <x v="4"/>
    <x v="7"/>
    <n v="41.93"/>
  </r>
  <r>
    <d v="2024-05-23T00:00:00"/>
    <x v="0"/>
    <x v="4"/>
    <x v="1"/>
    <x v="3"/>
    <x v="2"/>
    <x v="2"/>
    <x v="1"/>
    <x v="0"/>
    <x v="11"/>
    <x v="1"/>
    <x v="0"/>
    <n v="61.96"/>
  </r>
  <r>
    <d v="2024-05-23T00:00:00"/>
    <x v="0"/>
    <x v="4"/>
    <x v="1"/>
    <x v="41"/>
    <x v="5"/>
    <x v="5"/>
    <x v="93"/>
    <x v="0"/>
    <x v="18"/>
    <x v="3"/>
    <x v="1"/>
    <n v="102.81"/>
  </r>
  <r>
    <d v="2024-05-23T00:00:00"/>
    <x v="0"/>
    <x v="4"/>
    <x v="0"/>
    <x v="24"/>
    <x v="6"/>
    <x v="6"/>
    <x v="36"/>
    <x v="0"/>
    <x v="14"/>
    <x v="6"/>
    <x v="4"/>
    <n v="205.77"/>
  </r>
  <r>
    <d v="2024-05-23T00:00:00"/>
    <x v="0"/>
    <x v="4"/>
    <x v="1"/>
    <x v="75"/>
    <x v="1"/>
    <x v="1"/>
    <x v="4"/>
    <x v="0"/>
    <x v="6"/>
    <x v="3"/>
    <x v="1"/>
    <n v="898.7"/>
  </r>
  <r>
    <d v="2024-05-24T00:00:00"/>
    <x v="0"/>
    <x v="4"/>
    <x v="1"/>
    <x v="54"/>
    <x v="1"/>
    <x v="1"/>
    <x v="25"/>
    <x v="0"/>
    <x v="8"/>
    <x v="1"/>
    <x v="0"/>
    <n v="8.0"/>
  </r>
  <r>
    <d v="2024-05-24T00:00:00"/>
    <x v="0"/>
    <x v="4"/>
    <x v="0"/>
    <x v="56"/>
    <x v="7"/>
    <x v="7"/>
    <x v="86"/>
    <x v="0"/>
    <x v="12"/>
    <x v="4"/>
    <x v="7"/>
    <n v="23.94"/>
  </r>
  <r>
    <d v="2024-05-24T00:00:00"/>
    <x v="0"/>
    <x v="4"/>
    <x v="0"/>
    <x v="77"/>
    <x v="3"/>
    <x v="3"/>
    <x v="66"/>
    <x v="0"/>
    <x v="1"/>
    <x v="0"/>
    <x v="9"/>
    <n v="86.88"/>
  </r>
  <r>
    <d v="2024-05-24T00:00:00"/>
    <x v="0"/>
    <x v="4"/>
    <x v="1"/>
    <x v="25"/>
    <x v="1"/>
    <x v="1"/>
    <x v="6"/>
    <x v="0"/>
    <x v="6"/>
    <x v="0"/>
    <x v="9"/>
    <n v="120.79"/>
  </r>
  <r>
    <d v="2024-05-24T00:00:00"/>
    <x v="0"/>
    <x v="4"/>
    <x v="0"/>
    <x v="36"/>
    <x v="7"/>
    <x v="7"/>
    <x v="90"/>
    <x v="0"/>
    <x v="9"/>
    <x v="9"/>
    <x v="6"/>
    <n v="1857.12"/>
  </r>
  <r>
    <d v="2024-05-25T00:00:00"/>
    <x v="0"/>
    <x v="4"/>
    <x v="1"/>
    <x v="95"/>
    <x v="4"/>
    <x v="4"/>
    <x v="73"/>
    <x v="0"/>
    <x v="15"/>
    <x v="8"/>
    <x v="5"/>
    <n v="51.96"/>
  </r>
  <r>
    <d v="2024-05-25T00:00:00"/>
    <x v="0"/>
    <x v="4"/>
    <x v="0"/>
    <x v="58"/>
    <x v="3"/>
    <x v="3"/>
    <x v="61"/>
    <x v="0"/>
    <x v="17"/>
    <x v="1"/>
    <x v="0"/>
    <n v="95.56"/>
  </r>
  <r>
    <d v="2024-05-25T00:00:00"/>
    <x v="0"/>
    <x v="4"/>
    <x v="1"/>
    <x v="45"/>
    <x v="3"/>
    <x v="3"/>
    <x v="64"/>
    <x v="0"/>
    <x v="1"/>
    <x v="0"/>
    <x v="9"/>
    <n v="458.36"/>
  </r>
  <r>
    <d v="2024-05-25T00:00:00"/>
    <x v="0"/>
    <x v="4"/>
    <x v="1"/>
    <x v="20"/>
    <x v="3"/>
    <x v="3"/>
    <x v="71"/>
    <x v="0"/>
    <x v="3"/>
    <x v="3"/>
    <x v="1"/>
    <n v="665.93"/>
  </r>
  <r>
    <d v="2024-05-26T00:00:00"/>
    <x v="0"/>
    <x v="4"/>
    <x v="1"/>
    <x v="4"/>
    <x v="6"/>
    <x v="6"/>
    <x v="29"/>
    <x v="0"/>
    <x v="2"/>
    <x v="6"/>
    <x v="4"/>
    <n v="11.99"/>
  </r>
  <r>
    <d v="2024-05-26T00:00:00"/>
    <x v="0"/>
    <x v="4"/>
    <x v="0"/>
    <x v="88"/>
    <x v="1"/>
    <x v="1"/>
    <x v="17"/>
    <x v="0"/>
    <x v="4"/>
    <x v="1"/>
    <x v="0"/>
    <n v="70.25"/>
  </r>
  <r>
    <d v="2024-05-26T00:00:00"/>
    <x v="0"/>
    <x v="4"/>
    <x v="0"/>
    <x v="65"/>
    <x v="1"/>
    <x v="1"/>
    <x v="7"/>
    <x v="0"/>
    <x v="10"/>
    <x v="9"/>
    <x v="6"/>
    <n v="76.95"/>
  </r>
  <r>
    <d v="2024-05-26T00:00:00"/>
    <x v="0"/>
    <x v="4"/>
    <x v="1"/>
    <x v="36"/>
    <x v="7"/>
    <x v="7"/>
    <x v="90"/>
    <x v="0"/>
    <x v="9"/>
    <x v="9"/>
    <x v="6"/>
    <n v="86.43"/>
  </r>
  <r>
    <d v="2024-05-26T00:00:00"/>
    <x v="0"/>
    <x v="4"/>
    <x v="0"/>
    <x v="64"/>
    <x v="3"/>
    <x v="3"/>
    <x v="70"/>
    <x v="0"/>
    <x v="3"/>
    <x v="5"/>
    <x v="8"/>
    <n v="294.5"/>
  </r>
  <r>
    <d v="2024-05-27T00:00:00"/>
    <x v="0"/>
    <x v="4"/>
    <x v="0"/>
    <x v="70"/>
    <x v="6"/>
    <x v="6"/>
    <x v="33"/>
    <x v="0"/>
    <x v="14"/>
    <x v="2"/>
    <x v="2"/>
    <n v="115.62"/>
  </r>
  <r>
    <d v="2024-05-27T00:00:00"/>
    <x v="0"/>
    <x v="4"/>
    <x v="0"/>
    <x v="58"/>
    <x v="3"/>
    <x v="3"/>
    <x v="61"/>
    <x v="0"/>
    <x v="17"/>
    <x v="0"/>
    <x v="9"/>
    <n v="733.96"/>
  </r>
  <r>
    <d v="2024-05-27T00:00:00"/>
    <x v="0"/>
    <x v="4"/>
    <x v="1"/>
    <x v="60"/>
    <x v="6"/>
    <x v="6"/>
    <x v="44"/>
    <x v="0"/>
    <x v="7"/>
    <x v="6"/>
    <x v="4"/>
    <n v="815.31"/>
  </r>
  <r>
    <d v="2024-05-27T00:00:00"/>
    <x v="0"/>
    <x v="4"/>
    <x v="1"/>
    <x v="75"/>
    <x v="1"/>
    <x v="1"/>
    <x v="4"/>
    <x v="0"/>
    <x v="6"/>
    <x v="1"/>
    <x v="0"/>
    <n v="866.43"/>
  </r>
  <r>
    <d v="2024-05-27T00:00:00"/>
    <x v="0"/>
    <x v="4"/>
    <x v="1"/>
    <x v="53"/>
    <x v="1"/>
    <x v="1"/>
    <x v="16"/>
    <x v="0"/>
    <x v="4"/>
    <x v="3"/>
    <x v="1"/>
    <n v="1574.01"/>
  </r>
  <r>
    <d v="2024-05-27T00:00:00"/>
    <x v="0"/>
    <x v="4"/>
    <x v="0"/>
    <x v="27"/>
    <x v="6"/>
    <x v="6"/>
    <x v="31"/>
    <x v="0"/>
    <x v="2"/>
    <x v="6"/>
    <x v="4"/>
    <n v="6701.99"/>
  </r>
  <r>
    <d v="2024-05-28T00:00:00"/>
    <x v="0"/>
    <x v="4"/>
    <x v="0"/>
    <x v="73"/>
    <x v="4"/>
    <x v="4"/>
    <x v="80"/>
    <x v="0"/>
    <x v="0"/>
    <x v="5"/>
    <x v="8"/>
    <n v="3.0"/>
  </r>
  <r>
    <d v="2024-05-28T00:00:00"/>
    <x v="0"/>
    <x v="4"/>
    <x v="1"/>
    <x v="50"/>
    <x v="7"/>
    <x v="7"/>
    <x v="83"/>
    <x v="0"/>
    <x v="20"/>
    <x v="8"/>
    <x v="5"/>
    <n v="28.96"/>
  </r>
  <r>
    <d v="2024-05-28T00:00:00"/>
    <x v="0"/>
    <x v="4"/>
    <x v="1"/>
    <x v="53"/>
    <x v="1"/>
    <x v="1"/>
    <x v="16"/>
    <x v="0"/>
    <x v="4"/>
    <x v="1"/>
    <x v="0"/>
    <n v="34.12"/>
  </r>
  <r>
    <d v="2024-05-28T00:00:00"/>
    <x v="0"/>
    <x v="4"/>
    <x v="1"/>
    <x v="0"/>
    <x v="3"/>
    <x v="3"/>
    <x v="69"/>
    <x v="0"/>
    <x v="3"/>
    <x v="5"/>
    <x v="8"/>
    <n v="151.01"/>
  </r>
  <r>
    <d v="2024-05-29T00:00:00"/>
    <x v="0"/>
    <x v="4"/>
    <x v="1"/>
    <x v="66"/>
    <x v="4"/>
    <x v="4"/>
    <x v="76"/>
    <x v="0"/>
    <x v="15"/>
    <x v="2"/>
    <x v="2"/>
    <n v="2.5"/>
  </r>
  <r>
    <d v="2024-05-29T00:00:00"/>
    <x v="0"/>
    <x v="4"/>
    <x v="1"/>
    <x v="80"/>
    <x v="6"/>
    <x v="6"/>
    <x v="38"/>
    <x v="0"/>
    <x v="14"/>
    <x v="4"/>
    <x v="7"/>
    <n v="9.99"/>
  </r>
  <r>
    <d v="2024-05-29T00:00:00"/>
    <x v="0"/>
    <x v="4"/>
    <x v="1"/>
    <x v="76"/>
    <x v="6"/>
    <x v="6"/>
    <x v="34"/>
    <x v="0"/>
    <x v="14"/>
    <x v="0"/>
    <x v="9"/>
    <n v="19.0"/>
  </r>
  <r>
    <d v="2024-05-29T00:00:00"/>
    <x v="0"/>
    <x v="4"/>
    <x v="1"/>
    <x v="51"/>
    <x v="5"/>
    <x v="5"/>
    <x v="95"/>
    <x v="0"/>
    <x v="18"/>
    <x v="8"/>
    <x v="5"/>
    <n v="440.29"/>
  </r>
  <r>
    <d v="2024-05-30T00:00:00"/>
    <x v="0"/>
    <x v="4"/>
    <x v="1"/>
    <x v="2"/>
    <x v="1"/>
    <x v="1"/>
    <x v="2"/>
    <x v="0"/>
    <x v="6"/>
    <x v="3"/>
    <x v="1"/>
    <n v="45.46"/>
  </r>
  <r>
    <d v="2024-05-30T00:00:00"/>
    <x v="0"/>
    <x v="4"/>
    <x v="1"/>
    <x v="56"/>
    <x v="7"/>
    <x v="7"/>
    <x v="86"/>
    <x v="0"/>
    <x v="12"/>
    <x v="6"/>
    <x v="4"/>
    <n v="431.25"/>
  </r>
  <r>
    <d v="2024-05-30T00:00:00"/>
    <x v="0"/>
    <x v="4"/>
    <x v="1"/>
    <x v="6"/>
    <x v="1"/>
    <x v="1"/>
    <x v="5"/>
    <x v="0"/>
    <x v="6"/>
    <x v="3"/>
    <x v="1"/>
    <n v="671.42"/>
  </r>
  <r>
    <d v="2024-05-30T00:00:00"/>
    <x v="0"/>
    <x v="4"/>
    <x v="1"/>
    <x v="37"/>
    <x v="6"/>
    <x v="6"/>
    <x v="39"/>
    <x v="0"/>
    <x v="14"/>
    <x v="8"/>
    <x v="5"/>
    <n v="695.35"/>
  </r>
  <r>
    <d v="2024-05-30T00:00:00"/>
    <x v="0"/>
    <x v="4"/>
    <x v="1"/>
    <x v="90"/>
    <x v="3"/>
    <x v="3"/>
    <x v="55"/>
    <x v="0"/>
    <x v="19"/>
    <x v="7"/>
    <x v="3"/>
    <n v="1093.68"/>
  </r>
  <r>
    <d v="2024-05-31T00:00:00"/>
    <x v="0"/>
    <x v="4"/>
    <x v="1"/>
    <x v="27"/>
    <x v="6"/>
    <x v="6"/>
    <x v="31"/>
    <x v="0"/>
    <x v="2"/>
    <x v="1"/>
    <x v="0"/>
    <n v="8.97"/>
  </r>
  <r>
    <d v="2024-05-31T00:00:00"/>
    <x v="0"/>
    <x v="4"/>
    <x v="0"/>
    <x v="48"/>
    <x v="7"/>
    <x v="7"/>
    <x v="85"/>
    <x v="0"/>
    <x v="20"/>
    <x v="0"/>
    <x v="9"/>
    <n v="63.92"/>
  </r>
  <r>
    <d v="2024-05-31T00:00:00"/>
    <x v="0"/>
    <x v="4"/>
    <x v="1"/>
    <x v="28"/>
    <x v="6"/>
    <x v="6"/>
    <x v="51"/>
    <x v="0"/>
    <x v="13"/>
    <x v="0"/>
    <x v="9"/>
    <n v="107.78"/>
  </r>
  <r>
    <d v="2024-05-31T00:00:00"/>
    <x v="0"/>
    <x v="4"/>
    <x v="1"/>
    <x v="13"/>
    <x v="0"/>
    <x v="0"/>
    <x v="22"/>
    <x v="0"/>
    <x v="5"/>
    <x v="5"/>
    <x v="8"/>
    <n v="164.96"/>
  </r>
  <r>
    <d v="2024-05-31T00:00:00"/>
    <x v="0"/>
    <x v="4"/>
    <x v="1"/>
    <x v="8"/>
    <x v="3"/>
    <x v="3"/>
    <x v="72"/>
    <x v="0"/>
    <x v="3"/>
    <x v="3"/>
    <x v="1"/>
    <n v="481.2"/>
  </r>
  <r>
    <d v="2024-05-31T00:00:00"/>
    <x v="0"/>
    <x v="4"/>
    <x v="0"/>
    <x v="79"/>
    <x v="1"/>
    <x v="1"/>
    <x v="8"/>
    <x v="0"/>
    <x v="10"/>
    <x v="3"/>
    <x v="1"/>
    <n v="1599.99"/>
  </r>
  <r>
    <d v="2024-05-31T00:00:00"/>
    <x v="0"/>
    <x v="4"/>
    <x v="1"/>
    <x v="22"/>
    <x v="1"/>
    <x v="1"/>
    <x v="20"/>
    <x v="0"/>
    <x v="5"/>
    <x v="9"/>
    <x v="6"/>
    <n v="7520.87"/>
  </r>
  <r>
    <d v="2024-06-01T00:00:00"/>
    <x v="0"/>
    <x v="5"/>
    <x v="1"/>
    <x v="1"/>
    <x v="7"/>
    <x v="7"/>
    <x v="89"/>
    <x v="0"/>
    <x v="12"/>
    <x v="4"/>
    <x v="7"/>
    <n v="6.0"/>
  </r>
  <r>
    <d v="2024-06-01T00:00:00"/>
    <x v="0"/>
    <x v="5"/>
    <x v="1"/>
    <x v="71"/>
    <x v="1"/>
    <x v="1"/>
    <x v="27"/>
    <x v="0"/>
    <x v="8"/>
    <x v="3"/>
    <x v="1"/>
    <n v="11.0"/>
  </r>
  <r>
    <d v="2024-06-01T00:00:00"/>
    <x v="0"/>
    <x v="5"/>
    <x v="0"/>
    <x v="43"/>
    <x v="7"/>
    <x v="7"/>
    <x v="87"/>
    <x v="0"/>
    <x v="12"/>
    <x v="0"/>
    <x v="9"/>
    <n v="11.97"/>
  </r>
  <r>
    <d v="2024-06-01T00:00:00"/>
    <x v="0"/>
    <x v="5"/>
    <x v="0"/>
    <x v="48"/>
    <x v="7"/>
    <x v="7"/>
    <x v="85"/>
    <x v="0"/>
    <x v="20"/>
    <x v="1"/>
    <x v="0"/>
    <n v="54.97"/>
  </r>
  <r>
    <d v="2024-06-01T00:00:00"/>
    <x v="0"/>
    <x v="5"/>
    <x v="0"/>
    <x v="34"/>
    <x v="6"/>
    <x v="6"/>
    <x v="32"/>
    <x v="0"/>
    <x v="2"/>
    <x v="2"/>
    <x v="2"/>
    <n v="108.91"/>
  </r>
  <r>
    <d v="2024-06-01T00:00:00"/>
    <x v="0"/>
    <x v="5"/>
    <x v="0"/>
    <x v="31"/>
    <x v="2"/>
    <x v="2"/>
    <x v="0"/>
    <x v="0"/>
    <x v="11"/>
    <x v="6"/>
    <x v="4"/>
    <n v="429.02"/>
  </r>
  <r>
    <d v="2024-06-01T00:00:00"/>
    <x v="0"/>
    <x v="5"/>
    <x v="1"/>
    <x v="2"/>
    <x v="1"/>
    <x v="1"/>
    <x v="2"/>
    <x v="0"/>
    <x v="6"/>
    <x v="0"/>
    <x v="9"/>
    <n v="450.48"/>
  </r>
  <r>
    <d v="2024-06-01T00:00:00"/>
    <x v="0"/>
    <x v="5"/>
    <x v="1"/>
    <x v="44"/>
    <x v="6"/>
    <x v="6"/>
    <x v="49"/>
    <x v="0"/>
    <x v="13"/>
    <x v="5"/>
    <x v="8"/>
    <n v="602.7"/>
  </r>
  <r>
    <d v="2024-06-01T00:00:00"/>
    <x v="0"/>
    <x v="5"/>
    <x v="1"/>
    <x v="17"/>
    <x v="3"/>
    <x v="3"/>
    <x v="57"/>
    <x v="0"/>
    <x v="16"/>
    <x v="9"/>
    <x v="6"/>
    <n v="630.22"/>
  </r>
  <r>
    <d v="2024-06-01T00:00:00"/>
    <x v="0"/>
    <x v="5"/>
    <x v="1"/>
    <x v="62"/>
    <x v="6"/>
    <x v="6"/>
    <x v="50"/>
    <x v="0"/>
    <x v="13"/>
    <x v="6"/>
    <x v="4"/>
    <n v="643.35"/>
  </r>
  <r>
    <d v="2024-06-02T00:00:00"/>
    <x v="0"/>
    <x v="5"/>
    <x v="1"/>
    <x v="36"/>
    <x v="7"/>
    <x v="7"/>
    <x v="90"/>
    <x v="0"/>
    <x v="9"/>
    <x v="0"/>
    <x v="9"/>
    <n v="62.62"/>
  </r>
  <r>
    <d v="2024-06-02T00:00:00"/>
    <x v="0"/>
    <x v="5"/>
    <x v="1"/>
    <x v="27"/>
    <x v="6"/>
    <x v="6"/>
    <x v="31"/>
    <x v="0"/>
    <x v="2"/>
    <x v="1"/>
    <x v="0"/>
    <n v="131.18"/>
  </r>
  <r>
    <d v="2024-06-02T00:00:00"/>
    <x v="0"/>
    <x v="5"/>
    <x v="0"/>
    <x v="34"/>
    <x v="6"/>
    <x v="6"/>
    <x v="32"/>
    <x v="0"/>
    <x v="2"/>
    <x v="0"/>
    <x v="9"/>
    <n v="165.71"/>
  </r>
  <r>
    <d v="2024-06-02T00:00:00"/>
    <x v="0"/>
    <x v="5"/>
    <x v="1"/>
    <x v="42"/>
    <x v="3"/>
    <x v="3"/>
    <x v="63"/>
    <x v="0"/>
    <x v="17"/>
    <x v="6"/>
    <x v="4"/>
    <n v="561.67"/>
  </r>
  <r>
    <d v="2024-06-03T00:00:00"/>
    <x v="0"/>
    <x v="5"/>
    <x v="1"/>
    <x v="19"/>
    <x v="7"/>
    <x v="7"/>
    <x v="88"/>
    <x v="0"/>
    <x v="12"/>
    <x v="4"/>
    <x v="7"/>
    <n v="4.99"/>
  </r>
  <r>
    <d v="2024-06-03T00:00:00"/>
    <x v="0"/>
    <x v="5"/>
    <x v="1"/>
    <x v="6"/>
    <x v="1"/>
    <x v="1"/>
    <x v="5"/>
    <x v="0"/>
    <x v="6"/>
    <x v="6"/>
    <x v="4"/>
    <n v="13.98"/>
  </r>
  <r>
    <d v="2024-06-03T00:00:00"/>
    <x v="0"/>
    <x v="5"/>
    <x v="0"/>
    <x v="88"/>
    <x v="1"/>
    <x v="1"/>
    <x v="17"/>
    <x v="0"/>
    <x v="4"/>
    <x v="5"/>
    <x v="8"/>
    <n v="327.47"/>
  </r>
  <r>
    <d v="2024-06-03T00:00:00"/>
    <x v="0"/>
    <x v="5"/>
    <x v="1"/>
    <x v="34"/>
    <x v="6"/>
    <x v="6"/>
    <x v="32"/>
    <x v="0"/>
    <x v="2"/>
    <x v="1"/>
    <x v="0"/>
    <n v="595.03"/>
  </r>
  <r>
    <d v="2024-06-03T00:00:00"/>
    <x v="0"/>
    <x v="5"/>
    <x v="1"/>
    <x v="59"/>
    <x v="1"/>
    <x v="1"/>
    <x v="3"/>
    <x v="0"/>
    <x v="6"/>
    <x v="9"/>
    <x v="6"/>
    <n v="3212.56"/>
  </r>
  <r>
    <d v="2024-06-03T00:00:00"/>
    <x v="0"/>
    <x v="5"/>
    <x v="1"/>
    <x v="12"/>
    <x v="1"/>
    <x v="1"/>
    <x v="26"/>
    <x v="0"/>
    <x v="8"/>
    <x v="9"/>
    <x v="6"/>
    <n v="3355.05"/>
  </r>
  <r>
    <d v="2024-06-04T00:00:00"/>
    <x v="0"/>
    <x v="5"/>
    <x v="1"/>
    <x v="18"/>
    <x v="5"/>
    <x v="5"/>
    <x v="96"/>
    <x v="0"/>
    <x v="18"/>
    <x v="9"/>
    <x v="6"/>
    <n v="1243.44"/>
  </r>
  <r>
    <d v="2024-06-04T00:00:00"/>
    <x v="0"/>
    <x v="5"/>
    <x v="0"/>
    <x v="2"/>
    <x v="1"/>
    <x v="1"/>
    <x v="2"/>
    <x v="0"/>
    <x v="6"/>
    <x v="5"/>
    <x v="8"/>
    <n v="3351.82"/>
  </r>
  <r>
    <d v="2024-06-05T00:00:00"/>
    <x v="0"/>
    <x v="5"/>
    <x v="1"/>
    <x v="92"/>
    <x v="6"/>
    <x v="6"/>
    <x v="40"/>
    <x v="0"/>
    <x v="7"/>
    <x v="4"/>
    <x v="7"/>
    <n v="9.99"/>
  </r>
  <r>
    <d v="2024-06-05T00:00:00"/>
    <x v="0"/>
    <x v="5"/>
    <x v="0"/>
    <x v="41"/>
    <x v="5"/>
    <x v="5"/>
    <x v="93"/>
    <x v="0"/>
    <x v="18"/>
    <x v="4"/>
    <x v="7"/>
    <n v="167.49"/>
  </r>
  <r>
    <d v="2024-06-05T00:00:00"/>
    <x v="0"/>
    <x v="5"/>
    <x v="1"/>
    <x v="80"/>
    <x v="6"/>
    <x v="6"/>
    <x v="38"/>
    <x v="0"/>
    <x v="14"/>
    <x v="1"/>
    <x v="0"/>
    <n v="395.63"/>
  </r>
  <r>
    <d v="2024-06-05T00:00:00"/>
    <x v="0"/>
    <x v="5"/>
    <x v="0"/>
    <x v="94"/>
    <x v="6"/>
    <x v="6"/>
    <x v="48"/>
    <x v="0"/>
    <x v="13"/>
    <x v="2"/>
    <x v="2"/>
    <n v="415.96"/>
  </r>
  <r>
    <d v="2024-06-05T00:00:00"/>
    <x v="0"/>
    <x v="5"/>
    <x v="1"/>
    <x v="16"/>
    <x v="7"/>
    <x v="7"/>
    <x v="92"/>
    <x v="0"/>
    <x v="9"/>
    <x v="3"/>
    <x v="1"/>
    <n v="451.99"/>
  </r>
  <r>
    <d v="2024-06-05T00:00:00"/>
    <x v="0"/>
    <x v="5"/>
    <x v="0"/>
    <x v="4"/>
    <x v="6"/>
    <x v="6"/>
    <x v="29"/>
    <x v="0"/>
    <x v="2"/>
    <x v="8"/>
    <x v="5"/>
    <n v="690.15"/>
  </r>
  <r>
    <d v="2024-06-05T00:00:00"/>
    <x v="0"/>
    <x v="5"/>
    <x v="1"/>
    <x v="37"/>
    <x v="6"/>
    <x v="6"/>
    <x v="39"/>
    <x v="0"/>
    <x v="14"/>
    <x v="9"/>
    <x v="6"/>
    <n v="1270.97"/>
  </r>
  <r>
    <d v="2024-06-05T00:00:00"/>
    <x v="0"/>
    <x v="5"/>
    <x v="0"/>
    <x v="5"/>
    <x v="1"/>
    <x v="1"/>
    <x v="14"/>
    <x v="0"/>
    <x v="4"/>
    <x v="3"/>
    <x v="1"/>
    <n v="1354.81"/>
  </r>
  <r>
    <d v="2024-06-06T00:00:00"/>
    <x v="0"/>
    <x v="5"/>
    <x v="1"/>
    <x v="8"/>
    <x v="3"/>
    <x v="3"/>
    <x v="72"/>
    <x v="0"/>
    <x v="3"/>
    <x v="3"/>
    <x v="1"/>
    <n v="37.0"/>
  </r>
  <r>
    <d v="2024-06-06T00:00:00"/>
    <x v="0"/>
    <x v="5"/>
    <x v="1"/>
    <x v="83"/>
    <x v="3"/>
    <x v="3"/>
    <x v="56"/>
    <x v="0"/>
    <x v="16"/>
    <x v="1"/>
    <x v="0"/>
    <n v="1065.98"/>
  </r>
  <r>
    <d v="2024-06-06T00:00:00"/>
    <x v="0"/>
    <x v="5"/>
    <x v="1"/>
    <x v="80"/>
    <x v="6"/>
    <x v="6"/>
    <x v="38"/>
    <x v="0"/>
    <x v="14"/>
    <x v="3"/>
    <x v="1"/>
    <n v="1854.48"/>
  </r>
  <r>
    <d v="2024-06-07T00:00:00"/>
    <x v="0"/>
    <x v="5"/>
    <x v="1"/>
    <x v="69"/>
    <x v="1"/>
    <x v="1"/>
    <x v="19"/>
    <x v="0"/>
    <x v="5"/>
    <x v="1"/>
    <x v="0"/>
    <n v="10.9"/>
  </r>
  <r>
    <d v="2024-06-07T00:00:00"/>
    <x v="0"/>
    <x v="5"/>
    <x v="1"/>
    <x v="15"/>
    <x v="4"/>
    <x v="4"/>
    <x v="79"/>
    <x v="0"/>
    <x v="0"/>
    <x v="2"/>
    <x v="2"/>
    <n v="21.0"/>
  </r>
  <r>
    <d v="2024-06-07T00:00:00"/>
    <x v="0"/>
    <x v="5"/>
    <x v="0"/>
    <x v="76"/>
    <x v="6"/>
    <x v="6"/>
    <x v="34"/>
    <x v="0"/>
    <x v="14"/>
    <x v="4"/>
    <x v="7"/>
    <n v="22.94"/>
  </r>
  <r>
    <d v="2024-06-07T00:00:00"/>
    <x v="0"/>
    <x v="5"/>
    <x v="1"/>
    <x v="49"/>
    <x v="3"/>
    <x v="3"/>
    <x v="58"/>
    <x v="0"/>
    <x v="16"/>
    <x v="6"/>
    <x v="4"/>
    <n v="798.52"/>
  </r>
  <r>
    <d v="2024-06-07T00:00:00"/>
    <x v="0"/>
    <x v="5"/>
    <x v="0"/>
    <x v="7"/>
    <x v="1"/>
    <x v="1"/>
    <x v="10"/>
    <x v="0"/>
    <x v="10"/>
    <x v="3"/>
    <x v="1"/>
    <n v="975.42"/>
  </r>
  <r>
    <d v="2024-06-07T00:00:00"/>
    <x v="0"/>
    <x v="5"/>
    <x v="1"/>
    <x v="22"/>
    <x v="1"/>
    <x v="1"/>
    <x v="20"/>
    <x v="0"/>
    <x v="5"/>
    <x v="2"/>
    <x v="2"/>
    <n v="6061.11"/>
  </r>
  <r>
    <d v="2024-06-08T00:00:00"/>
    <x v="0"/>
    <x v="5"/>
    <x v="1"/>
    <x v="96"/>
    <x v="3"/>
    <x v="3"/>
    <x v="67"/>
    <x v="0"/>
    <x v="1"/>
    <x v="0"/>
    <x v="9"/>
    <n v="30.95"/>
  </r>
  <r>
    <d v="2024-06-08T00:00:00"/>
    <x v="0"/>
    <x v="5"/>
    <x v="1"/>
    <x v="40"/>
    <x v="3"/>
    <x v="3"/>
    <x v="65"/>
    <x v="0"/>
    <x v="1"/>
    <x v="1"/>
    <x v="0"/>
    <n v="34.96"/>
  </r>
  <r>
    <d v="2024-06-08T00:00:00"/>
    <x v="0"/>
    <x v="5"/>
    <x v="0"/>
    <x v="15"/>
    <x v="4"/>
    <x v="4"/>
    <x v="79"/>
    <x v="0"/>
    <x v="0"/>
    <x v="0"/>
    <x v="9"/>
    <n v="38.87"/>
  </r>
  <r>
    <d v="2024-06-08T00:00:00"/>
    <x v="0"/>
    <x v="5"/>
    <x v="1"/>
    <x v="36"/>
    <x v="7"/>
    <x v="7"/>
    <x v="90"/>
    <x v="0"/>
    <x v="9"/>
    <x v="1"/>
    <x v="0"/>
    <n v="57.2"/>
  </r>
  <r>
    <d v="2024-06-08T00:00:00"/>
    <x v="0"/>
    <x v="5"/>
    <x v="1"/>
    <x v="66"/>
    <x v="4"/>
    <x v="4"/>
    <x v="76"/>
    <x v="0"/>
    <x v="15"/>
    <x v="3"/>
    <x v="1"/>
    <n v="108.46"/>
  </r>
  <r>
    <d v="2024-06-08T00:00:00"/>
    <x v="0"/>
    <x v="5"/>
    <x v="1"/>
    <x v="51"/>
    <x v="5"/>
    <x v="5"/>
    <x v="95"/>
    <x v="0"/>
    <x v="18"/>
    <x v="4"/>
    <x v="7"/>
    <n v="176.66"/>
  </r>
  <r>
    <d v="2024-06-08T00:00:00"/>
    <x v="0"/>
    <x v="5"/>
    <x v="1"/>
    <x v="84"/>
    <x v="3"/>
    <x v="3"/>
    <x v="53"/>
    <x v="0"/>
    <x v="19"/>
    <x v="6"/>
    <x v="4"/>
    <n v="529.62"/>
  </r>
  <r>
    <d v="2024-06-08T00:00:00"/>
    <x v="0"/>
    <x v="5"/>
    <x v="1"/>
    <x v="71"/>
    <x v="1"/>
    <x v="1"/>
    <x v="27"/>
    <x v="0"/>
    <x v="8"/>
    <x v="9"/>
    <x v="6"/>
    <n v="3557.79"/>
  </r>
  <r>
    <d v="2024-06-08T00:00:00"/>
    <x v="0"/>
    <x v="5"/>
    <x v="1"/>
    <x v="54"/>
    <x v="1"/>
    <x v="1"/>
    <x v="25"/>
    <x v="0"/>
    <x v="8"/>
    <x v="3"/>
    <x v="1"/>
    <n v="3988.85"/>
  </r>
  <r>
    <d v="2024-06-09T00:00:00"/>
    <x v="0"/>
    <x v="5"/>
    <x v="1"/>
    <x v="37"/>
    <x v="6"/>
    <x v="6"/>
    <x v="39"/>
    <x v="0"/>
    <x v="14"/>
    <x v="4"/>
    <x v="7"/>
    <n v="20.95"/>
  </r>
  <r>
    <d v="2024-06-09T00:00:00"/>
    <x v="0"/>
    <x v="5"/>
    <x v="1"/>
    <x v="24"/>
    <x v="6"/>
    <x v="6"/>
    <x v="36"/>
    <x v="0"/>
    <x v="14"/>
    <x v="6"/>
    <x v="4"/>
    <n v="150.64"/>
  </r>
  <r>
    <d v="2024-06-09T00:00:00"/>
    <x v="0"/>
    <x v="5"/>
    <x v="1"/>
    <x v="3"/>
    <x v="2"/>
    <x v="2"/>
    <x v="1"/>
    <x v="0"/>
    <x v="11"/>
    <x v="6"/>
    <x v="4"/>
    <n v="174.35"/>
  </r>
  <r>
    <d v="2024-06-09T00:00:00"/>
    <x v="0"/>
    <x v="5"/>
    <x v="0"/>
    <x v="23"/>
    <x v="1"/>
    <x v="1"/>
    <x v="12"/>
    <x v="0"/>
    <x v="10"/>
    <x v="1"/>
    <x v="0"/>
    <n v="200.87"/>
  </r>
  <r>
    <d v="2024-06-09T00:00:00"/>
    <x v="0"/>
    <x v="5"/>
    <x v="0"/>
    <x v="96"/>
    <x v="3"/>
    <x v="3"/>
    <x v="67"/>
    <x v="0"/>
    <x v="1"/>
    <x v="3"/>
    <x v="1"/>
    <n v="425.11"/>
  </r>
  <r>
    <d v="2024-06-09T00:00:00"/>
    <x v="0"/>
    <x v="5"/>
    <x v="0"/>
    <x v="64"/>
    <x v="3"/>
    <x v="3"/>
    <x v="70"/>
    <x v="0"/>
    <x v="3"/>
    <x v="3"/>
    <x v="1"/>
    <n v="535.57"/>
  </r>
  <r>
    <d v="2024-06-09T00:00:00"/>
    <x v="0"/>
    <x v="5"/>
    <x v="0"/>
    <x v="95"/>
    <x v="4"/>
    <x v="4"/>
    <x v="73"/>
    <x v="0"/>
    <x v="15"/>
    <x v="6"/>
    <x v="4"/>
    <n v="626.12"/>
  </r>
  <r>
    <d v="2024-06-09T00:00:00"/>
    <x v="0"/>
    <x v="5"/>
    <x v="0"/>
    <x v="8"/>
    <x v="3"/>
    <x v="3"/>
    <x v="72"/>
    <x v="0"/>
    <x v="3"/>
    <x v="2"/>
    <x v="2"/>
    <n v="1998.78"/>
  </r>
  <r>
    <d v="2024-06-09T00:00:00"/>
    <x v="0"/>
    <x v="5"/>
    <x v="1"/>
    <x v="86"/>
    <x v="1"/>
    <x v="1"/>
    <x v="9"/>
    <x v="0"/>
    <x v="10"/>
    <x v="3"/>
    <x v="1"/>
    <n v="4519.53"/>
  </r>
  <r>
    <d v="2024-06-10T00:00:00"/>
    <x v="0"/>
    <x v="5"/>
    <x v="1"/>
    <x v="35"/>
    <x v="6"/>
    <x v="6"/>
    <x v="46"/>
    <x v="0"/>
    <x v="7"/>
    <x v="8"/>
    <x v="5"/>
    <n v="109.08"/>
  </r>
  <r>
    <d v="2024-06-10T00:00:00"/>
    <x v="0"/>
    <x v="5"/>
    <x v="0"/>
    <x v="23"/>
    <x v="1"/>
    <x v="1"/>
    <x v="12"/>
    <x v="0"/>
    <x v="10"/>
    <x v="4"/>
    <x v="7"/>
    <n v="367.08"/>
  </r>
  <r>
    <d v="2024-06-10T00:00:00"/>
    <x v="0"/>
    <x v="5"/>
    <x v="1"/>
    <x v="69"/>
    <x v="1"/>
    <x v="1"/>
    <x v="19"/>
    <x v="0"/>
    <x v="5"/>
    <x v="1"/>
    <x v="0"/>
    <n v="721.7"/>
  </r>
  <r>
    <d v="2024-06-10T00:00:00"/>
    <x v="0"/>
    <x v="5"/>
    <x v="0"/>
    <x v="29"/>
    <x v="6"/>
    <x v="6"/>
    <x v="35"/>
    <x v="0"/>
    <x v="14"/>
    <x v="4"/>
    <x v="7"/>
    <n v="750.6"/>
  </r>
  <r>
    <d v="2024-06-10T00:00:00"/>
    <x v="0"/>
    <x v="5"/>
    <x v="1"/>
    <x v="52"/>
    <x v="1"/>
    <x v="1"/>
    <x v="11"/>
    <x v="0"/>
    <x v="10"/>
    <x v="4"/>
    <x v="7"/>
    <n v="1151.59"/>
  </r>
  <r>
    <d v="2024-06-10T00:00:00"/>
    <x v="0"/>
    <x v="5"/>
    <x v="1"/>
    <x v="42"/>
    <x v="3"/>
    <x v="3"/>
    <x v="63"/>
    <x v="0"/>
    <x v="17"/>
    <x v="9"/>
    <x v="6"/>
    <n v="1324.48"/>
  </r>
  <r>
    <d v="2024-06-10T00:00:00"/>
    <x v="0"/>
    <x v="5"/>
    <x v="1"/>
    <x v="25"/>
    <x v="1"/>
    <x v="1"/>
    <x v="6"/>
    <x v="0"/>
    <x v="6"/>
    <x v="6"/>
    <x v="4"/>
    <n v="4644.71"/>
  </r>
  <r>
    <d v="2024-06-10T00:00:00"/>
    <x v="0"/>
    <x v="5"/>
    <x v="1"/>
    <x v="23"/>
    <x v="1"/>
    <x v="1"/>
    <x v="12"/>
    <x v="0"/>
    <x v="10"/>
    <x v="3"/>
    <x v="1"/>
    <n v="5356.17"/>
  </r>
  <r>
    <d v="2024-06-10T00:00:00"/>
    <x v="0"/>
    <x v="5"/>
    <x v="1"/>
    <x v="14"/>
    <x v="6"/>
    <x v="6"/>
    <x v="45"/>
    <x v="0"/>
    <x v="7"/>
    <x v="6"/>
    <x v="4"/>
    <n v="5591.95"/>
  </r>
  <r>
    <d v="2024-06-11T00:00:00"/>
    <x v="0"/>
    <x v="5"/>
    <x v="1"/>
    <x v="51"/>
    <x v="5"/>
    <x v="5"/>
    <x v="95"/>
    <x v="0"/>
    <x v="18"/>
    <x v="0"/>
    <x v="9"/>
    <n v="102.77"/>
  </r>
  <r>
    <d v="2024-06-11T00:00:00"/>
    <x v="0"/>
    <x v="5"/>
    <x v="1"/>
    <x v="22"/>
    <x v="1"/>
    <x v="1"/>
    <x v="20"/>
    <x v="0"/>
    <x v="5"/>
    <x v="4"/>
    <x v="7"/>
    <n v="403.98"/>
  </r>
  <r>
    <d v="2024-06-11T00:00:00"/>
    <x v="0"/>
    <x v="5"/>
    <x v="1"/>
    <x v="61"/>
    <x v="7"/>
    <x v="7"/>
    <x v="84"/>
    <x v="0"/>
    <x v="20"/>
    <x v="9"/>
    <x v="6"/>
    <n v="1213.28"/>
  </r>
  <r>
    <d v="2024-06-12T00:00:00"/>
    <x v="0"/>
    <x v="5"/>
    <x v="0"/>
    <x v="70"/>
    <x v="6"/>
    <x v="6"/>
    <x v="33"/>
    <x v="0"/>
    <x v="14"/>
    <x v="8"/>
    <x v="5"/>
    <n v="29.95"/>
  </r>
  <r>
    <d v="2024-06-12T00:00:00"/>
    <x v="0"/>
    <x v="5"/>
    <x v="1"/>
    <x v="5"/>
    <x v="1"/>
    <x v="1"/>
    <x v="14"/>
    <x v="0"/>
    <x v="4"/>
    <x v="1"/>
    <x v="0"/>
    <n v="117.72"/>
  </r>
  <r>
    <d v="2024-06-12T00:00:00"/>
    <x v="0"/>
    <x v="5"/>
    <x v="0"/>
    <x v="38"/>
    <x v="0"/>
    <x v="0"/>
    <x v="21"/>
    <x v="0"/>
    <x v="5"/>
    <x v="9"/>
    <x v="6"/>
    <n v="134.91"/>
  </r>
  <r>
    <d v="2024-06-12T00:00:00"/>
    <x v="0"/>
    <x v="5"/>
    <x v="1"/>
    <x v="16"/>
    <x v="7"/>
    <x v="7"/>
    <x v="92"/>
    <x v="0"/>
    <x v="9"/>
    <x v="9"/>
    <x v="6"/>
    <n v="299.7"/>
  </r>
  <r>
    <d v="2024-06-12T00:00:00"/>
    <x v="0"/>
    <x v="5"/>
    <x v="0"/>
    <x v="31"/>
    <x v="2"/>
    <x v="2"/>
    <x v="0"/>
    <x v="0"/>
    <x v="11"/>
    <x v="2"/>
    <x v="2"/>
    <n v="487.56"/>
  </r>
  <r>
    <d v="2024-06-12T00:00:00"/>
    <x v="0"/>
    <x v="5"/>
    <x v="1"/>
    <x v="48"/>
    <x v="7"/>
    <x v="7"/>
    <x v="85"/>
    <x v="0"/>
    <x v="20"/>
    <x v="5"/>
    <x v="8"/>
    <n v="525.13"/>
  </r>
  <r>
    <d v="2024-06-12T00:00:00"/>
    <x v="0"/>
    <x v="5"/>
    <x v="1"/>
    <x v="75"/>
    <x v="1"/>
    <x v="1"/>
    <x v="4"/>
    <x v="0"/>
    <x v="6"/>
    <x v="3"/>
    <x v="1"/>
    <n v="934.16"/>
  </r>
  <r>
    <d v="2024-06-13T00:00:00"/>
    <x v="0"/>
    <x v="5"/>
    <x v="0"/>
    <x v="35"/>
    <x v="6"/>
    <x v="6"/>
    <x v="46"/>
    <x v="0"/>
    <x v="7"/>
    <x v="9"/>
    <x v="6"/>
    <n v="24.04"/>
  </r>
  <r>
    <d v="2024-06-13T00:00:00"/>
    <x v="0"/>
    <x v="5"/>
    <x v="1"/>
    <x v="1"/>
    <x v="7"/>
    <x v="7"/>
    <x v="89"/>
    <x v="0"/>
    <x v="12"/>
    <x v="3"/>
    <x v="1"/>
    <n v="327.77"/>
  </r>
  <r>
    <d v="2024-06-13T00:00:00"/>
    <x v="0"/>
    <x v="5"/>
    <x v="1"/>
    <x v="34"/>
    <x v="6"/>
    <x v="6"/>
    <x v="32"/>
    <x v="0"/>
    <x v="2"/>
    <x v="0"/>
    <x v="9"/>
    <n v="443.37"/>
  </r>
  <r>
    <d v="2024-06-13T00:00:00"/>
    <x v="0"/>
    <x v="5"/>
    <x v="0"/>
    <x v="87"/>
    <x v="3"/>
    <x v="3"/>
    <x v="52"/>
    <x v="0"/>
    <x v="19"/>
    <x v="2"/>
    <x v="2"/>
    <n v="632.49"/>
  </r>
  <r>
    <d v="2024-06-13T00:00:00"/>
    <x v="0"/>
    <x v="5"/>
    <x v="1"/>
    <x v="46"/>
    <x v="6"/>
    <x v="6"/>
    <x v="42"/>
    <x v="0"/>
    <x v="7"/>
    <x v="9"/>
    <x v="6"/>
    <n v="646.91"/>
  </r>
  <r>
    <d v="2024-06-13T00:00:00"/>
    <x v="0"/>
    <x v="5"/>
    <x v="0"/>
    <x v="0"/>
    <x v="3"/>
    <x v="3"/>
    <x v="69"/>
    <x v="0"/>
    <x v="3"/>
    <x v="3"/>
    <x v="1"/>
    <n v="876.85"/>
  </r>
  <r>
    <d v="2024-06-13T00:00:00"/>
    <x v="0"/>
    <x v="5"/>
    <x v="0"/>
    <x v="6"/>
    <x v="1"/>
    <x v="1"/>
    <x v="5"/>
    <x v="0"/>
    <x v="6"/>
    <x v="1"/>
    <x v="0"/>
    <n v="1406.64"/>
  </r>
  <r>
    <d v="2024-06-13T00:00:00"/>
    <x v="0"/>
    <x v="5"/>
    <x v="1"/>
    <x v="22"/>
    <x v="1"/>
    <x v="1"/>
    <x v="20"/>
    <x v="0"/>
    <x v="5"/>
    <x v="4"/>
    <x v="7"/>
    <n v="3776.98"/>
  </r>
  <r>
    <d v="2024-06-13T00:00:00"/>
    <x v="0"/>
    <x v="5"/>
    <x v="0"/>
    <x v="4"/>
    <x v="6"/>
    <x v="6"/>
    <x v="29"/>
    <x v="0"/>
    <x v="2"/>
    <x v="9"/>
    <x v="6"/>
    <n v="5652.74"/>
  </r>
  <r>
    <d v="2024-06-14T00:00:00"/>
    <x v="0"/>
    <x v="5"/>
    <x v="0"/>
    <x v="91"/>
    <x v="1"/>
    <x v="1"/>
    <x v="23"/>
    <x v="0"/>
    <x v="8"/>
    <x v="0"/>
    <x v="9"/>
    <n v="80.45"/>
  </r>
  <r>
    <d v="2024-06-14T00:00:00"/>
    <x v="0"/>
    <x v="5"/>
    <x v="1"/>
    <x v="19"/>
    <x v="7"/>
    <x v="7"/>
    <x v="88"/>
    <x v="0"/>
    <x v="12"/>
    <x v="8"/>
    <x v="5"/>
    <n v="131.78"/>
  </r>
  <r>
    <d v="2024-06-14T00:00:00"/>
    <x v="0"/>
    <x v="5"/>
    <x v="0"/>
    <x v="48"/>
    <x v="7"/>
    <x v="7"/>
    <x v="85"/>
    <x v="0"/>
    <x v="20"/>
    <x v="3"/>
    <x v="1"/>
    <n v="253.38"/>
  </r>
  <r>
    <d v="2024-06-14T00:00:00"/>
    <x v="0"/>
    <x v="5"/>
    <x v="1"/>
    <x v="77"/>
    <x v="3"/>
    <x v="3"/>
    <x v="66"/>
    <x v="0"/>
    <x v="1"/>
    <x v="5"/>
    <x v="8"/>
    <n v="285.39"/>
  </r>
  <r>
    <d v="2024-06-14T00:00:00"/>
    <x v="0"/>
    <x v="5"/>
    <x v="1"/>
    <x v="79"/>
    <x v="1"/>
    <x v="1"/>
    <x v="8"/>
    <x v="0"/>
    <x v="10"/>
    <x v="7"/>
    <x v="3"/>
    <n v="935.17"/>
  </r>
  <r>
    <d v="2024-06-15T00:00:00"/>
    <x v="0"/>
    <x v="5"/>
    <x v="1"/>
    <x v="8"/>
    <x v="3"/>
    <x v="3"/>
    <x v="72"/>
    <x v="0"/>
    <x v="3"/>
    <x v="8"/>
    <x v="5"/>
    <n v="9.98"/>
  </r>
  <r>
    <d v="2024-06-15T00:00:00"/>
    <x v="0"/>
    <x v="5"/>
    <x v="1"/>
    <x v="85"/>
    <x v="6"/>
    <x v="6"/>
    <x v="43"/>
    <x v="0"/>
    <x v="7"/>
    <x v="2"/>
    <x v="2"/>
    <n v="23.96"/>
  </r>
  <r>
    <d v="2024-06-15T00:00:00"/>
    <x v="0"/>
    <x v="5"/>
    <x v="1"/>
    <x v="64"/>
    <x v="3"/>
    <x v="3"/>
    <x v="70"/>
    <x v="0"/>
    <x v="3"/>
    <x v="3"/>
    <x v="1"/>
    <n v="25.96"/>
  </r>
  <r>
    <d v="2024-06-15T00:00:00"/>
    <x v="0"/>
    <x v="5"/>
    <x v="1"/>
    <x v="78"/>
    <x v="5"/>
    <x v="5"/>
    <x v="94"/>
    <x v="0"/>
    <x v="18"/>
    <x v="0"/>
    <x v="9"/>
    <n v="111.79"/>
  </r>
  <r>
    <d v="2024-06-15T00:00:00"/>
    <x v="0"/>
    <x v="5"/>
    <x v="0"/>
    <x v="86"/>
    <x v="1"/>
    <x v="1"/>
    <x v="9"/>
    <x v="0"/>
    <x v="10"/>
    <x v="9"/>
    <x v="6"/>
    <n v="151.89"/>
  </r>
  <r>
    <d v="2024-06-15T00:00:00"/>
    <x v="0"/>
    <x v="5"/>
    <x v="1"/>
    <x v="76"/>
    <x v="6"/>
    <x v="6"/>
    <x v="34"/>
    <x v="0"/>
    <x v="14"/>
    <x v="4"/>
    <x v="7"/>
    <n v="264.29"/>
  </r>
  <r>
    <d v="2024-06-15T00:00:00"/>
    <x v="0"/>
    <x v="5"/>
    <x v="1"/>
    <x v="61"/>
    <x v="7"/>
    <x v="7"/>
    <x v="84"/>
    <x v="0"/>
    <x v="20"/>
    <x v="5"/>
    <x v="8"/>
    <n v="508.53"/>
  </r>
  <r>
    <d v="2024-06-16T00:00:00"/>
    <x v="0"/>
    <x v="5"/>
    <x v="1"/>
    <x v="85"/>
    <x v="6"/>
    <x v="6"/>
    <x v="43"/>
    <x v="0"/>
    <x v="7"/>
    <x v="1"/>
    <x v="0"/>
    <n v="1.0"/>
  </r>
  <r>
    <d v="2024-06-16T00:00:00"/>
    <x v="0"/>
    <x v="5"/>
    <x v="1"/>
    <x v="77"/>
    <x v="3"/>
    <x v="3"/>
    <x v="66"/>
    <x v="0"/>
    <x v="1"/>
    <x v="8"/>
    <x v="5"/>
    <n v="5.99"/>
  </r>
  <r>
    <d v="2024-06-16T00:00:00"/>
    <x v="0"/>
    <x v="5"/>
    <x v="1"/>
    <x v="69"/>
    <x v="1"/>
    <x v="1"/>
    <x v="19"/>
    <x v="0"/>
    <x v="5"/>
    <x v="9"/>
    <x v="6"/>
    <n v="7343.31"/>
  </r>
  <r>
    <d v="2024-06-17T00:00:00"/>
    <x v="0"/>
    <x v="5"/>
    <x v="0"/>
    <x v="80"/>
    <x v="6"/>
    <x v="6"/>
    <x v="38"/>
    <x v="0"/>
    <x v="14"/>
    <x v="2"/>
    <x v="2"/>
    <n v="168.79"/>
  </r>
  <r>
    <d v="2024-06-17T00:00:00"/>
    <x v="0"/>
    <x v="5"/>
    <x v="1"/>
    <x v="61"/>
    <x v="7"/>
    <x v="7"/>
    <x v="84"/>
    <x v="0"/>
    <x v="20"/>
    <x v="2"/>
    <x v="2"/>
    <n v="624.29"/>
  </r>
  <r>
    <d v="2024-06-17T00:00:00"/>
    <x v="0"/>
    <x v="5"/>
    <x v="1"/>
    <x v="75"/>
    <x v="1"/>
    <x v="1"/>
    <x v="4"/>
    <x v="0"/>
    <x v="6"/>
    <x v="1"/>
    <x v="0"/>
    <n v="661.56"/>
  </r>
  <r>
    <d v="2024-06-17T00:00:00"/>
    <x v="0"/>
    <x v="5"/>
    <x v="1"/>
    <x v="80"/>
    <x v="6"/>
    <x v="6"/>
    <x v="38"/>
    <x v="0"/>
    <x v="14"/>
    <x v="2"/>
    <x v="2"/>
    <n v="1878.09"/>
  </r>
  <r>
    <d v="2024-06-18T00:00:00"/>
    <x v="0"/>
    <x v="5"/>
    <x v="1"/>
    <x v="1"/>
    <x v="7"/>
    <x v="7"/>
    <x v="89"/>
    <x v="0"/>
    <x v="12"/>
    <x v="2"/>
    <x v="2"/>
    <n v="19.0"/>
  </r>
  <r>
    <d v="2024-06-18T00:00:00"/>
    <x v="0"/>
    <x v="5"/>
    <x v="1"/>
    <x v="93"/>
    <x v="6"/>
    <x v="6"/>
    <x v="30"/>
    <x v="0"/>
    <x v="2"/>
    <x v="1"/>
    <x v="0"/>
    <n v="34.95"/>
  </r>
  <r>
    <d v="2024-06-18T00:00:00"/>
    <x v="0"/>
    <x v="5"/>
    <x v="0"/>
    <x v="59"/>
    <x v="1"/>
    <x v="1"/>
    <x v="3"/>
    <x v="0"/>
    <x v="6"/>
    <x v="7"/>
    <x v="3"/>
    <n v="70.93"/>
  </r>
  <r>
    <d v="2024-06-18T00:00:00"/>
    <x v="0"/>
    <x v="5"/>
    <x v="0"/>
    <x v="56"/>
    <x v="7"/>
    <x v="7"/>
    <x v="86"/>
    <x v="0"/>
    <x v="12"/>
    <x v="8"/>
    <x v="5"/>
    <n v="83.86"/>
  </r>
  <r>
    <d v="2024-06-18T00:00:00"/>
    <x v="0"/>
    <x v="5"/>
    <x v="0"/>
    <x v="52"/>
    <x v="1"/>
    <x v="1"/>
    <x v="11"/>
    <x v="0"/>
    <x v="10"/>
    <x v="5"/>
    <x v="8"/>
    <n v="168.74"/>
  </r>
  <r>
    <d v="2024-06-18T00:00:00"/>
    <x v="0"/>
    <x v="5"/>
    <x v="0"/>
    <x v="57"/>
    <x v="4"/>
    <x v="4"/>
    <x v="74"/>
    <x v="0"/>
    <x v="15"/>
    <x v="4"/>
    <x v="7"/>
    <n v="195.16"/>
  </r>
  <r>
    <d v="2024-06-18T00:00:00"/>
    <x v="0"/>
    <x v="5"/>
    <x v="1"/>
    <x v="65"/>
    <x v="1"/>
    <x v="1"/>
    <x v="7"/>
    <x v="0"/>
    <x v="10"/>
    <x v="3"/>
    <x v="1"/>
    <n v="239.84"/>
  </r>
  <r>
    <d v="2024-06-18T00:00:00"/>
    <x v="0"/>
    <x v="5"/>
    <x v="0"/>
    <x v="70"/>
    <x v="6"/>
    <x v="6"/>
    <x v="33"/>
    <x v="0"/>
    <x v="14"/>
    <x v="2"/>
    <x v="2"/>
    <n v="250.81"/>
  </r>
  <r>
    <d v="2024-06-18T00:00:00"/>
    <x v="0"/>
    <x v="5"/>
    <x v="0"/>
    <x v="14"/>
    <x v="6"/>
    <x v="6"/>
    <x v="45"/>
    <x v="0"/>
    <x v="7"/>
    <x v="3"/>
    <x v="1"/>
    <n v="843.84"/>
  </r>
  <r>
    <d v="2024-06-18T00:00:00"/>
    <x v="0"/>
    <x v="5"/>
    <x v="0"/>
    <x v="89"/>
    <x v="1"/>
    <x v="1"/>
    <x v="18"/>
    <x v="0"/>
    <x v="5"/>
    <x v="4"/>
    <x v="7"/>
    <n v="1135.76"/>
  </r>
  <r>
    <d v="2024-06-19T00:00:00"/>
    <x v="0"/>
    <x v="5"/>
    <x v="0"/>
    <x v="9"/>
    <x v="7"/>
    <x v="7"/>
    <x v="82"/>
    <x v="0"/>
    <x v="20"/>
    <x v="1"/>
    <x v="0"/>
    <n v="52.94"/>
  </r>
  <r>
    <d v="2024-06-19T00:00:00"/>
    <x v="0"/>
    <x v="5"/>
    <x v="1"/>
    <x v="29"/>
    <x v="6"/>
    <x v="6"/>
    <x v="35"/>
    <x v="0"/>
    <x v="14"/>
    <x v="3"/>
    <x v="1"/>
    <n v="55.93"/>
  </r>
  <r>
    <d v="2024-06-19T00:00:00"/>
    <x v="0"/>
    <x v="5"/>
    <x v="1"/>
    <x v="21"/>
    <x v="3"/>
    <x v="3"/>
    <x v="60"/>
    <x v="0"/>
    <x v="17"/>
    <x v="6"/>
    <x v="4"/>
    <n v="4884.71"/>
  </r>
  <r>
    <d v="2024-06-20T00:00:00"/>
    <x v="0"/>
    <x v="5"/>
    <x v="1"/>
    <x v="59"/>
    <x v="1"/>
    <x v="1"/>
    <x v="3"/>
    <x v="0"/>
    <x v="6"/>
    <x v="7"/>
    <x v="3"/>
    <n v="1.89"/>
  </r>
  <r>
    <d v="2024-06-20T00:00:00"/>
    <x v="0"/>
    <x v="5"/>
    <x v="0"/>
    <x v="63"/>
    <x v="4"/>
    <x v="4"/>
    <x v="78"/>
    <x v="0"/>
    <x v="0"/>
    <x v="3"/>
    <x v="1"/>
    <n v="17.46"/>
  </r>
  <r>
    <d v="2024-06-20T00:00:00"/>
    <x v="0"/>
    <x v="5"/>
    <x v="1"/>
    <x v="26"/>
    <x v="7"/>
    <x v="7"/>
    <x v="81"/>
    <x v="0"/>
    <x v="20"/>
    <x v="8"/>
    <x v="5"/>
    <n v="61.91"/>
  </r>
  <r>
    <d v="2024-06-20T00:00:00"/>
    <x v="0"/>
    <x v="5"/>
    <x v="0"/>
    <x v="84"/>
    <x v="3"/>
    <x v="3"/>
    <x v="53"/>
    <x v="0"/>
    <x v="19"/>
    <x v="1"/>
    <x v="0"/>
    <n v="65.49"/>
  </r>
  <r>
    <d v="2024-06-20T00:00:00"/>
    <x v="0"/>
    <x v="5"/>
    <x v="0"/>
    <x v="57"/>
    <x v="4"/>
    <x v="4"/>
    <x v="74"/>
    <x v="0"/>
    <x v="15"/>
    <x v="6"/>
    <x v="4"/>
    <n v="91.01"/>
  </r>
  <r>
    <d v="2024-06-20T00:00:00"/>
    <x v="0"/>
    <x v="5"/>
    <x v="1"/>
    <x v="83"/>
    <x v="3"/>
    <x v="3"/>
    <x v="56"/>
    <x v="0"/>
    <x v="16"/>
    <x v="0"/>
    <x v="9"/>
    <n v="303.4"/>
  </r>
  <r>
    <d v="2024-06-20T00:00:00"/>
    <x v="0"/>
    <x v="5"/>
    <x v="1"/>
    <x v="24"/>
    <x v="6"/>
    <x v="6"/>
    <x v="36"/>
    <x v="0"/>
    <x v="14"/>
    <x v="1"/>
    <x v="0"/>
    <n v="541.25"/>
  </r>
  <r>
    <d v="2024-06-20T00:00:00"/>
    <x v="0"/>
    <x v="5"/>
    <x v="0"/>
    <x v="79"/>
    <x v="1"/>
    <x v="1"/>
    <x v="8"/>
    <x v="0"/>
    <x v="10"/>
    <x v="3"/>
    <x v="1"/>
    <n v="1253.29"/>
  </r>
  <r>
    <d v="2024-06-20T00:00:00"/>
    <x v="0"/>
    <x v="5"/>
    <x v="1"/>
    <x v="10"/>
    <x v="6"/>
    <x v="6"/>
    <x v="41"/>
    <x v="0"/>
    <x v="7"/>
    <x v="6"/>
    <x v="4"/>
    <n v="9965.91"/>
  </r>
  <r>
    <d v="2024-06-21T00:00:00"/>
    <x v="0"/>
    <x v="5"/>
    <x v="1"/>
    <x v="58"/>
    <x v="3"/>
    <x v="3"/>
    <x v="61"/>
    <x v="0"/>
    <x v="17"/>
    <x v="1"/>
    <x v="0"/>
    <n v="10.25"/>
  </r>
  <r>
    <d v="2024-06-21T00:00:00"/>
    <x v="0"/>
    <x v="5"/>
    <x v="1"/>
    <x v="1"/>
    <x v="7"/>
    <x v="7"/>
    <x v="89"/>
    <x v="0"/>
    <x v="12"/>
    <x v="1"/>
    <x v="0"/>
    <n v="277.35"/>
  </r>
  <r>
    <d v="2024-06-21T00:00:00"/>
    <x v="0"/>
    <x v="5"/>
    <x v="1"/>
    <x v="10"/>
    <x v="6"/>
    <x v="6"/>
    <x v="41"/>
    <x v="0"/>
    <x v="7"/>
    <x v="0"/>
    <x v="9"/>
    <n v="359.22"/>
  </r>
  <r>
    <d v="2024-06-21T00:00:00"/>
    <x v="0"/>
    <x v="5"/>
    <x v="1"/>
    <x v="68"/>
    <x v="3"/>
    <x v="3"/>
    <x v="59"/>
    <x v="0"/>
    <x v="16"/>
    <x v="6"/>
    <x v="4"/>
    <n v="5032.38"/>
  </r>
  <r>
    <d v="2024-06-22T00:00:00"/>
    <x v="0"/>
    <x v="5"/>
    <x v="0"/>
    <x v="25"/>
    <x v="1"/>
    <x v="1"/>
    <x v="6"/>
    <x v="0"/>
    <x v="6"/>
    <x v="4"/>
    <x v="7"/>
    <n v="14.99"/>
  </r>
  <r>
    <d v="2024-06-22T00:00:00"/>
    <x v="0"/>
    <x v="5"/>
    <x v="1"/>
    <x v="78"/>
    <x v="5"/>
    <x v="5"/>
    <x v="94"/>
    <x v="0"/>
    <x v="18"/>
    <x v="6"/>
    <x v="4"/>
    <n v="25.95"/>
  </r>
  <r>
    <d v="2024-06-22T00:00:00"/>
    <x v="0"/>
    <x v="5"/>
    <x v="1"/>
    <x v="30"/>
    <x v="6"/>
    <x v="6"/>
    <x v="37"/>
    <x v="0"/>
    <x v="14"/>
    <x v="7"/>
    <x v="3"/>
    <n v="171.55"/>
  </r>
  <r>
    <d v="2024-06-22T00:00:00"/>
    <x v="0"/>
    <x v="5"/>
    <x v="1"/>
    <x v="58"/>
    <x v="3"/>
    <x v="3"/>
    <x v="61"/>
    <x v="0"/>
    <x v="17"/>
    <x v="2"/>
    <x v="2"/>
    <n v="280.56"/>
  </r>
  <r>
    <d v="2024-06-22T00:00:00"/>
    <x v="0"/>
    <x v="5"/>
    <x v="0"/>
    <x v="1"/>
    <x v="7"/>
    <x v="7"/>
    <x v="89"/>
    <x v="0"/>
    <x v="12"/>
    <x v="0"/>
    <x v="9"/>
    <n v="932.92"/>
  </r>
  <r>
    <d v="2024-06-22T00:00:00"/>
    <x v="0"/>
    <x v="5"/>
    <x v="1"/>
    <x v="59"/>
    <x v="1"/>
    <x v="1"/>
    <x v="3"/>
    <x v="0"/>
    <x v="6"/>
    <x v="8"/>
    <x v="5"/>
    <n v="1133.63"/>
  </r>
  <r>
    <d v="2024-06-23T00:00:00"/>
    <x v="0"/>
    <x v="5"/>
    <x v="1"/>
    <x v="84"/>
    <x v="3"/>
    <x v="3"/>
    <x v="53"/>
    <x v="0"/>
    <x v="19"/>
    <x v="6"/>
    <x v="4"/>
    <n v="17.49"/>
  </r>
  <r>
    <d v="2024-06-23T00:00:00"/>
    <x v="0"/>
    <x v="5"/>
    <x v="1"/>
    <x v="79"/>
    <x v="1"/>
    <x v="1"/>
    <x v="8"/>
    <x v="0"/>
    <x v="10"/>
    <x v="9"/>
    <x v="6"/>
    <n v="71.5"/>
  </r>
  <r>
    <d v="2024-06-23T00:00:00"/>
    <x v="0"/>
    <x v="5"/>
    <x v="1"/>
    <x v="81"/>
    <x v="4"/>
    <x v="4"/>
    <x v="77"/>
    <x v="0"/>
    <x v="15"/>
    <x v="4"/>
    <x v="7"/>
    <n v="483.34"/>
  </r>
  <r>
    <d v="2024-06-23T00:00:00"/>
    <x v="0"/>
    <x v="5"/>
    <x v="1"/>
    <x v="5"/>
    <x v="1"/>
    <x v="1"/>
    <x v="14"/>
    <x v="0"/>
    <x v="4"/>
    <x v="6"/>
    <x v="4"/>
    <n v="767.45"/>
  </r>
  <r>
    <d v="2024-06-23T00:00:00"/>
    <x v="0"/>
    <x v="5"/>
    <x v="0"/>
    <x v="39"/>
    <x v="7"/>
    <x v="7"/>
    <x v="91"/>
    <x v="0"/>
    <x v="9"/>
    <x v="5"/>
    <x v="8"/>
    <n v="787.08"/>
  </r>
  <r>
    <d v="2024-06-23T00:00:00"/>
    <x v="0"/>
    <x v="5"/>
    <x v="1"/>
    <x v="47"/>
    <x v="3"/>
    <x v="3"/>
    <x v="54"/>
    <x v="0"/>
    <x v="19"/>
    <x v="5"/>
    <x v="8"/>
    <n v="4044.69"/>
  </r>
  <r>
    <d v="2024-06-23T00:00:00"/>
    <x v="0"/>
    <x v="5"/>
    <x v="0"/>
    <x v="1"/>
    <x v="7"/>
    <x v="7"/>
    <x v="89"/>
    <x v="0"/>
    <x v="12"/>
    <x v="9"/>
    <x v="6"/>
    <n v="6080.34"/>
  </r>
  <r>
    <d v="2024-06-24T00:00:00"/>
    <x v="0"/>
    <x v="5"/>
    <x v="1"/>
    <x v="59"/>
    <x v="1"/>
    <x v="1"/>
    <x v="3"/>
    <x v="0"/>
    <x v="6"/>
    <x v="1"/>
    <x v="0"/>
    <n v="16.02"/>
  </r>
  <r>
    <d v="2024-06-24T00:00:00"/>
    <x v="0"/>
    <x v="5"/>
    <x v="1"/>
    <x v="5"/>
    <x v="1"/>
    <x v="1"/>
    <x v="14"/>
    <x v="0"/>
    <x v="4"/>
    <x v="1"/>
    <x v="0"/>
    <n v="130.26"/>
  </r>
  <r>
    <d v="2024-06-24T00:00:00"/>
    <x v="0"/>
    <x v="5"/>
    <x v="1"/>
    <x v="10"/>
    <x v="6"/>
    <x v="6"/>
    <x v="41"/>
    <x v="0"/>
    <x v="7"/>
    <x v="2"/>
    <x v="2"/>
    <n v="272.21"/>
  </r>
  <r>
    <d v="2024-06-24T00:00:00"/>
    <x v="0"/>
    <x v="5"/>
    <x v="1"/>
    <x v="65"/>
    <x v="1"/>
    <x v="1"/>
    <x v="7"/>
    <x v="0"/>
    <x v="10"/>
    <x v="0"/>
    <x v="9"/>
    <n v="303.46"/>
  </r>
  <r>
    <d v="2024-06-24T00:00:00"/>
    <x v="0"/>
    <x v="5"/>
    <x v="1"/>
    <x v="57"/>
    <x v="4"/>
    <x v="4"/>
    <x v="74"/>
    <x v="0"/>
    <x v="15"/>
    <x v="3"/>
    <x v="1"/>
    <n v="552.01"/>
  </r>
  <r>
    <d v="2024-06-24T00:00:00"/>
    <x v="0"/>
    <x v="5"/>
    <x v="1"/>
    <x v="32"/>
    <x v="1"/>
    <x v="1"/>
    <x v="28"/>
    <x v="0"/>
    <x v="8"/>
    <x v="5"/>
    <x v="8"/>
    <n v="640.53"/>
  </r>
  <r>
    <d v="2024-06-24T00:00:00"/>
    <x v="0"/>
    <x v="5"/>
    <x v="1"/>
    <x v="39"/>
    <x v="7"/>
    <x v="7"/>
    <x v="91"/>
    <x v="0"/>
    <x v="9"/>
    <x v="7"/>
    <x v="3"/>
    <n v="1859.42"/>
  </r>
  <r>
    <d v="2024-06-25T00:00:00"/>
    <x v="0"/>
    <x v="5"/>
    <x v="1"/>
    <x v="55"/>
    <x v="3"/>
    <x v="3"/>
    <x v="68"/>
    <x v="0"/>
    <x v="1"/>
    <x v="1"/>
    <x v="0"/>
    <n v="2.0"/>
  </r>
  <r>
    <d v="2024-06-25T00:00:00"/>
    <x v="0"/>
    <x v="5"/>
    <x v="1"/>
    <x v="22"/>
    <x v="1"/>
    <x v="1"/>
    <x v="20"/>
    <x v="0"/>
    <x v="5"/>
    <x v="2"/>
    <x v="2"/>
    <n v="5.0"/>
  </r>
  <r>
    <d v="2024-06-25T00:00:00"/>
    <x v="0"/>
    <x v="5"/>
    <x v="0"/>
    <x v="55"/>
    <x v="3"/>
    <x v="3"/>
    <x v="68"/>
    <x v="0"/>
    <x v="1"/>
    <x v="8"/>
    <x v="5"/>
    <n v="57.88"/>
  </r>
  <r>
    <d v="2024-06-25T00:00:00"/>
    <x v="0"/>
    <x v="5"/>
    <x v="1"/>
    <x v="25"/>
    <x v="1"/>
    <x v="1"/>
    <x v="6"/>
    <x v="0"/>
    <x v="6"/>
    <x v="6"/>
    <x v="4"/>
    <n v="99.8"/>
  </r>
  <r>
    <d v="2024-06-25T00:00:00"/>
    <x v="0"/>
    <x v="5"/>
    <x v="1"/>
    <x v="15"/>
    <x v="4"/>
    <x v="4"/>
    <x v="79"/>
    <x v="0"/>
    <x v="0"/>
    <x v="8"/>
    <x v="5"/>
    <n v="164.82"/>
  </r>
  <r>
    <d v="2024-06-25T00:00:00"/>
    <x v="0"/>
    <x v="5"/>
    <x v="1"/>
    <x v="87"/>
    <x v="3"/>
    <x v="3"/>
    <x v="52"/>
    <x v="0"/>
    <x v="19"/>
    <x v="6"/>
    <x v="4"/>
    <n v="2096.44"/>
  </r>
  <r>
    <d v="2024-06-26T00:00:00"/>
    <x v="0"/>
    <x v="5"/>
    <x v="1"/>
    <x v="29"/>
    <x v="6"/>
    <x v="6"/>
    <x v="35"/>
    <x v="0"/>
    <x v="14"/>
    <x v="0"/>
    <x v="9"/>
    <n v="53.9"/>
  </r>
  <r>
    <d v="2024-06-26T00:00:00"/>
    <x v="0"/>
    <x v="5"/>
    <x v="1"/>
    <x v="81"/>
    <x v="4"/>
    <x v="4"/>
    <x v="77"/>
    <x v="0"/>
    <x v="15"/>
    <x v="2"/>
    <x v="2"/>
    <n v="64.95"/>
  </r>
  <r>
    <d v="2024-06-26T00:00:00"/>
    <x v="0"/>
    <x v="5"/>
    <x v="0"/>
    <x v="32"/>
    <x v="1"/>
    <x v="1"/>
    <x v="28"/>
    <x v="0"/>
    <x v="8"/>
    <x v="3"/>
    <x v="1"/>
    <n v="157.98"/>
  </r>
  <r>
    <d v="2024-06-26T00:00:00"/>
    <x v="0"/>
    <x v="5"/>
    <x v="0"/>
    <x v="29"/>
    <x v="6"/>
    <x v="6"/>
    <x v="35"/>
    <x v="0"/>
    <x v="14"/>
    <x v="2"/>
    <x v="2"/>
    <n v="581.9"/>
  </r>
  <r>
    <d v="2024-06-26T00:00:00"/>
    <x v="0"/>
    <x v="5"/>
    <x v="1"/>
    <x v="79"/>
    <x v="1"/>
    <x v="1"/>
    <x v="8"/>
    <x v="0"/>
    <x v="10"/>
    <x v="8"/>
    <x v="5"/>
    <n v="604.28"/>
  </r>
  <r>
    <d v="2024-06-26T00:00:00"/>
    <x v="0"/>
    <x v="5"/>
    <x v="1"/>
    <x v="6"/>
    <x v="1"/>
    <x v="1"/>
    <x v="5"/>
    <x v="0"/>
    <x v="6"/>
    <x v="6"/>
    <x v="4"/>
    <n v="631.07"/>
  </r>
  <r>
    <d v="2024-06-26T00:00:00"/>
    <x v="0"/>
    <x v="5"/>
    <x v="1"/>
    <x v="38"/>
    <x v="0"/>
    <x v="0"/>
    <x v="21"/>
    <x v="0"/>
    <x v="5"/>
    <x v="2"/>
    <x v="2"/>
    <n v="1150.03"/>
  </r>
  <r>
    <d v="2024-06-26T00:00:00"/>
    <x v="0"/>
    <x v="5"/>
    <x v="1"/>
    <x v="21"/>
    <x v="3"/>
    <x v="3"/>
    <x v="60"/>
    <x v="0"/>
    <x v="17"/>
    <x v="3"/>
    <x v="1"/>
    <n v="1331.67"/>
  </r>
  <r>
    <d v="2024-06-26T00:00:00"/>
    <x v="0"/>
    <x v="5"/>
    <x v="1"/>
    <x v="66"/>
    <x v="4"/>
    <x v="4"/>
    <x v="76"/>
    <x v="0"/>
    <x v="15"/>
    <x v="2"/>
    <x v="2"/>
    <n v="1647.64"/>
  </r>
  <r>
    <d v="2024-06-26T00:00:00"/>
    <x v="0"/>
    <x v="5"/>
    <x v="1"/>
    <x v="47"/>
    <x v="3"/>
    <x v="3"/>
    <x v="54"/>
    <x v="0"/>
    <x v="19"/>
    <x v="2"/>
    <x v="2"/>
    <n v="5338.48"/>
  </r>
  <r>
    <d v="2024-06-27T00:00:00"/>
    <x v="0"/>
    <x v="5"/>
    <x v="1"/>
    <x v="44"/>
    <x v="6"/>
    <x v="6"/>
    <x v="49"/>
    <x v="0"/>
    <x v="13"/>
    <x v="1"/>
    <x v="0"/>
    <n v="7.29"/>
  </r>
  <r>
    <d v="2024-06-27T00:00:00"/>
    <x v="0"/>
    <x v="5"/>
    <x v="1"/>
    <x v="77"/>
    <x v="3"/>
    <x v="3"/>
    <x v="66"/>
    <x v="0"/>
    <x v="1"/>
    <x v="6"/>
    <x v="4"/>
    <n v="10.98"/>
  </r>
  <r>
    <d v="2024-06-27T00:00:00"/>
    <x v="0"/>
    <x v="5"/>
    <x v="1"/>
    <x v="10"/>
    <x v="6"/>
    <x v="6"/>
    <x v="41"/>
    <x v="0"/>
    <x v="7"/>
    <x v="1"/>
    <x v="0"/>
    <n v="463.14"/>
  </r>
  <r>
    <d v="2024-06-27T00:00:00"/>
    <x v="0"/>
    <x v="5"/>
    <x v="1"/>
    <x v="68"/>
    <x v="3"/>
    <x v="3"/>
    <x v="59"/>
    <x v="0"/>
    <x v="16"/>
    <x v="0"/>
    <x v="9"/>
    <n v="627.13"/>
  </r>
  <r>
    <d v="2024-06-27T00:00:00"/>
    <x v="0"/>
    <x v="5"/>
    <x v="1"/>
    <x v="17"/>
    <x v="3"/>
    <x v="3"/>
    <x v="57"/>
    <x v="0"/>
    <x v="16"/>
    <x v="2"/>
    <x v="2"/>
    <n v="1006.65"/>
  </r>
  <r>
    <d v="2024-06-27T00:00:00"/>
    <x v="0"/>
    <x v="5"/>
    <x v="1"/>
    <x v="34"/>
    <x v="6"/>
    <x v="6"/>
    <x v="32"/>
    <x v="0"/>
    <x v="2"/>
    <x v="4"/>
    <x v="7"/>
    <n v="1438.75"/>
  </r>
  <r>
    <d v="2024-06-27T00:00:00"/>
    <x v="0"/>
    <x v="5"/>
    <x v="1"/>
    <x v="47"/>
    <x v="3"/>
    <x v="3"/>
    <x v="54"/>
    <x v="0"/>
    <x v="19"/>
    <x v="5"/>
    <x v="8"/>
    <n v="1803.82"/>
  </r>
  <r>
    <d v="2024-06-28T00:00:00"/>
    <x v="0"/>
    <x v="5"/>
    <x v="1"/>
    <x v="7"/>
    <x v="1"/>
    <x v="1"/>
    <x v="10"/>
    <x v="0"/>
    <x v="10"/>
    <x v="2"/>
    <x v="2"/>
    <n v="13.01"/>
  </r>
  <r>
    <d v="2024-06-28T00:00:00"/>
    <x v="0"/>
    <x v="5"/>
    <x v="0"/>
    <x v="16"/>
    <x v="7"/>
    <x v="7"/>
    <x v="92"/>
    <x v="0"/>
    <x v="9"/>
    <x v="9"/>
    <x v="6"/>
    <n v="66.0"/>
  </r>
  <r>
    <d v="2024-06-28T00:00:00"/>
    <x v="0"/>
    <x v="5"/>
    <x v="1"/>
    <x v="28"/>
    <x v="6"/>
    <x v="6"/>
    <x v="51"/>
    <x v="0"/>
    <x v="13"/>
    <x v="8"/>
    <x v="5"/>
    <n v="82.7"/>
  </r>
  <r>
    <d v="2024-06-28T00:00:00"/>
    <x v="0"/>
    <x v="5"/>
    <x v="1"/>
    <x v="87"/>
    <x v="3"/>
    <x v="3"/>
    <x v="52"/>
    <x v="0"/>
    <x v="19"/>
    <x v="1"/>
    <x v="0"/>
    <n v="105.4"/>
  </r>
  <r>
    <d v="2024-06-28T00:00:00"/>
    <x v="0"/>
    <x v="5"/>
    <x v="1"/>
    <x v="30"/>
    <x v="6"/>
    <x v="6"/>
    <x v="37"/>
    <x v="0"/>
    <x v="14"/>
    <x v="9"/>
    <x v="6"/>
    <n v="117.41"/>
  </r>
  <r>
    <d v="2024-06-28T00:00:00"/>
    <x v="0"/>
    <x v="5"/>
    <x v="0"/>
    <x v="34"/>
    <x v="6"/>
    <x v="6"/>
    <x v="32"/>
    <x v="0"/>
    <x v="2"/>
    <x v="0"/>
    <x v="9"/>
    <n v="232.06"/>
  </r>
  <r>
    <d v="2024-06-28T00:00:00"/>
    <x v="0"/>
    <x v="5"/>
    <x v="1"/>
    <x v="48"/>
    <x v="7"/>
    <x v="7"/>
    <x v="85"/>
    <x v="0"/>
    <x v="20"/>
    <x v="9"/>
    <x v="6"/>
    <n v="1267.27"/>
  </r>
  <r>
    <d v="2024-06-28T00:00:00"/>
    <x v="0"/>
    <x v="5"/>
    <x v="1"/>
    <x v="59"/>
    <x v="1"/>
    <x v="1"/>
    <x v="3"/>
    <x v="0"/>
    <x v="6"/>
    <x v="2"/>
    <x v="2"/>
    <n v="2570.69"/>
  </r>
  <r>
    <d v="2024-06-29T00:00:00"/>
    <x v="0"/>
    <x v="5"/>
    <x v="1"/>
    <x v="28"/>
    <x v="6"/>
    <x v="6"/>
    <x v="51"/>
    <x v="0"/>
    <x v="13"/>
    <x v="0"/>
    <x v="9"/>
    <n v="7.99"/>
  </r>
  <r>
    <d v="2024-06-29T00:00:00"/>
    <x v="0"/>
    <x v="5"/>
    <x v="1"/>
    <x v="58"/>
    <x v="3"/>
    <x v="3"/>
    <x v="61"/>
    <x v="0"/>
    <x v="17"/>
    <x v="1"/>
    <x v="0"/>
    <n v="31.96"/>
  </r>
  <r>
    <d v="2024-06-29T00:00:00"/>
    <x v="0"/>
    <x v="5"/>
    <x v="1"/>
    <x v="1"/>
    <x v="7"/>
    <x v="7"/>
    <x v="89"/>
    <x v="0"/>
    <x v="12"/>
    <x v="6"/>
    <x v="4"/>
    <n v="34.93"/>
  </r>
  <r>
    <d v="2024-06-29T00:00:00"/>
    <x v="0"/>
    <x v="5"/>
    <x v="1"/>
    <x v="94"/>
    <x v="6"/>
    <x v="6"/>
    <x v="48"/>
    <x v="0"/>
    <x v="13"/>
    <x v="0"/>
    <x v="9"/>
    <n v="53.82"/>
  </r>
  <r>
    <d v="2024-06-29T00:00:00"/>
    <x v="0"/>
    <x v="5"/>
    <x v="0"/>
    <x v="81"/>
    <x v="4"/>
    <x v="4"/>
    <x v="77"/>
    <x v="0"/>
    <x v="15"/>
    <x v="9"/>
    <x v="6"/>
    <n v="148.89"/>
  </r>
  <r>
    <d v="2024-06-29T00:00:00"/>
    <x v="0"/>
    <x v="5"/>
    <x v="1"/>
    <x v="13"/>
    <x v="0"/>
    <x v="0"/>
    <x v="22"/>
    <x v="0"/>
    <x v="5"/>
    <x v="2"/>
    <x v="2"/>
    <n v="503.57"/>
  </r>
  <r>
    <d v="2024-06-29T00:00:00"/>
    <x v="0"/>
    <x v="5"/>
    <x v="1"/>
    <x v="91"/>
    <x v="1"/>
    <x v="1"/>
    <x v="23"/>
    <x v="0"/>
    <x v="8"/>
    <x v="0"/>
    <x v="9"/>
    <n v="563.33"/>
  </r>
  <r>
    <d v="2024-06-29T00:00:00"/>
    <x v="0"/>
    <x v="5"/>
    <x v="1"/>
    <x v="19"/>
    <x v="7"/>
    <x v="7"/>
    <x v="88"/>
    <x v="0"/>
    <x v="12"/>
    <x v="1"/>
    <x v="0"/>
    <n v="1441.91"/>
  </r>
  <r>
    <d v="2024-06-29T00:00:00"/>
    <x v="0"/>
    <x v="5"/>
    <x v="1"/>
    <x v="53"/>
    <x v="1"/>
    <x v="1"/>
    <x v="16"/>
    <x v="0"/>
    <x v="4"/>
    <x v="2"/>
    <x v="2"/>
    <n v="4396.46"/>
  </r>
  <r>
    <d v="2024-06-30T00:00:00"/>
    <x v="0"/>
    <x v="5"/>
    <x v="1"/>
    <x v="36"/>
    <x v="7"/>
    <x v="7"/>
    <x v="90"/>
    <x v="0"/>
    <x v="9"/>
    <x v="2"/>
    <x v="2"/>
    <n v="61.13"/>
  </r>
  <r>
    <d v="2024-06-30T00:00:00"/>
    <x v="0"/>
    <x v="5"/>
    <x v="1"/>
    <x v="13"/>
    <x v="0"/>
    <x v="0"/>
    <x v="22"/>
    <x v="0"/>
    <x v="5"/>
    <x v="3"/>
    <x v="1"/>
    <n v="93.81"/>
  </r>
  <r>
    <d v="2024-06-30T00:00:00"/>
    <x v="0"/>
    <x v="5"/>
    <x v="0"/>
    <x v="36"/>
    <x v="7"/>
    <x v="7"/>
    <x v="90"/>
    <x v="0"/>
    <x v="9"/>
    <x v="1"/>
    <x v="0"/>
    <n v="362.64"/>
  </r>
  <r>
    <d v="2024-06-30T00:00:00"/>
    <x v="0"/>
    <x v="5"/>
    <x v="1"/>
    <x v="84"/>
    <x v="3"/>
    <x v="3"/>
    <x v="53"/>
    <x v="0"/>
    <x v="19"/>
    <x v="8"/>
    <x v="5"/>
    <n v="495.85"/>
  </r>
  <r>
    <d v="2024-06-30T00:00:00"/>
    <x v="0"/>
    <x v="5"/>
    <x v="1"/>
    <x v="8"/>
    <x v="3"/>
    <x v="3"/>
    <x v="72"/>
    <x v="0"/>
    <x v="3"/>
    <x v="9"/>
    <x v="6"/>
    <n v="893.95"/>
  </r>
  <r>
    <d v="2024-06-30T00:00:00"/>
    <x v="0"/>
    <x v="5"/>
    <x v="0"/>
    <x v="6"/>
    <x v="1"/>
    <x v="1"/>
    <x v="5"/>
    <x v="0"/>
    <x v="6"/>
    <x v="6"/>
    <x v="4"/>
    <n v="918.24"/>
  </r>
  <r>
    <d v="2024-06-30T00:00:00"/>
    <x v="0"/>
    <x v="5"/>
    <x v="1"/>
    <x v="42"/>
    <x v="3"/>
    <x v="3"/>
    <x v="63"/>
    <x v="0"/>
    <x v="17"/>
    <x v="2"/>
    <x v="2"/>
    <n v="1037.03"/>
  </r>
  <r>
    <d v="2024-06-30T00:00:00"/>
    <x v="0"/>
    <x v="5"/>
    <x v="1"/>
    <x v="21"/>
    <x v="3"/>
    <x v="3"/>
    <x v="60"/>
    <x v="0"/>
    <x v="17"/>
    <x v="3"/>
    <x v="1"/>
    <n v="3745.48"/>
  </r>
  <r>
    <d v="2024-06-30T00:00:00"/>
    <x v="0"/>
    <x v="5"/>
    <x v="0"/>
    <x v="1"/>
    <x v="7"/>
    <x v="7"/>
    <x v="89"/>
    <x v="0"/>
    <x v="12"/>
    <x v="6"/>
    <x v="4"/>
    <n v="5499.11"/>
  </r>
  <r>
    <d v="2024-07-01T00:00:00"/>
    <x v="1"/>
    <x v="6"/>
    <x v="1"/>
    <x v="27"/>
    <x v="6"/>
    <x v="6"/>
    <x v="31"/>
    <x v="0"/>
    <x v="2"/>
    <x v="9"/>
    <x v="6"/>
    <n v="5.99"/>
  </r>
  <r>
    <d v="2024-07-01T00:00:00"/>
    <x v="1"/>
    <x v="6"/>
    <x v="1"/>
    <x v="52"/>
    <x v="1"/>
    <x v="1"/>
    <x v="11"/>
    <x v="0"/>
    <x v="10"/>
    <x v="8"/>
    <x v="5"/>
    <n v="35.91"/>
  </r>
  <r>
    <d v="2024-07-01T00:00:00"/>
    <x v="1"/>
    <x v="6"/>
    <x v="1"/>
    <x v="95"/>
    <x v="4"/>
    <x v="4"/>
    <x v="73"/>
    <x v="0"/>
    <x v="15"/>
    <x v="2"/>
    <x v="2"/>
    <n v="51.96"/>
  </r>
  <r>
    <d v="2024-07-01T00:00:00"/>
    <x v="1"/>
    <x v="6"/>
    <x v="1"/>
    <x v="33"/>
    <x v="1"/>
    <x v="1"/>
    <x v="13"/>
    <x v="0"/>
    <x v="10"/>
    <x v="0"/>
    <x v="9"/>
    <n v="81.86"/>
  </r>
  <r>
    <d v="2024-07-01T00:00:00"/>
    <x v="1"/>
    <x v="6"/>
    <x v="0"/>
    <x v="54"/>
    <x v="1"/>
    <x v="1"/>
    <x v="25"/>
    <x v="0"/>
    <x v="8"/>
    <x v="1"/>
    <x v="0"/>
    <n v="146.93"/>
  </r>
  <r>
    <d v="2024-07-01T00:00:00"/>
    <x v="1"/>
    <x v="6"/>
    <x v="1"/>
    <x v="2"/>
    <x v="1"/>
    <x v="1"/>
    <x v="2"/>
    <x v="0"/>
    <x v="6"/>
    <x v="5"/>
    <x v="8"/>
    <n v="729.36"/>
  </r>
  <r>
    <d v="2024-07-01T00:00:00"/>
    <x v="1"/>
    <x v="6"/>
    <x v="0"/>
    <x v="8"/>
    <x v="3"/>
    <x v="3"/>
    <x v="72"/>
    <x v="0"/>
    <x v="3"/>
    <x v="3"/>
    <x v="1"/>
    <n v="2528.04"/>
  </r>
  <r>
    <d v="2024-07-01T00:00:00"/>
    <x v="1"/>
    <x v="6"/>
    <x v="1"/>
    <x v="83"/>
    <x v="3"/>
    <x v="3"/>
    <x v="56"/>
    <x v="0"/>
    <x v="16"/>
    <x v="5"/>
    <x v="8"/>
    <n v="2601.72"/>
  </r>
  <r>
    <d v="2024-07-02T00:00:00"/>
    <x v="1"/>
    <x v="6"/>
    <x v="1"/>
    <x v="92"/>
    <x v="6"/>
    <x v="6"/>
    <x v="40"/>
    <x v="0"/>
    <x v="7"/>
    <x v="1"/>
    <x v="0"/>
    <n v="117.44"/>
  </r>
  <r>
    <d v="2024-07-02T00:00:00"/>
    <x v="1"/>
    <x v="6"/>
    <x v="0"/>
    <x v="64"/>
    <x v="3"/>
    <x v="3"/>
    <x v="70"/>
    <x v="0"/>
    <x v="3"/>
    <x v="2"/>
    <x v="2"/>
    <n v="201.22"/>
  </r>
  <r>
    <d v="2024-07-02T00:00:00"/>
    <x v="1"/>
    <x v="6"/>
    <x v="1"/>
    <x v="91"/>
    <x v="1"/>
    <x v="1"/>
    <x v="23"/>
    <x v="0"/>
    <x v="8"/>
    <x v="3"/>
    <x v="1"/>
    <n v="359.04"/>
  </r>
  <r>
    <d v="2024-07-02T00:00:00"/>
    <x v="1"/>
    <x v="6"/>
    <x v="1"/>
    <x v="68"/>
    <x v="3"/>
    <x v="3"/>
    <x v="59"/>
    <x v="0"/>
    <x v="16"/>
    <x v="1"/>
    <x v="0"/>
    <n v="682.07"/>
  </r>
  <r>
    <d v="2024-07-03T00:00:00"/>
    <x v="1"/>
    <x v="6"/>
    <x v="1"/>
    <x v="9"/>
    <x v="7"/>
    <x v="7"/>
    <x v="82"/>
    <x v="0"/>
    <x v="20"/>
    <x v="2"/>
    <x v="2"/>
    <n v="1.0"/>
  </r>
  <r>
    <d v="2024-07-03T00:00:00"/>
    <x v="1"/>
    <x v="6"/>
    <x v="1"/>
    <x v="1"/>
    <x v="7"/>
    <x v="7"/>
    <x v="89"/>
    <x v="0"/>
    <x v="12"/>
    <x v="3"/>
    <x v="1"/>
    <n v="4.0"/>
  </r>
  <r>
    <d v="2024-07-03T00:00:00"/>
    <x v="1"/>
    <x v="6"/>
    <x v="0"/>
    <x v="41"/>
    <x v="5"/>
    <x v="5"/>
    <x v="93"/>
    <x v="0"/>
    <x v="18"/>
    <x v="1"/>
    <x v="0"/>
    <n v="151.86"/>
  </r>
  <r>
    <d v="2024-07-03T00:00:00"/>
    <x v="1"/>
    <x v="6"/>
    <x v="1"/>
    <x v="35"/>
    <x v="6"/>
    <x v="6"/>
    <x v="46"/>
    <x v="0"/>
    <x v="7"/>
    <x v="7"/>
    <x v="3"/>
    <n v="211.59"/>
  </r>
  <r>
    <d v="2024-07-03T00:00:00"/>
    <x v="1"/>
    <x v="6"/>
    <x v="1"/>
    <x v="16"/>
    <x v="7"/>
    <x v="7"/>
    <x v="92"/>
    <x v="0"/>
    <x v="9"/>
    <x v="3"/>
    <x v="1"/>
    <n v="588.0"/>
  </r>
  <r>
    <d v="2024-07-03T00:00:00"/>
    <x v="1"/>
    <x v="6"/>
    <x v="1"/>
    <x v="45"/>
    <x v="3"/>
    <x v="3"/>
    <x v="64"/>
    <x v="0"/>
    <x v="1"/>
    <x v="4"/>
    <x v="7"/>
    <n v="655.3"/>
  </r>
  <r>
    <d v="2024-07-04T00:00:00"/>
    <x v="1"/>
    <x v="6"/>
    <x v="1"/>
    <x v="42"/>
    <x v="3"/>
    <x v="3"/>
    <x v="63"/>
    <x v="0"/>
    <x v="17"/>
    <x v="4"/>
    <x v="7"/>
    <n v="35.91"/>
  </r>
  <r>
    <d v="2024-07-04T00:00:00"/>
    <x v="1"/>
    <x v="6"/>
    <x v="0"/>
    <x v="62"/>
    <x v="6"/>
    <x v="6"/>
    <x v="50"/>
    <x v="0"/>
    <x v="13"/>
    <x v="0"/>
    <x v="9"/>
    <n v="97.83"/>
  </r>
  <r>
    <d v="2024-07-04T00:00:00"/>
    <x v="1"/>
    <x v="6"/>
    <x v="0"/>
    <x v="54"/>
    <x v="1"/>
    <x v="1"/>
    <x v="25"/>
    <x v="0"/>
    <x v="8"/>
    <x v="9"/>
    <x v="6"/>
    <n v="131.9"/>
  </r>
  <r>
    <d v="2024-07-04T00:00:00"/>
    <x v="1"/>
    <x v="6"/>
    <x v="1"/>
    <x v="1"/>
    <x v="7"/>
    <x v="7"/>
    <x v="89"/>
    <x v="0"/>
    <x v="12"/>
    <x v="7"/>
    <x v="3"/>
    <n v="157.95"/>
  </r>
  <r>
    <d v="2024-07-04T00:00:00"/>
    <x v="1"/>
    <x v="6"/>
    <x v="1"/>
    <x v="37"/>
    <x v="6"/>
    <x v="6"/>
    <x v="39"/>
    <x v="0"/>
    <x v="14"/>
    <x v="5"/>
    <x v="8"/>
    <n v="165.05"/>
  </r>
  <r>
    <d v="2024-07-04T00:00:00"/>
    <x v="1"/>
    <x v="6"/>
    <x v="1"/>
    <x v="35"/>
    <x v="6"/>
    <x v="6"/>
    <x v="46"/>
    <x v="0"/>
    <x v="7"/>
    <x v="9"/>
    <x v="6"/>
    <n v="309.33"/>
  </r>
  <r>
    <d v="2024-07-04T00:00:00"/>
    <x v="1"/>
    <x v="6"/>
    <x v="1"/>
    <x v="38"/>
    <x v="0"/>
    <x v="0"/>
    <x v="21"/>
    <x v="0"/>
    <x v="5"/>
    <x v="3"/>
    <x v="1"/>
    <n v="345.15"/>
  </r>
  <r>
    <d v="2024-07-04T00:00:00"/>
    <x v="1"/>
    <x v="6"/>
    <x v="1"/>
    <x v="32"/>
    <x v="1"/>
    <x v="1"/>
    <x v="28"/>
    <x v="0"/>
    <x v="8"/>
    <x v="6"/>
    <x v="4"/>
    <n v="423.91"/>
  </r>
  <r>
    <d v="2024-07-05T00:00:00"/>
    <x v="1"/>
    <x v="6"/>
    <x v="0"/>
    <x v="73"/>
    <x v="4"/>
    <x v="4"/>
    <x v="80"/>
    <x v="0"/>
    <x v="0"/>
    <x v="4"/>
    <x v="7"/>
    <n v="7.98"/>
  </r>
  <r>
    <d v="2024-07-05T00:00:00"/>
    <x v="1"/>
    <x v="6"/>
    <x v="1"/>
    <x v="40"/>
    <x v="3"/>
    <x v="3"/>
    <x v="65"/>
    <x v="0"/>
    <x v="1"/>
    <x v="3"/>
    <x v="1"/>
    <n v="11.97"/>
  </r>
  <r>
    <d v="2024-07-05T00:00:00"/>
    <x v="1"/>
    <x v="6"/>
    <x v="1"/>
    <x v="73"/>
    <x v="4"/>
    <x v="4"/>
    <x v="80"/>
    <x v="0"/>
    <x v="0"/>
    <x v="5"/>
    <x v="8"/>
    <n v="226.42"/>
  </r>
  <r>
    <d v="2024-07-05T00:00:00"/>
    <x v="1"/>
    <x v="6"/>
    <x v="1"/>
    <x v="7"/>
    <x v="1"/>
    <x v="1"/>
    <x v="10"/>
    <x v="0"/>
    <x v="10"/>
    <x v="6"/>
    <x v="4"/>
    <n v="282.46"/>
  </r>
  <r>
    <d v="2024-07-05T00:00:00"/>
    <x v="1"/>
    <x v="6"/>
    <x v="1"/>
    <x v="30"/>
    <x v="6"/>
    <x v="6"/>
    <x v="37"/>
    <x v="0"/>
    <x v="14"/>
    <x v="1"/>
    <x v="0"/>
    <n v="842.62"/>
  </r>
  <r>
    <d v="2024-07-05T00:00:00"/>
    <x v="1"/>
    <x v="6"/>
    <x v="1"/>
    <x v="1"/>
    <x v="7"/>
    <x v="7"/>
    <x v="89"/>
    <x v="0"/>
    <x v="12"/>
    <x v="7"/>
    <x v="3"/>
    <n v="1298.88"/>
  </r>
  <r>
    <d v="2024-07-06T00:00:00"/>
    <x v="1"/>
    <x v="6"/>
    <x v="1"/>
    <x v="78"/>
    <x v="5"/>
    <x v="5"/>
    <x v="94"/>
    <x v="0"/>
    <x v="18"/>
    <x v="1"/>
    <x v="0"/>
    <n v="9.0"/>
  </r>
  <r>
    <d v="2024-07-06T00:00:00"/>
    <x v="1"/>
    <x v="6"/>
    <x v="1"/>
    <x v="83"/>
    <x v="3"/>
    <x v="3"/>
    <x v="56"/>
    <x v="0"/>
    <x v="16"/>
    <x v="2"/>
    <x v="2"/>
    <n v="31.16"/>
  </r>
  <r>
    <d v="2024-07-06T00:00:00"/>
    <x v="1"/>
    <x v="6"/>
    <x v="1"/>
    <x v="28"/>
    <x v="6"/>
    <x v="6"/>
    <x v="51"/>
    <x v="0"/>
    <x v="13"/>
    <x v="8"/>
    <x v="5"/>
    <n v="43.92"/>
  </r>
  <r>
    <d v="2024-07-06T00:00:00"/>
    <x v="1"/>
    <x v="6"/>
    <x v="1"/>
    <x v="42"/>
    <x v="3"/>
    <x v="3"/>
    <x v="63"/>
    <x v="0"/>
    <x v="17"/>
    <x v="0"/>
    <x v="9"/>
    <n v="55.86"/>
  </r>
  <r>
    <d v="2024-07-06T00:00:00"/>
    <x v="1"/>
    <x v="6"/>
    <x v="0"/>
    <x v="40"/>
    <x v="3"/>
    <x v="3"/>
    <x v="65"/>
    <x v="0"/>
    <x v="1"/>
    <x v="4"/>
    <x v="7"/>
    <n v="208.73"/>
  </r>
  <r>
    <d v="2024-07-06T00:00:00"/>
    <x v="1"/>
    <x v="6"/>
    <x v="1"/>
    <x v="37"/>
    <x v="6"/>
    <x v="6"/>
    <x v="39"/>
    <x v="0"/>
    <x v="14"/>
    <x v="4"/>
    <x v="7"/>
    <n v="770.34"/>
  </r>
  <r>
    <d v="2024-07-06T00:00:00"/>
    <x v="1"/>
    <x v="6"/>
    <x v="1"/>
    <x v="19"/>
    <x v="7"/>
    <x v="7"/>
    <x v="88"/>
    <x v="0"/>
    <x v="12"/>
    <x v="9"/>
    <x v="6"/>
    <n v="4576.26"/>
  </r>
  <r>
    <d v="2024-07-07T00:00:00"/>
    <x v="1"/>
    <x v="6"/>
    <x v="1"/>
    <x v="74"/>
    <x v="4"/>
    <x v="4"/>
    <x v="75"/>
    <x v="0"/>
    <x v="15"/>
    <x v="3"/>
    <x v="1"/>
    <n v="44.5"/>
  </r>
  <r>
    <d v="2024-07-07T00:00:00"/>
    <x v="1"/>
    <x v="6"/>
    <x v="0"/>
    <x v="90"/>
    <x v="3"/>
    <x v="3"/>
    <x v="55"/>
    <x v="0"/>
    <x v="19"/>
    <x v="1"/>
    <x v="0"/>
    <n v="60.78"/>
  </r>
  <r>
    <d v="2024-07-07T00:00:00"/>
    <x v="1"/>
    <x v="6"/>
    <x v="0"/>
    <x v="11"/>
    <x v="1"/>
    <x v="1"/>
    <x v="15"/>
    <x v="0"/>
    <x v="4"/>
    <x v="1"/>
    <x v="0"/>
    <n v="190.83"/>
  </r>
  <r>
    <d v="2024-07-07T00:00:00"/>
    <x v="1"/>
    <x v="6"/>
    <x v="1"/>
    <x v="48"/>
    <x v="7"/>
    <x v="7"/>
    <x v="85"/>
    <x v="0"/>
    <x v="20"/>
    <x v="6"/>
    <x v="4"/>
    <n v="200.73"/>
  </r>
  <r>
    <d v="2024-07-07T00:00:00"/>
    <x v="1"/>
    <x v="6"/>
    <x v="0"/>
    <x v="34"/>
    <x v="6"/>
    <x v="6"/>
    <x v="32"/>
    <x v="0"/>
    <x v="2"/>
    <x v="6"/>
    <x v="4"/>
    <n v="317.57"/>
  </r>
  <r>
    <d v="2024-07-07T00:00:00"/>
    <x v="1"/>
    <x v="6"/>
    <x v="1"/>
    <x v="8"/>
    <x v="3"/>
    <x v="3"/>
    <x v="72"/>
    <x v="0"/>
    <x v="3"/>
    <x v="2"/>
    <x v="2"/>
    <n v="625.29"/>
  </r>
  <r>
    <d v="2024-07-07T00:00:00"/>
    <x v="1"/>
    <x v="6"/>
    <x v="1"/>
    <x v="84"/>
    <x v="3"/>
    <x v="3"/>
    <x v="53"/>
    <x v="0"/>
    <x v="19"/>
    <x v="2"/>
    <x v="2"/>
    <n v="1314.98"/>
  </r>
  <r>
    <d v="2024-07-08T00:00:00"/>
    <x v="1"/>
    <x v="6"/>
    <x v="1"/>
    <x v="37"/>
    <x v="6"/>
    <x v="6"/>
    <x v="39"/>
    <x v="0"/>
    <x v="14"/>
    <x v="0"/>
    <x v="9"/>
    <n v="38.94"/>
  </r>
  <r>
    <d v="2024-07-08T00:00:00"/>
    <x v="1"/>
    <x v="6"/>
    <x v="1"/>
    <x v="35"/>
    <x v="6"/>
    <x v="6"/>
    <x v="46"/>
    <x v="0"/>
    <x v="7"/>
    <x v="4"/>
    <x v="7"/>
    <n v="62.75"/>
  </r>
  <r>
    <d v="2024-07-08T00:00:00"/>
    <x v="1"/>
    <x v="6"/>
    <x v="1"/>
    <x v="27"/>
    <x v="6"/>
    <x v="6"/>
    <x v="31"/>
    <x v="0"/>
    <x v="2"/>
    <x v="0"/>
    <x v="9"/>
    <n v="65.89"/>
  </r>
  <r>
    <d v="2024-07-08T00:00:00"/>
    <x v="1"/>
    <x v="6"/>
    <x v="1"/>
    <x v="20"/>
    <x v="3"/>
    <x v="3"/>
    <x v="71"/>
    <x v="0"/>
    <x v="3"/>
    <x v="5"/>
    <x v="8"/>
    <n v="476.37"/>
  </r>
  <r>
    <d v="2024-07-08T00:00:00"/>
    <x v="1"/>
    <x v="6"/>
    <x v="1"/>
    <x v="15"/>
    <x v="4"/>
    <x v="4"/>
    <x v="79"/>
    <x v="0"/>
    <x v="0"/>
    <x v="2"/>
    <x v="2"/>
    <n v="511.34"/>
  </r>
  <r>
    <d v="2024-07-08T00:00:00"/>
    <x v="1"/>
    <x v="6"/>
    <x v="1"/>
    <x v="11"/>
    <x v="1"/>
    <x v="1"/>
    <x v="15"/>
    <x v="0"/>
    <x v="4"/>
    <x v="2"/>
    <x v="2"/>
    <n v="576.19"/>
  </r>
  <r>
    <d v="2024-07-08T00:00:00"/>
    <x v="1"/>
    <x v="6"/>
    <x v="0"/>
    <x v="58"/>
    <x v="3"/>
    <x v="3"/>
    <x v="61"/>
    <x v="0"/>
    <x v="17"/>
    <x v="3"/>
    <x v="1"/>
    <n v="650.62"/>
  </r>
  <r>
    <d v="2024-07-08T00:00:00"/>
    <x v="1"/>
    <x v="6"/>
    <x v="1"/>
    <x v="90"/>
    <x v="3"/>
    <x v="3"/>
    <x v="55"/>
    <x v="0"/>
    <x v="19"/>
    <x v="3"/>
    <x v="1"/>
    <n v="1174.28"/>
  </r>
  <r>
    <d v="2024-07-08T00:00:00"/>
    <x v="1"/>
    <x v="6"/>
    <x v="0"/>
    <x v="4"/>
    <x v="6"/>
    <x v="6"/>
    <x v="29"/>
    <x v="0"/>
    <x v="2"/>
    <x v="2"/>
    <x v="2"/>
    <n v="1415.48"/>
  </r>
  <r>
    <d v="2024-07-08T00:00:00"/>
    <x v="1"/>
    <x v="6"/>
    <x v="0"/>
    <x v="10"/>
    <x v="6"/>
    <x v="6"/>
    <x v="41"/>
    <x v="0"/>
    <x v="7"/>
    <x v="3"/>
    <x v="1"/>
    <n v="2117.17"/>
  </r>
  <r>
    <d v="2024-07-08T00:00:00"/>
    <x v="1"/>
    <x v="6"/>
    <x v="1"/>
    <x v="53"/>
    <x v="1"/>
    <x v="1"/>
    <x v="16"/>
    <x v="0"/>
    <x v="4"/>
    <x v="3"/>
    <x v="1"/>
    <n v="3317.4"/>
  </r>
  <r>
    <d v="2024-07-08T00:00:00"/>
    <x v="1"/>
    <x v="6"/>
    <x v="1"/>
    <x v="34"/>
    <x v="6"/>
    <x v="6"/>
    <x v="32"/>
    <x v="0"/>
    <x v="2"/>
    <x v="6"/>
    <x v="4"/>
    <n v="6740.72"/>
  </r>
  <r>
    <d v="2024-07-09T00:00:00"/>
    <x v="1"/>
    <x v="6"/>
    <x v="1"/>
    <x v="29"/>
    <x v="6"/>
    <x v="6"/>
    <x v="35"/>
    <x v="0"/>
    <x v="14"/>
    <x v="6"/>
    <x v="4"/>
    <n v="19.48"/>
  </r>
  <r>
    <d v="2024-07-09T00:00:00"/>
    <x v="1"/>
    <x v="6"/>
    <x v="0"/>
    <x v="9"/>
    <x v="7"/>
    <x v="7"/>
    <x v="82"/>
    <x v="0"/>
    <x v="20"/>
    <x v="0"/>
    <x v="9"/>
    <n v="80.46"/>
  </r>
  <r>
    <d v="2024-07-09T00:00:00"/>
    <x v="1"/>
    <x v="6"/>
    <x v="0"/>
    <x v="66"/>
    <x v="4"/>
    <x v="4"/>
    <x v="76"/>
    <x v="0"/>
    <x v="15"/>
    <x v="8"/>
    <x v="5"/>
    <n v="85.88"/>
  </r>
  <r>
    <d v="2024-07-09T00:00:00"/>
    <x v="1"/>
    <x v="6"/>
    <x v="1"/>
    <x v="75"/>
    <x v="1"/>
    <x v="1"/>
    <x v="4"/>
    <x v="0"/>
    <x v="6"/>
    <x v="4"/>
    <x v="7"/>
    <n v="454.86"/>
  </r>
  <r>
    <d v="2024-07-09T00:00:00"/>
    <x v="1"/>
    <x v="6"/>
    <x v="1"/>
    <x v="39"/>
    <x v="7"/>
    <x v="7"/>
    <x v="91"/>
    <x v="0"/>
    <x v="9"/>
    <x v="2"/>
    <x v="2"/>
    <n v="1045.57"/>
  </r>
  <r>
    <d v="2024-07-10T00:00:00"/>
    <x v="1"/>
    <x v="6"/>
    <x v="1"/>
    <x v="71"/>
    <x v="1"/>
    <x v="1"/>
    <x v="27"/>
    <x v="0"/>
    <x v="8"/>
    <x v="2"/>
    <x v="2"/>
    <n v="7.0"/>
  </r>
  <r>
    <d v="2024-07-10T00:00:00"/>
    <x v="1"/>
    <x v="6"/>
    <x v="1"/>
    <x v="6"/>
    <x v="1"/>
    <x v="1"/>
    <x v="5"/>
    <x v="0"/>
    <x v="6"/>
    <x v="0"/>
    <x v="9"/>
    <n v="11.0"/>
  </r>
  <r>
    <d v="2024-07-10T00:00:00"/>
    <x v="1"/>
    <x v="6"/>
    <x v="1"/>
    <x v="26"/>
    <x v="7"/>
    <x v="7"/>
    <x v="81"/>
    <x v="0"/>
    <x v="20"/>
    <x v="2"/>
    <x v="2"/>
    <n v="224.54"/>
  </r>
  <r>
    <d v="2024-07-10T00:00:00"/>
    <x v="1"/>
    <x v="6"/>
    <x v="0"/>
    <x v="24"/>
    <x v="6"/>
    <x v="6"/>
    <x v="36"/>
    <x v="0"/>
    <x v="14"/>
    <x v="0"/>
    <x v="9"/>
    <n v="288.39"/>
  </r>
  <r>
    <d v="2024-07-10T00:00:00"/>
    <x v="1"/>
    <x v="6"/>
    <x v="1"/>
    <x v="71"/>
    <x v="1"/>
    <x v="1"/>
    <x v="27"/>
    <x v="0"/>
    <x v="8"/>
    <x v="1"/>
    <x v="0"/>
    <n v="317.17"/>
  </r>
  <r>
    <d v="2024-07-11T00:00:00"/>
    <x v="1"/>
    <x v="6"/>
    <x v="1"/>
    <x v="40"/>
    <x v="3"/>
    <x v="3"/>
    <x v="65"/>
    <x v="0"/>
    <x v="1"/>
    <x v="3"/>
    <x v="1"/>
    <n v="6.0"/>
  </r>
  <r>
    <d v="2024-07-11T00:00:00"/>
    <x v="1"/>
    <x v="6"/>
    <x v="1"/>
    <x v="79"/>
    <x v="1"/>
    <x v="1"/>
    <x v="8"/>
    <x v="0"/>
    <x v="10"/>
    <x v="6"/>
    <x v="4"/>
    <n v="90.22"/>
  </r>
  <r>
    <d v="2024-07-11T00:00:00"/>
    <x v="1"/>
    <x v="6"/>
    <x v="0"/>
    <x v="46"/>
    <x v="6"/>
    <x v="6"/>
    <x v="42"/>
    <x v="0"/>
    <x v="7"/>
    <x v="1"/>
    <x v="0"/>
    <n v="112.92"/>
  </r>
  <r>
    <d v="2024-07-11T00:00:00"/>
    <x v="1"/>
    <x v="6"/>
    <x v="0"/>
    <x v="22"/>
    <x v="1"/>
    <x v="1"/>
    <x v="20"/>
    <x v="0"/>
    <x v="5"/>
    <x v="0"/>
    <x v="9"/>
    <n v="238.21"/>
  </r>
  <r>
    <d v="2024-07-11T00:00:00"/>
    <x v="1"/>
    <x v="6"/>
    <x v="1"/>
    <x v="79"/>
    <x v="1"/>
    <x v="1"/>
    <x v="8"/>
    <x v="0"/>
    <x v="10"/>
    <x v="4"/>
    <x v="7"/>
    <n v="261.25"/>
  </r>
  <r>
    <d v="2024-07-11T00:00:00"/>
    <x v="1"/>
    <x v="6"/>
    <x v="1"/>
    <x v="91"/>
    <x v="1"/>
    <x v="1"/>
    <x v="23"/>
    <x v="0"/>
    <x v="8"/>
    <x v="9"/>
    <x v="6"/>
    <n v="427.56"/>
  </r>
  <r>
    <d v="2024-07-11T00:00:00"/>
    <x v="1"/>
    <x v="6"/>
    <x v="1"/>
    <x v="91"/>
    <x v="1"/>
    <x v="1"/>
    <x v="23"/>
    <x v="0"/>
    <x v="8"/>
    <x v="5"/>
    <x v="8"/>
    <n v="5611.5"/>
  </r>
  <r>
    <d v="2024-07-12T00:00:00"/>
    <x v="1"/>
    <x v="6"/>
    <x v="1"/>
    <x v="0"/>
    <x v="3"/>
    <x v="3"/>
    <x v="69"/>
    <x v="0"/>
    <x v="3"/>
    <x v="8"/>
    <x v="5"/>
    <n v="212.55"/>
  </r>
  <r>
    <d v="2024-07-12T00:00:00"/>
    <x v="1"/>
    <x v="6"/>
    <x v="0"/>
    <x v="7"/>
    <x v="1"/>
    <x v="1"/>
    <x v="10"/>
    <x v="0"/>
    <x v="10"/>
    <x v="9"/>
    <x v="6"/>
    <n v="251.68"/>
  </r>
  <r>
    <d v="2024-07-12T00:00:00"/>
    <x v="1"/>
    <x v="6"/>
    <x v="1"/>
    <x v="84"/>
    <x v="3"/>
    <x v="3"/>
    <x v="53"/>
    <x v="0"/>
    <x v="19"/>
    <x v="5"/>
    <x v="8"/>
    <n v="566.33"/>
  </r>
  <r>
    <d v="2024-07-13T00:00:00"/>
    <x v="1"/>
    <x v="6"/>
    <x v="0"/>
    <x v="93"/>
    <x v="6"/>
    <x v="6"/>
    <x v="30"/>
    <x v="0"/>
    <x v="2"/>
    <x v="2"/>
    <x v="2"/>
    <n v="67.94"/>
  </r>
  <r>
    <d v="2024-07-13T00:00:00"/>
    <x v="1"/>
    <x v="6"/>
    <x v="1"/>
    <x v="43"/>
    <x v="7"/>
    <x v="7"/>
    <x v="87"/>
    <x v="0"/>
    <x v="12"/>
    <x v="6"/>
    <x v="4"/>
    <n v="231.23"/>
  </r>
  <r>
    <d v="2024-07-13T00:00:00"/>
    <x v="1"/>
    <x v="6"/>
    <x v="1"/>
    <x v="53"/>
    <x v="1"/>
    <x v="1"/>
    <x v="16"/>
    <x v="0"/>
    <x v="4"/>
    <x v="8"/>
    <x v="5"/>
    <n v="266.12"/>
  </r>
  <r>
    <d v="2024-07-13T00:00:00"/>
    <x v="1"/>
    <x v="6"/>
    <x v="1"/>
    <x v="12"/>
    <x v="1"/>
    <x v="1"/>
    <x v="26"/>
    <x v="0"/>
    <x v="8"/>
    <x v="8"/>
    <x v="5"/>
    <n v="1327.69"/>
  </r>
  <r>
    <d v="2024-07-13T00:00:00"/>
    <x v="1"/>
    <x v="6"/>
    <x v="1"/>
    <x v="50"/>
    <x v="7"/>
    <x v="7"/>
    <x v="83"/>
    <x v="0"/>
    <x v="20"/>
    <x v="9"/>
    <x v="6"/>
    <n v="1490.72"/>
  </r>
  <r>
    <d v="2024-07-14T00:00:00"/>
    <x v="1"/>
    <x v="6"/>
    <x v="1"/>
    <x v="0"/>
    <x v="3"/>
    <x v="3"/>
    <x v="69"/>
    <x v="0"/>
    <x v="3"/>
    <x v="1"/>
    <x v="0"/>
    <n v="14.99"/>
  </r>
  <r>
    <d v="2024-07-14T00:00:00"/>
    <x v="1"/>
    <x v="6"/>
    <x v="0"/>
    <x v="90"/>
    <x v="3"/>
    <x v="3"/>
    <x v="55"/>
    <x v="0"/>
    <x v="19"/>
    <x v="0"/>
    <x v="9"/>
    <n v="120.56"/>
  </r>
  <r>
    <d v="2024-07-14T00:00:00"/>
    <x v="1"/>
    <x v="6"/>
    <x v="1"/>
    <x v="22"/>
    <x v="1"/>
    <x v="1"/>
    <x v="20"/>
    <x v="0"/>
    <x v="5"/>
    <x v="1"/>
    <x v="0"/>
    <n v="761.66"/>
  </r>
  <r>
    <d v="2024-07-14T00:00:00"/>
    <x v="1"/>
    <x v="6"/>
    <x v="1"/>
    <x v="35"/>
    <x v="6"/>
    <x v="6"/>
    <x v="46"/>
    <x v="0"/>
    <x v="7"/>
    <x v="3"/>
    <x v="1"/>
    <n v="792.05"/>
  </r>
  <r>
    <d v="2024-07-14T00:00:00"/>
    <x v="1"/>
    <x v="6"/>
    <x v="0"/>
    <x v="27"/>
    <x v="6"/>
    <x v="6"/>
    <x v="31"/>
    <x v="0"/>
    <x v="2"/>
    <x v="3"/>
    <x v="1"/>
    <n v="2351.94"/>
  </r>
  <r>
    <d v="2024-07-15T00:00:00"/>
    <x v="1"/>
    <x v="6"/>
    <x v="1"/>
    <x v="14"/>
    <x v="6"/>
    <x v="6"/>
    <x v="45"/>
    <x v="0"/>
    <x v="7"/>
    <x v="1"/>
    <x v="0"/>
    <n v="1.5"/>
  </r>
  <r>
    <d v="2024-07-15T00:00:00"/>
    <x v="1"/>
    <x v="6"/>
    <x v="0"/>
    <x v="63"/>
    <x v="4"/>
    <x v="4"/>
    <x v="78"/>
    <x v="0"/>
    <x v="0"/>
    <x v="5"/>
    <x v="8"/>
    <n v="37.96"/>
  </r>
  <r>
    <d v="2024-07-15T00:00:00"/>
    <x v="1"/>
    <x v="6"/>
    <x v="1"/>
    <x v="52"/>
    <x v="1"/>
    <x v="1"/>
    <x v="11"/>
    <x v="0"/>
    <x v="10"/>
    <x v="5"/>
    <x v="8"/>
    <n v="58.77"/>
  </r>
  <r>
    <d v="2024-07-15T00:00:00"/>
    <x v="1"/>
    <x v="6"/>
    <x v="0"/>
    <x v="9"/>
    <x v="7"/>
    <x v="7"/>
    <x v="82"/>
    <x v="0"/>
    <x v="20"/>
    <x v="3"/>
    <x v="1"/>
    <n v="72.9"/>
  </r>
  <r>
    <d v="2024-07-15T00:00:00"/>
    <x v="1"/>
    <x v="6"/>
    <x v="1"/>
    <x v="25"/>
    <x v="1"/>
    <x v="1"/>
    <x v="6"/>
    <x v="0"/>
    <x v="6"/>
    <x v="9"/>
    <x v="6"/>
    <n v="191.62"/>
  </r>
  <r>
    <d v="2024-07-15T00:00:00"/>
    <x v="1"/>
    <x v="6"/>
    <x v="1"/>
    <x v="69"/>
    <x v="1"/>
    <x v="1"/>
    <x v="19"/>
    <x v="0"/>
    <x v="5"/>
    <x v="5"/>
    <x v="8"/>
    <n v="701.15"/>
  </r>
  <r>
    <d v="2024-07-16T00:00:00"/>
    <x v="1"/>
    <x v="6"/>
    <x v="1"/>
    <x v="46"/>
    <x v="6"/>
    <x v="6"/>
    <x v="42"/>
    <x v="0"/>
    <x v="7"/>
    <x v="8"/>
    <x v="5"/>
    <n v="29.91"/>
  </r>
  <r>
    <d v="2024-07-16T00:00:00"/>
    <x v="1"/>
    <x v="6"/>
    <x v="0"/>
    <x v="48"/>
    <x v="7"/>
    <x v="7"/>
    <x v="85"/>
    <x v="0"/>
    <x v="20"/>
    <x v="4"/>
    <x v="7"/>
    <n v="58.84"/>
  </r>
  <r>
    <d v="2024-07-16T00:00:00"/>
    <x v="1"/>
    <x v="6"/>
    <x v="1"/>
    <x v="29"/>
    <x v="6"/>
    <x v="6"/>
    <x v="35"/>
    <x v="0"/>
    <x v="14"/>
    <x v="9"/>
    <x v="6"/>
    <n v="59.98"/>
  </r>
  <r>
    <d v="2024-07-16T00:00:00"/>
    <x v="1"/>
    <x v="6"/>
    <x v="1"/>
    <x v="19"/>
    <x v="7"/>
    <x v="7"/>
    <x v="88"/>
    <x v="0"/>
    <x v="12"/>
    <x v="8"/>
    <x v="5"/>
    <n v="121.57"/>
  </r>
  <r>
    <d v="2024-07-16T00:00:00"/>
    <x v="1"/>
    <x v="6"/>
    <x v="1"/>
    <x v="77"/>
    <x v="3"/>
    <x v="3"/>
    <x v="66"/>
    <x v="0"/>
    <x v="1"/>
    <x v="1"/>
    <x v="0"/>
    <n v="292.26"/>
  </r>
  <r>
    <d v="2024-07-16T00:00:00"/>
    <x v="1"/>
    <x v="6"/>
    <x v="1"/>
    <x v="23"/>
    <x v="1"/>
    <x v="1"/>
    <x v="12"/>
    <x v="0"/>
    <x v="10"/>
    <x v="5"/>
    <x v="8"/>
    <n v="3762.8"/>
  </r>
  <r>
    <d v="2024-07-16T00:00:00"/>
    <x v="1"/>
    <x v="6"/>
    <x v="1"/>
    <x v="37"/>
    <x v="6"/>
    <x v="6"/>
    <x v="39"/>
    <x v="0"/>
    <x v="14"/>
    <x v="6"/>
    <x v="4"/>
    <n v="10866.59"/>
  </r>
  <r>
    <d v="2024-07-17T00:00:00"/>
    <x v="1"/>
    <x v="6"/>
    <x v="0"/>
    <x v="77"/>
    <x v="3"/>
    <x v="3"/>
    <x v="66"/>
    <x v="0"/>
    <x v="1"/>
    <x v="4"/>
    <x v="7"/>
    <n v="67.85"/>
  </r>
  <r>
    <d v="2024-07-17T00:00:00"/>
    <x v="1"/>
    <x v="6"/>
    <x v="0"/>
    <x v="91"/>
    <x v="1"/>
    <x v="1"/>
    <x v="23"/>
    <x v="0"/>
    <x v="8"/>
    <x v="3"/>
    <x v="1"/>
    <n v="84.95"/>
  </r>
  <r>
    <d v="2024-07-17T00:00:00"/>
    <x v="1"/>
    <x v="6"/>
    <x v="0"/>
    <x v="45"/>
    <x v="3"/>
    <x v="3"/>
    <x v="64"/>
    <x v="0"/>
    <x v="1"/>
    <x v="9"/>
    <x v="6"/>
    <n v="179.7"/>
  </r>
  <r>
    <d v="2024-07-18T00:00:00"/>
    <x v="1"/>
    <x v="6"/>
    <x v="1"/>
    <x v="15"/>
    <x v="4"/>
    <x v="4"/>
    <x v="79"/>
    <x v="0"/>
    <x v="0"/>
    <x v="4"/>
    <x v="7"/>
    <n v="94.74"/>
  </r>
  <r>
    <d v="2024-07-18T00:00:00"/>
    <x v="1"/>
    <x v="6"/>
    <x v="1"/>
    <x v="75"/>
    <x v="1"/>
    <x v="1"/>
    <x v="4"/>
    <x v="0"/>
    <x v="6"/>
    <x v="6"/>
    <x v="4"/>
    <n v="95.88"/>
  </r>
  <r>
    <d v="2024-07-18T00:00:00"/>
    <x v="1"/>
    <x v="6"/>
    <x v="1"/>
    <x v="59"/>
    <x v="1"/>
    <x v="1"/>
    <x v="3"/>
    <x v="0"/>
    <x v="6"/>
    <x v="0"/>
    <x v="9"/>
    <n v="107.9"/>
  </r>
  <r>
    <d v="2024-07-18T00:00:00"/>
    <x v="1"/>
    <x v="6"/>
    <x v="1"/>
    <x v="37"/>
    <x v="6"/>
    <x v="6"/>
    <x v="39"/>
    <x v="0"/>
    <x v="14"/>
    <x v="7"/>
    <x v="3"/>
    <n v="139.7"/>
  </r>
  <r>
    <d v="2024-07-18T00:00:00"/>
    <x v="1"/>
    <x v="6"/>
    <x v="1"/>
    <x v="12"/>
    <x v="1"/>
    <x v="1"/>
    <x v="26"/>
    <x v="0"/>
    <x v="8"/>
    <x v="8"/>
    <x v="5"/>
    <n v="364.51"/>
  </r>
  <r>
    <d v="2024-07-18T00:00:00"/>
    <x v="1"/>
    <x v="6"/>
    <x v="1"/>
    <x v="25"/>
    <x v="1"/>
    <x v="1"/>
    <x v="6"/>
    <x v="0"/>
    <x v="6"/>
    <x v="8"/>
    <x v="5"/>
    <n v="472.72"/>
  </r>
  <r>
    <d v="2024-07-18T00:00:00"/>
    <x v="1"/>
    <x v="6"/>
    <x v="1"/>
    <x v="30"/>
    <x v="6"/>
    <x v="6"/>
    <x v="37"/>
    <x v="0"/>
    <x v="14"/>
    <x v="0"/>
    <x v="9"/>
    <n v="477.81"/>
  </r>
  <r>
    <d v="2024-07-18T00:00:00"/>
    <x v="1"/>
    <x v="6"/>
    <x v="1"/>
    <x v="45"/>
    <x v="3"/>
    <x v="3"/>
    <x v="64"/>
    <x v="0"/>
    <x v="1"/>
    <x v="6"/>
    <x v="4"/>
    <n v="684.5"/>
  </r>
  <r>
    <d v="2024-07-19T00:00:00"/>
    <x v="1"/>
    <x v="6"/>
    <x v="1"/>
    <x v="1"/>
    <x v="7"/>
    <x v="7"/>
    <x v="89"/>
    <x v="0"/>
    <x v="12"/>
    <x v="9"/>
    <x v="6"/>
    <n v="4.0"/>
  </r>
  <r>
    <d v="2024-07-19T00:00:00"/>
    <x v="1"/>
    <x v="6"/>
    <x v="0"/>
    <x v="90"/>
    <x v="3"/>
    <x v="3"/>
    <x v="55"/>
    <x v="0"/>
    <x v="19"/>
    <x v="6"/>
    <x v="4"/>
    <n v="31.92"/>
  </r>
  <r>
    <d v="2024-07-19T00:00:00"/>
    <x v="1"/>
    <x v="6"/>
    <x v="1"/>
    <x v="15"/>
    <x v="4"/>
    <x v="4"/>
    <x v="79"/>
    <x v="0"/>
    <x v="0"/>
    <x v="9"/>
    <x v="6"/>
    <n v="204.1"/>
  </r>
  <r>
    <d v="2024-07-19T00:00:00"/>
    <x v="1"/>
    <x v="6"/>
    <x v="0"/>
    <x v="40"/>
    <x v="3"/>
    <x v="3"/>
    <x v="65"/>
    <x v="0"/>
    <x v="1"/>
    <x v="3"/>
    <x v="1"/>
    <n v="796.52"/>
  </r>
  <r>
    <d v="2024-07-19T00:00:00"/>
    <x v="1"/>
    <x v="6"/>
    <x v="1"/>
    <x v="35"/>
    <x v="6"/>
    <x v="6"/>
    <x v="46"/>
    <x v="0"/>
    <x v="7"/>
    <x v="7"/>
    <x v="3"/>
    <n v="1184.68"/>
  </r>
  <r>
    <d v="2024-07-20T00:00:00"/>
    <x v="1"/>
    <x v="6"/>
    <x v="1"/>
    <x v="87"/>
    <x v="3"/>
    <x v="3"/>
    <x v="52"/>
    <x v="0"/>
    <x v="19"/>
    <x v="4"/>
    <x v="7"/>
    <n v="47.88"/>
  </r>
  <r>
    <d v="2024-07-20T00:00:00"/>
    <x v="1"/>
    <x v="6"/>
    <x v="1"/>
    <x v="3"/>
    <x v="2"/>
    <x v="2"/>
    <x v="1"/>
    <x v="0"/>
    <x v="11"/>
    <x v="8"/>
    <x v="5"/>
    <n v="81.54"/>
  </r>
  <r>
    <d v="2024-07-20T00:00:00"/>
    <x v="1"/>
    <x v="6"/>
    <x v="1"/>
    <x v="60"/>
    <x v="6"/>
    <x v="6"/>
    <x v="44"/>
    <x v="0"/>
    <x v="7"/>
    <x v="5"/>
    <x v="8"/>
    <n v="89.92"/>
  </r>
  <r>
    <d v="2024-07-20T00:00:00"/>
    <x v="1"/>
    <x v="6"/>
    <x v="1"/>
    <x v="27"/>
    <x v="6"/>
    <x v="6"/>
    <x v="31"/>
    <x v="0"/>
    <x v="2"/>
    <x v="8"/>
    <x v="5"/>
    <n v="95.8"/>
  </r>
  <r>
    <d v="2024-07-20T00:00:00"/>
    <x v="1"/>
    <x v="6"/>
    <x v="1"/>
    <x v="67"/>
    <x v="3"/>
    <x v="3"/>
    <x v="62"/>
    <x v="0"/>
    <x v="17"/>
    <x v="0"/>
    <x v="9"/>
    <n v="121.85"/>
  </r>
  <r>
    <d v="2024-07-20T00:00:00"/>
    <x v="1"/>
    <x v="6"/>
    <x v="1"/>
    <x v="87"/>
    <x v="3"/>
    <x v="3"/>
    <x v="52"/>
    <x v="0"/>
    <x v="19"/>
    <x v="0"/>
    <x v="9"/>
    <n v="145.88"/>
  </r>
  <r>
    <d v="2024-07-20T00:00:00"/>
    <x v="1"/>
    <x v="6"/>
    <x v="1"/>
    <x v="47"/>
    <x v="3"/>
    <x v="3"/>
    <x v="54"/>
    <x v="0"/>
    <x v="19"/>
    <x v="7"/>
    <x v="3"/>
    <n v="207.77"/>
  </r>
  <r>
    <d v="2024-07-20T00:00:00"/>
    <x v="1"/>
    <x v="6"/>
    <x v="1"/>
    <x v="69"/>
    <x v="1"/>
    <x v="1"/>
    <x v="19"/>
    <x v="0"/>
    <x v="5"/>
    <x v="2"/>
    <x v="2"/>
    <n v="6251.5"/>
  </r>
  <r>
    <d v="2024-07-21T00:00:00"/>
    <x v="1"/>
    <x v="6"/>
    <x v="1"/>
    <x v="25"/>
    <x v="1"/>
    <x v="1"/>
    <x v="6"/>
    <x v="0"/>
    <x v="6"/>
    <x v="7"/>
    <x v="3"/>
    <n v="35.82"/>
  </r>
  <r>
    <d v="2024-07-21T00:00:00"/>
    <x v="1"/>
    <x v="6"/>
    <x v="1"/>
    <x v="72"/>
    <x v="1"/>
    <x v="1"/>
    <x v="24"/>
    <x v="0"/>
    <x v="8"/>
    <x v="1"/>
    <x v="0"/>
    <n v="154.89"/>
  </r>
  <r>
    <d v="2024-07-21T00:00:00"/>
    <x v="1"/>
    <x v="6"/>
    <x v="1"/>
    <x v="90"/>
    <x v="3"/>
    <x v="3"/>
    <x v="55"/>
    <x v="0"/>
    <x v="19"/>
    <x v="1"/>
    <x v="0"/>
    <n v="512.78"/>
  </r>
  <r>
    <d v="2024-07-21T00:00:00"/>
    <x v="1"/>
    <x v="6"/>
    <x v="0"/>
    <x v="44"/>
    <x v="6"/>
    <x v="6"/>
    <x v="49"/>
    <x v="0"/>
    <x v="13"/>
    <x v="3"/>
    <x v="1"/>
    <n v="571.0"/>
  </r>
  <r>
    <d v="2024-07-22T00:00:00"/>
    <x v="1"/>
    <x v="6"/>
    <x v="1"/>
    <x v="49"/>
    <x v="3"/>
    <x v="3"/>
    <x v="58"/>
    <x v="0"/>
    <x v="16"/>
    <x v="1"/>
    <x v="0"/>
    <n v="248.76"/>
  </r>
  <r>
    <d v="2024-07-22T00:00:00"/>
    <x v="1"/>
    <x v="6"/>
    <x v="0"/>
    <x v="95"/>
    <x v="4"/>
    <x v="4"/>
    <x v="73"/>
    <x v="0"/>
    <x v="15"/>
    <x v="4"/>
    <x v="7"/>
    <n v="422.74"/>
  </r>
  <r>
    <d v="2024-07-22T00:00:00"/>
    <x v="1"/>
    <x v="6"/>
    <x v="0"/>
    <x v="3"/>
    <x v="2"/>
    <x v="2"/>
    <x v="1"/>
    <x v="0"/>
    <x v="11"/>
    <x v="9"/>
    <x v="6"/>
    <n v="1666.61"/>
  </r>
  <r>
    <d v="2024-07-22T00:00:00"/>
    <x v="1"/>
    <x v="6"/>
    <x v="1"/>
    <x v="13"/>
    <x v="0"/>
    <x v="0"/>
    <x v="22"/>
    <x v="0"/>
    <x v="5"/>
    <x v="9"/>
    <x v="6"/>
    <n v="2006.28"/>
  </r>
  <r>
    <d v="2024-07-23T00:00:00"/>
    <x v="1"/>
    <x v="6"/>
    <x v="1"/>
    <x v="16"/>
    <x v="7"/>
    <x v="7"/>
    <x v="92"/>
    <x v="0"/>
    <x v="9"/>
    <x v="1"/>
    <x v="0"/>
    <n v="9.0"/>
  </r>
  <r>
    <d v="2024-07-23T00:00:00"/>
    <x v="1"/>
    <x v="6"/>
    <x v="1"/>
    <x v="46"/>
    <x v="6"/>
    <x v="6"/>
    <x v="42"/>
    <x v="0"/>
    <x v="7"/>
    <x v="1"/>
    <x v="0"/>
    <n v="47.98"/>
  </r>
  <r>
    <d v="2024-07-23T00:00:00"/>
    <x v="1"/>
    <x v="6"/>
    <x v="0"/>
    <x v="94"/>
    <x v="6"/>
    <x v="6"/>
    <x v="48"/>
    <x v="0"/>
    <x v="13"/>
    <x v="3"/>
    <x v="1"/>
    <n v="377.44"/>
  </r>
  <r>
    <d v="2024-07-23T00:00:00"/>
    <x v="1"/>
    <x v="6"/>
    <x v="1"/>
    <x v="78"/>
    <x v="5"/>
    <x v="5"/>
    <x v="94"/>
    <x v="0"/>
    <x v="18"/>
    <x v="9"/>
    <x v="6"/>
    <n v="1613.69"/>
  </r>
  <r>
    <d v="2024-07-23T00:00:00"/>
    <x v="1"/>
    <x v="6"/>
    <x v="1"/>
    <x v="37"/>
    <x v="6"/>
    <x v="6"/>
    <x v="39"/>
    <x v="0"/>
    <x v="14"/>
    <x v="3"/>
    <x v="1"/>
    <n v="3458.11"/>
  </r>
  <r>
    <d v="2024-07-24T00:00:00"/>
    <x v="1"/>
    <x v="6"/>
    <x v="0"/>
    <x v="93"/>
    <x v="6"/>
    <x v="6"/>
    <x v="30"/>
    <x v="0"/>
    <x v="2"/>
    <x v="5"/>
    <x v="8"/>
    <n v="95.38"/>
  </r>
  <r>
    <d v="2024-07-24T00:00:00"/>
    <x v="1"/>
    <x v="6"/>
    <x v="1"/>
    <x v="6"/>
    <x v="1"/>
    <x v="1"/>
    <x v="5"/>
    <x v="0"/>
    <x v="6"/>
    <x v="5"/>
    <x v="8"/>
    <n v="354.44"/>
  </r>
  <r>
    <d v="2024-07-24T00:00:00"/>
    <x v="1"/>
    <x v="6"/>
    <x v="1"/>
    <x v="79"/>
    <x v="1"/>
    <x v="1"/>
    <x v="8"/>
    <x v="0"/>
    <x v="10"/>
    <x v="0"/>
    <x v="9"/>
    <n v="462.75"/>
  </r>
  <r>
    <d v="2024-07-24T00:00:00"/>
    <x v="1"/>
    <x v="6"/>
    <x v="1"/>
    <x v="30"/>
    <x v="6"/>
    <x v="6"/>
    <x v="37"/>
    <x v="0"/>
    <x v="14"/>
    <x v="1"/>
    <x v="0"/>
    <n v="769.93"/>
  </r>
  <r>
    <d v="2024-07-24T00:00:00"/>
    <x v="1"/>
    <x v="6"/>
    <x v="1"/>
    <x v="24"/>
    <x v="6"/>
    <x v="6"/>
    <x v="36"/>
    <x v="0"/>
    <x v="14"/>
    <x v="6"/>
    <x v="4"/>
    <n v="1096.19"/>
  </r>
  <r>
    <d v="2024-07-25T00:00:00"/>
    <x v="1"/>
    <x v="6"/>
    <x v="1"/>
    <x v="15"/>
    <x v="4"/>
    <x v="4"/>
    <x v="79"/>
    <x v="0"/>
    <x v="0"/>
    <x v="4"/>
    <x v="7"/>
    <n v="3.99"/>
  </r>
  <r>
    <d v="2024-07-25T00:00:00"/>
    <x v="1"/>
    <x v="6"/>
    <x v="1"/>
    <x v="20"/>
    <x v="3"/>
    <x v="3"/>
    <x v="71"/>
    <x v="0"/>
    <x v="3"/>
    <x v="0"/>
    <x v="9"/>
    <n v="18.99"/>
  </r>
  <r>
    <d v="2024-07-25T00:00:00"/>
    <x v="1"/>
    <x v="6"/>
    <x v="1"/>
    <x v="71"/>
    <x v="1"/>
    <x v="1"/>
    <x v="27"/>
    <x v="0"/>
    <x v="8"/>
    <x v="1"/>
    <x v="0"/>
    <n v="38.0"/>
  </r>
  <r>
    <d v="2024-07-25T00:00:00"/>
    <x v="1"/>
    <x v="6"/>
    <x v="0"/>
    <x v="46"/>
    <x v="6"/>
    <x v="6"/>
    <x v="42"/>
    <x v="0"/>
    <x v="7"/>
    <x v="1"/>
    <x v="0"/>
    <n v="53.91"/>
  </r>
  <r>
    <d v="2024-07-25T00:00:00"/>
    <x v="1"/>
    <x v="6"/>
    <x v="1"/>
    <x v="92"/>
    <x v="6"/>
    <x v="6"/>
    <x v="40"/>
    <x v="0"/>
    <x v="7"/>
    <x v="0"/>
    <x v="9"/>
    <n v="119.41"/>
  </r>
  <r>
    <d v="2024-07-26T00:00:00"/>
    <x v="1"/>
    <x v="6"/>
    <x v="1"/>
    <x v="78"/>
    <x v="5"/>
    <x v="5"/>
    <x v="94"/>
    <x v="0"/>
    <x v="18"/>
    <x v="2"/>
    <x v="2"/>
    <n v="38.97"/>
  </r>
  <r>
    <d v="2024-07-26T00:00:00"/>
    <x v="1"/>
    <x v="6"/>
    <x v="1"/>
    <x v="27"/>
    <x v="6"/>
    <x v="6"/>
    <x v="31"/>
    <x v="0"/>
    <x v="2"/>
    <x v="1"/>
    <x v="0"/>
    <n v="91.1"/>
  </r>
  <r>
    <d v="2024-07-26T00:00:00"/>
    <x v="1"/>
    <x v="6"/>
    <x v="1"/>
    <x v="49"/>
    <x v="3"/>
    <x v="3"/>
    <x v="58"/>
    <x v="0"/>
    <x v="16"/>
    <x v="5"/>
    <x v="8"/>
    <n v="112.37"/>
  </r>
  <r>
    <d v="2024-07-26T00:00:00"/>
    <x v="1"/>
    <x v="6"/>
    <x v="0"/>
    <x v="87"/>
    <x v="3"/>
    <x v="3"/>
    <x v="52"/>
    <x v="0"/>
    <x v="19"/>
    <x v="0"/>
    <x v="9"/>
    <n v="368.3"/>
  </r>
  <r>
    <d v="2024-07-26T00:00:00"/>
    <x v="1"/>
    <x v="6"/>
    <x v="0"/>
    <x v="44"/>
    <x v="6"/>
    <x v="6"/>
    <x v="49"/>
    <x v="0"/>
    <x v="13"/>
    <x v="3"/>
    <x v="1"/>
    <n v="445.52"/>
  </r>
  <r>
    <d v="2024-07-26T00:00:00"/>
    <x v="1"/>
    <x v="6"/>
    <x v="1"/>
    <x v="65"/>
    <x v="1"/>
    <x v="1"/>
    <x v="7"/>
    <x v="0"/>
    <x v="10"/>
    <x v="2"/>
    <x v="2"/>
    <n v="1826.92"/>
  </r>
  <r>
    <d v="2024-07-26T00:00:00"/>
    <x v="1"/>
    <x v="6"/>
    <x v="1"/>
    <x v="90"/>
    <x v="3"/>
    <x v="3"/>
    <x v="55"/>
    <x v="0"/>
    <x v="19"/>
    <x v="1"/>
    <x v="0"/>
    <n v="2031.56"/>
  </r>
  <r>
    <d v="2024-07-26T00:00:00"/>
    <x v="1"/>
    <x v="6"/>
    <x v="1"/>
    <x v="24"/>
    <x v="6"/>
    <x v="6"/>
    <x v="36"/>
    <x v="0"/>
    <x v="14"/>
    <x v="6"/>
    <x v="4"/>
    <n v="9049.98"/>
  </r>
  <r>
    <d v="2024-07-27T00:00:00"/>
    <x v="1"/>
    <x v="6"/>
    <x v="1"/>
    <x v="29"/>
    <x v="6"/>
    <x v="6"/>
    <x v="35"/>
    <x v="0"/>
    <x v="14"/>
    <x v="1"/>
    <x v="0"/>
    <n v="11.6"/>
  </r>
  <r>
    <d v="2024-07-27T00:00:00"/>
    <x v="1"/>
    <x v="6"/>
    <x v="0"/>
    <x v="75"/>
    <x v="1"/>
    <x v="1"/>
    <x v="4"/>
    <x v="0"/>
    <x v="6"/>
    <x v="8"/>
    <x v="5"/>
    <n v="15.96"/>
  </r>
  <r>
    <d v="2024-07-27T00:00:00"/>
    <x v="1"/>
    <x v="6"/>
    <x v="1"/>
    <x v="3"/>
    <x v="2"/>
    <x v="2"/>
    <x v="1"/>
    <x v="0"/>
    <x v="11"/>
    <x v="1"/>
    <x v="0"/>
    <n v="64.95"/>
  </r>
  <r>
    <d v="2024-07-27T00:00:00"/>
    <x v="1"/>
    <x v="6"/>
    <x v="1"/>
    <x v="37"/>
    <x v="6"/>
    <x v="6"/>
    <x v="39"/>
    <x v="0"/>
    <x v="14"/>
    <x v="1"/>
    <x v="0"/>
    <n v="67.66"/>
  </r>
  <r>
    <d v="2024-07-27T00:00:00"/>
    <x v="1"/>
    <x v="6"/>
    <x v="1"/>
    <x v="45"/>
    <x v="3"/>
    <x v="3"/>
    <x v="64"/>
    <x v="0"/>
    <x v="1"/>
    <x v="4"/>
    <x v="7"/>
    <n v="275.94"/>
  </r>
  <r>
    <d v="2024-07-27T00:00:00"/>
    <x v="1"/>
    <x v="6"/>
    <x v="1"/>
    <x v="92"/>
    <x v="6"/>
    <x v="6"/>
    <x v="40"/>
    <x v="0"/>
    <x v="7"/>
    <x v="3"/>
    <x v="1"/>
    <n v="279.66"/>
  </r>
  <r>
    <d v="2024-07-27T00:00:00"/>
    <x v="1"/>
    <x v="6"/>
    <x v="1"/>
    <x v="7"/>
    <x v="1"/>
    <x v="1"/>
    <x v="10"/>
    <x v="0"/>
    <x v="10"/>
    <x v="9"/>
    <x v="6"/>
    <n v="948.81"/>
  </r>
  <r>
    <d v="2024-07-28T00:00:00"/>
    <x v="1"/>
    <x v="6"/>
    <x v="0"/>
    <x v="39"/>
    <x v="7"/>
    <x v="7"/>
    <x v="91"/>
    <x v="0"/>
    <x v="9"/>
    <x v="8"/>
    <x v="5"/>
    <n v="778.56"/>
  </r>
  <r>
    <d v="2024-07-28T00:00:00"/>
    <x v="1"/>
    <x v="6"/>
    <x v="1"/>
    <x v="22"/>
    <x v="1"/>
    <x v="1"/>
    <x v="20"/>
    <x v="0"/>
    <x v="5"/>
    <x v="0"/>
    <x v="9"/>
    <n v="903.99"/>
  </r>
  <r>
    <d v="2024-07-28T00:00:00"/>
    <x v="1"/>
    <x v="6"/>
    <x v="1"/>
    <x v="66"/>
    <x v="4"/>
    <x v="4"/>
    <x v="76"/>
    <x v="0"/>
    <x v="15"/>
    <x v="6"/>
    <x v="4"/>
    <n v="1089.15"/>
  </r>
  <r>
    <d v="2024-07-28T00:00:00"/>
    <x v="1"/>
    <x v="6"/>
    <x v="1"/>
    <x v="37"/>
    <x v="6"/>
    <x v="6"/>
    <x v="39"/>
    <x v="0"/>
    <x v="14"/>
    <x v="1"/>
    <x v="0"/>
    <n v="1099.27"/>
  </r>
  <r>
    <d v="2024-07-28T00:00:00"/>
    <x v="1"/>
    <x v="6"/>
    <x v="0"/>
    <x v="31"/>
    <x v="2"/>
    <x v="2"/>
    <x v="0"/>
    <x v="0"/>
    <x v="11"/>
    <x v="2"/>
    <x v="2"/>
    <n v="1248.66"/>
  </r>
  <r>
    <d v="2024-07-28T00:00:00"/>
    <x v="1"/>
    <x v="6"/>
    <x v="1"/>
    <x v="23"/>
    <x v="1"/>
    <x v="1"/>
    <x v="12"/>
    <x v="0"/>
    <x v="10"/>
    <x v="9"/>
    <x v="6"/>
    <n v="1956.56"/>
  </r>
  <r>
    <d v="2024-07-29T00:00:00"/>
    <x v="1"/>
    <x v="6"/>
    <x v="1"/>
    <x v="40"/>
    <x v="3"/>
    <x v="3"/>
    <x v="65"/>
    <x v="0"/>
    <x v="1"/>
    <x v="6"/>
    <x v="4"/>
    <n v="4.5"/>
  </r>
  <r>
    <d v="2024-07-29T00:00:00"/>
    <x v="1"/>
    <x v="6"/>
    <x v="1"/>
    <x v="44"/>
    <x v="6"/>
    <x v="6"/>
    <x v="49"/>
    <x v="0"/>
    <x v="13"/>
    <x v="6"/>
    <x v="4"/>
    <n v="28.94"/>
  </r>
  <r>
    <d v="2024-07-29T00:00:00"/>
    <x v="1"/>
    <x v="6"/>
    <x v="1"/>
    <x v="49"/>
    <x v="3"/>
    <x v="3"/>
    <x v="58"/>
    <x v="0"/>
    <x v="16"/>
    <x v="1"/>
    <x v="0"/>
    <n v="29.98"/>
  </r>
  <r>
    <d v="2024-07-29T00:00:00"/>
    <x v="1"/>
    <x v="6"/>
    <x v="1"/>
    <x v="22"/>
    <x v="1"/>
    <x v="1"/>
    <x v="20"/>
    <x v="0"/>
    <x v="5"/>
    <x v="5"/>
    <x v="8"/>
    <n v="41.97"/>
  </r>
  <r>
    <d v="2024-07-29T00:00:00"/>
    <x v="1"/>
    <x v="6"/>
    <x v="1"/>
    <x v="77"/>
    <x v="3"/>
    <x v="3"/>
    <x v="66"/>
    <x v="0"/>
    <x v="1"/>
    <x v="5"/>
    <x v="8"/>
    <n v="76.66"/>
  </r>
  <r>
    <d v="2024-07-29T00:00:00"/>
    <x v="1"/>
    <x v="6"/>
    <x v="1"/>
    <x v="33"/>
    <x v="1"/>
    <x v="1"/>
    <x v="13"/>
    <x v="0"/>
    <x v="10"/>
    <x v="6"/>
    <x v="4"/>
    <n v="89.82"/>
  </r>
  <r>
    <d v="2024-07-29T00:00:00"/>
    <x v="1"/>
    <x v="6"/>
    <x v="1"/>
    <x v="50"/>
    <x v="7"/>
    <x v="7"/>
    <x v="83"/>
    <x v="0"/>
    <x v="20"/>
    <x v="0"/>
    <x v="9"/>
    <n v="327.74"/>
  </r>
  <r>
    <d v="2024-07-29T00:00:00"/>
    <x v="1"/>
    <x v="6"/>
    <x v="0"/>
    <x v="36"/>
    <x v="7"/>
    <x v="7"/>
    <x v="90"/>
    <x v="0"/>
    <x v="9"/>
    <x v="2"/>
    <x v="2"/>
    <n v="780.56"/>
  </r>
  <r>
    <d v="2024-07-29T00:00:00"/>
    <x v="1"/>
    <x v="6"/>
    <x v="0"/>
    <x v="5"/>
    <x v="1"/>
    <x v="1"/>
    <x v="14"/>
    <x v="0"/>
    <x v="4"/>
    <x v="2"/>
    <x v="2"/>
    <n v="2346.41"/>
  </r>
  <r>
    <d v="2024-07-30T00:00:00"/>
    <x v="1"/>
    <x v="6"/>
    <x v="0"/>
    <x v="35"/>
    <x v="6"/>
    <x v="6"/>
    <x v="46"/>
    <x v="0"/>
    <x v="7"/>
    <x v="3"/>
    <x v="1"/>
    <n v="50.25"/>
  </r>
  <r>
    <d v="2024-07-30T00:00:00"/>
    <x v="1"/>
    <x v="6"/>
    <x v="1"/>
    <x v="83"/>
    <x v="3"/>
    <x v="3"/>
    <x v="56"/>
    <x v="0"/>
    <x v="16"/>
    <x v="3"/>
    <x v="1"/>
    <n v="136.66"/>
  </r>
  <r>
    <d v="2024-07-30T00:00:00"/>
    <x v="1"/>
    <x v="6"/>
    <x v="0"/>
    <x v="60"/>
    <x v="6"/>
    <x v="6"/>
    <x v="44"/>
    <x v="0"/>
    <x v="7"/>
    <x v="1"/>
    <x v="0"/>
    <n v="259.87"/>
  </r>
  <r>
    <d v="2024-07-30T00:00:00"/>
    <x v="1"/>
    <x v="6"/>
    <x v="1"/>
    <x v="84"/>
    <x v="3"/>
    <x v="3"/>
    <x v="53"/>
    <x v="0"/>
    <x v="19"/>
    <x v="8"/>
    <x v="5"/>
    <n v="296.85"/>
  </r>
  <r>
    <d v="2024-07-30T00:00:00"/>
    <x v="1"/>
    <x v="6"/>
    <x v="1"/>
    <x v="11"/>
    <x v="1"/>
    <x v="1"/>
    <x v="15"/>
    <x v="0"/>
    <x v="4"/>
    <x v="1"/>
    <x v="0"/>
    <n v="360.52"/>
  </r>
  <r>
    <d v="2024-07-30T00:00:00"/>
    <x v="1"/>
    <x v="6"/>
    <x v="1"/>
    <x v="64"/>
    <x v="3"/>
    <x v="3"/>
    <x v="70"/>
    <x v="0"/>
    <x v="3"/>
    <x v="6"/>
    <x v="4"/>
    <n v="850.73"/>
  </r>
  <r>
    <d v="2024-07-31T00:00:00"/>
    <x v="1"/>
    <x v="6"/>
    <x v="1"/>
    <x v="64"/>
    <x v="3"/>
    <x v="3"/>
    <x v="70"/>
    <x v="0"/>
    <x v="3"/>
    <x v="5"/>
    <x v="8"/>
    <n v="1.0"/>
  </r>
  <r>
    <d v="2024-07-31T00:00:00"/>
    <x v="1"/>
    <x v="6"/>
    <x v="1"/>
    <x v="45"/>
    <x v="3"/>
    <x v="3"/>
    <x v="64"/>
    <x v="0"/>
    <x v="1"/>
    <x v="4"/>
    <x v="7"/>
    <n v="4.99"/>
  </r>
  <r>
    <d v="2024-07-31T00:00:00"/>
    <x v="1"/>
    <x v="6"/>
    <x v="1"/>
    <x v="35"/>
    <x v="6"/>
    <x v="6"/>
    <x v="46"/>
    <x v="0"/>
    <x v="7"/>
    <x v="4"/>
    <x v="7"/>
    <n v="8.23"/>
  </r>
  <r>
    <d v="2024-07-31T00:00:00"/>
    <x v="1"/>
    <x v="6"/>
    <x v="1"/>
    <x v="18"/>
    <x v="5"/>
    <x v="5"/>
    <x v="96"/>
    <x v="0"/>
    <x v="18"/>
    <x v="0"/>
    <x v="9"/>
    <n v="26.99"/>
  </r>
  <r>
    <d v="2024-07-31T00:00:00"/>
    <x v="1"/>
    <x v="6"/>
    <x v="0"/>
    <x v="63"/>
    <x v="4"/>
    <x v="4"/>
    <x v="78"/>
    <x v="0"/>
    <x v="0"/>
    <x v="6"/>
    <x v="4"/>
    <n v="232.78"/>
  </r>
  <r>
    <d v="2024-07-31T00:00:00"/>
    <x v="1"/>
    <x v="6"/>
    <x v="0"/>
    <x v="48"/>
    <x v="7"/>
    <x v="7"/>
    <x v="85"/>
    <x v="0"/>
    <x v="20"/>
    <x v="9"/>
    <x v="6"/>
    <n v="245.59"/>
  </r>
  <r>
    <d v="2024-07-31T00:00:00"/>
    <x v="1"/>
    <x v="6"/>
    <x v="1"/>
    <x v="71"/>
    <x v="1"/>
    <x v="1"/>
    <x v="27"/>
    <x v="0"/>
    <x v="8"/>
    <x v="3"/>
    <x v="1"/>
    <n v="721.4"/>
  </r>
  <r>
    <d v="2024-07-31T00:00:00"/>
    <x v="1"/>
    <x v="6"/>
    <x v="0"/>
    <x v="89"/>
    <x v="1"/>
    <x v="1"/>
    <x v="18"/>
    <x v="0"/>
    <x v="5"/>
    <x v="6"/>
    <x v="4"/>
    <n v="773.53"/>
  </r>
  <r>
    <d v="2024-07-31T00:00:00"/>
    <x v="1"/>
    <x v="6"/>
    <x v="1"/>
    <x v="65"/>
    <x v="1"/>
    <x v="1"/>
    <x v="7"/>
    <x v="0"/>
    <x v="10"/>
    <x v="5"/>
    <x v="8"/>
    <n v="4062.0"/>
  </r>
  <r>
    <d v="2024-08-01T00:00:00"/>
    <x v="1"/>
    <x v="7"/>
    <x v="1"/>
    <x v="1"/>
    <x v="7"/>
    <x v="7"/>
    <x v="89"/>
    <x v="0"/>
    <x v="12"/>
    <x v="1"/>
    <x v="0"/>
    <n v="2.0"/>
  </r>
  <r>
    <d v="2024-08-01T00:00:00"/>
    <x v="1"/>
    <x v="7"/>
    <x v="0"/>
    <x v="59"/>
    <x v="1"/>
    <x v="1"/>
    <x v="3"/>
    <x v="0"/>
    <x v="6"/>
    <x v="2"/>
    <x v="2"/>
    <n v="12.99"/>
  </r>
  <r>
    <d v="2024-08-01T00:00:00"/>
    <x v="1"/>
    <x v="7"/>
    <x v="0"/>
    <x v="9"/>
    <x v="7"/>
    <x v="7"/>
    <x v="82"/>
    <x v="0"/>
    <x v="20"/>
    <x v="9"/>
    <x v="6"/>
    <n v="179.7"/>
  </r>
  <r>
    <d v="2024-08-01T00:00:00"/>
    <x v="1"/>
    <x v="7"/>
    <x v="0"/>
    <x v="84"/>
    <x v="3"/>
    <x v="3"/>
    <x v="53"/>
    <x v="0"/>
    <x v="19"/>
    <x v="0"/>
    <x v="9"/>
    <n v="301.32"/>
  </r>
  <r>
    <d v="2024-08-02T00:00:00"/>
    <x v="1"/>
    <x v="7"/>
    <x v="1"/>
    <x v="49"/>
    <x v="3"/>
    <x v="3"/>
    <x v="58"/>
    <x v="0"/>
    <x v="16"/>
    <x v="0"/>
    <x v="9"/>
    <n v="13.0"/>
  </r>
  <r>
    <d v="2024-08-02T00:00:00"/>
    <x v="1"/>
    <x v="7"/>
    <x v="1"/>
    <x v="30"/>
    <x v="6"/>
    <x v="6"/>
    <x v="37"/>
    <x v="0"/>
    <x v="14"/>
    <x v="4"/>
    <x v="7"/>
    <n v="18.0"/>
  </r>
  <r>
    <d v="2024-08-02T00:00:00"/>
    <x v="1"/>
    <x v="7"/>
    <x v="1"/>
    <x v="86"/>
    <x v="1"/>
    <x v="1"/>
    <x v="9"/>
    <x v="0"/>
    <x v="10"/>
    <x v="5"/>
    <x v="8"/>
    <n v="48.04"/>
  </r>
  <r>
    <d v="2024-08-02T00:00:00"/>
    <x v="1"/>
    <x v="7"/>
    <x v="1"/>
    <x v="82"/>
    <x v="6"/>
    <x v="6"/>
    <x v="47"/>
    <x v="0"/>
    <x v="13"/>
    <x v="5"/>
    <x v="8"/>
    <n v="57.94"/>
  </r>
  <r>
    <d v="2024-08-02T00:00:00"/>
    <x v="1"/>
    <x v="7"/>
    <x v="1"/>
    <x v="51"/>
    <x v="5"/>
    <x v="5"/>
    <x v="95"/>
    <x v="0"/>
    <x v="18"/>
    <x v="2"/>
    <x v="2"/>
    <n v="157.81"/>
  </r>
  <r>
    <d v="2024-08-02T00:00:00"/>
    <x v="1"/>
    <x v="7"/>
    <x v="1"/>
    <x v="73"/>
    <x v="4"/>
    <x v="4"/>
    <x v="80"/>
    <x v="0"/>
    <x v="0"/>
    <x v="1"/>
    <x v="0"/>
    <n v="266.76"/>
  </r>
  <r>
    <d v="2024-08-02T00:00:00"/>
    <x v="1"/>
    <x v="7"/>
    <x v="1"/>
    <x v="71"/>
    <x v="1"/>
    <x v="1"/>
    <x v="27"/>
    <x v="0"/>
    <x v="8"/>
    <x v="6"/>
    <x v="4"/>
    <n v="311.4"/>
  </r>
  <r>
    <d v="2024-08-02T00:00:00"/>
    <x v="1"/>
    <x v="7"/>
    <x v="1"/>
    <x v="50"/>
    <x v="7"/>
    <x v="7"/>
    <x v="83"/>
    <x v="0"/>
    <x v="20"/>
    <x v="9"/>
    <x v="6"/>
    <n v="981.68"/>
  </r>
  <r>
    <d v="2024-08-02T00:00:00"/>
    <x v="1"/>
    <x v="7"/>
    <x v="1"/>
    <x v="35"/>
    <x v="6"/>
    <x v="6"/>
    <x v="46"/>
    <x v="0"/>
    <x v="7"/>
    <x v="4"/>
    <x v="7"/>
    <n v="1482.99"/>
  </r>
  <r>
    <d v="2024-08-03T00:00:00"/>
    <x v="1"/>
    <x v="7"/>
    <x v="1"/>
    <x v="53"/>
    <x v="1"/>
    <x v="1"/>
    <x v="16"/>
    <x v="0"/>
    <x v="4"/>
    <x v="9"/>
    <x v="6"/>
    <n v="43.13"/>
  </r>
  <r>
    <d v="2024-08-03T00:00:00"/>
    <x v="1"/>
    <x v="7"/>
    <x v="1"/>
    <x v="66"/>
    <x v="4"/>
    <x v="4"/>
    <x v="76"/>
    <x v="0"/>
    <x v="15"/>
    <x v="1"/>
    <x v="0"/>
    <n v="73.5"/>
  </r>
  <r>
    <d v="2024-08-03T00:00:00"/>
    <x v="1"/>
    <x v="7"/>
    <x v="1"/>
    <x v="26"/>
    <x v="7"/>
    <x v="7"/>
    <x v="81"/>
    <x v="0"/>
    <x v="20"/>
    <x v="2"/>
    <x v="2"/>
    <n v="90.93"/>
  </r>
  <r>
    <d v="2024-08-03T00:00:00"/>
    <x v="1"/>
    <x v="7"/>
    <x v="1"/>
    <x v="67"/>
    <x v="3"/>
    <x v="3"/>
    <x v="62"/>
    <x v="0"/>
    <x v="17"/>
    <x v="2"/>
    <x v="2"/>
    <n v="167.89"/>
  </r>
  <r>
    <d v="2024-08-03T00:00:00"/>
    <x v="1"/>
    <x v="7"/>
    <x v="0"/>
    <x v="23"/>
    <x v="1"/>
    <x v="1"/>
    <x v="12"/>
    <x v="0"/>
    <x v="10"/>
    <x v="6"/>
    <x v="4"/>
    <n v="203.66"/>
  </r>
  <r>
    <d v="2024-08-03T00:00:00"/>
    <x v="1"/>
    <x v="7"/>
    <x v="1"/>
    <x v="80"/>
    <x v="6"/>
    <x v="6"/>
    <x v="38"/>
    <x v="0"/>
    <x v="14"/>
    <x v="5"/>
    <x v="8"/>
    <n v="341.86"/>
  </r>
  <r>
    <d v="2024-08-03T00:00:00"/>
    <x v="1"/>
    <x v="7"/>
    <x v="1"/>
    <x v="38"/>
    <x v="0"/>
    <x v="0"/>
    <x v="21"/>
    <x v="0"/>
    <x v="5"/>
    <x v="1"/>
    <x v="0"/>
    <n v="357.79"/>
  </r>
  <r>
    <d v="2024-08-04T00:00:00"/>
    <x v="1"/>
    <x v="7"/>
    <x v="1"/>
    <x v="31"/>
    <x v="2"/>
    <x v="2"/>
    <x v="0"/>
    <x v="0"/>
    <x v="11"/>
    <x v="1"/>
    <x v="0"/>
    <n v="3.0"/>
  </r>
  <r>
    <d v="2024-08-04T00:00:00"/>
    <x v="1"/>
    <x v="7"/>
    <x v="1"/>
    <x v="50"/>
    <x v="7"/>
    <x v="7"/>
    <x v="83"/>
    <x v="0"/>
    <x v="20"/>
    <x v="4"/>
    <x v="7"/>
    <n v="7.98"/>
  </r>
  <r>
    <d v="2024-08-04T00:00:00"/>
    <x v="1"/>
    <x v="7"/>
    <x v="1"/>
    <x v="94"/>
    <x v="6"/>
    <x v="6"/>
    <x v="48"/>
    <x v="0"/>
    <x v="13"/>
    <x v="8"/>
    <x v="5"/>
    <n v="18.58"/>
  </r>
  <r>
    <d v="2024-08-04T00:00:00"/>
    <x v="1"/>
    <x v="7"/>
    <x v="0"/>
    <x v="61"/>
    <x v="7"/>
    <x v="7"/>
    <x v="84"/>
    <x v="0"/>
    <x v="20"/>
    <x v="5"/>
    <x v="8"/>
    <n v="39.48"/>
  </r>
  <r>
    <d v="2024-08-04T00:00:00"/>
    <x v="1"/>
    <x v="7"/>
    <x v="1"/>
    <x v="2"/>
    <x v="1"/>
    <x v="1"/>
    <x v="2"/>
    <x v="0"/>
    <x v="6"/>
    <x v="6"/>
    <x v="4"/>
    <n v="480.2"/>
  </r>
  <r>
    <d v="2024-08-04T00:00:00"/>
    <x v="1"/>
    <x v="7"/>
    <x v="1"/>
    <x v="57"/>
    <x v="4"/>
    <x v="4"/>
    <x v="74"/>
    <x v="0"/>
    <x v="15"/>
    <x v="9"/>
    <x v="6"/>
    <n v="700.16"/>
  </r>
  <r>
    <d v="2024-08-04T00:00:00"/>
    <x v="1"/>
    <x v="7"/>
    <x v="0"/>
    <x v="23"/>
    <x v="1"/>
    <x v="1"/>
    <x v="12"/>
    <x v="0"/>
    <x v="10"/>
    <x v="5"/>
    <x v="8"/>
    <n v="799.67"/>
  </r>
  <r>
    <d v="2024-08-04T00:00:00"/>
    <x v="1"/>
    <x v="7"/>
    <x v="1"/>
    <x v="68"/>
    <x v="3"/>
    <x v="3"/>
    <x v="59"/>
    <x v="0"/>
    <x v="16"/>
    <x v="7"/>
    <x v="3"/>
    <n v="1550.33"/>
  </r>
  <r>
    <d v="2024-08-04T00:00:00"/>
    <x v="1"/>
    <x v="7"/>
    <x v="1"/>
    <x v="75"/>
    <x v="1"/>
    <x v="1"/>
    <x v="4"/>
    <x v="0"/>
    <x v="6"/>
    <x v="6"/>
    <x v="4"/>
    <n v="6526.58"/>
  </r>
  <r>
    <d v="2024-08-05T00:00:00"/>
    <x v="1"/>
    <x v="7"/>
    <x v="1"/>
    <x v="62"/>
    <x v="6"/>
    <x v="6"/>
    <x v="50"/>
    <x v="0"/>
    <x v="13"/>
    <x v="1"/>
    <x v="0"/>
    <n v="9.0"/>
  </r>
  <r>
    <d v="2024-08-05T00:00:00"/>
    <x v="1"/>
    <x v="7"/>
    <x v="0"/>
    <x v="53"/>
    <x v="1"/>
    <x v="1"/>
    <x v="16"/>
    <x v="0"/>
    <x v="4"/>
    <x v="4"/>
    <x v="7"/>
    <n v="56.81"/>
  </r>
  <r>
    <d v="2024-08-05T00:00:00"/>
    <x v="1"/>
    <x v="7"/>
    <x v="1"/>
    <x v="0"/>
    <x v="3"/>
    <x v="3"/>
    <x v="69"/>
    <x v="0"/>
    <x v="3"/>
    <x v="0"/>
    <x v="9"/>
    <n v="123.31"/>
  </r>
  <r>
    <d v="2024-08-05T00:00:00"/>
    <x v="1"/>
    <x v="7"/>
    <x v="0"/>
    <x v="40"/>
    <x v="3"/>
    <x v="3"/>
    <x v="65"/>
    <x v="0"/>
    <x v="1"/>
    <x v="9"/>
    <x v="6"/>
    <n v="239.94"/>
  </r>
  <r>
    <d v="2024-08-05T00:00:00"/>
    <x v="1"/>
    <x v="7"/>
    <x v="1"/>
    <x v="59"/>
    <x v="1"/>
    <x v="1"/>
    <x v="3"/>
    <x v="0"/>
    <x v="6"/>
    <x v="6"/>
    <x v="4"/>
    <n v="521.63"/>
  </r>
  <r>
    <d v="2024-08-05T00:00:00"/>
    <x v="1"/>
    <x v="7"/>
    <x v="0"/>
    <x v="94"/>
    <x v="6"/>
    <x v="6"/>
    <x v="48"/>
    <x v="0"/>
    <x v="13"/>
    <x v="9"/>
    <x v="6"/>
    <n v="918.24"/>
  </r>
  <r>
    <d v="2024-08-06T00:00:00"/>
    <x v="1"/>
    <x v="7"/>
    <x v="1"/>
    <x v="42"/>
    <x v="3"/>
    <x v="3"/>
    <x v="63"/>
    <x v="0"/>
    <x v="17"/>
    <x v="8"/>
    <x v="5"/>
    <n v="31.96"/>
  </r>
  <r>
    <d v="2024-08-06T00:00:00"/>
    <x v="1"/>
    <x v="7"/>
    <x v="1"/>
    <x v="7"/>
    <x v="1"/>
    <x v="1"/>
    <x v="10"/>
    <x v="0"/>
    <x v="10"/>
    <x v="1"/>
    <x v="0"/>
    <n v="42.98"/>
  </r>
  <r>
    <d v="2024-08-06T00:00:00"/>
    <x v="1"/>
    <x v="7"/>
    <x v="0"/>
    <x v="90"/>
    <x v="3"/>
    <x v="3"/>
    <x v="55"/>
    <x v="0"/>
    <x v="19"/>
    <x v="2"/>
    <x v="2"/>
    <n v="47.94"/>
  </r>
  <r>
    <d v="2024-08-06T00:00:00"/>
    <x v="1"/>
    <x v="7"/>
    <x v="1"/>
    <x v="73"/>
    <x v="4"/>
    <x v="4"/>
    <x v="80"/>
    <x v="0"/>
    <x v="0"/>
    <x v="2"/>
    <x v="2"/>
    <n v="51.96"/>
  </r>
  <r>
    <d v="2024-08-06T00:00:00"/>
    <x v="1"/>
    <x v="7"/>
    <x v="0"/>
    <x v="86"/>
    <x v="1"/>
    <x v="1"/>
    <x v="9"/>
    <x v="0"/>
    <x v="10"/>
    <x v="8"/>
    <x v="5"/>
    <n v="102.33"/>
  </r>
  <r>
    <d v="2024-08-06T00:00:00"/>
    <x v="1"/>
    <x v="7"/>
    <x v="0"/>
    <x v="96"/>
    <x v="3"/>
    <x v="3"/>
    <x v="67"/>
    <x v="0"/>
    <x v="1"/>
    <x v="8"/>
    <x v="5"/>
    <n v="188.13"/>
  </r>
  <r>
    <d v="2024-08-06T00:00:00"/>
    <x v="1"/>
    <x v="7"/>
    <x v="1"/>
    <x v="11"/>
    <x v="1"/>
    <x v="1"/>
    <x v="15"/>
    <x v="0"/>
    <x v="4"/>
    <x v="1"/>
    <x v="0"/>
    <n v="277.03"/>
  </r>
  <r>
    <d v="2024-08-06T00:00:00"/>
    <x v="1"/>
    <x v="7"/>
    <x v="1"/>
    <x v="90"/>
    <x v="3"/>
    <x v="3"/>
    <x v="55"/>
    <x v="0"/>
    <x v="19"/>
    <x v="8"/>
    <x v="5"/>
    <n v="1245.88"/>
  </r>
  <r>
    <d v="2024-08-06T00:00:00"/>
    <x v="1"/>
    <x v="7"/>
    <x v="0"/>
    <x v="10"/>
    <x v="6"/>
    <x v="6"/>
    <x v="41"/>
    <x v="0"/>
    <x v="7"/>
    <x v="3"/>
    <x v="1"/>
    <n v="1744.54"/>
  </r>
  <r>
    <d v="2024-08-07T00:00:00"/>
    <x v="1"/>
    <x v="7"/>
    <x v="1"/>
    <x v="37"/>
    <x v="6"/>
    <x v="6"/>
    <x v="39"/>
    <x v="0"/>
    <x v="14"/>
    <x v="8"/>
    <x v="5"/>
    <n v="13.86"/>
  </r>
  <r>
    <d v="2024-08-07T00:00:00"/>
    <x v="1"/>
    <x v="7"/>
    <x v="0"/>
    <x v="43"/>
    <x v="7"/>
    <x v="7"/>
    <x v="87"/>
    <x v="0"/>
    <x v="12"/>
    <x v="1"/>
    <x v="0"/>
    <n v="24.42"/>
  </r>
  <r>
    <d v="2024-08-07T00:00:00"/>
    <x v="1"/>
    <x v="7"/>
    <x v="1"/>
    <x v="58"/>
    <x v="3"/>
    <x v="3"/>
    <x v="61"/>
    <x v="0"/>
    <x v="17"/>
    <x v="6"/>
    <x v="4"/>
    <n v="152.77"/>
  </r>
  <r>
    <d v="2024-08-07T00:00:00"/>
    <x v="1"/>
    <x v="7"/>
    <x v="1"/>
    <x v="80"/>
    <x v="6"/>
    <x v="6"/>
    <x v="38"/>
    <x v="0"/>
    <x v="14"/>
    <x v="3"/>
    <x v="1"/>
    <n v="306.71"/>
  </r>
  <r>
    <d v="2024-08-07T00:00:00"/>
    <x v="1"/>
    <x v="7"/>
    <x v="1"/>
    <x v="33"/>
    <x v="1"/>
    <x v="1"/>
    <x v="13"/>
    <x v="0"/>
    <x v="10"/>
    <x v="3"/>
    <x v="1"/>
    <n v="327.77"/>
  </r>
  <r>
    <d v="2024-08-07T00:00:00"/>
    <x v="1"/>
    <x v="7"/>
    <x v="1"/>
    <x v="4"/>
    <x v="6"/>
    <x v="6"/>
    <x v="29"/>
    <x v="0"/>
    <x v="2"/>
    <x v="1"/>
    <x v="0"/>
    <n v="361.7"/>
  </r>
  <r>
    <d v="2024-08-08T00:00:00"/>
    <x v="1"/>
    <x v="7"/>
    <x v="1"/>
    <x v="58"/>
    <x v="3"/>
    <x v="3"/>
    <x v="61"/>
    <x v="0"/>
    <x v="17"/>
    <x v="1"/>
    <x v="0"/>
    <n v="6.99"/>
  </r>
  <r>
    <d v="2024-08-08T00:00:00"/>
    <x v="1"/>
    <x v="7"/>
    <x v="0"/>
    <x v="25"/>
    <x v="1"/>
    <x v="1"/>
    <x v="6"/>
    <x v="0"/>
    <x v="6"/>
    <x v="4"/>
    <x v="7"/>
    <n v="51.0"/>
  </r>
  <r>
    <d v="2024-08-08T00:00:00"/>
    <x v="1"/>
    <x v="7"/>
    <x v="1"/>
    <x v="18"/>
    <x v="5"/>
    <x v="5"/>
    <x v="96"/>
    <x v="0"/>
    <x v="18"/>
    <x v="2"/>
    <x v="2"/>
    <n v="239.83"/>
  </r>
  <r>
    <d v="2024-08-08T00:00:00"/>
    <x v="1"/>
    <x v="7"/>
    <x v="1"/>
    <x v="25"/>
    <x v="1"/>
    <x v="1"/>
    <x v="6"/>
    <x v="0"/>
    <x v="6"/>
    <x v="8"/>
    <x v="5"/>
    <n v="334.33"/>
  </r>
  <r>
    <d v="2024-08-08T00:00:00"/>
    <x v="1"/>
    <x v="7"/>
    <x v="1"/>
    <x v="34"/>
    <x v="6"/>
    <x v="6"/>
    <x v="32"/>
    <x v="0"/>
    <x v="2"/>
    <x v="3"/>
    <x v="1"/>
    <n v="743.15"/>
  </r>
  <r>
    <d v="2024-08-09T00:00:00"/>
    <x v="1"/>
    <x v="7"/>
    <x v="0"/>
    <x v="56"/>
    <x v="7"/>
    <x v="7"/>
    <x v="86"/>
    <x v="0"/>
    <x v="12"/>
    <x v="4"/>
    <x v="7"/>
    <n v="80.92"/>
  </r>
  <r>
    <d v="2024-08-09T00:00:00"/>
    <x v="1"/>
    <x v="7"/>
    <x v="1"/>
    <x v="91"/>
    <x v="1"/>
    <x v="1"/>
    <x v="23"/>
    <x v="0"/>
    <x v="8"/>
    <x v="6"/>
    <x v="4"/>
    <n v="4251.05"/>
  </r>
  <r>
    <d v="2024-08-09T00:00:00"/>
    <x v="1"/>
    <x v="7"/>
    <x v="1"/>
    <x v="12"/>
    <x v="1"/>
    <x v="1"/>
    <x v="26"/>
    <x v="0"/>
    <x v="8"/>
    <x v="5"/>
    <x v="8"/>
    <n v="5754.13"/>
  </r>
  <r>
    <d v="2024-08-10T00:00:00"/>
    <x v="1"/>
    <x v="7"/>
    <x v="1"/>
    <x v="21"/>
    <x v="3"/>
    <x v="3"/>
    <x v="60"/>
    <x v="0"/>
    <x v="17"/>
    <x v="0"/>
    <x v="9"/>
    <n v="4.56"/>
  </r>
  <r>
    <d v="2024-08-10T00:00:00"/>
    <x v="1"/>
    <x v="7"/>
    <x v="0"/>
    <x v="35"/>
    <x v="6"/>
    <x v="6"/>
    <x v="46"/>
    <x v="0"/>
    <x v="7"/>
    <x v="4"/>
    <x v="7"/>
    <n v="23.96"/>
  </r>
  <r>
    <d v="2024-08-10T00:00:00"/>
    <x v="1"/>
    <x v="7"/>
    <x v="1"/>
    <x v="46"/>
    <x v="6"/>
    <x v="6"/>
    <x v="42"/>
    <x v="0"/>
    <x v="7"/>
    <x v="2"/>
    <x v="2"/>
    <n v="24.99"/>
  </r>
  <r>
    <d v="2024-08-10T00:00:00"/>
    <x v="1"/>
    <x v="7"/>
    <x v="0"/>
    <x v="70"/>
    <x v="6"/>
    <x v="6"/>
    <x v="33"/>
    <x v="0"/>
    <x v="14"/>
    <x v="5"/>
    <x v="8"/>
    <n v="93.85"/>
  </r>
  <r>
    <d v="2024-08-10T00:00:00"/>
    <x v="1"/>
    <x v="7"/>
    <x v="1"/>
    <x v="75"/>
    <x v="1"/>
    <x v="1"/>
    <x v="4"/>
    <x v="0"/>
    <x v="6"/>
    <x v="4"/>
    <x v="7"/>
    <n v="99.77"/>
  </r>
  <r>
    <d v="2024-08-10T00:00:00"/>
    <x v="1"/>
    <x v="7"/>
    <x v="1"/>
    <x v="17"/>
    <x v="3"/>
    <x v="3"/>
    <x v="57"/>
    <x v="0"/>
    <x v="16"/>
    <x v="6"/>
    <x v="4"/>
    <n v="106.99"/>
  </r>
  <r>
    <d v="2024-08-10T00:00:00"/>
    <x v="1"/>
    <x v="7"/>
    <x v="0"/>
    <x v="58"/>
    <x v="3"/>
    <x v="3"/>
    <x v="61"/>
    <x v="0"/>
    <x v="17"/>
    <x v="1"/>
    <x v="0"/>
    <n v="129.87"/>
  </r>
  <r>
    <d v="2024-08-10T00:00:00"/>
    <x v="1"/>
    <x v="7"/>
    <x v="1"/>
    <x v="91"/>
    <x v="1"/>
    <x v="1"/>
    <x v="23"/>
    <x v="0"/>
    <x v="8"/>
    <x v="0"/>
    <x v="9"/>
    <n v="694.98"/>
  </r>
  <r>
    <d v="2024-08-10T00:00:00"/>
    <x v="1"/>
    <x v="7"/>
    <x v="1"/>
    <x v="73"/>
    <x v="4"/>
    <x v="4"/>
    <x v="80"/>
    <x v="0"/>
    <x v="0"/>
    <x v="6"/>
    <x v="4"/>
    <n v="721.04"/>
  </r>
  <r>
    <d v="2024-08-11T00:00:00"/>
    <x v="1"/>
    <x v="7"/>
    <x v="1"/>
    <x v="33"/>
    <x v="1"/>
    <x v="1"/>
    <x v="13"/>
    <x v="0"/>
    <x v="10"/>
    <x v="1"/>
    <x v="0"/>
    <n v="25.98"/>
  </r>
  <r>
    <d v="2024-08-11T00:00:00"/>
    <x v="1"/>
    <x v="7"/>
    <x v="1"/>
    <x v="10"/>
    <x v="6"/>
    <x v="6"/>
    <x v="41"/>
    <x v="0"/>
    <x v="7"/>
    <x v="2"/>
    <x v="2"/>
    <n v="75.5"/>
  </r>
  <r>
    <d v="2024-08-11T00:00:00"/>
    <x v="1"/>
    <x v="7"/>
    <x v="1"/>
    <x v="13"/>
    <x v="0"/>
    <x v="0"/>
    <x v="22"/>
    <x v="0"/>
    <x v="5"/>
    <x v="0"/>
    <x v="9"/>
    <n v="112.14"/>
  </r>
  <r>
    <d v="2024-08-11T00:00:00"/>
    <x v="1"/>
    <x v="7"/>
    <x v="0"/>
    <x v="95"/>
    <x v="4"/>
    <x v="4"/>
    <x v="73"/>
    <x v="0"/>
    <x v="15"/>
    <x v="4"/>
    <x v="7"/>
    <n v="616.64"/>
  </r>
  <r>
    <d v="2024-08-12T00:00:00"/>
    <x v="1"/>
    <x v="7"/>
    <x v="0"/>
    <x v="83"/>
    <x v="3"/>
    <x v="3"/>
    <x v="56"/>
    <x v="0"/>
    <x v="16"/>
    <x v="4"/>
    <x v="7"/>
    <n v="5.98"/>
  </r>
  <r>
    <d v="2024-08-12T00:00:00"/>
    <x v="1"/>
    <x v="7"/>
    <x v="1"/>
    <x v="8"/>
    <x v="3"/>
    <x v="3"/>
    <x v="72"/>
    <x v="0"/>
    <x v="3"/>
    <x v="5"/>
    <x v="8"/>
    <n v="44.47"/>
  </r>
  <r>
    <d v="2024-08-12T00:00:00"/>
    <x v="1"/>
    <x v="7"/>
    <x v="0"/>
    <x v="57"/>
    <x v="4"/>
    <x v="4"/>
    <x v="74"/>
    <x v="0"/>
    <x v="15"/>
    <x v="3"/>
    <x v="1"/>
    <n v="59.58"/>
  </r>
  <r>
    <d v="2024-08-12T00:00:00"/>
    <x v="1"/>
    <x v="7"/>
    <x v="1"/>
    <x v="6"/>
    <x v="1"/>
    <x v="1"/>
    <x v="5"/>
    <x v="0"/>
    <x v="6"/>
    <x v="1"/>
    <x v="0"/>
    <n v="257.84"/>
  </r>
  <r>
    <d v="2024-08-12T00:00:00"/>
    <x v="1"/>
    <x v="7"/>
    <x v="1"/>
    <x v="73"/>
    <x v="4"/>
    <x v="4"/>
    <x v="80"/>
    <x v="0"/>
    <x v="0"/>
    <x v="2"/>
    <x v="2"/>
    <n v="374.75"/>
  </r>
  <r>
    <d v="2024-08-12T00:00:00"/>
    <x v="1"/>
    <x v="7"/>
    <x v="1"/>
    <x v="56"/>
    <x v="7"/>
    <x v="7"/>
    <x v="86"/>
    <x v="0"/>
    <x v="12"/>
    <x v="1"/>
    <x v="0"/>
    <n v="386.95"/>
  </r>
  <r>
    <d v="2024-08-12T00:00:00"/>
    <x v="1"/>
    <x v="7"/>
    <x v="0"/>
    <x v="31"/>
    <x v="2"/>
    <x v="2"/>
    <x v="0"/>
    <x v="0"/>
    <x v="11"/>
    <x v="1"/>
    <x v="0"/>
    <n v="742.08"/>
  </r>
  <r>
    <d v="2024-08-12T00:00:00"/>
    <x v="1"/>
    <x v="7"/>
    <x v="1"/>
    <x v="88"/>
    <x v="1"/>
    <x v="1"/>
    <x v="17"/>
    <x v="0"/>
    <x v="4"/>
    <x v="2"/>
    <x v="2"/>
    <n v="1888.41"/>
  </r>
  <r>
    <d v="2024-08-12T00:00:00"/>
    <x v="1"/>
    <x v="7"/>
    <x v="1"/>
    <x v="77"/>
    <x v="3"/>
    <x v="3"/>
    <x v="66"/>
    <x v="0"/>
    <x v="1"/>
    <x v="9"/>
    <x v="6"/>
    <n v="2943.69"/>
  </r>
  <r>
    <d v="2024-08-13T00:00:00"/>
    <x v="1"/>
    <x v="7"/>
    <x v="0"/>
    <x v="16"/>
    <x v="7"/>
    <x v="7"/>
    <x v="92"/>
    <x v="0"/>
    <x v="9"/>
    <x v="9"/>
    <x v="6"/>
    <n v="15.98"/>
  </r>
  <r>
    <d v="2024-08-13T00:00:00"/>
    <x v="1"/>
    <x v="7"/>
    <x v="1"/>
    <x v="58"/>
    <x v="3"/>
    <x v="3"/>
    <x v="61"/>
    <x v="0"/>
    <x v="17"/>
    <x v="3"/>
    <x v="1"/>
    <n v="24.95"/>
  </r>
  <r>
    <d v="2024-08-13T00:00:00"/>
    <x v="1"/>
    <x v="7"/>
    <x v="0"/>
    <x v="15"/>
    <x v="4"/>
    <x v="4"/>
    <x v="79"/>
    <x v="0"/>
    <x v="0"/>
    <x v="5"/>
    <x v="8"/>
    <n v="46.9"/>
  </r>
  <r>
    <d v="2024-08-13T00:00:00"/>
    <x v="1"/>
    <x v="7"/>
    <x v="1"/>
    <x v="28"/>
    <x v="6"/>
    <x v="6"/>
    <x v="51"/>
    <x v="0"/>
    <x v="13"/>
    <x v="4"/>
    <x v="7"/>
    <n v="55.5"/>
  </r>
  <r>
    <d v="2024-08-13T00:00:00"/>
    <x v="1"/>
    <x v="7"/>
    <x v="0"/>
    <x v="91"/>
    <x v="1"/>
    <x v="1"/>
    <x v="23"/>
    <x v="0"/>
    <x v="8"/>
    <x v="2"/>
    <x v="2"/>
    <n v="77.87"/>
  </r>
  <r>
    <d v="2024-08-13T00:00:00"/>
    <x v="1"/>
    <x v="7"/>
    <x v="1"/>
    <x v="69"/>
    <x v="1"/>
    <x v="1"/>
    <x v="19"/>
    <x v="0"/>
    <x v="5"/>
    <x v="2"/>
    <x v="2"/>
    <n v="196.24"/>
  </r>
  <r>
    <d v="2024-08-13T00:00:00"/>
    <x v="1"/>
    <x v="7"/>
    <x v="1"/>
    <x v="1"/>
    <x v="7"/>
    <x v="7"/>
    <x v="89"/>
    <x v="0"/>
    <x v="12"/>
    <x v="0"/>
    <x v="9"/>
    <n v="298.37"/>
  </r>
  <r>
    <d v="2024-08-13T00:00:00"/>
    <x v="1"/>
    <x v="7"/>
    <x v="1"/>
    <x v="92"/>
    <x v="6"/>
    <x v="6"/>
    <x v="40"/>
    <x v="0"/>
    <x v="7"/>
    <x v="9"/>
    <x v="6"/>
    <n v="1952.6"/>
  </r>
  <r>
    <d v="2024-08-14T00:00:00"/>
    <x v="1"/>
    <x v="7"/>
    <x v="1"/>
    <x v="92"/>
    <x v="6"/>
    <x v="6"/>
    <x v="40"/>
    <x v="0"/>
    <x v="7"/>
    <x v="6"/>
    <x v="4"/>
    <n v="5.99"/>
  </r>
  <r>
    <d v="2024-08-14T00:00:00"/>
    <x v="1"/>
    <x v="7"/>
    <x v="0"/>
    <x v="57"/>
    <x v="4"/>
    <x v="4"/>
    <x v="74"/>
    <x v="0"/>
    <x v="15"/>
    <x v="1"/>
    <x v="0"/>
    <n v="64.95"/>
  </r>
  <r>
    <d v="2024-08-14T00:00:00"/>
    <x v="1"/>
    <x v="7"/>
    <x v="1"/>
    <x v="13"/>
    <x v="0"/>
    <x v="0"/>
    <x v="22"/>
    <x v="0"/>
    <x v="5"/>
    <x v="5"/>
    <x v="8"/>
    <n v="232.55"/>
  </r>
  <r>
    <d v="2024-08-14T00:00:00"/>
    <x v="1"/>
    <x v="7"/>
    <x v="1"/>
    <x v="43"/>
    <x v="7"/>
    <x v="7"/>
    <x v="87"/>
    <x v="0"/>
    <x v="12"/>
    <x v="3"/>
    <x v="1"/>
    <n v="241.28"/>
  </r>
  <r>
    <d v="2024-08-14T00:00:00"/>
    <x v="1"/>
    <x v="7"/>
    <x v="1"/>
    <x v="84"/>
    <x v="3"/>
    <x v="3"/>
    <x v="53"/>
    <x v="0"/>
    <x v="19"/>
    <x v="9"/>
    <x v="6"/>
    <n v="267.75"/>
  </r>
  <r>
    <d v="2024-08-14T00:00:00"/>
    <x v="1"/>
    <x v="7"/>
    <x v="1"/>
    <x v="76"/>
    <x v="6"/>
    <x v="6"/>
    <x v="34"/>
    <x v="0"/>
    <x v="14"/>
    <x v="3"/>
    <x v="1"/>
    <n v="430.63"/>
  </r>
  <r>
    <d v="2024-08-14T00:00:00"/>
    <x v="1"/>
    <x v="7"/>
    <x v="1"/>
    <x v="93"/>
    <x v="6"/>
    <x v="6"/>
    <x v="30"/>
    <x v="0"/>
    <x v="2"/>
    <x v="2"/>
    <x v="2"/>
    <n v="495.12"/>
  </r>
  <r>
    <d v="2024-08-14T00:00:00"/>
    <x v="1"/>
    <x v="7"/>
    <x v="1"/>
    <x v="16"/>
    <x v="7"/>
    <x v="7"/>
    <x v="92"/>
    <x v="0"/>
    <x v="9"/>
    <x v="6"/>
    <x v="4"/>
    <n v="702.33"/>
  </r>
  <r>
    <d v="2024-08-14T00:00:00"/>
    <x v="1"/>
    <x v="7"/>
    <x v="1"/>
    <x v="52"/>
    <x v="1"/>
    <x v="1"/>
    <x v="11"/>
    <x v="0"/>
    <x v="10"/>
    <x v="3"/>
    <x v="1"/>
    <n v="4907.9"/>
  </r>
  <r>
    <d v="2024-08-15T00:00:00"/>
    <x v="1"/>
    <x v="7"/>
    <x v="1"/>
    <x v="18"/>
    <x v="5"/>
    <x v="5"/>
    <x v="96"/>
    <x v="0"/>
    <x v="18"/>
    <x v="1"/>
    <x v="0"/>
    <n v="18.5"/>
  </r>
  <r>
    <d v="2024-08-15T00:00:00"/>
    <x v="1"/>
    <x v="7"/>
    <x v="0"/>
    <x v="47"/>
    <x v="3"/>
    <x v="3"/>
    <x v="54"/>
    <x v="0"/>
    <x v="19"/>
    <x v="7"/>
    <x v="3"/>
    <n v="69.3"/>
  </r>
  <r>
    <d v="2024-08-15T00:00:00"/>
    <x v="1"/>
    <x v="7"/>
    <x v="0"/>
    <x v="48"/>
    <x v="7"/>
    <x v="7"/>
    <x v="85"/>
    <x v="0"/>
    <x v="20"/>
    <x v="0"/>
    <x v="9"/>
    <n v="79.94"/>
  </r>
  <r>
    <d v="2024-08-15T00:00:00"/>
    <x v="1"/>
    <x v="7"/>
    <x v="0"/>
    <x v="42"/>
    <x v="3"/>
    <x v="3"/>
    <x v="63"/>
    <x v="0"/>
    <x v="17"/>
    <x v="1"/>
    <x v="0"/>
    <n v="171.94"/>
  </r>
  <r>
    <d v="2024-08-15T00:00:00"/>
    <x v="1"/>
    <x v="7"/>
    <x v="1"/>
    <x v="85"/>
    <x v="6"/>
    <x v="6"/>
    <x v="43"/>
    <x v="0"/>
    <x v="7"/>
    <x v="3"/>
    <x v="1"/>
    <n v="198.64"/>
  </r>
  <r>
    <d v="2024-08-15T00:00:00"/>
    <x v="1"/>
    <x v="7"/>
    <x v="0"/>
    <x v="45"/>
    <x v="3"/>
    <x v="3"/>
    <x v="64"/>
    <x v="0"/>
    <x v="1"/>
    <x v="1"/>
    <x v="0"/>
    <n v="300.69"/>
  </r>
  <r>
    <d v="2024-08-15T00:00:00"/>
    <x v="1"/>
    <x v="7"/>
    <x v="1"/>
    <x v="47"/>
    <x v="3"/>
    <x v="3"/>
    <x v="54"/>
    <x v="0"/>
    <x v="19"/>
    <x v="6"/>
    <x v="4"/>
    <n v="353.4"/>
  </r>
  <r>
    <d v="2024-08-15T00:00:00"/>
    <x v="1"/>
    <x v="7"/>
    <x v="1"/>
    <x v="24"/>
    <x v="6"/>
    <x v="6"/>
    <x v="36"/>
    <x v="0"/>
    <x v="14"/>
    <x v="1"/>
    <x v="0"/>
    <n v="354.67"/>
  </r>
  <r>
    <d v="2024-08-15T00:00:00"/>
    <x v="1"/>
    <x v="7"/>
    <x v="0"/>
    <x v="41"/>
    <x v="5"/>
    <x v="5"/>
    <x v="93"/>
    <x v="0"/>
    <x v="18"/>
    <x v="5"/>
    <x v="8"/>
    <n v="440.39"/>
  </r>
  <r>
    <d v="2024-08-16T00:00:00"/>
    <x v="1"/>
    <x v="7"/>
    <x v="1"/>
    <x v="31"/>
    <x v="2"/>
    <x v="2"/>
    <x v="0"/>
    <x v="0"/>
    <x v="11"/>
    <x v="0"/>
    <x v="9"/>
    <n v="8.98"/>
  </r>
  <r>
    <d v="2024-08-16T00:00:00"/>
    <x v="1"/>
    <x v="7"/>
    <x v="1"/>
    <x v="70"/>
    <x v="6"/>
    <x v="6"/>
    <x v="33"/>
    <x v="0"/>
    <x v="14"/>
    <x v="5"/>
    <x v="8"/>
    <n v="339.47"/>
  </r>
  <r>
    <d v="2024-08-16T00:00:00"/>
    <x v="1"/>
    <x v="7"/>
    <x v="0"/>
    <x v="4"/>
    <x v="6"/>
    <x v="6"/>
    <x v="29"/>
    <x v="0"/>
    <x v="2"/>
    <x v="6"/>
    <x v="4"/>
    <n v="1152.65"/>
  </r>
  <r>
    <d v="2024-08-16T00:00:00"/>
    <x v="1"/>
    <x v="7"/>
    <x v="0"/>
    <x v="1"/>
    <x v="7"/>
    <x v="7"/>
    <x v="89"/>
    <x v="0"/>
    <x v="12"/>
    <x v="2"/>
    <x v="2"/>
    <n v="2022.75"/>
  </r>
  <r>
    <d v="2024-08-16T00:00:00"/>
    <x v="1"/>
    <x v="7"/>
    <x v="0"/>
    <x v="79"/>
    <x v="1"/>
    <x v="1"/>
    <x v="8"/>
    <x v="0"/>
    <x v="10"/>
    <x v="9"/>
    <x v="6"/>
    <n v="3856.94"/>
  </r>
  <r>
    <d v="2024-08-17T00:00:00"/>
    <x v="1"/>
    <x v="7"/>
    <x v="0"/>
    <x v="68"/>
    <x v="3"/>
    <x v="3"/>
    <x v="59"/>
    <x v="0"/>
    <x v="16"/>
    <x v="0"/>
    <x v="9"/>
    <n v="5.99"/>
  </r>
  <r>
    <d v="2024-08-17T00:00:00"/>
    <x v="1"/>
    <x v="7"/>
    <x v="1"/>
    <x v="61"/>
    <x v="7"/>
    <x v="7"/>
    <x v="84"/>
    <x v="0"/>
    <x v="20"/>
    <x v="3"/>
    <x v="1"/>
    <n v="231.04"/>
  </r>
  <r>
    <d v="2024-08-17T00:00:00"/>
    <x v="1"/>
    <x v="7"/>
    <x v="1"/>
    <x v="75"/>
    <x v="1"/>
    <x v="1"/>
    <x v="4"/>
    <x v="0"/>
    <x v="6"/>
    <x v="0"/>
    <x v="9"/>
    <n v="339.38"/>
  </r>
  <r>
    <d v="2024-08-18T00:00:00"/>
    <x v="1"/>
    <x v="7"/>
    <x v="0"/>
    <x v="25"/>
    <x v="1"/>
    <x v="1"/>
    <x v="6"/>
    <x v="0"/>
    <x v="6"/>
    <x v="9"/>
    <x v="6"/>
    <n v="5.99"/>
  </r>
  <r>
    <d v="2024-08-18T00:00:00"/>
    <x v="1"/>
    <x v="7"/>
    <x v="0"/>
    <x v="88"/>
    <x v="1"/>
    <x v="1"/>
    <x v="17"/>
    <x v="0"/>
    <x v="4"/>
    <x v="8"/>
    <x v="5"/>
    <n v="274.88"/>
  </r>
  <r>
    <d v="2024-08-18T00:00:00"/>
    <x v="1"/>
    <x v="7"/>
    <x v="1"/>
    <x v="43"/>
    <x v="7"/>
    <x v="7"/>
    <x v="87"/>
    <x v="0"/>
    <x v="12"/>
    <x v="6"/>
    <x v="4"/>
    <n v="525.99"/>
  </r>
  <r>
    <d v="2024-08-19T00:00:00"/>
    <x v="1"/>
    <x v="7"/>
    <x v="1"/>
    <x v="71"/>
    <x v="1"/>
    <x v="1"/>
    <x v="27"/>
    <x v="0"/>
    <x v="8"/>
    <x v="2"/>
    <x v="2"/>
    <n v="18.57"/>
  </r>
  <r>
    <d v="2024-08-19T00:00:00"/>
    <x v="1"/>
    <x v="7"/>
    <x v="1"/>
    <x v="76"/>
    <x v="6"/>
    <x v="6"/>
    <x v="34"/>
    <x v="0"/>
    <x v="14"/>
    <x v="5"/>
    <x v="8"/>
    <n v="129.56"/>
  </r>
  <r>
    <d v="2024-08-19T00:00:00"/>
    <x v="1"/>
    <x v="7"/>
    <x v="0"/>
    <x v="54"/>
    <x v="1"/>
    <x v="1"/>
    <x v="25"/>
    <x v="0"/>
    <x v="8"/>
    <x v="1"/>
    <x v="0"/>
    <n v="134.9"/>
  </r>
  <r>
    <d v="2024-08-19T00:00:00"/>
    <x v="1"/>
    <x v="7"/>
    <x v="1"/>
    <x v="62"/>
    <x v="6"/>
    <x v="6"/>
    <x v="50"/>
    <x v="0"/>
    <x v="13"/>
    <x v="4"/>
    <x v="7"/>
    <n v="568.99"/>
  </r>
  <r>
    <d v="2024-08-19T00:00:00"/>
    <x v="1"/>
    <x v="7"/>
    <x v="0"/>
    <x v="4"/>
    <x v="6"/>
    <x v="6"/>
    <x v="29"/>
    <x v="0"/>
    <x v="2"/>
    <x v="2"/>
    <x v="2"/>
    <n v="853.53"/>
  </r>
  <r>
    <d v="2024-08-19T00:00:00"/>
    <x v="1"/>
    <x v="7"/>
    <x v="1"/>
    <x v="14"/>
    <x v="6"/>
    <x v="6"/>
    <x v="45"/>
    <x v="0"/>
    <x v="7"/>
    <x v="5"/>
    <x v="8"/>
    <n v="4544.01"/>
  </r>
  <r>
    <d v="2024-08-20T00:00:00"/>
    <x v="1"/>
    <x v="7"/>
    <x v="1"/>
    <x v="34"/>
    <x v="6"/>
    <x v="6"/>
    <x v="32"/>
    <x v="0"/>
    <x v="2"/>
    <x v="4"/>
    <x v="7"/>
    <n v="4.0"/>
  </r>
  <r>
    <d v="2024-08-20T00:00:00"/>
    <x v="1"/>
    <x v="7"/>
    <x v="1"/>
    <x v="6"/>
    <x v="1"/>
    <x v="1"/>
    <x v="5"/>
    <x v="0"/>
    <x v="6"/>
    <x v="0"/>
    <x v="9"/>
    <n v="47.95"/>
  </r>
  <r>
    <d v="2024-08-20T00:00:00"/>
    <x v="1"/>
    <x v="7"/>
    <x v="0"/>
    <x v="92"/>
    <x v="6"/>
    <x v="6"/>
    <x v="40"/>
    <x v="0"/>
    <x v="7"/>
    <x v="3"/>
    <x v="1"/>
    <n v="207.74"/>
  </r>
  <r>
    <d v="2024-08-20T00:00:00"/>
    <x v="1"/>
    <x v="7"/>
    <x v="1"/>
    <x v="96"/>
    <x v="3"/>
    <x v="3"/>
    <x v="67"/>
    <x v="0"/>
    <x v="1"/>
    <x v="1"/>
    <x v="0"/>
    <n v="375.65"/>
  </r>
  <r>
    <d v="2024-08-20T00:00:00"/>
    <x v="1"/>
    <x v="7"/>
    <x v="1"/>
    <x v="27"/>
    <x v="6"/>
    <x v="6"/>
    <x v="31"/>
    <x v="0"/>
    <x v="2"/>
    <x v="2"/>
    <x v="2"/>
    <n v="519.43"/>
  </r>
  <r>
    <d v="2024-08-20T00:00:00"/>
    <x v="1"/>
    <x v="7"/>
    <x v="1"/>
    <x v="90"/>
    <x v="3"/>
    <x v="3"/>
    <x v="55"/>
    <x v="0"/>
    <x v="19"/>
    <x v="0"/>
    <x v="9"/>
    <n v="850.43"/>
  </r>
  <r>
    <d v="2024-08-20T00:00:00"/>
    <x v="1"/>
    <x v="7"/>
    <x v="1"/>
    <x v="59"/>
    <x v="1"/>
    <x v="1"/>
    <x v="3"/>
    <x v="0"/>
    <x v="6"/>
    <x v="9"/>
    <x v="6"/>
    <n v="894.97"/>
  </r>
  <r>
    <d v="2024-08-21T00:00:00"/>
    <x v="1"/>
    <x v="7"/>
    <x v="1"/>
    <x v="6"/>
    <x v="1"/>
    <x v="1"/>
    <x v="5"/>
    <x v="0"/>
    <x v="6"/>
    <x v="3"/>
    <x v="1"/>
    <n v="6.0"/>
  </r>
  <r>
    <d v="2024-08-21T00:00:00"/>
    <x v="1"/>
    <x v="7"/>
    <x v="0"/>
    <x v="48"/>
    <x v="7"/>
    <x v="7"/>
    <x v="85"/>
    <x v="0"/>
    <x v="20"/>
    <x v="4"/>
    <x v="7"/>
    <n v="24.08"/>
  </r>
  <r>
    <d v="2024-08-21T00:00:00"/>
    <x v="1"/>
    <x v="7"/>
    <x v="1"/>
    <x v="36"/>
    <x v="7"/>
    <x v="7"/>
    <x v="90"/>
    <x v="0"/>
    <x v="9"/>
    <x v="0"/>
    <x v="9"/>
    <n v="42.93"/>
  </r>
  <r>
    <d v="2024-08-21T00:00:00"/>
    <x v="1"/>
    <x v="7"/>
    <x v="0"/>
    <x v="9"/>
    <x v="7"/>
    <x v="7"/>
    <x v="82"/>
    <x v="0"/>
    <x v="20"/>
    <x v="3"/>
    <x v="1"/>
    <n v="64.89"/>
  </r>
  <r>
    <d v="2024-08-21T00:00:00"/>
    <x v="1"/>
    <x v="7"/>
    <x v="1"/>
    <x v="87"/>
    <x v="3"/>
    <x v="3"/>
    <x v="52"/>
    <x v="0"/>
    <x v="19"/>
    <x v="2"/>
    <x v="2"/>
    <n v="65.89"/>
  </r>
  <r>
    <d v="2024-08-21T00:00:00"/>
    <x v="1"/>
    <x v="7"/>
    <x v="1"/>
    <x v="29"/>
    <x v="6"/>
    <x v="6"/>
    <x v="35"/>
    <x v="0"/>
    <x v="14"/>
    <x v="3"/>
    <x v="1"/>
    <n v="313.62"/>
  </r>
  <r>
    <d v="2024-08-21T00:00:00"/>
    <x v="1"/>
    <x v="7"/>
    <x v="1"/>
    <x v="26"/>
    <x v="7"/>
    <x v="7"/>
    <x v="81"/>
    <x v="0"/>
    <x v="20"/>
    <x v="3"/>
    <x v="1"/>
    <n v="427.57"/>
  </r>
  <r>
    <d v="2024-08-21T00:00:00"/>
    <x v="1"/>
    <x v="7"/>
    <x v="0"/>
    <x v="88"/>
    <x v="1"/>
    <x v="1"/>
    <x v="17"/>
    <x v="0"/>
    <x v="4"/>
    <x v="3"/>
    <x v="1"/>
    <n v="534.07"/>
  </r>
  <r>
    <d v="2024-08-22T00:00:00"/>
    <x v="1"/>
    <x v="7"/>
    <x v="0"/>
    <x v="88"/>
    <x v="1"/>
    <x v="1"/>
    <x v="17"/>
    <x v="0"/>
    <x v="4"/>
    <x v="0"/>
    <x v="9"/>
    <n v="28.93"/>
  </r>
  <r>
    <d v="2024-08-22T00:00:00"/>
    <x v="1"/>
    <x v="7"/>
    <x v="1"/>
    <x v="5"/>
    <x v="1"/>
    <x v="1"/>
    <x v="14"/>
    <x v="0"/>
    <x v="4"/>
    <x v="4"/>
    <x v="7"/>
    <n v="165.44"/>
  </r>
  <r>
    <d v="2024-08-22T00:00:00"/>
    <x v="1"/>
    <x v="7"/>
    <x v="0"/>
    <x v="45"/>
    <x v="3"/>
    <x v="3"/>
    <x v="64"/>
    <x v="0"/>
    <x v="1"/>
    <x v="2"/>
    <x v="2"/>
    <n v="204.83"/>
  </r>
  <r>
    <d v="2024-08-22T00:00:00"/>
    <x v="1"/>
    <x v="7"/>
    <x v="1"/>
    <x v="28"/>
    <x v="6"/>
    <x v="6"/>
    <x v="51"/>
    <x v="0"/>
    <x v="13"/>
    <x v="1"/>
    <x v="0"/>
    <n v="220.78"/>
  </r>
  <r>
    <d v="2024-08-22T00:00:00"/>
    <x v="1"/>
    <x v="7"/>
    <x v="0"/>
    <x v="36"/>
    <x v="7"/>
    <x v="7"/>
    <x v="90"/>
    <x v="0"/>
    <x v="9"/>
    <x v="2"/>
    <x v="2"/>
    <n v="393.68"/>
  </r>
  <r>
    <d v="2024-08-22T00:00:00"/>
    <x v="1"/>
    <x v="7"/>
    <x v="0"/>
    <x v="1"/>
    <x v="7"/>
    <x v="7"/>
    <x v="89"/>
    <x v="0"/>
    <x v="12"/>
    <x v="5"/>
    <x v="8"/>
    <n v="4333.85"/>
  </r>
  <r>
    <d v="2024-08-23T00:00:00"/>
    <x v="1"/>
    <x v="7"/>
    <x v="1"/>
    <x v="22"/>
    <x v="1"/>
    <x v="1"/>
    <x v="20"/>
    <x v="0"/>
    <x v="5"/>
    <x v="2"/>
    <x v="2"/>
    <n v="7.0"/>
  </r>
  <r>
    <d v="2024-08-23T00:00:00"/>
    <x v="1"/>
    <x v="7"/>
    <x v="1"/>
    <x v="32"/>
    <x v="1"/>
    <x v="1"/>
    <x v="28"/>
    <x v="0"/>
    <x v="8"/>
    <x v="1"/>
    <x v="0"/>
    <n v="10.09"/>
  </r>
  <r>
    <d v="2024-08-23T00:00:00"/>
    <x v="1"/>
    <x v="7"/>
    <x v="1"/>
    <x v="56"/>
    <x v="7"/>
    <x v="7"/>
    <x v="86"/>
    <x v="0"/>
    <x v="12"/>
    <x v="8"/>
    <x v="5"/>
    <n v="23.89"/>
  </r>
  <r>
    <d v="2024-08-23T00:00:00"/>
    <x v="1"/>
    <x v="7"/>
    <x v="0"/>
    <x v="69"/>
    <x v="1"/>
    <x v="1"/>
    <x v="19"/>
    <x v="0"/>
    <x v="5"/>
    <x v="2"/>
    <x v="2"/>
    <n v="90.93"/>
  </r>
  <r>
    <d v="2024-08-23T00:00:00"/>
    <x v="1"/>
    <x v="7"/>
    <x v="1"/>
    <x v="7"/>
    <x v="1"/>
    <x v="1"/>
    <x v="10"/>
    <x v="0"/>
    <x v="10"/>
    <x v="3"/>
    <x v="1"/>
    <n v="347.49"/>
  </r>
  <r>
    <d v="2024-08-23T00:00:00"/>
    <x v="1"/>
    <x v="7"/>
    <x v="1"/>
    <x v="2"/>
    <x v="1"/>
    <x v="1"/>
    <x v="2"/>
    <x v="0"/>
    <x v="6"/>
    <x v="8"/>
    <x v="5"/>
    <n v="398.91"/>
  </r>
  <r>
    <d v="2024-08-23T00:00:00"/>
    <x v="1"/>
    <x v="7"/>
    <x v="1"/>
    <x v="93"/>
    <x v="6"/>
    <x v="6"/>
    <x v="30"/>
    <x v="0"/>
    <x v="2"/>
    <x v="6"/>
    <x v="4"/>
    <n v="809.31"/>
  </r>
  <r>
    <d v="2024-08-23T00:00:00"/>
    <x v="1"/>
    <x v="7"/>
    <x v="1"/>
    <x v="85"/>
    <x v="6"/>
    <x v="6"/>
    <x v="43"/>
    <x v="0"/>
    <x v="7"/>
    <x v="3"/>
    <x v="1"/>
    <n v="846.9"/>
  </r>
  <r>
    <d v="2024-08-23T00:00:00"/>
    <x v="1"/>
    <x v="7"/>
    <x v="0"/>
    <x v="6"/>
    <x v="1"/>
    <x v="1"/>
    <x v="5"/>
    <x v="0"/>
    <x v="6"/>
    <x v="2"/>
    <x v="2"/>
    <n v="2406.17"/>
  </r>
  <r>
    <d v="2024-08-24T00:00:00"/>
    <x v="1"/>
    <x v="7"/>
    <x v="1"/>
    <x v="66"/>
    <x v="4"/>
    <x v="4"/>
    <x v="76"/>
    <x v="0"/>
    <x v="15"/>
    <x v="1"/>
    <x v="0"/>
    <n v="1.0"/>
  </r>
  <r>
    <d v="2024-08-24T00:00:00"/>
    <x v="1"/>
    <x v="7"/>
    <x v="1"/>
    <x v="74"/>
    <x v="4"/>
    <x v="4"/>
    <x v="75"/>
    <x v="0"/>
    <x v="15"/>
    <x v="6"/>
    <x v="4"/>
    <n v="4.5"/>
  </r>
  <r>
    <d v="2024-08-24T00:00:00"/>
    <x v="1"/>
    <x v="7"/>
    <x v="1"/>
    <x v="96"/>
    <x v="3"/>
    <x v="3"/>
    <x v="67"/>
    <x v="0"/>
    <x v="1"/>
    <x v="1"/>
    <x v="0"/>
    <n v="32.8"/>
  </r>
  <r>
    <d v="2024-08-24T00:00:00"/>
    <x v="1"/>
    <x v="7"/>
    <x v="1"/>
    <x v="38"/>
    <x v="0"/>
    <x v="0"/>
    <x v="21"/>
    <x v="0"/>
    <x v="5"/>
    <x v="1"/>
    <x v="0"/>
    <n v="45.46"/>
  </r>
  <r>
    <d v="2024-08-24T00:00:00"/>
    <x v="1"/>
    <x v="7"/>
    <x v="1"/>
    <x v="34"/>
    <x v="6"/>
    <x v="6"/>
    <x v="32"/>
    <x v="0"/>
    <x v="2"/>
    <x v="1"/>
    <x v="0"/>
    <n v="54.66"/>
  </r>
  <r>
    <d v="2024-08-24T00:00:00"/>
    <x v="1"/>
    <x v="7"/>
    <x v="0"/>
    <x v="91"/>
    <x v="1"/>
    <x v="1"/>
    <x v="23"/>
    <x v="0"/>
    <x v="8"/>
    <x v="6"/>
    <x v="4"/>
    <n v="58.9"/>
  </r>
  <r>
    <d v="2024-08-24T00:00:00"/>
    <x v="1"/>
    <x v="7"/>
    <x v="1"/>
    <x v="82"/>
    <x v="6"/>
    <x v="6"/>
    <x v="47"/>
    <x v="0"/>
    <x v="13"/>
    <x v="3"/>
    <x v="1"/>
    <n v="64.95"/>
  </r>
  <r>
    <d v="2024-08-24T00:00:00"/>
    <x v="1"/>
    <x v="7"/>
    <x v="1"/>
    <x v="79"/>
    <x v="1"/>
    <x v="1"/>
    <x v="8"/>
    <x v="0"/>
    <x v="10"/>
    <x v="6"/>
    <x v="4"/>
    <n v="268.96"/>
  </r>
  <r>
    <d v="2024-08-24T00:00:00"/>
    <x v="1"/>
    <x v="7"/>
    <x v="1"/>
    <x v="57"/>
    <x v="4"/>
    <x v="4"/>
    <x v="74"/>
    <x v="0"/>
    <x v="15"/>
    <x v="5"/>
    <x v="8"/>
    <n v="533.44"/>
  </r>
  <r>
    <d v="2024-08-24T00:00:00"/>
    <x v="1"/>
    <x v="7"/>
    <x v="1"/>
    <x v="20"/>
    <x v="3"/>
    <x v="3"/>
    <x v="71"/>
    <x v="0"/>
    <x v="3"/>
    <x v="3"/>
    <x v="1"/>
    <n v="1072.78"/>
  </r>
  <r>
    <d v="2024-08-24T00:00:00"/>
    <x v="1"/>
    <x v="7"/>
    <x v="1"/>
    <x v="44"/>
    <x v="6"/>
    <x v="6"/>
    <x v="49"/>
    <x v="0"/>
    <x v="13"/>
    <x v="2"/>
    <x v="2"/>
    <n v="1080.56"/>
  </r>
  <r>
    <d v="2024-08-25T00:00:00"/>
    <x v="1"/>
    <x v="7"/>
    <x v="1"/>
    <x v="73"/>
    <x v="4"/>
    <x v="4"/>
    <x v="80"/>
    <x v="0"/>
    <x v="0"/>
    <x v="1"/>
    <x v="0"/>
    <n v="118.82"/>
  </r>
  <r>
    <d v="2024-08-26T00:00:00"/>
    <x v="1"/>
    <x v="7"/>
    <x v="1"/>
    <x v="25"/>
    <x v="1"/>
    <x v="1"/>
    <x v="6"/>
    <x v="0"/>
    <x v="6"/>
    <x v="1"/>
    <x v="0"/>
    <n v="2.0"/>
  </r>
  <r>
    <d v="2024-08-26T00:00:00"/>
    <x v="1"/>
    <x v="7"/>
    <x v="1"/>
    <x v="16"/>
    <x v="7"/>
    <x v="7"/>
    <x v="92"/>
    <x v="0"/>
    <x v="9"/>
    <x v="5"/>
    <x v="8"/>
    <n v="9.99"/>
  </r>
  <r>
    <d v="2024-08-26T00:00:00"/>
    <x v="1"/>
    <x v="7"/>
    <x v="0"/>
    <x v="91"/>
    <x v="1"/>
    <x v="1"/>
    <x v="23"/>
    <x v="0"/>
    <x v="8"/>
    <x v="2"/>
    <x v="2"/>
    <n v="12.0"/>
  </r>
  <r>
    <d v="2024-08-26T00:00:00"/>
    <x v="1"/>
    <x v="7"/>
    <x v="1"/>
    <x v="59"/>
    <x v="1"/>
    <x v="1"/>
    <x v="3"/>
    <x v="0"/>
    <x v="6"/>
    <x v="1"/>
    <x v="0"/>
    <n v="20.75"/>
  </r>
  <r>
    <d v="2024-08-26T00:00:00"/>
    <x v="1"/>
    <x v="7"/>
    <x v="1"/>
    <x v="35"/>
    <x v="6"/>
    <x v="6"/>
    <x v="46"/>
    <x v="0"/>
    <x v="7"/>
    <x v="6"/>
    <x v="4"/>
    <n v="71.86"/>
  </r>
  <r>
    <d v="2024-08-26T00:00:00"/>
    <x v="1"/>
    <x v="7"/>
    <x v="1"/>
    <x v="67"/>
    <x v="3"/>
    <x v="3"/>
    <x v="62"/>
    <x v="0"/>
    <x v="17"/>
    <x v="6"/>
    <x v="4"/>
    <n v="100.0"/>
  </r>
  <r>
    <d v="2024-08-26T00:00:00"/>
    <x v="1"/>
    <x v="7"/>
    <x v="1"/>
    <x v="36"/>
    <x v="7"/>
    <x v="7"/>
    <x v="90"/>
    <x v="0"/>
    <x v="9"/>
    <x v="3"/>
    <x v="1"/>
    <n v="487.66"/>
  </r>
  <r>
    <d v="2024-08-26T00:00:00"/>
    <x v="1"/>
    <x v="7"/>
    <x v="1"/>
    <x v="27"/>
    <x v="6"/>
    <x v="6"/>
    <x v="31"/>
    <x v="0"/>
    <x v="2"/>
    <x v="1"/>
    <x v="0"/>
    <n v="860.88"/>
  </r>
  <r>
    <d v="2024-08-26T00:00:00"/>
    <x v="1"/>
    <x v="7"/>
    <x v="0"/>
    <x v="41"/>
    <x v="5"/>
    <x v="5"/>
    <x v="93"/>
    <x v="0"/>
    <x v="18"/>
    <x v="6"/>
    <x v="4"/>
    <n v="1024.46"/>
  </r>
  <r>
    <d v="2024-08-26T00:00:00"/>
    <x v="1"/>
    <x v="7"/>
    <x v="0"/>
    <x v="79"/>
    <x v="1"/>
    <x v="1"/>
    <x v="8"/>
    <x v="0"/>
    <x v="10"/>
    <x v="3"/>
    <x v="1"/>
    <n v="4227.74"/>
  </r>
  <r>
    <d v="2024-08-26T00:00:00"/>
    <x v="1"/>
    <x v="7"/>
    <x v="1"/>
    <x v="68"/>
    <x v="3"/>
    <x v="3"/>
    <x v="59"/>
    <x v="0"/>
    <x v="16"/>
    <x v="3"/>
    <x v="1"/>
    <n v="6508.58"/>
  </r>
  <r>
    <d v="2024-08-27T00:00:00"/>
    <x v="1"/>
    <x v="7"/>
    <x v="1"/>
    <x v="90"/>
    <x v="3"/>
    <x v="3"/>
    <x v="55"/>
    <x v="0"/>
    <x v="19"/>
    <x v="2"/>
    <x v="2"/>
    <n v="7.0"/>
  </r>
  <r>
    <d v="2024-08-27T00:00:00"/>
    <x v="1"/>
    <x v="7"/>
    <x v="0"/>
    <x v="39"/>
    <x v="7"/>
    <x v="7"/>
    <x v="91"/>
    <x v="0"/>
    <x v="9"/>
    <x v="5"/>
    <x v="8"/>
    <n v="405.1"/>
  </r>
  <r>
    <d v="2024-08-27T00:00:00"/>
    <x v="1"/>
    <x v="7"/>
    <x v="1"/>
    <x v="20"/>
    <x v="3"/>
    <x v="3"/>
    <x v="71"/>
    <x v="0"/>
    <x v="3"/>
    <x v="2"/>
    <x v="2"/>
    <n v="627.58"/>
  </r>
  <r>
    <d v="2024-08-27T00:00:00"/>
    <x v="1"/>
    <x v="7"/>
    <x v="1"/>
    <x v="27"/>
    <x v="6"/>
    <x v="6"/>
    <x v="31"/>
    <x v="0"/>
    <x v="2"/>
    <x v="5"/>
    <x v="8"/>
    <n v="928.69"/>
  </r>
  <r>
    <d v="2024-08-27T00:00:00"/>
    <x v="1"/>
    <x v="7"/>
    <x v="1"/>
    <x v="23"/>
    <x v="1"/>
    <x v="1"/>
    <x v="12"/>
    <x v="0"/>
    <x v="10"/>
    <x v="2"/>
    <x v="2"/>
    <n v="2754.44"/>
  </r>
  <r>
    <d v="2024-08-27T00:00:00"/>
    <x v="1"/>
    <x v="7"/>
    <x v="1"/>
    <x v="83"/>
    <x v="3"/>
    <x v="3"/>
    <x v="56"/>
    <x v="0"/>
    <x v="16"/>
    <x v="6"/>
    <x v="4"/>
    <n v="3673.19"/>
  </r>
  <r>
    <d v="2024-08-28T00:00:00"/>
    <x v="1"/>
    <x v="7"/>
    <x v="1"/>
    <x v="39"/>
    <x v="7"/>
    <x v="7"/>
    <x v="91"/>
    <x v="0"/>
    <x v="9"/>
    <x v="4"/>
    <x v="7"/>
    <n v="5.44"/>
  </r>
  <r>
    <d v="2024-08-28T00:00:00"/>
    <x v="1"/>
    <x v="7"/>
    <x v="0"/>
    <x v="20"/>
    <x v="3"/>
    <x v="3"/>
    <x v="71"/>
    <x v="0"/>
    <x v="3"/>
    <x v="1"/>
    <x v="0"/>
    <n v="29.99"/>
  </r>
  <r>
    <d v="2024-08-28T00:00:00"/>
    <x v="1"/>
    <x v="7"/>
    <x v="1"/>
    <x v="25"/>
    <x v="1"/>
    <x v="1"/>
    <x v="6"/>
    <x v="0"/>
    <x v="6"/>
    <x v="9"/>
    <x v="6"/>
    <n v="189.81"/>
  </r>
  <r>
    <d v="2024-08-28T00:00:00"/>
    <x v="1"/>
    <x v="7"/>
    <x v="0"/>
    <x v="57"/>
    <x v="4"/>
    <x v="4"/>
    <x v="74"/>
    <x v="0"/>
    <x v="15"/>
    <x v="3"/>
    <x v="1"/>
    <n v="224.14"/>
  </r>
  <r>
    <d v="2024-08-28T00:00:00"/>
    <x v="1"/>
    <x v="7"/>
    <x v="1"/>
    <x v="19"/>
    <x v="7"/>
    <x v="7"/>
    <x v="88"/>
    <x v="0"/>
    <x v="12"/>
    <x v="3"/>
    <x v="1"/>
    <n v="1404.29"/>
  </r>
  <r>
    <d v="2024-08-28T00:00:00"/>
    <x v="1"/>
    <x v="7"/>
    <x v="1"/>
    <x v="94"/>
    <x v="6"/>
    <x v="6"/>
    <x v="48"/>
    <x v="0"/>
    <x v="13"/>
    <x v="3"/>
    <x v="1"/>
    <n v="3964.38"/>
  </r>
  <r>
    <d v="2024-08-28T00:00:00"/>
    <x v="1"/>
    <x v="7"/>
    <x v="1"/>
    <x v="65"/>
    <x v="1"/>
    <x v="1"/>
    <x v="7"/>
    <x v="0"/>
    <x v="10"/>
    <x v="6"/>
    <x v="4"/>
    <n v="6445.05"/>
  </r>
  <r>
    <d v="2024-08-28T00:00:00"/>
    <x v="1"/>
    <x v="7"/>
    <x v="1"/>
    <x v="24"/>
    <x v="6"/>
    <x v="6"/>
    <x v="36"/>
    <x v="0"/>
    <x v="14"/>
    <x v="2"/>
    <x v="2"/>
    <n v="6708.39"/>
  </r>
  <r>
    <d v="2024-08-29T00:00:00"/>
    <x v="1"/>
    <x v="7"/>
    <x v="1"/>
    <x v="83"/>
    <x v="3"/>
    <x v="3"/>
    <x v="56"/>
    <x v="0"/>
    <x v="16"/>
    <x v="1"/>
    <x v="0"/>
    <n v="6.69"/>
  </r>
  <r>
    <d v="2024-08-29T00:00:00"/>
    <x v="1"/>
    <x v="7"/>
    <x v="1"/>
    <x v="15"/>
    <x v="4"/>
    <x v="4"/>
    <x v="79"/>
    <x v="0"/>
    <x v="0"/>
    <x v="2"/>
    <x v="2"/>
    <n v="77.94"/>
  </r>
  <r>
    <d v="2024-08-29T00:00:00"/>
    <x v="1"/>
    <x v="7"/>
    <x v="1"/>
    <x v="3"/>
    <x v="2"/>
    <x v="2"/>
    <x v="1"/>
    <x v="0"/>
    <x v="11"/>
    <x v="3"/>
    <x v="1"/>
    <n v="283.03"/>
  </r>
  <r>
    <d v="2024-08-29T00:00:00"/>
    <x v="1"/>
    <x v="7"/>
    <x v="0"/>
    <x v="23"/>
    <x v="1"/>
    <x v="1"/>
    <x v="12"/>
    <x v="0"/>
    <x v="10"/>
    <x v="1"/>
    <x v="0"/>
    <n v="494.34"/>
  </r>
  <r>
    <d v="2024-08-29T00:00:00"/>
    <x v="1"/>
    <x v="7"/>
    <x v="1"/>
    <x v="78"/>
    <x v="5"/>
    <x v="5"/>
    <x v="94"/>
    <x v="0"/>
    <x v="18"/>
    <x v="3"/>
    <x v="1"/>
    <n v="612.62"/>
  </r>
  <r>
    <d v="2024-08-29T00:00:00"/>
    <x v="1"/>
    <x v="7"/>
    <x v="1"/>
    <x v="47"/>
    <x v="3"/>
    <x v="3"/>
    <x v="54"/>
    <x v="0"/>
    <x v="19"/>
    <x v="9"/>
    <x v="6"/>
    <n v="779.41"/>
  </r>
  <r>
    <d v="2024-08-29T00:00:00"/>
    <x v="1"/>
    <x v="7"/>
    <x v="1"/>
    <x v="34"/>
    <x v="6"/>
    <x v="6"/>
    <x v="32"/>
    <x v="0"/>
    <x v="2"/>
    <x v="9"/>
    <x v="6"/>
    <n v="4044.67"/>
  </r>
  <r>
    <d v="2024-08-30T00:00:00"/>
    <x v="1"/>
    <x v="7"/>
    <x v="1"/>
    <x v="79"/>
    <x v="1"/>
    <x v="1"/>
    <x v="8"/>
    <x v="0"/>
    <x v="10"/>
    <x v="4"/>
    <x v="7"/>
    <n v="28.13"/>
  </r>
  <r>
    <d v="2024-08-30T00:00:00"/>
    <x v="1"/>
    <x v="7"/>
    <x v="1"/>
    <x v="27"/>
    <x v="6"/>
    <x v="6"/>
    <x v="31"/>
    <x v="0"/>
    <x v="2"/>
    <x v="8"/>
    <x v="5"/>
    <n v="61.57"/>
  </r>
  <r>
    <d v="2024-08-30T00:00:00"/>
    <x v="1"/>
    <x v="7"/>
    <x v="1"/>
    <x v="44"/>
    <x v="6"/>
    <x v="6"/>
    <x v="49"/>
    <x v="0"/>
    <x v="13"/>
    <x v="9"/>
    <x v="6"/>
    <n v="184.97"/>
  </r>
  <r>
    <d v="2024-08-30T00:00:00"/>
    <x v="1"/>
    <x v="7"/>
    <x v="1"/>
    <x v="35"/>
    <x v="6"/>
    <x v="6"/>
    <x v="46"/>
    <x v="0"/>
    <x v="7"/>
    <x v="0"/>
    <x v="9"/>
    <n v="366.39"/>
  </r>
  <r>
    <d v="2024-08-31T00:00:00"/>
    <x v="1"/>
    <x v="7"/>
    <x v="1"/>
    <x v="84"/>
    <x v="3"/>
    <x v="3"/>
    <x v="53"/>
    <x v="0"/>
    <x v="19"/>
    <x v="6"/>
    <x v="4"/>
    <n v="2.0"/>
  </r>
  <r>
    <d v="2024-08-31T00:00:00"/>
    <x v="1"/>
    <x v="7"/>
    <x v="1"/>
    <x v="50"/>
    <x v="7"/>
    <x v="7"/>
    <x v="83"/>
    <x v="0"/>
    <x v="20"/>
    <x v="5"/>
    <x v="8"/>
    <n v="2.97"/>
  </r>
  <r>
    <d v="2024-08-31T00:00:00"/>
    <x v="1"/>
    <x v="7"/>
    <x v="1"/>
    <x v="95"/>
    <x v="4"/>
    <x v="4"/>
    <x v="73"/>
    <x v="0"/>
    <x v="15"/>
    <x v="0"/>
    <x v="9"/>
    <n v="258.54"/>
  </r>
  <r>
    <d v="2024-08-31T00:00:00"/>
    <x v="1"/>
    <x v="7"/>
    <x v="0"/>
    <x v="8"/>
    <x v="3"/>
    <x v="3"/>
    <x v="72"/>
    <x v="0"/>
    <x v="3"/>
    <x v="9"/>
    <x v="6"/>
    <n v="899.55"/>
  </r>
  <r>
    <d v="2024-08-31T00:00:00"/>
    <x v="1"/>
    <x v="7"/>
    <x v="1"/>
    <x v="74"/>
    <x v="4"/>
    <x v="4"/>
    <x v="75"/>
    <x v="0"/>
    <x v="15"/>
    <x v="9"/>
    <x v="6"/>
    <n v="1348.18"/>
  </r>
  <r>
    <d v="2024-08-31T00:00:00"/>
    <x v="1"/>
    <x v="7"/>
    <x v="1"/>
    <x v="68"/>
    <x v="3"/>
    <x v="3"/>
    <x v="59"/>
    <x v="0"/>
    <x v="16"/>
    <x v="5"/>
    <x v="8"/>
    <n v="3269.12"/>
  </r>
  <r>
    <d v="2024-08-31T00:00:00"/>
    <x v="1"/>
    <x v="7"/>
    <x v="1"/>
    <x v="90"/>
    <x v="3"/>
    <x v="3"/>
    <x v="55"/>
    <x v="0"/>
    <x v="19"/>
    <x v="9"/>
    <x v="6"/>
    <n v="5292.98"/>
  </r>
  <r>
    <d v="2024-08-31T00:00:00"/>
    <x v="1"/>
    <x v="7"/>
    <x v="1"/>
    <x v="83"/>
    <x v="3"/>
    <x v="3"/>
    <x v="56"/>
    <x v="0"/>
    <x v="16"/>
    <x v="9"/>
    <x v="6"/>
    <n v="5832.2"/>
  </r>
  <r>
    <d v="2024-09-01T00:00:00"/>
    <x v="1"/>
    <x v="8"/>
    <x v="1"/>
    <x v="23"/>
    <x v="1"/>
    <x v="1"/>
    <x v="12"/>
    <x v="0"/>
    <x v="10"/>
    <x v="1"/>
    <x v="0"/>
    <n v="1.0"/>
  </r>
  <r>
    <d v="2024-09-01T00:00:00"/>
    <x v="1"/>
    <x v="8"/>
    <x v="1"/>
    <x v="56"/>
    <x v="7"/>
    <x v="7"/>
    <x v="86"/>
    <x v="0"/>
    <x v="12"/>
    <x v="1"/>
    <x v="0"/>
    <n v="4.49"/>
  </r>
  <r>
    <d v="2024-09-01T00:00:00"/>
    <x v="1"/>
    <x v="8"/>
    <x v="1"/>
    <x v="5"/>
    <x v="1"/>
    <x v="1"/>
    <x v="14"/>
    <x v="0"/>
    <x v="4"/>
    <x v="1"/>
    <x v="0"/>
    <n v="8.84"/>
  </r>
  <r>
    <d v="2024-09-01T00:00:00"/>
    <x v="1"/>
    <x v="8"/>
    <x v="1"/>
    <x v="60"/>
    <x v="6"/>
    <x v="6"/>
    <x v="44"/>
    <x v="0"/>
    <x v="7"/>
    <x v="2"/>
    <x v="2"/>
    <n v="12.99"/>
  </r>
  <r>
    <d v="2024-09-01T00:00:00"/>
    <x v="1"/>
    <x v="8"/>
    <x v="1"/>
    <x v="81"/>
    <x v="4"/>
    <x v="4"/>
    <x v="77"/>
    <x v="0"/>
    <x v="15"/>
    <x v="5"/>
    <x v="8"/>
    <n v="16.99"/>
  </r>
  <r>
    <d v="2024-09-01T00:00:00"/>
    <x v="1"/>
    <x v="8"/>
    <x v="1"/>
    <x v="45"/>
    <x v="3"/>
    <x v="3"/>
    <x v="64"/>
    <x v="0"/>
    <x v="1"/>
    <x v="0"/>
    <x v="9"/>
    <n v="28.48"/>
  </r>
  <r>
    <d v="2024-09-01T00:00:00"/>
    <x v="1"/>
    <x v="8"/>
    <x v="0"/>
    <x v="60"/>
    <x v="6"/>
    <x v="6"/>
    <x v="44"/>
    <x v="0"/>
    <x v="7"/>
    <x v="9"/>
    <x v="6"/>
    <n v="160.84"/>
  </r>
  <r>
    <d v="2024-09-01T00:00:00"/>
    <x v="1"/>
    <x v="8"/>
    <x v="0"/>
    <x v="31"/>
    <x v="2"/>
    <x v="2"/>
    <x v="0"/>
    <x v="0"/>
    <x v="11"/>
    <x v="0"/>
    <x v="9"/>
    <n v="922.41"/>
  </r>
  <r>
    <d v="2024-09-01T00:00:00"/>
    <x v="1"/>
    <x v="8"/>
    <x v="0"/>
    <x v="2"/>
    <x v="1"/>
    <x v="1"/>
    <x v="2"/>
    <x v="0"/>
    <x v="6"/>
    <x v="9"/>
    <x v="6"/>
    <n v="1676.76"/>
  </r>
  <r>
    <d v="2024-09-01T00:00:00"/>
    <x v="1"/>
    <x v="8"/>
    <x v="1"/>
    <x v="89"/>
    <x v="1"/>
    <x v="1"/>
    <x v="18"/>
    <x v="0"/>
    <x v="5"/>
    <x v="3"/>
    <x v="1"/>
    <n v="3731.64"/>
  </r>
  <r>
    <d v="2024-09-02T00:00:00"/>
    <x v="1"/>
    <x v="8"/>
    <x v="0"/>
    <x v="11"/>
    <x v="1"/>
    <x v="1"/>
    <x v="15"/>
    <x v="0"/>
    <x v="4"/>
    <x v="2"/>
    <x v="2"/>
    <n v="25.98"/>
  </r>
  <r>
    <d v="2024-09-02T00:00:00"/>
    <x v="1"/>
    <x v="8"/>
    <x v="1"/>
    <x v="88"/>
    <x v="1"/>
    <x v="1"/>
    <x v="17"/>
    <x v="0"/>
    <x v="4"/>
    <x v="5"/>
    <x v="8"/>
    <n v="52.15"/>
  </r>
  <r>
    <d v="2024-09-02T00:00:00"/>
    <x v="1"/>
    <x v="8"/>
    <x v="0"/>
    <x v="37"/>
    <x v="6"/>
    <x v="6"/>
    <x v="39"/>
    <x v="0"/>
    <x v="14"/>
    <x v="6"/>
    <x v="4"/>
    <n v="331.48"/>
  </r>
  <r>
    <d v="2024-09-02T00:00:00"/>
    <x v="1"/>
    <x v="8"/>
    <x v="1"/>
    <x v="37"/>
    <x v="6"/>
    <x v="6"/>
    <x v="39"/>
    <x v="0"/>
    <x v="14"/>
    <x v="6"/>
    <x v="4"/>
    <n v="534.95"/>
  </r>
  <r>
    <d v="2024-09-02T00:00:00"/>
    <x v="1"/>
    <x v="8"/>
    <x v="1"/>
    <x v="14"/>
    <x v="6"/>
    <x v="6"/>
    <x v="45"/>
    <x v="0"/>
    <x v="7"/>
    <x v="9"/>
    <x v="6"/>
    <n v="4471.37"/>
  </r>
  <r>
    <d v="2024-09-03T00:00:00"/>
    <x v="1"/>
    <x v="8"/>
    <x v="1"/>
    <x v="1"/>
    <x v="7"/>
    <x v="7"/>
    <x v="89"/>
    <x v="0"/>
    <x v="12"/>
    <x v="4"/>
    <x v="7"/>
    <n v="2.5"/>
  </r>
  <r>
    <d v="2024-09-03T00:00:00"/>
    <x v="1"/>
    <x v="8"/>
    <x v="1"/>
    <x v="57"/>
    <x v="4"/>
    <x v="4"/>
    <x v="74"/>
    <x v="0"/>
    <x v="15"/>
    <x v="6"/>
    <x v="4"/>
    <n v="9.98"/>
  </r>
  <r>
    <d v="2024-09-03T00:00:00"/>
    <x v="1"/>
    <x v="8"/>
    <x v="1"/>
    <x v="62"/>
    <x v="6"/>
    <x v="6"/>
    <x v="50"/>
    <x v="0"/>
    <x v="13"/>
    <x v="0"/>
    <x v="9"/>
    <n v="13.5"/>
  </r>
  <r>
    <d v="2024-09-03T00:00:00"/>
    <x v="1"/>
    <x v="8"/>
    <x v="0"/>
    <x v="63"/>
    <x v="4"/>
    <x v="4"/>
    <x v="78"/>
    <x v="0"/>
    <x v="0"/>
    <x v="3"/>
    <x v="1"/>
    <n v="86.91"/>
  </r>
  <r>
    <d v="2024-09-03T00:00:00"/>
    <x v="1"/>
    <x v="8"/>
    <x v="1"/>
    <x v="49"/>
    <x v="3"/>
    <x v="3"/>
    <x v="58"/>
    <x v="0"/>
    <x v="16"/>
    <x v="9"/>
    <x v="6"/>
    <n v="296.94"/>
  </r>
  <r>
    <d v="2024-09-03T00:00:00"/>
    <x v="1"/>
    <x v="8"/>
    <x v="1"/>
    <x v="11"/>
    <x v="1"/>
    <x v="1"/>
    <x v="15"/>
    <x v="0"/>
    <x v="4"/>
    <x v="4"/>
    <x v="7"/>
    <n v="377.54"/>
  </r>
  <r>
    <d v="2024-09-03T00:00:00"/>
    <x v="1"/>
    <x v="8"/>
    <x v="0"/>
    <x v="36"/>
    <x v="7"/>
    <x v="7"/>
    <x v="90"/>
    <x v="0"/>
    <x v="9"/>
    <x v="9"/>
    <x v="6"/>
    <n v="744.77"/>
  </r>
  <r>
    <d v="2024-09-03T00:00:00"/>
    <x v="1"/>
    <x v="8"/>
    <x v="1"/>
    <x v="11"/>
    <x v="1"/>
    <x v="1"/>
    <x v="15"/>
    <x v="0"/>
    <x v="4"/>
    <x v="3"/>
    <x v="1"/>
    <n v="1123.33"/>
  </r>
  <r>
    <d v="2024-09-04T00:00:00"/>
    <x v="1"/>
    <x v="8"/>
    <x v="0"/>
    <x v="45"/>
    <x v="3"/>
    <x v="3"/>
    <x v="64"/>
    <x v="0"/>
    <x v="1"/>
    <x v="6"/>
    <x v="4"/>
    <n v="194.71"/>
  </r>
  <r>
    <d v="2024-09-04T00:00:00"/>
    <x v="1"/>
    <x v="8"/>
    <x v="1"/>
    <x v="83"/>
    <x v="3"/>
    <x v="3"/>
    <x v="56"/>
    <x v="0"/>
    <x v="16"/>
    <x v="6"/>
    <x v="4"/>
    <n v="262.47"/>
  </r>
  <r>
    <d v="2024-09-04T00:00:00"/>
    <x v="1"/>
    <x v="8"/>
    <x v="1"/>
    <x v="84"/>
    <x v="3"/>
    <x v="3"/>
    <x v="53"/>
    <x v="0"/>
    <x v="19"/>
    <x v="1"/>
    <x v="0"/>
    <n v="296.7"/>
  </r>
  <r>
    <d v="2024-09-04T00:00:00"/>
    <x v="1"/>
    <x v="8"/>
    <x v="1"/>
    <x v="46"/>
    <x v="6"/>
    <x v="6"/>
    <x v="42"/>
    <x v="0"/>
    <x v="7"/>
    <x v="9"/>
    <x v="6"/>
    <n v="359.63"/>
  </r>
  <r>
    <d v="2024-09-04T00:00:00"/>
    <x v="1"/>
    <x v="8"/>
    <x v="1"/>
    <x v="57"/>
    <x v="4"/>
    <x v="4"/>
    <x v="74"/>
    <x v="0"/>
    <x v="15"/>
    <x v="2"/>
    <x v="2"/>
    <n v="498.74"/>
  </r>
  <r>
    <d v="2024-09-04T00:00:00"/>
    <x v="1"/>
    <x v="8"/>
    <x v="1"/>
    <x v="71"/>
    <x v="1"/>
    <x v="1"/>
    <x v="27"/>
    <x v="0"/>
    <x v="8"/>
    <x v="4"/>
    <x v="7"/>
    <n v="2011.12"/>
  </r>
  <r>
    <d v="2024-09-05T00:00:00"/>
    <x v="1"/>
    <x v="8"/>
    <x v="1"/>
    <x v="88"/>
    <x v="1"/>
    <x v="1"/>
    <x v="17"/>
    <x v="0"/>
    <x v="4"/>
    <x v="3"/>
    <x v="1"/>
    <n v="3.0"/>
  </r>
  <r>
    <d v="2024-09-05T00:00:00"/>
    <x v="1"/>
    <x v="8"/>
    <x v="1"/>
    <x v="39"/>
    <x v="7"/>
    <x v="7"/>
    <x v="91"/>
    <x v="0"/>
    <x v="9"/>
    <x v="4"/>
    <x v="7"/>
    <n v="33.89"/>
  </r>
  <r>
    <d v="2024-09-05T00:00:00"/>
    <x v="1"/>
    <x v="8"/>
    <x v="1"/>
    <x v="7"/>
    <x v="1"/>
    <x v="1"/>
    <x v="10"/>
    <x v="0"/>
    <x v="10"/>
    <x v="8"/>
    <x v="5"/>
    <n v="248.57"/>
  </r>
  <r>
    <d v="2024-09-05T00:00:00"/>
    <x v="1"/>
    <x v="8"/>
    <x v="1"/>
    <x v="65"/>
    <x v="1"/>
    <x v="1"/>
    <x v="7"/>
    <x v="0"/>
    <x v="10"/>
    <x v="8"/>
    <x v="5"/>
    <n v="374.94"/>
  </r>
  <r>
    <d v="2024-09-05T00:00:00"/>
    <x v="1"/>
    <x v="8"/>
    <x v="1"/>
    <x v="72"/>
    <x v="1"/>
    <x v="1"/>
    <x v="24"/>
    <x v="0"/>
    <x v="8"/>
    <x v="9"/>
    <x v="6"/>
    <n v="879.87"/>
  </r>
  <r>
    <d v="2024-09-05T00:00:00"/>
    <x v="1"/>
    <x v="8"/>
    <x v="1"/>
    <x v="55"/>
    <x v="3"/>
    <x v="3"/>
    <x v="68"/>
    <x v="0"/>
    <x v="1"/>
    <x v="3"/>
    <x v="1"/>
    <n v="2556.18"/>
  </r>
  <r>
    <d v="2024-09-06T00:00:00"/>
    <x v="1"/>
    <x v="8"/>
    <x v="0"/>
    <x v="54"/>
    <x v="1"/>
    <x v="1"/>
    <x v="25"/>
    <x v="0"/>
    <x v="8"/>
    <x v="6"/>
    <x v="4"/>
    <n v="133.82"/>
  </r>
  <r>
    <d v="2024-09-06T00:00:00"/>
    <x v="1"/>
    <x v="8"/>
    <x v="1"/>
    <x v="14"/>
    <x v="6"/>
    <x v="6"/>
    <x v="45"/>
    <x v="0"/>
    <x v="7"/>
    <x v="7"/>
    <x v="3"/>
    <n v="138.13"/>
  </r>
  <r>
    <d v="2024-09-06T00:00:00"/>
    <x v="1"/>
    <x v="8"/>
    <x v="1"/>
    <x v="28"/>
    <x v="6"/>
    <x v="6"/>
    <x v="51"/>
    <x v="0"/>
    <x v="13"/>
    <x v="5"/>
    <x v="8"/>
    <n v="213.16"/>
  </r>
  <r>
    <d v="2024-09-06T00:00:00"/>
    <x v="1"/>
    <x v="8"/>
    <x v="1"/>
    <x v="17"/>
    <x v="3"/>
    <x v="3"/>
    <x v="57"/>
    <x v="0"/>
    <x v="16"/>
    <x v="2"/>
    <x v="2"/>
    <n v="289.82"/>
  </r>
  <r>
    <d v="2024-09-06T00:00:00"/>
    <x v="1"/>
    <x v="8"/>
    <x v="1"/>
    <x v="38"/>
    <x v="0"/>
    <x v="0"/>
    <x v="21"/>
    <x v="0"/>
    <x v="5"/>
    <x v="1"/>
    <x v="0"/>
    <n v="454.59"/>
  </r>
  <r>
    <d v="2024-09-06T00:00:00"/>
    <x v="1"/>
    <x v="8"/>
    <x v="0"/>
    <x v="10"/>
    <x v="6"/>
    <x v="6"/>
    <x v="41"/>
    <x v="0"/>
    <x v="7"/>
    <x v="9"/>
    <x v="6"/>
    <n v="510.05"/>
  </r>
  <r>
    <d v="2024-09-06T00:00:00"/>
    <x v="1"/>
    <x v="8"/>
    <x v="1"/>
    <x v="39"/>
    <x v="7"/>
    <x v="7"/>
    <x v="91"/>
    <x v="0"/>
    <x v="9"/>
    <x v="0"/>
    <x v="9"/>
    <n v="715.0"/>
  </r>
  <r>
    <d v="2024-09-06T00:00:00"/>
    <x v="1"/>
    <x v="8"/>
    <x v="1"/>
    <x v="51"/>
    <x v="5"/>
    <x v="5"/>
    <x v="95"/>
    <x v="0"/>
    <x v="18"/>
    <x v="3"/>
    <x v="1"/>
    <n v="2891.73"/>
  </r>
  <r>
    <d v="2024-09-07T00:00:00"/>
    <x v="1"/>
    <x v="8"/>
    <x v="1"/>
    <x v="10"/>
    <x v="6"/>
    <x v="6"/>
    <x v="41"/>
    <x v="0"/>
    <x v="7"/>
    <x v="6"/>
    <x v="4"/>
    <n v="4.0"/>
  </r>
  <r>
    <d v="2024-09-07T00:00:00"/>
    <x v="1"/>
    <x v="8"/>
    <x v="1"/>
    <x v="82"/>
    <x v="6"/>
    <x v="6"/>
    <x v="47"/>
    <x v="0"/>
    <x v="13"/>
    <x v="1"/>
    <x v="0"/>
    <n v="5.0"/>
  </r>
  <r>
    <d v="2024-09-07T00:00:00"/>
    <x v="1"/>
    <x v="8"/>
    <x v="1"/>
    <x v="94"/>
    <x v="6"/>
    <x v="6"/>
    <x v="48"/>
    <x v="0"/>
    <x v="13"/>
    <x v="8"/>
    <x v="5"/>
    <n v="28.92"/>
  </r>
  <r>
    <d v="2024-09-07T00:00:00"/>
    <x v="1"/>
    <x v="8"/>
    <x v="1"/>
    <x v="21"/>
    <x v="3"/>
    <x v="3"/>
    <x v="60"/>
    <x v="0"/>
    <x v="17"/>
    <x v="2"/>
    <x v="2"/>
    <n v="51.96"/>
  </r>
  <r>
    <d v="2024-09-07T00:00:00"/>
    <x v="1"/>
    <x v="8"/>
    <x v="1"/>
    <x v="61"/>
    <x v="7"/>
    <x v="7"/>
    <x v="84"/>
    <x v="0"/>
    <x v="20"/>
    <x v="3"/>
    <x v="1"/>
    <n v="104.89"/>
  </r>
  <r>
    <d v="2024-09-07T00:00:00"/>
    <x v="1"/>
    <x v="8"/>
    <x v="1"/>
    <x v="56"/>
    <x v="7"/>
    <x v="7"/>
    <x v="86"/>
    <x v="0"/>
    <x v="12"/>
    <x v="3"/>
    <x v="1"/>
    <n v="744.99"/>
  </r>
  <r>
    <d v="2024-09-07T00:00:00"/>
    <x v="1"/>
    <x v="8"/>
    <x v="1"/>
    <x v="53"/>
    <x v="1"/>
    <x v="1"/>
    <x v="16"/>
    <x v="0"/>
    <x v="4"/>
    <x v="9"/>
    <x v="6"/>
    <n v="1710.43"/>
  </r>
  <r>
    <d v="2024-09-08T00:00:00"/>
    <x v="1"/>
    <x v="8"/>
    <x v="1"/>
    <x v="75"/>
    <x v="1"/>
    <x v="1"/>
    <x v="4"/>
    <x v="0"/>
    <x v="6"/>
    <x v="5"/>
    <x v="8"/>
    <n v="738.86"/>
  </r>
  <r>
    <d v="2024-09-08T00:00:00"/>
    <x v="1"/>
    <x v="8"/>
    <x v="1"/>
    <x v="22"/>
    <x v="1"/>
    <x v="1"/>
    <x v="20"/>
    <x v="0"/>
    <x v="5"/>
    <x v="0"/>
    <x v="9"/>
    <n v="761.52"/>
  </r>
  <r>
    <d v="2024-09-08T00:00:00"/>
    <x v="1"/>
    <x v="8"/>
    <x v="0"/>
    <x v="94"/>
    <x v="6"/>
    <x v="6"/>
    <x v="48"/>
    <x v="0"/>
    <x v="13"/>
    <x v="9"/>
    <x v="6"/>
    <n v="803.62"/>
  </r>
  <r>
    <d v="2024-09-08T00:00:00"/>
    <x v="1"/>
    <x v="8"/>
    <x v="1"/>
    <x v="49"/>
    <x v="3"/>
    <x v="3"/>
    <x v="58"/>
    <x v="0"/>
    <x v="16"/>
    <x v="2"/>
    <x v="2"/>
    <n v="1163.98"/>
  </r>
  <r>
    <d v="2024-09-08T00:00:00"/>
    <x v="1"/>
    <x v="8"/>
    <x v="1"/>
    <x v="28"/>
    <x v="6"/>
    <x v="6"/>
    <x v="51"/>
    <x v="0"/>
    <x v="13"/>
    <x v="3"/>
    <x v="1"/>
    <n v="2302.05"/>
  </r>
  <r>
    <d v="2024-09-09T00:00:00"/>
    <x v="1"/>
    <x v="8"/>
    <x v="0"/>
    <x v="20"/>
    <x v="3"/>
    <x v="3"/>
    <x v="71"/>
    <x v="0"/>
    <x v="3"/>
    <x v="2"/>
    <x v="2"/>
    <n v="25.98"/>
  </r>
  <r>
    <d v="2024-09-09T00:00:00"/>
    <x v="1"/>
    <x v="8"/>
    <x v="0"/>
    <x v="24"/>
    <x v="6"/>
    <x v="6"/>
    <x v="36"/>
    <x v="0"/>
    <x v="14"/>
    <x v="2"/>
    <x v="2"/>
    <n v="37.57"/>
  </r>
  <r>
    <d v="2024-09-09T00:00:00"/>
    <x v="1"/>
    <x v="8"/>
    <x v="1"/>
    <x v="2"/>
    <x v="1"/>
    <x v="1"/>
    <x v="2"/>
    <x v="0"/>
    <x v="6"/>
    <x v="1"/>
    <x v="0"/>
    <n v="45.0"/>
  </r>
  <r>
    <d v="2024-09-09T00:00:00"/>
    <x v="1"/>
    <x v="8"/>
    <x v="1"/>
    <x v="1"/>
    <x v="7"/>
    <x v="7"/>
    <x v="89"/>
    <x v="0"/>
    <x v="12"/>
    <x v="6"/>
    <x v="4"/>
    <n v="98.74"/>
  </r>
  <r>
    <d v="2024-09-09T00:00:00"/>
    <x v="1"/>
    <x v="8"/>
    <x v="1"/>
    <x v="93"/>
    <x v="6"/>
    <x v="6"/>
    <x v="30"/>
    <x v="0"/>
    <x v="2"/>
    <x v="3"/>
    <x v="1"/>
    <n v="376.09"/>
  </r>
  <r>
    <d v="2024-09-09T00:00:00"/>
    <x v="1"/>
    <x v="8"/>
    <x v="1"/>
    <x v="3"/>
    <x v="2"/>
    <x v="2"/>
    <x v="1"/>
    <x v="0"/>
    <x v="11"/>
    <x v="2"/>
    <x v="2"/>
    <n v="407.71"/>
  </r>
  <r>
    <d v="2024-09-09T00:00:00"/>
    <x v="1"/>
    <x v="8"/>
    <x v="0"/>
    <x v="9"/>
    <x v="7"/>
    <x v="7"/>
    <x v="82"/>
    <x v="0"/>
    <x v="20"/>
    <x v="6"/>
    <x v="4"/>
    <n v="604.12"/>
  </r>
  <r>
    <d v="2024-09-09T00:00:00"/>
    <x v="1"/>
    <x v="8"/>
    <x v="0"/>
    <x v="5"/>
    <x v="1"/>
    <x v="1"/>
    <x v="14"/>
    <x v="0"/>
    <x v="4"/>
    <x v="6"/>
    <x v="4"/>
    <n v="4992.08"/>
  </r>
  <r>
    <d v="2024-09-10T00:00:00"/>
    <x v="1"/>
    <x v="8"/>
    <x v="1"/>
    <x v="32"/>
    <x v="1"/>
    <x v="1"/>
    <x v="28"/>
    <x v="0"/>
    <x v="8"/>
    <x v="6"/>
    <x v="4"/>
    <n v="2.0"/>
  </r>
  <r>
    <d v="2024-09-10T00:00:00"/>
    <x v="1"/>
    <x v="8"/>
    <x v="1"/>
    <x v="46"/>
    <x v="6"/>
    <x v="6"/>
    <x v="42"/>
    <x v="0"/>
    <x v="7"/>
    <x v="6"/>
    <x v="4"/>
    <n v="11.98"/>
  </r>
  <r>
    <d v="2024-09-10T00:00:00"/>
    <x v="1"/>
    <x v="8"/>
    <x v="1"/>
    <x v="32"/>
    <x v="1"/>
    <x v="1"/>
    <x v="28"/>
    <x v="0"/>
    <x v="8"/>
    <x v="9"/>
    <x v="6"/>
    <n v="35.72"/>
  </r>
  <r>
    <d v="2024-09-10T00:00:00"/>
    <x v="1"/>
    <x v="8"/>
    <x v="0"/>
    <x v="85"/>
    <x v="6"/>
    <x v="6"/>
    <x v="43"/>
    <x v="0"/>
    <x v="7"/>
    <x v="1"/>
    <x v="0"/>
    <n v="77.94"/>
  </r>
  <r>
    <d v="2024-09-10T00:00:00"/>
    <x v="1"/>
    <x v="8"/>
    <x v="1"/>
    <x v="16"/>
    <x v="7"/>
    <x v="7"/>
    <x v="92"/>
    <x v="0"/>
    <x v="9"/>
    <x v="9"/>
    <x v="6"/>
    <n v="1115.38"/>
  </r>
  <r>
    <d v="2024-09-11T00:00:00"/>
    <x v="1"/>
    <x v="8"/>
    <x v="1"/>
    <x v="95"/>
    <x v="4"/>
    <x v="4"/>
    <x v="73"/>
    <x v="0"/>
    <x v="15"/>
    <x v="1"/>
    <x v="0"/>
    <n v="88.42"/>
  </r>
  <r>
    <d v="2024-09-11T00:00:00"/>
    <x v="1"/>
    <x v="8"/>
    <x v="1"/>
    <x v="69"/>
    <x v="1"/>
    <x v="1"/>
    <x v="19"/>
    <x v="0"/>
    <x v="5"/>
    <x v="1"/>
    <x v="0"/>
    <n v="892.11"/>
  </r>
  <r>
    <d v="2024-09-11T00:00:00"/>
    <x v="1"/>
    <x v="8"/>
    <x v="0"/>
    <x v="4"/>
    <x v="6"/>
    <x v="6"/>
    <x v="29"/>
    <x v="0"/>
    <x v="2"/>
    <x v="5"/>
    <x v="8"/>
    <n v="3341.27"/>
  </r>
  <r>
    <d v="2024-09-11T00:00:00"/>
    <x v="1"/>
    <x v="8"/>
    <x v="1"/>
    <x v="85"/>
    <x v="6"/>
    <x v="6"/>
    <x v="43"/>
    <x v="0"/>
    <x v="7"/>
    <x v="3"/>
    <x v="1"/>
    <n v="3460.19"/>
  </r>
  <r>
    <d v="2024-09-12T00:00:00"/>
    <x v="1"/>
    <x v="8"/>
    <x v="1"/>
    <x v="26"/>
    <x v="7"/>
    <x v="7"/>
    <x v="81"/>
    <x v="0"/>
    <x v="20"/>
    <x v="1"/>
    <x v="0"/>
    <n v="9.0"/>
  </r>
  <r>
    <d v="2024-09-12T00:00:00"/>
    <x v="1"/>
    <x v="8"/>
    <x v="0"/>
    <x v="51"/>
    <x v="5"/>
    <x v="5"/>
    <x v="95"/>
    <x v="0"/>
    <x v="18"/>
    <x v="2"/>
    <x v="2"/>
    <n v="23.38"/>
  </r>
  <r>
    <d v="2024-09-12T00:00:00"/>
    <x v="1"/>
    <x v="8"/>
    <x v="1"/>
    <x v="86"/>
    <x v="1"/>
    <x v="1"/>
    <x v="9"/>
    <x v="0"/>
    <x v="10"/>
    <x v="2"/>
    <x v="2"/>
    <n v="51.96"/>
  </r>
  <r>
    <d v="2024-09-12T00:00:00"/>
    <x v="1"/>
    <x v="8"/>
    <x v="1"/>
    <x v="29"/>
    <x v="6"/>
    <x v="6"/>
    <x v="35"/>
    <x v="0"/>
    <x v="14"/>
    <x v="1"/>
    <x v="0"/>
    <n v="101.89"/>
  </r>
  <r>
    <d v="2024-09-12T00:00:00"/>
    <x v="1"/>
    <x v="8"/>
    <x v="0"/>
    <x v="22"/>
    <x v="1"/>
    <x v="1"/>
    <x v="20"/>
    <x v="0"/>
    <x v="5"/>
    <x v="6"/>
    <x v="4"/>
    <n v="315.51"/>
  </r>
  <r>
    <d v="2024-09-12T00:00:00"/>
    <x v="1"/>
    <x v="8"/>
    <x v="1"/>
    <x v="43"/>
    <x v="7"/>
    <x v="7"/>
    <x v="87"/>
    <x v="0"/>
    <x v="12"/>
    <x v="9"/>
    <x v="6"/>
    <n v="1079.81"/>
  </r>
  <r>
    <d v="2024-09-12T00:00:00"/>
    <x v="1"/>
    <x v="8"/>
    <x v="0"/>
    <x v="79"/>
    <x v="1"/>
    <x v="1"/>
    <x v="8"/>
    <x v="0"/>
    <x v="10"/>
    <x v="5"/>
    <x v="8"/>
    <n v="2482.55"/>
  </r>
  <r>
    <d v="2024-09-13T00:00:00"/>
    <x v="1"/>
    <x v="8"/>
    <x v="0"/>
    <x v="73"/>
    <x v="4"/>
    <x v="4"/>
    <x v="80"/>
    <x v="0"/>
    <x v="0"/>
    <x v="6"/>
    <x v="4"/>
    <n v="28.98"/>
  </r>
  <r>
    <d v="2024-09-13T00:00:00"/>
    <x v="1"/>
    <x v="8"/>
    <x v="1"/>
    <x v="21"/>
    <x v="3"/>
    <x v="3"/>
    <x v="60"/>
    <x v="0"/>
    <x v="17"/>
    <x v="6"/>
    <x v="4"/>
    <n v="34.99"/>
  </r>
  <r>
    <d v="2024-09-13T00:00:00"/>
    <x v="1"/>
    <x v="8"/>
    <x v="1"/>
    <x v="49"/>
    <x v="3"/>
    <x v="3"/>
    <x v="58"/>
    <x v="0"/>
    <x v="16"/>
    <x v="8"/>
    <x v="5"/>
    <n v="40.45"/>
  </r>
  <r>
    <d v="2024-09-13T00:00:00"/>
    <x v="1"/>
    <x v="8"/>
    <x v="0"/>
    <x v="20"/>
    <x v="3"/>
    <x v="3"/>
    <x v="71"/>
    <x v="0"/>
    <x v="3"/>
    <x v="1"/>
    <x v="0"/>
    <n v="48.94"/>
  </r>
  <r>
    <d v="2024-09-13T00:00:00"/>
    <x v="1"/>
    <x v="8"/>
    <x v="1"/>
    <x v="68"/>
    <x v="3"/>
    <x v="3"/>
    <x v="59"/>
    <x v="0"/>
    <x v="16"/>
    <x v="3"/>
    <x v="1"/>
    <n v="55.95"/>
  </r>
  <r>
    <d v="2024-09-13T00:00:00"/>
    <x v="1"/>
    <x v="8"/>
    <x v="0"/>
    <x v="80"/>
    <x v="6"/>
    <x v="6"/>
    <x v="38"/>
    <x v="0"/>
    <x v="14"/>
    <x v="8"/>
    <x v="5"/>
    <n v="80.92"/>
  </r>
  <r>
    <d v="2024-09-13T00:00:00"/>
    <x v="1"/>
    <x v="8"/>
    <x v="1"/>
    <x v="53"/>
    <x v="1"/>
    <x v="1"/>
    <x v="16"/>
    <x v="0"/>
    <x v="4"/>
    <x v="3"/>
    <x v="1"/>
    <n v="111.75"/>
  </r>
  <r>
    <d v="2024-09-13T00:00:00"/>
    <x v="1"/>
    <x v="8"/>
    <x v="1"/>
    <x v="59"/>
    <x v="1"/>
    <x v="1"/>
    <x v="3"/>
    <x v="0"/>
    <x v="6"/>
    <x v="6"/>
    <x v="4"/>
    <n v="150.86"/>
  </r>
  <r>
    <d v="2024-09-13T00:00:00"/>
    <x v="1"/>
    <x v="8"/>
    <x v="1"/>
    <x v="19"/>
    <x v="7"/>
    <x v="7"/>
    <x v="88"/>
    <x v="0"/>
    <x v="12"/>
    <x v="7"/>
    <x v="3"/>
    <n v="171.81"/>
  </r>
  <r>
    <d v="2024-09-13T00:00:00"/>
    <x v="1"/>
    <x v="8"/>
    <x v="1"/>
    <x v="3"/>
    <x v="2"/>
    <x v="2"/>
    <x v="1"/>
    <x v="0"/>
    <x v="11"/>
    <x v="0"/>
    <x v="9"/>
    <n v="202.61"/>
  </r>
  <r>
    <d v="2024-09-13T00:00:00"/>
    <x v="1"/>
    <x v="8"/>
    <x v="1"/>
    <x v="13"/>
    <x v="0"/>
    <x v="0"/>
    <x v="22"/>
    <x v="0"/>
    <x v="5"/>
    <x v="5"/>
    <x v="8"/>
    <n v="255.79"/>
  </r>
  <r>
    <d v="2024-09-13T00:00:00"/>
    <x v="1"/>
    <x v="8"/>
    <x v="1"/>
    <x v="84"/>
    <x v="3"/>
    <x v="3"/>
    <x v="53"/>
    <x v="0"/>
    <x v="19"/>
    <x v="1"/>
    <x v="0"/>
    <n v="786.38"/>
  </r>
  <r>
    <d v="2024-09-13T00:00:00"/>
    <x v="1"/>
    <x v="8"/>
    <x v="1"/>
    <x v="73"/>
    <x v="4"/>
    <x v="4"/>
    <x v="80"/>
    <x v="0"/>
    <x v="0"/>
    <x v="9"/>
    <x v="6"/>
    <n v="861.82"/>
  </r>
  <r>
    <d v="2024-09-14T00:00:00"/>
    <x v="1"/>
    <x v="8"/>
    <x v="1"/>
    <x v="2"/>
    <x v="1"/>
    <x v="1"/>
    <x v="2"/>
    <x v="0"/>
    <x v="6"/>
    <x v="4"/>
    <x v="7"/>
    <n v="3.0"/>
  </r>
  <r>
    <d v="2024-09-14T00:00:00"/>
    <x v="1"/>
    <x v="8"/>
    <x v="0"/>
    <x v="15"/>
    <x v="4"/>
    <x v="4"/>
    <x v="79"/>
    <x v="0"/>
    <x v="0"/>
    <x v="3"/>
    <x v="1"/>
    <n v="17.97"/>
  </r>
  <r>
    <d v="2024-09-14T00:00:00"/>
    <x v="1"/>
    <x v="8"/>
    <x v="1"/>
    <x v="63"/>
    <x v="4"/>
    <x v="4"/>
    <x v="78"/>
    <x v="0"/>
    <x v="0"/>
    <x v="1"/>
    <x v="0"/>
    <n v="44.0"/>
  </r>
  <r>
    <d v="2024-09-14T00:00:00"/>
    <x v="1"/>
    <x v="8"/>
    <x v="1"/>
    <x v="35"/>
    <x v="6"/>
    <x v="6"/>
    <x v="46"/>
    <x v="0"/>
    <x v="7"/>
    <x v="5"/>
    <x v="8"/>
    <n v="470.18"/>
  </r>
  <r>
    <d v="2024-09-14T00:00:00"/>
    <x v="1"/>
    <x v="8"/>
    <x v="1"/>
    <x v="27"/>
    <x v="6"/>
    <x v="6"/>
    <x v="31"/>
    <x v="0"/>
    <x v="2"/>
    <x v="9"/>
    <x v="6"/>
    <n v="471.1"/>
  </r>
  <r>
    <d v="2024-09-14T00:00:00"/>
    <x v="1"/>
    <x v="8"/>
    <x v="1"/>
    <x v="47"/>
    <x v="3"/>
    <x v="3"/>
    <x v="54"/>
    <x v="0"/>
    <x v="19"/>
    <x v="3"/>
    <x v="1"/>
    <n v="1942.32"/>
  </r>
  <r>
    <d v="2024-09-14T00:00:00"/>
    <x v="1"/>
    <x v="8"/>
    <x v="1"/>
    <x v="84"/>
    <x v="3"/>
    <x v="3"/>
    <x v="53"/>
    <x v="0"/>
    <x v="19"/>
    <x v="5"/>
    <x v="8"/>
    <n v="3372.28"/>
  </r>
  <r>
    <d v="2024-09-14T00:00:00"/>
    <x v="1"/>
    <x v="8"/>
    <x v="1"/>
    <x v="87"/>
    <x v="3"/>
    <x v="3"/>
    <x v="52"/>
    <x v="0"/>
    <x v="19"/>
    <x v="3"/>
    <x v="1"/>
    <n v="8438.79"/>
  </r>
  <r>
    <d v="2024-09-15T00:00:00"/>
    <x v="1"/>
    <x v="8"/>
    <x v="1"/>
    <x v="85"/>
    <x v="6"/>
    <x v="6"/>
    <x v="43"/>
    <x v="0"/>
    <x v="7"/>
    <x v="1"/>
    <x v="0"/>
    <n v="3.0"/>
  </r>
  <r>
    <d v="2024-09-15T00:00:00"/>
    <x v="1"/>
    <x v="8"/>
    <x v="1"/>
    <x v="47"/>
    <x v="3"/>
    <x v="3"/>
    <x v="54"/>
    <x v="0"/>
    <x v="19"/>
    <x v="4"/>
    <x v="7"/>
    <n v="11.97"/>
  </r>
  <r>
    <d v="2024-09-15T00:00:00"/>
    <x v="1"/>
    <x v="8"/>
    <x v="0"/>
    <x v="78"/>
    <x v="5"/>
    <x v="5"/>
    <x v="94"/>
    <x v="0"/>
    <x v="18"/>
    <x v="1"/>
    <x v="0"/>
    <n v="70.45"/>
  </r>
  <r>
    <d v="2024-09-15T00:00:00"/>
    <x v="1"/>
    <x v="8"/>
    <x v="0"/>
    <x v="20"/>
    <x v="3"/>
    <x v="3"/>
    <x v="71"/>
    <x v="0"/>
    <x v="3"/>
    <x v="0"/>
    <x v="9"/>
    <n v="107.9"/>
  </r>
  <r>
    <d v="2024-09-15T00:00:00"/>
    <x v="1"/>
    <x v="8"/>
    <x v="0"/>
    <x v="32"/>
    <x v="1"/>
    <x v="1"/>
    <x v="28"/>
    <x v="0"/>
    <x v="8"/>
    <x v="1"/>
    <x v="0"/>
    <n v="109.79"/>
  </r>
  <r>
    <d v="2024-09-15T00:00:00"/>
    <x v="1"/>
    <x v="8"/>
    <x v="0"/>
    <x v="89"/>
    <x v="1"/>
    <x v="1"/>
    <x v="18"/>
    <x v="0"/>
    <x v="5"/>
    <x v="8"/>
    <x v="5"/>
    <n v="245.48"/>
  </r>
  <r>
    <d v="2024-09-15T00:00:00"/>
    <x v="1"/>
    <x v="8"/>
    <x v="1"/>
    <x v="49"/>
    <x v="3"/>
    <x v="3"/>
    <x v="58"/>
    <x v="0"/>
    <x v="16"/>
    <x v="6"/>
    <x v="4"/>
    <n v="371.23"/>
  </r>
  <r>
    <d v="2024-09-15T00:00:00"/>
    <x v="1"/>
    <x v="8"/>
    <x v="1"/>
    <x v="14"/>
    <x v="6"/>
    <x v="6"/>
    <x v="45"/>
    <x v="0"/>
    <x v="7"/>
    <x v="1"/>
    <x v="0"/>
    <n v="1650.06"/>
  </r>
  <r>
    <d v="2024-09-15T00:00:00"/>
    <x v="1"/>
    <x v="8"/>
    <x v="1"/>
    <x v="21"/>
    <x v="3"/>
    <x v="3"/>
    <x v="60"/>
    <x v="0"/>
    <x v="17"/>
    <x v="9"/>
    <x v="6"/>
    <n v="4097.29"/>
  </r>
  <r>
    <d v="2024-09-16T00:00:00"/>
    <x v="1"/>
    <x v="8"/>
    <x v="1"/>
    <x v="20"/>
    <x v="3"/>
    <x v="3"/>
    <x v="71"/>
    <x v="0"/>
    <x v="3"/>
    <x v="9"/>
    <x v="6"/>
    <n v="1269.76"/>
  </r>
  <r>
    <d v="2024-09-16T00:00:00"/>
    <x v="1"/>
    <x v="8"/>
    <x v="1"/>
    <x v="12"/>
    <x v="1"/>
    <x v="1"/>
    <x v="26"/>
    <x v="0"/>
    <x v="8"/>
    <x v="3"/>
    <x v="1"/>
    <n v="1290.23"/>
  </r>
  <r>
    <d v="2024-09-16T00:00:00"/>
    <x v="1"/>
    <x v="8"/>
    <x v="0"/>
    <x v="8"/>
    <x v="3"/>
    <x v="3"/>
    <x v="72"/>
    <x v="0"/>
    <x v="3"/>
    <x v="6"/>
    <x v="4"/>
    <n v="1434.96"/>
  </r>
  <r>
    <d v="2024-09-16T00:00:00"/>
    <x v="1"/>
    <x v="8"/>
    <x v="1"/>
    <x v="68"/>
    <x v="3"/>
    <x v="3"/>
    <x v="59"/>
    <x v="0"/>
    <x v="16"/>
    <x v="9"/>
    <x v="6"/>
    <n v="2366.31"/>
  </r>
  <r>
    <d v="2024-09-17T00:00:00"/>
    <x v="1"/>
    <x v="8"/>
    <x v="1"/>
    <x v="33"/>
    <x v="1"/>
    <x v="1"/>
    <x v="13"/>
    <x v="0"/>
    <x v="10"/>
    <x v="4"/>
    <x v="7"/>
    <n v="4.99"/>
  </r>
  <r>
    <d v="2024-09-17T00:00:00"/>
    <x v="1"/>
    <x v="8"/>
    <x v="1"/>
    <x v="80"/>
    <x v="6"/>
    <x v="6"/>
    <x v="38"/>
    <x v="0"/>
    <x v="14"/>
    <x v="0"/>
    <x v="9"/>
    <n v="14.95"/>
  </r>
  <r>
    <d v="2024-09-17T00:00:00"/>
    <x v="1"/>
    <x v="8"/>
    <x v="1"/>
    <x v="83"/>
    <x v="3"/>
    <x v="3"/>
    <x v="56"/>
    <x v="0"/>
    <x v="16"/>
    <x v="6"/>
    <x v="4"/>
    <n v="15.98"/>
  </r>
  <r>
    <d v="2024-09-17T00:00:00"/>
    <x v="1"/>
    <x v="8"/>
    <x v="0"/>
    <x v="78"/>
    <x v="5"/>
    <x v="5"/>
    <x v="94"/>
    <x v="0"/>
    <x v="18"/>
    <x v="8"/>
    <x v="5"/>
    <n v="119.19"/>
  </r>
  <r>
    <d v="2024-09-17T00:00:00"/>
    <x v="1"/>
    <x v="8"/>
    <x v="1"/>
    <x v="57"/>
    <x v="4"/>
    <x v="4"/>
    <x v="74"/>
    <x v="0"/>
    <x v="15"/>
    <x v="9"/>
    <x v="6"/>
    <n v="639.89"/>
  </r>
  <r>
    <d v="2024-09-17T00:00:00"/>
    <x v="1"/>
    <x v="8"/>
    <x v="1"/>
    <x v="19"/>
    <x v="7"/>
    <x v="7"/>
    <x v="88"/>
    <x v="0"/>
    <x v="12"/>
    <x v="1"/>
    <x v="0"/>
    <n v="744.12"/>
  </r>
  <r>
    <d v="2024-09-17T00:00:00"/>
    <x v="1"/>
    <x v="8"/>
    <x v="1"/>
    <x v="65"/>
    <x v="1"/>
    <x v="1"/>
    <x v="7"/>
    <x v="0"/>
    <x v="10"/>
    <x v="3"/>
    <x v="1"/>
    <n v="1475.44"/>
  </r>
  <r>
    <d v="2024-09-17T00:00:00"/>
    <x v="1"/>
    <x v="8"/>
    <x v="1"/>
    <x v="93"/>
    <x v="6"/>
    <x v="6"/>
    <x v="30"/>
    <x v="0"/>
    <x v="2"/>
    <x v="3"/>
    <x v="1"/>
    <n v="1906.36"/>
  </r>
  <r>
    <d v="2024-09-17T00:00:00"/>
    <x v="1"/>
    <x v="8"/>
    <x v="1"/>
    <x v="75"/>
    <x v="1"/>
    <x v="1"/>
    <x v="4"/>
    <x v="0"/>
    <x v="6"/>
    <x v="5"/>
    <x v="8"/>
    <n v="3257.5"/>
  </r>
  <r>
    <d v="2024-09-18T00:00:00"/>
    <x v="1"/>
    <x v="8"/>
    <x v="1"/>
    <x v="55"/>
    <x v="3"/>
    <x v="3"/>
    <x v="68"/>
    <x v="0"/>
    <x v="1"/>
    <x v="6"/>
    <x v="4"/>
    <n v="3.0"/>
  </r>
  <r>
    <d v="2024-09-18T00:00:00"/>
    <x v="1"/>
    <x v="8"/>
    <x v="1"/>
    <x v="19"/>
    <x v="7"/>
    <x v="7"/>
    <x v="88"/>
    <x v="0"/>
    <x v="12"/>
    <x v="7"/>
    <x v="3"/>
    <n v="31.0"/>
  </r>
  <r>
    <d v="2024-09-18T00:00:00"/>
    <x v="1"/>
    <x v="8"/>
    <x v="0"/>
    <x v="85"/>
    <x v="6"/>
    <x v="6"/>
    <x v="43"/>
    <x v="0"/>
    <x v="7"/>
    <x v="0"/>
    <x v="9"/>
    <n v="70.68"/>
  </r>
  <r>
    <d v="2024-09-18T00:00:00"/>
    <x v="1"/>
    <x v="8"/>
    <x v="1"/>
    <x v="12"/>
    <x v="1"/>
    <x v="1"/>
    <x v="26"/>
    <x v="0"/>
    <x v="8"/>
    <x v="1"/>
    <x v="0"/>
    <n v="530.09"/>
  </r>
  <r>
    <d v="2024-09-18T00:00:00"/>
    <x v="1"/>
    <x v="8"/>
    <x v="0"/>
    <x v="86"/>
    <x v="1"/>
    <x v="1"/>
    <x v="9"/>
    <x v="0"/>
    <x v="10"/>
    <x v="4"/>
    <x v="7"/>
    <n v="695.35"/>
  </r>
  <r>
    <d v="2024-09-19T00:00:00"/>
    <x v="1"/>
    <x v="8"/>
    <x v="1"/>
    <x v="11"/>
    <x v="1"/>
    <x v="1"/>
    <x v="15"/>
    <x v="0"/>
    <x v="4"/>
    <x v="5"/>
    <x v="8"/>
    <n v="22.97"/>
  </r>
  <r>
    <d v="2024-09-19T00:00:00"/>
    <x v="1"/>
    <x v="8"/>
    <x v="1"/>
    <x v="92"/>
    <x v="6"/>
    <x v="6"/>
    <x v="40"/>
    <x v="0"/>
    <x v="7"/>
    <x v="3"/>
    <x v="1"/>
    <n v="762.15"/>
  </r>
  <r>
    <d v="2024-09-19T00:00:00"/>
    <x v="1"/>
    <x v="8"/>
    <x v="1"/>
    <x v="96"/>
    <x v="3"/>
    <x v="3"/>
    <x v="67"/>
    <x v="0"/>
    <x v="1"/>
    <x v="3"/>
    <x v="1"/>
    <n v="1077.06"/>
  </r>
  <r>
    <d v="2024-09-20T00:00:00"/>
    <x v="1"/>
    <x v="8"/>
    <x v="1"/>
    <x v="78"/>
    <x v="5"/>
    <x v="5"/>
    <x v="94"/>
    <x v="0"/>
    <x v="18"/>
    <x v="1"/>
    <x v="0"/>
    <n v="65.49"/>
  </r>
  <r>
    <d v="2024-09-20T00:00:00"/>
    <x v="1"/>
    <x v="8"/>
    <x v="1"/>
    <x v="18"/>
    <x v="5"/>
    <x v="5"/>
    <x v="96"/>
    <x v="0"/>
    <x v="18"/>
    <x v="0"/>
    <x v="9"/>
    <n v="148.72"/>
  </r>
  <r>
    <d v="2024-09-20T00:00:00"/>
    <x v="1"/>
    <x v="8"/>
    <x v="1"/>
    <x v="15"/>
    <x v="4"/>
    <x v="4"/>
    <x v="79"/>
    <x v="0"/>
    <x v="0"/>
    <x v="8"/>
    <x v="5"/>
    <n v="151.85"/>
  </r>
  <r>
    <d v="2024-09-20T00:00:00"/>
    <x v="1"/>
    <x v="8"/>
    <x v="0"/>
    <x v="55"/>
    <x v="3"/>
    <x v="3"/>
    <x v="68"/>
    <x v="0"/>
    <x v="1"/>
    <x v="5"/>
    <x v="8"/>
    <n v="181.75"/>
  </r>
  <r>
    <d v="2024-09-20T00:00:00"/>
    <x v="1"/>
    <x v="8"/>
    <x v="1"/>
    <x v="5"/>
    <x v="1"/>
    <x v="1"/>
    <x v="14"/>
    <x v="0"/>
    <x v="4"/>
    <x v="7"/>
    <x v="3"/>
    <n v="263.95"/>
  </r>
  <r>
    <d v="2024-09-20T00:00:00"/>
    <x v="1"/>
    <x v="8"/>
    <x v="1"/>
    <x v="49"/>
    <x v="3"/>
    <x v="3"/>
    <x v="58"/>
    <x v="0"/>
    <x v="16"/>
    <x v="3"/>
    <x v="1"/>
    <n v="326.76"/>
  </r>
  <r>
    <d v="2024-09-20T00:00:00"/>
    <x v="1"/>
    <x v="8"/>
    <x v="1"/>
    <x v="64"/>
    <x v="3"/>
    <x v="3"/>
    <x v="70"/>
    <x v="0"/>
    <x v="3"/>
    <x v="6"/>
    <x v="4"/>
    <n v="940.89"/>
  </r>
  <r>
    <d v="2024-09-20T00:00:00"/>
    <x v="1"/>
    <x v="8"/>
    <x v="1"/>
    <x v="94"/>
    <x v="6"/>
    <x v="6"/>
    <x v="48"/>
    <x v="0"/>
    <x v="13"/>
    <x v="2"/>
    <x v="2"/>
    <n v="2567.61"/>
  </r>
  <r>
    <d v="2024-09-21T00:00:00"/>
    <x v="1"/>
    <x v="8"/>
    <x v="1"/>
    <x v="66"/>
    <x v="4"/>
    <x v="4"/>
    <x v="76"/>
    <x v="0"/>
    <x v="15"/>
    <x v="2"/>
    <x v="2"/>
    <n v="5.0"/>
  </r>
  <r>
    <d v="2024-09-21T00:00:00"/>
    <x v="1"/>
    <x v="8"/>
    <x v="0"/>
    <x v="91"/>
    <x v="1"/>
    <x v="1"/>
    <x v="23"/>
    <x v="0"/>
    <x v="8"/>
    <x v="0"/>
    <x v="9"/>
    <n v="5.99"/>
  </r>
  <r>
    <d v="2024-09-21T00:00:00"/>
    <x v="1"/>
    <x v="8"/>
    <x v="1"/>
    <x v="5"/>
    <x v="1"/>
    <x v="1"/>
    <x v="14"/>
    <x v="0"/>
    <x v="4"/>
    <x v="6"/>
    <x v="4"/>
    <n v="64.87"/>
  </r>
  <r>
    <d v="2024-09-22T00:00:00"/>
    <x v="1"/>
    <x v="8"/>
    <x v="1"/>
    <x v="20"/>
    <x v="3"/>
    <x v="3"/>
    <x v="71"/>
    <x v="0"/>
    <x v="3"/>
    <x v="0"/>
    <x v="9"/>
    <n v="218.6"/>
  </r>
  <r>
    <d v="2024-09-22T00:00:00"/>
    <x v="1"/>
    <x v="8"/>
    <x v="0"/>
    <x v="40"/>
    <x v="3"/>
    <x v="3"/>
    <x v="65"/>
    <x v="0"/>
    <x v="1"/>
    <x v="9"/>
    <x v="6"/>
    <n v="616.92"/>
  </r>
  <r>
    <d v="2024-09-22T00:00:00"/>
    <x v="1"/>
    <x v="8"/>
    <x v="1"/>
    <x v="66"/>
    <x v="4"/>
    <x v="4"/>
    <x v="76"/>
    <x v="0"/>
    <x v="15"/>
    <x v="4"/>
    <x v="7"/>
    <n v="724.4"/>
  </r>
  <r>
    <d v="2024-09-22T00:00:00"/>
    <x v="1"/>
    <x v="8"/>
    <x v="0"/>
    <x v="0"/>
    <x v="3"/>
    <x v="3"/>
    <x v="69"/>
    <x v="0"/>
    <x v="3"/>
    <x v="3"/>
    <x v="1"/>
    <n v="816.89"/>
  </r>
  <r>
    <d v="2024-09-22T00:00:00"/>
    <x v="1"/>
    <x v="8"/>
    <x v="1"/>
    <x v="10"/>
    <x v="6"/>
    <x v="6"/>
    <x v="41"/>
    <x v="0"/>
    <x v="7"/>
    <x v="5"/>
    <x v="8"/>
    <n v="3911.4"/>
  </r>
  <r>
    <d v="2024-09-23T00:00:00"/>
    <x v="1"/>
    <x v="8"/>
    <x v="1"/>
    <x v="29"/>
    <x v="6"/>
    <x v="6"/>
    <x v="35"/>
    <x v="0"/>
    <x v="14"/>
    <x v="3"/>
    <x v="1"/>
    <n v="54.88"/>
  </r>
  <r>
    <d v="2024-09-23T00:00:00"/>
    <x v="1"/>
    <x v="8"/>
    <x v="1"/>
    <x v="82"/>
    <x v="6"/>
    <x v="6"/>
    <x v="47"/>
    <x v="0"/>
    <x v="13"/>
    <x v="3"/>
    <x v="1"/>
    <n v="92.88"/>
  </r>
  <r>
    <d v="2024-09-23T00:00:00"/>
    <x v="1"/>
    <x v="8"/>
    <x v="1"/>
    <x v="31"/>
    <x v="2"/>
    <x v="2"/>
    <x v="0"/>
    <x v="0"/>
    <x v="11"/>
    <x v="9"/>
    <x v="6"/>
    <n v="233.93"/>
  </r>
  <r>
    <d v="2024-09-23T00:00:00"/>
    <x v="1"/>
    <x v="8"/>
    <x v="1"/>
    <x v="24"/>
    <x v="6"/>
    <x v="6"/>
    <x v="36"/>
    <x v="0"/>
    <x v="14"/>
    <x v="7"/>
    <x v="3"/>
    <n v="2084.89"/>
  </r>
  <r>
    <d v="2024-09-24T00:00:00"/>
    <x v="1"/>
    <x v="8"/>
    <x v="1"/>
    <x v="81"/>
    <x v="4"/>
    <x v="4"/>
    <x v="77"/>
    <x v="0"/>
    <x v="15"/>
    <x v="9"/>
    <x v="6"/>
    <n v="378.07"/>
  </r>
  <r>
    <d v="2024-09-24T00:00:00"/>
    <x v="1"/>
    <x v="8"/>
    <x v="1"/>
    <x v="73"/>
    <x v="4"/>
    <x v="4"/>
    <x v="80"/>
    <x v="0"/>
    <x v="0"/>
    <x v="3"/>
    <x v="1"/>
    <n v="596.99"/>
  </r>
  <r>
    <d v="2024-09-24T00:00:00"/>
    <x v="1"/>
    <x v="8"/>
    <x v="1"/>
    <x v="71"/>
    <x v="1"/>
    <x v="1"/>
    <x v="27"/>
    <x v="0"/>
    <x v="8"/>
    <x v="4"/>
    <x v="7"/>
    <n v="798.24"/>
  </r>
  <r>
    <d v="2024-09-25T00:00:00"/>
    <x v="1"/>
    <x v="8"/>
    <x v="1"/>
    <x v="89"/>
    <x v="1"/>
    <x v="1"/>
    <x v="18"/>
    <x v="0"/>
    <x v="5"/>
    <x v="9"/>
    <x v="6"/>
    <n v="5.99"/>
  </r>
  <r>
    <d v="2024-09-25T00:00:00"/>
    <x v="1"/>
    <x v="8"/>
    <x v="1"/>
    <x v="51"/>
    <x v="5"/>
    <x v="5"/>
    <x v="95"/>
    <x v="0"/>
    <x v="18"/>
    <x v="1"/>
    <x v="0"/>
    <n v="142.9"/>
  </r>
  <r>
    <d v="2024-09-25T00:00:00"/>
    <x v="1"/>
    <x v="8"/>
    <x v="0"/>
    <x v="14"/>
    <x v="6"/>
    <x v="6"/>
    <x v="45"/>
    <x v="0"/>
    <x v="7"/>
    <x v="4"/>
    <x v="7"/>
    <n v="217.45"/>
  </r>
  <r>
    <d v="2024-09-25T00:00:00"/>
    <x v="1"/>
    <x v="8"/>
    <x v="1"/>
    <x v="30"/>
    <x v="6"/>
    <x v="6"/>
    <x v="37"/>
    <x v="0"/>
    <x v="14"/>
    <x v="1"/>
    <x v="0"/>
    <n v="653.3"/>
  </r>
  <r>
    <d v="2024-09-26T00:00:00"/>
    <x v="1"/>
    <x v="8"/>
    <x v="1"/>
    <x v="22"/>
    <x v="1"/>
    <x v="1"/>
    <x v="20"/>
    <x v="0"/>
    <x v="5"/>
    <x v="1"/>
    <x v="0"/>
    <n v="33.97"/>
  </r>
  <r>
    <d v="2024-09-26T00:00:00"/>
    <x v="1"/>
    <x v="8"/>
    <x v="1"/>
    <x v="36"/>
    <x v="7"/>
    <x v="7"/>
    <x v="90"/>
    <x v="0"/>
    <x v="9"/>
    <x v="9"/>
    <x v="6"/>
    <n v="89.97"/>
  </r>
  <r>
    <d v="2024-09-26T00:00:00"/>
    <x v="1"/>
    <x v="8"/>
    <x v="1"/>
    <x v="51"/>
    <x v="5"/>
    <x v="5"/>
    <x v="95"/>
    <x v="0"/>
    <x v="18"/>
    <x v="1"/>
    <x v="0"/>
    <n v="110.22"/>
  </r>
  <r>
    <d v="2024-09-26T00:00:00"/>
    <x v="1"/>
    <x v="8"/>
    <x v="0"/>
    <x v="32"/>
    <x v="1"/>
    <x v="1"/>
    <x v="28"/>
    <x v="0"/>
    <x v="8"/>
    <x v="3"/>
    <x v="1"/>
    <n v="279.0"/>
  </r>
  <r>
    <d v="2024-09-26T00:00:00"/>
    <x v="1"/>
    <x v="8"/>
    <x v="1"/>
    <x v="8"/>
    <x v="3"/>
    <x v="3"/>
    <x v="72"/>
    <x v="0"/>
    <x v="3"/>
    <x v="1"/>
    <x v="0"/>
    <n v="321.62"/>
  </r>
  <r>
    <d v="2024-09-26T00:00:00"/>
    <x v="1"/>
    <x v="8"/>
    <x v="1"/>
    <x v="5"/>
    <x v="1"/>
    <x v="1"/>
    <x v="14"/>
    <x v="0"/>
    <x v="4"/>
    <x v="1"/>
    <x v="0"/>
    <n v="364.22"/>
  </r>
  <r>
    <d v="2024-09-26T00:00:00"/>
    <x v="1"/>
    <x v="8"/>
    <x v="1"/>
    <x v="51"/>
    <x v="5"/>
    <x v="5"/>
    <x v="95"/>
    <x v="0"/>
    <x v="18"/>
    <x v="3"/>
    <x v="1"/>
    <n v="442.94"/>
  </r>
  <r>
    <d v="2024-09-26T00:00:00"/>
    <x v="1"/>
    <x v="8"/>
    <x v="1"/>
    <x v="53"/>
    <x v="1"/>
    <x v="1"/>
    <x v="16"/>
    <x v="0"/>
    <x v="4"/>
    <x v="3"/>
    <x v="1"/>
    <n v="759.59"/>
  </r>
  <r>
    <d v="2024-09-27T00:00:00"/>
    <x v="1"/>
    <x v="8"/>
    <x v="1"/>
    <x v="92"/>
    <x v="6"/>
    <x v="6"/>
    <x v="40"/>
    <x v="0"/>
    <x v="7"/>
    <x v="1"/>
    <x v="0"/>
    <n v="45.49"/>
  </r>
  <r>
    <d v="2024-09-27T00:00:00"/>
    <x v="1"/>
    <x v="8"/>
    <x v="1"/>
    <x v="0"/>
    <x v="3"/>
    <x v="3"/>
    <x v="69"/>
    <x v="0"/>
    <x v="3"/>
    <x v="2"/>
    <x v="2"/>
    <n v="244.92"/>
  </r>
  <r>
    <d v="2024-09-27T00:00:00"/>
    <x v="1"/>
    <x v="8"/>
    <x v="1"/>
    <x v="76"/>
    <x v="6"/>
    <x v="6"/>
    <x v="34"/>
    <x v="0"/>
    <x v="14"/>
    <x v="6"/>
    <x v="4"/>
    <n v="715.37"/>
  </r>
  <r>
    <d v="2024-09-27T00:00:00"/>
    <x v="1"/>
    <x v="8"/>
    <x v="1"/>
    <x v="24"/>
    <x v="6"/>
    <x v="6"/>
    <x v="36"/>
    <x v="0"/>
    <x v="14"/>
    <x v="5"/>
    <x v="8"/>
    <n v="791.57"/>
  </r>
  <r>
    <d v="2024-09-28T00:00:00"/>
    <x v="1"/>
    <x v="8"/>
    <x v="1"/>
    <x v="39"/>
    <x v="7"/>
    <x v="7"/>
    <x v="91"/>
    <x v="0"/>
    <x v="9"/>
    <x v="1"/>
    <x v="0"/>
    <n v="12.52"/>
  </r>
  <r>
    <d v="2024-09-28T00:00:00"/>
    <x v="1"/>
    <x v="8"/>
    <x v="0"/>
    <x v="70"/>
    <x v="6"/>
    <x v="6"/>
    <x v="33"/>
    <x v="0"/>
    <x v="14"/>
    <x v="5"/>
    <x v="8"/>
    <n v="73.59"/>
  </r>
  <r>
    <d v="2024-09-28T00:00:00"/>
    <x v="1"/>
    <x v="8"/>
    <x v="1"/>
    <x v="81"/>
    <x v="4"/>
    <x v="4"/>
    <x v="77"/>
    <x v="0"/>
    <x v="15"/>
    <x v="0"/>
    <x v="9"/>
    <n v="74.79"/>
  </r>
  <r>
    <d v="2024-09-28T00:00:00"/>
    <x v="1"/>
    <x v="8"/>
    <x v="1"/>
    <x v="91"/>
    <x v="1"/>
    <x v="1"/>
    <x v="23"/>
    <x v="0"/>
    <x v="8"/>
    <x v="4"/>
    <x v="7"/>
    <n v="847.17"/>
  </r>
  <r>
    <d v="2024-09-28T00:00:00"/>
    <x v="1"/>
    <x v="8"/>
    <x v="1"/>
    <x v="14"/>
    <x v="6"/>
    <x v="6"/>
    <x v="45"/>
    <x v="0"/>
    <x v="7"/>
    <x v="3"/>
    <x v="1"/>
    <n v="1448.89"/>
  </r>
  <r>
    <d v="2024-09-28T00:00:00"/>
    <x v="1"/>
    <x v="8"/>
    <x v="1"/>
    <x v="21"/>
    <x v="3"/>
    <x v="3"/>
    <x v="60"/>
    <x v="0"/>
    <x v="17"/>
    <x v="4"/>
    <x v="7"/>
    <n v="1893.1"/>
  </r>
  <r>
    <d v="2024-09-28T00:00:00"/>
    <x v="1"/>
    <x v="8"/>
    <x v="1"/>
    <x v="45"/>
    <x v="3"/>
    <x v="3"/>
    <x v="64"/>
    <x v="0"/>
    <x v="1"/>
    <x v="3"/>
    <x v="1"/>
    <n v="2275.0"/>
  </r>
  <r>
    <d v="2024-09-29T00:00:00"/>
    <x v="1"/>
    <x v="8"/>
    <x v="1"/>
    <x v="49"/>
    <x v="3"/>
    <x v="3"/>
    <x v="58"/>
    <x v="0"/>
    <x v="16"/>
    <x v="1"/>
    <x v="0"/>
    <n v="49.94"/>
  </r>
  <r>
    <d v="2024-09-29T00:00:00"/>
    <x v="1"/>
    <x v="8"/>
    <x v="1"/>
    <x v="10"/>
    <x v="6"/>
    <x v="6"/>
    <x v="41"/>
    <x v="0"/>
    <x v="7"/>
    <x v="7"/>
    <x v="3"/>
    <n v="146.48"/>
  </r>
  <r>
    <d v="2024-09-29T00:00:00"/>
    <x v="1"/>
    <x v="8"/>
    <x v="0"/>
    <x v="88"/>
    <x v="1"/>
    <x v="1"/>
    <x v="17"/>
    <x v="0"/>
    <x v="4"/>
    <x v="9"/>
    <x v="6"/>
    <n v="154.84"/>
  </r>
  <r>
    <d v="2024-09-29T00:00:00"/>
    <x v="1"/>
    <x v="8"/>
    <x v="1"/>
    <x v="87"/>
    <x v="3"/>
    <x v="3"/>
    <x v="52"/>
    <x v="0"/>
    <x v="19"/>
    <x v="4"/>
    <x v="7"/>
    <n v="214.07"/>
  </r>
  <r>
    <d v="2024-09-29T00:00:00"/>
    <x v="1"/>
    <x v="8"/>
    <x v="1"/>
    <x v="59"/>
    <x v="1"/>
    <x v="1"/>
    <x v="3"/>
    <x v="0"/>
    <x v="6"/>
    <x v="1"/>
    <x v="0"/>
    <n v="233.83"/>
  </r>
  <r>
    <d v="2024-09-29T00:00:00"/>
    <x v="1"/>
    <x v="8"/>
    <x v="0"/>
    <x v="5"/>
    <x v="1"/>
    <x v="1"/>
    <x v="14"/>
    <x v="0"/>
    <x v="4"/>
    <x v="5"/>
    <x v="8"/>
    <n v="1810.51"/>
  </r>
  <r>
    <d v="2024-09-30T00:00:00"/>
    <x v="1"/>
    <x v="8"/>
    <x v="1"/>
    <x v="27"/>
    <x v="6"/>
    <x v="6"/>
    <x v="31"/>
    <x v="0"/>
    <x v="2"/>
    <x v="0"/>
    <x v="9"/>
    <n v="40.73"/>
  </r>
  <r>
    <d v="2024-09-30T00:00:00"/>
    <x v="1"/>
    <x v="8"/>
    <x v="1"/>
    <x v="10"/>
    <x v="6"/>
    <x v="6"/>
    <x v="41"/>
    <x v="0"/>
    <x v="7"/>
    <x v="1"/>
    <x v="0"/>
    <n v="53.91"/>
  </r>
  <r>
    <d v="2024-09-30T00:00:00"/>
    <x v="1"/>
    <x v="8"/>
    <x v="0"/>
    <x v="38"/>
    <x v="0"/>
    <x v="0"/>
    <x v="21"/>
    <x v="0"/>
    <x v="5"/>
    <x v="0"/>
    <x v="9"/>
    <n v="148.78"/>
  </r>
  <r>
    <d v="2024-09-30T00:00:00"/>
    <x v="1"/>
    <x v="8"/>
    <x v="1"/>
    <x v="74"/>
    <x v="4"/>
    <x v="4"/>
    <x v="75"/>
    <x v="0"/>
    <x v="15"/>
    <x v="3"/>
    <x v="1"/>
    <n v="286.69"/>
  </r>
  <r>
    <d v="2024-09-30T00:00:00"/>
    <x v="1"/>
    <x v="8"/>
    <x v="1"/>
    <x v="47"/>
    <x v="3"/>
    <x v="3"/>
    <x v="54"/>
    <x v="0"/>
    <x v="19"/>
    <x v="9"/>
    <x v="6"/>
    <n v="5454.29"/>
  </r>
  <r>
    <d v="2024-10-01T00:00:00"/>
    <x v="1"/>
    <x v="9"/>
    <x v="1"/>
    <x v="47"/>
    <x v="3"/>
    <x v="3"/>
    <x v="54"/>
    <x v="0"/>
    <x v="19"/>
    <x v="6"/>
    <x v="4"/>
    <n v="1.0"/>
  </r>
  <r>
    <d v="2024-10-01T00:00:00"/>
    <x v="1"/>
    <x v="9"/>
    <x v="1"/>
    <x v="27"/>
    <x v="6"/>
    <x v="6"/>
    <x v="31"/>
    <x v="0"/>
    <x v="2"/>
    <x v="5"/>
    <x v="8"/>
    <n v="35.91"/>
  </r>
  <r>
    <d v="2024-10-01T00:00:00"/>
    <x v="1"/>
    <x v="9"/>
    <x v="0"/>
    <x v="62"/>
    <x v="6"/>
    <x v="6"/>
    <x v="50"/>
    <x v="0"/>
    <x v="13"/>
    <x v="1"/>
    <x v="0"/>
    <n v="62.35"/>
  </r>
  <r>
    <d v="2024-10-01T00:00:00"/>
    <x v="1"/>
    <x v="9"/>
    <x v="0"/>
    <x v="45"/>
    <x v="3"/>
    <x v="3"/>
    <x v="64"/>
    <x v="0"/>
    <x v="1"/>
    <x v="2"/>
    <x v="2"/>
    <n v="77.94"/>
  </r>
  <r>
    <d v="2024-10-01T00:00:00"/>
    <x v="1"/>
    <x v="9"/>
    <x v="0"/>
    <x v="45"/>
    <x v="3"/>
    <x v="3"/>
    <x v="64"/>
    <x v="0"/>
    <x v="1"/>
    <x v="5"/>
    <x v="8"/>
    <n v="93.81"/>
  </r>
  <r>
    <d v="2024-10-01T00:00:00"/>
    <x v="1"/>
    <x v="9"/>
    <x v="1"/>
    <x v="82"/>
    <x v="6"/>
    <x v="6"/>
    <x v="47"/>
    <x v="0"/>
    <x v="13"/>
    <x v="9"/>
    <x v="6"/>
    <n v="764.92"/>
  </r>
  <r>
    <d v="2024-10-01T00:00:00"/>
    <x v="1"/>
    <x v="9"/>
    <x v="1"/>
    <x v="59"/>
    <x v="1"/>
    <x v="1"/>
    <x v="3"/>
    <x v="0"/>
    <x v="6"/>
    <x v="3"/>
    <x v="1"/>
    <n v="1322.81"/>
  </r>
  <r>
    <d v="2024-10-02T00:00:00"/>
    <x v="1"/>
    <x v="9"/>
    <x v="1"/>
    <x v="60"/>
    <x v="6"/>
    <x v="6"/>
    <x v="44"/>
    <x v="0"/>
    <x v="7"/>
    <x v="2"/>
    <x v="2"/>
    <n v="1.5"/>
  </r>
  <r>
    <d v="2024-10-02T00:00:00"/>
    <x v="1"/>
    <x v="9"/>
    <x v="1"/>
    <x v="42"/>
    <x v="3"/>
    <x v="3"/>
    <x v="63"/>
    <x v="0"/>
    <x v="17"/>
    <x v="8"/>
    <x v="5"/>
    <n v="9.98"/>
  </r>
  <r>
    <d v="2024-10-02T00:00:00"/>
    <x v="1"/>
    <x v="9"/>
    <x v="0"/>
    <x v="48"/>
    <x v="7"/>
    <x v="7"/>
    <x v="85"/>
    <x v="0"/>
    <x v="20"/>
    <x v="8"/>
    <x v="5"/>
    <n v="14.98"/>
  </r>
  <r>
    <d v="2024-10-02T00:00:00"/>
    <x v="1"/>
    <x v="9"/>
    <x v="0"/>
    <x v="66"/>
    <x v="4"/>
    <x v="4"/>
    <x v="76"/>
    <x v="0"/>
    <x v="15"/>
    <x v="0"/>
    <x v="9"/>
    <n v="95.04"/>
  </r>
  <r>
    <d v="2024-10-02T00:00:00"/>
    <x v="1"/>
    <x v="9"/>
    <x v="0"/>
    <x v="52"/>
    <x v="1"/>
    <x v="1"/>
    <x v="11"/>
    <x v="0"/>
    <x v="10"/>
    <x v="1"/>
    <x v="0"/>
    <n v="167.13"/>
  </r>
  <r>
    <d v="2024-10-02T00:00:00"/>
    <x v="1"/>
    <x v="9"/>
    <x v="0"/>
    <x v="9"/>
    <x v="7"/>
    <x v="7"/>
    <x v="82"/>
    <x v="0"/>
    <x v="20"/>
    <x v="1"/>
    <x v="0"/>
    <n v="177.91"/>
  </r>
  <r>
    <d v="2024-10-02T00:00:00"/>
    <x v="1"/>
    <x v="9"/>
    <x v="1"/>
    <x v="23"/>
    <x v="1"/>
    <x v="1"/>
    <x v="12"/>
    <x v="0"/>
    <x v="10"/>
    <x v="6"/>
    <x v="4"/>
    <n v="6492.49"/>
  </r>
  <r>
    <d v="2024-10-03T00:00:00"/>
    <x v="1"/>
    <x v="9"/>
    <x v="0"/>
    <x v="61"/>
    <x v="7"/>
    <x v="7"/>
    <x v="84"/>
    <x v="0"/>
    <x v="20"/>
    <x v="1"/>
    <x v="0"/>
    <n v="1.0"/>
  </r>
  <r>
    <d v="2024-10-03T00:00:00"/>
    <x v="1"/>
    <x v="9"/>
    <x v="1"/>
    <x v="53"/>
    <x v="1"/>
    <x v="1"/>
    <x v="16"/>
    <x v="0"/>
    <x v="4"/>
    <x v="6"/>
    <x v="4"/>
    <n v="10.65"/>
  </r>
  <r>
    <d v="2024-10-03T00:00:00"/>
    <x v="1"/>
    <x v="9"/>
    <x v="1"/>
    <x v="36"/>
    <x v="7"/>
    <x v="7"/>
    <x v="90"/>
    <x v="0"/>
    <x v="9"/>
    <x v="4"/>
    <x v="7"/>
    <n v="13.96"/>
  </r>
  <r>
    <d v="2024-10-03T00:00:00"/>
    <x v="1"/>
    <x v="9"/>
    <x v="1"/>
    <x v="64"/>
    <x v="3"/>
    <x v="3"/>
    <x v="70"/>
    <x v="0"/>
    <x v="3"/>
    <x v="1"/>
    <x v="0"/>
    <n v="36.0"/>
  </r>
  <r>
    <d v="2024-10-03T00:00:00"/>
    <x v="1"/>
    <x v="9"/>
    <x v="1"/>
    <x v="26"/>
    <x v="7"/>
    <x v="7"/>
    <x v="81"/>
    <x v="0"/>
    <x v="20"/>
    <x v="0"/>
    <x v="9"/>
    <n v="47.92"/>
  </r>
  <r>
    <d v="2024-10-03T00:00:00"/>
    <x v="1"/>
    <x v="9"/>
    <x v="1"/>
    <x v="63"/>
    <x v="4"/>
    <x v="4"/>
    <x v="78"/>
    <x v="0"/>
    <x v="0"/>
    <x v="3"/>
    <x v="1"/>
    <n v="163.15"/>
  </r>
  <r>
    <d v="2024-10-03T00:00:00"/>
    <x v="1"/>
    <x v="9"/>
    <x v="1"/>
    <x v="95"/>
    <x v="4"/>
    <x v="4"/>
    <x v="73"/>
    <x v="0"/>
    <x v="15"/>
    <x v="6"/>
    <x v="4"/>
    <n v="1100.41"/>
  </r>
  <r>
    <d v="2024-10-03T00:00:00"/>
    <x v="1"/>
    <x v="9"/>
    <x v="1"/>
    <x v="35"/>
    <x v="6"/>
    <x v="6"/>
    <x v="46"/>
    <x v="0"/>
    <x v="7"/>
    <x v="2"/>
    <x v="2"/>
    <n v="1298.93"/>
  </r>
  <r>
    <d v="2024-10-04T00:00:00"/>
    <x v="1"/>
    <x v="9"/>
    <x v="1"/>
    <x v="20"/>
    <x v="3"/>
    <x v="3"/>
    <x v="71"/>
    <x v="0"/>
    <x v="3"/>
    <x v="2"/>
    <x v="2"/>
    <n v="2.0"/>
  </r>
  <r>
    <d v="2024-10-04T00:00:00"/>
    <x v="1"/>
    <x v="9"/>
    <x v="0"/>
    <x v="25"/>
    <x v="1"/>
    <x v="1"/>
    <x v="6"/>
    <x v="0"/>
    <x v="6"/>
    <x v="2"/>
    <x v="2"/>
    <n v="3.99"/>
  </r>
  <r>
    <d v="2024-10-04T00:00:00"/>
    <x v="1"/>
    <x v="9"/>
    <x v="1"/>
    <x v="69"/>
    <x v="1"/>
    <x v="1"/>
    <x v="19"/>
    <x v="0"/>
    <x v="5"/>
    <x v="6"/>
    <x v="4"/>
    <n v="27.72"/>
  </r>
  <r>
    <d v="2024-10-04T00:00:00"/>
    <x v="1"/>
    <x v="9"/>
    <x v="1"/>
    <x v="41"/>
    <x v="5"/>
    <x v="5"/>
    <x v="93"/>
    <x v="0"/>
    <x v="18"/>
    <x v="1"/>
    <x v="0"/>
    <n v="60.0"/>
  </r>
  <r>
    <d v="2024-10-04T00:00:00"/>
    <x v="1"/>
    <x v="9"/>
    <x v="1"/>
    <x v="12"/>
    <x v="1"/>
    <x v="1"/>
    <x v="26"/>
    <x v="0"/>
    <x v="8"/>
    <x v="0"/>
    <x v="9"/>
    <n v="541.61"/>
  </r>
  <r>
    <d v="2024-10-04T00:00:00"/>
    <x v="1"/>
    <x v="9"/>
    <x v="1"/>
    <x v="21"/>
    <x v="3"/>
    <x v="3"/>
    <x v="60"/>
    <x v="0"/>
    <x v="17"/>
    <x v="0"/>
    <x v="9"/>
    <n v="568.81"/>
  </r>
  <r>
    <d v="2024-10-04T00:00:00"/>
    <x v="1"/>
    <x v="9"/>
    <x v="0"/>
    <x v="1"/>
    <x v="7"/>
    <x v="7"/>
    <x v="89"/>
    <x v="0"/>
    <x v="12"/>
    <x v="5"/>
    <x v="8"/>
    <n v="5608.34"/>
  </r>
  <r>
    <d v="2024-10-05T00:00:00"/>
    <x v="1"/>
    <x v="9"/>
    <x v="1"/>
    <x v="31"/>
    <x v="2"/>
    <x v="2"/>
    <x v="0"/>
    <x v="0"/>
    <x v="11"/>
    <x v="0"/>
    <x v="9"/>
    <n v="41.93"/>
  </r>
  <r>
    <d v="2024-10-05T00:00:00"/>
    <x v="1"/>
    <x v="9"/>
    <x v="0"/>
    <x v="88"/>
    <x v="1"/>
    <x v="1"/>
    <x v="17"/>
    <x v="0"/>
    <x v="4"/>
    <x v="0"/>
    <x v="9"/>
    <n v="44.33"/>
  </r>
  <r>
    <d v="2024-10-05T00:00:00"/>
    <x v="1"/>
    <x v="9"/>
    <x v="1"/>
    <x v="41"/>
    <x v="5"/>
    <x v="5"/>
    <x v="93"/>
    <x v="0"/>
    <x v="18"/>
    <x v="6"/>
    <x v="4"/>
    <n v="111.72"/>
  </r>
  <r>
    <d v="2024-10-05T00:00:00"/>
    <x v="1"/>
    <x v="9"/>
    <x v="1"/>
    <x v="82"/>
    <x v="6"/>
    <x v="6"/>
    <x v="47"/>
    <x v="0"/>
    <x v="13"/>
    <x v="4"/>
    <x v="7"/>
    <n v="261.01"/>
  </r>
  <r>
    <d v="2024-10-05T00:00:00"/>
    <x v="1"/>
    <x v="9"/>
    <x v="0"/>
    <x v="55"/>
    <x v="3"/>
    <x v="3"/>
    <x v="68"/>
    <x v="0"/>
    <x v="1"/>
    <x v="3"/>
    <x v="1"/>
    <n v="339.77"/>
  </r>
  <r>
    <d v="2024-10-05T00:00:00"/>
    <x v="1"/>
    <x v="9"/>
    <x v="1"/>
    <x v="46"/>
    <x v="6"/>
    <x v="6"/>
    <x v="42"/>
    <x v="0"/>
    <x v="7"/>
    <x v="2"/>
    <x v="2"/>
    <n v="584.13"/>
  </r>
  <r>
    <d v="2024-10-06T00:00:00"/>
    <x v="1"/>
    <x v="9"/>
    <x v="1"/>
    <x v="37"/>
    <x v="6"/>
    <x v="6"/>
    <x v="39"/>
    <x v="0"/>
    <x v="14"/>
    <x v="0"/>
    <x v="9"/>
    <n v="41.93"/>
  </r>
  <r>
    <d v="2024-10-06T00:00:00"/>
    <x v="1"/>
    <x v="9"/>
    <x v="0"/>
    <x v="44"/>
    <x v="6"/>
    <x v="6"/>
    <x v="49"/>
    <x v="0"/>
    <x v="13"/>
    <x v="1"/>
    <x v="0"/>
    <n v="123.86"/>
  </r>
  <r>
    <d v="2024-10-06T00:00:00"/>
    <x v="1"/>
    <x v="9"/>
    <x v="1"/>
    <x v="88"/>
    <x v="1"/>
    <x v="1"/>
    <x v="17"/>
    <x v="0"/>
    <x v="4"/>
    <x v="9"/>
    <x v="6"/>
    <n v="1268.64"/>
  </r>
  <r>
    <d v="2024-10-07T00:00:00"/>
    <x v="1"/>
    <x v="9"/>
    <x v="1"/>
    <x v="76"/>
    <x v="6"/>
    <x v="6"/>
    <x v="34"/>
    <x v="0"/>
    <x v="14"/>
    <x v="4"/>
    <x v="7"/>
    <n v="6.0"/>
  </r>
  <r>
    <d v="2024-10-07T00:00:00"/>
    <x v="1"/>
    <x v="9"/>
    <x v="0"/>
    <x v="9"/>
    <x v="7"/>
    <x v="7"/>
    <x v="82"/>
    <x v="0"/>
    <x v="20"/>
    <x v="0"/>
    <x v="9"/>
    <n v="17.94"/>
  </r>
  <r>
    <d v="2024-10-07T00:00:00"/>
    <x v="1"/>
    <x v="9"/>
    <x v="0"/>
    <x v="90"/>
    <x v="3"/>
    <x v="3"/>
    <x v="55"/>
    <x v="0"/>
    <x v="19"/>
    <x v="2"/>
    <x v="2"/>
    <n v="27.97"/>
  </r>
  <r>
    <d v="2024-10-07T00:00:00"/>
    <x v="1"/>
    <x v="9"/>
    <x v="0"/>
    <x v="48"/>
    <x v="7"/>
    <x v="7"/>
    <x v="85"/>
    <x v="0"/>
    <x v="20"/>
    <x v="2"/>
    <x v="2"/>
    <n v="34.74"/>
  </r>
  <r>
    <d v="2024-10-07T00:00:00"/>
    <x v="1"/>
    <x v="9"/>
    <x v="1"/>
    <x v="59"/>
    <x v="1"/>
    <x v="1"/>
    <x v="3"/>
    <x v="0"/>
    <x v="6"/>
    <x v="7"/>
    <x v="3"/>
    <n v="639.14"/>
  </r>
  <r>
    <d v="2024-10-07T00:00:00"/>
    <x v="1"/>
    <x v="9"/>
    <x v="1"/>
    <x v="59"/>
    <x v="1"/>
    <x v="1"/>
    <x v="3"/>
    <x v="0"/>
    <x v="6"/>
    <x v="9"/>
    <x v="6"/>
    <n v="2537.39"/>
  </r>
  <r>
    <d v="2024-10-08T00:00:00"/>
    <x v="1"/>
    <x v="9"/>
    <x v="1"/>
    <x v="2"/>
    <x v="1"/>
    <x v="1"/>
    <x v="2"/>
    <x v="0"/>
    <x v="6"/>
    <x v="3"/>
    <x v="1"/>
    <n v="3.0"/>
  </r>
  <r>
    <d v="2024-10-08T00:00:00"/>
    <x v="1"/>
    <x v="9"/>
    <x v="1"/>
    <x v="46"/>
    <x v="6"/>
    <x v="6"/>
    <x v="42"/>
    <x v="0"/>
    <x v="7"/>
    <x v="1"/>
    <x v="0"/>
    <n v="9.99"/>
  </r>
  <r>
    <d v="2024-10-08T00:00:00"/>
    <x v="1"/>
    <x v="9"/>
    <x v="0"/>
    <x v="77"/>
    <x v="3"/>
    <x v="3"/>
    <x v="66"/>
    <x v="0"/>
    <x v="1"/>
    <x v="1"/>
    <x v="0"/>
    <n v="181.85"/>
  </r>
  <r>
    <d v="2024-10-08T00:00:00"/>
    <x v="1"/>
    <x v="9"/>
    <x v="1"/>
    <x v="3"/>
    <x v="2"/>
    <x v="2"/>
    <x v="1"/>
    <x v="0"/>
    <x v="11"/>
    <x v="4"/>
    <x v="7"/>
    <n v="300.26"/>
  </r>
  <r>
    <d v="2024-10-08T00:00:00"/>
    <x v="1"/>
    <x v="9"/>
    <x v="1"/>
    <x v="82"/>
    <x v="6"/>
    <x v="6"/>
    <x v="47"/>
    <x v="0"/>
    <x v="13"/>
    <x v="4"/>
    <x v="7"/>
    <n v="975.37"/>
  </r>
  <r>
    <d v="2024-10-08T00:00:00"/>
    <x v="1"/>
    <x v="9"/>
    <x v="1"/>
    <x v="35"/>
    <x v="6"/>
    <x v="6"/>
    <x v="46"/>
    <x v="0"/>
    <x v="7"/>
    <x v="2"/>
    <x v="2"/>
    <n v="4887.8"/>
  </r>
  <r>
    <d v="2024-10-09T00:00:00"/>
    <x v="1"/>
    <x v="9"/>
    <x v="1"/>
    <x v="25"/>
    <x v="1"/>
    <x v="1"/>
    <x v="6"/>
    <x v="0"/>
    <x v="6"/>
    <x v="2"/>
    <x v="2"/>
    <n v="1.0"/>
  </r>
  <r>
    <d v="2024-10-09T00:00:00"/>
    <x v="1"/>
    <x v="9"/>
    <x v="1"/>
    <x v="56"/>
    <x v="7"/>
    <x v="7"/>
    <x v="86"/>
    <x v="0"/>
    <x v="12"/>
    <x v="1"/>
    <x v="0"/>
    <n v="8.5"/>
  </r>
  <r>
    <d v="2024-10-09T00:00:00"/>
    <x v="1"/>
    <x v="9"/>
    <x v="1"/>
    <x v="11"/>
    <x v="1"/>
    <x v="1"/>
    <x v="15"/>
    <x v="0"/>
    <x v="4"/>
    <x v="4"/>
    <x v="7"/>
    <n v="17.83"/>
  </r>
  <r>
    <d v="2024-10-09T00:00:00"/>
    <x v="1"/>
    <x v="9"/>
    <x v="1"/>
    <x v="79"/>
    <x v="1"/>
    <x v="1"/>
    <x v="8"/>
    <x v="0"/>
    <x v="10"/>
    <x v="6"/>
    <x v="4"/>
    <n v="275.64"/>
  </r>
  <r>
    <d v="2024-10-09T00:00:00"/>
    <x v="1"/>
    <x v="9"/>
    <x v="1"/>
    <x v="76"/>
    <x v="6"/>
    <x v="6"/>
    <x v="34"/>
    <x v="0"/>
    <x v="14"/>
    <x v="3"/>
    <x v="1"/>
    <n v="1774.84"/>
  </r>
  <r>
    <d v="2024-10-10T00:00:00"/>
    <x v="1"/>
    <x v="9"/>
    <x v="1"/>
    <x v="22"/>
    <x v="1"/>
    <x v="1"/>
    <x v="20"/>
    <x v="0"/>
    <x v="5"/>
    <x v="0"/>
    <x v="9"/>
    <n v="9.99"/>
  </r>
  <r>
    <d v="2024-10-10T00:00:00"/>
    <x v="1"/>
    <x v="9"/>
    <x v="1"/>
    <x v="29"/>
    <x v="6"/>
    <x v="6"/>
    <x v="35"/>
    <x v="0"/>
    <x v="14"/>
    <x v="1"/>
    <x v="0"/>
    <n v="34.5"/>
  </r>
  <r>
    <d v="2024-10-10T00:00:00"/>
    <x v="1"/>
    <x v="9"/>
    <x v="1"/>
    <x v="80"/>
    <x v="6"/>
    <x v="6"/>
    <x v="38"/>
    <x v="0"/>
    <x v="14"/>
    <x v="6"/>
    <x v="4"/>
    <n v="1024.88"/>
  </r>
  <r>
    <d v="2024-10-10T00:00:00"/>
    <x v="1"/>
    <x v="9"/>
    <x v="1"/>
    <x v="35"/>
    <x v="6"/>
    <x v="6"/>
    <x v="46"/>
    <x v="0"/>
    <x v="7"/>
    <x v="6"/>
    <x v="4"/>
    <n v="3473.19"/>
  </r>
  <r>
    <d v="2024-10-11T00:00:00"/>
    <x v="1"/>
    <x v="9"/>
    <x v="1"/>
    <x v="52"/>
    <x v="1"/>
    <x v="1"/>
    <x v="11"/>
    <x v="0"/>
    <x v="10"/>
    <x v="3"/>
    <x v="1"/>
    <n v="12.99"/>
  </r>
  <r>
    <d v="2024-10-12T00:00:00"/>
    <x v="1"/>
    <x v="9"/>
    <x v="1"/>
    <x v="31"/>
    <x v="2"/>
    <x v="2"/>
    <x v="0"/>
    <x v="0"/>
    <x v="11"/>
    <x v="7"/>
    <x v="3"/>
    <n v="327.34"/>
  </r>
  <r>
    <d v="2024-10-12T00:00:00"/>
    <x v="1"/>
    <x v="9"/>
    <x v="0"/>
    <x v="58"/>
    <x v="3"/>
    <x v="3"/>
    <x v="61"/>
    <x v="0"/>
    <x v="17"/>
    <x v="0"/>
    <x v="9"/>
    <n v="745.32"/>
  </r>
  <r>
    <d v="2024-10-12T00:00:00"/>
    <x v="1"/>
    <x v="9"/>
    <x v="1"/>
    <x v="31"/>
    <x v="2"/>
    <x v="2"/>
    <x v="0"/>
    <x v="0"/>
    <x v="11"/>
    <x v="2"/>
    <x v="2"/>
    <n v="4177.0"/>
  </r>
  <r>
    <d v="2024-10-13T00:00:00"/>
    <x v="1"/>
    <x v="9"/>
    <x v="1"/>
    <x v="35"/>
    <x v="6"/>
    <x v="6"/>
    <x v="46"/>
    <x v="0"/>
    <x v="7"/>
    <x v="8"/>
    <x v="5"/>
    <n v="1.0"/>
  </r>
  <r>
    <d v="2024-10-13T00:00:00"/>
    <x v="1"/>
    <x v="9"/>
    <x v="0"/>
    <x v="44"/>
    <x v="6"/>
    <x v="6"/>
    <x v="49"/>
    <x v="0"/>
    <x v="13"/>
    <x v="6"/>
    <x v="4"/>
    <n v="119.8"/>
  </r>
  <r>
    <d v="2024-10-13T00:00:00"/>
    <x v="1"/>
    <x v="9"/>
    <x v="1"/>
    <x v="5"/>
    <x v="1"/>
    <x v="1"/>
    <x v="14"/>
    <x v="0"/>
    <x v="4"/>
    <x v="6"/>
    <x v="4"/>
    <n v="459.08"/>
  </r>
  <r>
    <d v="2024-10-13T00:00:00"/>
    <x v="1"/>
    <x v="9"/>
    <x v="0"/>
    <x v="60"/>
    <x v="6"/>
    <x v="6"/>
    <x v="44"/>
    <x v="0"/>
    <x v="7"/>
    <x v="4"/>
    <x v="7"/>
    <n v="543.02"/>
  </r>
  <r>
    <d v="2024-10-13T00:00:00"/>
    <x v="1"/>
    <x v="9"/>
    <x v="0"/>
    <x v="2"/>
    <x v="1"/>
    <x v="1"/>
    <x v="2"/>
    <x v="0"/>
    <x v="6"/>
    <x v="2"/>
    <x v="2"/>
    <n v="1428.9"/>
  </r>
  <r>
    <d v="2024-10-13T00:00:00"/>
    <x v="1"/>
    <x v="9"/>
    <x v="1"/>
    <x v="57"/>
    <x v="4"/>
    <x v="4"/>
    <x v="74"/>
    <x v="0"/>
    <x v="15"/>
    <x v="2"/>
    <x v="2"/>
    <n v="1576.86"/>
  </r>
  <r>
    <d v="2024-10-14T00:00:00"/>
    <x v="1"/>
    <x v="9"/>
    <x v="1"/>
    <x v="87"/>
    <x v="3"/>
    <x v="3"/>
    <x v="52"/>
    <x v="0"/>
    <x v="19"/>
    <x v="0"/>
    <x v="9"/>
    <n v="23.96"/>
  </r>
  <r>
    <d v="2024-10-14T00:00:00"/>
    <x v="1"/>
    <x v="9"/>
    <x v="1"/>
    <x v="86"/>
    <x v="1"/>
    <x v="1"/>
    <x v="9"/>
    <x v="0"/>
    <x v="10"/>
    <x v="2"/>
    <x v="2"/>
    <n v="35.94"/>
  </r>
  <r>
    <d v="2024-10-14T00:00:00"/>
    <x v="1"/>
    <x v="9"/>
    <x v="1"/>
    <x v="59"/>
    <x v="1"/>
    <x v="1"/>
    <x v="3"/>
    <x v="0"/>
    <x v="6"/>
    <x v="8"/>
    <x v="5"/>
    <n v="214.01"/>
  </r>
  <r>
    <d v="2024-10-14T00:00:00"/>
    <x v="1"/>
    <x v="9"/>
    <x v="1"/>
    <x v="61"/>
    <x v="7"/>
    <x v="7"/>
    <x v="84"/>
    <x v="0"/>
    <x v="20"/>
    <x v="6"/>
    <x v="4"/>
    <n v="242.21"/>
  </r>
  <r>
    <d v="2024-10-14T00:00:00"/>
    <x v="1"/>
    <x v="9"/>
    <x v="1"/>
    <x v="19"/>
    <x v="7"/>
    <x v="7"/>
    <x v="88"/>
    <x v="0"/>
    <x v="12"/>
    <x v="5"/>
    <x v="8"/>
    <n v="716.67"/>
  </r>
  <r>
    <d v="2024-10-14T00:00:00"/>
    <x v="1"/>
    <x v="9"/>
    <x v="0"/>
    <x v="5"/>
    <x v="1"/>
    <x v="1"/>
    <x v="14"/>
    <x v="0"/>
    <x v="4"/>
    <x v="7"/>
    <x v="3"/>
    <n v="1468.24"/>
  </r>
  <r>
    <d v="2024-10-14T00:00:00"/>
    <x v="1"/>
    <x v="9"/>
    <x v="1"/>
    <x v="95"/>
    <x v="4"/>
    <x v="4"/>
    <x v="73"/>
    <x v="0"/>
    <x v="15"/>
    <x v="9"/>
    <x v="6"/>
    <n v="1587.5"/>
  </r>
  <r>
    <d v="2024-10-15T00:00:00"/>
    <x v="1"/>
    <x v="9"/>
    <x v="1"/>
    <x v="95"/>
    <x v="4"/>
    <x v="4"/>
    <x v="73"/>
    <x v="0"/>
    <x v="15"/>
    <x v="1"/>
    <x v="0"/>
    <n v="6.0"/>
  </r>
  <r>
    <d v="2024-10-15T00:00:00"/>
    <x v="1"/>
    <x v="9"/>
    <x v="1"/>
    <x v="85"/>
    <x v="6"/>
    <x v="6"/>
    <x v="43"/>
    <x v="0"/>
    <x v="7"/>
    <x v="6"/>
    <x v="4"/>
    <n v="13.44"/>
  </r>
  <r>
    <d v="2024-10-15T00:00:00"/>
    <x v="1"/>
    <x v="9"/>
    <x v="0"/>
    <x v="21"/>
    <x v="3"/>
    <x v="3"/>
    <x v="60"/>
    <x v="0"/>
    <x v="17"/>
    <x v="4"/>
    <x v="7"/>
    <n v="19.34"/>
  </r>
  <r>
    <d v="2024-10-15T00:00:00"/>
    <x v="1"/>
    <x v="9"/>
    <x v="1"/>
    <x v="18"/>
    <x v="5"/>
    <x v="5"/>
    <x v="96"/>
    <x v="0"/>
    <x v="18"/>
    <x v="1"/>
    <x v="0"/>
    <n v="50.0"/>
  </r>
  <r>
    <d v="2024-10-15T00:00:00"/>
    <x v="1"/>
    <x v="9"/>
    <x v="0"/>
    <x v="24"/>
    <x v="6"/>
    <x v="6"/>
    <x v="36"/>
    <x v="0"/>
    <x v="14"/>
    <x v="3"/>
    <x v="1"/>
    <n v="138.99"/>
  </r>
  <r>
    <d v="2024-10-15T00:00:00"/>
    <x v="1"/>
    <x v="9"/>
    <x v="1"/>
    <x v="22"/>
    <x v="1"/>
    <x v="1"/>
    <x v="20"/>
    <x v="0"/>
    <x v="5"/>
    <x v="4"/>
    <x v="7"/>
    <n v="534.72"/>
  </r>
  <r>
    <d v="2024-10-15T00:00:00"/>
    <x v="1"/>
    <x v="9"/>
    <x v="1"/>
    <x v="25"/>
    <x v="1"/>
    <x v="1"/>
    <x v="6"/>
    <x v="0"/>
    <x v="6"/>
    <x v="5"/>
    <x v="8"/>
    <n v="561.29"/>
  </r>
  <r>
    <d v="2024-10-15T00:00:00"/>
    <x v="1"/>
    <x v="9"/>
    <x v="1"/>
    <x v="75"/>
    <x v="1"/>
    <x v="1"/>
    <x v="4"/>
    <x v="0"/>
    <x v="6"/>
    <x v="3"/>
    <x v="1"/>
    <n v="636.04"/>
  </r>
  <r>
    <d v="2024-10-16T00:00:00"/>
    <x v="1"/>
    <x v="9"/>
    <x v="0"/>
    <x v="65"/>
    <x v="1"/>
    <x v="1"/>
    <x v="7"/>
    <x v="0"/>
    <x v="10"/>
    <x v="9"/>
    <x v="6"/>
    <n v="7.99"/>
  </r>
  <r>
    <d v="2024-10-16T00:00:00"/>
    <x v="1"/>
    <x v="9"/>
    <x v="1"/>
    <x v="89"/>
    <x v="1"/>
    <x v="1"/>
    <x v="18"/>
    <x v="0"/>
    <x v="5"/>
    <x v="5"/>
    <x v="8"/>
    <n v="39.78"/>
  </r>
  <r>
    <d v="2024-10-16T00:00:00"/>
    <x v="1"/>
    <x v="9"/>
    <x v="1"/>
    <x v="89"/>
    <x v="1"/>
    <x v="1"/>
    <x v="18"/>
    <x v="0"/>
    <x v="5"/>
    <x v="5"/>
    <x v="8"/>
    <n v="45.15"/>
  </r>
  <r>
    <d v="2024-10-16T00:00:00"/>
    <x v="1"/>
    <x v="9"/>
    <x v="1"/>
    <x v="26"/>
    <x v="7"/>
    <x v="7"/>
    <x v="81"/>
    <x v="0"/>
    <x v="20"/>
    <x v="0"/>
    <x v="9"/>
    <n v="49.91"/>
  </r>
  <r>
    <d v="2024-10-16T00:00:00"/>
    <x v="1"/>
    <x v="9"/>
    <x v="1"/>
    <x v="93"/>
    <x v="6"/>
    <x v="6"/>
    <x v="30"/>
    <x v="0"/>
    <x v="2"/>
    <x v="5"/>
    <x v="8"/>
    <n v="230.63"/>
  </r>
  <r>
    <d v="2024-10-16T00:00:00"/>
    <x v="1"/>
    <x v="9"/>
    <x v="1"/>
    <x v="61"/>
    <x v="7"/>
    <x v="7"/>
    <x v="84"/>
    <x v="0"/>
    <x v="20"/>
    <x v="0"/>
    <x v="9"/>
    <n v="334.37"/>
  </r>
  <r>
    <d v="2024-10-16T00:00:00"/>
    <x v="1"/>
    <x v="9"/>
    <x v="1"/>
    <x v="60"/>
    <x v="6"/>
    <x v="6"/>
    <x v="44"/>
    <x v="0"/>
    <x v="7"/>
    <x v="3"/>
    <x v="1"/>
    <n v="722.33"/>
  </r>
  <r>
    <d v="2024-10-16T00:00:00"/>
    <x v="1"/>
    <x v="9"/>
    <x v="1"/>
    <x v="12"/>
    <x v="1"/>
    <x v="1"/>
    <x v="26"/>
    <x v="0"/>
    <x v="8"/>
    <x v="3"/>
    <x v="1"/>
    <n v="800.1"/>
  </r>
  <r>
    <d v="2024-10-17T00:00:00"/>
    <x v="1"/>
    <x v="9"/>
    <x v="0"/>
    <x v="40"/>
    <x v="3"/>
    <x v="3"/>
    <x v="65"/>
    <x v="0"/>
    <x v="1"/>
    <x v="2"/>
    <x v="2"/>
    <n v="35.94"/>
  </r>
  <r>
    <d v="2024-10-17T00:00:00"/>
    <x v="1"/>
    <x v="9"/>
    <x v="0"/>
    <x v="46"/>
    <x v="6"/>
    <x v="6"/>
    <x v="42"/>
    <x v="0"/>
    <x v="7"/>
    <x v="3"/>
    <x v="1"/>
    <n v="116.91"/>
  </r>
  <r>
    <d v="2024-10-17T00:00:00"/>
    <x v="1"/>
    <x v="9"/>
    <x v="1"/>
    <x v="14"/>
    <x v="6"/>
    <x v="6"/>
    <x v="45"/>
    <x v="0"/>
    <x v="7"/>
    <x v="0"/>
    <x v="9"/>
    <n v="1322.9"/>
  </r>
  <r>
    <d v="2024-10-17T00:00:00"/>
    <x v="1"/>
    <x v="9"/>
    <x v="1"/>
    <x v="39"/>
    <x v="7"/>
    <x v="7"/>
    <x v="91"/>
    <x v="0"/>
    <x v="9"/>
    <x v="6"/>
    <x v="4"/>
    <n v="7309.91"/>
  </r>
  <r>
    <d v="2024-10-18T00:00:00"/>
    <x v="1"/>
    <x v="9"/>
    <x v="1"/>
    <x v="81"/>
    <x v="4"/>
    <x v="4"/>
    <x v="77"/>
    <x v="0"/>
    <x v="15"/>
    <x v="1"/>
    <x v="0"/>
    <n v="1.5"/>
  </r>
  <r>
    <d v="2024-10-18T00:00:00"/>
    <x v="1"/>
    <x v="9"/>
    <x v="1"/>
    <x v="10"/>
    <x v="6"/>
    <x v="6"/>
    <x v="41"/>
    <x v="0"/>
    <x v="7"/>
    <x v="1"/>
    <x v="0"/>
    <n v="2.0"/>
  </r>
  <r>
    <d v="2024-10-18T00:00:00"/>
    <x v="1"/>
    <x v="9"/>
    <x v="0"/>
    <x v="80"/>
    <x v="6"/>
    <x v="6"/>
    <x v="38"/>
    <x v="0"/>
    <x v="14"/>
    <x v="2"/>
    <x v="2"/>
    <n v="23.96"/>
  </r>
  <r>
    <d v="2024-10-18T00:00:00"/>
    <x v="1"/>
    <x v="9"/>
    <x v="1"/>
    <x v="2"/>
    <x v="1"/>
    <x v="1"/>
    <x v="2"/>
    <x v="0"/>
    <x v="6"/>
    <x v="2"/>
    <x v="2"/>
    <n v="64.95"/>
  </r>
  <r>
    <d v="2024-10-18T00:00:00"/>
    <x v="1"/>
    <x v="9"/>
    <x v="1"/>
    <x v="59"/>
    <x v="1"/>
    <x v="1"/>
    <x v="3"/>
    <x v="0"/>
    <x v="6"/>
    <x v="9"/>
    <x v="6"/>
    <n v="128.94"/>
  </r>
  <r>
    <d v="2024-10-18T00:00:00"/>
    <x v="1"/>
    <x v="9"/>
    <x v="0"/>
    <x v="48"/>
    <x v="7"/>
    <x v="7"/>
    <x v="85"/>
    <x v="0"/>
    <x v="20"/>
    <x v="2"/>
    <x v="2"/>
    <n v="147.86"/>
  </r>
  <r>
    <d v="2024-10-18T00:00:00"/>
    <x v="1"/>
    <x v="9"/>
    <x v="1"/>
    <x v="65"/>
    <x v="1"/>
    <x v="1"/>
    <x v="7"/>
    <x v="0"/>
    <x v="10"/>
    <x v="7"/>
    <x v="3"/>
    <n v="1477.34"/>
  </r>
  <r>
    <d v="2024-10-18T00:00:00"/>
    <x v="1"/>
    <x v="9"/>
    <x v="1"/>
    <x v="24"/>
    <x v="6"/>
    <x v="6"/>
    <x v="36"/>
    <x v="0"/>
    <x v="14"/>
    <x v="3"/>
    <x v="1"/>
    <n v="1821.58"/>
  </r>
  <r>
    <d v="2024-10-19T00:00:00"/>
    <x v="1"/>
    <x v="9"/>
    <x v="1"/>
    <x v="2"/>
    <x v="1"/>
    <x v="1"/>
    <x v="2"/>
    <x v="0"/>
    <x v="6"/>
    <x v="1"/>
    <x v="0"/>
    <n v="20.0"/>
  </r>
  <r>
    <d v="2024-10-19T00:00:00"/>
    <x v="1"/>
    <x v="9"/>
    <x v="1"/>
    <x v="87"/>
    <x v="3"/>
    <x v="3"/>
    <x v="52"/>
    <x v="0"/>
    <x v="19"/>
    <x v="1"/>
    <x v="0"/>
    <n v="31.5"/>
  </r>
  <r>
    <d v="2024-10-19T00:00:00"/>
    <x v="1"/>
    <x v="9"/>
    <x v="1"/>
    <x v="7"/>
    <x v="1"/>
    <x v="1"/>
    <x v="10"/>
    <x v="0"/>
    <x v="10"/>
    <x v="1"/>
    <x v="0"/>
    <n v="213.37"/>
  </r>
  <r>
    <d v="2024-10-19T00:00:00"/>
    <x v="1"/>
    <x v="9"/>
    <x v="1"/>
    <x v="72"/>
    <x v="1"/>
    <x v="1"/>
    <x v="24"/>
    <x v="0"/>
    <x v="8"/>
    <x v="2"/>
    <x v="2"/>
    <n v="460.2"/>
  </r>
  <r>
    <d v="2024-10-19T00:00:00"/>
    <x v="1"/>
    <x v="9"/>
    <x v="1"/>
    <x v="53"/>
    <x v="1"/>
    <x v="1"/>
    <x v="16"/>
    <x v="0"/>
    <x v="4"/>
    <x v="1"/>
    <x v="0"/>
    <n v="635.62"/>
  </r>
  <r>
    <d v="2024-10-19T00:00:00"/>
    <x v="1"/>
    <x v="9"/>
    <x v="1"/>
    <x v="39"/>
    <x v="7"/>
    <x v="7"/>
    <x v="91"/>
    <x v="0"/>
    <x v="9"/>
    <x v="9"/>
    <x v="6"/>
    <n v="1532.53"/>
  </r>
  <r>
    <d v="2024-10-19T00:00:00"/>
    <x v="1"/>
    <x v="9"/>
    <x v="1"/>
    <x v="51"/>
    <x v="5"/>
    <x v="5"/>
    <x v="95"/>
    <x v="0"/>
    <x v="18"/>
    <x v="2"/>
    <x v="2"/>
    <n v="1944.79"/>
  </r>
  <r>
    <d v="2024-10-19T00:00:00"/>
    <x v="1"/>
    <x v="9"/>
    <x v="1"/>
    <x v="39"/>
    <x v="7"/>
    <x v="7"/>
    <x v="91"/>
    <x v="0"/>
    <x v="9"/>
    <x v="5"/>
    <x v="8"/>
    <n v="6890.95"/>
  </r>
  <r>
    <d v="2024-10-20T00:00:00"/>
    <x v="1"/>
    <x v="9"/>
    <x v="1"/>
    <x v="0"/>
    <x v="3"/>
    <x v="3"/>
    <x v="69"/>
    <x v="0"/>
    <x v="3"/>
    <x v="2"/>
    <x v="2"/>
    <n v="11.98"/>
  </r>
  <r>
    <d v="2024-10-20T00:00:00"/>
    <x v="1"/>
    <x v="9"/>
    <x v="0"/>
    <x v="71"/>
    <x v="1"/>
    <x v="1"/>
    <x v="27"/>
    <x v="0"/>
    <x v="8"/>
    <x v="3"/>
    <x v="1"/>
    <n v="79.9"/>
  </r>
  <r>
    <d v="2024-10-20T00:00:00"/>
    <x v="1"/>
    <x v="9"/>
    <x v="1"/>
    <x v="76"/>
    <x v="6"/>
    <x v="6"/>
    <x v="34"/>
    <x v="0"/>
    <x v="14"/>
    <x v="8"/>
    <x v="5"/>
    <n v="191.58"/>
  </r>
  <r>
    <d v="2024-10-20T00:00:00"/>
    <x v="1"/>
    <x v="9"/>
    <x v="0"/>
    <x v="95"/>
    <x v="4"/>
    <x v="4"/>
    <x v="73"/>
    <x v="0"/>
    <x v="15"/>
    <x v="9"/>
    <x v="6"/>
    <n v="1784.07"/>
  </r>
  <r>
    <d v="2024-10-21T00:00:00"/>
    <x v="1"/>
    <x v="9"/>
    <x v="0"/>
    <x v="61"/>
    <x v="7"/>
    <x v="7"/>
    <x v="84"/>
    <x v="0"/>
    <x v="20"/>
    <x v="1"/>
    <x v="0"/>
    <n v="1.0"/>
  </r>
  <r>
    <d v="2024-10-21T00:00:00"/>
    <x v="1"/>
    <x v="9"/>
    <x v="1"/>
    <x v="1"/>
    <x v="7"/>
    <x v="7"/>
    <x v="89"/>
    <x v="0"/>
    <x v="12"/>
    <x v="3"/>
    <x v="1"/>
    <n v="9.99"/>
  </r>
  <r>
    <d v="2024-10-21T00:00:00"/>
    <x v="1"/>
    <x v="9"/>
    <x v="1"/>
    <x v="18"/>
    <x v="5"/>
    <x v="5"/>
    <x v="96"/>
    <x v="0"/>
    <x v="18"/>
    <x v="2"/>
    <x v="2"/>
    <n v="17.97"/>
  </r>
  <r>
    <d v="2024-10-21T00:00:00"/>
    <x v="1"/>
    <x v="9"/>
    <x v="0"/>
    <x v="41"/>
    <x v="5"/>
    <x v="5"/>
    <x v="93"/>
    <x v="0"/>
    <x v="18"/>
    <x v="3"/>
    <x v="1"/>
    <n v="143.89"/>
  </r>
  <r>
    <d v="2024-10-21T00:00:00"/>
    <x v="1"/>
    <x v="9"/>
    <x v="1"/>
    <x v="70"/>
    <x v="6"/>
    <x v="6"/>
    <x v="33"/>
    <x v="0"/>
    <x v="14"/>
    <x v="9"/>
    <x v="6"/>
    <n v="417.98"/>
  </r>
  <r>
    <d v="2024-10-21T00:00:00"/>
    <x v="1"/>
    <x v="9"/>
    <x v="1"/>
    <x v="20"/>
    <x v="3"/>
    <x v="3"/>
    <x v="71"/>
    <x v="0"/>
    <x v="3"/>
    <x v="6"/>
    <x v="4"/>
    <n v="432.5"/>
  </r>
  <r>
    <d v="2024-10-21T00:00:00"/>
    <x v="1"/>
    <x v="9"/>
    <x v="1"/>
    <x v="39"/>
    <x v="7"/>
    <x v="7"/>
    <x v="91"/>
    <x v="0"/>
    <x v="9"/>
    <x v="1"/>
    <x v="0"/>
    <n v="895.92"/>
  </r>
  <r>
    <d v="2024-10-21T00:00:00"/>
    <x v="1"/>
    <x v="9"/>
    <x v="1"/>
    <x v="22"/>
    <x v="1"/>
    <x v="1"/>
    <x v="20"/>
    <x v="0"/>
    <x v="5"/>
    <x v="5"/>
    <x v="8"/>
    <n v="918.02"/>
  </r>
  <r>
    <d v="2024-10-22T00:00:00"/>
    <x v="1"/>
    <x v="9"/>
    <x v="1"/>
    <x v="51"/>
    <x v="5"/>
    <x v="5"/>
    <x v="95"/>
    <x v="0"/>
    <x v="18"/>
    <x v="3"/>
    <x v="1"/>
    <n v="145.91"/>
  </r>
  <r>
    <d v="2024-10-22T00:00:00"/>
    <x v="1"/>
    <x v="9"/>
    <x v="0"/>
    <x v="46"/>
    <x v="6"/>
    <x v="6"/>
    <x v="42"/>
    <x v="0"/>
    <x v="7"/>
    <x v="6"/>
    <x v="4"/>
    <n v="303.72"/>
  </r>
  <r>
    <d v="2024-10-22T00:00:00"/>
    <x v="1"/>
    <x v="9"/>
    <x v="1"/>
    <x v="75"/>
    <x v="1"/>
    <x v="1"/>
    <x v="4"/>
    <x v="0"/>
    <x v="6"/>
    <x v="7"/>
    <x v="3"/>
    <n v="1809.25"/>
  </r>
  <r>
    <d v="2024-10-23T00:00:00"/>
    <x v="1"/>
    <x v="9"/>
    <x v="0"/>
    <x v="21"/>
    <x v="3"/>
    <x v="3"/>
    <x v="60"/>
    <x v="0"/>
    <x v="17"/>
    <x v="2"/>
    <x v="2"/>
    <n v="54.62"/>
  </r>
  <r>
    <d v="2024-10-23T00:00:00"/>
    <x v="1"/>
    <x v="9"/>
    <x v="0"/>
    <x v="69"/>
    <x v="1"/>
    <x v="1"/>
    <x v="19"/>
    <x v="0"/>
    <x v="5"/>
    <x v="7"/>
    <x v="3"/>
    <n v="67.45"/>
  </r>
  <r>
    <d v="2024-10-23T00:00:00"/>
    <x v="1"/>
    <x v="9"/>
    <x v="0"/>
    <x v="44"/>
    <x v="6"/>
    <x v="6"/>
    <x v="49"/>
    <x v="0"/>
    <x v="13"/>
    <x v="4"/>
    <x v="7"/>
    <n v="538.76"/>
  </r>
  <r>
    <d v="2024-10-23T00:00:00"/>
    <x v="1"/>
    <x v="9"/>
    <x v="1"/>
    <x v="29"/>
    <x v="6"/>
    <x v="6"/>
    <x v="35"/>
    <x v="0"/>
    <x v="14"/>
    <x v="3"/>
    <x v="1"/>
    <n v="2657.48"/>
  </r>
  <r>
    <d v="2024-10-24T00:00:00"/>
    <x v="1"/>
    <x v="9"/>
    <x v="0"/>
    <x v="25"/>
    <x v="1"/>
    <x v="1"/>
    <x v="6"/>
    <x v="0"/>
    <x v="6"/>
    <x v="6"/>
    <x v="4"/>
    <n v="6.0"/>
  </r>
  <r>
    <d v="2024-10-24T00:00:00"/>
    <x v="1"/>
    <x v="9"/>
    <x v="0"/>
    <x v="84"/>
    <x v="3"/>
    <x v="3"/>
    <x v="53"/>
    <x v="0"/>
    <x v="19"/>
    <x v="8"/>
    <x v="5"/>
    <n v="54.89"/>
  </r>
  <r>
    <d v="2024-10-24T00:00:00"/>
    <x v="1"/>
    <x v="9"/>
    <x v="0"/>
    <x v="19"/>
    <x v="7"/>
    <x v="7"/>
    <x v="88"/>
    <x v="0"/>
    <x v="12"/>
    <x v="7"/>
    <x v="3"/>
    <n v="66.92"/>
  </r>
  <r>
    <d v="2024-10-24T00:00:00"/>
    <x v="1"/>
    <x v="9"/>
    <x v="1"/>
    <x v="19"/>
    <x v="7"/>
    <x v="7"/>
    <x v="88"/>
    <x v="0"/>
    <x v="12"/>
    <x v="6"/>
    <x v="4"/>
    <n v="294.44"/>
  </r>
  <r>
    <d v="2024-10-24T00:00:00"/>
    <x v="1"/>
    <x v="9"/>
    <x v="1"/>
    <x v="24"/>
    <x v="6"/>
    <x v="6"/>
    <x v="36"/>
    <x v="0"/>
    <x v="14"/>
    <x v="3"/>
    <x v="1"/>
    <n v="6642.2"/>
  </r>
  <r>
    <d v="2024-10-25T00:00:00"/>
    <x v="1"/>
    <x v="9"/>
    <x v="1"/>
    <x v="38"/>
    <x v="0"/>
    <x v="0"/>
    <x v="21"/>
    <x v="0"/>
    <x v="5"/>
    <x v="8"/>
    <x v="5"/>
    <n v="5.98"/>
  </r>
  <r>
    <d v="2024-10-25T00:00:00"/>
    <x v="1"/>
    <x v="9"/>
    <x v="1"/>
    <x v="81"/>
    <x v="4"/>
    <x v="4"/>
    <x v="77"/>
    <x v="0"/>
    <x v="15"/>
    <x v="6"/>
    <x v="4"/>
    <n v="9.99"/>
  </r>
  <r>
    <d v="2024-10-25T00:00:00"/>
    <x v="1"/>
    <x v="9"/>
    <x v="0"/>
    <x v="9"/>
    <x v="7"/>
    <x v="7"/>
    <x v="82"/>
    <x v="0"/>
    <x v="20"/>
    <x v="8"/>
    <x v="5"/>
    <n v="133.67"/>
  </r>
  <r>
    <d v="2024-10-26T00:00:00"/>
    <x v="1"/>
    <x v="9"/>
    <x v="0"/>
    <x v="28"/>
    <x v="6"/>
    <x v="6"/>
    <x v="51"/>
    <x v="0"/>
    <x v="13"/>
    <x v="0"/>
    <x v="9"/>
    <n v="2.0"/>
  </r>
  <r>
    <d v="2024-10-26T00:00:00"/>
    <x v="1"/>
    <x v="9"/>
    <x v="1"/>
    <x v="23"/>
    <x v="1"/>
    <x v="1"/>
    <x v="12"/>
    <x v="0"/>
    <x v="10"/>
    <x v="2"/>
    <x v="2"/>
    <n v="25.5"/>
  </r>
  <r>
    <d v="2024-10-26T00:00:00"/>
    <x v="1"/>
    <x v="9"/>
    <x v="0"/>
    <x v="17"/>
    <x v="3"/>
    <x v="3"/>
    <x v="57"/>
    <x v="0"/>
    <x v="16"/>
    <x v="3"/>
    <x v="1"/>
    <n v="79.92"/>
  </r>
  <r>
    <d v="2024-10-26T00:00:00"/>
    <x v="1"/>
    <x v="9"/>
    <x v="0"/>
    <x v="64"/>
    <x v="3"/>
    <x v="3"/>
    <x v="70"/>
    <x v="0"/>
    <x v="3"/>
    <x v="4"/>
    <x v="7"/>
    <n v="180.71"/>
  </r>
  <r>
    <d v="2024-10-26T00:00:00"/>
    <x v="1"/>
    <x v="9"/>
    <x v="1"/>
    <x v="73"/>
    <x v="4"/>
    <x v="4"/>
    <x v="80"/>
    <x v="0"/>
    <x v="0"/>
    <x v="9"/>
    <x v="6"/>
    <n v="185.81"/>
  </r>
  <r>
    <d v="2024-10-26T00:00:00"/>
    <x v="1"/>
    <x v="9"/>
    <x v="1"/>
    <x v="49"/>
    <x v="3"/>
    <x v="3"/>
    <x v="58"/>
    <x v="0"/>
    <x v="16"/>
    <x v="9"/>
    <x v="6"/>
    <n v="445.52"/>
  </r>
  <r>
    <d v="2024-10-26T00:00:00"/>
    <x v="1"/>
    <x v="9"/>
    <x v="1"/>
    <x v="72"/>
    <x v="1"/>
    <x v="1"/>
    <x v="24"/>
    <x v="0"/>
    <x v="8"/>
    <x v="6"/>
    <x v="4"/>
    <n v="639.43"/>
  </r>
  <r>
    <d v="2024-10-26T00:00:00"/>
    <x v="1"/>
    <x v="9"/>
    <x v="1"/>
    <x v="38"/>
    <x v="0"/>
    <x v="0"/>
    <x v="21"/>
    <x v="0"/>
    <x v="5"/>
    <x v="9"/>
    <x v="6"/>
    <n v="1268.55"/>
  </r>
  <r>
    <d v="2024-10-27T00:00:00"/>
    <x v="1"/>
    <x v="9"/>
    <x v="1"/>
    <x v="36"/>
    <x v="7"/>
    <x v="7"/>
    <x v="90"/>
    <x v="0"/>
    <x v="9"/>
    <x v="5"/>
    <x v="8"/>
    <n v="16.49"/>
  </r>
  <r>
    <d v="2024-10-27T00:00:00"/>
    <x v="1"/>
    <x v="9"/>
    <x v="1"/>
    <x v="0"/>
    <x v="3"/>
    <x v="3"/>
    <x v="69"/>
    <x v="0"/>
    <x v="3"/>
    <x v="5"/>
    <x v="8"/>
    <n v="63.92"/>
  </r>
  <r>
    <d v="2024-10-27T00:00:00"/>
    <x v="1"/>
    <x v="9"/>
    <x v="1"/>
    <x v="27"/>
    <x v="6"/>
    <x v="6"/>
    <x v="31"/>
    <x v="0"/>
    <x v="2"/>
    <x v="3"/>
    <x v="1"/>
    <n v="117.63"/>
  </r>
  <r>
    <d v="2024-10-27T00:00:00"/>
    <x v="1"/>
    <x v="9"/>
    <x v="1"/>
    <x v="48"/>
    <x v="7"/>
    <x v="7"/>
    <x v="85"/>
    <x v="0"/>
    <x v="20"/>
    <x v="4"/>
    <x v="7"/>
    <n v="319.33"/>
  </r>
  <r>
    <d v="2024-10-27T00:00:00"/>
    <x v="1"/>
    <x v="9"/>
    <x v="1"/>
    <x v="52"/>
    <x v="1"/>
    <x v="1"/>
    <x v="11"/>
    <x v="0"/>
    <x v="10"/>
    <x v="0"/>
    <x v="9"/>
    <n v="333.7"/>
  </r>
  <r>
    <d v="2024-10-27T00:00:00"/>
    <x v="1"/>
    <x v="9"/>
    <x v="1"/>
    <x v="22"/>
    <x v="1"/>
    <x v="1"/>
    <x v="20"/>
    <x v="0"/>
    <x v="5"/>
    <x v="9"/>
    <x v="6"/>
    <n v="941.62"/>
  </r>
  <r>
    <d v="2024-10-27T00:00:00"/>
    <x v="1"/>
    <x v="9"/>
    <x v="1"/>
    <x v="59"/>
    <x v="1"/>
    <x v="1"/>
    <x v="3"/>
    <x v="0"/>
    <x v="6"/>
    <x v="3"/>
    <x v="1"/>
    <n v="1357.43"/>
  </r>
  <r>
    <d v="2024-10-27T00:00:00"/>
    <x v="1"/>
    <x v="9"/>
    <x v="1"/>
    <x v="34"/>
    <x v="6"/>
    <x v="6"/>
    <x v="32"/>
    <x v="0"/>
    <x v="2"/>
    <x v="5"/>
    <x v="8"/>
    <n v="2485.44"/>
  </r>
  <r>
    <d v="2024-10-28T00:00:00"/>
    <x v="1"/>
    <x v="9"/>
    <x v="1"/>
    <x v="13"/>
    <x v="0"/>
    <x v="0"/>
    <x v="22"/>
    <x v="0"/>
    <x v="5"/>
    <x v="1"/>
    <x v="0"/>
    <n v="16.98"/>
  </r>
  <r>
    <d v="2024-10-28T00:00:00"/>
    <x v="1"/>
    <x v="9"/>
    <x v="1"/>
    <x v="8"/>
    <x v="3"/>
    <x v="3"/>
    <x v="72"/>
    <x v="0"/>
    <x v="3"/>
    <x v="1"/>
    <x v="0"/>
    <n v="26.98"/>
  </r>
  <r>
    <d v="2024-10-28T00:00:00"/>
    <x v="1"/>
    <x v="9"/>
    <x v="1"/>
    <x v="17"/>
    <x v="3"/>
    <x v="3"/>
    <x v="57"/>
    <x v="0"/>
    <x v="16"/>
    <x v="0"/>
    <x v="9"/>
    <n v="35.94"/>
  </r>
  <r>
    <d v="2024-10-28T00:00:00"/>
    <x v="1"/>
    <x v="9"/>
    <x v="0"/>
    <x v="23"/>
    <x v="1"/>
    <x v="1"/>
    <x v="12"/>
    <x v="0"/>
    <x v="10"/>
    <x v="1"/>
    <x v="0"/>
    <n v="96.91"/>
  </r>
  <r>
    <d v="2024-10-28T00:00:00"/>
    <x v="1"/>
    <x v="9"/>
    <x v="0"/>
    <x v="34"/>
    <x v="6"/>
    <x v="6"/>
    <x v="32"/>
    <x v="0"/>
    <x v="2"/>
    <x v="6"/>
    <x v="4"/>
    <n v="175.8"/>
  </r>
  <r>
    <d v="2024-10-28T00:00:00"/>
    <x v="1"/>
    <x v="9"/>
    <x v="0"/>
    <x v="22"/>
    <x v="1"/>
    <x v="1"/>
    <x v="20"/>
    <x v="0"/>
    <x v="5"/>
    <x v="7"/>
    <x v="3"/>
    <n v="191.65"/>
  </r>
  <r>
    <d v="2024-10-28T00:00:00"/>
    <x v="1"/>
    <x v="9"/>
    <x v="1"/>
    <x v="58"/>
    <x v="3"/>
    <x v="3"/>
    <x v="61"/>
    <x v="0"/>
    <x v="17"/>
    <x v="8"/>
    <x v="5"/>
    <n v="418.54"/>
  </r>
  <r>
    <d v="2024-10-28T00:00:00"/>
    <x v="1"/>
    <x v="9"/>
    <x v="1"/>
    <x v="81"/>
    <x v="4"/>
    <x v="4"/>
    <x v="77"/>
    <x v="0"/>
    <x v="15"/>
    <x v="2"/>
    <x v="2"/>
    <n v="539.46"/>
  </r>
  <r>
    <d v="2024-10-28T00:00:00"/>
    <x v="1"/>
    <x v="9"/>
    <x v="1"/>
    <x v="19"/>
    <x v="7"/>
    <x v="7"/>
    <x v="88"/>
    <x v="0"/>
    <x v="12"/>
    <x v="4"/>
    <x v="7"/>
    <n v="1554.86"/>
  </r>
  <r>
    <d v="2024-10-28T00:00:00"/>
    <x v="1"/>
    <x v="9"/>
    <x v="1"/>
    <x v="19"/>
    <x v="7"/>
    <x v="7"/>
    <x v="88"/>
    <x v="0"/>
    <x v="12"/>
    <x v="2"/>
    <x v="2"/>
    <n v="2839.21"/>
  </r>
  <r>
    <d v="2024-10-29T00:00:00"/>
    <x v="1"/>
    <x v="9"/>
    <x v="1"/>
    <x v="30"/>
    <x v="6"/>
    <x v="6"/>
    <x v="37"/>
    <x v="0"/>
    <x v="14"/>
    <x v="6"/>
    <x v="4"/>
    <n v="1.0"/>
  </r>
  <r>
    <d v="2024-10-29T00:00:00"/>
    <x v="1"/>
    <x v="9"/>
    <x v="1"/>
    <x v="32"/>
    <x v="1"/>
    <x v="1"/>
    <x v="28"/>
    <x v="0"/>
    <x v="8"/>
    <x v="2"/>
    <x v="2"/>
    <n v="5.5"/>
  </r>
  <r>
    <d v="2024-10-29T00:00:00"/>
    <x v="1"/>
    <x v="9"/>
    <x v="1"/>
    <x v="39"/>
    <x v="7"/>
    <x v="7"/>
    <x v="91"/>
    <x v="0"/>
    <x v="9"/>
    <x v="2"/>
    <x v="2"/>
    <n v="52.71"/>
  </r>
  <r>
    <d v="2024-10-29T00:00:00"/>
    <x v="1"/>
    <x v="9"/>
    <x v="0"/>
    <x v="57"/>
    <x v="4"/>
    <x v="4"/>
    <x v="74"/>
    <x v="0"/>
    <x v="15"/>
    <x v="9"/>
    <x v="6"/>
    <n v="83.48"/>
  </r>
  <r>
    <d v="2024-10-29T00:00:00"/>
    <x v="1"/>
    <x v="9"/>
    <x v="0"/>
    <x v="49"/>
    <x v="3"/>
    <x v="3"/>
    <x v="58"/>
    <x v="0"/>
    <x v="16"/>
    <x v="5"/>
    <x v="8"/>
    <n v="193.7"/>
  </r>
  <r>
    <d v="2024-10-29T00:00:00"/>
    <x v="1"/>
    <x v="9"/>
    <x v="0"/>
    <x v="31"/>
    <x v="2"/>
    <x v="2"/>
    <x v="0"/>
    <x v="0"/>
    <x v="11"/>
    <x v="4"/>
    <x v="7"/>
    <n v="633.75"/>
  </r>
  <r>
    <d v="2024-10-29T00:00:00"/>
    <x v="1"/>
    <x v="9"/>
    <x v="1"/>
    <x v="87"/>
    <x v="3"/>
    <x v="3"/>
    <x v="52"/>
    <x v="0"/>
    <x v="19"/>
    <x v="4"/>
    <x v="7"/>
    <n v="779.49"/>
  </r>
  <r>
    <d v="2024-10-29T00:00:00"/>
    <x v="1"/>
    <x v="9"/>
    <x v="1"/>
    <x v="91"/>
    <x v="1"/>
    <x v="1"/>
    <x v="23"/>
    <x v="0"/>
    <x v="8"/>
    <x v="2"/>
    <x v="2"/>
    <n v="5409.86"/>
  </r>
  <r>
    <d v="2024-10-30T00:00:00"/>
    <x v="1"/>
    <x v="9"/>
    <x v="0"/>
    <x v="64"/>
    <x v="3"/>
    <x v="3"/>
    <x v="70"/>
    <x v="0"/>
    <x v="3"/>
    <x v="3"/>
    <x v="1"/>
    <n v="59.9"/>
  </r>
  <r>
    <d v="2024-10-30T00:00:00"/>
    <x v="1"/>
    <x v="9"/>
    <x v="1"/>
    <x v="59"/>
    <x v="1"/>
    <x v="1"/>
    <x v="3"/>
    <x v="0"/>
    <x v="6"/>
    <x v="9"/>
    <x v="6"/>
    <n v="122.87"/>
  </r>
  <r>
    <d v="2024-10-30T00:00:00"/>
    <x v="1"/>
    <x v="9"/>
    <x v="0"/>
    <x v="85"/>
    <x v="6"/>
    <x v="6"/>
    <x v="43"/>
    <x v="0"/>
    <x v="7"/>
    <x v="8"/>
    <x v="5"/>
    <n v="177.74"/>
  </r>
  <r>
    <d v="2024-10-30T00:00:00"/>
    <x v="1"/>
    <x v="9"/>
    <x v="0"/>
    <x v="40"/>
    <x v="3"/>
    <x v="3"/>
    <x v="65"/>
    <x v="0"/>
    <x v="1"/>
    <x v="2"/>
    <x v="2"/>
    <n v="363.72"/>
  </r>
  <r>
    <d v="2024-10-30T00:00:00"/>
    <x v="1"/>
    <x v="9"/>
    <x v="1"/>
    <x v="14"/>
    <x v="6"/>
    <x v="6"/>
    <x v="45"/>
    <x v="0"/>
    <x v="7"/>
    <x v="8"/>
    <x v="5"/>
    <n v="931.84"/>
  </r>
  <r>
    <d v="2024-10-30T00:00:00"/>
    <x v="1"/>
    <x v="9"/>
    <x v="1"/>
    <x v="22"/>
    <x v="1"/>
    <x v="1"/>
    <x v="20"/>
    <x v="0"/>
    <x v="5"/>
    <x v="8"/>
    <x v="5"/>
    <n v="1484.61"/>
  </r>
  <r>
    <d v="2024-10-31T00:00:00"/>
    <x v="1"/>
    <x v="9"/>
    <x v="1"/>
    <x v="94"/>
    <x v="6"/>
    <x v="6"/>
    <x v="48"/>
    <x v="0"/>
    <x v="13"/>
    <x v="4"/>
    <x v="7"/>
    <n v="34.92"/>
  </r>
  <r>
    <d v="2024-10-31T00:00:00"/>
    <x v="1"/>
    <x v="9"/>
    <x v="1"/>
    <x v="83"/>
    <x v="3"/>
    <x v="3"/>
    <x v="56"/>
    <x v="0"/>
    <x v="16"/>
    <x v="0"/>
    <x v="9"/>
    <n v="283.61"/>
  </r>
  <r>
    <d v="2024-10-31T00:00:00"/>
    <x v="1"/>
    <x v="9"/>
    <x v="1"/>
    <x v="88"/>
    <x v="1"/>
    <x v="1"/>
    <x v="17"/>
    <x v="0"/>
    <x v="4"/>
    <x v="2"/>
    <x v="2"/>
    <n v="787.88"/>
  </r>
  <r>
    <d v="2024-11-01T00:00:00"/>
    <x v="1"/>
    <x v="10"/>
    <x v="1"/>
    <x v="38"/>
    <x v="0"/>
    <x v="0"/>
    <x v="21"/>
    <x v="0"/>
    <x v="5"/>
    <x v="2"/>
    <x v="2"/>
    <n v="5.99"/>
  </r>
  <r>
    <d v="2024-11-01T00:00:00"/>
    <x v="1"/>
    <x v="10"/>
    <x v="1"/>
    <x v="3"/>
    <x v="2"/>
    <x v="2"/>
    <x v="1"/>
    <x v="0"/>
    <x v="11"/>
    <x v="1"/>
    <x v="0"/>
    <n v="53.95"/>
  </r>
  <r>
    <d v="2024-11-01T00:00:00"/>
    <x v="1"/>
    <x v="10"/>
    <x v="1"/>
    <x v="77"/>
    <x v="3"/>
    <x v="3"/>
    <x v="66"/>
    <x v="0"/>
    <x v="1"/>
    <x v="3"/>
    <x v="1"/>
    <n v="578.91"/>
  </r>
  <r>
    <d v="2024-11-01T00:00:00"/>
    <x v="1"/>
    <x v="10"/>
    <x v="1"/>
    <x v="1"/>
    <x v="7"/>
    <x v="7"/>
    <x v="89"/>
    <x v="0"/>
    <x v="12"/>
    <x v="4"/>
    <x v="7"/>
    <n v="623.51"/>
  </r>
  <r>
    <d v="2024-11-01T00:00:00"/>
    <x v="1"/>
    <x v="10"/>
    <x v="1"/>
    <x v="21"/>
    <x v="3"/>
    <x v="3"/>
    <x v="60"/>
    <x v="0"/>
    <x v="17"/>
    <x v="1"/>
    <x v="0"/>
    <n v="699.95"/>
  </r>
  <r>
    <d v="2024-11-02T00:00:00"/>
    <x v="1"/>
    <x v="10"/>
    <x v="0"/>
    <x v="35"/>
    <x v="6"/>
    <x v="6"/>
    <x v="46"/>
    <x v="0"/>
    <x v="7"/>
    <x v="6"/>
    <x v="4"/>
    <n v="1.79"/>
  </r>
  <r>
    <d v="2024-11-02T00:00:00"/>
    <x v="1"/>
    <x v="10"/>
    <x v="1"/>
    <x v="21"/>
    <x v="3"/>
    <x v="3"/>
    <x v="60"/>
    <x v="0"/>
    <x v="17"/>
    <x v="5"/>
    <x v="8"/>
    <n v="55.57"/>
  </r>
  <r>
    <d v="2024-11-02T00:00:00"/>
    <x v="1"/>
    <x v="10"/>
    <x v="0"/>
    <x v="80"/>
    <x v="6"/>
    <x v="6"/>
    <x v="38"/>
    <x v="0"/>
    <x v="14"/>
    <x v="3"/>
    <x v="1"/>
    <n v="93.31"/>
  </r>
  <r>
    <d v="2024-11-02T00:00:00"/>
    <x v="1"/>
    <x v="10"/>
    <x v="1"/>
    <x v="10"/>
    <x v="6"/>
    <x v="6"/>
    <x v="41"/>
    <x v="0"/>
    <x v="7"/>
    <x v="6"/>
    <x v="4"/>
    <n v="324.63"/>
  </r>
  <r>
    <d v="2024-11-02T00:00:00"/>
    <x v="1"/>
    <x v="10"/>
    <x v="0"/>
    <x v="39"/>
    <x v="7"/>
    <x v="7"/>
    <x v="91"/>
    <x v="0"/>
    <x v="9"/>
    <x v="4"/>
    <x v="7"/>
    <n v="358.82"/>
  </r>
  <r>
    <d v="2024-11-02T00:00:00"/>
    <x v="1"/>
    <x v="10"/>
    <x v="1"/>
    <x v="32"/>
    <x v="1"/>
    <x v="1"/>
    <x v="28"/>
    <x v="0"/>
    <x v="8"/>
    <x v="0"/>
    <x v="9"/>
    <n v="469.7"/>
  </r>
  <r>
    <d v="2024-11-02T00:00:00"/>
    <x v="1"/>
    <x v="10"/>
    <x v="1"/>
    <x v="47"/>
    <x v="3"/>
    <x v="3"/>
    <x v="54"/>
    <x v="0"/>
    <x v="19"/>
    <x v="3"/>
    <x v="1"/>
    <n v="506.61"/>
  </r>
  <r>
    <d v="2024-11-02T00:00:00"/>
    <x v="1"/>
    <x v="10"/>
    <x v="1"/>
    <x v="58"/>
    <x v="3"/>
    <x v="3"/>
    <x v="61"/>
    <x v="0"/>
    <x v="17"/>
    <x v="5"/>
    <x v="8"/>
    <n v="3581.99"/>
  </r>
  <r>
    <d v="2024-11-03T00:00:00"/>
    <x v="1"/>
    <x v="10"/>
    <x v="1"/>
    <x v="7"/>
    <x v="1"/>
    <x v="1"/>
    <x v="10"/>
    <x v="0"/>
    <x v="10"/>
    <x v="6"/>
    <x v="4"/>
    <n v="3.0"/>
  </r>
  <r>
    <d v="2024-11-03T00:00:00"/>
    <x v="1"/>
    <x v="10"/>
    <x v="1"/>
    <x v="2"/>
    <x v="1"/>
    <x v="1"/>
    <x v="2"/>
    <x v="0"/>
    <x v="6"/>
    <x v="1"/>
    <x v="0"/>
    <n v="5.03"/>
  </r>
  <r>
    <d v="2024-11-03T00:00:00"/>
    <x v="1"/>
    <x v="10"/>
    <x v="1"/>
    <x v="70"/>
    <x v="6"/>
    <x v="6"/>
    <x v="33"/>
    <x v="0"/>
    <x v="14"/>
    <x v="3"/>
    <x v="1"/>
    <n v="16.99"/>
  </r>
  <r>
    <d v="2024-11-03T00:00:00"/>
    <x v="1"/>
    <x v="10"/>
    <x v="1"/>
    <x v="10"/>
    <x v="6"/>
    <x v="6"/>
    <x v="41"/>
    <x v="0"/>
    <x v="7"/>
    <x v="8"/>
    <x v="5"/>
    <n v="97.84"/>
  </r>
  <r>
    <d v="2024-11-03T00:00:00"/>
    <x v="1"/>
    <x v="10"/>
    <x v="1"/>
    <x v="2"/>
    <x v="1"/>
    <x v="1"/>
    <x v="2"/>
    <x v="0"/>
    <x v="6"/>
    <x v="1"/>
    <x v="0"/>
    <n v="409.3"/>
  </r>
  <r>
    <d v="2024-11-04T00:00:00"/>
    <x v="1"/>
    <x v="10"/>
    <x v="0"/>
    <x v="63"/>
    <x v="4"/>
    <x v="4"/>
    <x v="78"/>
    <x v="0"/>
    <x v="0"/>
    <x v="2"/>
    <x v="2"/>
    <n v="111.27"/>
  </r>
  <r>
    <d v="2024-11-04T00:00:00"/>
    <x v="1"/>
    <x v="10"/>
    <x v="1"/>
    <x v="60"/>
    <x v="6"/>
    <x v="6"/>
    <x v="44"/>
    <x v="0"/>
    <x v="7"/>
    <x v="3"/>
    <x v="1"/>
    <n v="1694.0"/>
  </r>
  <r>
    <d v="2024-11-05T00:00:00"/>
    <x v="1"/>
    <x v="10"/>
    <x v="1"/>
    <x v="73"/>
    <x v="4"/>
    <x v="4"/>
    <x v="80"/>
    <x v="0"/>
    <x v="0"/>
    <x v="8"/>
    <x v="5"/>
    <n v="197.66"/>
  </r>
  <r>
    <d v="2024-11-05T00:00:00"/>
    <x v="1"/>
    <x v="10"/>
    <x v="1"/>
    <x v="21"/>
    <x v="3"/>
    <x v="3"/>
    <x v="60"/>
    <x v="0"/>
    <x v="17"/>
    <x v="0"/>
    <x v="9"/>
    <n v="562.51"/>
  </r>
  <r>
    <d v="2024-11-06T00:00:00"/>
    <x v="1"/>
    <x v="10"/>
    <x v="0"/>
    <x v="83"/>
    <x v="3"/>
    <x v="3"/>
    <x v="56"/>
    <x v="0"/>
    <x v="16"/>
    <x v="2"/>
    <x v="2"/>
    <n v="7.99"/>
  </r>
  <r>
    <d v="2024-11-06T00:00:00"/>
    <x v="1"/>
    <x v="10"/>
    <x v="1"/>
    <x v="18"/>
    <x v="5"/>
    <x v="5"/>
    <x v="96"/>
    <x v="0"/>
    <x v="18"/>
    <x v="3"/>
    <x v="1"/>
    <n v="441.41"/>
  </r>
  <r>
    <d v="2024-11-06T00:00:00"/>
    <x v="1"/>
    <x v="10"/>
    <x v="1"/>
    <x v="11"/>
    <x v="1"/>
    <x v="1"/>
    <x v="15"/>
    <x v="0"/>
    <x v="4"/>
    <x v="4"/>
    <x v="7"/>
    <n v="975.52"/>
  </r>
  <r>
    <d v="2024-11-06T00:00:00"/>
    <x v="1"/>
    <x v="10"/>
    <x v="1"/>
    <x v="57"/>
    <x v="4"/>
    <x v="4"/>
    <x v="74"/>
    <x v="0"/>
    <x v="15"/>
    <x v="4"/>
    <x v="7"/>
    <n v="1017.76"/>
  </r>
  <r>
    <d v="2024-11-06T00:00:00"/>
    <x v="1"/>
    <x v="10"/>
    <x v="1"/>
    <x v="71"/>
    <x v="1"/>
    <x v="1"/>
    <x v="27"/>
    <x v="0"/>
    <x v="8"/>
    <x v="6"/>
    <x v="4"/>
    <n v="6426.48"/>
  </r>
  <r>
    <d v="2024-11-07T00:00:00"/>
    <x v="1"/>
    <x v="10"/>
    <x v="1"/>
    <x v="5"/>
    <x v="1"/>
    <x v="1"/>
    <x v="14"/>
    <x v="0"/>
    <x v="4"/>
    <x v="0"/>
    <x v="9"/>
    <n v="32.89"/>
  </r>
  <r>
    <d v="2024-11-07T00:00:00"/>
    <x v="1"/>
    <x v="10"/>
    <x v="0"/>
    <x v="12"/>
    <x v="1"/>
    <x v="1"/>
    <x v="26"/>
    <x v="0"/>
    <x v="8"/>
    <x v="8"/>
    <x v="5"/>
    <n v="81.59"/>
  </r>
  <r>
    <d v="2024-11-07T00:00:00"/>
    <x v="1"/>
    <x v="10"/>
    <x v="1"/>
    <x v="10"/>
    <x v="6"/>
    <x v="6"/>
    <x v="41"/>
    <x v="0"/>
    <x v="7"/>
    <x v="3"/>
    <x v="1"/>
    <n v="99.95"/>
  </r>
  <r>
    <d v="2024-11-07T00:00:00"/>
    <x v="1"/>
    <x v="10"/>
    <x v="1"/>
    <x v="25"/>
    <x v="1"/>
    <x v="1"/>
    <x v="6"/>
    <x v="0"/>
    <x v="6"/>
    <x v="7"/>
    <x v="3"/>
    <n v="163.71"/>
  </r>
  <r>
    <d v="2024-11-07T00:00:00"/>
    <x v="1"/>
    <x v="10"/>
    <x v="1"/>
    <x v="78"/>
    <x v="5"/>
    <x v="5"/>
    <x v="94"/>
    <x v="0"/>
    <x v="18"/>
    <x v="2"/>
    <x v="2"/>
    <n v="216.71"/>
  </r>
  <r>
    <d v="2024-11-07T00:00:00"/>
    <x v="1"/>
    <x v="10"/>
    <x v="1"/>
    <x v="12"/>
    <x v="1"/>
    <x v="1"/>
    <x v="26"/>
    <x v="0"/>
    <x v="8"/>
    <x v="7"/>
    <x v="3"/>
    <n v="951.57"/>
  </r>
  <r>
    <d v="2024-11-07T00:00:00"/>
    <x v="1"/>
    <x v="10"/>
    <x v="1"/>
    <x v="40"/>
    <x v="3"/>
    <x v="3"/>
    <x v="65"/>
    <x v="0"/>
    <x v="1"/>
    <x v="6"/>
    <x v="4"/>
    <n v="1235.45"/>
  </r>
  <r>
    <d v="2024-11-08T00:00:00"/>
    <x v="1"/>
    <x v="10"/>
    <x v="1"/>
    <x v="35"/>
    <x v="6"/>
    <x v="6"/>
    <x v="46"/>
    <x v="0"/>
    <x v="7"/>
    <x v="1"/>
    <x v="0"/>
    <n v="9.11"/>
  </r>
  <r>
    <d v="2024-11-08T00:00:00"/>
    <x v="1"/>
    <x v="10"/>
    <x v="1"/>
    <x v="33"/>
    <x v="1"/>
    <x v="1"/>
    <x v="13"/>
    <x v="0"/>
    <x v="10"/>
    <x v="0"/>
    <x v="9"/>
    <n v="27.98"/>
  </r>
  <r>
    <d v="2024-11-08T00:00:00"/>
    <x v="1"/>
    <x v="10"/>
    <x v="1"/>
    <x v="24"/>
    <x v="6"/>
    <x v="6"/>
    <x v="36"/>
    <x v="0"/>
    <x v="14"/>
    <x v="0"/>
    <x v="9"/>
    <n v="533.91"/>
  </r>
  <r>
    <d v="2024-11-08T00:00:00"/>
    <x v="1"/>
    <x v="10"/>
    <x v="1"/>
    <x v="10"/>
    <x v="6"/>
    <x v="6"/>
    <x v="41"/>
    <x v="0"/>
    <x v="7"/>
    <x v="9"/>
    <x v="6"/>
    <n v="6511.67"/>
  </r>
  <r>
    <d v="2024-11-09T00:00:00"/>
    <x v="1"/>
    <x v="10"/>
    <x v="1"/>
    <x v="42"/>
    <x v="3"/>
    <x v="3"/>
    <x v="63"/>
    <x v="0"/>
    <x v="17"/>
    <x v="5"/>
    <x v="8"/>
    <n v="20.97"/>
  </r>
  <r>
    <d v="2024-11-09T00:00:00"/>
    <x v="1"/>
    <x v="10"/>
    <x v="1"/>
    <x v="66"/>
    <x v="4"/>
    <x v="4"/>
    <x v="76"/>
    <x v="0"/>
    <x v="15"/>
    <x v="8"/>
    <x v="5"/>
    <n v="23.96"/>
  </r>
  <r>
    <d v="2024-11-09T00:00:00"/>
    <x v="1"/>
    <x v="10"/>
    <x v="1"/>
    <x v="30"/>
    <x v="6"/>
    <x v="6"/>
    <x v="37"/>
    <x v="0"/>
    <x v="14"/>
    <x v="1"/>
    <x v="0"/>
    <n v="74.91"/>
  </r>
  <r>
    <d v="2024-11-09T00:00:00"/>
    <x v="1"/>
    <x v="10"/>
    <x v="0"/>
    <x v="85"/>
    <x v="6"/>
    <x v="6"/>
    <x v="43"/>
    <x v="0"/>
    <x v="7"/>
    <x v="1"/>
    <x v="0"/>
    <n v="89.95"/>
  </r>
  <r>
    <d v="2024-11-09T00:00:00"/>
    <x v="1"/>
    <x v="10"/>
    <x v="0"/>
    <x v="38"/>
    <x v="0"/>
    <x v="0"/>
    <x v="21"/>
    <x v="0"/>
    <x v="5"/>
    <x v="6"/>
    <x v="4"/>
    <n v="366.37"/>
  </r>
  <r>
    <d v="2024-11-10T00:00:00"/>
    <x v="1"/>
    <x v="10"/>
    <x v="1"/>
    <x v="41"/>
    <x v="5"/>
    <x v="5"/>
    <x v="93"/>
    <x v="0"/>
    <x v="18"/>
    <x v="2"/>
    <x v="2"/>
    <n v="1.0"/>
  </r>
  <r>
    <d v="2024-11-10T00:00:00"/>
    <x v="1"/>
    <x v="10"/>
    <x v="1"/>
    <x v="84"/>
    <x v="3"/>
    <x v="3"/>
    <x v="53"/>
    <x v="0"/>
    <x v="19"/>
    <x v="3"/>
    <x v="1"/>
    <n v="4.99"/>
  </r>
  <r>
    <d v="2024-11-10T00:00:00"/>
    <x v="1"/>
    <x v="10"/>
    <x v="1"/>
    <x v="93"/>
    <x v="6"/>
    <x v="6"/>
    <x v="30"/>
    <x v="0"/>
    <x v="2"/>
    <x v="4"/>
    <x v="7"/>
    <n v="21.96"/>
  </r>
  <r>
    <d v="2024-11-10T00:00:00"/>
    <x v="1"/>
    <x v="10"/>
    <x v="1"/>
    <x v="46"/>
    <x v="6"/>
    <x v="6"/>
    <x v="42"/>
    <x v="0"/>
    <x v="7"/>
    <x v="1"/>
    <x v="0"/>
    <n v="27.98"/>
  </r>
  <r>
    <d v="2024-11-10T00:00:00"/>
    <x v="1"/>
    <x v="10"/>
    <x v="1"/>
    <x v="7"/>
    <x v="1"/>
    <x v="1"/>
    <x v="10"/>
    <x v="0"/>
    <x v="10"/>
    <x v="8"/>
    <x v="5"/>
    <n v="50.4"/>
  </r>
  <r>
    <d v="2024-11-10T00:00:00"/>
    <x v="1"/>
    <x v="10"/>
    <x v="1"/>
    <x v="36"/>
    <x v="7"/>
    <x v="7"/>
    <x v="90"/>
    <x v="0"/>
    <x v="9"/>
    <x v="1"/>
    <x v="0"/>
    <n v="77.0"/>
  </r>
  <r>
    <d v="2024-11-11T00:00:00"/>
    <x v="1"/>
    <x v="10"/>
    <x v="1"/>
    <x v="38"/>
    <x v="0"/>
    <x v="0"/>
    <x v="21"/>
    <x v="0"/>
    <x v="5"/>
    <x v="2"/>
    <x v="2"/>
    <n v="31.97"/>
  </r>
  <r>
    <d v="2024-11-11T00:00:00"/>
    <x v="1"/>
    <x v="10"/>
    <x v="1"/>
    <x v="42"/>
    <x v="3"/>
    <x v="3"/>
    <x v="63"/>
    <x v="0"/>
    <x v="17"/>
    <x v="5"/>
    <x v="8"/>
    <n v="64.9"/>
  </r>
  <r>
    <d v="2024-11-11T00:00:00"/>
    <x v="1"/>
    <x v="10"/>
    <x v="1"/>
    <x v="84"/>
    <x v="3"/>
    <x v="3"/>
    <x v="53"/>
    <x v="0"/>
    <x v="19"/>
    <x v="6"/>
    <x v="4"/>
    <n v="116.71"/>
  </r>
  <r>
    <d v="2024-11-11T00:00:00"/>
    <x v="1"/>
    <x v="10"/>
    <x v="1"/>
    <x v="3"/>
    <x v="2"/>
    <x v="2"/>
    <x v="1"/>
    <x v="0"/>
    <x v="11"/>
    <x v="6"/>
    <x v="4"/>
    <n v="152.86"/>
  </r>
  <r>
    <d v="2024-11-11T00:00:00"/>
    <x v="1"/>
    <x v="10"/>
    <x v="1"/>
    <x v="46"/>
    <x v="6"/>
    <x v="6"/>
    <x v="42"/>
    <x v="0"/>
    <x v="7"/>
    <x v="6"/>
    <x v="4"/>
    <n v="210.05"/>
  </r>
  <r>
    <d v="2024-11-11T00:00:00"/>
    <x v="1"/>
    <x v="10"/>
    <x v="0"/>
    <x v="39"/>
    <x v="7"/>
    <x v="7"/>
    <x v="91"/>
    <x v="0"/>
    <x v="9"/>
    <x v="3"/>
    <x v="1"/>
    <n v="210.75"/>
  </r>
  <r>
    <d v="2024-11-11T00:00:00"/>
    <x v="1"/>
    <x v="10"/>
    <x v="0"/>
    <x v="40"/>
    <x v="3"/>
    <x v="3"/>
    <x v="65"/>
    <x v="0"/>
    <x v="1"/>
    <x v="8"/>
    <x v="5"/>
    <n v="226.63"/>
  </r>
  <r>
    <d v="2024-11-11T00:00:00"/>
    <x v="1"/>
    <x v="10"/>
    <x v="0"/>
    <x v="86"/>
    <x v="1"/>
    <x v="1"/>
    <x v="9"/>
    <x v="0"/>
    <x v="10"/>
    <x v="5"/>
    <x v="8"/>
    <n v="372.48"/>
  </r>
  <r>
    <d v="2024-11-11T00:00:00"/>
    <x v="1"/>
    <x v="10"/>
    <x v="0"/>
    <x v="86"/>
    <x v="1"/>
    <x v="1"/>
    <x v="9"/>
    <x v="0"/>
    <x v="10"/>
    <x v="2"/>
    <x v="2"/>
    <n v="379.57"/>
  </r>
  <r>
    <d v="2024-11-11T00:00:00"/>
    <x v="1"/>
    <x v="10"/>
    <x v="1"/>
    <x v="69"/>
    <x v="1"/>
    <x v="1"/>
    <x v="19"/>
    <x v="0"/>
    <x v="5"/>
    <x v="3"/>
    <x v="1"/>
    <n v="2608.59"/>
  </r>
  <r>
    <d v="2024-11-12T00:00:00"/>
    <x v="1"/>
    <x v="10"/>
    <x v="0"/>
    <x v="91"/>
    <x v="1"/>
    <x v="1"/>
    <x v="23"/>
    <x v="0"/>
    <x v="8"/>
    <x v="3"/>
    <x v="1"/>
    <n v="3.75"/>
  </r>
  <r>
    <d v="2024-11-12T00:00:00"/>
    <x v="1"/>
    <x v="10"/>
    <x v="1"/>
    <x v="13"/>
    <x v="0"/>
    <x v="0"/>
    <x v="22"/>
    <x v="0"/>
    <x v="5"/>
    <x v="4"/>
    <x v="7"/>
    <n v="11.97"/>
  </r>
  <r>
    <d v="2024-11-12T00:00:00"/>
    <x v="1"/>
    <x v="10"/>
    <x v="0"/>
    <x v="35"/>
    <x v="6"/>
    <x v="6"/>
    <x v="46"/>
    <x v="0"/>
    <x v="7"/>
    <x v="0"/>
    <x v="9"/>
    <n v="15.9"/>
  </r>
  <r>
    <d v="2024-11-12T00:00:00"/>
    <x v="1"/>
    <x v="10"/>
    <x v="1"/>
    <x v="25"/>
    <x v="1"/>
    <x v="1"/>
    <x v="6"/>
    <x v="0"/>
    <x v="6"/>
    <x v="2"/>
    <x v="2"/>
    <n v="59.3"/>
  </r>
  <r>
    <d v="2024-11-12T00:00:00"/>
    <x v="1"/>
    <x v="10"/>
    <x v="0"/>
    <x v="70"/>
    <x v="6"/>
    <x v="6"/>
    <x v="33"/>
    <x v="0"/>
    <x v="14"/>
    <x v="3"/>
    <x v="1"/>
    <n v="89.91"/>
  </r>
  <r>
    <d v="2024-11-12T00:00:00"/>
    <x v="1"/>
    <x v="10"/>
    <x v="1"/>
    <x v="45"/>
    <x v="3"/>
    <x v="3"/>
    <x v="64"/>
    <x v="0"/>
    <x v="1"/>
    <x v="9"/>
    <x v="6"/>
    <n v="1127.54"/>
  </r>
  <r>
    <d v="2024-11-13T00:00:00"/>
    <x v="1"/>
    <x v="10"/>
    <x v="1"/>
    <x v="4"/>
    <x v="6"/>
    <x v="6"/>
    <x v="29"/>
    <x v="0"/>
    <x v="2"/>
    <x v="0"/>
    <x v="9"/>
    <n v="39.95"/>
  </r>
  <r>
    <d v="2024-11-13T00:00:00"/>
    <x v="1"/>
    <x v="10"/>
    <x v="1"/>
    <x v="1"/>
    <x v="7"/>
    <x v="7"/>
    <x v="89"/>
    <x v="0"/>
    <x v="12"/>
    <x v="1"/>
    <x v="0"/>
    <n v="979.46"/>
  </r>
  <r>
    <d v="2024-11-14T00:00:00"/>
    <x v="1"/>
    <x v="10"/>
    <x v="0"/>
    <x v="35"/>
    <x v="6"/>
    <x v="6"/>
    <x v="46"/>
    <x v="0"/>
    <x v="7"/>
    <x v="2"/>
    <x v="2"/>
    <n v="3.0"/>
  </r>
  <r>
    <d v="2024-11-14T00:00:00"/>
    <x v="1"/>
    <x v="10"/>
    <x v="1"/>
    <x v="4"/>
    <x v="6"/>
    <x v="6"/>
    <x v="29"/>
    <x v="0"/>
    <x v="2"/>
    <x v="4"/>
    <x v="7"/>
    <n v="15.98"/>
  </r>
  <r>
    <d v="2024-11-14T00:00:00"/>
    <x v="1"/>
    <x v="10"/>
    <x v="1"/>
    <x v="50"/>
    <x v="7"/>
    <x v="7"/>
    <x v="83"/>
    <x v="0"/>
    <x v="20"/>
    <x v="8"/>
    <x v="5"/>
    <n v="65.8"/>
  </r>
  <r>
    <d v="2024-11-14T00:00:00"/>
    <x v="1"/>
    <x v="10"/>
    <x v="0"/>
    <x v="46"/>
    <x v="6"/>
    <x v="6"/>
    <x v="42"/>
    <x v="0"/>
    <x v="7"/>
    <x v="0"/>
    <x v="9"/>
    <n v="111.39"/>
  </r>
  <r>
    <d v="2024-11-14T00:00:00"/>
    <x v="1"/>
    <x v="10"/>
    <x v="1"/>
    <x v="12"/>
    <x v="1"/>
    <x v="1"/>
    <x v="26"/>
    <x v="0"/>
    <x v="8"/>
    <x v="6"/>
    <x v="4"/>
    <n v="386.64"/>
  </r>
  <r>
    <d v="2024-11-14T00:00:00"/>
    <x v="1"/>
    <x v="10"/>
    <x v="1"/>
    <x v="23"/>
    <x v="1"/>
    <x v="1"/>
    <x v="12"/>
    <x v="0"/>
    <x v="10"/>
    <x v="3"/>
    <x v="1"/>
    <n v="2699.65"/>
  </r>
  <r>
    <d v="2024-11-15T00:00:00"/>
    <x v="1"/>
    <x v="10"/>
    <x v="0"/>
    <x v="34"/>
    <x v="6"/>
    <x v="6"/>
    <x v="32"/>
    <x v="0"/>
    <x v="2"/>
    <x v="3"/>
    <x v="1"/>
    <n v="29.97"/>
  </r>
  <r>
    <d v="2024-11-15T00:00:00"/>
    <x v="1"/>
    <x v="10"/>
    <x v="1"/>
    <x v="68"/>
    <x v="3"/>
    <x v="3"/>
    <x v="59"/>
    <x v="0"/>
    <x v="16"/>
    <x v="0"/>
    <x v="9"/>
    <n v="342.24"/>
  </r>
  <r>
    <d v="2024-11-16T00:00:00"/>
    <x v="1"/>
    <x v="10"/>
    <x v="0"/>
    <x v="62"/>
    <x v="6"/>
    <x v="6"/>
    <x v="50"/>
    <x v="0"/>
    <x v="13"/>
    <x v="2"/>
    <x v="2"/>
    <n v="25.98"/>
  </r>
  <r>
    <d v="2024-11-16T00:00:00"/>
    <x v="1"/>
    <x v="10"/>
    <x v="0"/>
    <x v="24"/>
    <x v="6"/>
    <x v="6"/>
    <x v="36"/>
    <x v="0"/>
    <x v="14"/>
    <x v="5"/>
    <x v="8"/>
    <n v="39.83"/>
  </r>
  <r>
    <d v="2024-11-16T00:00:00"/>
    <x v="1"/>
    <x v="10"/>
    <x v="1"/>
    <x v="76"/>
    <x v="6"/>
    <x v="6"/>
    <x v="34"/>
    <x v="0"/>
    <x v="14"/>
    <x v="3"/>
    <x v="1"/>
    <n v="956.9"/>
  </r>
  <r>
    <d v="2024-11-17T00:00:00"/>
    <x v="1"/>
    <x v="10"/>
    <x v="0"/>
    <x v="21"/>
    <x v="3"/>
    <x v="3"/>
    <x v="60"/>
    <x v="0"/>
    <x v="17"/>
    <x v="0"/>
    <x v="9"/>
    <n v="9.99"/>
  </r>
  <r>
    <d v="2024-11-17T00:00:00"/>
    <x v="1"/>
    <x v="10"/>
    <x v="1"/>
    <x v="58"/>
    <x v="3"/>
    <x v="3"/>
    <x v="61"/>
    <x v="0"/>
    <x v="17"/>
    <x v="1"/>
    <x v="0"/>
    <n v="147.74"/>
  </r>
  <r>
    <d v="2024-11-17T00:00:00"/>
    <x v="1"/>
    <x v="10"/>
    <x v="1"/>
    <x v="90"/>
    <x v="3"/>
    <x v="3"/>
    <x v="55"/>
    <x v="0"/>
    <x v="19"/>
    <x v="4"/>
    <x v="7"/>
    <n v="374.38"/>
  </r>
  <r>
    <d v="2024-11-17T00:00:00"/>
    <x v="1"/>
    <x v="10"/>
    <x v="0"/>
    <x v="3"/>
    <x v="2"/>
    <x v="2"/>
    <x v="1"/>
    <x v="0"/>
    <x v="11"/>
    <x v="3"/>
    <x v="1"/>
    <n v="1124.42"/>
  </r>
  <r>
    <d v="2024-11-18T00:00:00"/>
    <x v="1"/>
    <x v="10"/>
    <x v="1"/>
    <x v="31"/>
    <x v="2"/>
    <x v="2"/>
    <x v="0"/>
    <x v="0"/>
    <x v="11"/>
    <x v="7"/>
    <x v="3"/>
    <n v="3.99"/>
  </r>
  <r>
    <d v="2024-11-18T00:00:00"/>
    <x v="1"/>
    <x v="10"/>
    <x v="1"/>
    <x v="64"/>
    <x v="3"/>
    <x v="3"/>
    <x v="70"/>
    <x v="0"/>
    <x v="3"/>
    <x v="1"/>
    <x v="0"/>
    <n v="78.97"/>
  </r>
  <r>
    <d v="2024-11-18T00:00:00"/>
    <x v="1"/>
    <x v="10"/>
    <x v="0"/>
    <x v="81"/>
    <x v="4"/>
    <x v="4"/>
    <x v="77"/>
    <x v="0"/>
    <x v="15"/>
    <x v="1"/>
    <x v="0"/>
    <n v="177.9"/>
  </r>
  <r>
    <d v="2024-11-18T00:00:00"/>
    <x v="1"/>
    <x v="10"/>
    <x v="0"/>
    <x v="60"/>
    <x v="6"/>
    <x v="6"/>
    <x v="44"/>
    <x v="0"/>
    <x v="7"/>
    <x v="4"/>
    <x v="7"/>
    <n v="179.66"/>
  </r>
  <r>
    <d v="2024-11-18T00:00:00"/>
    <x v="1"/>
    <x v="10"/>
    <x v="1"/>
    <x v="91"/>
    <x v="1"/>
    <x v="1"/>
    <x v="23"/>
    <x v="0"/>
    <x v="8"/>
    <x v="1"/>
    <x v="0"/>
    <n v="218.4"/>
  </r>
  <r>
    <d v="2024-11-18T00:00:00"/>
    <x v="1"/>
    <x v="10"/>
    <x v="1"/>
    <x v="47"/>
    <x v="3"/>
    <x v="3"/>
    <x v="54"/>
    <x v="0"/>
    <x v="19"/>
    <x v="4"/>
    <x v="7"/>
    <n v="427.83"/>
  </r>
  <r>
    <d v="2024-11-18T00:00:00"/>
    <x v="1"/>
    <x v="10"/>
    <x v="1"/>
    <x v="24"/>
    <x v="6"/>
    <x v="6"/>
    <x v="36"/>
    <x v="0"/>
    <x v="14"/>
    <x v="1"/>
    <x v="0"/>
    <n v="641.58"/>
  </r>
  <r>
    <d v="2024-11-19T00:00:00"/>
    <x v="1"/>
    <x v="10"/>
    <x v="1"/>
    <x v="55"/>
    <x v="3"/>
    <x v="3"/>
    <x v="68"/>
    <x v="0"/>
    <x v="1"/>
    <x v="4"/>
    <x v="7"/>
    <n v="19.55"/>
  </r>
  <r>
    <d v="2024-11-19T00:00:00"/>
    <x v="1"/>
    <x v="10"/>
    <x v="1"/>
    <x v="70"/>
    <x v="6"/>
    <x v="6"/>
    <x v="33"/>
    <x v="0"/>
    <x v="14"/>
    <x v="1"/>
    <x v="0"/>
    <n v="19.99"/>
  </r>
  <r>
    <d v="2024-11-19T00:00:00"/>
    <x v="1"/>
    <x v="10"/>
    <x v="1"/>
    <x v="25"/>
    <x v="1"/>
    <x v="1"/>
    <x v="6"/>
    <x v="0"/>
    <x v="6"/>
    <x v="4"/>
    <x v="7"/>
    <n v="270.0"/>
  </r>
  <r>
    <d v="2024-11-19T00:00:00"/>
    <x v="1"/>
    <x v="10"/>
    <x v="1"/>
    <x v="13"/>
    <x v="0"/>
    <x v="0"/>
    <x v="22"/>
    <x v="0"/>
    <x v="5"/>
    <x v="1"/>
    <x v="0"/>
    <n v="366.24"/>
  </r>
  <r>
    <d v="2024-11-19T00:00:00"/>
    <x v="1"/>
    <x v="10"/>
    <x v="1"/>
    <x v="35"/>
    <x v="6"/>
    <x v="6"/>
    <x v="46"/>
    <x v="0"/>
    <x v="7"/>
    <x v="1"/>
    <x v="0"/>
    <n v="419.26"/>
  </r>
  <r>
    <d v="2024-11-19T00:00:00"/>
    <x v="1"/>
    <x v="10"/>
    <x v="1"/>
    <x v="91"/>
    <x v="1"/>
    <x v="1"/>
    <x v="23"/>
    <x v="0"/>
    <x v="8"/>
    <x v="3"/>
    <x v="1"/>
    <n v="1627.2"/>
  </r>
  <r>
    <d v="2024-11-19T00:00:00"/>
    <x v="1"/>
    <x v="10"/>
    <x v="1"/>
    <x v="63"/>
    <x v="4"/>
    <x v="4"/>
    <x v="78"/>
    <x v="0"/>
    <x v="0"/>
    <x v="3"/>
    <x v="1"/>
    <n v="2439.57"/>
  </r>
  <r>
    <d v="2024-11-19T00:00:00"/>
    <x v="1"/>
    <x v="10"/>
    <x v="1"/>
    <x v="71"/>
    <x v="1"/>
    <x v="1"/>
    <x v="27"/>
    <x v="0"/>
    <x v="8"/>
    <x v="3"/>
    <x v="1"/>
    <n v="3157.17"/>
  </r>
  <r>
    <d v="2024-11-20T00:00:00"/>
    <x v="1"/>
    <x v="10"/>
    <x v="1"/>
    <x v="45"/>
    <x v="3"/>
    <x v="3"/>
    <x v="64"/>
    <x v="0"/>
    <x v="1"/>
    <x v="1"/>
    <x v="0"/>
    <n v="16.0"/>
  </r>
  <r>
    <d v="2024-11-20T00:00:00"/>
    <x v="1"/>
    <x v="10"/>
    <x v="1"/>
    <x v="41"/>
    <x v="5"/>
    <x v="5"/>
    <x v="93"/>
    <x v="0"/>
    <x v="18"/>
    <x v="1"/>
    <x v="0"/>
    <n v="19.98"/>
  </r>
  <r>
    <d v="2024-11-20T00:00:00"/>
    <x v="1"/>
    <x v="10"/>
    <x v="1"/>
    <x v="34"/>
    <x v="6"/>
    <x v="6"/>
    <x v="32"/>
    <x v="0"/>
    <x v="2"/>
    <x v="7"/>
    <x v="3"/>
    <n v="27.62"/>
  </r>
  <r>
    <d v="2024-11-20T00:00:00"/>
    <x v="1"/>
    <x v="10"/>
    <x v="0"/>
    <x v="52"/>
    <x v="1"/>
    <x v="1"/>
    <x v="11"/>
    <x v="0"/>
    <x v="10"/>
    <x v="0"/>
    <x v="9"/>
    <n v="71.88"/>
  </r>
  <r>
    <d v="2024-11-20T00:00:00"/>
    <x v="1"/>
    <x v="10"/>
    <x v="1"/>
    <x v="87"/>
    <x v="3"/>
    <x v="3"/>
    <x v="52"/>
    <x v="0"/>
    <x v="19"/>
    <x v="6"/>
    <x v="4"/>
    <n v="174.6"/>
  </r>
  <r>
    <d v="2024-11-20T00:00:00"/>
    <x v="1"/>
    <x v="10"/>
    <x v="1"/>
    <x v="83"/>
    <x v="3"/>
    <x v="3"/>
    <x v="56"/>
    <x v="0"/>
    <x v="16"/>
    <x v="4"/>
    <x v="7"/>
    <n v="323.09"/>
  </r>
  <r>
    <d v="2024-11-20T00:00:00"/>
    <x v="1"/>
    <x v="10"/>
    <x v="1"/>
    <x v="79"/>
    <x v="1"/>
    <x v="1"/>
    <x v="8"/>
    <x v="0"/>
    <x v="10"/>
    <x v="1"/>
    <x v="0"/>
    <n v="435.71"/>
  </r>
  <r>
    <d v="2024-11-20T00:00:00"/>
    <x v="1"/>
    <x v="10"/>
    <x v="0"/>
    <x v="70"/>
    <x v="6"/>
    <x v="6"/>
    <x v="33"/>
    <x v="0"/>
    <x v="14"/>
    <x v="9"/>
    <x v="6"/>
    <n v="459.93"/>
  </r>
  <r>
    <d v="2024-11-20T00:00:00"/>
    <x v="1"/>
    <x v="10"/>
    <x v="1"/>
    <x v="77"/>
    <x v="3"/>
    <x v="3"/>
    <x v="66"/>
    <x v="0"/>
    <x v="1"/>
    <x v="3"/>
    <x v="1"/>
    <n v="522.95"/>
  </r>
  <r>
    <d v="2024-11-20T00:00:00"/>
    <x v="1"/>
    <x v="10"/>
    <x v="1"/>
    <x v="96"/>
    <x v="3"/>
    <x v="3"/>
    <x v="67"/>
    <x v="0"/>
    <x v="1"/>
    <x v="9"/>
    <x v="6"/>
    <n v="675.86"/>
  </r>
  <r>
    <d v="2024-11-21T00:00:00"/>
    <x v="1"/>
    <x v="10"/>
    <x v="1"/>
    <x v="13"/>
    <x v="0"/>
    <x v="0"/>
    <x v="22"/>
    <x v="0"/>
    <x v="5"/>
    <x v="6"/>
    <x v="4"/>
    <n v="11.97"/>
  </r>
  <r>
    <d v="2024-11-21T00:00:00"/>
    <x v="1"/>
    <x v="10"/>
    <x v="0"/>
    <x v="65"/>
    <x v="1"/>
    <x v="1"/>
    <x v="7"/>
    <x v="0"/>
    <x v="10"/>
    <x v="3"/>
    <x v="1"/>
    <n v="19.98"/>
  </r>
  <r>
    <d v="2024-11-21T00:00:00"/>
    <x v="1"/>
    <x v="10"/>
    <x v="1"/>
    <x v="8"/>
    <x v="3"/>
    <x v="3"/>
    <x v="72"/>
    <x v="0"/>
    <x v="3"/>
    <x v="6"/>
    <x v="4"/>
    <n v="152.67"/>
  </r>
  <r>
    <d v="2024-11-21T00:00:00"/>
    <x v="1"/>
    <x v="10"/>
    <x v="0"/>
    <x v="88"/>
    <x v="1"/>
    <x v="1"/>
    <x v="17"/>
    <x v="0"/>
    <x v="4"/>
    <x v="1"/>
    <x v="0"/>
    <n v="342.82"/>
  </r>
  <r>
    <d v="2024-11-21T00:00:00"/>
    <x v="1"/>
    <x v="10"/>
    <x v="0"/>
    <x v="58"/>
    <x v="3"/>
    <x v="3"/>
    <x v="61"/>
    <x v="0"/>
    <x v="17"/>
    <x v="3"/>
    <x v="1"/>
    <n v="1599.84"/>
  </r>
  <r>
    <d v="2024-11-22T00:00:00"/>
    <x v="1"/>
    <x v="10"/>
    <x v="0"/>
    <x v="25"/>
    <x v="1"/>
    <x v="1"/>
    <x v="6"/>
    <x v="0"/>
    <x v="6"/>
    <x v="1"/>
    <x v="0"/>
    <n v="5.98"/>
  </r>
  <r>
    <d v="2024-11-22T00:00:00"/>
    <x v="1"/>
    <x v="10"/>
    <x v="0"/>
    <x v="68"/>
    <x v="3"/>
    <x v="3"/>
    <x v="59"/>
    <x v="0"/>
    <x v="16"/>
    <x v="4"/>
    <x v="7"/>
    <n v="14.37"/>
  </r>
  <r>
    <d v="2024-11-22T00:00:00"/>
    <x v="1"/>
    <x v="10"/>
    <x v="1"/>
    <x v="24"/>
    <x v="6"/>
    <x v="6"/>
    <x v="36"/>
    <x v="0"/>
    <x v="14"/>
    <x v="2"/>
    <x v="2"/>
    <n v="139.86"/>
  </r>
  <r>
    <d v="2024-11-22T00:00:00"/>
    <x v="1"/>
    <x v="10"/>
    <x v="0"/>
    <x v="62"/>
    <x v="6"/>
    <x v="6"/>
    <x v="50"/>
    <x v="0"/>
    <x v="13"/>
    <x v="2"/>
    <x v="2"/>
    <n v="189.87"/>
  </r>
  <r>
    <d v="2024-11-22T00:00:00"/>
    <x v="1"/>
    <x v="10"/>
    <x v="1"/>
    <x v="21"/>
    <x v="3"/>
    <x v="3"/>
    <x v="60"/>
    <x v="0"/>
    <x v="17"/>
    <x v="6"/>
    <x v="4"/>
    <n v="5541.11"/>
  </r>
  <r>
    <d v="2024-11-23T00:00:00"/>
    <x v="1"/>
    <x v="10"/>
    <x v="1"/>
    <x v="42"/>
    <x v="3"/>
    <x v="3"/>
    <x v="63"/>
    <x v="0"/>
    <x v="17"/>
    <x v="1"/>
    <x v="0"/>
    <n v="2.0"/>
  </r>
  <r>
    <d v="2024-11-23T00:00:00"/>
    <x v="1"/>
    <x v="10"/>
    <x v="1"/>
    <x v="37"/>
    <x v="6"/>
    <x v="6"/>
    <x v="39"/>
    <x v="0"/>
    <x v="14"/>
    <x v="4"/>
    <x v="7"/>
    <n v="94.23"/>
  </r>
  <r>
    <d v="2024-11-23T00:00:00"/>
    <x v="1"/>
    <x v="10"/>
    <x v="1"/>
    <x v="13"/>
    <x v="0"/>
    <x v="0"/>
    <x v="22"/>
    <x v="0"/>
    <x v="5"/>
    <x v="8"/>
    <x v="5"/>
    <n v="248.51"/>
  </r>
  <r>
    <d v="2024-11-23T00:00:00"/>
    <x v="1"/>
    <x v="10"/>
    <x v="0"/>
    <x v="36"/>
    <x v="7"/>
    <x v="7"/>
    <x v="90"/>
    <x v="0"/>
    <x v="9"/>
    <x v="4"/>
    <x v="7"/>
    <n v="575.44"/>
  </r>
  <r>
    <d v="2024-11-23T00:00:00"/>
    <x v="1"/>
    <x v="10"/>
    <x v="1"/>
    <x v="23"/>
    <x v="1"/>
    <x v="1"/>
    <x v="12"/>
    <x v="0"/>
    <x v="10"/>
    <x v="1"/>
    <x v="0"/>
    <n v="641.63"/>
  </r>
  <r>
    <d v="2024-11-23T00:00:00"/>
    <x v="1"/>
    <x v="10"/>
    <x v="0"/>
    <x v="1"/>
    <x v="7"/>
    <x v="7"/>
    <x v="89"/>
    <x v="0"/>
    <x v="12"/>
    <x v="6"/>
    <x v="4"/>
    <n v="687.46"/>
  </r>
  <r>
    <d v="2024-11-24T00:00:00"/>
    <x v="1"/>
    <x v="10"/>
    <x v="1"/>
    <x v="10"/>
    <x v="6"/>
    <x v="6"/>
    <x v="41"/>
    <x v="0"/>
    <x v="7"/>
    <x v="8"/>
    <x v="5"/>
    <n v="7.98"/>
  </r>
  <r>
    <d v="2024-11-24T00:00:00"/>
    <x v="1"/>
    <x v="10"/>
    <x v="0"/>
    <x v="75"/>
    <x v="1"/>
    <x v="1"/>
    <x v="4"/>
    <x v="0"/>
    <x v="6"/>
    <x v="6"/>
    <x v="4"/>
    <n v="11.76"/>
  </r>
  <r>
    <d v="2024-11-24T00:00:00"/>
    <x v="1"/>
    <x v="10"/>
    <x v="0"/>
    <x v="57"/>
    <x v="4"/>
    <x v="4"/>
    <x v="74"/>
    <x v="0"/>
    <x v="15"/>
    <x v="0"/>
    <x v="9"/>
    <n v="138.86"/>
  </r>
  <r>
    <d v="2024-11-24T00:00:00"/>
    <x v="1"/>
    <x v="10"/>
    <x v="1"/>
    <x v="63"/>
    <x v="4"/>
    <x v="4"/>
    <x v="78"/>
    <x v="0"/>
    <x v="0"/>
    <x v="9"/>
    <x v="6"/>
    <n v="262.96"/>
  </r>
  <r>
    <d v="2024-11-24T00:00:00"/>
    <x v="1"/>
    <x v="10"/>
    <x v="1"/>
    <x v="75"/>
    <x v="1"/>
    <x v="1"/>
    <x v="4"/>
    <x v="0"/>
    <x v="6"/>
    <x v="8"/>
    <x v="5"/>
    <n v="311.44"/>
  </r>
  <r>
    <d v="2024-11-24T00:00:00"/>
    <x v="1"/>
    <x v="10"/>
    <x v="0"/>
    <x v="60"/>
    <x v="6"/>
    <x v="6"/>
    <x v="44"/>
    <x v="0"/>
    <x v="7"/>
    <x v="1"/>
    <x v="0"/>
    <n v="386.17"/>
  </r>
  <r>
    <d v="2024-11-24T00:00:00"/>
    <x v="1"/>
    <x v="10"/>
    <x v="1"/>
    <x v="77"/>
    <x v="3"/>
    <x v="3"/>
    <x v="66"/>
    <x v="0"/>
    <x v="1"/>
    <x v="5"/>
    <x v="8"/>
    <n v="749.04"/>
  </r>
  <r>
    <d v="2024-11-24T00:00:00"/>
    <x v="1"/>
    <x v="10"/>
    <x v="0"/>
    <x v="60"/>
    <x v="6"/>
    <x v="6"/>
    <x v="44"/>
    <x v="0"/>
    <x v="7"/>
    <x v="9"/>
    <x v="6"/>
    <n v="1271.74"/>
  </r>
  <r>
    <d v="2024-11-24T00:00:00"/>
    <x v="1"/>
    <x v="10"/>
    <x v="0"/>
    <x v="4"/>
    <x v="6"/>
    <x v="6"/>
    <x v="29"/>
    <x v="0"/>
    <x v="2"/>
    <x v="7"/>
    <x v="3"/>
    <n v="1985.28"/>
  </r>
  <r>
    <d v="2024-11-24T00:00:00"/>
    <x v="1"/>
    <x v="10"/>
    <x v="1"/>
    <x v="10"/>
    <x v="6"/>
    <x v="6"/>
    <x v="41"/>
    <x v="0"/>
    <x v="7"/>
    <x v="1"/>
    <x v="0"/>
    <n v="2150.07"/>
  </r>
  <r>
    <d v="2024-11-24T00:00:00"/>
    <x v="1"/>
    <x v="10"/>
    <x v="1"/>
    <x v="25"/>
    <x v="1"/>
    <x v="1"/>
    <x v="6"/>
    <x v="0"/>
    <x v="6"/>
    <x v="9"/>
    <x v="6"/>
    <n v="2324.24"/>
  </r>
  <r>
    <d v="2024-11-25T00:00:00"/>
    <x v="1"/>
    <x v="10"/>
    <x v="1"/>
    <x v="53"/>
    <x v="1"/>
    <x v="1"/>
    <x v="16"/>
    <x v="0"/>
    <x v="4"/>
    <x v="6"/>
    <x v="4"/>
    <n v="1.0"/>
  </r>
  <r>
    <d v="2024-11-25T00:00:00"/>
    <x v="1"/>
    <x v="10"/>
    <x v="1"/>
    <x v="95"/>
    <x v="4"/>
    <x v="4"/>
    <x v="73"/>
    <x v="0"/>
    <x v="15"/>
    <x v="5"/>
    <x v="8"/>
    <n v="5.98"/>
  </r>
  <r>
    <d v="2024-11-25T00:00:00"/>
    <x v="1"/>
    <x v="10"/>
    <x v="1"/>
    <x v="2"/>
    <x v="1"/>
    <x v="1"/>
    <x v="2"/>
    <x v="0"/>
    <x v="6"/>
    <x v="4"/>
    <x v="7"/>
    <n v="35.91"/>
  </r>
  <r>
    <d v="2024-11-25T00:00:00"/>
    <x v="1"/>
    <x v="10"/>
    <x v="1"/>
    <x v="82"/>
    <x v="6"/>
    <x v="6"/>
    <x v="47"/>
    <x v="0"/>
    <x v="13"/>
    <x v="0"/>
    <x v="9"/>
    <n v="44.91"/>
  </r>
  <r>
    <d v="2024-11-25T00:00:00"/>
    <x v="1"/>
    <x v="10"/>
    <x v="1"/>
    <x v="20"/>
    <x v="3"/>
    <x v="3"/>
    <x v="71"/>
    <x v="0"/>
    <x v="3"/>
    <x v="5"/>
    <x v="8"/>
    <n v="62.49"/>
  </r>
  <r>
    <d v="2024-11-25T00:00:00"/>
    <x v="1"/>
    <x v="10"/>
    <x v="1"/>
    <x v="83"/>
    <x v="3"/>
    <x v="3"/>
    <x v="56"/>
    <x v="0"/>
    <x v="16"/>
    <x v="9"/>
    <x v="6"/>
    <n v="523.76"/>
  </r>
  <r>
    <d v="2024-11-26T00:00:00"/>
    <x v="1"/>
    <x v="10"/>
    <x v="0"/>
    <x v="66"/>
    <x v="4"/>
    <x v="4"/>
    <x v="76"/>
    <x v="0"/>
    <x v="15"/>
    <x v="1"/>
    <x v="0"/>
    <n v="104.47"/>
  </r>
  <r>
    <d v="2024-11-26T00:00:00"/>
    <x v="1"/>
    <x v="10"/>
    <x v="1"/>
    <x v="95"/>
    <x v="4"/>
    <x v="4"/>
    <x v="73"/>
    <x v="0"/>
    <x v="15"/>
    <x v="3"/>
    <x v="1"/>
    <n v="327.7"/>
  </r>
  <r>
    <d v="2024-11-27T00:00:00"/>
    <x v="1"/>
    <x v="10"/>
    <x v="0"/>
    <x v="43"/>
    <x v="7"/>
    <x v="7"/>
    <x v="87"/>
    <x v="0"/>
    <x v="12"/>
    <x v="8"/>
    <x v="5"/>
    <n v="35.88"/>
  </r>
  <r>
    <d v="2024-11-27T00:00:00"/>
    <x v="1"/>
    <x v="10"/>
    <x v="1"/>
    <x v="6"/>
    <x v="1"/>
    <x v="1"/>
    <x v="5"/>
    <x v="0"/>
    <x v="6"/>
    <x v="4"/>
    <x v="7"/>
    <n v="167.18"/>
  </r>
  <r>
    <d v="2024-11-27T00:00:00"/>
    <x v="1"/>
    <x v="10"/>
    <x v="0"/>
    <x v="48"/>
    <x v="7"/>
    <x v="7"/>
    <x v="85"/>
    <x v="0"/>
    <x v="20"/>
    <x v="6"/>
    <x v="4"/>
    <n v="239.52"/>
  </r>
  <r>
    <d v="2024-11-27T00:00:00"/>
    <x v="1"/>
    <x v="10"/>
    <x v="0"/>
    <x v="14"/>
    <x v="6"/>
    <x v="6"/>
    <x v="45"/>
    <x v="0"/>
    <x v="7"/>
    <x v="1"/>
    <x v="0"/>
    <n v="662.1"/>
  </r>
  <r>
    <d v="2024-11-28T00:00:00"/>
    <x v="1"/>
    <x v="10"/>
    <x v="1"/>
    <x v="20"/>
    <x v="3"/>
    <x v="3"/>
    <x v="71"/>
    <x v="0"/>
    <x v="3"/>
    <x v="5"/>
    <x v="8"/>
    <n v="3.96"/>
  </r>
  <r>
    <d v="2024-11-28T00:00:00"/>
    <x v="1"/>
    <x v="10"/>
    <x v="1"/>
    <x v="30"/>
    <x v="6"/>
    <x v="6"/>
    <x v="37"/>
    <x v="0"/>
    <x v="14"/>
    <x v="3"/>
    <x v="1"/>
    <n v="41.96"/>
  </r>
  <r>
    <d v="2024-11-28T00:00:00"/>
    <x v="1"/>
    <x v="10"/>
    <x v="1"/>
    <x v="3"/>
    <x v="2"/>
    <x v="2"/>
    <x v="1"/>
    <x v="0"/>
    <x v="11"/>
    <x v="6"/>
    <x v="4"/>
    <n v="493.06"/>
  </r>
  <r>
    <d v="2024-11-28T00:00:00"/>
    <x v="1"/>
    <x v="10"/>
    <x v="1"/>
    <x v="48"/>
    <x v="7"/>
    <x v="7"/>
    <x v="85"/>
    <x v="0"/>
    <x v="20"/>
    <x v="3"/>
    <x v="1"/>
    <n v="608.13"/>
  </r>
  <r>
    <d v="2024-11-28T00:00:00"/>
    <x v="1"/>
    <x v="10"/>
    <x v="1"/>
    <x v="24"/>
    <x v="6"/>
    <x v="6"/>
    <x v="36"/>
    <x v="0"/>
    <x v="14"/>
    <x v="0"/>
    <x v="9"/>
    <n v="966.86"/>
  </r>
  <r>
    <d v="2024-11-28T00:00:00"/>
    <x v="1"/>
    <x v="10"/>
    <x v="1"/>
    <x v="18"/>
    <x v="5"/>
    <x v="5"/>
    <x v="96"/>
    <x v="0"/>
    <x v="18"/>
    <x v="9"/>
    <x v="6"/>
    <n v="1626.08"/>
  </r>
  <r>
    <d v="2024-11-28T00:00:00"/>
    <x v="1"/>
    <x v="10"/>
    <x v="0"/>
    <x v="1"/>
    <x v="7"/>
    <x v="7"/>
    <x v="89"/>
    <x v="0"/>
    <x v="12"/>
    <x v="9"/>
    <x v="6"/>
    <n v="3026.71"/>
  </r>
  <r>
    <d v="2024-11-29T00:00:00"/>
    <x v="1"/>
    <x v="10"/>
    <x v="1"/>
    <x v="31"/>
    <x v="2"/>
    <x v="2"/>
    <x v="0"/>
    <x v="0"/>
    <x v="11"/>
    <x v="4"/>
    <x v="7"/>
    <n v="17.97"/>
  </r>
  <r>
    <d v="2024-11-29T00:00:00"/>
    <x v="1"/>
    <x v="10"/>
    <x v="1"/>
    <x v="29"/>
    <x v="6"/>
    <x v="6"/>
    <x v="35"/>
    <x v="0"/>
    <x v="14"/>
    <x v="5"/>
    <x v="8"/>
    <n v="84.16"/>
  </r>
  <r>
    <d v="2024-11-29T00:00:00"/>
    <x v="1"/>
    <x v="10"/>
    <x v="0"/>
    <x v="62"/>
    <x v="6"/>
    <x v="6"/>
    <x v="50"/>
    <x v="0"/>
    <x v="13"/>
    <x v="4"/>
    <x v="7"/>
    <n v="113.89"/>
  </r>
  <r>
    <d v="2024-11-29T00:00:00"/>
    <x v="1"/>
    <x v="10"/>
    <x v="0"/>
    <x v="94"/>
    <x v="6"/>
    <x v="6"/>
    <x v="48"/>
    <x v="0"/>
    <x v="13"/>
    <x v="3"/>
    <x v="1"/>
    <n v="207.62"/>
  </r>
  <r>
    <d v="2024-11-29T00:00:00"/>
    <x v="1"/>
    <x v="10"/>
    <x v="0"/>
    <x v="12"/>
    <x v="1"/>
    <x v="1"/>
    <x v="26"/>
    <x v="0"/>
    <x v="8"/>
    <x v="4"/>
    <x v="7"/>
    <n v="301.13"/>
  </r>
  <r>
    <d v="2024-11-29T00:00:00"/>
    <x v="1"/>
    <x v="10"/>
    <x v="1"/>
    <x v="72"/>
    <x v="1"/>
    <x v="1"/>
    <x v="24"/>
    <x v="0"/>
    <x v="8"/>
    <x v="4"/>
    <x v="7"/>
    <n v="1135.11"/>
  </r>
  <r>
    <d v="2024-11-29T00:00:00"/>
    <x v="1"/>
    <x v="10"/>
    <x v="1"/>
    <x v="94"/>
    <x v="6"/>
    <x v="6"/>
    <x v="48"/>
    <x v="0"/>
    <x v="13"/>
    <x v="6"/>
    <x v="4"/>
    <n v="1352.06"/>
  </r>
  <r>
    <d v="2024-11-30T00:00:00"/>
    <x v="1"/>
    <x v="10"/>
    <x v="1"/>
    <x v="3"/>
    <x v="2"/>
    <x v="2"/>
    <x v="1"/>
    <x v="0"/>
    <x v="11"/>
    <x v="5"/>
    <x v="8"/>
    <n v="20.87"/>
  </r>
  <r>
    <d v="2024-11-30T00:00:00"/>
    <x v="1"/>
    <x v="10"/>
    <x v="0"/>
    <x v="70"/>
    <x v="6"/>
    <x v="6"/>
    <x v="33"/>
    <x v="0"/>
    <x v="14"/>
    <x v="3"/>
    <x v="1"/>
    <n v="183.33"/>
  </r>
  <r>
    <d v="2024-11-30T00:00:00"/>
    <x v="1"/>
    <x v="10"/>
    <x v="0"/>
    <x v="5"/>
    <x v="1"/>
    <x v="1"/>
    <x v="14"/>
    <x v="0"/>
    <x v="4"/>
    <x v="1"/>
    <x v="0"/>
    <n v="721.02"/>
  </r>
  <r>
    <d v="2024-11-30T00:00:00"/>
    <x v="1"/>
    <x v="10"/>
    <x v="0"/>
    <x v="2"/>
    <x v="1"/>
    <x v="1"/>
    <x v="2"/>
    <x v="0"/>
    <x v="6"/>
    <x v="3"/>
    <x v="1"/>
    <n v="1254.36"/>
  </r>
  <r>
    <d v="2024-11-30T00:00:00"/>
    <x v="1"/>
    <x v="10"/>
    <x v="1"/>
    <x v="87"/>
    <x v="3"/>
    <x v="3"/>
    <x v="52"/>
    <x v="0"/>
    <x v="19"/>
    <x v="2"/>
    <x v="2"/>
    <n v="2653.07"/>
  </r>
  <r>
    <d v="2024-12-01T00:00:00"/>
    <x v="1"/>
    <x v="11"/>
    <x v="1"/>
    <x v="92"/>
    <x v="6"/>
    <x v="6"/>
    <x v="40"/>
    <x v="0"/>
    <x v="7"/>
    <x v="6"/>
    <x v="4"/>
    <n v="25.0"/>
  </r>
  <r>
    <d v="2024-12-01T00:00:00"/>
    <x v="1"/>
    <x v="11"/>
    <x v="1"/>
    <x v="25"/>
    <x v="1"/>
    <x v="1"/>
    <x v="6"/>
    <x v="0"/>
    <x v="6"/>
    <x v="0"/>
    <x v="9"/>
    <n v="39.95"/>
  </r>
  <r>
    <d v="2024-12-01T00:00:00"/>
    <x v="1"/>
    <x v="11"/>
    <x v="0"/>
    <x v="64"/>
    <x v="3"/>
    <x v="3"/>
    <x v="70"/>
    <x v="0"/>
    <x v="3"/>
    <x v="1"/>
    <x v="0"/>
    <n v="57.94"/>
  </r>
  <r>
    <d v="2024-12-01T00:00:00"/>
    <x v="1"/>
    <x v="11"/>
    <x v="0"/>
    <x v="96"/>
    <x v="3"/>
    <x v="3"/>
    <x v="67"/>
    <x v="0"/>
    <x v="1"/>
    <x v="1"/>
    <x v="0"/>
    <n v="64.95"/>
  </r>
  <r>
    <d v="2024-12-01T00:00:00"/>
    <x v="1"/>
    <x v="11"/>
    <x v="1"/>
    <x v="18"/>
    <x v="5"/>
    <x v="5"/>
    <x v="96"/>
    <x v="0"/>
    <x v="18"/>
    <x v="5"/>
    <x v="8"/>
    <n v="350.41"/>
  </r>
  <r>
    <d v="2024-12-01T00:00:00"/>
    <x v="1"/>
    <x v="11"/>
    <x v="1"/>
    <x v="5"/>
    <x v="1"/>
    <x v="1"/>
    <x v="14"/>
    <x v="0"/>
    <x v="4"/>
    <x v="8"/>
    <x v="5"/>
    <n v="398.57"/>
  </r>
  <r>
    <d v="2024-12-01T00:00:00"/>
    <x v="1"/>
    <x v="11"/>
    <x v="1"/>
    <x v="72"/>
    <x v="1"/>
    <x v="1"/>
    <x v="24"/>
    <x v="0"/>
    <x v="8"/>
    <x v="2"/>
    <x v="2"/>
    <n v="990.4"/>
  </r>
  <r>
    <d v="2024-12-02T00:00:00"/>
    <x v="1"/>
    <x v="11"/>
    <x v="1"/>
    <x v="66"/>
    <x v="4"/>
    <x v="4"/>
    <x v="76"/>
    <x v="0"/>
    <x v="15"/>
    <x v="1"/>
    <x v="0"/>
    <n v="10.0"/>
  </r>
  <r>
    <d v="2024-12-02T00:00:00"/>
    <x v="1"/>
    <x v="11"/>
    <x v="0"/>
    <x v="28"/>
    <x v="6"/>
    <x v="6"/>
    <x v="51"/>
    <x v="0"/>
    <x v="13"/>
    <x v="1"/>
    <x v="0"/>
    <n v="29.5"/>
  </r>
  <r>
    <d v="2024-12-02T00:00:00"/>
    <x v="1"/>
    <x v="11"/>
    <x v="1"/>
    <x v="73"/>
    <x v="4"/>
    <x v="4"/>
    <x v="80"/>
    <x v="0"/>
    <x v="0"/>
    <x v="1"/>
    <x v="0"/>
    <n v="46.5"/>
  </r>
  <r>
    <d v="2024-12-02T00:00:00"/>
    <x v="1"/>
    <x v="11"/>
    <x v="1"/>
    <x v="27"/>
    <x v="6"/>
    <x v="6"/>
    <x v="31"/>
    <x v="0"/>
    <x v="2"/>
    <x v="0"/>
    <x v="9"/>
    <n v="97.81"/>
  </r>
  <r>
    <d v="2024-12-02T00:00:00"/>
    <x v="1"/>
    <x v="11"/>
    <x v="0"/>
    <x v="36"/>
    <x v="7"/>
    <x v="7"/>
    <x v="90"/>
    <x v="0"/>
    <x v="9"/>
    <x v="3"/>
    <x v="1"/>
    <n v="236.79"/>
  </r>
  <r>
    <d v="2024-12-02T00:00:00"/>
    <x v="1"/>
    <x v="11"/>
    <x v="1"/>
    <x v="7"/>
    <x v="1"/>
    <x v="1"/>
    <x v="10"/>
    <x v="0"/>
    <x v="10"/>
    <x v="5"/>
    <x v="8"/>
    <n v="363.16"/>
  </r>
  <r>
    <d v="2024-12-02T00:00:00"/>
    <x v="1"/>
    <x v="11"/>
    <x v="1"/>
    <x v="27"/>
    <x v="6"/>
    <x v="6"/>
    <x v="31"/>
    <x v="0"/>
    <x v="2"/>
    <x v="5"/>
    <x v="8"/>
    <n v="4645.92"/>
  </r>
  <r>
    <d v="2024-12-03T00:00:00"/>
    <x v="1"/>
    <x v="11"/>
    <x v="1"/>
    <x v="11"/>
    <x v="1"/>
    <x v="1"/>
    <x v="15"/>
    <x v="0"/>
    <x v="4"/>
    <x v="6"/>
    <x v="4"/>
    <n v="1.0"/>
  </r>
  <r>
    <d v="2024-12-03T00:00:00"/>
    <x v="1"/>
    <x v="11"/>
    <x v="0"/>
    <x v="80"/>
    <x v="6"/>
    <x v="6"/>
    <x v="38"/>
    <x v="0"/>
    <x v="14"/>
    <x v="5"/>
    <x v="8"/>
    <n v="29.98"/>
  </r>
  <r>
    <d v="2024-12-03T00:00:00"/>
    <x v="1"/>
    <x v="11"/>
    <x v="1"/>
    <x v="53"/>
    <x v="1"/>
    <x v="1"/>
    <x v="16"/>
    <x v="0"/>
    <x v="4"/>
    <x v="3"/>
    <x v="1"/>
    <n v="104.73"/>
  </r>
  <r>
    <d v="2024-12-03T00:00:00"/>
    <x v="1"/>
    <x v="11"/>
    <x v="1"/>
    <x v="79"/>
    <x v="1"/>
    <x v="1"/>
    <x v="8"/>
    <x v="0"/>
    <x v="10"/>
    <x v="1"/>
    <x v="0"/>
    <n v="160.08"/>
  </r>
  <r>
    <d v="2024-12-03T00:00:00"/>
    <x v="1"/>
    <x v="11"/>
    <x v="0"/>
    <x v="32"/>
    <x v="1"/>
    <x v="1"/>
    <x v="28"/>
    <x v="0"/>
    <x v="8"/>
    <x v="8"/>
    <x v="5"/>
    <n v="196.49"/>
  </r>
  <r>
    <d v="2024-12-04T00:00:00"/>
    <x v="1"/>
    <x v="11"/>
    <x v="0"/>
    <x v="91"/>
    <x v="1"/>
    <x v="1"/>
    <x v="23"/>
    <x v="0"/>
    <x v="8"/>
    <x v="6"/>
    <x v="4"/>
    <n v="16.45"/>
  </r>
  <r>
    <d v="2024-12-04T00:00:00"/>
    <x v="1"/>
    <x v="11"/>
    <x v="0"/>
    <x v="56"/>
    <x v="7"/>
    <x v="7"/>
    <x v="86"/>
    <x v="0"/>
    <x v="12"/>
    <x v="9"/>
    <x v="6"/>
    <n v="278.97"/>
  </r>
  <r>
    <d v="2024-12-04T00:00:00"/>
    <x v="1"/>
    <x v="11"/>
    <x v="1"/>
    <x v="5"/>
    <x v="1"/>
    <x v="1"/>
    <x v="14"/>
    <x v="0"/>
    <x v="4"/>
    <x v="1"/>
    <x v="0"/>
    <n v="608.35"/>
  </r>
  <r>
    <d v="2024-12-05T00:00:00"/>
    <x v="1"/>
    <x v="11"/>
    <x v="1"/>
    <x v="47"/>
    <x v="3"/>
    <x v="3"/>
    <x v="54"/>
    <x v="0"/>
    <x v="19"/>
    <x v="2"/>
    <x v="2"/>
    <n v="3.0"/>
  </r>
  <r>
    <d v="2024-12-05T00:00:00"/>
    <x v="1"/>
    <x v="11"/>
    <x v="1"/>
    <x v="68"/>
    <x v="3"/>
    <x v="3"/>
    <x v="59"/>
    <x v="0"/>
    <x v="16"/>
    <x v="5"/>
    <x v="8"/>
    <n v="33.39"/>
  </r>
  <r>
    <d v="2024-12-05T00:00:00"/>
    <x v="1"/>
    <x v="11"/>
    <x v="1"/>
    <x v="32"/>
    <x v="1"/>
    <x v="1"/>
    <x v="28"/>
    <x v="0"/>
    <x v="8"/>
    <x v="3"/>
    <x v="1"/>
    <n v="2169.37"/>
  </r>
  <r>
    <d v="2024-12-06T00:00:00"/>
    <x v="1"/>
    <x v="11"/>
    <x v="1"/>
    <x v="22"/>
    <x v="1"/>
    <x v="1"/>
    <x v="20"/>
    <x v="0"/>
    <x v="5"/>
    <x v="1"/>
    <x v="0"/>
    <n v="16.5"/>
  </r>
  <r>
    <d v="2024-12-06T00:00:00"/>
    <x v="1"/>
    <x v="11"/>
    <x v="1"/>
    <x v="2"/>
    <x v="1"/>
    <x v="1"/>
    <x v="2"/>
    <x v="0"/>
    <x v="6"/>
    <x v="1"/>
    <x v="0"/>
    <n v="26.81"/>
  </r>
  <r>
    <d v="2024-12-06T00:00:00"/>
    <x v="1"/>
    <x v="11"/>
    <x v="0"/>
    <x v="48"/>
    <x v="7"/>
    <x v="7"/>
    <x v="85"/>
    <x v="0"/>
    <x v="20"/>
    <x v="5"/>
    <x v="8"/>
    <n v="45.92"/>
  </r>
  <r>
    <d v="2024-12-06T00:00:00"/>
    <x v="1"/>
    <x v="11"/>
    <x v="0"/>
    <x v="84"/>
    <x v="3"/>
    <x v="3"/>
    <x v="53"/>
    <x v="0"/>
    <x v="19"/>
    <x v="1"/>
    <x v="0"/>
    <n v="47.94"/>
  </r>
  <r>
    <d v="2024-12-06T00:00:00"/>
    <x v="1"/>
    <x v="11"/>
    <x v="1"/>
    <x v="87"/>
    <x v="3"/>
    <x v="3"/>
    <x v="52"/>
    <x v="0"/>
    <x v="19"/>
    <x v="8"/>
    <x v="5"/>
    <n v="77.35"/>
  </r>
  <r>
    <d v="2024-12-06T00:00:00"/>
    <x v="1"/>
    <x v="11"/>
    <x v="0"/>
    <x v="92"/>
    <x v="6"/>
    <x v="6"/>
    <x v="40"/>
    <x v="0"/>
    <x v="7"/>
    <x v="2"/>
    <x v="2"/>
    <n v="119.8"/>
  </r>
  <r>
    <d v="2024-12-06T00:00:00"/>
    <x v="1"/>
    <x v="11"/>
    <x v="1"/>
    <x v="68"/>
    <x v="3"/>
    <x v="3"/>
    <x v="59"/>
    <x v="0"/>
    <x v="16"/>
    <x v="6"/>
    <x v="4"/>
    <n v="238.78"/>
  </r>
  <r>
    <d v="2024-12-06T00:00:00"/>
    <x v="1"/>
    <x v="11"/>
    <x v="1"/>
    <x v="42"/>
    <x v="3"/>
    <x v="3"/>
    <x v="63"/>
    <x v="0"/>
    <x v="17"/>
    <x v="1"/>
    <x v="0"/>
    <n v="339.24"/>
  </r>
  <r>
    <d v="2024-12-06T00:00:00"/>
    <x v="1"/>
    <x v="11"/>
    <x v="0"/>
    <x v="1"/>
    <x v="7"/>
    <x v="7"/>
    <x v="89"/>
    <x v="0"/>
    <x v="12"/>
    <x v="3"/>
    <x v="1"/>
    <n v="2604.84"/>
  </r>
  <r>
    <d v="2024-12-07T00:00:00"/>
    <x v="1"/>
    <x v="11"/>
    <x v="1"/>
    <x v="24"/>
    <x v="6"/>
    <x v="6"/>
    <x v="36"/>
    <x v="0"/>
    <x v="14"/>
    <x v="2"/>
    <x v="2"/>
    <n v="2.0"/>
  </r>
  <r>
    <d v="2024-12-07T00:00:00"/>
    <x v="1"/>
    <x v="11"/>
    <x v="1"/>
    <x v="8"/>
    <x v="3"/>
    <x v="3"/>
    <x v="72"/>
    <x v="0"/>
    <x v="3"/>
    <x v="5"/>
    <x v="8"/>
    <n v="19.99"/>
  </r>
  <r>
    <d v="2024-12-07T00:00:00"/>
    <x v="1"/>
    <x v="11"/>
    <x v="0"/>
    <x v="22"/>
    <x v="1"/>
    <x v="1"/>
    <x v="20"/>
    <x v="0"/>
    <x v="5"/>
    <x v="6"/>
    <x v="4"/>
    <n v="65.93"/>
  </r>
  <r>
    <d v="2024-12-07T00:00:00"/>
    <x v="1"/>
    <x v="11"/>
    <x v="0"/>
    <x v="44"/>
    <x v="6"/>
    <x v="6"/>
    <x v="49"/>
    <x v="0"/>
    <x v="13"/>
    <x v="2"/>
    <x v="2"/>
    <n v="98.9"/>
  </r>
  <r>
    <d v="2024-12-07T00:00:00"/>
    <x v="1"/>
    <x v="11"/>
    <x v="1"/>
    <x v="47"/>
    <x v="3"/>
    <x v="3"/>
    <x v="54"/>
    <x v="0"/>
    <x v="19"/>
    <x v="4"/>
    <x v="7"/>
    <n v="168.66"/>
  </r>
  <r>
    <d v="2024-12-07T00:00:00"/>
    <x v="1"/>
    <x v="11"/>
    <x v="1"/>
    <x v="59"/>
    <x v="1"/>
    <x v="1"/>
    <x v="3"/>
    <x v="0"/>
    <x v="6"/>
    <x v="3"/>
    <x v="1"/>
    <n v="1252.62"/>
  </r>
  <r>
    <d v="2024-12-08T00:00:00"/>
    <x v="1"/>
    <x v="11"/>
    <x v="1"/>
    <x v="54"/>
    <x v="1"/>
    <x v="1"/>
    <x v="25"/>
    <x v="0"/>
    <x v="8"/>
    <x v="6"/>
    <x v="4"/>
    <n v="1.0"/>
  </r>
  <r>
    <d v="2024-12-08T00:00:00"/>
    <x v="1"/>
    <x v="11"/>
    <x v="0"/>
    <x v="9"/>
    <x v="7"/>
    <x v="7"/>
    <x v="82"/>
    <x v="0"/>
    <x v="20"/>
    <x v="5"/>
    <x v="8"/>
    <n v="58.46"/>
  </r>
  <r>
    <d v="2024-12-08T00:00:00"/>
    <x v="1"/>
    <x v="11"/>
    <x v="0"/>
    <x v="62"/>
    <x v="6"/>
    <x v="6"/>
    <x v="50"/>
    <x v="0"/>
    <x v="13"/>
    <x v="5"/>
    <x v="8"/>
    <n v="98.13"/>
  </r>
  <r>
    <d v="2024-12-08T00:00:00"/>
    <x v="1"/>
    <x v="11"/>
    <x v="1"/>
    <x v="59"/>
    <x v="1"/>
    <x v="1"/>
    <x v="3"/>
    <x v="0"/>
    <x v="6"/>
    <x v="4"/>
    <x v="7"/>
    <n v="250.46"/>
  </r>
  <r>
    <d v="2024-12-08T00:00:00"/>
    <x v="1"/>
    <x v="11"/>
    <x v="0"/>
    <x v="2"/>
    <x v="1"/>
    <x v="1"/>
    <x v="2"/>
    <x v="0"/>
    <x v="6"/>
    <x v="6"/>
    <x v="4"/>
    <n v="10021.37"/>
  </r>
  <r>
    <d v="2024-12-09T00:00:00"/>
    <x v="1"/>
    <x v="11"/>
    <x v="1"/>
    <x v="5"/>
    <x v="1"/>
    <x v="1"/>
    <x v="14"/>
    <x v="0"/>
    <x v="4"/>
    <x v="2"/>
    <x v="2"/>
    <n v="5.1"/>
  </r>
  <r>
    <d v="2024-12-09T00:00:00"/>
    <x v="1"/>
    <x v="11"/>
    <x v="0"/>
    <x v="70"/>
    <x v="6"/>
    <x v="6"/>
    <x v="33"/>
    <x v="0"/>
    <x v="14"/>
    <x v="8"/>
    <x v="5"/>
    <n v="65.88"/>
  </r>
  <r>
    <d v="2024-12-09T00:00:00"/>
    <x v="1"/>
    <x v="11"/>
    <x v="1"/>
    <x v="14"/>
    <x v="6"/>
    <x v="6"/>
    <x v="45"/>
    <x v="0"/>
    <x v="7"/>
    <x v="3"/>
    <x v="1"/>
    <n v="4402.3"/>
  </r>
  <r>
    <d v="2024-12-10T00:00:00"/>
    <x v="1"/>
    <x v="11"/>
    <x v="1"/>
    <x v="25"/>
    <x v="1"/>
    <x v="1"/>
    <x v="6"/>
    <x v="0"/>
    <x v="6"/>
    <x v="0"/>
    <x v="9"/>
    <n v="43.64"/>
  </r>
  <r>
    <d v="2024-12-10T00:00:00"/>
    <x v="1"/>
    <x v="11"/>
    <x v="1"/>
    <x v="0"/>
    <x v="3"/>
    <x v="3"/>
    <x v="69"/>
    <x v="0"/>
    <x v="3"/>
    <x v="2"/>
    <x v="2"/>
    <n v="46.96"/>
  </r>
  <r>
    <d v="2024-12-10T00:00:00"/>
    <x v="1"/>
    <x v="11"/>
    <x v="1"/>
    <x v="7"/>
    <x v="1"/>
    <x v="1"/>
    <x v="10"/>
    <x v="0"/>
    <x v="10"/>
    <x v="0"/>
    <x v="9"/>
    <n v="92.39"/>
  </r>
  <r>
    <d v="2024-12-10T00:00:00"/>
    <x v="1"/>
    <x v="11"/>
    <x v="1"/>
    <x v="16"/>
    <x v="7"/>
    <x v="7"/>
    <x v="92"/>
    <x v="0"/>
    <x v="9"/>
    <x v="4"/>
    <x v="7"/>
    <n v="194.63"/>
  </r>
  <r>
    <d v="2024-12-10T00:00:00"/>
    <x v="1"/>
    <x v="11"/>
    <x v="1"/>
    <x v="29"/>
    <x v="6"/>
    <x v="6"/>
    <x v="35"/>
    <x v="0"/>
    <x v="14"/>
    <x v="0"/>
    <x v="9"/>
    <n v="237.59"/>
  </r>
  <r>
    <d v="2024-12-10T00:00:00"/>
    <x v="1"/>
    <x v="11"/>
    <x v="1"/>
    <x v="78"/>
    <x v="5"/>
    <x v="5"/>
    <x v="94"/>
    <x v="0"/>
    <x v="18"/>
    <x v="2"/>
    <x v="2"/>
    <n v="401.71"/>
  </r>
  <r>
    <d v="2024-12-11T00:00:00"/>
    <x v="1"/>
    <x v="11"/>
    <x v="1"/>
    <x v="54"/>
    <x v="1"/>
    <x v="1"/>
    <x v="25"/>
    <x v="0"/>
    <x v="8"/>
    <x v="3"/>
    <x v="1"/>
    <n v="7.0"/>
  </r>
  <r>
    <d v="2024-12-11T00:00:00"/>
    <x v="1"/>
    <x v="11"/>
    <x v="0"/>
    <x v="90"/>
    <x v="3"/>
    <x v="3"/>
    <x v="55"/>
    <x v="0"/>
    <x v="19"/>
    <x v="3"/>
    <x v="1"/>
    <n v="27.97"/>
  </r>
  <r>
    <d v="2024-12-11T00:00:00"/>
    <x v="1"/>
    <x v="11"/>
    <x v="0"/>
    <x v="20"/>
    <x v="3"/>
    <x v="3"/>
    <x v="71"/>
    <x v="0"/>
    <x v="3"/>
    <x v="2"/>
    <x v="2"/>
    <n v="215.89"/>
  </r>
  <r>
    <d v="2024-12-11T00:00:00"/>
    <x v="1"/>
    <x v="11"/>
    <x v="0"/>
    <x v="23"/>
    <x v="1"/>
    <x v="1"/>
    <x v="12"/>
    <x v="0"/>
    <x v="10"/>
    <x v="6"/>
    <x v="4"/>
    <n v="485.62"/>
  </r>
  <r>
    <d v="2024-12-11T00:00:00"/>
    <x v="1"/>
    <x v="11"/>
    <x v="1"/>
    <x v="21"/>
    <x v="3"/>
    <x v="3"/>
    <x v="60"/>
    <x v="0"/>
    <x v="17"/>
    <x v="9"/>
    <x v="6"/>
    <n v="3857.24"/>
  </r>
  <r>
    <d v="2024-12-12T00:00:00"/>
    <x v="1"/>
    <x v="11"/>
    <x v="0"/>
    <x v="16"/>
    <x v="7"/>
    <x v="7"/>
    <x v="92"/>
    <x v="0"/>
    <x v="9"/>
    <x v="3"/>
    <x v="1"/>
    <n v="10.98"/>
  </r>
  <r>
    <d v="2024-12-12T00:00:00"/>
    <x v="1"/>
    <x v="11"/>
    <x v="1"/>
    <x v="95"/>
    <x v="4"/>
    <x v="4"/>
    <x v="73"/>
    <x v="0"/>
    <x v="15"/>
    <x v="5"/>
    <x v="8"/>
    <n v="85.86"/>
  </r>
  <r>
    <d v="2024-12-12T00:00:00"/>
    <x v="1"/>
    <x v="11"/>
    <x v="0"/>
    <x v="90"/>
    <x v="3"/>
    <x v="3"/>
    <x v="55"/>
    <x v="0"/>
    <x v="19"/>
    <x v="0"/>
    <x v="9"/>
    <n v="228.73"/>
  </r>
  <r>
    <d v="2024-12-12T00:00:00"/>
    <x v="1"/>
    <x v="11"/>
    <x v="0"/>
    <x v="88"/>
    <x v="1"/>
    <x v="1"/>
    <x v="17"/>
    <x v="0"/>
    <x v="4"/>
    <x v="3"/>
    <x v="1"/>
    <n v="367.46"/>
  </r>
  <r>
    <d v="2024-12-12T00:00:00"/>
    <x v="1"/>
    <x v="11"/>
    <x v="0"/>
    <x v="31"/>
    <x v="2"/>
    <x v="2"/>
    <x v="0"/>
    <x v="0"/>
    <x v="11"/>
    <x v="5"/>
    <x v="8"/>
    <n v="605.63"/>
  </r>
  <r>
    <d v="2024-12-12T00:00:00"/>
    <x v="1"/>
    <x v="11"/>
    <x v="1"/>
    <x v="78"/>
    <x v="5"/>
    <x v="5"/>
    <x v="94"/>
    <x v="0"/>
    <x v="18"/>
    <x v="6"/>
    <x v="4"/>
    <n v="625.03"/>
  </r>
  <r>
    <d v="2024-12-12T00:00:00"/>
    <x v="1"/>
    <x v="11"/>
    <x v="1"/>
    <x v="71"/>
    <x v="1"/>
    <x v="1"/>
    <x v="27"/>
    <x v="0"/>
    <x v="8"/>
    <x v="5"/>
    <x v="8"/>
    <n v="2593.02"/>
  </r>
  <r>
    <d v="2024-12-13T00:00:00"/>
    <x v="1"/>
    <x v="11"/>
    <x v="1"/>
    <x v="50"/>
    <x v="7"/>
    <x v="7"/>
    <x v="83"/>
    <x v="0"/>
    <x v="20"/>
    <x v="1"/>
    <x v="0"/>
    <n v="10.0"/>
  </r>
  <r>
    <d v="2024-12-13T00:00:00"/>
    <x v="1"/>
    <x v="11"/>
    <x v="1"/>
    <x v="67"/>
    <x v="3"/>
    <x v="3"/>
    <x v="62"/>
    <x v="0"/>
    <x v="17"/>
    <x v="1"/>
    <x v="0"/>
    <n v="31.5"/>
  </r>
  <r>
    <d v="2024-12-14T00:00:00"/>
    <x v="1"/>
    <x v="11"/>
    <x v="0"/>
    <x v="68"/>
    <x v="3"/>
    <x v="3"/>
    <x v="59"/>
    <x v="0"/>
    <x v="16"/>
    <x v="7"/>
    <x v="3"/>
    <n v="26.41"/>
  </r>
  <r>
    <d v="2024-12-14T00:00:00"/>
    <x v="1"/>
    <x v="11"/>
    <x v="1"/>
    <x v="62"/>
    <x v="6"/>
    <x v="6"/>
    <x v="50"/>
    <x v="0"/>
    <x v="13"/>
    <x v="6"/>
    <x v="4"/>
    <n v="882.53"/>
  </r>
  <r>
    <d v="2024-12-15T00:00:00"/>
    <x v="1"/>
    <x v="11"/>
    <x v="0"/>
    <x v="35"/>
    <x v="6"/>
    <x v="6"/>
    <x v="46"/>
    <x v="0"/>
    <x v="7"/>
    <x v="4"/>
    <x v="7"/>
    <n v="2.0"/>
  </r>
  <r>
    <d v="2024-12-15T00:00:00"/>
    <x v="1"/>
    <x v="11"/>
    <x v="1"/>
    <x v="61"/>
    <x v="7"/>
    <x v="7"/>
    <x v="84"/>
    <x v="0"/>
    <x v="20"/>
    <x v="1"/>
    <x v="0"/>
    <n v="15.5"/>
  </r>
  <r>
    <d v="2024-12-15T00:00:00"/>
    <x v="1"/>
    <x v="11"/>
    <x v="0"/>
    <x v="61"/>
    <x v="7"/>
    <x v="7"/>
    <x v="84"/>
    <x v="0"/>
    <x v="20"/>
    <x v="3"/>
    <x v="1"/>
    <n v="32.46"/>
  </r>
  <r>
    <d v="2024-12-15T00:00:00"/>
    <x v="1"/>
    <x v="11"/>
    <x v="1"/>
    <x v="53"/>
    <x v="1"/>
    <x v="1"/>
    <x v="16"/>
    <x v="0"/>
    <x v="4"/>
    <x v="2"/>
    <x v="2"/>
    <n v="60.2"/>
  </r>
  <r>
    <d v="2024-12-15T00:00:00"/>
    <x v="1"/>
    <x v="11"/>
    <x v="1"/>
    <x v="17"/>
    <x v="3"/>
    <x v="3"/>
    <x v="57"/>
    <x v="0"/>
    <x v="16"/>
    <x v="5"/>
    <x v="8"/>
    <n v="93.85"/>
  </r>
  <r>
    <d v="2024-12-15T00:00:00"/>
    <x v="1"/>
    <x v="11"/>
    <x v="1"/>
    <x v="47"/>
    <x v="3"/>
    <x v="3"/>
    <x v="54"/>
    <x v="0"/>
    <x v="19"/>
    <x v="0"/>
    <x v="9"/>
    <n v="261.46"/>
  </r>
  <r>
    <d v="2024-12-15T00:00:00"/>
    <x v="1"/>
    <x v="11"/>
    <x v="1"/>
    <x v="67"/>
    <x v="3"/>
    <x v="3"/>
    <x v="62"/>
    <x v="0"/>
    <x v="17"/>
    <x v="3"/>
    <x v="1"/>
    <n v="279.74"/>
  </r>
  <r>
    <d v="2024-12-15T00:00:00"/>
    <x v="1"/>
    <x v="11"/>
    <x v="1"/>
    <x v="43"/>
    <x v="7"/>
    <x v="7"/>
    <x v="87"/>
    <x v="0"/>
    <x v="12"/>
    <x v="9"/>
    <x v="6"/>
    <n v="430.81"/>
  </r>
  <r>
    <d v="2024-12-15T00:00:00"/>
    <x v="1"/>
    <x v="11"/>
    <x v="1"/>
    <x v="13"/>
    <x v="0"/>
    <x v="0"/>
    <x v="22"/>
    <x v="0"/>
    <x v="5"/>
    <x v="2"/>
    <x v="2"/>
    <n v="747.34"/>
  </r>
  <r>
    <d v="2024-12-16T00:00:00"/>
    <x v="1"/>
    <x v="11"/>
    <x v="1"/>
    <x v="58"/>
    <x v="3"/>
    <x v="3"/>
    <x v="61"/>
    <x v="0"/>
    <x v="17"/>
    <x v="1"/>
    <x v="0"/>
    <n v="25.19"/>
  </r>
  <r>
    <d v="2024-12-16T00:00:00"/>
    <x v="1"/>
    <x v="11"/>
    <x v="1"/>
    <x v="89"/>
    <x v="1"/>
    <x v="1"/>
    <x v="18"/>
    <x v="0"/>
    <x v="5"/>
    <x v="1"/>
    <x v="0"/>
    <n v="50.0"/>
  </r>
  <r>
    <d v="2024-12-16T00:00:00"/>
    <x v="1"/>
    <x v="11"/>
    <x v="0"/>
    <x v="85"/>
    <x v="6"/>
    <x v="6"/>
    <x v="43"/>
    <x v="0"/>
    <x v="7"/>
    <x v="2"/>
    <x v="2"/>
    <n v="51.96"/>
  </r>
  <r>
    <d v="2024-12-16T00:00:00"/>
    <x v="1"/>
    <x v="11"/>
    <x v="0"/>
    <x v="54"/>
    <x v="1"/>
    <x v="1"/>
    <x v="25"/>
    <x v="0"/>
    <x v="8"/>
    <x v="2"/>
    <x v="2"/>
    <n v="115.92"/>
  </r>
  <r>
    <d v="2024-12-17T00:00:00"/>
    <x v="1"/>
    <x v="11"/>
    <x v="1"/>
    <x v="5"/>
    <x v="1"/>
    <x v="1"/>
    <x v="14"/>
    <x v="0"/>
    <x v="4"/>
    <x v="4"/>
    <x v="7"/>
    <n v="6.96"/>
  </r>
  <r>
    <d v="2024-12-17T00:00:00"/>
    <x v="1"/>
    <x v="11"/>
    <x v="1"/>
    <x v="33"/>
    <x v="1"/>
    <x v="1"/>
    <x v="13"/>
    <x v="0"/>
    <x v="10"/>
    <x v="2"/>
    <x v="2"/>
    <n v="16.0"/>
  </r>
  <r>
    <d v="2024-12-17T00:00:00"/>
    <x v="1"/>
    <x v="11"/>
    <x v="1"/>
    <x v="46"/>
    <x v="6"/>
    <x v="6"/>
    <x v="42"/>
    <x v="0"/>
    <x v="7"/>
    <x v="5"/>
    <x v="8"/>
    <n v="114.43"/>
  </r>
  <r>
    <d v="2024-12-17T00:00:00"/>
    <x v="1"/>
    <x v="11"/>
    <x v="1"/>
    <x v="82"/>
    <x v="6"/>
    <x v="6"/>
    <x v="47"/>
    <x v="0"/>
    <x v="13"/>
    <x v="8"/>
    <x v="5"/>
    <n v="131.83"/>
  </r>
  <r>
    <d v="2024-12-17T00:00:00"/>
    <x v="1"/>
    <x v="11"/>
    <x v="1"/>
    <x v="67"/>
    <x v="3"/>
    <x v="3"/>
    <x v="62"/>
    <x v="0"/>
    <x v="17"/>
    <x v="9"/>
    <x v="6"/>
    <n v="377.12"/>
  </r>
  <r>
    <d v="2024-12-17T00:00:00"/>
    <x v="1"/>
    <x v="11"/>
    <x v="0"/>
    <x v="29"/>
    <x v="6"/>
    <x v="6"/>
    <x v="35"/>
    <x v="0"/>
    <x v="14"/>
    <x v="6"/>
    <x v="4"/>
    <n v="435.35"/>
  </r>
  <r>
    <d v="2024-12-17T00:00:00"/>
    <x v="1"/>
    <x v="11"/>
    <x v="1"/>
    <x v="69"/>
    <x v="1"/>
    <x v="1"/>
    <x v="19"/>
    <x v="0"/>
    <x v="5"/>
    <x v="6"/>
    <x v="4"/>
    <n v="10174.52"/>
  </r>
  <r>
    <d v="2024-12-18T00:00:00"/>
    <x v="1"/>
    <x v="11"/>
    <x v="1"/>
    <x v="45"/>
    <x v="3"/>
    <x v="3"/>
    <x v="64"/>
    <x v="0"/>
    <x v="1"/>
    <x v="1"/>
    <x v="0"/>
    <n v="36.5"/>
  </r>
  <r>
    <d v="2024-12-18T00:00:00"/>
    <x v="1"/>
    <x v="11"/>
    <x v="1"/>
    <x v="7"/>
    <x v="1"/>
    <x v="1"/>
    <x v="10"/>
    <x v="0"/>
    <x v="10"/>
    <x v="5"/>
    <x v="8"/>
    <n v="50.36"/>
  </r>
  <r>
    <d v="2024-12-18T00:00:00"/>
    <x v="1"/>
    <x v="11"/>
    <x v="0"/>
    <x v="12"/>
    <x v="1"/>
    <x v="1"/>
    <x v="26"/>
    <x v="0"/>
    <x v="8"/>
    <x v="7"/>
    <x v="3"/>
    <n v="70.6"/>
  </r>
  <r>
    <d v="2024-12-18T00:00:00"/>
    <x v="1"/>
    <x v="11"/>
    <x v="1"/>
    <x v="73"/>
    <x v="4"/>
    <x v="4"/>
    <x v="80"/>
    <x v="0"/>
    <x v="0"/>
    <x v="2"/>
    <x v="2"/>
    <n v="777.87"/>
  </r>
  <r>
    <d v="2024-12-18T00:00:00"/>
    <x v="1"/>
    <x v="11"/>
    <x v="1"/>
    <x v="27"/>
    <x v="6"/>
    <x v="6"/>
    <x v="31"/>
    <x v="0"/>
    <x v="2"/>
    <x v="0"/>
    <x v="9"/>
    <n v="1047.31"/>
  </r>
  <r>
    <d v="2024-12-18T00:00:00"/>
    <x v="1"/>
    <x v="11"/>
    <x v="1"/>
    <x v="59"/>
    <x v="1"/>
    <x v="1"/>
    <x v="3"/>
    <x v="0"/>
    <x v="6"/>
    <x v="5"/>
    <x v="8"/>
    <n v="2210.16"/>
  </r>
  <r>
    <d v="2024-12-18T00:00:00"/>
    <x v="1"/>
    <x v="11"/>
    <x v="1"/>
    <x v="14"/>
    <x v="6"/>
    <x v="6"/>
    <x v="45"/>
    <x v="0"/>
    <x v="7"/>
    <x v="2"/>
    <x v="2"/>
    <n v="3914.42"/>
  </r>
  <r>
    <d v="2024-12-18T00:00:00"/>
    <x v="1"/>
    <x v="11"/>
    <x v="1"/>
    <x v="30"/>
    <x v="6"/>
    <x v="6"/>
    <x v="37"/>
    <x v="0"/>
    <x v="14"/>
    <x v="6"/>
    <x v="4"/>
    <n v="7339.49"/>
  </r>
  <r>
    <d v="2024-12-19T00:00:00"/>
    <x v="1"/>
    <x v="11"/>
    <x v="0"/>
    <x v="24"/>
    <x v="6"/>
    <x v="6"/>
    <x v="36"/>
    <x v="0"/>
    <x v="14"/>
    <x v="0"/>
    <x v="9"/>
    <n v="23.94"/>
  </r>
  <r>
    <d v="2024-12-19T00:00:00"/>
    <x v="1"/>
    <x v="11"/>
    <x v="0"/>
    <x v="68"/>
    <x v="3"/>
    <x v="3"/>
    <x v="59"/>
    <x v="0"/>
    <x v="16"/>
    <x v="1"/>
    <x v="0"/>
    <n v="29.39"/>
  </r>
  <r>
    <d v="2024-12-19T00:00:00"/>
    <x v="1"/>
    <x v="11"/>
    <x v="1"/>
    <x v="26"/>
    <x v="7"/>
    <x v="7"/>
    <x v="81"/>
    <x v="0"/>
    <x v="20"/>
    <x v="5"/>
    <x v="8"/>
    <n v="146.27"/>
  </r>
  <r>
    <d v="2024-12-19T00:00:00"/>
    <x v="1"/>
    <x v="11"/>
    <x v="1"/>
    <x v="76"/>
    <x v="6"/>
    <x v="6"/>
    <x v="34"/>
    <x v="0"/>
    <x v="14"/>
    <x v="1"/>
    <x v="0"/>
    <n v="259.78"/>
  </r>
  <r>
    <d v="2024-12-19T00:00:00"/>
    <x v="1"/>
    <x v="11"/>
    <x v="1"/>
    <x v="21"/>
    <x v="3"/>
    <x v="3"/>
    <x v="60"/>
    <x v="0"/>
    <x v="17"/>
    <x v="3"/>
    <x v="1"/>
    <n v="1334.17"/>
  </r>
  <r>
    <d v="2024-12-20T00:00:00"/>
    <x v="1"/>
    <x v="11"/>
    <x v="1"/>
    <x v="47"/>
    <x v="3"/>
    <x v="3"/>
    <x v="54"/>
    <x v="0"/>
    <x v="19"/>
    <x v="4"/>
    <x v="7"/>
    <n v="17.97"/>
  </r>
  <r>
    <d v="2024-12-20T00:00:00"/>
    <x v="1"/>
    <x v="11"/>
    <x v="1"/>
    <x v="49"/>
    <x v="3"/>
    <x v="3"/>
    <x v="58"/>
    <x v="0"/>
    <x v="16"/>
    <x v="4"/>
    <x v="7"/>
    <n v="36.97"/>
  </r>
  <r>
    <d v="2024-12-20T00:00:00"/>
    <x v="1"/>
    <x v="11"/>
    <x v="1"/>
    <x v="28"/>
    <x v="6"/>
    <x v="6"/>
    <x v="51"/>
    <x v="0"/>
    <x v="13"/>
    <x v="4"/>
    <x v="7"/>
    <n v="45.92"/>
  </r>
  <r>
    <d v="2024-12-20T00:00:00"/>
    <x v="1"/>
    <x v="11"/>
    <x v="0"/>
    <x v="30"/>
    <x v="6"/>
    <x v="6"/>
    <x v="37"/>
    <x v="0"/>
    <x v="14"/>
    <x v="8"/>
    <x v="5"/>
    <n v="299.24"/>
  </r>
  <r>
    <d v="2024-12-20T00:00:00"/>
    <x v="1"/>
    <x v="11"/>
    <x v="1"/>
    <x v="22"/>
    <x v="1"/>
    <x v="1"/>
    <x v="20"/>
    <x v="0"/>
    <x v="5"/>
    <x v="1"/>
    <x v="0"/>
    <n v="921.46"/>
  </r>
  <r>
    <d v="2024-12-20T00:00:00"/>
    <x v="1"/>
    <x v="11"/>
    <x v="1"/>
    <x v="95"/>
    <x v="4"/>
    <x v="4"/>
    <x v="73"/>
    <x v="0"/>
    <x v="15"/>
    <x v="3"/>
    <x v="1"/>
    <n v="1242.19"/>
  </r>
  <r>
    <d v="2024-12-21T00:00:00"/>
    <x v="1"/>
    <x v="11"/>
    <x v="1"/>
    <x v="78"/>
    <x v="5"/>
    <x v="5"/>
    <x v="94"/>
    <x v="0"/>
    <x v="18"/>
    <x v="0"/>
    <x v="9"/>
    <n v="52.95"/>
  </r>
  <r>
    <d v="2024-12-21T00:00:00"/>
    <x v="1"/>
    <x v="11"/>
    <x v="0"/>
    <x v="62"/>
    <x v="6"/>
    <x v="6"/>
    <x v="50"/>
    <x v="0"/>
    <x v="13"/>
    <x v="5"/>
    <x v="8"/>
    <n v="88.46"/>
  </r>
  <r>
    <d v="2024-12-21T00:00:00"/>
    <x v="1"/>
    <x v="11"/>
    <x v="0"/>
    <x v="30"/>
    <x v="6"/>
    <x v="6"/>
    <x v="37"/>
    <x v="0"/>
    <x v="14"/>
    <x v="6"/>
    <x v="4"/>
    <n v="213.03"/>
  </r>
  <r>
    <d v="2024-12-21T00:00:00"/>
    <x v="1"/>
    <x v="11"/>
    <x v="1"/>
    <x v="76"/>
    <x v="6"/>
    <x v="6"/>
    <x v="34"/>
    <x v="0"/>
    <x v="14"/>
    <x v="3"/>
    <x v="1"/>
    <n v="1513.91"/>
  </r>
  <r>
    <d v="2024-12-21T00:00:00"/>
    <x v="1"/>
    <x v="11"/>
    <x v="1"/>
    <x v="56"/>
    <x v="7"/>
    <x v="7"/>
    <x v="86"/>
    <x v="0"/>
    <x v="12"/>
    <x v="2"/>
    <x v="2"/>
    <n v="1726.45"/>
  </r>
  <r>
    <d v="2024-12-21T00:00:00"/>
    <x v="1"/>
    <x v="11"/>
    <x v="0"/>
    <x v="1"/>
    <x v="7"/>
    <x v="7"/>
    <x v="89"/>
    <x v="0"/>
    <x v="12"/>
    <x v="3"/>
    <x v="1"/>
    <n v="1765.1"/>
  </r>
  <r>
    <d v="2024-12-21T00:00:00"/>
    <x v="1"/>
    <x v="11"/>
    <x v="1"/>
    <x v="71"/>
    <x v="1"/>
    <x v="1"/>
    <x v="27"/>
    <x v="0"/>
    <x v="8"/>
    <x v="3"/>
    <x v="1"/>
    <n v="2576.26"/>
  </r>
  <r>
    <d v="2024-12-22T00:00:00"/>
    <x v="1"/>
    <x v="11"/>
    <x v="1"/>
    <x v="42"/>
    <x v="3"/>
    <x v="3"/>
    <x v="63"/>
    <x v="0"/>
    <x v="17"/>
    <x v="2"/>
    <x v="2"/>
    <n v="62.48"/>
  </r>
  <r>
    <d v="2024-12-22T00:00:00"/>
    <x v="1"/>
    <x v="11"/>
    <x v="1"/>
    <x v="85"/>
    <x v="6"/>
    <x v="6"/>
    <x v="43"/>
    <x v="0"/>
    <x v="7"/>
    <x v="3"/>
    <x v="1"/>
    <n v="180.83"/>
  </r>
  <r>
    <d v="2024-12-22T00:00:00"/>
    <x v="1"/>
    <x v="11"/>
    <x v="1"/>
    <x v="24"/>
    <x v="6"/>
    <x v="6"/>
    <x v="36"/>
    <x v="0"/>
    <x v="14"/>
    <x v="8"/>
    <x v="5"/>
    <n v="800.23"/>
  </r>
  <r>
    <d v="2024-12-22T00:00:00"/>
    <x v="1"/>
    <x v="11"/>
    <x v="1"/>
    <x v="58"/>
    <x v="3"/>
    <x v="3"/>
    <x v="61"/>
    <x v="0"/>
    <x v="17"/>
    <x v="7"/>
    <x v="3"/>
    <n v="1076.07"/>
  </r>
  <r>
    <d v="2024-12-22T00:00:00"/>
    <x v="1"/>
    <x v="11"/>
    <x v="0"/>
    <x v="2"/>
    <x v="1"/>
    <x v="1"/>
    <x v="2"/>
    <x v="0"/>
    <x v="6"/>
    <x v="3"/>
    <x v="1"/>
    <n v="1497.97"/>
  </r>
  <r>
    <d v="2024-12-23T00:00:00"/>
    <x v="1"/>
    <x v="11"/>
    <x v="0"/>
    <x v="62"/>
    <x v="6"/>
    <x v="6"/>
    <x v="50"/>
    <x v="0"/>
    <x v="13"/>
    <x v="1"/>
    <x v="0"/>
    <n v="6.99"/>
  </r>
  <r>
    <d v="2024-12-23T00:00:00"/>
    <x v="1"/>
    <x v="11"/>
    <x v="0"/>
    <x v="73"/>
    <x v="4"/>
    <x v="4"/>
    <x v="80"/>
    <x v="0"/>
    <x v="0"/>
    <x v="8"/>
    <x v="5"/>
    <n v="11.96"/>
  </r>
  <r>
    <d v="2024-12-23T00:00:00"/>
    <x v="1"/>
    <x v="11"/>
    <x v="0"/>
    <x v="54"/>
    <x v="1"/>
    <x v="1"/>
    <x v="25"/>
    <x v="0"/>
    <x v="8"/>
    <x v="0"/>
    <x v="9"/>
    <n v="77.87"/>
  </r>
  <r>
    <d v="2024-12-23T00:00:00"/>
    <x v="1"/>
    <x v="11"/>
    <x v="1"/>
    <x v="96"/>
    <x v="3"/>
    <x v="3"/>
    <x v="67"/>
    <x v="0"/>
    <x v="1"/>
    <x v="1"/>
    <x v="0"/>
    <n v="196.82"/>
  </r>
  <r>
    <d v="2024-12-23T00:00:00"/>
    <x v="1"/>
    <x v="11"/>
    <x v="1"/>
    <x v="82"/>
    <x v="6"/>
    <x v="6"/>
    <x v="47"/>
    <x v="0"/>
    <x v="13"/>
    <x v="6"/>
    <x v="4"/>
    <n v="1425.66"/>
  </r>
  <r>
    <d v="2024-12-23T00:00:00"/>
    <x v="1"/>
    <x v="11"/>
    <x v="1"/>
    <x v="68"/>
    <x v="3"/>
    <x v="3"/>
    <x v="59"/>
    <x v="0"/>
    <x v="16"/>
    <x v="2"/>
    <x v="2"/>
    <n v="1490.08"/>
  </r>
  <r>
    <d v="2024-12-24T00:00:00"/>
    <x v="1"/>
    <x v="11"/>
    <x v="1"/>
    <x v="62"/>
    <x v="6"/>
    <x v="6"/>
    <x v="50"/>
    <x v="0"/>
    <x v="13"/>
    <x v="6"/>
    <x v="4"/>
    <n v="3.0"/>
  </r>
  <r>
    <d v="2024-12-24T00:00:00"/>
    <x v="1"/>
    <x v="11"/>
    <x v="1"/>
    <x v="18"/>
    <x v="5"/>
    <x v="5"/>
    <x v="96"/>
    <x v="0"/>
    <x v="18"/>
    <x v="1"/>
    <x v="0"/>
    <n v="11.5"/>
  </r>
  <r>
    <d v="2024-12-24T00:00:00"/>
    <x v="1"/>
    <x v="11"/>
    <x v="0"/>
    <x v="58"/>
    <x v="3"/>
    <x v="3"/>
    <x v="61"/>
    <x v="0"/>
    <x v="17"/>
    <x v="1"/>
    <x v="0"/>
    <n v="803.27"/>
  </r>
  <r>
    <d v="2024-12-25T00:00:00"/>
    <x v="1"/>
    <x v="11"/>
    <x v="1"/>
    <x v="72"/>
    <x v="1"/>
    <x v="1"/>
    <x v="24"/>
    <x v="0"/>
    <x v="8"/>
    <x v="1"/>
    <x v="0"/>
    <n v="3.0"/>
  </r>
  <r>
    <d v="2024-12-25T00:00:00"/>
    <x v="1"/>
    <x v="11"/>
    <x v="1"/>
    <x v="45"/>
    <x v="3"/>
    <x v="3"/>
    <x v="64"/>
    <x v="0"/>
    <x v="1"/>
    <x v="3"/>
    <x v="1"/>
    <n v="10.7"/>
  </r>
  <r>
    <d v="2024-12-25T00:00:00"/>
    <x v="1"/>
    <x v="11"/>
    <x v="0"/>
    <x v="85"/>
    <x v="6"/>
    <x v="6"/>
    <x v="43"/>
    <x v="0"/>
    <x v="7"/>
    <x v="9"/>
    <x v="6"/>
    <n v="104.93"/>
  </r>
  <r>
    <d v="2024-12-25T00:00:00"/>
    <x v="1"/>
    <x v="11"/>
    <x v="1"/>
    <x v="43"/>
    <x v="7"/>
    <x v="7"/>
    <x v="87"/>
    <x v="0"/>
    <x v="12"/>
    <x v="4"/>
    <x v="7"/>
    <n v="313.83"/>
  </r>
  <r>
    <d v="2024-12-25T00:00:00"/>
    <x v="1"/>
    <x v="11"/>
    <x v="1"/>
    <x v="29"/>
    <x v="6"/>
    <x v="6"/>
    <x v="35"/>
    <x v="0"/>
    <x v="14"/>
    <x v="4"/>
    <x v="7"/>
    <n v="329.27"/>
  </r>
  <r>
    <d v="2024-12-25T00:00:00"/>
    <x v="1"/>
    <x v="11"/>
    <x v="0"/>
    <x v="10"/>
    <x v="6"/>
    <x v="6"/>
    <x v="41"/>
    <x v="0"/>
    <x v="7"/>
    <x v="1"/>
    <x v="0"/>
    <n v="380.97"/>
  </r>
  <r>
    <d v="2024-12-25T00:00:00"/>
    <x v="1"/>
    <x v="11"/>
    <x v="1"/>
    <x v="13"/>
    <x v="0"/>
    <x v="0"/>
    <x v="22"/>
    <x v="0"/>
    <x v="5"/>
    <x v="1"/>
    <x v="0"/>
    <n v="611.34"/>
  </r>
  <r>
    <d v="2024-12-25T00:00:00"/>
    <x v="1"/>
    <x v="11"/>
    <x v="1"/>
    <x v="84"/>
    <x v="3"/>
    <x v="3"/>
    <x v="53"/>
    <x v="0"/>
    <x v="19"/>
    <x v="3"/>
    <x v="1"/>
    <n v="2265.13"/>
  </r>
  <r>
    <d v="2024-12-26T00:00:00"/>
    <x v="1"/>
    <x v="11"/>
    <x v="1"/>
    <x v="40"/>
    <x v="3"/>
    <x v="3"/>
    <x v="65"/>
    <x v="0"/>
    <x v="1"/>
    <x v="1"/>
    <x v="0"/>
    <n v="18.0"/>
  </r>
  <r>
    <d v="2024-12-26T00:00:00"/>
    <x v="1"/>
    <x v="11"/>
    <x v="0"/>
    <x v="71"/>
    <x v="1"/>
    <x v="1"/>
    <x v="27"/>
    <x v="0"/>
    <x v="8"/>
    <x v="2"/>
    <x v="2"/>
    <n v="31.96"/>
  </r>
  <r>
    <d v="2024-12-26T00:00:00"/>
    <x v="1"/>
    <x v="11"/>
    <x v="1"/>
    <x v="95"/>
    <x v="4"/>
    <x v="4"/>
    <x v="73"/>
    <x v="0"/>
    <x v="15"/>
    <x v="0"/>
    <x v="9"/>
    <n v="63.46"/>
  </r>
  <r>
    <d v="2024-12-26T00:00:00"/>
    <x v="1"/>
    <x v="11"/>
    <x v="0"/>
    <x v="61"/>
    <x v="7"/>
    <x v="7"/>
    <x v="84"/>
    <x v="0"/>
    <x v="20"/>
    <x v="3"/>
    <x v="1"/>
    <n v="104.9"/>
  </r>
  <r>
    <d v="2024-12-26T00:00:00"/>
    <x v="1"/>
    <x v="11"/>
    <x v="1"/>
    <x v="8"/>
    <x v="3"/>
    <x v="3"/>
    <x v="72"/>
    <x v="0"/>
    <x v="3"/>
    <x v="5"/>
    <x v="8"/>
    <n v="368.1"/>
  </r>
  <r>
    <d v="2024-12-26T00:00:00"/>
    <x v="1"/>
    <x v="11"/>
    <x v="1"/>
    <x v="45"/>
    <x v="3"/>
    <x v="3"/>
    <x v="64"/>
    <x v="0"/>
    <x v="1"/>
    <x v="9"/>
    <x v="6"/>
    <n v="879.85"/>
  </r>
  <r>
    <d v="2024-12-26T00:00:00"/>
    <x v="1"/>
    <x v="11"/>
    <x v="1"/>
    <x v="69"/>
    <x v="1"/>
    <x v="1"/>
    <x v="19"/>
    <x v="0"/>
    <x v="5"/>
    <x v="0"/>
    <x v="9"/>
    <n v="1141.61"/>
  </r>
  <r>
    <d v="2024-12-27T00:00:00"/>
    <x v="1"/>
    <x v="11"/>
    <x v="1"/>
    <x v="42"/>
    <x v="3"/>
    <x v="3"/>
    <x v="63"/>
    <x v="0"/>
    <x v="17"/>
    <x v="2"/>
    <x v="2"/>
    <n v="8.0"/>
  </r>
  <r>
    <d v="2024-12-27T00:00:00"/>
    <x v="1"/>
    <x v="11"/>
    <x v="1"/>
    <x v="50"/>
    <x v="7"/>
    <x v="7"/>
    <x v="83"/>
    <x v="0"/>
    <x v="20"/>
    <x v="5"/>
    <x v="8"/>
    <n v="57.2"/>
  </r>
  <r>
    <d v="2024-12-27T00:00:00"/>
    <x v="1"/>
    <x v="11"/>
    <x v="0"/>
    <x v="70"/>
    <x v="6"/>
    <x v="6"/>
    <x v="33"/>
    <x v="0"/>
    <x v="14"/>
    <x v="4"/>
    <x v="7"/>
    <n v="183.61"/>
  </r>
  <r>
    <d v="2024-12-27T00:00:00"/>
    <x v="1"/>
    <x v="11"/>
    <x v="1"/>
    <x v="60"/>
    <x v="6"/>
    <x v="6"/>
    <x v="44"/>
    <x v="0"/>
    <x v="7"/>
    <x v="5"/>
    <x v="8"/>
    <n v="780.22"/>
  </r>
  <r>
    <d v="2024-12-27T00:00:00"/>
    <x v="1"/>
    <x v="11"/>
    <x v="1"/>
    <x v="30"/>
    <x v="6"/>
    <x v="6"/>
    <x v="37"/>
    <x v="0"/>
    <x v="14"/>
    <x v="3"/>
    <x v="1"/>
    <n v="2558.73"/>
  </r>
  <r>
    <d v="2024-12-27T00:00:00"/>
    <x v="1"/>
    <x v="11"/>
    <x v="0"/>
    <x v="2"/>
    <x v="1"/>
    <x v="1"/>
    <x v="2"/>
    <x v="0"/>
    <x v="6"/>
    <x v="5"/>
    <x v="8"/>
    <n v="5761.56"/>
  </r>
  <r>
    <d v="2024-12-28T00:00:00"/>
    <x v="1"/>
    <x v="11"/>
    <x v="1"/>
    <x v="45"/>
    <x v="3"/>
    <x v="3"/>
    <x v="64"/>
    <x v="0"/>
    <x v="1"/>
    <x v="1"/>
    <x v="0"/>
    <n v="16.39"/>
  </r>
  <r>
    <d v="2024-12-28T00:00:00"/>
    <x v="1"/>
    <x v="11"/>
    <x v="0"/>
    <x v="75"/>
    <x v="1"/>
    <x v="1"/>
    <x v="4"/>
    <x v="0"/>
    <x v="6"/>
    <x v="2"/>
    <x v="2"/>
    <n v="17.98"/>
  </r>
  <r>
    <d v="2024-12-28T00:00:00"/>
    <x v="1"/>
    <x v="11"/>
    <x v="1"/>
    <x v="59"/>
    <x v="1"/>
    <x v="1"/>
    <x v="3"/>
    <x v="0"/>
    <x v="6"/>
    <x v="2"/>
    <x v="2"/>
    <n v="65.89"/>
  </r>
  <r>
    <d v="2024-12-28T00:00:00"/>
    <x v="1"/>
    <x v="11"/>
    <x v="1"/>
    <x v="93"/>
    <x v="6"/>
    <x v="6"/>
    <x v="30"/>
    <x v="0"/>
    <x v="2"/>
    <x v="9"/>
    <x v="6"/>
    <n v="510.8"/>
  </r>
  <r>
    <d v="2024-12-28T00:00:00"/>
    <x v="1"/>
    <x v="11"/>
    <x v="1"/>
    <x v="74"/>
    <x v="4"/>
    <x v="4"/>
    <x v="75"/>
    <x v="0"/>
    <x v="15"/>
    <x v="4"/>
    <x v="7"/>
    <n v="628.34"/>
  </r>
  <r>
    <d v="2024-12-28T00:00:00"/>
    <x v="1"/>
    <x v="11"/>
    <x v="1"/>
    <x v="87"/>
    <x v="3"/>
    <x v="3"/>
    <x v="52"/>
    <x v="0"/>
    <x v="19"/>
    <x v="3"/>
    <x v="1"/>
    <n v="995.3"/>
  </r>
  <r>
    <d v="2024-12-28T00:00:00"/>
    <x v="1"/>
    <x v="11"/>
    <x v="1"/>
    <x v="24"/>
    <x v="6"/>
    <x v="6"/>
    <x v="36"/>
    <x v="0"/>
    <x v="14"/>
    <x v="3"/>
    <x v="1"/>
    <n v="2036.75"/>
  </r>
  <r>
    <d v="2024-12-29T00:00:00"/>
    <x v="1"/>
    <x v="11"/>
    <x v="0"/>
    <x v="24"/>
    <x v="6"/>
    <x v="6"/>
    <x v="36"/>
    <x v="0"/>
    <x v="14"/>
    <x v="2"/>
    <x v="2"/>
    <n v="21.48"/>
  </r>
  <r>
    <d v="2024-12-29T00:00:00"/>
    <x v="1"/>
    <x v="11"/>
    <x v="1"/>
    <x v="15"/>
    <x v="4"/>
    <x v="4"/>
    <x v="79"/>
    <x v="0"/>
    <x v="0"/>
    <x v="1"/>
    <x v="0"/>
    <n v="47.0"/>
  </r>
  <r>
    <d v="2024-12-29T00:00:00"/>
    <x v="1"/>
    <x v="11"/>
    <x v="0"/>
    <x v="31"/>
    <x v="2"/>
    <x v="2"/>
    <x v="0"/>
    <x v="0"/>
    <x v="11"/>
    <x v="1"/>
    <x v="0"/>
    <n v="369.8"/>
  </r>
  <r>
    <d v="2024-12-29T00:00:00"/>
    <x v="1"/>
    <x v="11"/>
    <x v="1"/>
    <x v="12"/>
    <x v="1"/>
    <x v="1"/>
    <x v="26"/>
    <x v="0"/>
    <x v="8"/>
    <x v="6"/>
    <x v="4"/>
    <n v="3864.94"/>
  </r>
  <r>
    <d v="2024-12-30T00:00:00"/>
    <x v="1"/>
    <x v="11"/>
    <x v="1"/>
    <x v="24"/>
    <x v="6"/>
    <x v="6"/>
    <x v="36"/>
    <x v="0"/>
    <x v="14"/>
    <x v="1"/>
    <x v="0"/>
    <n v="6.0"/>
  </r>
  <r>
    <d v="2024-12-30T00:00:00"/>
    <x v="1"/>
    <x v="11"/>
    <x v="1"/>
    <x v="72"/>
    <x v="1"/>
    <x v="1"/>
    <x v="24"/>
    <x v="0"/>
    <x v="8"/>
    <x v="5"/>
    <x v="8"/>
    <n v="126.67"/>
  </r>
  <r>
    <d v="2024-12-30T00:00:00"/>
    <x v="1"/>
    <x v="11"/>
    <x v="1"/>
    <x v="84"/>
    <x v="3"/>
    <x v="3"/>
    <x v="53"/>
    <x v="0"/>
    <x v="19"/>
    <x v="1"/>
    <x v="0"/>
    <n v="410.5"/>
  </r>
  <r>
    <d v="2024-12-30T00:00:00"/>
    <x v="1"/>
    <x v="11"/>
    <x v="1"/>
    <x v="78"/>
    <x v="5"/>
    <x v="5"/>
    <x v="94"/>
    <x v="0"/>
    <x v="18"/>
    <x v="5"/>
    <x v="8"/>
    <n v="459.33"/>
  </r>
  <r>
    <d v="2024-12-30T00:00:00"/>
    <x v="1"/>
    <x v="11"/>
    <x v="1"/>
    <x v="19"/>
    <x v="7"/>
    <x v="7"/>
    <x v="88"/>
    <x v="0"/>
    <x v="12"/>
    <x v="0"/>
    <x v="9"/>
    <n v="1212.09"/>
  </r>
  <r>
    <d v="2024-12-30T00:00:00"/>
    <x v="1"/>
    <x v="11"/>
    <x v="1"/>
    <x v="35"/>
    <x v="6"/>
    <x v="6"/>
    <x v="46"/>
    <x v="0"/>
    <x v="7"/>
    <x v="1"/>
    <x v="0"/>
    <n v="1317.65"/>
  </r>
  <r>
    <d v="2024-12-30T00:00:00"/>
    <x v="1"/>
    <x v="11"/>
    <x v="0"/>
    <x v="79"/>
    <x v="1"/>
    <x v="1"/>
    <x v="8"/>
    <x v="0"/>
    <x v="10"/>
    <x v="4"/>
    <x v="7"/>
    <n v="1791.03"/>
  </r>
  <r>
    <d v="2024-12-30T00:00:00"/>
    <x v="1"/>
    <x v="11"/>
    <x v="1"/>
    <x v="68"/>
    <x v="3"/>
    <x v="3"/>
    <x v="59"/>
    <x v="0"/>
    <x v="16"/>
    <x v="3"/>
    <x v="1"/>
    <n v="2028.3"/>
  </r>
  <r>
    <d v="2024-12-30T00:00:00"/>
    <x v="1"/>
    <x v="11"/>
    <x v="1"/>
    <x v="71"/>
    <x v="1"/>
    <x v="1"/>
    <x v="27"/>
    <x v="0"/>
    <x v="8"/>
    <x v="1"/>
    <x v="0"/>
    <n v="2075.2"/>
  </r>
  <r>
    <d v="2024-12-31T00:00:00"/>
    <x v="1"/>
    <x v="11"/>
    <x v="0"/>
    <x v="48"/>
    <x v="7"/>
    <x v="7"/>
    <x v="85"/>
    <x v="0"/>
    <x v="20"/>
    <x v="5"/>
    <x v="8"/>
    <n v="34.97"/>
  </r>
  <r>
    <d v="2024-12-31T00:00:00"/>
    <x v="1"/>
    <x v="11"/>
    <x v="0"/>
    <x v="74"/>
    <x v="4"/>
    <x v="4"/>
    <x v="75"/>
    <x v="0"/>
    <x v="15"/>
    <x v="0"/>
    <x v="9"/>
    <n v="139.67"/>
  </r>
  <r>
    <d v="2024-12-31T00:00:00"/>
    <x v="1"/>
    <x v="11"/>
    <x v="1"/>
    <x v="53"/>
    <x v="1"/>
    <x v="1"/>
    <x v="16"/>
    <x v="0"/>
    <x v="4"/>
    <x v="8"/>
    <x v="5"/>
    <n v="169.26"/>
  </r>
  <r>
    <d v="2024-12-31T00:00:00"/>
    <x v="1"/>
    <x v="11"/>
    <x v="0"/>
    <x v="81"/>
    <x v="4"/>
    <x v="4"/>
    <x v="77"/>
    <x v="0"/>
    <x v="15"/>
    <x v="3"/>
    <x v="1"/>
    <n v="213.92"/>
  </r>
  <r>
    <d v="2024-12-31T00:00:00"/>
    <x v="1"/>
    <x v="11"/>
    <x v="1"/>
    <x v="67"/>
    <x v="3"/>
    <x v="3"/>
    <x v="62"/>
    <x v="0"/>
    <x v="17"/>
    <x v="4"/>
    <x v="7"/>
    <n v="242.57"/>
  </r>
  <r>
    <d v="2024-12-31T00:00:00"/>
    <x v="1"/>
    <x v="11"/>
    <x v="0"/>
    <x v="41"/>
    <x v="5"/>
    <x v="5"/>
    <x v="93"/>
    <x v="0"/>
    <x v="18"/>
    <x v="0"/>
    <x v="9"/>
    <n v="410.28"/>
  </r>
  <r>
    <d v="2024-12-31T00:00:00"/>
    <x v="1"/>
    <x v="11"/>
    <x v="1"/>
    <x v="1"/>
    <x v="7"/>
    <x v="7"/>
    <x v="89"/>
    <x v="0"/>
    <x v="12"/>
    <x v="1"/>
    <x v="0"/>
    <n v="661.89"/>
  </r>
  <r>
    <d v="2024-12-31T00:00:00"/>
    <x v="1"/>
    <x v="11"/>
    <x v="1"/>
    <x v="57"/>
    <x v="4"/>
    <x v="4"/>
    <x v="74"/>
    <x v="0"/>
    <x v="15"/>
    <x v="6"/>
    <x v="4"/>
    <n v="741.28"/>
  </r>
  <r>
    <d v="2025-01-01T00:00:00"/>
    <x v="1"/>
    <x v="12"/>
    <x v="1"/>
    <x v="0"/>
    <x v="3"/>
    <x v="3"/>
    <x v="69"/>
    <x v="0"/>
    <x v="3"/>
    <x v="4"/>
    <x v="7"/>
    <n v="5.0"/>
  </r>
  <r>
    <d v="2025-01-01T00:00:00"/>
    <x v="1"/>
    <x v="12"/>
    <x v="1"/>
    <x v="45"/>
    <x v="3"/>
    <x v="3"/>
    <x v="64"/>
    <x v="0"/>
    <x v="1"/>
    <x v="1"/>
    <x v="0"/>
    <n v="40.98"/>
  </r>
  <r>
    <d v="2025-01-01T00:00:00"/>
    <x v="1"/>
    <x v="12"/>
    <x v="0"/>
    <x v="30"/>
    <x v="6"/>
    <x v="6"/>
    <x v="37"/>
    <x v="0"/>
    <x v="14"/>
    <x v="5"/>
    <x v="8"/>
    <n v="51.05"/>
  </r>
  <r>
    <d v="2025-01-01T00:00:00"/>
    <x v="1"/>
    <x v="12"/>
    <x v="0"/>
    <x v="82"/>
    <x v="6"/>
    <x v="6"/>
    <x v="47"/>
    <x v="0"/>
    <x v="13"/>
    <x v="8"/>
    <x v="5"/>
    <n v="62.84"/>
  </r>
  <r>
    <d v="2025-01-01T00:00:00"/>
    <x v="1"/>
    <x v="12"/>
    <x v="1"/>
    <x v="24"/>
    <x v="6"/>
    <x v="6"/>
    <x v="36"/>
    <x v="0"/>
    <x v="14"/>
    <x v="2"/>
    <x v="2"/>
    <n v="372.78"/>
  </r>
  <r>
    <d v="2025-01-01T00:00:00"/>
    <x v="1"/>
    <x v="12"/>
    <x v="1"/>
    <x v="85"/>
    <x v="6"/>
    <x v="6"/>
    <x v="43"/>
    <x v="0"/>
    <x v="7"/>
    <x v="9"/>
    <x v="6"/>
    <n v="1434.67"/>
  </r>
  <r>
    <d v="2025-01-01T00:00:00"/>
    <x v="1"/>
    <x v="12"/>
    <x v="1"/>
    <x v="34"/>
    <x v="6"/>
    <x v="6"/>
    <x v="32"/>
    <x v="0"/>
    <x v="2"/>
    <x v="3"/>
    <x v="1"/>
    <n v="1572.14"/>
  </r>
  <r>
    <d v="2025-01-02T00:00:00"/>
    <x v="1"/>
    <x v="12"/>
    <x v="0"/>
    <x v="47"/>
    <x v="3"/>
    <x v="3"/>
    <x v="54"/>
    <x v="0"/>
    <x v="19"/>
    <x v="0"/>
    <x v="9"/>
    <n v="30.92"/>
  </r>
  <r>
    <d v="2025-01-02T00:00:00"/>
    <x v="1"/>
    <x v="12"/>
    <x v="1"/>
    <x v="23"/>
    <x v="1"/>
    <x v="1"/>
    <x v="12"/>
    <x v="0"/>
    <x v="10"/>
    <x v="3"/>
    <x v="1"/>
    <n v="3180.58"/>
  </r>
  <r>
    <d v="2025-01-02T00:00:00"/>
    <x v="1"/>
    <x v="12"/>
    <x v="1"/>
    <x v="84"/>
    <x v="3"/>
    <x v="3"/>
    <x v="53"/>
    <x v="0"/>
    <x v="19"/>
    <x v="5"/>
    <x v="8"/>
    <n v="6066.26"/>
  </r>
  <r>
    <d v="2025-01-03T00:00:00"/>
    <x v="1"/>
    <x v="12"/>
    <x v="0"/>
    <x v="58"/>
    <x v="3"/>
    <x v="3"/>
    <x v="61"/>
    <x v="0"/>
    <x v="17"/>
    <x v="7"/>
    <x v="3"/>
    <n v="74.17"/>
  </r>
  <r>
    <d v="2025-01-04T00:00:00"/>
    <x v="1"/>
    <x v="12"/>
    <x v="1"/>
    <x v="33"/>
    <x v="1"/>
    <x v="1"/>
    <x v="13"/>
    <x v="0"/>
    <x v="10"/>
    <x v="1"/>
    <x v="0"/>
    <n v="1.0"/>
  </r>
  <r>
    <d v="2025-01-04T00:00:00"/>
    <x v="1"/>
    <x v="12"/>
    <x v="1"/>
    <x v="2"/>
    <x v="1"/>
    <x v="1"/>
    <x v="2"/>
    <x v="0"/>
    <x v="6"/>
    <x v="3"/>
    <x v="1"/>
    <n v="3.88"/>
  </r>
  <r>
    <d v="2025-01-04T00:00:00"/>
    <x v="1"/>
    <x v="12"/>
    <x v="0"/>
    <x v="20"/>
    <x v="3"/>
    <x v="3"/>
    <x v="71"/>
    <x v="0"/>
    <x v="3"/>
    <x v="9"/>
    <x v="6"/>
    <n v="137.81"/>
  </r>
  <r>
    <d v="2025-01-04T00:00:00"/>
    <x v="1"/>
    <x v="12"/>
    <x v="0"/>
    <x v="94"/>
    <x v="6"/>
    <x v="6"/>
    <x v="48"/>
    <x v="0"/>
    <x v="13"/>
    <x v="4"/>
    <x v="7"/>
    <n v="667.46"/>
  </r>
  <r>
    <d v="2025-01-04T00:00:00"/>
    <x v="1"/>
    <x v="12"/>
    <x v="1"/>
    <x v="25"/>
    <x v="1"/>
    <x v="1"/>
    <x v="6"/>
    <x v="0"/>
    <x v="6"/>
    <x v="2"/>
    <x v="2"/>
    <n v="1607.14"/>
  </r>
  <r>
    <d v="2025-01-05T00:00:00"/>
    <x v="1"/>
    <x v="12"/>
    <x v="1"/>
    <x v="29"/>
    <x v="6"/>
    <x v="6"/>
    <x v="35"/>
    <x v="0"/>
    <x v="14"/>
    <x v="2"/>
    <x v="2"/>
    <n v="12.99"/>
  </r>
  <r>
    <d v="2025-01-05T00:00:00"/>
    <x v="1"/>
    <x v="12"/>
    <x v="0"/>
    <x v="23"/>
    <x v="1"/>
    <x v="1"/>
    <x v="12"/>
    <x v="0"/>
    <x v="10"/>
    <x v="6"/>
    <x v="4"/>
    <n v="89.32"/>
  </r>
  <r>
    <d v="2025-01-05T00:00:00"/>
    <x v="1"/>
    <x v="12"/>
    <x v="1"/>
    <x v="4"/>
    <x v="6"/>
    <x v="6"/>
    <x v="29"/>
    <x v="0"/>
    <x v="2"/>
    <x v="4"/>
    <x v="7"/>
    <n v="132.66"/>
  </r>
  <r>
    <d v="2025-01-05T00:00:00"/>
    <x v="1"/>
    <x v="12"/>
    <x v="0"/>
    <x v="9"/>
    <x v="7"/>
    <x v="7"/>
    <x v="82"/>
    <x v="0"/>
    <x v="20"/>
    <x v="4"/>
    <x v="7"/>
    <n v="340.33"/>
  </r>
  <r>
    <d v="2025-01-05T00:00:00"/>
    <x v="1"/>
    <x v="12"/>
    <x v="1"/>
    <x v="85"/>
    <x v="6"/>
    <x v="6"/>
    <x v="43"/>
    <x v="0"/>
    <x v="7"/>
    <x v="1"/>
    <x v="0"/>
    <n v="603.43"/>
  </r>
  <r>
    <d v="2025-01-05T00:00:00"/>
    <x v="1"/>
    <x v="12"/>
    <x v="1"/>
    <x v="58"/>
    <x v="3"/>
    <x v="3"/>
    <x v="61"/>
    <x v="0"/>
    <x v="17"/>
    <x v="4"/>
    <x v="7"/>
    <n v="624.81"/>
  </r>
  <r>
    <d v="2025-01-05T00:00:00"/>
    <x v="1"/>
    <x v="12"/>
    <x v="0"/>
    <x v="31"/>
    <x v="2"/>
    <x v="2"/>
    <x v="0"/>
    <x v="0"/>
    <x v="11"/>
    <x v="1"/>
    <x v="0"/>
    <n v="632.67"/>
  </r>
  <r>
    <d v="2025-01-05T00:00:00"/>
    <x v="1"/>
    <x v="12"/>
    <x v="1"/>
    <x v="76"/>
    <x v="6"/>
    <x v="6"/>
    <x v="34"/>
    <x v="0"/>
    <x v="14"/>
    <x v="9"/>
    <x v="6"/>
    <n v="1254.78"/>
  </r>
  <r>
    <d v="2025-01-06T00:00:00"/>
    <x v="1"/>
    <x v="12"/>
    <x v="0"/>
    <x v="69"/>
    <x v="1"/>
    <x v="1"/>
    <x v="19"/>
    <x v="0"/>
    <x v="5"/>
    <x v="3"/>
    <x v="1"/>
    <n v="7.98"/>
  </r>
  <r>
    <d v="2025-01-06T00:00:00"/>
    <x v="1"/>
    <x v="12"/>
    <x v="0"/>
    <x v="68"/>
    <x v="3"/>
    <x v="3"/>
    <x v="59"/>
    <x v="0"/>
    <x v="16"/>
    <x v="7"/>
    <x v="3"/>
    <n v="20.18"/>
  </r>
  <r>
    <d v="2025-01-06T00:00:00"/>
    <x v="1"/>
    <x v="12"/>
    <x v="1"/>
    <x v="75"/>
    <x v="1"/>
    <x v="1"/>
    <x v="4"/>
    <x v="0"/>
    <x v="6"/>
    <x v="1"/>
    <x v="0"/>
    <n v="28.18"/>
  </r>
  <r>
    <d v="2025-01-06T00:00:00"/>
    <x v="1"/>
    <x v="12"/>
    <x v="1"/>
    <x v="6"/>
    <x v="1"/>
    <x v="1"/>
    <x v="5"/>
    <x v="0"/>
    <x v="6"/>
    <x v="9"/>
    <x v="6"/>
    <n v="39.96"/>
  </r>
  <r>
    <d v="2025-01-06T00:00:00"/>
    <x v="1"/>
    <x v="12"/>
    <x v="1"/>
    <x v="66"/>
    <x v="4"/>
    <x v="4"/>
    <x v="76"/>
    <x v="0"/>
    <x v="15"/>
    <x v="4"/>
    <x v="7"/>
    <n v="228.95"/>
  </r>
  <r>
    <d v="2025-01-06T00:00:00"/>
    <x v="1"/>
    <x v="12"/>
    <x v="1"/>
    <x v="35"/>
    <x v="6"/>
    <x v="6"/>
    <x v="46"/>
    <x v="0"/>
    <x v="7"/>
    <x v="0"/>
    <x v="9"/>
    <n v="314.67"/>
  </r>
  <r>
    <d v="2025-01-06T00:00:00"/>
    <x v="1"/>
    <x v="12"/>
    <x v="1"/>
    <x v="25"/>
    <x v="1"/>
    <x v="1"/>
    <x v="6"/>
    <x v="0"/>
    <x v="6"/>
    <x v="5"/>
    <x v="8"/>
    <n v="4192.27"/>
  </r>
  <r>
    <d v="2025-01-07T00:00:00"/>
    <x v="1"/>
    <x v="12"/>
    <x v="0"/>
    <x v="90"/>
    <x v="3"/>
    <x v="3"/>
    <x v="55"/>
    <x v="0"/>
    <x v="19"/>
    <x v="3"/>
    <x v="1"/>
    <n v="95.27"/>
  </r>
  <r>
    <d v="2025-01-07T00:00:00"/>
    <x v="1"/>
    <x v="12"/>
    <x v="1"/>
    <x v="56"/>
    <x v="7"/>
    <x v="7"/>
    <x v="86"/>
    <x v="0"/>
    <x v="12"/>
    <x v="0"/>
    <x v="9"/>
    <n v="177.19"/>
  </r>
  <r>
    <d v="2025-01-07T00:00:00"/>
    <x v="1"/>
    <x v="12"/>
    <x v="0"/>
    <x v="64"/>
    <x v="3"/>
    <x v="3"/>
    <x v="70"/>
    <x v="0"/>
    <x v="3"/>
    <x v="9"/>
    <x v="6"/>
    <n v="191.08"/>
  </r>
  <r>
    <d v="2025-01-07T00:00:00"/>
    <x v="1"/>
    <x v="12"/>
    <x v="1"/>
    <x v="5"/>
    <x v="1"/>
    <x v="1"/>
    <x v="14"/>
    <x v="0"/>
    <x v="4"/>
    <x v="6"/>
    <x v="4"/>
    <n v="454.25"/>
  </r>
  <r>
    <d v="2025-01-07T00:00:00"/>
    <x v="1"/>
    <x v="12"/>
    <x v="1"/>
    <x v="24"/>
    <x v="6"/>
    <x v="6"/>
    <x v="36"/>
    <x v="0"/>
    <x v="14"/>
    <x v="8"/>
    <x v="5"/>
    <n v="1198.24"/>
  </r>
  <r>
    <d v="2025-01-08T00:00:00"/>
    <x v="1"/>
    <x v="12"/>
    <x v="1"/>
    <x v="54"/>
    <x v="1"/>
    <x v="1"/>
    <x v="25"/>
    <x v="0"/>
    <x v="8"/>
    <x v="0"/>
    <x v="9"/>
    <n v="10.98"/>
  </r>
  <r>
    <d v="2025-01-08T00:00:00"/>
    <x v="1"/>
    <x v="12"/>
    <x v="1"/>
    <x v="80"/>
    <x v="6"/>
    <x v="6"/>
    <x v="38"/>
    <x v="0"/>
    <x v="14"/>
    <x v="3"/>
    <x v="1"/>
    <n v="11.98"/>
  </r>
  <r>
    <d v="2025-01-08T00:00:00"/>
    <x v="1"/>
    <x v="12"/>
    <x v="1"/>
    <x v="89"/>
    <x v="1"/>
    <x v="1"/>
    <x v="18"/>
    <x v="0"/>
    <x v="5"/>
    <x v="1"/>
    <x v="0"/>
    <n v="88.5"/>
  </r>
  <r>
    <d v="2025-01-08T00:00:00"/>
    <x v="1"/>
    <x v="12"/>
    <x v="1"/>
    <x v="38"/>
    <x v="0"/>
    <x v="0"/>
    <x v="21"/>
    <x v="0"/>
    <x v="5"/>
    <x v="5"/>
    <x v="8"/>
    <n v="437.61"/>
  </r>
  <r>
    <d v="2025-01-08T00:00:00"/>
    <x v="1"/>
    <x v="12"/>
    <x v="0"/>
    <x v="38"/>
    <x v="0"/>
    <x v="0"/>
    <x v="21"/>
    <x v="0"/>
    <x v="5"/>
    <x v="9"/>
    <x v="6"/>
    <n v="741.84"/>
  </r>
  <r>
    <d v="2025-01-08T00:00:00"/>
    <x v="1"/>
    <x v="12"/>
    <x v="1"/>
    <x v="55"/>
    <x v="3"/>
    <x v="3"/>
    <x v="68"/>
    <x v="0"/>
    <x v="1"/>
    <x v="2"/>
    <x v="2"/>
    <n v="1419.47"/>
  </r>
  <r>
    <d v="2025-01-08T00:00:00"/>
    <x v="1"/>
    <x v="12"/>
    <x v="1"/>
    <x v="22"/>
    <x v="1"/>
    <x v="1"/>
    <x v="20"/>
    <x v="0"/>
    <x v="5"/>
    <x v="1"/>
    <x v="0"/>
    <n v="2050.27"/>
  </r>
  <r>
    <d v="2025-01-08T00:00:00"/>
    <x v="1"/>
    <x v="12"/>
    <x v="1"/>
    <x v="20"/>
    <x v="3"/>
    <x v="3"/>
    <x v="71"/>
    <x v="0"/>
    <x v="3"/>
    <x v="3"/>
    <x v="1"/>
    <n v="2367.54"/>
  </r>
  <r>
    <d v="2025-01-08T00:00:00"/>
    <x v="1"/>
    <x v="12"/>
    <x v="1"/>
    <x v="12"/>
    <x v="1"/>
    <x v="1"/>
    <x v="26"/>
    <x v="0"/>
    <x v="8"/>
    <x v="2"/>
    <x v="2"/>
    <n v="3166.31"/>
  </r>
  <r>
    <d v="2025-01-09T00:00:00"/>
    <x v="1"/>
    <x v="12"/>
    <x v="1"/>
    <x v="30"/>
    <x v="6"/>
    <x v="6"/>
    <x v="37"/>
    <x v="0"/>
    <x v="14"/>
    <x v="4"/>
    <x v="7"/>
    <n v="2.99"/>
  </r>
  <r>
    <d v="2025-01-09T00:00:00"/>
    <x v="1"/>
    <x v="12"/>
    <x v="0"/>
    <x v="41"/>
    <x v="5"/>
    <x v="5"/>
    <x v="93"/>
    <x v="0"/>
    <x v="18"/>
    <x v="9"/>
    <x v="6"/>
    <n v="224.85"/>
  </r>
  <r>
    <d v="2025-01-09T00:00:00"/>
    <x v="1"/>
    <x v="12"/>
    <x v="1"/>
    <x v="85"/>
    <x v="6"/>
    <x v="6"/>
    <x v="43"/>
    <x v="0"/>
    <x v="7"/>
    <x v="3"/>
    <x v="1"/>
    <n v="226.67"/>
  </r>
  <r>
    <d v="2025-01-09T00:00:00"/>
    <x v="1"/>
    <x v="12"/>
    <x v="1"/>
    <x v="63"/>
    <x v="4"/>
    <x v="4"/>
    <x v="78"/>
    <x v="0"/>
    <x v="0"/>
    <x v="2"/>
    <x v="2"/>
    <n v="441.67"/>
  </r>
  <r>
    <d v="2025-01-09T00:00:00"/>
    <x v="1"/>
    <x v="12"/>
    <x v="1"/>
    <x v="57"/>
    <x v="4"/>
    <x v="4"/>
    <x v="74"/>
    <x v="0"/>
    <x v="15"/>
    <x v="9"/>
    <x v="6"/>
    <n v="718.24"/>
  </r>
  <r>
    <d v="2025-01-09T00:00:00"/>
    <x v="1"/>
    <x v="12"/>
    <x v="0"/>
    <x v="7"/>
    <x v="1"/>
    <x v="1"/>
    <x v="10"/>
    <x v="0"/>
    <x v="10"/>
    <x v="3"/>
    <x v="1"/>
    <n v="1892.64"/>
  </r>
  <r>
    <d v="2025-01-10T00:00:00"/>
    <x v="1"/>
    <x v="12"/>
    <x v="1"/>
    <x v="7"/>
    <x v="1"/>
    <x v="1"/>
    <x v="10"/>
    <x v="0"/>
    <x v="10"/>
    <x v="2"/>
    <x v="2"/>
    <n v="3.0"/>
  </r>
  <r>
    <d v="2025-01-10T00:00:00"/>
    <x v="1"/>
    <x v="12"/>
    <x v="1"/>
    <x v="5"/>
    <x v="1"/>
    <x v="1"/>
    <x v="14"/>
    <x v="0"/>
    <x v="4"/>
    <x v="3"/>
    <x v="1"/>
    <n v="59.9"/>
  </r>
  <r>
    <d v="2025-01-10T00:00:00"/>
    <x v="1"/>
    <x v="12"/>
    <x v="1"/>
    <x v="37"/>
    <x v="6"/>
    <x v="6"/>
    <x v="39"/>
    <x v="0"/>
    <x v="14"/>
    <x v="1"/>
    <x v="0"/>
    <n v="149.29"/>
  </r>
  <r>
    <d v="2025-01-11T00:00:00"/>
    <x v="1"/>
    <x v="12"/>
    <x v="0"/>
    <x v="63"/>
    <x v="4"/>
    <x v="4"/>
    <x v="78"/>
    <x v="0"/>
    <x v="0"/>
    <x v="8"/>
    <x v="5"/>
    <n v="41.93"/>
  </r>
  <r>
    <d v="2025-01-11T00:00:00"/>
    <x v="1"/>
    <x v="12"/>
    <x v="1"/>
    <x v="44"/>
    <x v="6"/>
    <x v="6"/>
    <x v="49"/>
    <x v="0"/>
    <x v="13"/>
    <x v="1"/>
    <x v="0"/>
    <n v="53.43"/>
  </r>
  <r>
    <d v="2025-01-11T00:00:00"/>
    <x v="1"/>
    <x v="12"/>
    <x v="0"/>
    <x v="20"/>
    <x v="3"/>
    <x v="3"/>
    <x v="71"/>
    <x v="0"/>
    <x v="3"/>
    <x v="3"/>
    <x v="1"/>
    <n v="139.02"/>
  </r>
  <r>
    <d v="2025-01-11T00:00:00"/>
    <x v="1"/>
    <x v="12"/>
    <x v="1"/>
    <x v="18"/>
    <x v="5"/>
    <x v="5"/>
    <x v="96"/>
    <x v="0"/>
    <x v="18"/>
    <x v="3"/>
    <x v="1"/>
    <n v="249.38"/>
  </r>
  <r>
    <d v="2025-01-11T00:00:00"/>
    <x v="1"/>
    <x v="12"/>
    <x v="0"/>
    <x v="60"/>
    <x v="6"/>
    <x v="6"/>
    <x v="44"/>
    <x v="0"/>
    <x v="7"/>
    <x v="1"/>
    <x v="0"/>
    <n v="551.44"/>
  </r>
  <r>
    <d v="2025-01-11T00:00:00"/>
    <x v="1"/>
    <x v="12"/>
    <x v="1"/>
    <x v="53"/>
    <x v="1"/>
    <x v="1"/>
    <x v="16"/>
    <x v="0"/>
    <x v="4"/>
    <x v="3"/>
    <x v="1"/>
    <n v="1473.54"/>
  </r>
  <r>
    <d v="2025-01-11T00:00:00"/>
    <x v="1"/>
    <x v="12"/>
    <x v="1"/>
    <x v="35"/>
    <x v="6"/>
    <x v="6"/>
    <x v="46"/>
    <x v="0"/>
    <x v="7"/>
    <x v="5"/>
    <x v="8"/>
    <n v="2628.37"/>
  </r>
  <r>
    <d v="2025-01-11T00:00:00"/>
    <x v="1"/>
    <x v="12"/>
    <x v="1"/>
    <x v="71"/>
    <x v="1"/>
    <x v="1"/>
    <x v="27"/>
    <x v="0"/>
    <x v="8"/>
    <x v="9"/>
    <x v="6"/>
    <n v="3773.65"/>
  </r>
  <r>
    <d v="2025-01-12T00:00:00"/>
    <x v="1"/>
    <x v="12"/>
    <x v="1"/>
    <x v="86"/>
    <x v="1"/>
    <x v="1"/>
    <x v="9"/>
    <x v="0"/>
    <x v="10"/>
    <x v="6"/>
    <x v="4"/>
    <n v="8.94"/>
  </r>
  <r>
    <d v="2025-01-12T00:00:00"/>
    <x v="1"/>
    <x v="12"/>
    <x v="0"/>
    <x v="65"/>
    <x v="1"/>
    <x v="1"/>
    <x v="7"/>
    <x v="0"/>
    <x v="10"/>
    <x v="7"/>
    <x v="3"/>
    <n v="31.84"/>
  </r>
  <r>
    <d v="2025-01-12T00:00:00"/>
    <x v="1"/>
    <x v="12"/>
    <x v="1"/>
    <x v="3"/>
    <x v="2"/>
    <x v="2"/>
    <x v="1"/>
    <x v="0"/>
    <x v="11"/>
    <x v="5"/>
    <x v="8"/>
    <n v="35.0"/>
  </r>
  <r>
    <d v="2025-01-12T00:00:00"/>
    <x v="1"/>
    <x v="12"/>
    <x v="0"/>
    <x v="22"/>
    <x v="1"/>
    <x v="1"/>
    <x v="20"/>
    <x v="0"/>
    <x v="5"/>
    <x v="9"/>
    <x v="6"/>
    <n v="77.94"/>
  </r>
  <r>
    <d v="2025-01-12T00:00:00"/>
    <x v="1"/>
    <x v="12"/>
    <x v="0"/>
    <x v="22"/>
    <x v="1"/>
    <x v="1"/>
    <x v="20"/>
    <x v="0"/>
    <x v="5"/>
    <x v="3"/>
    <x v="1"/>
    <n v="124.89"/>
  </r>
  <r>
    <d v="2025-01-12T00:00:00"/>
    <x v="1"/>
    <x v="12"/>
    <x v="1"/>
    <x v="7"/>
    <x v="1"/>
    <x v="1"/>
    <x v="10"/>
    <x v="0"/>
    <x v="10"/>
    <x v="8"/>
    <x v="5"/>
    <n v="150.59"/>
  </r>
  <r>
    <d v="2025-01-12T00:00:00"/>
    <x v="1"/>
    <x v="12"/>
    <x v="1"/>
    <x v="26"/>
    <x v="7"/>
    <x v="7"/>
    <x v="81"/>
    <x v="0"/>
    <x v="20"/>
    <x v="4"/>
    <x v="7"/>
    <n v="150.61"/>
  </r>
  <r>
    <d v="2025-01-12T00:00:00"/>
    <x v="1"/>
    <x v="12"/>
    <x v="0"/>
    <x v="40"/>
    <x v="3"/>
    <x v="3"/>
    <x v="65"/>
    <x v="0"/>
    <x v="1"/>
    <x v="1"/>
    <x v="0"/>
    <n v="206.82"/>
  </r>
  <r>
    <d v="2025-01-12T00:00:00"/>
    <x v="1"/>
    <x v="12"/>
    <x v="1"/>
    <x v="72"/>
    <x v="1"/>
    <x v="1"/>
    <x v="24"/>
    <x v="0"/>
    <x v="8"/>
    <x v="3"/>
    <x v="1"/>
    <n v="742.91"/>
  </r>
  <r>
    <d v="2025-01-13T00:00:00"/>
    <x v="1"/>
    <x v="12"/>
    <x v="1"/>
    <x v="93"/>
    <x v="6"/>
    <x v="6"/>
    <x v="30"/>
    <x v="0"/>
    <x v="2"/>
    <x v="5"/>
    <x v="8"/>
    <n v="33.38"/>
  </r>
  <r>
    <d v="2025-01-13T00:00:00"/>
    <x v="1"/>
    <x v="12"/>
    <x v="1"/>
    <x v="77"/>
    <x v="3"/>
    <x v="3"/>
    <x v="66"/>
    <x v="0"/>
    <x v="1"/>
    <x v="6"/>
    <x v="4"/>
    <n v="344.17"/>
  </r>
  <r>
    <d v="2025-01-13T00:00:00"/>
    <x v="1"/>
    <x v="12"/>
    <x v="0"/>
    <x v="40"/>
    <x v="3"/>
    <x v="3"/>
    <x v="65"/>
    <x v="0"/>
    <x v="1"/>
    <x v="3"/>
    <x v="1"/>
    <n v="452.36"/>
  </r>
  <r>
    <d v="2025-01-13T00:00:00"/>
    <x v="1"/>
    <x v="12"/>
    <x v="1"/>
    <x v="71"/>
    <x v="1"/>
    <x v="1"/>
    <x v="27"/>
    <x v="0"/>
    <x v="8"/>
    <x v="5"/>
    <x v="8"/>
    <n v="499.73"/>
  </r>
  <r>
    <d v="2025-01-13T00:00:00"/>
    <x v="1"/>
    <x v="12"/>
    <x v="0"/>
    <x v="5"/>
    <x v="1"/>
    <x v="1"/>
    <x v="14"/>
    <x v="0"/>
    <x v="4"/>
    <x v="3"/>
    <x v="1"/>
    <n v="3688.24"/>
  </r>
  <r>
    <d v="2025-01-14T00:00:00"/>
    <x v="1"/>
    <x v="12"/>
    <x v="0"/>
    <x v="12"/>
    <x v="1"/>
    <x v="1"/>
    <x v="26"/>
    <x v="0"/>
    <x v="8"/>
    <x v="0"/>
    <x v="9"/>
    <n v="14.11"/>
  </r>
  <r>
    <d v="2025-01-14T00:00:00"/>
    <x v="1"/>
    <x v="12"/>
    <x v="1"/>
    <x v="63"/>
    <x v="4"/>
    <x v="4"/>
    <x v="78"/>
    <x v="0"/>
    <x v="0"/>
    <x v="9"/>
    <x v="6"/>
    <n v="537.77"/>
  </r>
  <r>
    <d v="2025-01-14T00:00:00"/>
    <x v="1"/>
    <x v="12"/>
    <x v="1"/>
    <x v="30"/>
    <x v="6"/>
    <x v="6"/>
    <x v="37"/>
    <x v="0"/>
    <x v="14"/>
    <x v="1"/>
    <x v="0"/>
    <n v="2494.43"/>
  </r>
  <r>
    <d v="2025-01-14T00:00:00"/>
    <x v="1"/>
    <x v="12"/>
    <x v="0"/>
    <x v="79"/>
    <x v="1"/>
    <x v="1"/>
    <x v="8"/>
    <x v="0"/>
    <x v="10"/>
    <x v="9"/>
    <x v="6"/>
    <n v="3464.83"/>
  </r>
  <r>
    <d v="2025-01-14T00:00:00"/>
    <x v="1"/>
    <x v="12"/>
    <x v="1"/>
    <x v="19"/>
    <x v="7"/>
    <x v="7"/>
    <x v="88"/>
    <x v="0"/>
    <x v="12"/>
    <x v="5"/>
    <x v="8"/>
    <n v="3969.24"/>
  </r>
  <r>
    <d v="2025-01-15T00:00:00"/>
    <x v="1"/>
    <x v="12"/>
    <x v="1"/>
    <x v="85"/>
    <x v="6"/>
    <x v="6"/>
    <x v="43"/>
    <x v="0"/>
    <x v="7"/>
    <x v="5"/>
    <x v="8"/>
    <n v="43.97"/>
  </r>
  <r>
    <d v="2025-01-15T00:00:00"/>
    <x v="1"/>
    <x v="12"/>
    <x v="0"/>
    <x v="46"/>
    <x v="6"/>
    <x v="6"/>
    <x v="42"/>
    <x v="0"/>
    <x v="7"/>
    <x v="2"/>
    <x v="2"/>
    <n v="65.89"/>
  </r>
  <r>
    <d v="2025-01-15T00:00:00"/>
    <x v="1"/>
    <x v="12"/>
    <x v="0"/>
    <x v="39"/>
    <x v="7"/>
    <x v="7"/>
    <x v="91"/>
    <x v="0"/>
    <x v="9"/>
    <x v="3"/>
    <x v="1"/>
    <n v="155.0"/>
  </r>
  <r>
    <d v="2025-01-15T00:00:00"/>
    <x v="1"/>
    <x v="12"/>
    <x v="1"/>
    <x v="4"/>
    <x v="6"/>
    <x v="6"/>
    <x v="29"/>
    <x v="0"/>
    <x v="2"/>
    <x v="3"/>
    <x v="1"/>
    <n v="202.87"/>
  </r>
  <r>
    <d v="2025-01-15T00:00:00"/>
    <x v="1"/>
    <x v="12"/>
    <x v="1"/>
    <x v="53"/>
    <x v="1"/>
    <x v="1"/>
    <x v="16"/>
    <x v="0"/>
    <x v="4"/>
    <x v="0"/>
    <x v="9"/>
    <n v="276.58"/>
  </r>
  <r>
    <d v="2025-01-15T00:00:00"/>
    <x v="1"/>
    <x v="12"/>
    <x v="1"/>
    <x v="23"/>
    <x v="1"/>
    <x v="1"/>
    <x v="12"/>
    <x v="0"/>
    <x v="10"/>
    <x v="1"/>
    <x v="0"/>
    <n v="1761.79"/>
  </r>
  <r>
    <d v="2025-01-15T00:00:00"/>
    <x v="1"/>
    <x v="12"/>
    <x v="1"/>
    <x v="58"/>
    <x v="3"/>
    <x v="3"/>
    <x v="61"/>
    <x v="0"/>
    <x v="17"/>
    <x v="9"/>
    <x v="6"/>
    <n v="3763.51"/>
  </r>
  <r>
    <d v="2025-01-16T00:00:00"/>
    <x v="1"/>
    <x v="12"/>
    <x v="1"/>
    <x v="34"/>
    <x v="6"/>
    <x v="6"/>
    <x v="32"/>
    <x v="0"/>
    <x v="2"/>
    <x v="2"/>
    <x v="2"/>
    <n v="1.0"/>
  </r>
  <r>
    <d v="2025-01-16T00:00:00"/>
    <x v="1"/>
    <x v="12"/>
    <x v="1"/>
    <x v="65"/>
    <x v="1"/>
    <x v="1"/>
    <x v="7"/>
    <x v="0"/>
    <x v="10"/>
    <x v="0"/>
    <x v="9"/>
    <n v="798.23"/>
  </r>
  <r>
    <d v="2025-01-16T00:00:00"/>
    <x v="1"/>
    <x v="12"/>
    <x v="0"/>
    <x v="5"/>
    <x v="1"/>
    <x v="1"/>
    <x v="14"/>
    <x v="0"/>
    <x v="4"/>
    <x v="3"/>
    <x v="1"/>
    <n v="1492.09"/>
  </r>
  <r>
    <d v="2025-01-16T00:00:00"/>
    <x v="1"/>
    <x v="12"/>
    <x v="1"/>
    <x v="84"/>
    <x v="3"/>
    <x v="3"/>
    <x v="53"/>
    <x v="0"/>
    <x v="19"/>
    <x v="1"/>
    <x v="0"/>
    <n v="1882.03"/>
  </r>
  <r>
    <d v="2025-01-17T00:00:00"/>
    <x v="1"/>
    <x v="12"/>
    <x v="0"/>
    <x v="72"/>
    <x v="1"/>
    <x v="1"/>
    <x v="24"/>
    <x v="0"/>
    <x v="8"/>
    <x v="3"/>
    <x v="1"/>
    <n v="14.99"/>
  </r>
  <r>
    <d v="2025-01-17T00:00:00"/>
    <x v="1"/>
    <x v="12"/>
    <x v="1"/>
    <x v="1"/>
    <x v="7"/>
    <x v="7"/>
    <x v="89"/>
    <x v="0"/>
    <x v="12"/>
    <x v="0"/>
    <x v="9"/>
    <n v="18.97"/>
  </r>
  <r>
    <d v="2025-01-17T00:00:00"/>
    <x v="1"/>
    <x v="12"/>
    <x v="1"/>
    <x v="74"/>
    <x v="4"/>
    <x v="4"/>
    <x v="75"/>
    <x v="0"/>
    <x v="15"/>
    <x v="1"/>
    <x v="0"/>
    <n v="51.98"/>
  </r>
  <r>
    <d v="2025-01-17T00:00:00"/>
    <x v="1"/>
    <x v="12"/>
    <x v="0"/>
    <x v="11"/>
    <x v="1"/>
    <x v="1"/>
    <x v="15"/>
    <x v="0"/>
    <x v="4"/>
    <x v="5"/>
    <x v="8"/>
    <n v="74.95"/>
  </r>
  <r>
    <d v="2025-01-17T00:00:00"/>
    <x v="1"/>
    <x v="12"/>
    <x v="1"/>
    <x v="76"/>
    <x v="6"/>
    <x v="6"/>
    <x v="34"/>
    <x v="0"/>
    <x v="14"/>
    <x v="4"/>
    <x v="7"/>
    <n v="95.85"/>
  </r>
  <r>
    <d v="2025-01-17T00:00:00"/>
    <x v="1"/>
    <x v="12"/>
    <x v="1"/>
    <x v="59"/>
    <x v="1"/>
    <x v="1"/>
    <x v="3"/>
    <x v="0"/>
    <x v="6"/>
    <x v="5"/>
    <x v="8"/>
    <n v="1517.04"/>
  </r>
  <r>
    <d v="2025-01-18T00:00:00"/>
    <x v="1"/>
    <x v="12"/>
    <x v="1"/>
    <x v="8"/>
    <x v="3"/>
    <x v="3"/>
    <x v="72"/>
    <x v="0"/>
    <x v="3"/>
    <x v="6"/>
    <x v="4"/>
    <n v="3.0"/>
  </r>
  <r>
    <d v="2025-01-18T00:00:00"/>
    <x v="1"/>
    <x v="12"/>
    <x v="1"/>
    <x v="29"/>
    <x v="6"/>
    <x v="6"/>
    <x v="35"/>
    <x v="0"/>
    <x v="14"/>
    <x v="2"/>
    <x v="2"/>
    <n v="241.33"/>
  </r>
  <r>
    <d v="2025-01-18T00:00:00"/>
    <x v="1"/>
    <x v="12"/>
    <x v="1"/>
    <x v="64"/>
    <x v="3"/>
    <x v="3"/>
    <x v="70"/>
    <x v="0"/>
    <x v="3"/>
    <x v="3"/>
    <x v="1"/>
    <n v="2571.9"/>
  </r>
  <r>
    <d v="2025-01-19T00:00:00"/>
    <x v="1"/>
    <x v="12"/>
    <x v="1"/>
    <x v="85"/>
    <x v="6"/>
    <x v="6"/>
    <x v="43"/>
    <x v="0"/>
    <x v="7"/>
    <x v="5"/>
    <x v="8"/>
    <n v="4.5"/>
  </r>
  <r>
    <d v="2025-01-19T00:00:00"/>
    <x v="1"/>
    <x v="12"/>
    <x v="1"/>
    <x v="69"/>
    <x v="1"/>
    <x v="1"/>
    <x v="19"/>
    <x v="0"/>
    <x v="5"/>
    <x v="6"/>
    <x v="4"/>
    <n v="5.4"/>
  </r>
  <r>
    <d v="2025-01-19T00:00:00"/>
    <x v="1"/>
    <x v="12"/>
    <x v="1"/>
    <x v="66"/>
    <x v="4"/>
    <x v="4"/>
    <x v="76"/>
    <x v="0"/>
    <x v="15"/>
    <x v="5"/>
    <x v="8"/>
    <n v="133.77"/>
  </r>
  <r>
    <d v="2025-01-19T00:00:00"/>
    <x v="1"/>
    <x v="12"/>
    <x v="0"/>
    <x v="10"/>
    <x v="6"/>
    <x v="6"/>
    <x v="41"/>
    <x v="0"/>
    <x v="7"/>
    <x v="1"/>
    <x v="0"/>
    <n v="809.47"/>
  </r>
  <r>
    <d v="2025-01-19T00:00:00"/>
    <x v="1"/>
    <x v="12"/>
    <x v="0"/>
    <x v="29"/>
    <x v="6"/>
    <x v="6"/>
    <x v="35"/>
    <x v="0"/>
    <x v="14"/>
    <x v="2"/>
    <x v="2"/>
    <n v="1500.08"/>
  </r>
  <r>
    <d v="2025-01-20T00:00:00"/>
    <x v="1"/>
    <x v="12"/>
    <x v="0"/>
    <x v="12"/>
    <x v="1"/>
    <x v="1"/>
    <x v="26"/>
    <x v="0"/>
    <x v="8"/>
    <x v="8"/>
    <x v="5"/>
    <n v="99.44"/>
  </r>
  <r>
    <d v="2025-01-20T00:00:00"/>
    <x v="1"/>
    <x v="12"/>
    <x v="0"/>
    <x v="18"/>
    <x v="5"/>
    <x v="5"/>
    <x v="96"/>
    <x v="0"/>
    <x v="18"/>
    <x v="5"/>
    <x v="8"/>
    <n v="209.62"/>
  </r>
  <r>
    <d v="2025-01-20T00:00:00"/>
    <x v="1"/>
    <x v="12"/>
    <x v="1"/>
    <x v="12"/>
    <x v="1"/>
    <x v="1"/>
    <x v="26"/>
    <x v="0"/>
    <x v="8"/>
    <x v="9"/>
    <x v="6"/>
    <n v="339.69"/>
  </r>
  <r>
    <d v="2025-01-20T00:00:00"/>
    <x v="1"/>
    <x v="12"/>
    <x v="0"/>
    <x v="54"/>
    <x v="1"/>
    <x v="1"/>
    <x v="25"/>
    <x v="0"/>
    <x v="8"/>
    <x v="0"/>
    <x v="9"/>
    <n v="612.42"/>
  </r>
  <r>
    <d v="2025-01-20T00:00:00"/>
    <x v="1"/>
    <x v="12"/>
    <x v="0"/>
    <x v="0"/>
    <x v="3"/>
    <x v="3"/>
    <x v="69"/>
    <x v="0"/>
    <x v="3"/>
    <x v="9"/>
    <x v="6"/>
    <n v="674.89"/>
  </r>
  <r>
    <d v="2025-01-21T00:00:00"/>
    <x v="1"/>
    <x v="12"/>
    <x v="1"/>
    <x v="41"/>
    <x v="5"/>
    <x v="5"/>
    <x v="93"/>
    <x v="0"/>
    <x v="18"/>
    <x v="8"/>
    <x v="5"/>
    <n v="11.98"/>
  </r>
  <r>
    <d v="2025-01-21T00:00:00"/>
    <x v="1"/>
    <x v="12"/>
    <x v="1"/>
    <x v="79"/>
    <x v="1"/>
    <x v="1"/>
    <x v="8"/>
    <x v="0"/>
    <x v="10"/>
    <x v="0"/>
    <x v="9"/>
    <n v="39.05"/>
  </r>
  <r>
    <d v="2025-01-21T00:00:00"/>
    <x v="1"/>
    <x v="12"/>
    <x v="1"/>
    <x v="33"/>
    <x v="1"/>
    <x v="1"/>
    <x v="13"/>
    <x v="0"/>
    <x v="10"/>
    <x v="8"/>
    <x v="5"/>
    <n v="133.77"/>
  </r>
  <r>
    <d v="2025-01-21T00:00:00"/>
    <x v="1"/>
    <x v="12"/>
    <x v="1"/>
    <x v="67"/>
    <x v="3"/>
    <x v="3"/>
    <x v="62"/>
    <x v="0"/>
    <x v="17"/>
    <x v="1"/>
    <x v="0"/>
    <n v="153.62"/>
  </r>
  <r>
    <d v="2025-01-21T00:00:00"/>
    <x v="1"/>
    <x v="12"/>
    <x v="1"/>
    <x v="1"/>
    <x v="7"/>
    <x v="7"/>
    <x v="89"/>
    <x v="0"/>
    <x v="12"/>
    <x v="3"/>
    <x v="1"/>
    <n v="248.59"/>
  </r>
  <r>
    <d v="2025-01-21T00:00:00"/>
    <x v="1"/>
    <x v="12"/>
    <x v="1"/>
    <x v="50"/>
    <x v="7"/>
    <x v="7"/>
    <x v="83"/>
    <x v="0"/>
    <x v="20"/>
    <x v="2"/>
    <x v="2"/>
    <n v="340.21"/>
  </r>
  <r>
    <d v="2025-01-21T00:00:00"/>
    <x v="1"/>
    <x v="12"/>
    <x v="1"/>
    <x v="71"/>
    <x v="1"/>
    <x v="1"/>
    <x v="27"/>
    <x v="0"/>
    <x v="8"/>
    <x v="8"/>
    <x v="5"/>
    <n v="1048.31"/>
  </r>
  <r>
    <d v="2025-01-22T00:00:00"/>
    <x v="1"/>
    <x v="12"/>
    <x v="1"/>
    <x v="65"/>
    <x v="1"/>
    <x v="1"/>
    <x v="7"/>
    <x v="0"/>
    <x v="10"/>
    <x v="1"/>
    <x v="0"/>
    <n v="2.99"/>
  </r>
  <r>
    <d v="2025-01-23T00:00:00"/>
    <x v="1"/>
    <x v="12"/>
    <x v="0"/>
    <x v="73"/>
    <x v="4"/>
    <x v="4"/>
    <x v="80"/>
    <x v="0"/>
    <x v="0"/>
    <x v="5"/>
    <x v="8"/>
    <n v="13.95"/>
  </r>
  <r>
    <d v="2025-01-23T00:00:00"/>
    <x v="1"/>
    <x v="12"/>
    <x v="1"/>
    <x v="19"/>
    <x v="7"/>
    <x v="7"/>
    <x v="88"/>
    <x v="0"/>
    <x v="12"/>
    <x v="6"/>
    <x v="4"/>
    <n v="61.1"/>
  </r>
  <r>
    <d v="2025-01-23T00:00:00"/>
    <x v="1"/>
    <x v="12"/>
    <x v="1"/>
    <x v="58"/>
    <x v="3"/>
    <x v="3"/>
    <x v="61"/>
    <x v="0"/>
    <x v="17"/>
    <x v="1"/>
    <x v="0"/>
    <n v="350.22"/>
  </r>
  <r>
    <d v="2025-01-23T00:00:00"/>
    <x v="1"/>
    <x v="12"/>
    <x v="0"/>
    <x v="89"/>
    <x v="1"/>
    <x v="1"/>
    <x v="18"/>
    <x v="0"/>
    <x v="5"/>
    <x v="2"/>
    <x v="2"/>
    <n v="464.53"/>
  </r>
  <r>
    <d v="2025-01-24T00:00:00"/>
    <x v="1"/>
    <x v="12"/>
    <x v="1"/>
    <x v="81"/>
    <x v="4"/>
    <x v="4"/>
    <x v="77"/>
    <x v="0"/>
    <x v="15"/>
    <x v="1"/>
    <x v="0"/>
    <n v="46.0"/>
  </r>
  <r>
    <d v="2025-01-24T00:00:00"/>
    <x v="1"/>
    <x v="12"/>
    <x v="0"/>
    <x v="24"/>
    <x v="6"/>
    <x v="6"/>
    <x v="36"/>
    <x v="0"/>
    <x v="14"/>
    <x v="9"/>
    <x v="6"/>
    <n v="65.5"/>
  </r>
  <r>
    <d v="2025-01-24T00:00:00"/>
    <x v="1"/>
    <x v="12"/>
    <x v="0"/>
    <x v="80"/>
    <x v="6"/>
    <x v="6"/>
    <x v="38"/>
    <x v="0"/>
    <x v="14"/>
    <x v="5"/>
    <x v="8"/>
    <n v="104.5"/>
  </r>
  <r>
    <d v="2025-01-24T00:00:00"/>
    <x v="1"/>
    <x v="12"/>
    <x v="1"/>
    <x v="26"/>
    <x v="7"/>
    <x v="7"/>
    <x v="81"/>
    <x v="0"/>
    <x v="20"/>
    <x v="6"/>
    <x v="4"/>
    <n v="232.67"/>
  </r>
  <r>
    <d v="2025-01-24T00:00:00"/>
    <x v="1"/>
    <x v="12"/>
    <x v="0"/>
    <x v="89"/>
    <x v="1"/>
    <x v="1"/>
    <x v="18"/>
    <x v="0"/>
    <x v="5"/>
    <x v="0"/>
    <x v="9"/>
    <n v="255.38"/>
  </r>
  <r>
    <d v="2025-01-24T00:00:00"/>
    <x v="1"/>
    <x v="12"/>
    <x v="1"/>
    <x v="18"/>
    <x v="5"/>
    <x v="5"/>
    <x v="96"/>
    <x v="0"/>
    <x v="18"/>
    <x v="4"/>
    <x v="7"/>
    <n v="592.31"/>
  </r>
  <r>
    <d v="2025-01-24T00:00:00"/>
    <x v="1"/>
    <x v="12"/>
    <x v="1"/>
    <x v="21"/>
    <x v="3"/>
    <x v="3"/>
    <x v="60"/>
    <x v="0"/>
    <x v="17"/>
    <x v="6"/>
    <x v="4"/>
    <n v="623.13"/>
  </r>
  <r>
    <d v="2025-01-24T00:00:00"/>
    <x v="1"/>
    <x v="12"/>
    <x v="0"/>
    <x v="26"/>
    <x v="7"/>
    <x v="7"/>
    <x v="81"/>
    <x v="0"/>
    <x v="20"/>
    <x v="6"/>
    <x v="4"/>
    <n v="887.64"/>
  </r>
  <r>
    <d v="2025-01-24T00:00:00"/>
    <x v="1"/>
    <x v="12"/>
    <x v="0"/>
    <x v="2"/>
    <x v="1"/>
    <x v="1"/>
    <x v="2"/>
    <x v="0"/>
    <x v="6"/>
    <x v="1"/>
    <x v="0"/>
    <n v="1540.18"/>
  </r>
  <r>
    <d v="2025-01-25T00:00:00"/>
    <x v="1"/>
    <x v="12"/>
    <x v="1"/>
    <x v="4"/>
    <x v="6"/>
    <x v="6"/>
    <x v="29"/>
    <x v="0"/>
    <x v="2"/>
    <x v="1"/>
    <x v="0"/>
    <n v="7.99"/>
  </r>
  <r>
    <d v="2025-01-25T00:00:00"/>
    <x v="1"/>
    <x v="12"/>
    <x v="0"/>
    <x v="19"/>
    <x v="7"/>
    <x v="7"/>
    <x v="88"/>
    <x v="0"/>
    <x v="12"/>
    <x v="2"/>
    <x v="2"/>
    <n v="8.99"/>
  </r>
  <r>
    <d v="2025-01-25T00:00:00"/>
    <x v="1"/>
    <x v="12"/>
    <x v="0"/>
    <x v="48"/>
    <x v="7"/>
    <x v="7"/>
    <x v="85"/>
    <x v="0"/>
    <x v="20"/>
    <x v="3"/>
    <x v="1"/>
    <n v="11.0"/>
  </r>
  <r>
    <d v="2025-01-25T00:00:00"/>
    <x v="1"/>
    <x v="12"/>
    <x v="1"/>
    <x v="15"/>
    <x v="4"/>
    <x v="4"/>
    <x v="79"/>
    <x v="0"/>
    <x v="0"/>
    <x v="1"/>
    <x v="0"/>
    <n v="119.92"/>
  </r>
  <r>
    <d v="2025-01-25T00:00:00"/>
    <x v="1"/>
    <x v="12"/>
    <x v="1"/>
    <x v="87"/>
    <x v="3"/>
    <x v="3"/>
    <x v="52"/>
    <x v="0"/>
    <x v="19"/>
    <x v="9"/>
    <x v="6"/>
    <n v="178.39"/>
  </r>
  <r>
    <d v="2025-01-25T00:00:00"/>
    <x v="1"/>
    <x v="12"/>
    <x v="0"/>
    <x v="86"/>
    <x v="1"/>
    <x v="1"/>
    <x v="9"/>
    <x v="0"/>
    <x v="10"/>
    <x v="3"/>
    <x v="1"/>
    <n v="236.66"/>
  </r>
  <r>
    <d v="2025-01-25T00:00:00"/>
    <x v="1"/>
    <x v="12"/>
    <x v="1"/>
    <x v="66"/>
    <x v="4"/>
    <x v="4"/>
    <x v="76"/>
    <x v="0"/>
    <x v="15"/>
    <x v="2"/>
    <x v="2"/>
    <n v="313.74"/>
  </r>
  <r>
    <d v="2025-01-25T00:00:00"/>
    <x v="1"/>
    <x v="12"/>
    <x v="0"/>
    <x v="5"/>
    <x v="1"/>
    <x v="1"/>
    <x v="14"/>
    <x v="0"/>
    <x v="4"/>
    <x v="8"/>
    <x v="5"/>
    <n v="1739.97"/>
  </r>
  <r>
    <d v="2025-01-26T00:00:00"/>
    <x v="1"/>
    <x v="12"/>
    <x v="1"/>
    <x v="71"/>
    <x v="1"/>
    <x v="1"/>
    <x v="27"/>
    <x v="0"/>
    <x v="8"/>
    <x v="8"/>
    <x v="5"/>
    <n v="1.9"/>
  </r>
  <r>
    <d v="2025-01-26T00:00:00"/>
    <x v="1"/>
    <x v="12"/>
    <x v="1"/>
    <x v="1"/>
    <x v="7"/>
    <x v="7"/>
    <x v="89"/>
    <x v="0"/>
    <x v="12"/>
    <x v="5"/>
    <x v="8"/>
    <n v="14.73"/>
  </r>
  <r>
    <d v="2025-01-26T00:00:00"/>
    <x v="1"/>
    <x v="12"/>
    <x v="1"/>
    <x v="21"/>
    <x v="3"/>
    <x v="3"/>
    <x v="60"/>
    <x v="0"/>
    <x v="17"/>
    <x v="9"/>
    <x v="6"/>
    <n v="116.86"/>
  </r>
  <r>
    <d v="2025-01-26T00:00:00"/>
    <x v="1"/>
    <x v="12"/>
    <x v="1"/>
    <x v="6"/>
    <x v="1"/>
    <x v="1"/>
    <x v="5"/>
    <x v="0"/>
    <x v="6"/>
    <x v="1"/>
    <x v="0"/>
    <n v="249.91"/>
  </r>
  <r>
    <d v="2025-01-26T00:00:00"/>
    <x v="1"/>
    <x v="12"/>
    <x v="1"/>
    <x v="90"/>
    <x v="3"/>
    <x v="3"/>
    <x v="55"/>
    <x v="0"/>
    <x v="19"/>
    <x v="6"/>
    <x v="4"/>
    <n v="369.36"/>
  </r>
  <r>
    <d v="2025-01-26T00:00:00"/>
    <x v="1"/>
    <x v="12"/>
    <x v="1"/>
    <x v="8"/>
    <x v="3"/>
    <x v="3"/>
    <x v="72"/>
    <x v="0"/>
    <x v="3"/>
    <x v="6"/>
    <x v="4"/>
    <n v="748.43"/>
  </r>
  <r>
    <d v="2025-01-27T00:00:00"/>
    <x v="1"/>
    <x v="12"/>
    <x v="0"/>
    <x v="53"/>
    <x v="1"/>
    <x v="1"/>
    <x v="16"/>
    <x v="0"/>
    <x v="4"/>
    <x v="3"/>
    <x v="1"/>
    <n v="5.54"/>
  </r>
  <r>
    <d v="2025-01-27T00:00:00"/>
    <x v="1"/>
    <x v="12"/>
    <x v="1"/>
    <x v="27"/>
    <x v="6"/>
    <x v="6"/>
    <x v="31"/>
    <x v="0"/>
    <x v="2"/>
    <x v="4"/>
    <x v="7"/>
    <n v="31.93"/>
  </r>
  <r>
    <d v="2025-01-27T00:00:00"/>
    <x v="1"/>
    <x v="12"/>
    <x v="0"/>
    <x v="57"/>
    <x v="4"/>
    <x v="4"/>
    <x v="74"/>
    <x v="0"/>
    <x v="15"/>
    <x v="2"/>
    <x v="2"/>
    <n v="39.97"/>
  </r>
  <r>
    <d v="2025-01-27T00:00:00"/>
    <x v="1"/>
    <x v="12"/>
    <x v="0"/>
    <x v="47"/>
    <x v="3"/>
    <x v="3"/>
    <x v="54"/>
    <x v="0"/>
    <x v="19"/>
    <x v="8"/>
    <x v="5"/>
    <n v="60.88"/>
  </r>
  <r>
    <d v="2025-01-27T00:00:00"/>
    <x v="1"/>
    <x v="12"/>
    <x v="1"/>
    <x v="38"/>
    <x v="0"/>
    <x v="0"/>
    <x v="21"/>
    <x v="0"/>
    <x v="5"/>
    <x v="5"/>
    <x v="8"/>
    <n v="81.8"/>
  </r>
  <r>
    <d v="2025-01-27T00:00:00"/>
    <x v="1"/>
    <x v="12"/>
    <x v="1"/>
    <x v="22"/>
    <x v="1"/>
    <x v="1"/>
    <x v="20"/>
    <x v="0"/>
    <x v="5"/>
    <x v="9"/>
    <x v="6"/>
    <n v="185.33"/>
  </r>
  <r>
    <d v="2025-01-27T00:00:00"/>
    <x v="1"/>
    <x v="12"/>
    <x v="1"/>
    <x v="77"/>
    <x v="3"/>
    <x v="3"/>
    <x v="66"/>
    <x v="0"/>
    <x v="1"/>
    <x v="3"/>
    <x v="1"/>
    <n v="357.74"/>
  </r>
  <r>
    <d v="2025-01-27T00:00:00"/>
    <x v="1"/>
    <x v="12"/>
    <x v="1"/>
    <x v="16"/>
    <x v="7"/>
    <x v="7"/>
    <x v="92"/>
    <x v="0"/>
    <x v="9"/>
    <x v="5"/>
    <x v="8"/>
    <n v="369.26"/>
  </r>
  <r>
    <d v="2025-01-27T00:00:00"/>
    <x v="1"/>
    <x v="12"/>
    <x v="0"/>
    <x v="33"/>
    <x v="1"/>
    <x v="1"/>
    <x v="13"/>
    <x v="0"/>
    <x v="10"/>
    <x v="9"/>
    <x v="6"/>
    <n v="746.06"/>
  </r>
  <r>
    <d v="2025-01-27T00:00:00"/>
    <x v="1"/>
    <x v="12"/>
    <x v="0"/>
    <x v="4"/>
    <x v="6"/>
    <x v="6"/>
    <x v="29"/>
    <x v="0"/>
    <x v="2"/>
    <x v="1"/>
    <x v="0"/>
    <n v="1217.67"/>
  </r>
  <r>
    <d v="2025-01-27T00:00:00"/>
    <x v="1"/>
    <x v="12"/>
    <x v="1"/>
    <x v="14"/>
    <x v="6"/>
    <x v="6"/>
    <x v="45"/>
    <x v="0"/>
    <x v="7"/>
    <x v="3"/>
    <x v="1"/>
    <n v="2070.02"/>
  </r>
  <r>
    <d v="2025-01-28T00:00:00"/>
    <x v="1"/>
    <x v="12"/>
    <x v="0"/>
    <x v="56"/>
    <x v="7"/>
    <x v="7"/>
    <x v="86"/>
    <x v="0"/>
    <x v="12"/>
    <x v="9"/>
    <x v="6"/>
    <n v="65.89"/>
  </r>
  <r>
    <d v="2025-01-28T00:00:00"/>
    <x v="1"/>
    <x v="12"/>
    <x v="1"/>
    <x v="5"/>
    <x v="1"/>
    <x v="1"/>
    <x v="14"/>
    <x v="0"/>
    <x v="4"/>
    <x v="0"/>
    <x v="9"/>
    <n v="555.23"/>
  </r>
  <r>
    <d v="2025-01-28T00:00:00"/>
    <x v="1"/>
    <x v="12"/>
    <x v="1"/>
    <x v="94"/>
    <x v="6"/>
    <x v="6"/>
    <x v="48"/>
    <x v="0"/>
    <x v="13"/>
    <x v="6"/>
    <x v="4"/>
    <n v="1274.13"/>
  </r>
  <r>
    <d v="2025-01-29T00:00:00"/>
    <x v="1"/>
    <x v="12"/>
    <x v="1"/>
    <x v="1"/>
    <x v="7"/>
    <x v="7"/>
    <x v="89"/>
    <x v="0"/>
    <x v="12"/>
    <x v="3"/>
    <x v="1"/>
    <n v="3.0"/>
  </r>
  <r>
    <d v="2025-01-29T00:00:00"/>
    <x v="1"/>
    <x v="12"/>
    <x v="0"/>
    <x v="70"/>
    <x v="6"/>
    <x v="6"/>
    <x v="33"/>
    <x v="0"/>
    <x v="14"/>
    <x v="2"/>
    <x v="2"/>
    <n v="23.97"/>
  </r>
  <r>
    <d v="2025-01-29T00:00:00"/>
    <x v="1"/>
    <x v="12"/>
    <x v="1"/>
    <x v="70"/>
    <x v="6"/>
    <x v="6"/>
    <x v="33"/>
    <x v="0"/>
    <x v="14"/>
    <x v="1"/>
    <x v="0"/>
    <n v="26.98"/>
  </r>
  <r>
    <d v="2025-01-29T00:00:00"/>
    <x v="1"/>
    <x v="12"/>
    <x v="1"/>
    <x v="63"/>
    <x v="4"/>
    <x v="4"/>
    <x v="78"/>
    <x v="0"/>
    <x v="0"/>
    <x v="6"/>
    <x v="4"/>
    <n v="413.48"/>
  </r>
  <r>
    <d v="2025-01-30T00:00:00"/>
    <x v="1"/>
    <x v="12"/>
    <x v="1"/>
    <x v="11"/>
    <x v="1"/>
    <x v="1"/>
    <x v="15"/>
    <x v="0"/>
    <x v="4"/>
    <x v="0"/>
    <x v="9"/>
    <n v="6.99"/>
  </r>
  <r>
    <d v="2025-01-30T00:00:00"/>
    <x v="1"/>
    <x v="12"/>
    <x v="0"/>
    <x v="69"/>
    <x v="1"/>
    <x v="1"/>
    <x v="19"/>
    <x v="0"/>
    <x v="5"/>
    <x v="8"/>
    <x v="5"/>
    <n v="21.94"/>
  </r>
  <r>
    <d v="2025-01-30T00:00:00"/>
    <x v="1"/>
    <x v="12"/>
    <x v="1"/>
    <x v="73"/>
    <x v="4"/>
    <x v="4"/>
    <x v="80"/>
    <x v="0"/>
    <x v="0"/>
    <x v="1"/>
    <x v="0"/>
    <n v="24.46"/>
  </r>
  <r>
    <d v="2025-01-30T00:00:00"/>
    <x v="1"/>
    <x v="12"/>
    <x v="0"/>
    <x v="67"/>
    <x v="3"/>
    <x v="3"/>
    <x v="62"/>
    <x v="0"/>
    <x v="17"/>
    <x v="1"/>
    <x v="0"/>
    <n v="60.44"/>
  </r>
  <r>
    <d v="2025-01-30T00:00:00"/>
    <x v="1"/>
    <x v="12"/>
    <x v="1"/>
    <x v="19"/>
    <x v="7"/>
    <x v="7"/>
    <x v="88"/>
    <x v="0"/>
    <x v="12"/>
    <x v="5"/>
    <x v="8"/>
    <n v="100.83"/>
  </r>
  <r>
    <d v="2025-01-30T00:00:00"/>
    <x v="1"/>
    <x v="12"/>
    <x v="1"/>
    <x v="51"/>
    <x v="5"/>
    <x v="5"/>
    <x v="95"/>
    <x v="0"/>
    <x v="18"/>
    <x v="9"/>
    <x v="6"/>
    <n v="1522.74"/>
  </r>
  <r>
    <d v="2025-01-31T00:00:00"/>
    <x v="1"/>
    <x v="12"/>
    <x v="0"/>
    <x v="57"/>
    <x v="4"/>
    <x v="4"/>
    <x v="74"/>
    <x v="0"/>
    <x v="15"/>
    <x v="3"/>
    <x v="1"/>
    <n v="46.93"/>
  </r>
  <r>
    <d v="2025-01-31T00:00:00"/>
    <x v="1"/>
    <x v="12"/>
    <x v="0"/>
    <x v="23"/>
    <x v="1"/>
    <x v="1"/>
    <x v="12"/>
    <x v="0"/>
    <x v="10"/>
    <x v="0"/>
    <x v="9"/>
    <n v="111.86"/>
  </r>
  <r>
    <d v="2025-01-31T00:00:00"/>
    <x v="1"/>
    <x v="12"/>
    <x v="1"/>
    <x v="49"/>
    <x v="3"/>
    <x v="3"/>
    <x v="58"/>
    <x v="0"/>
    <x v="16"/>
    <x v="6"/>
    <x v="4"/>
    <n v="173.71"/>
  </r>
  <r>
    <d v="2025-01-31T00:00:00"/>
    <x v="1"/>
    <x v="12"/>
    <x v="1"/>
    <x v="85"/>
    <x v="6"/>
    <x v="6"/>
    <x v="43"/>
    <x v="0"/>
    <x v="7"/>
    <x v="9"/>
    <x v="6"/>
    <n v="579.89"/>
  </r>
  <r>
    <d v="2025-01-31T00:00:00"/>
    <x v="1"/>
    <x v="12"/>
    <x v="1"/>
    <x v="71"/>
    <x v="1"/>
    <x v="1"/>
    <x v="27"/>
    <x v="0"/>
    <x v="8"/>
    <x v="8"/>
    <x v="5"/>
    <n v="915.76"/>
  </r>
  <r>
    <d v="2025-02-01T00:00:00"/>
    <x v="1"/>
    <x v="13"/>
    <x v="0"/>
    <x v="12"/>
    <x v="1"/>
    <x v="1"/>
    <x v="26"/>
    <x v="0"/>
    <x v="8"/>
    <x v="8"/>
    <x v="5"/>
    <n v="53.91"/>
  </r>
  <r>
    <d v="2025-02-01T00:00:00"/>
    <x v="1"/>
    <x v="13"/>
    <x v="0"/>
    <x v="48"/>
    <x v="7"/>
    <x v="7"/>
    <x v="85"/>
    <x v="0"/>
    <x v="20"/>
    <x v="1"/>
    <x v="0"/>
    <n v="165.82"/>
  </r>
  <r>
    <d v="2025-02-01T00:00:00"/>
    <x v="1"/>
    <x v="13"/>
    <x v="1"/>
    <x v="72"/>
    <x v="1"/>
    <x v="1"/>
    <x v="24"/>
    <x v="0"/>
    <x v="8"/>
    <x v="1"/>
    <x v="0"/>
    <n v="243.74"/>
  </r>
  <r>
    <d v="2025-02-01T00:00:00"/>
    <x v="1"/>
    <x v="13"/>
    <x v="1"/>
    <x v="3"/>
    <x v="2"/>
    <x v="2"/>
    <x v="1"/>
    <x v="0"/>
    <x v="11"/>
    <x v="4"/>
    <x v="7"/>
    <n v="339.19"/>
  </r>
  <r>
    <d v="2025-02-01T00:00:00"/>
    <x v="1"/>
    <x v="13"/>
    <x v="0"/>
    <x v="36"/>
    <x v="7"/>
    <x v="7"/>
    <x v="90"/>
    <x v="0"/>
    <x v="9"/>
    <x v="5"/>
    <x v="8"/>
    <n v="356.68"/>
  </r>
  <r>
    <d v="2025-02-01T00:00:00"/>
    <x v="1"/>
    <x v="13"/>
    <x v="1"/>
    <x v="82"/>
    <x v="6"/>
    <x v="6"/>
    <x v="47"/>
    <x v="0"/>
    <x v="13"/>
    <x v="3"/>
    <x v="1"/>
    <n v="501.53"/>
  </r>
  <r>
    <d v="2025-02-01T00:00:00"/>
    <x v="1"/>
    <x v="13"/>
    <x v="1"/>
    <x v="50"/>
    <x v="7"/>
    <x v="7"/>
    <x v="83"/>
    <x v="0"/>
    <x v="20"/>
    <x v="3"/>
    <x v="1"/>
    <n v="870.48"/>
  </r>
  <r>
    <d v="2025-02-02T00:00:00"/>
    <x v="1"/>
    <x v="13"/>
    <x v="1"/>
    <x v="59"/>
    <x v="1"/>
    <x v="1"/>
    <x v="3"/>
    <x v="0"/>
    <x v="6"/>
    <x v="6"/>
    <x v="4"/>
    <n v="200.44"/>
  </r>
  <r>
    <d v="2025-02-02T00:00:00"/>
    <x v="1"/>
    <x v="13"/>
    <x v="1"/>
    <x v="58"/>
    <x v="3"/>
    <x v="3"/>
    <x v="61"/>
    <x v="0"/>
    <x v="17"/>
    <x v="3"/>
    <x v="1"/>
    <n v="4236.43"/>
  </r>
  <r>
    <d v="2025-02-03T00:00:00"/>
    <x v="1"/>
    <x v="13"/>
    <x v="1"/>
    <x v="8"/>
    <x v="3"/>
    <x v="3"/>
    <x v="72"/>
    <x v="0"/>
    <x v="3"/>
    <x v="0"/>
    <x v="9"/>
    <n v="5.99"/>
  </r>
  <r>
    <d v="2025-02-03T00:00:00"/>
    <x v="1"/>
    <x v="13"/>
    <x v="1"/>
    <x v="6"/>
    <x v="1"/>
    <x v="1"/>
    <x v="5"/>
    <x v="0"/>
    <x v="6"/>
    <x v="5"/>
    <x v="8"/>
    <n v="10.98"/>
  </r>
  <r>
    <d v="2025-02-03T00:00:00"/>
    <x v="1"/>
    <x v="13"/>
    <x v="1"/>
    <x v="13"/>
    <x v="0"/>
    <x v="0"/>
    <x v="22"/>
    <x v="0"/>
    <x v="5"/>
    <x v="3"/>
    <x v="1"/>
    <n v="46.91"/>
  </r>
  <r>
    <d v="2025-02-04T00:00:00"/>
    <x v="1"/>
    <x v="13"/>
    <x v="1"/>
    <x v="6"/>
    <x v="1"/>
    <x v="1"/>
    <x v="5"/>
    <x v="0"/>
    <x v="6"/>
    <x v="2"/>
    <x v="2"/>
    <n v="50.97"/>
  </r>
  <r>
    <d v="2025-02-04T00:00:00"/>
    <x v="1"/>
    <x v="13"/>
    <x v="1"/>
    <x v="36"/>
    <x v="7"/>
    <x v="7"/>
    <x v="90"/>
    <x v="0"/>
    <x v="9"/>
    <x v="1"/>
    <x v="0"/>
    <n v="159.91"/>
  </r>
  <r>
    <d v="2025-02-04T00:00:00"/>
    <x v="1"/>
    <x v="13"/>
    <x v="1"/>
    <x v="58"/>
    <x v="3"/>
    <x v="3"/>
    <x v="61"/>
    <x v="0"/>
    <x v="17"/>
    <x v="1"/>
    <x v="0"/>
    <n v="208.14"/>
  </r>
  <r>
    <d v="2025-02-04T00:00:00"/>
    <x v="1"/>
    <x v="13"/>
    <x v="1"/>
    <x v="50"/>
    <x v="7"/>
    <x v="7"/>
    <x v="83"/>
    <x v="0"/>
    <x v="20"/>
    <x v="9"/>
    <x v="6"/>
    <n v="541.14"/>
  </r>
  <r>
    <d v="2025-02-05T00:00:00"/>
    <x v="1"/>
    <x v="13"/>
    <x v="1"/>
    <x v="24"/>
    <x v="6"/>
    <x v="6"/>
    <x v="36"/>
    <x v="0"/>
    <x v="14"/>
    <x v="6"/>
    <x v="4"/>
    <n v="1.99"/>
  </r>
  <r>
    <d v="2025-02-05T00:00:00"/>
    <x v="1"/>
    <x v="13"/>
    <x v="1"/>
    <x v="69"/>
    <x v="1"/>
    <x v="1"/>
    <x v="19"/>
    <x v="0"/>
    <x v="5"/>
    <x v="6"/>
    <x v="4"/>
    <n v="3.99"/>
  </r>
  <r>
    <d v="2025-02-05T00:00:00"/>
    <x v="1"/>
    <x v="13"/>
    <x v="0"/>
    <x v="64"/>
    <x v="3"/>
    <x v="3"/>
    <x v="70"/>
    <x v="0"/>
    <x v="3"/>
    <x v="6"/>
    <x v="4"/>
    <n v="124.75"/>
  </r>
  <r>
    <d v="2025-02-05T00:00:00"/>
    <x v="1"/>
    <x v="13"/>
    <x v="1"/>
    <x v="37"/>
    <x v="6"/>
    <x v="6"/>
    <x v="39"/>
    <x v="0"/>
    <x v="14"/>
    <x v="3"/>
    <x v="1"/>
    <n v="140.39"/>
  </r>
  <r>
    <d v="2025-02-05T00:00:00"/>
    <x v="1"/>
    <x v="13"/>
    <x v="1"/>
    <x v="65"/>
    <x v="1"/>
    <x v="1"/>
    <x v="7"/>
    <x v="0"/>
    <x v="10"/>
    <x v="0"/>
    <x v="9"/>
    <n v="511.24"/>
  </r>
  <r>
    <d v="2025-02-06T00:00:00"/>
    <x v="1"/>
    <x v="13"/>
    <x v="1"/>
    <x v="55"/>
    <x v="3"/>
    <x v="3"/>
    <x v="68"/>
    <x v="0"/>
    <x v="1"/>
    <x v="1"/>
    <x v="0"/>
    <n v="14.99"/>
  </r>
  <r>
    <d v="2025-02-06T00:00:00"/>
    <x v="1"/>
    <x v="13"/>
    <x v="0"/>
    <x v="82"/>
    <x v="6"/>
    <x v="6"/>
    <x v="47"/>
    <x v="0"/>
    <x v="13"/>
    <x v="1"/>
    <x v="0"/>
    <n v="78.97"/>
  </r>
  <r>
    <d v="2025-02-06T00:00:00"/>
    <x v="1"/>
    <x v="13"/>
    <x v="1"/>
    <x v="14"/>
    <x v="6"/>
    <x v="6"/>
    <x v="45"/>
    <x v="0"/>
    <x v="7"/>
    <x v="2"/>
    <x v="2"/>
    <n v="1930.67"/>
  </r>
  <r>
    <d v="2025-02-06T00:00:00"/>
    <x v="1"/>
    <x v="13"/>
    <x v="1"/>
    <x v="70"/>
    <x v="6"/>
    <x v="6"/>
    <x v="33"/>
    <x v="0"/>
    <x v="14"/>
    <x v="3"/>
    <x v="1"/>
    <n v="2560.05"/>
  </r>
  <r>
    <d v="2025-02-06T00:00:00"/>
    <x v="1"/>
    <x v="13"/>
    <x v="0"/>
    <x v="2"/>
    <x v="1"/>
    <x v="1"/>
    <x v="2"/>
    <x v="0"/>
    <x v="6"/>
    <x v="9"/>
    <x v="6"/>
    <n v="7207.76"/>
  </r>
  <r>
    <d v="2025-02-07T00:00:00"/>
    <x v="1"/>
    <x v="13"/>
    <x v="1"/>
    <x v="92"/>
    <x v="6"/>
    <x v="6"/>
    <x v="40"/>
    <x v="0"/>
    <x v="7"/>
    <x v="2"/>
    <x v="2"/>
    <n v="12.99"/>
  </r>
  <r>
    <d v="2025-02-07T00:00:00"/>
    <x v="1"/>
    <x v="13"/>
    <x v="0"/>
    <x v="46"/>
    <x v="6"/>
    <x v="6"/>
    <x v="42"/>
    <x v="0"/>
    <x v="7"/>
    <x v="4"/>
    <x v="7"/>
    <n v="98.95"/>
  </r>
  <r>
    <d v="2025-02-08T00:00:00"/>
    <x v="1"/>
    <x v="13"/>
    <x v="1"/>
    <x v="89"/>
    <x v="1"/>
    <x v="1"/>
    <x v="18"/>
    <x v="0"/>
    <x v="5"/>
    <x v="8"/>
    <x v="5"/>
    <n v="13.97"/>
  </r>
  <r>
    <d v="2025-02-08T00:00:00"/>
    <x v="1"/>
    <x v="13"/>
    <x v="1"/>
    <x v="84"/>
    <x v="3"/>
    <x v="3"/>
    <x v="53"/>
    <x v="0"/>
    <x v="19"/>
    <x v="7"/>
    <x v="3"/>
    <n v="25.79"/>
  </r>
  <r>
    <d v="2025-02-08T00:00:00"/>
    <x v="1"/>
    <x v="13"/>
    <x v="0"/>
    <x v="84"/>
    <x v="3"/>
    <x v="3"/>
    <x v="53"/>
    <x v="0"/>
    <x v="19"/>
    <x v="1"/>
    <x v="0"/>
    <n v="91.34"/>
  </r>
  <r>
    <d v="2025-02-08T00:00:00"/>
    <x v="1"/>
    <x v="13"/>
    <x v="1"/>
    <x v="55"/>
    <x v="3"/>
    <x v="3"/>
    <x v="68"/>
    <x v="0"/>
    <x v="1"/>
    <x v="6"/>
    <x v="4"/>
    <n v="124.8"/>
  </r>
  <r>
    <d v="2025-02-08T00:00:00"/>
    <x v="1"/>
    <x v="13"/>
    <x v="1"/>
    <x v="64"/>
    <x v="3"/>
    <x v="3"/>
    <x v="70"/>
    <x v="0"/>
    <x v="3"/>
    <x v="4"/>
    <x v="7"/>
    <n v="192.67"/>
  </r>
  <r>
    <d v="2025-02-08T00:00:00"/>
    <x v="1"/>
    <x v="13"/>
    <x v="1"/>
    <x v="32"/>
    <x v="1"/>
    <x v="1"/>
    <x v="28"/>
    <x v="0"/>
    <x v="8"/>
    <x v="2"/>
    <x v="2"/>
    <n v="6156.31"/>
  </r>
  <r>
    <d v="2025-02-09T00:00:00"/>
    <x v="1"/>
    <x v="13"/>
    <x v="1"/>
    <x v="74"/>
    <x v="4"/>
    <x v="4"/>
    <x v="75"/>
    <x v="0"/>
    <x v="15"/>
    <x v="8"/>
    <x v="5"/>
    <n v="19.96"/>
  </r>
  <r>
    <d v="2025-02-09T00:00:00"/>
    <x v="1"/>
    <x v="13"/>
    <x v="1"/>
    <x v="57"/>
    <x v="4"/>
    <x v="4"/>
    <x v="74"/>
    <x v="0"/>
    <x v="15"/>
    <x v="5"/>
    <x v="8"/>
    <n v="86.48"/>
  </r>
  <r>
    <d v="2025-02-09T00:00:00"/>
    <x v="1"/>
    <x v="13"/>
    <x v="1"/>
    <x v="19"/>
    <x v="7"/>
    <x v="7"/>
    <x v="88"/>
    <x v="0"/>
    <x v="12"/>
    <x v="9"/>
    <x v="6"/>
    <n v="176.79"/>
  </r>
  <r>
    <d v="2025-02-09T00:00:00"/>
    <x v="1"/>
    <x v="13"/>
    <x v="1"/>
    <x v="29"/>
    <x v="6"/>
    <x v="6"/>
    <x v="35"/>
    <x v="0"/>
    <x v="14"/>
    <x v="3"/>
    <x v="1"/>
    <n v="248.3"/>
  </r>
  <r>
    <d v="2025-02-10T00:00:00"/>
    <x v="1"/>
    <x v="13"/>
    <x v="1"/>
    <x v="20"/>
    <x v="3"/>
    <x v="3"/>
    <x v="71"/>
    <x v="0"/>
    <x v="3"/>
    <x v="8"/>
    <x v="5"/>
    <n v="3.0"/>
  </r>
  <r>
    <d v="2025-02-10T00:00:00"/>
    <x v="1"/>
    <x v="13"/>
    <x v="1"/>
    <x v="16"/>
    <x v="7"/>
    <x v="7"/>
    <x v="92"/>
    <x v="0"/>
    <x v="9"/>
    <x v="1"/>
    <x v="0"/>
    <n v="39.97"/>
  </r>
  <r>
    <d v="2025-02-10T00:00:00"/>
    <x v="1"/>
    <x v="13"/>
    <x v="1"/>
    <x v="45"/>
    <x v="3"/>
    <x v="3"/>
    <x v="64"/>
    <x v="0"/>
    <x v="1"/>
    <x v="5"/>
    <x v="8"/>
    <n v="49.94"/>
  </r>
  <r>
    <d v="2025-02-10T00:00:00"/>
    <x v="1"/>
    <x v="13"/>
    <x v="1"/>
    <x v="77"/>
    <x v="3"/>
    <x v="3"/>
    <x v="66"/>
    <x v="0"/>
    <x v="1"/>
    <x v="2"/>
    <x v="2"/>
    <n v="359.89"/>
  </r>
  <r>
    <d v="2025-02-10T00:00:00"/>
    <x v="1"/>
    <x v="13"/>
    <x v="1"/>
    <x v="65"/>
    <x v="1"/>
    <x v="1"/>
    <x v="7"/>
    <x v="0"/>
    <x v="10"/>
    <x v="6"/>
    <x v="4"/>
    <n v="371.73"/>
  </r>
  <r>
    <d v="2025-02-10T00:00:00"/>
    <x v="1"/>
    <x v="13"/>
    <x v="0"/>
    <x v="4"/>
    <x v="6"/>
    <x v="6"/>
    <x v="29"/>
    <x v="0"/>
    <x v="2"/>
    <x v="0"/>
    <x v="9"/>
    <n v="706.49"/>
  </r>
  <r>
    <d v="2025-02-10T00:00:00"/>
    <x v="1"/>
    <x v="13"/>
    <x v="1"/>
    <x v="69"/>
    <x v="1"/>
    <x v="1"/>
    <x v="19"/>
    <x v="0"/>
    <x v="5"/>
    <x v="3"/>
    <x v="1"/>
    <n v="2394.22"/>
  </r>
  <r>
    <d v="2025-02-11T00:00:00"/>
    <x v="1"/>
    <x v="13"/>
    <x v="1"/>
    <x v="64"/>
    <x v="3"/>
    <x v="3"/>
    <x v="70"/>
    <x v="0"/>
    <x v="3"/>
    <x v="3"/>
    <x v="1"/>
    <n v="6.5"/>
  </r>
  <r>
    <d v="2025-02-11T00:00:00"/>
    <x v="1"/>
    <x v="13"/>
    <x v="1"/>
    <x v="72"/>
    <x v="1"/>
    <x v="1"/>
    <x v="24"/>
    <x v="0"/>
    <x v="8"/>
    <x v="1"/>
    <x v="0"/>
    <n v="25.98"/>
  </r>
  <r>
    <d v="2025-02-11T00:00:00"/>
    <x v="1"/>
    <x v="13"/>
    <x v="0"/>
    <x v="82"/>
    <x v="6"/>
    <x v="6"/>
    <x v="47"/>
    <x v="0"/>
    <x v="13"/>
    <x v="0"/>
    <x v="9"/>
    <n v="157.45"/>
  </r>
  <r>
    <d v="2025-02-11T00:00:00"/>
    <x v="1"/>
    <x v="13"/>
    <x v="1"/>
    <x v="23"/>
    <x v="1"/>
    <x v="1"/>
    <x v="12"/>
    <x v="0"/>
    <x v="10"/>
    <x v="3"/>
    <x v="1"/>
    <n v="521.82"/>
  </r>
  <r>
    <d v="2025-02-11T00:00:00"/>
    <x v="1"/>
    <x v="13"/>
    <x v="1"/>
    <x v="83"/>
    <x v="3"/>
    <x v="3"/>
    <x v="56"/>
    <x v="0"/>
    <x v="16"/>
    <x v="1"/>
    <x v="0"/>
    <n v="641.61"/>
  </r>
  <r>
    <d v="2025-02-11T00:00:00"/>
    <x v="1"/>
    <x v="13"/>
    <x v="1"/>
    <x v="69"/>
    <x v="1"/>
    <x v="1"/>
    <x v="19"/>
    <x v="0"/>
    <x v="5"/>
    <x v="0"/>
    <x v="9"/>
    <n v="692.31"/>
  </r>
  <r>
    <d v="2025-02-11T00:00:00"/>
    <x v="1"/>
    <x v="13"/>
    <x v="1"/>
    <x v="12"/>
    <x v="1"/>
    <x v="1"/>
    <x v="26"/>
    <x v="0"/>
    <x v="8"/>
    <x v="5"/>
    <x v="8"/>
    <n v="727.33"/>
  </r>
  <r>
    <d v="2025-02-11T00:00:00"/>
    <x v="1"/>
    <x v="13"/>
    <x v="1"/>
    <x v="83"/>
    <x v="3"/>
    <x v="3"/>
    <x v="56"/>
    <x v="0"/>
    <x v="16"/>
    <x v="2"/>
    <x v="2"/>
    <n v="1043.78"/>
  </r>
  <r>
    <d v="2025-02-12T00:00:00"/>
    <x v="1"/>
    <x v="13"/>
    <x v="1"/>
    <x v="7"/>
    <x v="1"/>
    <x v="1"/>
    <x v="10"/>
    <x v="0"/>
    <x v="10"/>
    <x v="6"/>
    <x v="4"/>
    <n v="49.9"/>
  </r>
  <r>
    <d v="2025-02-12T00:00:00"/>
    <x v="1"/>
    <x v="13"/>
    <x v="0"/>
    <x v="4"/>
    <x v="6"/>
    <x v="6"/>
    <x v="29"/>
    <x v="0"/>
    <x v="2"/>
    <x v="3"/>
    <x v="1"/>
    <n v="4340.58"/>
  </r>
  <r>
    <d v="2025-02-13T00:00:00"/>
    <x v="1"/>
    <x v="13"/>
    <x v="1"/>
    <x v="46"/>
    <x v="6"/>
    <x v="6"/>
    <x v="42"/>
    <x v="0"/>
    <x v="7"/>
    <x v="3"/>
    <x v="1"/>
    <n v="7.99"/>
  </r>
  <r>
    <d v="2025-02-13T00:00:00"/>
    <x v="1"/>
    <x v="13"/>
    <x v="1"/>
    <x v="52"/>
    <x v="1"/>
    <x v="1"/>
    <x v="11"/>
    <x v="0"/>
    <x v="10"/>
    <x v="1"/>
    <x v="0"/>
    <n v="453.55"/>
  </r>
  <r>
    <d v="2025-02-13T00:00:00"/>
    <x v="1"/>
    <x v="13"/>
    <x v="0"/>
    <x v="88"/>
    <x v="1"/>
    <x v="1"/>
    <x v="17"/>
    <x v="0"/>
    <x v="4"/>
    <x v="4"/>
    <x v="7"/>
    <n v="566.74"/>
  </r>
  <r>
    <d v="2025-02-13T00:00:00"/>
    <x v="1"/>
    <x v="13"/>
    <x v="1"/>
    <x v="38"/>
    <x v="0"/>
    <x v="0"/>
    <x v="21"/>
    <x v="0"/>
    <x v="5"/>
    <x v="4"/>
    <x v="7"/>
    <n v="771.81"/>
  </r>
  <r>
    <d v="2025-02-13T00:00:00"/>
    <x v="1"/>
    <x v="13"/>
    <x v="0"/>
    <x v="4"/>
    <x v="6"/>
    <x v="6"/>
    <x v="29"/>
    <x v="0"/>
    <x v="2"/>
    <x v="3"/>
    <x v="1"/>
    <n v="1421.04"/>
  </r>
  <r>
    <d v="2025-02-14T00:00:00"/>
    <x v="1"/>
    <x v="13"/>
    <x v="1"/>
    <x v="41"/>
    <x v="5"/>
    <x v="5"/>
    <x v="93"/>
    <x v="0"/>
    <x v="18"/>
    <x v="0"/>
    <x v="9"/>
    <n v="135.84"/>
  </r>
  <r>
    <d v="2025-02-14T00:00:00"/>
    <x v="1"/>
    <x v="13"/>
    <x v="1"/>
    <x v="67"/>
    <x v="3"/>
    <x v="3"/>
    <x v="62"/>
    <x v="0"/>
    <x v="17"/>
    <x v="6"/>
    <x v="4"/>
    <n v="414.75"/>
  </r>
  <r>
    <d v="2025-02-14T00:00:00"/>
    <x v="1"/>
    <x v="13"/>
    <x v="1"/>
    <x v="27"/>
    <x v="6"/>
    <x v="6"/>
    <x v="31"/>
    <x v="0"/>
    <x v="2"/>
    <x v="6"/>
    <x v="4"/>
    <n v="467.8"/>
  </r>
  <r>
    <d v="2025-02-14T00:00:00"/>
    <x v="1"/>
    <x v="13"/>
    <x v="0"/>
    <x v="14"/>
    <x v="6"/>
    <x v="6"/>
    <x v="45"/>
    <x v="0"/>
    <x v="7"/>
    <x v="0"/>
    <x v="9"/>
    <n v="901.29"/>
  </r>
  <r>
    <d v="2025-02-14T00:00:00"/>
    <x v="1"/>
    <x v="13"/>
    <x v="1"/>
    <x v="44"/>
    <x v="6"/>
    <x v="6"/>
    <x v="49"/>
    <x v="0"/>
    <x v="13"/>
    <x v="3"/>
    <x v="1"/>
    <n v="1005.53"/>
  </r>
  <r>
    <d v="2025-02-14T00:00:00"/>
    <x v="1"/>
    <x v="13"/>
    <x v="1"/>
    <x v="30"/>
    <x v="6"/>
    <x v="6"/>
    <x v="37"/>
    <x v="0"/>
    <x v="14"/>
    <x v="3"/>
    <x v="1"/>
    <n v="1050.08"/>
  </r>
  <r>
    <d v="2025-02-14T00:00:00"/>
    <x v="1"/>
    <x v="13"/>
    <x v="1"/>
    <x v="27"/>
    <x v="6"/>
    <x v="6"/>
    <x v="31"/>
    <x v="0"/>
    <x v="2"/>
    <x v="3"/>
    <x v="1"/>
    <n v="1167.53"/>
  </r>
  <r>
    <d v="2025-02-14T00:00:00"/>
    <x v="1"/>
    <x v="13"/>
    <x v="1"/>
    <x v="84"/>
    <x v="3"/>
    <x v="3"/>
    <x v="53"/>
    <x v="0"/>
    <x v="19"/>
    <x v="3"/>
    <x v="1"/>
    <n v="2064.23"/>
  </r>
  <r>
    <d v="2025-02-14T00:00:00"/>
    <x v="1"/>
    <x v="13"/>
    <x v="1"/>
    <x v="37"/>
    <x v="6"/>
    <x v="6"/>
    <x v="39"/>
    <x v="0"/>
    <x v="14"/>
    <x v="3"/>
    <x v="1"/>
    <n v="2682.17"/>
  </r>
  <r>
    <d v="2025-02-15T00:00:00"/>
    <x v="1"/>
    <x v="13"/>
    <x v="1"/>
    <x v="39"/>
    <x v="7"/>
    <x v="7"/>
    <x v="91"/>
    <x v="0"/>
    <x v="9"/>
    <x v="0"/>
    <x v="9"/>
    <n v="9.98"/>
  </r>
  <r>
    <d v="2025-02-15T00:00:00"/>
    <x v="1"/>
    <x v="13"/>
    <x v="0"/>
    <x v="20"/>
    <x v="3"/>
    <x v="3"/>
    <x v="71"/>
    <x v="0"/>
    <x v="3"/>
    <x v="4"/>
    <x v="7"/>
    <n v="11.97"/>
  </r>
  <r>
    <d v="2025-02-15T00:00:00"/>
    <x v="1"/>
    <x v="13"/>
    <x v="1"/>
    <x v="79"/>
    <x v="1"/>
    <x v="1"/>
    <x v="8"/>
    <x v="0"/>
    <x v="10"/>
    <x v="4"/>
    <x v="7"/>
    <n v="23.0"/>
  </r>
  <r>
    <d v="2025-02-15T00:00:00"/>
    <x v="1"/>
    <x v="13"/>
    <x v="1"/>
    <x v="37"/>
    <x v="6"/>
    <x v="6"/>
    <x v="39"/>
    <x v="0"/>
    <x v="14"/>
    <x v="4"/>
    <x v="7"/>
    <n v="31.92"/>
  </r>
  <r>
    <d v="2025-02-15T00:00:00"/>
    <x v="1"/>
    <x v="13"/>
    <x v="1"/>
    <x v="94"/>
    <x v="6"/>
    <x v="6"/>
    <x v="48"/>
    <x v="0"/>
    <x v="13"/>
    <x v="5"/>
    <x v="8"/>
    <n v="121.76"/>
  </r>
  <r>
    <d v="2025-02-15T00:00:00"/>
    <x v="1"/>
    <x v="13"/>
    <x v="1"/>
    <x v="95"/>
    <x v="4"/>
    <x v="4"/>
    <x v="73"/>
    <x v="0"/>
    <x v="15"/>
    <x v="3"/>
    <x v="1"/>
    <n v="212.8"/>
  </r>
  <r>
    <d v="2025-02-15T00:00:00"/>
    <x v="1"/>
    <x v="13"/>
    <x v="1"/>
    <x v="5"/>
    <x v="1"/>
    <x v="1"/>
    <x v="14"/>
    <x v="0"/>
    <x v="4"/>
    <x v="8"/>
    <x v="5"/>
    <n v="234.91"/>
  </r>
  <r>
    <d v="2025-02-15T00:00:00"/>
    <x v="1"/>
    <x v="13"/>
    <x v="1"/>
    <x v="76"/>
    <x v="6"/>
    <x v="6"/>
    <x v="34"/>
    <x v="0"/>
    <x v="14"/>
    <x v="6"/>
    <x v="4"/>
    <n v="313.61"/>
  </r>
  <r>
    <d v="2025-02-15T00:00:00"/>
    <x v="1"/>
    <x v="13"/>
    <x v="1"/>
    <x v="20"/>
    <x v="3"/>
    <x v="3"/>
    <x v="71"/>
    <x v="0"/>
    <x v="3"/>
    <x v="4"/>
    <x v="7"/>
    <n v="487.58"/>
  </r>
  <r>
    <d v="2025-02-15T00:00:00"/>
    <x v="1"/>
    <x v="13"/>
    <x v="1"/>
    <x v="81"/>
    <x v="4"/>
    <x v="4"/>
    <x v="77"/>
    <x v="0"/>
    <x v="15"/>
    <x v="9"/>
    <x v="6"/>
    <n v="1325.69"/>
  </r>
  <r>
    <d v="2025-02-16T00:00:00"/>
    <x v="1"/>
    <x v="13"/>
    <x v="0"/>
    <x v="70"/>
    <x v="6"/>
    <x v="6"/>
    <x v="33"/>
    <x v="0"/>
    <x v="14"/>
    <x v="1"/>
    <x v="0"/>
    <n v="21.0"/>
  </r>
  <r>
    <d v="2025-02-16T00:00:00"/>
    <x v="1"/>
    <x v="13"/>
    <x v="1"/>
    <x v="11"/>
    <x v="1"/>
    <x v="1"/>
    <x v="15"/>
    <x v="0"/>
    <x v="4"/>
    <x v="4"/>
    <x v="7"/>
    <n v="115.71"/>
  </r>
  <r>
    <d v="2025-02-17T00:00:00"/>
    <x v="1"/>
    <x v="13"/>
    <x v="1"/>
    <x v="15"/>
    <x v="4"/>
    <x v="4"/>
    <x v="79"/>
    <x v="0"/>
    <x v="0"/>
    <x v="3"/>
    <x v="1"/>
    <n v="11.98"/>
  </r>
  <r>
    <d v="2025-02-17T00:00:00"/>
    <x v="1"/>
    <x v="13"/>
    <x v="1"/>
    <x v="72"/>
    <x v="1"/>
    <x v="1"/>
    <x v="24"/>
    <x v="0"/>
    <x v="8"/>
    <x v="5"/>
    <x v="8"/>
    <n v="76.9"/>
  </r>
  <r>
    <d v="2025-02-17T00:00:00"/>
    <x v="1"/>
    <x v="13"/>
    <x v="1"/>
    <x v="90"/>
    <x v="3"/>
    <x v="3"/>
    <x v="55"/>
    <x v="0"/>
    <x v="19"/>
    <x v="0"/>
    <x v="9"/>
    <n v="403.25"/>
  </r>
  <r>
    <d v="2025-02-17T00:00:00"/>
    <x v="1"/>
    <x v="13"/>
    <x v="1"/>
    <x v="92"/>
    <x v="6"/>
    <x v="6"/>
    <x v="40"/>
    <x v="0"/>
    <x v="7"/>
    <x v="5"/>
    <x v="8"/>
    <n v="739.65"/>
  </r>
  <r>
    <d v="2025-02-17T00:00:00"/>
    <x v="1"/>
    <x v="13"/>
    <x v="1"/>
    <x v="69"/>
    <x v="1"/>
    <x v="1"/>
    <x v="19"/>
    <x v="0"/>
    <x v="5"/>
    <x v="5"/>
    <x v="8"/>
    <n v="2914.87"/>
  </r>
  <r>
    <d v="2025-02-18T00:00:00"/>
    <x v="1"/>
    <x v="13"/>
    <x v="0"/>
    <x v="30"/>
    <x v="6"/>
    <x v="6"/>
    <x v="37"/>
    <x v="0"/>
    <x v="14"/>
    <x v="5"/>
    <x v="8"/>
    <n v="79.95"/>
  </r>
  <r>
    <d v="2025-02-18T00:00:00"/>
    <x v="1"/>
    <x v="13"/>
    <x v="0"/>
    <x v="85"/>
    <x v="6"/>
    <x v="6"/>
    <x v="43"/>
    <x v="0"/>
    <x v="7"/>
    <x v="4"/>
    <x v="7"/>
    <n v="148.33"/>
  </r>
  <r>
    <d v="2025-02-18T00:00:00"/>
    <x v="1"/>
    <x v="13"/>
    <x v="0"/>
    <x v="41"/>
    <x v="5"/>
    <x v="5"/>
    <x v="93"/>
    <x v="0"/>
    <x v="18"/>
    <x v="9"/>
    <x v="6"/>
    <n v="394.56"/>
  </r>
  <r>
    <d v="2025-02-18T00:00:00"/>
    <x v="1"/>
    <x v="13"/>
    <x v="0"/>
    <x v="33"/>
    <x v="1"/>
    <x v="1"/>
    <x v="13"/>
    <x v="0"/>
    <x v="10"/>
    <x v="5"/>
    <x v="8"/>
    <n v="414.34"/>
  </r>
  <r>
    <d v="2025-02-18T00:00:00"/>
    <x v="1"/>
    <x v="13"/>
    <x v="1"/>
    <x v="25"/>
    <x v="1"/>
    <x v="1"/>
    <x v="6"/>
    <x v="0"/>
    <x v="6"/>
    <x v="1"/>
    <x v="0"/>
    <n v="1077.37"/>
  </r>
  <r>
    <d v="2025-02-18T00:00:00"/>
    <x v="1"/>
    <x v="13"/>
    <x v="1"/>
    <x v="14"/>
    <x v="6"/>
    <x v="6"/>
    <x v="45"/>
    <x v="0"/>
    <x v="7"/>
    <x v="3"/>
    <x v="1"/>
    <n v="1085.72"/>
  </r>
  <r>
    <d v="2025-02-18T00:00:00"/>
    <x v="1"/>
    <x v="13"/>
    <x v="1"/>
    <x v="32"/>
    <x v="1"/>
    <x v="1"/>
    <x v="28"/>
    <x v="0"/>
    <x v="8"/>
    <x v="5"/>
    <x v="8"/>
    <n v="2972.07"/>
  </r>
  <r>
    <d v="2025-02-19T00:00:00"/>
    <x v="1"/>
    <x v="13"/>
    <x v="1"/>
    <x v="33"/>
    <x v="1"/>
    <x v="1"/>
    <x v="13"/>
    <x v="0"/>
    <x v="10"/>
    <x v="1"/>
    <x v="0"/>
    <n v="3.0"/>
  </r>
  <r>
    <d v="2025-02-19T00:00:00"/>
    <x v="1"/>
    <x v="13"/>
    <x v="1"/>
    <x v="40"/>
    <x v="3"/>
    <x v="3"/>
    <x v="65"/>
    <x v="0"/>
    <x v="1"/>
    <x v="0"/>
    <x v="9"/>
    <n v="14.95"/>
  </r>
  <r>
    <d v="2025-02-19T00:00:00"/>
    <x v="1"/>
    <x v="13"/>
    <x v="1"/>
    <x v="80"/>
    <x v="6"/>
    <x v="6"/>
    <x v="38"/>
    <x v="0"/>
    <x v="14"/>
    <x v="0"/>
    <x v="9"/>
    <n v="16.5"/>
  </r>
  <r>
    <d v="2025-02-19T00:00:00"/>
    <x v="1"/>
    <x v="13"/>
    <x v="0"/>
    <x v="85"/>
    <x v="6"/>
    <x v="6"/>
    <x v="43"/>
    <x v="0"/>
    <x v="7"/>
    <x v="6"/>
    <x v="4"/>
    <n v="94.81"/>
  </r>
  <r>
    <d v="2025-02-19T00:00:00"/>
    <x v="1"/>
    <x v="13"/>
    <x v="0"/>
    <x v="44"/>
    <x v="6"/>
    <x v="6"/>
    <x v="49"/>
    <x v="0"/>
    <x v="13"/>
    <x v="1"/>
    <x v="0"/>
    <n v="103.92"/>
  </r>
  <r>
    <d v="2025-02-19T00:00:00"/>
    <x v="1"/>
    <x v="13"/>
    <x v="0"/>
    <x v="17"/>
    <x v="3"/>
    <x v="3"/>
    <x v="57"/>
    <x v="0"/>
    <x v="16"/>
    <x v="1"/>
    <x v="0"/>
    <n v="109.95"/>
  </r>
  <r>
    <d v="2025-02-19T00:00:00"/>
    <x v="1"/>
    <x v="13"/>
    <x v="1"/>
    <x v="67"/>
    <x v="3"/>
    <x v="3"/>
    <x v="62"/>
    <x v="0"/>
    <x v="17"/>
    <x v="6"/>
    <x v="4"/>
    <n v="364.65"/>
  </r>
  <r>
    <d v="2025-02-19T00:00:00"/>
    <x v="1"/>
    <x v="13"/>
    <x v="1"/>
    <x v="21"/>
    <x v="3"/>
    <x v="3"/>
    <x v="60"/>
    <x v="0"/>
    <x v="17"/>
    <x v="4"/>
    <x v="7"/>
    <n v="442.54"/>
  </r>
  <r>
    <d v="2025-02-19T00:00:00"/>
    <x v="1"/>
    <x v="13"/>
    <x v="1"/>
    <x v="48"/>
    <x v="7"/>
    <x v="7"/>
    <x v="85"/>
    <x v="0"/>
    <x v="20"/>
    <x v="3"/>
    <x v="1"/>
    <n v="500.48"/>
  </r>
  <r>
    <d v="2025-02-19T00:00:00"/>
    <x v="1"/>
    <x v="13"/>
    <x v="1"/>
    <x v="91"/>
    <x v="1"/>
    <x v="1"/>
    <x v="23"/>
    <x v="0"/>
    <x v="8"/>
    <x v="1"/>
    <x v="0"/>
    <n v="610.65"/>
  </r>
  <r>
    <d v="2025-02-20T00:00:00"/>
    <x v="1"/>
    <x v="13"/>
    <x v="1"/>
    <x v="51"/>
    <x v="5"/>
    <x v="5"/>
    <x v="95"/>
    <x v="0"/>
    <x v="18"/>
    <x v="1"/>
    <x v="0"/>
    <n v="36.5"/>
  </r>
  <r>
    <d v="2025-02-20T00:00:00"/>
    <x v="1"/>
    <x v="13"/>
    <x v="0"/>
    <x v="52"/>
    <x v="1"/>
    <x v="1"/>
    <x v="11"/>
    <x v="0"/>
    <x v="10"/>
    <x v="5"/>
    <x v="8"/>
    <n v="96.81"/>
  </r>
  <r>
    <d v="2025-02-20T00:00:00"/>
    <x v="1"/>
    <x v="13"/>
    <x v="1"/>
    <x v="42"/>
    <x v="3"/>
    <x v="3"/>
    <x v="63"/>
    <x v="0"/>
    <x v="17"/>
    <x v="2"/>
    <x v="2"/>
    <n v="204.85"/>
  </r>
  <r>
    <d v="2025-02-20T00:00:00"/>
    <x v="1"/>
    <x v="13"/>
    <x v="1"/>
    <x v="83"/>
    <x v="3"/>
    <x v="3"/>
    <x v="56"/>
    <x v="0"/>
    <x v="16"/>
    <x v="5"/>
    <x v="8"/>
    <n v="379.52"/>
  </r>
  <r>
    <d v="2025-02-20T00:00:00"/>
    <x v="1"/>
    <x v="13"/>
    <x v="1"/>
    <x v="96"/>
    <x v="3"/>
    <x v="3"/>
    <x v="67"/>
    <x v="0"/>
    <x v="1"/>
    <x v="4"/>
    <x v="7"/>
    <n v="565.22"/>
  </r>
  <r>
    <d v="2025-02-20T00:00:00"/>
    <x v="1"/>
    <x v="13"/>
    <x v="1"/>
    <x v="64"/>
    <x v="3"/>
    <x v="3"/>
    <x v="70"/>
    <x v="0"/>
    <x v="3"/>
    <x v="9"/>
    <x v="6"/>
    <n v="723.53"/>
  </r>
  <r>
    <d v="2025-02-20T00:00:00"/>
    <x v="1"/>
    <x v="13"/>
    <x v="1"/>
    <x v="32"/>
    <x v="1"/>
    <x v="1"/>
    <x v="28"/>
    <x v="0"/>
    <x v="8"/>
    <x v="9"/>
    <x v="6"/>
    <n v="1780.12"/>
  </r>
  <r>
    <d v="2025-02-20T00:00:00"/>
    <x v="1"/>
    <x v="13"/>
    <x v="1"/>
    <x v="83"/>
    <x v="3"/>
    <x v="3"/>
    <x v="56"/>
    <x v="0"/>
    <x v="16"/>
    <x v="6"/>
    <x v="4"/>
    <n v="4100.71"/>
  </r>
  <r>
    <d v="2025-02-21T00:00:00"/>
    <x v="1"/>
    <x v="13"/>
    <x v="1"/>
    <x v="93"/>
    <x v="6"/>
    <x v="6"/>
    <x v="30"/>
    <x v="0"/>
    <x v="2"/>
    <x v="1"/>
    <x v="0"/>
    <n v="17.99"/>
  </r>
  <r>
    <d v="2025-02-21T00:00:00"/>
    <x v="1"/>
    <x v="13"/>
    <x v="0"/>
    <x v="75"/>
    <x v="1"/>
    <x v="1"/>
    <x v="4"/>
    <x v="0"/>
    <x v="6"/>
    <x v="4"/>
    <x v="7"/>
    <n v="32.67"/>
  </r>
  <r>
    <d v="2025-02-21T00:00:00"/>
    <x v="1"/>
    <x v="13"/>
    <x v="1"/>
    <x v="27"/>
    <x v="6"/>
    <x v="6"/>
    <x v="31"/>
    <x v="0"/>
    <x v="2"/>
    <x v="6"/>
    <x v="4"/>
    <n v="209.65"/>
  </r>
  <r>
    <d v="2025-02-21T00:00:00"/>
    <x v="1"/>
    <x v="13"/>
    <x v="1"/>
    <x v="14"/>
    <x v="6"/>
    <x v="6"/>
    <x v="45"/>
    <x v="0"/>
    <x v="7"/>
    <x v="4"/>
    <x v="7"/>
    <n v="2202.71"/>
  </r>
  <r>
    <d v="2025-02-22T00:00:00"/>
    <x v="1"/>
    <x v="13"/>
    <x v="1"/>
    <x v="18"/>
    <x v="5"/>
    <x v="5"/>
    <x v="96"/>
    <x v="0"/>
    <x v="18"/>
    <x v="6"/>
    <x v="4"/>
    <n v="2.0"/>
  </r>
  <r>
    <d v="2025-02-22T00:00:00"/>
    <x v="1"/>
    <x v="13"/>
    <x v="1"/>
    <x v="57"/>
    <x v="4"/>
    <x v="4"/>
    <x v="74"/>
    <x v="0"/>
    <x v="15"/>
    <x v="1"/>
    <x v="0"/>
    <n v="29.01"/>
  </r>
  <r>
    <d v="2025-02-22T00:00:00"/>
    <x v="1"/>
    <x v="13"/>
    <x v="0"/>
    <x v="63"/>
    <x v="4"/>
    <x v="4"/>
    <x v="78"/>
    <x v="0"/>
    <x v="0"/>
    <x v="1"/>
    <x v="0"/>
    <n v="29.98"/>
  </r>
  <r>
    <d v="2025-02-22T00:00:00"/>
    <x v="1"/>
    <x v="13"/>
    <x v="1"/>
    <x v="15"/>
    <x v="4"/>
    <x v="4"/>
    <x v="79"/>
    <x v="0"/>
    <x v="0"/>
    <x v="0"/>
    <x v="9"/>
    <n v="75.05"/>
  </r>
  <r>
    <d v="2025-02-22T00:00:00"/>
    <x v="1"/>
    <x v="13"/>
    <x v="1"/>
    <x v="96"/>
    <x v="3"/>
    <x v="3"/>
    <x v="67"/>
    <x v="0"/>
    <x v="1"/>
    <x v="3"/>
    <x v="1"/>
    <n v="127.87"/>
  </r>
  <r>
    <d v="2025-02-22T00:00:00"/>
    <x v="1"/>
    <x v="13"/>
    <x v="0"/>
    <x v="95"/>
    <x v="4"/>
    <x v="4"/>
    <x v="73"/>
    <x v="0"/>
    <x v="15"/>
    <x v="1"/>
    <x v="0"/>
    <n v="277.74"/>
  </r>
  <r>
    <d v="2025-02-22T00:00:00"/>
    <x v="1"/>
    <x v="13"/>
    <x v="1"/>
    <x v="1"/>
    <x v="7"/>
    <x v="7"/>
    <x v="89"/>
    <x v="0"/>
    <x v="12"/>
    <x v="7"/>
    <x v="3"/>
    <n v="591.76"/>
  </r>
  <r>
    <d v="2025-02-22T00:00:00"/>
    <x v="1"/>
    <x v="13"/>
    <x v="1"/>
    <x v="19"/>
    <x v="7"/>
    <x v="7"/>
    <x v="88"/>
    <x v="0"/>
    <x v="12"/>
    <x v="3"/>
    <x v="1"/>
    <n v="3397.31"/>
  </r>
  <r>
    <d v="2025-02-22T00:00:00"/>
    <x v="1"/>
    <x v="13"/>
    <x v="1"/>
    <x v="47"/>
    <x v="3"/>
    <x v="3"/>
    <x v="54"/>
    <x v="0"/>
    <x v="19"/>
    <x v="5"/>
    <x v="8"/>
    <n v="3761.32"/>
  </r>
  <r>
    <d v="2025-02-23T00:00:00"/>
    <x v="1"/>
    <x v="13"/>
    <x v="1"/>
    <x v="79"/>
    <x v="1"/>
    <x v="1"/>
    <x v="8"/>
    <x v="0"/>
    <x v="10"/>
    <x v="2"/>
    <x v="2"/>
    <n v="6.0"/>
  </r>
  <r>
    <d v="2025-02-23T00:00:00"/>
    <x v="1"/>
    <x v="13"/>
    <x v="1"/>
    <x v="13"/>
    <x v="0"/>
    <x v="0"/>
    <x v="22"/>
    <x v="0"/>
    <x v="5"/>
    <x v="1"/>
    <x v="0"/>
    <n v="14.12"/>
  </r>
  <r>
    <d v="2025-02-23T00:00:00"/>
    <x v="1"/>
    <x v="13"/>
    <x v="1"/>
    <x v="70"/>
    <x v="6"/>
    <x v="6"/>
    <x v="33"/>
    <x v="0"/>
    <x v="14"/>
    <x v="3"/>
    <x v="1"/>
    <n v="257.93"/>
  </r>
  <r>
    <d v="2025-02-23T00:00:00"/>
    <x v="1"/>
    <x v="13"/>
    <x v="1"/>
    <x v="25"/>
    <x v="1"/>
    <x v="1"/>
    <x v="6"/>
    <x v="0"/>
    <x v="6"/>
    <x v="1"/>
    <x v="0"/>
    <n v="700.38"/>
  </r>
  <r>
    <d v="2025-02-23T00:00:00"/>
    <x v="1"/>
    <x v="13"/>
    <x v="0"/>
    <x v="41"/>
    <x v="5"/>
    <x v="5"/>
    <x v="93"/>
    <x v="0"/>
    <x v="18"/>
    <x v="9"/>
    <x v="6"/>
    <n v="1853.17"/>
  </r>
  <r>
    <d v="2025-02-24T00:00:00"/>
    <x v="1"/>
    <x v="13"/>
    <x v="1"/>
    <x v="75"/>
    <x v="1"/>
    <x v="1"/>
    <x v="4"/>
    <x v="0"/>
    <x v="6"/>
    <x v="1"/>
    <x v="0"/>
    <n v="8.5"/>
  </r>
  <r>
    <d v="2025-02-24T00:00:00"/>
    <x v="1"/>
    <x v="13"/>
    <x v="1"/>
    <x v="70"/>
    <x v="6"/>
    <x v="6"/>
    <x v="33"/>
    <x v="0"/>
    <x v="14"/>
    <x v="0"/>
    <x v="9"/>
    <n v="62.15"/>
  </r>
  <r>
    <d v="2025-02-24T00:00:00"/>
    <x v="1"/>
    <x v="13"/>
    <x v="0"/>
    <x v="12"/>
    <x v="1"/>
    <x v="1"/>
    <x v="26"/>
    <x v="0"/>
    <x v="8"/>
    <x v="0"/>
    <x v="9"/>
    <n v="105.47"/>
  </r>
  <r>
    <d v="2025-02-24T00:00:00"/>
    <x v="1"/>
    <x v="13"/>
    <x v="1"/>
    <x v="21"/>
    <x v="3"/>
    <x v="3"/>
    <x v="60"/>
    <x v="0"/>
    <x v="17"/>
    <x v="1"/>
    <x v="0"/>
    <n v="348.15"/>
  </r>
  <r>
    <d v="2025-02-24T00:00:00"/>
    <x v="1"/>
    <x v="13"/>
    <x v="0"/>
    <x v="4"/>
    <x v="6"/>
    <x v="6"/>
    <x v="29"/>
    <x v="0"/>
    <x v="2"/>
    <x v="1"/>
    <x v="0"/>
    <n v="940.21"/>
  </r>
  <r>
    <d v="2025-02-24T00:00:00"/>
    <x v="1"/>
    <x v="13"/>
    <x v="0"/>
    <x v="4"/>
    <x v="6"/>
    <x v="6"/>
    <x v="29"/>
    <x v="0"/>
    <x v="2"/>
    <x v="3"/>
    <x v="1"/>
    <n v="2967.76"/>
  </r>
  <r>
    <d v="2025-02-25T00:00:00"/>
    <x v="1"/>
    <x v="13"/>
    <x v="0"/>
    <x v="67"/>
    <x v="3"/>
    <x v="3"/>
    <x v="62"/>
    <x v="0"/>
    <x v="17"/>
    <x v="5"/>
    <x v="8"/>
    <n v="47.97"/>
  </r>
  <r>
    <d v="2025-02-25T00:00:00"/>
    <x v="1"/>
    <x v="13"/>
    <x v="1"/>
    <x v="41"/>
    <x v="5"/>
    <x v="5"/>
    <x v="93"/>
    <x v="0"/>
    <x v="18"/>
    <x v="0"/>
    <x v="9"/>
    <n v="80.95"/>
  </r>
  <r>
    <d v="2025-02-25T00:00:00"/>
    <x v="1"/>
    <x v="13"/>
    <x v="0"/>
    <x v="52"/>
    <x v="1"/>
    <x v="1"/>
    <x v="11"/>
    <x v="0"/>
    <x v="10"/>
    <x v="2"/>
    <x v="2"/>
    <n v="123.91"/>
  </r>
  <r>
    <d v="2025-02-25T00:00:00"/>
    <x v="1"/>
    <x v="13"/>
    <x v="0"/>
    <x v="35"/>
    <x v="6"/>
    <x v="6"/>
    <x v="46"/>
    <x v="0"/>
    <x v="7"/>
    <x v="1"/>
    <x v="0"/>
    <n v="171.16"/>
  </r>
  <r>
    <d v="2025-02-25T00:00:00"/>
    <x v="1"/>
    <x v="13"/>
    <x v="1"/>
    <x v="17"/>
    <x v="3"/>
    <x v="3"/>
    <x v="57"/>
    <x v="0"/>
    <x v="16"/>
    <x v="9"/>
    <x v="6"/>
    <n v="1610.69"/>
  </r>
  <r>
    <d v="2025-02-25T00:00:00"/>
    <x v="1"/>
    <x v="13"/>
    <x v="1"/>
    <x v="73"/>
    <x v="4"/>
    <x v="4"/>
    <x v="80"/>
    <x v="0"/>
    <x v="0"/>
    <x v="3"/>
    <x v="1"/>
    <n v="2257.4"/>
  </r>
  <r>
    <d v="2025-02-26T00:00:00"/>
    <x v="1"/>
    <x v="13"/>
    <x v="0"/>
    <x v="35"/>
    <x v="6"/>
    <x v="6"/>
    <x v="46"/>
    <x v="0"/>
    <x v="7"/>
    <x v="9"/>
    <x v="6"/>
    <n v="9.99"/>
  </r>
  <r>
    <d v="2025-02-26T00:00:00"/>
    <x v="1"/>
    <x v="13"/>
    <x v="0"/>
    <x v="16"/>
    <x v="7"/>
    <x v="7"/>
    <x v="92"/>
    <x v="0"/>
    <x v="9"/>
    <x v="0"/>
    <x v="9"/>
    <n v="19.98"/>
  </r>
  <r>
    <d v="2025-02-26T00:00:00"/>
    <x v="1"/>
    <x v="13"/>
    <x v="1"/>
    <x v="29"/>
    <x v="6"/>
    <x v="6"/>
    <x v="35"/>
    <x v="0"/>
    <x v="14"/>
    <x v="8"/>
    <x v="5"/>
    <n v="24.95"/>
  </r>
  <r>
    <d v="2025-02-26T00:00:00"/>
    <x v="1"/>
    <x v="13"/>
    <x v="1"/>
    <x v="81"/>
    <x v="4"/>
    <x v="4"/>
    <x v="77"/>
    <x v="0"/>
    <x v="15"/>
    <x v="8"/>
    <x v="5"/>
    <n v="54.92"/>
  </r>
  <r>
    <d v="2025-02-26T00:00:00"/>
    <x v="1"/>
    <x v="13"/>
    <x v="1"/>
    <x v="47"/>
    <x v="3"/>
    <x v="3"/>
    <x v="54"/>
    <x v="0"/>
    <x v="19"/>
    <x v="1"/>
    <x v="0"/>
    <n v="462.24"/>
  </r>
  <r>
    <d v="2025-02-27T00:00:00"/>
    <x v="1"/>
    <x v="13"/>
    <x v="1"/>
    <x v="53"/>
    <x v="1"/>
    <x v="1"/>
    <x v="16"/>
    <x v="0"/>
    <x v="4"/>
    <x v="5"/>
    <x v="8"/>
    <n v="2.98"/>
  </r>
  <r>
    <d v="2025-02-27T00:00:00"/>
    <x v="1"/>
    <x v="13"/>
    <x v="1"/>
    <x v="14"/>
    <x v="6"/>
    <x v="6"/>
    <x v="45"/>
    <x v="0"/>
    <x v="7"/>
    <x v="8"/>
    <x v="5"/>
    <n v="11.97"/>
  </r>
  <r>
    <d v="2025-02-27T00:00:00"/>
    <x v="1"/>
    <x v="13"/>
    <x v="1"/>
    <x v="57"/>
    <x v="4"/>
    <x v="4"/>
    <x v="74"/>
    <x v="0"/>
    <x v="15"/>
    <x v="0"/>
    <x v="9"/>
    <n v="15.98"/>
  </r>
  <r>
    <d v="2025-02-27T00:00:00"/>
    <x v="1"/>
    <x v="13"/>
    <x v="1"/>
    <x v="31"/>
    <x v="2"/>
    <x v="2"/>
    <x v="0"/>
    <x v="0"/>
    <x v="11"/>
    <x v="6"/>
    <x v="4"/>
    <n v="36.08"/>
  </r>
  <r>
    <d v="2025-02-27T00:00:00"/>
    <x v="1"/>
    <x v="13"/>
    <x v="0"/>
    <x v="56"/>
    <x v="7"/>
    <x v="7"/>
    <x v="86"/>
    <x v="0"/>
    <x v="12"/>
    <x v="1"/>
    <x v="0"/>
    <n v="43.96"/>
  </r>
  <r>
    <d v="2025-02-27T00:00:00"/>
    <x v="1"/>
    <x v="13"/>
    <x v="0"/>
    <x v="64"/>
    <x v="3"/>
    <x v="3"/>
    <x v="70"/>
    <x v="0"/>
    <x v="3"/>
    <x v="5"/>
    <x v="8"/>
    <n v="90.95"/>
  </r>
  <r>
    <d v="2025-02-27T00:00:00"/>
    <x v="1"/>
    <x v="13"/>
    <x v="1"/>
    <x v="5"/>
    <x v="1"/>
    <x v="1"/>
    <x v="14"/>
    <x v="0"/>
    <x v="4"/>
    <x v="7"/>
    <x v="3"/>
    <n v="100.38"/>
  </r>
  <r>
    <d v="2025-02-27T00:00:00"/>
    <x v="1"/>
    <x v="13"/>
    <x v="1"/>
    <x v="57"/>
    <x v="4"/>
    <x v="4"/>
    <x v="74"/>
    <x v="0"/>
    <x v="15"/>
    <x v="1"/>
    <x v="0"/>
    <n v="231.76"/>
  </r>
  <r>
    <d v="2025-02-27T00:00:00"/>
    <x v="1"/>
    <x v="13"/>
    <x v="0"/>
    <x v="0"/>
    <x v="3"/>
    <x v="3"/>
    <x v="69"/>
    <x v="0"/>
    <x v="3"/>
    <x v="8"/>
    <x v="5"/>
    <n v="346.88"/>
  </r>
  <r>
    <d v="2025-02-27T00:00:00"/>
    <x v="1"/>
    <x v="13"/>
    <x v="1"/>
    <x v="32"/>
    <x v="1"/>
    <x v="1"/>
    <x v="28"/>
    <x v="0"/>
    <x v="8"/>
    <x v="7"/>
    <x v="3"/>
    <n v="1115.45"/>
  </r>
  <r>
    <d v="2025-02-28T00:00:00"/>
    <x v="1"/>
    <x v="13"/>
    <x v="0"/>
    <x v="53"/>
    <x v="1"/>
    <x v="1"/>
    <x v="16"/>
    <x v="0"/>
    <x v="4"/>
    <x v="3"/>
    <x v="1"/>
    <n v="23.94"/>
  </r>
  <r>
    <d v="2025-02-28T00:00:00"/>
    <x v="1"/>
    <x v="13"/>
    <x v="1"/>
    <x v="22"/>
    <x v="1"/>
    <x v="1"/>
    <x v="20"/>
    <x v="0"/>
    <x v="5"/>
    <x v="8"/>
    <x v="5"/>
    <n v="83.18"/>
  </r>
  <r>
    <d v="2025-02-28T00:00:00"/>
    <x v="1"/>
    <x v="13"/>
    <x v="1"/>
    <x v="90"/>
    <x v="3"/>
    <x v="3"/>
    <x v="55"/>
    <x v="0"/>
    <x v="19"/>
    <x v="8"/>
    <x v="5"/>
    <n v="345.52"/>
  </r>
  <r>
    <d v="2025-02-28T00:00:00"/>
    <x v="1"/>
    <x v="13"/>
    <x v="1"/>
    <x v="90"/>
    <x v="3"/>
    <x v="3"/>
    <x v="55"/>
    <x v="0"/>
    <x v="19"/>
    <x v="4"/>
    <x v="7"/>
    <n v="503.37"/>
  </r>
  <r>
    <d v="2025-02-28T00:00:00"/>
    <x v="1"/>
    <x v="13"/>
    <x v="1"/>
    <x v="81"/>
    <x v="4"/>
    <x v="4"/>
    <x v="77"/>
    <x v="0"/>
    <x v="15"/>
    <x v="6"/>
    <x v="4"/>
    <n v="634.0"/>
  </r>
  <r>
    <d v="2025-02-28T00:00:00"/>
    <x v="1"/>
    <x v="13"/>
    <x v="1"/>
    <x v="14"/>
    <x v="6"/>
    <x v="6"/>
    <x v="45"/>
    <x v="0"/>
    <x v="7"/>
    <x v="6"/>
    <x v="4"/>
    <n v="848.59"/>
  </r>
  <r>
    <d v="2025-02-28T00:00:00"/>
    <x v="1"/>
    <x v="13"/>
    <x v="1"/>
    <x v="78"/>
    <x v="5"/>
    <x v="5"/>
    <x v="94"/>
    <x v="0"/>
    <x v="18"/>
    <x v="3"/>
    <x v="1"/>
    <n v="1140.44"/>
  </r>
  <r>
    <d v="2025-02-28T00:00:00"/>
    <x v="1"/>
    <x v="13"/>
    <x v="1"/>
    <x v="39"/>
    <x v="7"/>
    <x v="7"/>
    <x v="91"/>
    <x v="0"/>
    <x v="9"/>
    <x v="2"/>
    <x v="2"/>
    <n v="5620.15"/>
  </r>
  <r>
    <d v="2025-03-01T00:00:00"/>
    <x v="1"/>
    <x v="14"/>
    <x v="0"/>
    <x v="12"/>
    <x v="1"/>
    <x v="1"/>
    <x v="26"/>
    <x v="0"/>
    <x v="8"/>
    <x v="4"/>
    <x v="7"/>
    <n v="10.78"/>
  </r>
  <r>
    <d v="2025-03-01T00:00:00"/>
    <x v="1"/>
    <x v="14"/>
    <x v="1"/>
    <x v="26"/>
    <x v="7"/>
    <x v="7"/>
    <x v="81"/>
    <x v="0"/>
    <x v="20"/>
    <x v="1"/>
    <x v="0"/>
    <n v="119.91"/>
  </r>
  <r>
    <d v="2025-03-01T00:00:00"/>
    <x v="1"/>
    <x v="14"/>
    <x v="1"/>
    <x v="69"/>
    <x v="1"/>
    <x v="1"/>
    <x v="19"/>
    <x v="0"/>
    <x v="5"/>
    <x v="5"/>
    <x v="8"/>
    <n v="225.73"/>
  </r>
  <r>
    <d v="2025-03-01T00:00:00"/>
    <x v="1"/>
    <x v="14"/>
    <x v="0"/>
    <x v="58"/>
    <x v="3"/>
    <x v="3"/>
    <x v="61"/>
    <x v="0"/>
    <x v="17"/>
    <x v="4"/>
    <x v="7"/>
    <n v="2440.42"/>
  </r>
  <r>
    <d v="2025-03-01T00:00:00"/>
    <x v="1"/>
    <x v="14"/>
    <x v="1"/>
    <x v="22"/>
    <x v="1"/>
    <x v="1"/>
    <x v="20"/>
    <x v="0"/>
    <x v="5"/>
    <x v="7"/>
    <x v="3"/>
    <n v="2485.36"/>
  </r>
  <r>
    <d v="2025-03-02T00:00:00"/>
    <x v="1"/>
    <x v="14"/>
    <x v="1"/>
    <x v="48"/>
    <x v="7"/>
    <x v="7"/>
    <x v="85"/>
    <x v="0"/>
    <x v="20"/>
    <x v="1"/>
    <x v="0"/>
    <n v="4.5"/>
  </r>
  <r>
    <d v="2025-03-02T00:00:00"/>
    <x v="1"/>
    <x v="14"/>
    <x v="1"/>
    <x v="51"/>
    <x v="5"/>
    <x v="5"/>
    <x v="95"/>
    <x v="0"/>
    <x v="18"/>
    <x v="8"/>
    <x v="5"/>
    <n v="260.57"/>
  </r>
  <r>
    <d v="2025-03-02T00:00:00"/>
    <x v="1"/>
    <x v="14"/>
    <x v="1"/>
    <x v="43"/>
    <x v="7"/>
    <x v="7"/>
    <x v="87"/>
    <x v="0"/>
    <x v="12"/>
    <x v="5"/>
    <x v="8"/>
    <n v="747.3"/>
  </r>
  <r>
    <d v="2025-03-02T00:00:00"/>
    <x v="1"/>
    <x v="14"/>
    <x v="1"/>
    <x v="35"/>
    <x v="6"/>
    <x v="6"/>
    <x v="46"/>
    <x v="0"/>
    <x v="7"/>
    <x v="3"/>
    <x v="1"/>
    <n v="1405.27"/>
  </r>
  <r>
    <d v="2025-03-02T00:00:00"/>
    <x v="1"/>
    <x v="14"/>
    <x v="1"/>
    <x v="84"/>
    <x v="3"/>
    <x v="3"/>
    <x v="53"/>
    <x v="0"/>
    <x v="19"/>
    <x v="9"/>
    <x v="6"/>
    <n v="3625.08"/>
  </r>
  <r>
    <d v="2025-03-03T00:00:00"/>
    <x v="1"/>
    <x v="14"/>
    <x v="1"/>
    <x v="14"/>
    <x v="6"/>
    <x v="6"/>
    <x v="45"/>
    <x v="0"/>
    <x v="7"/>
    <x v="3"/>
    <x v="1"/>
    <n v="9.98"/>
  </r>
  <r>
    <d v="2025-03-03T00:00:00"/>
    <x v="1"/>
    <x v="14"/>
    <x v="1"/>
    <x v="3"/>
    <x v="2"/>
    <x v="2"/>
    <x v="1"/>
    <x v="0"/>
    <x v="11"/>
    <x v="0"/>
    <x v="9"/>
    <n v="13.99"/>
  </r>
  <r>
    <d v="2025-03-03T00:00:00"/>
    <x v="1"/>
    <x v="14"/>
    <x v="1"/>
    <x v="13"/>
    <x v="0"/>
    <x v="0"/>
    <x v="22"/>
    <x v="0"/>
    <x v="5"/>
    <x v="1"/>
    <x v="0"/>
    <n v="20.59"/>
  </r>
  <r>
    <d v="2025-03-03T00:00:00"/>
    <x v="1"/>
    <x v="14"/>
    <x v="1"/>
    <x v="44"/>
    <x v="6"/>
    <x v="6"/>
    <x v="49"/>
    <x v="0"/>
    <x v="13"/>
    <x v="3"/>
    <x v="1"/>
    <n v="35.91"/>
  </r>
  <r>
    <d v="2025-03-03T00:00:00"/>
    <x v="1"/>
    <x v="14"/>
    <x v="1"/>
    <x v="26"/>
    <x v="7"/>
    <x v="7"/>
    <x v="81"/>
    <x v="0"/>
    <x v="20"/>
    <x v="0"/>
    <x v="9"/>
    <n v="169.19"/>
  </r>
  <r>
    <d v="2025-03-03T00:00:00"/>
    <x v="1"/>
    <x v="14"/>
    <x v="0"/>
    <x v="31"/>
    <x v="2"/>
    <x v="2"/>
    <x v="0"/>
    <x v="0"/>
    <x v="11"/>
    <x v="4"/>
    <x v="7"/>
    <n v="215.45"/>
  </r>
  <r>
    <d v="2025-03-03T00:00:00"/>
    <x v="1"/>
    <x v="14"/>
    <x v="1"/>
    <x v="19"/>
    <x v="7"/>
    <x v="7"/>
    <x v="88"/>
    <x v="0"/>
    <x v="12"/>
    <x v="2"/>
    <x v="2"/>
    <n v="237.81"/>
  </r>
  <r>
    <d v="2025-03-03T00:00:00"/>
    <x v="1"/>
    <x v="14"/>
    <x v="1"/>
    <x v="43"/>
    <x v="7"/>
    <x v="7"/>
    <x v="87"/>
    <x v="0"/>
    <x v="12"/>
    <x v="2"/>
    <x v="2"/>
    <n v="288.22"/>
  </r>
  <r>
    <d v="2025-03-04T00:00:00"/>
    <x v="1"/>
    <x v="14"/>
    <x v="1"/>
    <x v="38"/>
    <x v="0"/>
    <x v="0"/>
    <x v="21"/>
    <x v="0"/>
    <x v="5"/>
    <x v="1"/>
    <x v="0"/>
    <n v="14.99"/>
  </r>
  <r>
    <d v="2025-03-04T00:00:00"/>
    <x v="1"/>
    <x v="14"/>
    <x v="0"/>
    <x v="64"/>
    <x v="3"/>
    <x v="3"/>
    <x v="70"/>
    <x v="0"/>
    <x v="3"/>
    <x v="2"/>
    <x v="2"/>
    <n v="35.94"/>
  </r>
  <r>
    <d v="2025-03-04T00:00:00"/>
    <x v="1"/>
    <x v="14"/>
    <x v="1"/>
    <x v="61"/>
    <x v="7"/>
    <x v="7"/>
    <x v="84"/>
    <x v="0"/>
    <x v="20"/>
    <x v="1"/>
    <x v="0"/>
    <n v="245.63"/>
  </r>
  <r>
    <d v="2025-03-04T00:00:00"/>
    <x v="1"/>
    <x v="14"/>
    <x v="1"/>
    <x v="21"/>
    <x v="3"/>
    <x v="3"/>
    <x v="60"/>
    <x v="0"/>
    <x v="17"/>
    <x v="2"/>
    <x v="2"/>
    <n v="282.05"/>
  </r>
  <r>
    <d v="2025-03-04T00:00:00"/>
    <x v="1"/>
    <x v="14"/>
    <x v="1"/>
    <x v="79"/>
    <x v="1"/>
    <x v="1"/>
    <x v="8"/>
    <x v="0"/>
    <x v="10"/>
    <x v="6"/>
    <x v="4"/>
    <n v="358.43"/>
  </r>
  <r>
    <d v="2025-03-05T00:00:00"/>
    <x v="1"/>
    <x v="14"/>
    <x v="1"/>
    <x v="72"/>
    <x v="1"/>
    <x v="1"/>
    <x v="24"/>
    <x v="0"/>
    <x v="8"/>
    <x v="2"/>
    <x v="2"/>
    <n v="29.95"/>
  </r>
  <r>
    <d v="2025-03-06T00:00:00"/>
    <x v="1"/>
    <x v="14"/>
    <x v="1"/>
    <x v="43"/>
    <x v="7"/>
    <x v="7"/>
    <x v="87"/>
    <x v="0"/>
    <x v="12"/>
    <x v="1"/>
    <x v="0"/>
    <n v="42.0"/>
  </r>
  <r>
    <d v="2025-03-06T00:00:00"/>
    <x v="1"/>
    <x v="14"/>
    <x v="1"/>
    <x v="58"/>
    <x v="3"/>
    <x v="3"/>
    <x v="61"/>
    <x v="0"/>
    <x v="17"/>
    <x v="4"/>
    <x v="7"/>
    <n v="317.88"/>
  </r>
  <r>
    <d v="2025-03-07T00:00:00"/>
    <x v="1"/>
    <x v="14"/>
    <x v="1"/>
    <x v="42"/>
    <x v="3"/>
    <x v="3"/>
    <x v="63"/>
    <x v="0"/>
    <x v="17"/>
    <x v="9"/>
    <x v="6"/>
    <n v="25.98"/>
  </r>
  <r>
    <d v="2025-03-07T00:00:00"/>
    <x v="1"/>
    <x v="14"/>
    <x v="1"/>
    <x v="11"/>
    <x v="1"/>
    <x v="1"/>
    <x v="15"/>
    <x v="0"/>
    <x v="4"/>
    <x v="1"/>
    <x v="0"/>
    <n v="30.9"/>
  </r>
  <r>
    <d v="2025-03-07T00:00:00"/>
    <x v="1"/>
    <x v="14"/>
    <x v="0"/>
    <x v="64"/>
    <x v="3"/>
    <x v="3"/>
    <x v="70"/>
    <x v="0"/>
    <x v="3"/>
    <x v="2"/>
    <x v="2"/>
    <n v="57.66"/>
  </r>
  <r>
    <d v="2025-03-07T00:00:00"/>
    <x v="1"/>
    <x v="14"/>
    <x v="1"/>
    <x v="18"/>
    <x v="5"/>
    <x v="5"/>
    <x v="96"/>
    <x v="0"/>
    <x v="18"/>
    <x v="6"/>
    <x v="4"/>
    <n v="224.8"/>
  </r>
  <r>
    <d v="2025-03-07T00:00:00"/>
    <x v="1"/>
    <x v="14"/>
    <x v="1"/>
    <x v="71"/>
    <x v="1"/>
    <x v="1"/>
    <x v="27"/>
    <x v="0"/>
    <x v="8"/>
    <x v="4"/>
    <x v="7"/>
    <n v="362.14"/>
  </r>
  <r>
    <d v="2025-03-07T00:00:00"/>
    <x v="1"/>
    <x v="14"/>
    <x v="1"/>
    <x v="90"/>
    <x v="3"/>
    <x v="3"/>
    <x v="55"/>
    <x v="0"/>
    <x v="19"/>
    <x v="1"/>
    <x v="0"/>
    <n v="803.81"/>
  </r>
  <r>
    <d v="2025-03-07T00:00:00"/>
    <x v="1"/>
    <x v="14"/>
    <x v="1"/>
    <x v="32"/>
    <x v="1"/>
    <x v="1"/>
    <x v="28"/>
    <x v="0"/>
    <x v="8"/>
    <x v="2"/>
    <x v="2"/>
    <n v="1180.13"/>
  </r>
  <r>
    <d v="2025-03-08T00:00:00"/>
    <x v="1"/>
    <x v="14"/>
    <x v="1"/>
    <x v="40"/>
    <x v="3"/>
    <x v="3"/>
    <x v="65"/>
    <x v="0"/>
    <x v="1"/>
    <x v="5"/>
    <x v="8"/>
    <n v="13.99"/>
  </r>
  <r>
    <d v="2025-03-09T00:00:00"/>
    <x v="1"/>
    <x v="14"/>
    <x v="1"/>
    <x v="58"/>
    <x v="3"/>
    <x v="3"/>
    <x v="61"/>
    <x v="0"/>
    <x v="17"/>
    <x v="6"/>
    <x v="4"/>
    <n v="1.6"/>
  </r>
  <r>
    <d v="2025-03-09T00:00:00"/>
    <x v="1"/>
    <x v="14"/>
    <x v="1"/>
    <x v="7"/>
    <x v="1"/>
    <x v="1"/>
    <x v="10"/>
    <x v="0"/>
    <x v="10"/>
    <x v="0"/>
    <x v="9"/>
    <n v="95.73"/>
  </r>
  <r>
    <d v="2025-03-09T00:00:00"/>
    <x v="1"/>
    <x v="14"/>
    <x v="0"/>
    <x v="14"/>
    <x v="6"/>
    <x v="6"/>
    <x v="45"/>
    <x v="0"/>
    <x v="7"/>
    <x v="0"/>
    <x v="9"/>
    <n v="403.37"/>
  </r>
  <r>
    <d v="2025-03-09T00:00:00"/>
    <x v="1"/>
    <x v="14"/>
    <x v="1"/>
    <x v="51"/>
    <x v="5"/>
    <x v="5"/>
    <x v="95"/>
    <x v="0"/>
    <x v="18"/>
    <x v="6"/>
    <x v="4"/>
    <n v="1294.73"/>
  </r>
  <r>
    <d v="2025-03-10T00:00:00"/>
    <x v="1"/>
    <x v="14"/>
    <x v="1"/>
    <x v="33"/>
    <x v="1"/>
    <x v="1"/>
    <x v="13"/>
    <x v="0"/>
    <x v="10"/>
    <x v="4"/>
    <x v="7"/>
    <n v="19.95"/>
  </r>
  <r>
    <d v="2025-03-10T00:00:00"/>
    <x v="1"/>
    <x v="14"/>
    <x v="1"/>
    <x v="40"/>
    <x v="3"/>
    <x v="3"/>
    <x v="65"/>
    <x v="0"/>
    <x v="1"/>
    <x v="1"/>
    <x v="0"/>
    <n v="27.98"/>
  </r>
  <r>
    <d v="2025-03-10T00:00:00"/>
    <x v="1"/>
    <x v="14"/>
    <x v="0"/>
    <x v="91"/>
    <x v="1"/>
    <x v="1"/>
    <x v="23"/>
    <x v="0"/>
    <x v="8"/>
    <x v="5"/>
    <x v="8"/>
    <n v="31.92"/>
  </r>
  <r>
    <d v="2025-03-10T00:00:00"/>
    <x v="1"/>
    <x v="14"/>
    <x v="1"/>
    <x v="69"/>
    <x v="1"/>
    <x v="1"/>
    <x v="19"/>
    <x v="0"/>
    <x v="5"/>
    <x v="4"/>
    <x v="7"/>
    <n v="87.63"/>
  </r>
  <r>
    <d v="2025-03-10T00:00:00"/>
    <x v="1"/>
    <x v="14"/>
    <x v="1"/>
    <x v="44"/>
    <x v="6"/>
    <x v="6"/>
    <x v="49"/>
    <x v="0"/>
    <x v="13"/>
    <x v="5"/>
    <x v="8"/>
    <n v="168.05"/>
  </r>
  <r>
    <d v="2025-03-10T00:00:00"/>
    <x v="1"/>
    <x v="14"/>
    <x v="0"/>
    <x v="9"/>
    <x v="7"/>
    <x v="7"/>
    <x v="82"/>
    <x v="0"/>
    <x v="20"/>
    <x v="0"/>
    <x v="9"/>
    <n v="198.07"/>
  </r>
  <r>
    <d v="2025-03-10T00:00:00"/>
    <x v="1"/>
    <x v="14"/>
    <x v="1"/>
    <x v="28"/>
    <x v="6"/>
    <x v="6"/>
    <x v="51"/>
    <x v="0"/>
    <x v="13"/>
    <x v="3"/>
    <x v="1"/>
    <n v="501.01"/>
  </r>
  <r>
    <d v="2025-03-10T00:00:00"/>
    <x v="1"/>
    <x v="14"/>
    <x v="1"/>
    <x v="82"/>
    <x v="6"/>
    <x v="6"/>
    <x v="47"/>
    <x v="0"/>
    <x v="13"/>
    <x v="2"/>
    <x v="2"/>
    <n v="651.2"/>
  </r>
  <r>
    <d v="2025-03-10T00:00:00"/>
    <x v="1"/>
    <x v="14"/>
    <x v="1"/>
    <x v="69"/>
    <x v="1"/>
    <x v="1"/>
    <x v="19"/>
    <x v="0"/>
    <x v="5"/>
    <x v="1"/>
    <x v="0"/>
    <n v="671.75"/>
  </r>
  <r>
    <d v="2025-03-10T00:00:00"/>
    <x v="1"/>
    <x v="14"/>
    <x v="1"/>
    <x v="74"/>
    <x v="4"/>
    <x v="4"/>
    <x v="75"/>
    <x v="0"/>
    <x v="15"/>
    <x v="6"/>
    <x v="4"/>
    <n v="929.83"/>
  </r>
  <r>
    <d v="2025-03-10T00:00:00"/>
    <x v="1"/>
    <x v="14"/>
    <x v="1"/>
    <x v="92"/>
    <x v="6"/>
    <x v="6"/>
    <x v="40"/>
    <x v="0"/>
    <x v="7"/>
    <x v="2"/>
    <x v="2"/>
    <n v="2866.87"/>
  </r>
  <r>
    <d v="2025-03-11T00:00:00"/>
    <x v="1"/>
    <x v="14"/>
    <x v="1"/>
    <x v="17"/>
    <x v="3"/>
    <x v="3"/>
    <x v="57"/>
    <x v="0"/>
    <x v="16"/>
    <x v="2"/>
    <x v="2"/>
    <n v="51.96"/>
  </r>
  <r>
    <d v="2025-03-11T00:00:00"/>
    <x v="1"/>
    <x v="14"/>
    <x v="0"/>
    <x v="86"/>
    <x v="1"/>
    <x v="1"/>
    <x v="9"/>
    <x v="0"/>
    <x v="10"/>
    <x v="4"/>
    <x v="7"/>
    <n v="95.76"/>
  </r>
  <r>
    <d v="2025-03-11T00:00:00"/>
    <x v="1"/>
    <x v="14"/>
    <x v="1"/>
    <x v="59"/>
    <x v="1"/>
    <x v="1"/>
    <x v="3"/>
    <x v="0"/>
    <x v="6"/>
    <x v="3"/>
    <x v="1"/>
    <n v="148.89"/>
  </r>
  <r>
    <d v="2025-03-11T00:00:00"/>
    <x v="1"/>
    <x v="14"/>
    <x v="1"/>
    <x v="81"/>
    <x v="4"/>
    <x v="4"/>
    <x v="77"/>
    <x v="0"/>
    <x v="15"/>
    <x v="6"/>
    <x v="4"/>
    <n v="942.95"/>
  </r>
  <r>
    <d v="2025-03-11T00:00:00"/>
    <x v="1"/>
    <x v="14"/>
    <x v="1"/>
    <x v="80"/>
    <x v="6"/>
    <x v="6"/>
    <x v="38"/>
    <x v="0"/>
    <x v="14"/>
    <x v="9"/>
    <x v="6"/>
    <n v="1139.74"/>
  </r>
  <r>
    <d v="2025-03-11T00:00:00"/>
    <x v="1"/>
    <x v="14"/>
    <x v="1"/>
    <x v="41"/>
    <x v="5"/>
    <x v="5"/>
    <x v="93"/>
    <x v="0"/>
    <x v="18"/>
    <x v="3"/>
    <x v="1"/>
    <n v="3417.23"/>
  </r>
  <r>
    <d v="2025-03-12T00:00:00"/>
    <x v="1"/>
    <x v="14"/>
    <x v="0"/>
    <x v="13"/>
    <x v="0"/>
    <x v="0"/>
    <x v="22"/>
    <x v="0"/>
    <x v="5"/>
    <x v="6"/>
    <x v="4"/>
    <n v="2.49"/>
  </r>
  <r>
    <d v="2025-03-12T00:00:00"/>
    <x v="1"/>
    <x v="14"/>
    <x v="1"/>
    <x v="10"/>
    <x v="6"/>
    <x v="6"/>
    <x v="41"/>
    <x v="0"/>
    <x v="7"/>
    <x v="2"/>
    <x v="2"/>
    <n v="29.95"/>
  </r>
  <r>
    <d v="2025-03-12T00:00:00"/>
    <x v="1"/>
    <x v="14"/>
    <x v="1"/>
    <x v="95"/>
    <x v="4"/>
    <x v="4"/>
    <x v="73"/>
    <x v="0"/>
    <x v="15"/>
    <x v="1"/>
    <x v="0"/>
    <n v="181.32"/>
  </r>
  <r>
    <d v="2025-03-12T00:00:00"/>
    <x v="1"/>
    <x v="14"/>
    <x v="1"/>
    <x v="69"/>
    <x v="1"/>
    <x v="1"/>
    <x v="19"/>
    <x v="0"/>
    <x v="5"/>
    <x v="4"/>
    <x v="7"/>
    <n v="398.48"/>
  </r>
  <r>
    <d v="2025-03-12T00:00:00"/>
    <x v="1"/>
    <x v="14"/>
    <x v="1"/>
    <x v="51"/>
    <x v="5"/>
    <x v="5"/>
    <x v="95"/>
    <x v="0"/>
    <x v="18"/>
    <x v="3"/>
    <x v="1"/>
    <n v="724.66"/>
  </r>
  <r>
    <d v="2025-03-13T00:00:00"/>
    <x v="1"/>
    <x v="14"/>
    <x v="1"/>
    <x v="23"/>
    <x v="1"/>
    <x v="1"/>
    <x v="12"/>
    <x v="0"/>
    <x v="10"/>
    <x v="6"/>
    <x v="4"/>
    <n v="2.99"/>
  </r>
  <r>
    <d v="2025-03-13T00:00:00"/>
    <x v="1"/>
    <x v="14"/>
    <x v="1"/>
    <x v="94"/>
    <x v="6"/>
    <x v="6"/>
    <x v="48"/>
    <x v="0"/>
    <x v="13"/>
    <x v="1"/>
    <x v="0"/>
    <n v="31.49"/>
  </r>
  <r>
    <d v="2025-03-13T00:00:00"/>
    <x v="1"/>
    <x v="14"/>
    <x v="1"/>
    <x v="74"/>
    <x v="4"/>
    <x v="4"/>
    <x v="75"/>
    <x v="0"/>
    <x v="15"/>
    <x v="8"/>
    <x v="5"/>
    <n v="71.39"/>
  </r>
  <r>
    <d v="2025-03-13T00:00:00"/>
    <x v="1"/>
    <x v="14"/>
    <x v="1"/>
    <x v="11"/>
    <x v="1"/>
    <x v="1"/>
    <x v="15"/>
    <x v="0"/>
    <x v="4"/>
    <x v="8"/>
    <x v="5"/>
    <n v="386.15"/>
  </r>
  <r>
    <d v="2025-03-13T00:00:00"/>
    <x v="1"/>
    <x v="14"/>
    <x v="1"/>
    <x v="17"/>
    <x v="3"/>
    <x v="3"/>
    <x v="57"/>
    <x v="0"/>
    <x v="16"/>
    <x v="3"/>
    <x v="1"/>
    <n v="462.49"/>
  </r>
  <r>
    <d v="2025-03-13T00:00:00"/>
    <x v="1"/>
    <x v="14"/>
    <x v="1"/>
    <x v="71"/>
    <x v="1"/>
    <x v="1"/>
    <x v="27"/>
    <x v="0"/>
    <x v="8"/>
    <x v="7"/>
    <x v="3"/>
    <n v="891.4"/>
  </r>
  <r>
    <d v="2025-03-13T00:00:00"/>
    <x v="1"/>
    <x v="14"/>
    <x v="1"/>
    <x v="12"/>
    <x v="1"/>
    <x v="1"/>
    <x v="26"/>
    <x v="0"/>
    <x v="8"/>
    <x v="1"/>
    <x v="0"/>
    <n v="1331.95"/>
  </r>
  <r>
    <d v="2025-03-13T00:00:00"/>
    <x v="1"/>
    <x v="14"/>
    <x v="1"/>
    <x v="21"/>
    <x v="3"/>
    <x v="3"/>
    <x v="60"/>
    <x v="0"/>
    <x v="17"/>
    <x v="5"/>
    <x v="8"/>
    <n v="3229.35"/>
  </r>
  <r>
    <d v="2025-03-14T00:00:00"/>
    <x v="1"/>
    <x v="14"/>
    <x v="0"/>
    <x v="22"/>
    <x v="1"/>
    <x v="1"/>
    <x v="20"/>
    <x v="0"/>
    <x v="5"/>
    <x v="6"/>
    <x v="4"/>
    <n v="127.82"/>
  </r>
  <r>
    <d v="2025-03-14T00:00:00"/>
    <x v="1"/>
    <x v="14"/>
    <x v="1"/>
    <x v="83"/>
    <x v="3"/>
    <x v="3"/>
    <x v="56"/>
    <x v="0"/>
    <x v="16"/>
    <x v="6"/>
    <x v="4"/>
    <n v="315.27"/>
  </r>
  <r>
    <d v="2025-03-14T00:00:00"/>
    <x v="1"/>
    <x v="14"/>
    <x v="1"/>
    <x v="49"/>
    <x v="3"/>
    <x v="3"/>
    <x v="58"/>
    <x v="0"/>
    <x v="16"/>
    <x v="9"/>
    <x v="6"/>
    <n v="678.63"/>
  </r>
  <r>
    <d v="2025-03-14T00:00:00"/>
    <x v="1"/>
    <x v="14"/>
    <x v="1"/>
    <x v="92"/>
    <x v="6"/>
    <x v="6"/>
    <x v="40"/>
    <x v="0"/>
    <x v="7"/>
    <x v="3"/>
    <x v="1"/>
    <n v="1049.07"/>
  </r>
  <r>
    <d v="2025-03-14T00:00:00"/>
    <x v="1"/>
    <x v="14"/>
    <x v="1"/>
    <x v="86"/>
    <x v="1"/>
    <x v="1"/>
    <x v="9"/>
    <x v="0"/>
    <x v="10"/>
    <x v="2"/>
    <x v="2"/>
    <n v="1088.47"/>
  </r>
  <r>
    <d v="2025-03-14T00:00:00"/>
    <x v="1"/>
    <x v="14"/>
    <x v="1"/>
    <x v="19"/>
    <x v="7"/>
    <x v="7"/>
    <x v="88"/>
    <x v="0"/>
    <x v="12"/>
    <x v="6"/>
    <x v="4"/>
    <n v="4908.06"/>
  </r>
  <r>
    <d v="2025-03-14T00:00:00"/>
    <x v="1"/>
    <x v="14"/>
    <x v="1"/>
    <x v="91"/>
    <x v="1"/>
    <x v="1"/>
    <x v="23"/>
    <x v="0"/>
    <x v="8"/>
    <x v="9"/>
    <x v="6"/>
    <n v="6198.02"/>
  </r>
  <r>
    <d v="2025-03-15T00:00:00"/>
    <x v="1"/>
    <x v="14"/>
    <x v="1"/>
    <x v="14"/>
    <x v="6"/>
    <x v="6"/>
    <x v="45"/>
    <x v="0"/>
    <x v="7"/>
    <x v="1"/>
    <x v="0"/>
    <n v="45.89"/>
  </r>
  <r>
    <d v="2025-03-15T00:00:00"/>
    <x v="1"/>
    <x v="14"/>
    <x v="1"/>
    <x v="43"/>
    <x v="7"/>
    <x v="7"/>
    <x v="87"/>
    <x v="0"/>
    <x v="12"/>
    <x v="1"/>
    <x v="0"/>
    <n v="48.0"/>
  </r>
  <r>
    <d v="2025-03-15T00:00:00"/>
    <x v="1"/>
    <x v="14"/>
    <x v="1"/>
    <x v="32"/>
    <x v="1"/>
    <x v="1"/>
    <x v="28"/>
    <x v="0"/>
    <x v="8"/>
    <x v="2"/>
    <x v="2"/>
    <n v="53.0"/>
  </r>
  <r>
    <d v="2025-03-15T00:00:00"/>
    <x v="1"/>
    <x v="14"/>
    <x v="1"/>
    <x v="29"/>
    <x v="6"/>
    <x v="6"/>
    <x v="35"/>
    <x v="0"/>
    <x v="14"/>
    <x v="1"/>
    <x v="0"/>
    <n v="90.44"/>
  </r>
  <r>
    <d v="2025-03-15T00:00:00"/>
    <x v="1"/>
    <x v="14"/>
    <x v="1"/>
    <x v="71"/>
    <x v="1"/>
    <x v="1"/>
    <x v="27"/>
    <x v="0"/>
    <x v="8"/>
    <x v="6"/>
    <x v="4"/>
    <n v="112.0"/>
  </r>
  <r>
    <d v="2025-03-15T00:00:00"/>
    <x v="1"/>
    <x v="14"/>
    <x v="0"/>
    <x v="14"/>
    <x v="6"/>
    <x v="6"/>
    <x v="45"/>
    <x v="0"/>
    <x v="7"/>
    <x v="8"/>
    <x v="5"/>
    <n v="417.07"/>
  </r>
  <r>
    <d v="2025-03-15T00:00:00"/>
    <x v="1"/>
    <x v="14"/>
    <x v="1"/>
    <x v="65"/>
    <x v="1"/>
    <x v="1"/>
    <x v="7"/>
    <x v="0"/>
    <x v="10"/>
    <x v="1"/>
    <x v="0"/>
    <n v="3650.85"/>
  </r>
  <r>
    <d v="2025-03-16T00:00:00"/>
    <x v="1"/>
    <x v="14"/>
    <x v="1"/>
    <x v="7"/>
    <x v="1"/>
    <x v="1"/>
    <x v="10"/>
    <x v="0"/>
    <x v="10"/>
    <x v="3"/>
    <x v="1"/>
    <n v="3.0"/>
  </r>
  <r>
    <d v="2025-03-16T00:00:00"/>
    <x v="1"/>
    <x v="14"/>
    <x v="1"/>
    <x v="68"/>
    <x v="3"/>
    <x v="3"/>
    <x v="59"/>
    <x v="0"/>
    <x v="16"/>
    <x v="4"/>
    <x v="7"/>
    <n v="366.19"/>
  </r>
  <r>
    <d v="2025-03-16T00:00:00"/>
    <x v="1"/>
    <x v="14"/>
    <x v="1"/>
    <x v="31"/>
    <x v="2"/>
    <x v="2"/>
    <x v="0"/>
    <x v="0"/>
    <x v="11"/>
    <x v="3"/>
    <x v="1"/>
    <n v="2210.59"/>
  </r>
  <r>
    <d v="2025-03-17T00:00:00"/>
    <x v="1"/>
    <x v="14"/>
    <x v="0"/>
    <x v="51"/>
    <x v="5"/>
    <x v="5"/>
    <x v="95"/>
    <x v="0"/>
    <x v="18"/>
    <x v="3"/>
    <x v="1"/>
    <n v="26.97"/>
  </r>
  <r>
    <d v="2025-03-17T00:00:00"/>
    <x v="1"/>
    <x v="14"/>
    <x v="0"/>
    <x v="11"/>
    <x v="1"/>
    <x v="1"/>
    <x v="15"/>
    <x v="0"/>
    <x v="4"/>
    <x v="8"/>
    <x v="5"/>
    <n v="39.95"/>
  </r>
  <r>
    <d v="2025-03-17T00:00:00"/>
    <x v="1"/>
    <x v="14"/>
    <x v="1"/>
    <x v="43"/>
    <x v="7"/>
    <x v="7"/>
    <x v="87"/>
    <x v="0"/>
    <x v="12"/>
    <x v="1"/>
    <x v="0"/>
    <n v="109.91"/>
  </r>
  <r>
    <d v="2025-03-18T00:00:00"/>
    <x v="1"/>
    <x v="14"/>
    <x v="1"/>
    <x v="3"/>
    <x v="2"/>
    <x v="2"/>
    <x v="1"/>
    <x v="0"/>
    <x v="11"/>
    <x v="4"/>
    <x v="7"/>
    <n v="13.27"/>
  </r>
  <r>
    <d v="2025-03-18T00:00:00"/>
    <x v="1"/>
    <x v="14"/>
    <x v="0"/>
    <x v="91"/>
    <x v="1"/>
    <x v="1"/>
    <x v="23"/>
    <x v="0"/>
    <x v="8"/>
    <x v="0"/>
    <x v="9"/>
    <n v="17.97"/>
  </r>
  <r>
    <d v="2025-03-18T00:00:00"/>
    <x v="1"/>
    <x v="14"/>
    <x v="1"/>
    <x v="6"/>
    <x v="1"/>
    <x v="1"/>
    <x v="5"/>
    <x v="0"/>
    <x v="6"/>
    <x v="1"/>
    <x v="0"/>
    <n v="245.79"/>
  </r>
  <r>
    <d v="2025-03-18T00:00:00"/>
    <x v="1"/>
    <x v="14"/>
    <x v="0"/>
    <x v="10"/>
    <x v="6"/>
    <x v="6"/>
    <x v="41"/>
    <x v="0"/>
    <x v="7"/>
    <x v="9"/>
    <x v="6"/>
    <n v="1007.15"/>
  </r>
  <r>
    <d v="2025-03-18T00:00:00"/>
    <x v="1"/>
    <x v="14"/>
    <x v="1"/>
    <x v="30"/>
    <x v="6"/>
    <x v="6"/>
    <x v="37"/>
    <x v="0"/>
    <x v="14"/>
    <x v="4"/>
    <x v="7"/>
    <n v="2268.62"/>
  </r>
  <r>
    <d v="2025-03-19T00:00:00"/>
    <x v="1"/>
    <x v="14"/>
    <x v="1"/>
    <x v="29"/>
    <x v="6"/>
    <x v="6"/>
    <x v="35"/>
    <x v="0"/>
    <x v="14"/>
    <x v="8"/>
    <x v="5"/>
    <n v="16.91"/>
  </r>
  <r>
    <d v="2025-03-19T00:00:00"/>
    <x v="1"/>
    <x v="14"/>
    <x v="0"/>
    <x v="53"/>
    <x v="1"/>
    <x v="1"/>
    <x v="16"/>
    <x v="0"/>
    <x v="4"/>
    <x v="7"/>
    <x v="3"/>
    <n v="48.09"/>
  </r>
  <r>
    <d v="2025-03-19T00:00:00"/>
    <x v="1"/>
    <x v="14"/>
    <x v="1"/>
    <x v="61"/>
    <x v="7"/>
    <x v="7"/>
    <x v="84"/>
    <x v="0"/>
    <x v="20"/>
    <x v="3"/>
    <x v="1"/>
    <n v="194.85"/>
  </r>
  <r>
    <d v="2025-03-19T00:00:00"/>
    <x v="1"/>
    <x v="14"/>
    <x v="1"/>
    <x v="57"/>
    <x v="4"/>
    <x v="4"/>
    <x v="74"/>
    <x v="0"/>
    <x v="15"/>
    <x v="5"/>
    <x v="8"/>
    <n v="306.89"/>
  </r>
  <r>
    <d v="2025-03-19T00:00:00"/>
    <x v="1"/>
    <x v="14"/>
    <x v="1"/>
    <x v="1"/>
    <x v="7"/>
    <x v="7"/>
    <x v="89"/>
    <x v="0"/>
    <x v="12"/>
    <x v="6"/>
    <x v="4"/>
    <n v="1066.9"/>
  </r>
  <r>
    <d v="2025-03-19T00:00:00"/>
    <x v="1"/>
    <x v="14"/>
    <x v="1"/>
    <x v="92"/>
    <x v="6"/>
    <x v="6"/>
    <x v="40"/>
    <x v="0"/>
    <x v="7"/>
    <x v="6"/>
    <x v="4"/>
    <n v="1644.09"/>
  </r>
  <r>
    <d v="2025-03-20T00:00:00"/>
    <x v="1"/>
    <x v="14"/>
    <x v="1"/>
    <x v="92"/>
    <x v="6"/>
    <x v="6"/>
    <x v="40"/>
    <x v="0"/>
    <x v="7"/>
    <x v="4"/>
    <x v="7"/>
    <n v="62.91"/>
  </r>
  <r>
    <d v="2025-03-20T00:00:00"/>
    <x v="1"/>
    <x v="14"/>
    <x v="1"/>
    <x v="41"/>
    <x v="5"/>
    <x v="5"/>
    <x v="93"/>
    <x v="0"/>
    <x v="18"/>
    <x v="2"/>
    <x v="2"/>
    <n v="77.94"/>
  </r>
  <r>
    <d v="2025-03-20T00:00:00"/>
    <x v="1"/>
    <x v="14"/>
    <x v="1"/>
    <x v="72"/>
    <x v="1"/>
    <x v="1"/>
    <x v="24"/>
    <x v="0"/>
    <x v="8"/>
    <x v="8"/>
    <x v="5"/>
    <n v="349.18"/>
  </r>
  <r>
    <d v="2025-03-20T00:00:00"/>
    <x v="1"/>
    <x v="14"/>
    <x v="1"/>
    <x v="41"/>
    <x v="5"/>
    <x v="5"/>
    <x v="93"/>
    <x v="0"/>
    <x v="18"/>
    <x v="2"/>
    <x v="2"/>
    <n v="1343.96"/>
  </r>
  <r>
    <d v="2025-03-20T00:00:00"/>
    <x v="1"/>
    <x v="14"/>
    <x v="0"/>
    <x v="36"/>
    <x v="7"/>
    <x v="7"/>
    <x v="90"/>
    <x v="0"/>
    <x v="9"/>
    <x v="2"/>
    <x v="2"/>
    <n v="1416.15"/>
  </r>
  <r>
    <d v="2025-03-21T00:00:00"/>
    <x v="1"/>
    <x v="14"/>
    <x v="1"/>
    <x v="30"/>
    <x v="6"/>
    <x v="6"/>
    <x v="37"/>
    <x v="0"/>
    <x v="14"/>
    <x v="4"/>
    <x v="7"/>
    <n v="33.94"/>
  </r>
  <r>
    <d v="2025-03-21T00:00:00"/>
    <x v="1"/>
    <x v="14"/>
    <x v="1"/>
    <x v="33"/>
    <x v="1"/>
    <x v="1"/>
    <x v="13"/>
    <x v="0"/>
    <x v="10"/>
    <x v="9"/>
    <x v="6"/>
    <n v="51.96"/>
  </r>
  <r>
    <d v="2025-03-21T00:00:00"/>
    <x v="1"/>
    <x v="14"/>
    <x v="0"/>
    <x v="39"/>
    <x v="7"/>
    <x v="7"/>
    <x v="91"/>
    <x v="0"/>
    <x v="9"/>
    <x v="1"/>
    <x v="0"/>
    <n v="293.67"/>
  </r>
  <r>
    <d v="2025-03-21T00:00:00"/>
    <x v="1"/>
    <x v="14"/>
    <x v="0"/>
    <x v="75"/>
    <x v="1"/>
    <x v="1"/>
    <x v="4"/>
    <x v="0"/>
    <x v="6"/>
    <x v="6"/>
    <x v="4"/>
    <n v="379.43"/>
  </r>
  <r>
    <d v="2025-03-21T00:00:00"/>
    <x v="1"/>
    <x v="14"/>
    <x v="1"/>
    <x v="39"/>
    <x v="7"/>
    <x v="7"/>
    <x v="91"/>
    <x v="0"/>
    <x v="9"/>
    <x v="1"/>
    <x v="0"/>
    <n v="1335.79"/>
  </r>
  <r>
    <d v="2025-03-21T00:00:00"/>
    <x v="1"/>
    <x v="14"/>
    <x v="1"/>
    <x v="25"/>
    <x v="1"/>
    <x v="1"/>
    <x v="6"/>
    <x v="0"/>
    <x v="6"/>
    <x v="3"/>
    <x v="1"/>
    <n v="2005.4"/>
  </r>
  <r>
    <d v="2025-03-21T00:00:00"/>
    <x v="1"/>
    <x v="14"/>
    <x v="1"/>
    <x v="25"/>
    <x v="1"/>
    <x v="1"/>
    <x v="6"/>
    <x v="0"/>
    <x v="6"/>
    <x v="4"/>
    <x v="7"/>
    <n v="3492.91"/>
  </r>
  <r>
    <d v="2025-03-22T00:00:00"/>
    <x v="1"/>
    <x v="14"/>
    <x v="1"/>
    <x v="74"/>
    <x v="4"/>
    <x v="4"/>
    <x v="75"/>
    <x v="0"/>
    <x v="15"/>
    <x v="2"/>
    <x v="2"/>
    <n v="2.5"/>
  </r>
  <r>
    <d v="2025-03-22T00:00:00"/>
    <x v="1"/>
    <x v="14"/>
    <x v="1"/>
    <x v="7"/>
    <x v="1"/>
    <x v="1"/>
    <x v="10"/>
    <x v="0"/>
    <x v="10"/>
    <x v="0"/>
    <x v="9"/>
    <n v="4.0"/>
  </r>
  <r>
    <d v="2025-03-22T00:00:00"/>
    <x v="1"/>
    <x v="14"/>
    <x v="1"/>
    <x v="6"/>
    <x v="1"/>
    <x v="1"/>
    <x v="5"/>
    <x v="0"/>
    <x v="6"/>
    <x v="1"/>
    <x v="0"/>
    <n v="7.0"/>
  </r>
  <r>
    <d v="2025-03-22T00:00:00"/>
    <x v="1"/>
    <x v="14"/>
    <x v="0"/>
    <x v="13"/>
    <x v="0"/>
    <x v="0"/>
    <x v="22"/>
    <x v="0"/>
    <x v="5"/>
    <x v="3"/>
    <x v="1"/>
    <n v="12.77"/>
  </r>
  <r>
    <d v="2025-03-22T00:00:00"/>
    <x v="1"/>
    <x v="14"/>
    <x v="0"/>
    <x v="89"/>
    <x v="1"/>
    <x v="1"/>
    <x v="18"/>
    <x v="0"/>
    <x v="5"/>
    <x v="3"/>
    <x v="1"/>
    <n v="91.83"/>
  </r>
  <r>
    <d v="2025-03-22T00:00:00"/>
    <x v="1"/>
    <x v="14"/>
    <x v="0"/>
    <x v="62"/>
    <x v="6"/>
    <x v="6"/>
    <x v="50"/>
    <x v="0"/>
    <x v="13"/>
    <x v="3"/>
    <x v="1"/>
    <n v="96.83"/>
  </r>
  <r>
    <d v="2025-03-22T00:00:00"/>
    <x v="1"/>
    <x v="14"/>
    <x v="0"/>
    <x v="22"/>
    <x v="1"/>
    <x v="1"/>
    <x v="20"/>
    <x v="0"/>
    <x v="5"/>
    <x v="3"/>
    <x v="1"/>
    <n v="109.89"/>
  </r>
  <r>
    <d v="2025-03-22T00:00:00"/>
    <x v="1"/>
    <x v="14"/>
    <x v="0"/>
    <x v="31"/>
    <x v="2"/>
    <x v="2"/>
    <x v="0"/>
    <x v="0"/>
    <x v="11"/>
    <x v="5"/>
    <x v="8"/>
    <n v="485.74"/>
  </r>
  <r>
    <d v="2025-03-22T00:00:00"/>
    <x v="1"/>
    <x v="14"/>
    <x v="1"/>
    <x v="10"/>
    <x v="6"/>
    <x v="6"/>
    <x v="41"/>
    <x v="0"/>
    <x v="7"/>
    <x v="3"/>
    <x v="1"/>
    <n v="5647.9"/>
  </r>
  <r>
    <d v="2025-03-23T00:00:00"/>
    <x v="1"/>
    <x v="14"/>
    <x v="1"/>
    <x v="81"/>
    <x v="4"/>
    <x v="4"/>
    <x v="77"/>
    <x v="0"/>
    <x v="15"/>
    <x v="1"/>
    <x v="0"/>
    <n v="11.0"/>
  </r>
  <r>
    <d v="2025-03-23T00:00:00"/>
    <x v="1"/>
    <x v="14"/>
    <x v="1"/>
    <x v="25"/>
    <x v="1"/>
    <x v="1"/>
    <x v="6"/>
    <x v="0"/>
    <x v="6"/>
    <x v="1"/>
    <x v="0"/>
    <n v="92.89"/>
  </r>
  <r>
    <d v="2025-03-23T00:00:00"/>
    <x v="1"/>
    <x v="14"/>
    <x v="1"/>
    <x v="11"/>
    <x v="1"/>
    <x v="1"/>
    <x v="15"/>
    <x v="0"/>
    <x v="4"/>
    <x v="9"/>
    <x v="6"/>
    <n v="179.82"/>
  </r>
  <r>
    <d v="2025-03-23T00:00:00"/>
    <x v="1"/>
    <x v="14"/>
    <x v="1"/>
    <x v="88"/>
    <x v="1"/>
    <x v="1"/>
    <x v="17"/>
    <x v="0"/>
    <x v="4"/>
    <x v="6"/>
    <x v="4"/>
    <n v="1084.98"/>
  </r>
  <r>
    <d v="2025-03-24T00:00:00"/>
    <x v="1"/>
    <x v="14"/>
    <x v="0"/>
    <x v="80"/>
    <x v="6"/>
    <x v="6"/>
    <x v="38"/>
    <x v="0"/>
    <x v="14"/>
    <x v="3"/>
    <x v="1"/>
    <n v="49.95"/>
  </r>
  <r>
    <d v="2025-03-24T00:00:00"/>
    <x v="1"/>
    <x v="14"/>
    <x v="0"/>
    <x v="88"/>
    <x v="1"/>
    <x v="1"/>
    <x v="17"/>
    <x v="0"/>
    <x v="4"/>
    <x v="5"/>
    <x v="8"/>
    <n v="105.82"/>
  </r>
  <r>
    <d v="2025-03-24T00:00:00"/>
    <x v="1"/>
    <x v="14"/>
    <x v="1"/>
    <x v="71"/>
    <x v="1"/>
    <x v="1"/>
    <x v="27"/>
    <x v="0"/>
    <x v="8"/>
    <x v="0"/>
    <x v="9"/>
    <n v="130.99"/>
  </r>
  <r>
    <d v="2025-03-24T00:00:00"/>
    <x v="1"/>
    <x v="14"/>
    <x v="0"/>
    <x v="95"/>
    <x v="4"/>
    <x v="4"/>
    <x v="73"/>
    <x v="0"/>
    <x v="15"/>
    <x v="2"/>
    <x v="2"/>
    <n v="223.72"/>
  </r>
  <r>
    <d v="2025-03-24T00:00:00"/>
    <x v="1"/>
    <x v="14"/>
    <x v="1"/>
    <x v="6"/>
    <x v="1"/>
    <x v="1"/>
    <x v="5"/>
    <x v="0"/>
    <x v="6"/>
    <x v="8"/>
    <x v="5"/>
    <n v="271.34"/>
  </r>
  <r>
    <d v="2025-03-24T00:00:00"/>
    <x v="1"/>
    <x v="14"/>
    <x v="0"/>
    <x v="80"/>
    <x v="6"/>
    <x v="6"/>
    <x v="38"/>
    <x v="0"/>
    <x v="14"/>
    <x v="4"/>
    <x v="7"/>
    <n v="332.25"/>
  </r>
  <r>
    <d v="2025-03-24T00:00:00"/>
    <x v="1"/>
    <x v="14"/>
    <x v="0"/>
    <x v="32"/>
    <x v="1"/>
    <x v="1"/>
    <x v="28"/>
    <x v="0"/>
    <x v="8"/>
    <x v="1"/>
    <x v="0"/>
    <n v="374.61"/>
  </r>
  <r>
    <d v="2025-03-24T00:00:00"/>
    <x v="1"/>
    <x v="14"/>
    <x v="1"/>
    <x v="2"/>
    <x v="1"/>
    <x v="1"/>
    <x v="2"/>
    <x v="0"/>
    <x v="6"/>
    <x v="0"/>
    <x v="9"/>
    <n v="475.81"/>
  </r>
  <r>
    <d v="2025-03-24T00:00:00"/>
    <x v="1"/>
    <x v="14"/>
    <x v="1"/>
    <x v="59"/>
    <x v="1"/>
    <x v="1"/>
    <x v="3"/>
    <x v="0"/>
    <x v="6"/>
    <x v="6"/>
    <x v="4"/>
    <n v="2537.63"/>
  </r>
  <r>
    <d v="2025-03-24T00:00:00"/>
    <x v="1"/>
    <x v="14"/>
    <x v="1"/>
    <x v="25"/>
    <x v="1"/>
    <x v="1"/>
    <x v="6"/>
    <x v="0"/>
    <x v="6"/>
    <x v="2"/>
    <x v="2"/>
    <n v="4830.82"/>
  </r>
  <r>
    <d v="2025-03-24T00:00:00"/>
    <x v="1"/>
    <x v="14"/>
    <x v="1"/>
    <x v="23"/>
    <x v="1"/>
    <x v="1"/>
    <x v="12"/>
    <x v="0"/>
    <x v="10"/>
    <x v="6"/>
    <x v="4"/>
    <n v="9522.95"/>
  </r>
  <r>
    <d v="2025-03-25T00:00:00"/>
    <x v="1"/>
    <x v="14"/>
    <x v="0"/>
    <x v="24"/>
    <x v="6"/>
    <x v="6"/>
    <x v="36"/>
    <x v="0"/>
    <x v="14"/>
    <x v="7"/>
    <x v="3"/>
    <n v="125.13"/>
  </r>
  <r>
    <d v="2025-03-26T00:00:00"/>
    <x v="1"/>
    <x v="14"/>
    <x v="1"/>
    <x v="28"/>
    <x v="6"/>
    <x v="6"/>
    <x v="51"/>
    <x v="0"/>
    <x v="13"/>
    <x v="9"/>
    <x v="6"/>
    <n v="144.08"/>
  </r>
  <r>
    <d v="2025-03-26T00:00:00"/>
    <x v="1"/>
    <x v="14"/>
    <x v="1"/>
    <x v="59"/>
    <x v="1"/>
    <x v="1"/>
    <x v="3"/>
    <x v="0"/>
    <x v="6"/>
    <x v="0"/>
    <x v="9"/>
    <n v="161.12"/>
  </r>
  <r>
    <d v="2025-03-26T00:00:00"/>
    <x v="1"/>
    <x v="14"/>
    <x v="0"/>
    <x v="32"/>
    <x v="1"/>
    <x v="1"/>
    <x v="28"/>
    <x v="0"/>
    <x v="8"/>
    <x v="1"/>
    <x v="0"/>
    <n v="182.98"/>
  </r>
  <r>
    <d v="2025-03-26T00:00:00"/>
    <x v="1"/>
    <x v="14"/>
    <x v="1"/>
    <x v="93"/>
    <x v="6"/>
    <x v="6"/>
    <x v="30"/>
    <x v="0"/>
    <x v="2"/>
    <x v="4"/>
    <x v="7"/>
    <n v="493.6"/>
  </r>
  <r>
    <d v="2025-03-27T00:00:00"/>
    <x v="1"/>
    <x v="14"/>
    <x v="1"/>
    <x v="33"/>
    <x v="1"/>
    <x v="1"/>
    <x v="13"/>
    <x v="0"/>
    <x v="10"/>
    <x v="1"/>
    <x v="0"/>
    <n v="9.98"/>
  </r>
  <r>
    <d v="2025-03-27T00:00:00"/>
    <x v="1"/>
    <x v="14"/>
    <x v="1"/>
    <x v="34"/>
    <x v="6"/>
    <x v="6"/>
    <x v="32"/>
    <x v="0"/>
    <x v="2"/>
    <x v="5"/>
    <x v="8"/>
    <n v="20.9"/>
  </r>
  <r>
    <d v="2025-03-27T00:00:00"/>
    <x v="1"/>
    <x v="14"/>
    <x v="1"/>
    <x v="75"/>
    <x v="1"/>
    <x v="1"/>
    <x v="4"/>
    <x v="0"/>
    <x v="6"/>
    <x v="1"/>
    <x v="0"/>
    <n v="463.48"/>
  </r>
  <r>
    <d v="2025-03-27T00:00:00"/>
    <x v="1"/>
    <x v="14"/>
    <x v="1"/>
    <x v="84"/>
    <x v="3"/>
    <x v="3"/>
    <x v="53"/>
    <x v="0"/>
    <x v="19"/>
    <x v="0"/>
    <x v="9"/>
    <n v="612.32"/>
  </r>
  <r>
    <d v="2025-03-28T00:00:00"/>
    <x v="1"/>
    <x v="14"/>
    <x v="1"/>
    <x v="25"/>
    <x v="1"/>
    <x v="1"/>
    <x v="6"/>
    <x v="0"/>
    <x v="6"/>
    <x v="8"/>
    <x v="5"/>
    <n v="9.95"/>
  </r>
  <r>
    <d v="2025-03-28T00:00:00"/>
    <x v="1"/>
    <x v="14"/>
    <x v="0"/>
    <x v="22"/>
    <x v="1"/>
    <x v="1"/>
    <x v="20"/>
    <x v="0"/>
    <x v="5"/>
    <x v="0"/>
    <x v="9"/>
    <n v="76.88"/>
  </r>
  <r>
    <d v="2025-03-28T00:00:00"/>
    <x v="1"/>
    <x v="14"/>
    <x v="0"/>
    <x v="70"/>
    <x v="6"/>
    <x v="6"/>
    <x v="33"/>
    <x v="0"/>
    <x v="14"/>
    <x v="2"/>
    <x v="2"/>
    <n v="77.87"/>
  </r>
  <r>
    <d v="2025-03-28T00:00:00"/>
    <x v="1"/>
    <x v="14"/>
    <x v="1"/>
    <x v="16"/>
    <x v="7"/>
    <x v="7"/>
    <x v="92"/>
    <x v="0"/>
    <x v="9"/>
    <x v="9"/>
    <x v="6"/>
    <n v="349.97"/>
  </r>
  <r>
    <d v="2025-03-28T00:00:00"/>
    <x v="1"/>
    <x v="14"/>
    <x v="0"/>
    <x v="10"/>
    <x v="6"/>
    <x v="6"/>
    <x v="41"/>
    <x v="0"/>
    <x v="7"/>
    <x v="5"/>
    <x v="8"/>
    <n v="858.89"/>
  </r>
  <r>
    <d v="2025-03-28T00:00:00"/>
    <x v="1"/>
    <x v="14"/>
    <x v="1"/>
    <x v="91"/>
    <x v="1"/>
    <x v="1"/>
    <x v="23"/>
    <x v="0"/>
    <x v="8"/>
    <x v="4"/>
    <x v="7"/>
    <n v="2494.33"/>
  </r>
  <r>
    <d v="2025-03-28T00:00:00"/>
    <x v="1"/>
    <x v="14"/>
    <x v="1"/>
    <x v="53"/>
    <x v="1"/>
    <x v="1"/>
    <x v="16"/>
    <x v="0"/>
    <x v="4"/>
    <x v="6"/>
    <x v="4"/>
    <n v="3467.98"/>
  </r>
  <r>
    <d v="2025-03-29T00:00:00"/>
    <x v="1"/>
    <x v="14"/>
    <x v="1"/>
    <x v="34"/>
    <x v="6"/>
    <x v="6"/>
    <x v="32"/>
    <x v="0"/>
    <x v="2"/>
    <x v="4"/>
    <x v="7"/>
    <n v="2.99"/>
  </r>
  <r>
    <d v="2025-03-29T00:00:00"/>
    <x v="1"/>
    <x v="14"/>
    <x v="1"/>
    <x v="79"/>
    <x v="1"/>
    <x v="1"/>
    <x v="8"/>
    <x v="0"/>
    <x v="10"/>
    <x v="7"/>
    <x v="3"/>
    <n v="8.28"/>
  </r>
  <r>
    <d v="2025-03-29T00:00:00"/>
    <x v="1"/>
    <x v="14"/>
    <x v="0"/>
    <x v="9"/>
    <x v="7"/>
    <x v="7"/>
    <x v="82"/>
    <x v="0"/>
    <x v="20"/>
    <x v="4"/>
    <x v="7"/>
    <n v="12.98"/>
  </r>
  <r>
    <d v="2025-03-29T00:00:00"/>
    <x v="1"/>
    <x v="14"/>
    <x v="0"/>
    <x v="56"/>
    <x v="7"/>
    <x v="7"/>
    <x v="86"/>
    <x v="0"/>
    <x v="12"/>
    <x v="5"/>
    <x v="8"/>
    <n v="140.7"/>
  </r>
  <r>
    <d v="2025-03-29T00:00:00"/>
    <x v="1"/>
    <x v="14"/>
    <x v="1"/>
    <x v="6"/>
    <x v="1"/>
    <x v="1"/>
    <x v="5"/>
    <x v="0"/>
    <x v="6"/>
    <x v="9"/>
    <x v="6"/>
    <n v="149.8"/>
  </r>
  <r>
    <d v="2025-03-29T00:00:00"/>
    <x v="1"/>
    <x v="14"/>
    <x v="1"/>
    <x v="77"/>
    <x v="3"/>
    <x v="3"/>
    <x v="66"/>
    <x v="0"/>
    <x v="1"/>
    <x v="6"/>
    <x v="4"/>
    <n v="200.65"/>
  </r>
  <r>
    <d v="2025-03-30T00:00:00"/>
    <x v="1"/>
    <x v="14"/>
    <x v="0"/>
    <x v="91"/>
    <x v="1"/>
    <x v="1"/>
    <x v="23"/>
    <x v="0"/>
    <x v="8"/>
    <x v="0"/>
    <x v="9"/>
    <n v="15.84"/>
  </r>
  <r>
    <d v="2025-03-30T00:00:00"/>
    <x v="1"/>
    <x v="14"/>
    <x v="1"/>
    <x v="83"/>
    <x v="3"/>
    <x v="3"/>
    <x v="56"/>
    <x v="0"/>
    <x v="16"/>
    <x v="1"/>
    <x v="0"/>
    <n v="44.53"/>
  </r>
  <r>
    <d v="2025-03-30T00:00:00"/>
    <x v="1"/>
    <x v="14"/>
    <x v="0"/>
    <x v="38"/>
    <x v="0"/>
    <x v="0"/>
    <x v="21"/>
    <x v="0"/>
    <x v="5"/>
    <x v="2"/>
    <x v="2"/>
    <n v="51.96"/>
  </r>
  <r>
    <d v="2025-03-30T00:00:00"/>
    <x v="1"/>
    <x v="14"/>
    <x v="1"/>
    <x v="58"/>
    <x v="3"/>
    <x v="3"/>
    <x v="61"/>
    <x v="0"/>
    <x v="17"/>
    <x v="2"/>
    <x v="2"/>
    <n v="97.0"/>
  </r>
  <r>
    <d v="2025-03-30T00:00:00"/>
    <x v="1"/>
    <x v="14"/>
    <x v="1"/>
    <x v="20"/>
    <x v="3"/>
    <x v="3"/>
    <x v="71"/>
    <x v="0"/>
    <x v="3"/>
    <x v="1"/>
    <x v="0"/>
    <n v="210.81"/>
  </r>
  <r>
    <d v="2025-03-30T00:00:00"/>
    <x v="1"/>
    <x v="14"/>
    <x v="1"/>
    <x v="63"/>
    <x v="4"/>
    <x v="4"/>
    <x v="78"/>
    <x v="0"/>
    <x v="0"/>
    <x v="3"/>
    <x v="1"/>
    <n v="355.89"/>
  </r>
  <r>
    <d v="2025-03-30T00:00:00"/>
    <x v="1"/>
    <x v="14"/>
    <x v="1"/>
    <x v="92"/>
    <x v="6"/>
    <x v="6"/>
    <x v="40"/>
    <x v="0"/>
    <x v="7"/>
    <x v="3"/>
    <x v="1"/>
    <n v="504.09"/>
  </r>
  <r>
    <d v="2025-03-31T00:00:00"/>
    <x v="1"/>
    <x v="14"/>
    <x v="1"/>
    <x v="15"/>
    <x v="4"/>
    <x v="4"/>
    <x v="79"/>
    <x v="0"/>
    <x v="0"/>
    <x v="0"/>
    <x v="9"/>
    <n v="21.0"/>
  </r>
  <r>
    <d v="2025-03-31T00:00:00"/>
    <x v="1"/>
    <x v="14"/>
    <x v="1"/>
    <x v="83"/>
    <x v="3"/>
    <x v="3"/>
    <x v="56"/>
    <x v="0"/>
    <x v="16"/>
    <x v="7"/>
    <x v="3"/>
    <n v="42.79"/>
  </r>
  <r>
    <d v="2025-03-31T00:00:00"/>
    <x v="1"/>
    <x v="14"/>
    <x v="1"/>
    <x v="69"/>
    <x v="1"/>
    <x v="1"/>
    <x v="19"/>
    <x v="0"/>
    <x v="5"/>
    <x v="8"/>
    <x v="5"/>
    <n v="1238.4"/>
  </r>
  <r>
    <d v="2025-04-01T00:00:00"/>
    <x v="1"/>
    <x v="15"/>
    <x v="1"/>
    <x v="80"/>
    <x v="6"/>
    <x v="6"/>
    <x v="38"/>
    <x v="0"/>
    <x v="14"/>
    <x v="9"/>
    <x v="6"/>
    <n v="5.99"/>
  </r>
  <r>
    <d v="2025-04-01T00:00:00"/>
    <x v="1"/>
    <x v="15"/>
    <x v="0"/>
    <x v="80"/>
    <x v="6"/>
    <x v="6"/>
    <x v="38"/>
    <x v="0"/>
    <x v="14"/>
    <x v="1"/>
    <x v="0"/>
    <n v="103.92"/>
  </r>
  <r>
    <d v="2025-04-01T00:00:00"/>
    <x v="1"/>
    <x v="15"/>
    <x v="1"/>
    <x v="32"/>
    <x v="1"/>
    <x v="1"/>
    <x v="28"/>
    <x v="0"/>
    <x v="8"/>
    <x v="4"/>
    <x v="7"/>
    <n v="300.85"/>
  </r>
  <r>
    <d v="2025-04-01T00:00:00"/>
    <x v="1"/>
    <x v="15"/>
    <x v="0"/>
    <x v="0"/>
    <x v="3"/>
    <x v="3"/>
    <x v="69"/>
    <x v="0"/>
    <x v="3"/>
    <x v="2"/>
    <x v="2"/>
    <n v="1552.41"/>
  </r>
  <r>
    <d v="2025-04-02T00:00:00"/>
    <x v="1"/>
    <x v="15"/>
    <x v="0"/>
    <x v="13"/>
    <x v="0"/>
    <x v="0"/>
    <x v="22"/>
    <x v="0"/>
    <x v="5"/>
    <x v="1"/>
    <x v="0"/>
    <n v="11.96"/>
  </r>
  <r>
    <d v="2025-04-02T00:00:00"/>
    <x v="1"/>
    <x v="15"/>
    <x v="1"/>
    <x v="28"/>
    <x v="6"/>
    <x v="6"/>
    <x v="51"/>
    <x v="0"/>
    <x v="13"/>
    <x v="0"/>
    <x v="9"/>
    <n v="15.98"/>
  </r>
  <r>
    <d v="2025-04-02T00:00:00"/>
    <x v="1"/>
    <x v="15"/>
    <x v="1"/>
    <x v="34"/>
    <x v="6"/>
    <x v="6"/>
    <x v="32"/>
    <x v="0"/>
    <x v="2"/>
    <x v="8"/>
    <x v="5"/>
    <n v="17.0"/>
  </r>
  <r>
    <d v="2025-04-02T00:00:00"/>
    <x v="1"/>
    <x v="15"/>
    <x v="0"/>
    <x v="43"/>
    <x v="7"/>
    <x v="7"/>
    <x v="87"/>
    <x v="0"/>
    <x v="12"/>
    <x v="6"/>
    <x v="4"/>
    <n v="17.97"/>
  </r>
  <r>
    <d v="2025-04-02T00:00:00"/>
    <x v="1"/>
    <x v="15"/>
    <x v="0"/>
    <x v="67"/>
    <x v="3"/>
    <x v="3"/>
    <x v="62"/>
    <x v="0"/>
    <x v="17"/>
    <x v="8"/>
    <x v="5"/>
    <n v="35.88"/>
  </r>
  <r>
    <d v="2025-04-02T00:00:00"/>
    <x v="1"/>
    <x v="15"/>
    <x v="1"/>
    <x v="29"/>
    <x v="6"/>
    <x v="6"/>
    <x v="35"/>
    <x v="0"/>
    <x v="14"/>
    <x v="4"/>
    <x v="7"/>
    <n v="43.58"/>
  </r>
  <r>
    <d v="2025-04-02T00:00:00"/>
    <x v="1"/>
    <x v="15"/>
    <x v="1"/>
    <x v="16"/>
    <x v="7"/>
    <x v="7"/>
    <x v="92"/>
    <x v="0"/>
    <x v="9"/>
    <x v="1"/>
    <x v="0"/>
    <n v="161.88"/>
  </r>
  <r>
    <d v="2025-04-02T00:00:00"/>
    <x v="1"/>
    <x v="15"/>
    <x v="0"/>
    <x v="90"/>
    <x v="3"/>
    <x v="3"/>
    <x v="55"/>
    <x v="0"/>
    <x v="19"/>
    <x v="6"/>
    <x v="4"/>
    <n v="230.94"/>
  </r>
  <r>
    <d v="2025-04-03T00:00:00"/>
    <x v="1"/>
    <x v="15"/>
    <x v="1"/>
    <x v="41"/>
    <x v="5"/>
    <x v="5"/>
    <x v="93"/>
    <x v="0"/>
    <x v="18"/>
    <x v="6"/>
    <x v="4"/>
    <n v="3.5"/>
  </r>
  <r>
    <d v="2025-04-03T00:00:00"/>
    <x v="1"/>
    <x v="15"/>
    <x v="1"/>
    <x v="42"/>
    <x v="3"/>
    <x v="3"/>
    <x v="63"/>
    <x v="0"/>
    <x v="17"/>
    <x v="3"/>
    <x v="1"/>
    <n v="65.93"/>
  </r>
  <r>
    <d v="2025-04-03T00:00:00"/>
    <x v="1"/>
    <x v="15"/>
    <x v="1"/>
    <x v="42"/>
    <x v="3"/>
    <x v="3"/>
    <x v="63"/>
    <x v="0"/>
    <x v="17"/>
    <x v="4"/>
    <x v="7"/>
    <n v="395.97"/>
  </r>
  <r>
    <d v="2025-04-03T00:00:00"/>
    <x v="1"/>
    <x v="15"/>
    <x v="1"/>
    <x v="27"/>
    <x v="6"/>
    <x v="6"/>
    <x v="31"/>
    <x v="0"/>
    <x v="2"/>
    <x v="1"/>
    <x v="0"/>
    <n v="419.62"/>
  </r>
  <r>
    <d v="2025-04-03T00:00:00"/>
    <x v="1"/>
    <x v="15"/>
    <x v="1"/>
    <x v="11"/>
    <x v="1"/>
    <x v="1"/>
    <x v="15"/>
    <x v="0"/>
    <x v="4"/>
    <x v="9"/>
    <x v="6"/>
    <n v="764.81"/>
  </r>
  <r>
    <d v="2025-04-03T00:00:00"/>
    <x v="1"/>
    <x v="15"/>
    <x v="1"/>
    <x v="27"/>
    <x v="6"/>
    <x v="6"/>
    <x v="31"/>
    <x v="0"/>
    <x v="2"/>
    <x v="4"/>
    <x v="7"/>
    <n v="1870.07"/>
  </r>
  <r>
    <d v="2025-04-03T00:00:00"/>
    <x v="1"/>
    <x v="15"/>
    <x v="1"/>
    <x v="88"/>
    <x v="1"/>
    <x v="1"/>
    <x v="17"/>
    <x v="0"/>
    <x v="4"/>
    <x v="3"/>
    <x v="1"/>
    <n v="3874.62"/>
  </r>
  <r>
    <d v="2025-04-04T00:00:00"/>
    <x v="1"/>
    <x v="15"/>
    <x v="1"/>
    <x v="87"/>
    <x v="3"/>
    <x v="3"/>
    <x v="52"/>
    <x v="0"/>
    <x v="19"/>
    <x v="4"/>
    <x v="7"/>
    <n v="3.0"/>
  </r>
  <r>
    <d v="2025-04-04T00:00:00"/>
    <x v="1"/>
    <x v="15"/>
    <x v="1"/>
    <x v="21"/>
    <x v="3"/>
    <x v="3"/>
    <x v="60"/>
    <x v="0"/>
    <x v="17"/>
    <x v="1"/>
    <x v="0"/>
    <n v="6.0"/>
  </r>
  <r>
    <d v="2025-04-04T00:00:00"/>
    <x v="1"/>
    <x v="15"/>
    <x v="0"/>
    <x v="53"/>
    <x v="1"/>
    <x v="1"/>
    <x v="16"/>
    <x v="0"/>
    <x v="4"/>
    <x v="6"/>
    <x v="4"/>
    <n v="17.98"/>
  </r>
  <r>
    <d v="2025-04-04T00:00:00"/>
    <x v="1"/>
    <x v="15"/>
    <x v="0"/>
    <x v="25"/>
    <x v="1"/>
    <x v="1"/>
    <x v="6"/>
    <x v="0"/>
    <x v="6"/>
    <x v="1"/>
    <x v="0"/>
    <n v="29.0"/>
  </r>
  <r>
    <d v="2025-04-04T00:00:00"/>
    <x v="1"/>
    <x v="15"/>
    <x v="1"/>
    <x v="40"/>
    <x v="3"/>
    <x v="3"/>
    <x v="65"/>
    <x v="0"/>
    <x v="1"/>
    <x v="2"/>
    <x v="2"/>
    <n v="51.96"/>
  </r>
  <r>
    <d v="2025-04-04T00:00:00"/>
    <x v="1"/>
    <x v="15"/>
    <x v="0"/>
    <x v="34"/>
    <x v="6"/>
    <x v="6"/>
    <x v="32"/>
    <x v="0"/>
    <x v="2"/>
    <x v="6"/>
    <x v="4"/>
    <n v="55.93"/>
  </r>
  <r>
    <d v="2025-04-04T00:00:00"/>
    <x v="1"/>
    <x v="15"/>
    <x v="0"/>
    <x v="80"/>
    <x v="6"/>
    <x v="6"/>
    <x v="38"/>
    <x v="0"/>
    <x v="14"/>
    <x v="4"/>
    <x v="7"/>
    <n v="89.19"/>
  </r>
  <r>
    <d v="2025-04-04T00:00:00"/>
    <x v="1"/>
    <x v="15"/>
    <x v="0"/>
    <x v="17"/>
    <x v="3"/>
    <x v="3"/>
    <x v="57"/>
    <x v="0"/>
    <x v="16"/>
    <x v="2"/>
    <x v="2"/>
    <n v="359.29"/>
  </r>
  <r>
    <d v="2025-04-04T00:00:00"/>
    <x v="1"/>
    <x v="15"/>
    <x v="1"/>
    <x v="33"/>
    <x v="1"/>
    <x v="1"/>
    <x v="13"/>
    <x v="0"/>
    <x v="10"/>
    <x v="3"/>
    <x v="1"/>
    <n v="747.94"/>
  </r>
  <r>
    <d v="2025-04-04T00:00:00"/>
    <x v="1"/>
    <x v="15"/>
    <x v="0"/>
    <x v="31"/>
    <x v="2"/>
    <x v="2"/>
    <x v="0"/>
    <x v="0"/>
    <x v="11"/>
    <x v="0"/>
    <x v="9"/>
    <n v="1292.26"/>
  </r>
  <r>
    <d v="2025-04-04T00:00:00"/>
    <x v="1"/>
    <x v="15"/>
    <x v="1"/>
    <x v="83"/>
    <x v="3"/>
    <x v="3"/>
    <x v="56"/>
    <x v="0"/>
    <x v="16"/>
    <x v="5"/>
    <x v="8"/>
    <n v="2830.63"/>
  </r>
  <r>
    <d v="2025-04-05T00:00:00"/>
    <x v="1"/>
    <x v="15"/>
    <x v="1"/>
    <x v="49"/>
    <x v="3"/>
    <x v="3"/>
    <x v="58"/>
    <x v="0"/>
    <x v="16"/>
    <x v="0"/>
    <x v="9"/>
    <n v="21.99"/>
  </r>
  <r>
    <d v="2025-04-05T00:00:00"/>
    <x v="1"/>
    <x v="15"/>
    <x v="1"/>
    <x v="32"/>
    <x v="1"/>
    <x v="1"/>
    <x v="28"/>
    <x v="0"/>
    <x v="8"/>
    <x v="1"/>
    <x v="0"/>
    <n v="57.96"/>
  </r>
  <r>
    <d v="2025-04-05T00:00:00"/>
    <x v="1"/>
    <x v="15"/>
    <x v="1"/>
    <x v="5"/>
    <x v="1"/>
    <x v="1"/>
    <x v="14"/>
    <x v="0"/>
    <x v="4"/>
    <x v="8"/>
    <x v="5"/>
    <n v="109.7"/>
  </r>
  <r>
    <d v="2025-04-05T00:00:00"/>
    <x v="1"/>
    <x v="15"/>
    <x v="1"/>
    <x v="62"/>
    <x v="6"/>
    <x v="6"/>
    <x v="50"/>
    <x v="0"/>
    <x v="13"/>
    <x v="3"/>
    <x v="1"/>
    <n v="2333.78"/>
  </r>
  <r>
    <d v="2025-04-05T00:00:00"/>
    <x v="1"/>
    <x v="15"/>
    <x v="1"/>
    <x v="79"/>
    <x v="1"/>
    <x v="1"/>
    <x v="8"/>
    <x v="0"/>
    <x v="10"/>
    <x v="2"/>
    <x v="2"/>
    <n v="4241.4"/>
  </r>
  <r>
    <d v="2025-04-06T00:00:00"/>
    <x v="1"/>
    <x v="15"/>
    <x v="0"/>
    <x v="18"/>
    <x v="5"/>
    <x v="5"/>
    <x v="96"/>
    <x v="0"/>
    <x v="18"/>
    <x v="1"/>
    <x v="0"/>
    <n v="61.94"/>
  </r>
  <r>
    <d v="2025-04-06T00:00:00"/>
    <x v="1"/>
    <x v="15"/>
    <x v="1"/>
    <x v="76"/>
    <x v="6"/>
    <x v="6"/>
    <x v="34"/>
    <x v="0"/>
    <x v="14"/>
    <x v="1"/>
    <x v="0"/>
    <n v="77.92"/>
  </r>
  <r>
    <d v="2025-04-06T00:00:00"/>
    <x v="1"/>
    <x v="15"/>
    <x v="0"/>
    <x v="14"/>
    <x v="6"/>
    <x v="6"/>
    <x v="45"/>
    <x v="0"/>
    <x v="7"/>
    <x v="6"/>
    <x v="4"/>
    <n v="95.88"/>
  </r>
  <r>
    <d v="2025-04-06T00:00:00"/>
    <x v="1"/>
    <x v="15"/>
    <x v="1"/>
    <x v="79"/>
    <x v="1"/>
    <x v="1"/>
    <x v="8"/>
    <x v="0"/>
    <x v="10"/>
    <x v="2"/>
    <x v="2"/>
    <n v="103.07"/>
  </r>
  <r>
    <d v="2025-04-06T00:00:00"/>
    <x v="1"/>
    <x v="15"/>
    <x v="0"/>
    <x v="22"/>
    <x v="1"/>
    <x v="1"/>
    <x v="20"/>
    <x v="0"/>
    <x v="5"/>
    <x v="1"/>
    <x v="0"/>
    <n v="293.84"/>
  </r>
  <r>
    <d v="2025-04-06T00:00:00"/>
    <x v="1"/>
    <x v="15"/>
    <x v="0"/>
    <x v="40"/>
    <x v="3"/>
    <x v="3"/>
    <x v="65"/>
    <x v="0"/>
    <x v="1"/>
    <x v="5"/>
    <x v="8"/>
    <n v="421.9"/>
  </r>
  <r>
    <d v="2025-04-07T00:00:00"/>
    <x v="1"/>
    <x v="15"/>
    <x v="1"/>
    <x v="93"/>
    <x v="6"/>
    <x v="6"/>
    <x v="30"/>
    <x v="0"/>
    <x v="2"/>
    <x v="5"/>
    <x v="8"/>
    <n v="9.99"/>
  </r>
  <r>
    <d v="2025-04-07T00:00:00"/>
    <x v="1"/>
    <x v="15"/>
    <x v="1"/>
    <x v="44"/>
    <x v="6"/>
    <x v="6"/>
    <x v="49"/>
    <x v="0"/>
    <x v="13"/>
    <x v="2"/>
    <x v="2"/>
    <n v="25.98"/>
  </r>
  <r>
    <d v="2025-04-07T00:00:00"/>
    <x v="1"/>
    <x v="15"/>
    <x v="1"/>
    <x v="76"/>
    <x v="6"/>
    <x v="6"/>
    <x v="34"/>
    <x v="0"/>
    <x v="14"/>
    <x v="0"/>
    <x v="9"/>
    <n v="66.87"/>
  </r>
  <r>
    <d v="2025-04-07T00:00:00"/>
    <x v="1"/>
    <x v="15"/>
    <x v="0"/>
    <x v="78"/>
    <x v="5"/>
    <x v="5"/>
    <x v="94"/>
    <x v="0"/>
    <x v="18"/>
    <x v="1"/>
    <x v="0"/>
    <n v="66.96"/>
  </r>
  <r>
    <d v="2025-04-07T00:00:00"/>
    <x v="1"/>
    <x v="15"/>
    <x v="1"/>
    <x v="79"/>
    <x v="1"/>
    <x v="1"/>
    <x v="8"/>
    <x v="0"/>
    <x v="10"/>
    <x v="9"/>
    <x v="6"/>
    <n v="119.96"/>
  </r>
  <r>
    <d v="2025-04-07T00:00:00"/>
    <x v="1"/>
    <x v="15"/>
    <x v="1"/>
    <x v="53"/>
    <x v="1"/>
    <x v="1"/>
    <x v="16"/>
    <x v="0"/>
    <x v="4"/>
    <x v="4"/>
    <x v="7"/>
    <n v="175.01"/>
  </r>
  <r>
    <d v="2025-04-07T00:00:00"/>
    <x v="1"/>
    <x v="15"/>
    <x v="1"/>
    <x v="74"/>
    <x v="4"/>
    <x v="4"/>
    <x v="75"/>
    <x v="0"/>
    <x v="15"/>
    <x v="3"/>
    <x v="1"/>
    <n v="546.62"/>
  </r>
  <r>
    <d v="2025-04-07T00:00:00"/>
    <x v="1"/>
    <x v="15"/>
    <x v="0"/>
    <x v="29"/>
    <x v="6"/>
    <x v="6"/>
    <x v="35"/>
    <x v="0"/>
    <x v="14"/>
    <x v="3"/>
    <x v="1"/>
    <n v="797.62"/>
  </r>
  <r>
    <d v="2025-04-07T00:00:00"/>
    <x v="1"/>
    <x v="15"/>
    <x v="1"/>
    <x v="66"/>
    <x v="4"/>
    <x v="4"/>
    <x v="76"/>
    <x v="0"/>
    <x v="15"/>
    <x v="9"/>
    <x v="6"/>
    <n v="1174.57"/>
  </r>
  <r>
    <d v="2025-04-07T00:00:00"/>
    <x v="1"/>
    <x v="15"/>
    <x v="1"/>
    <x v="40"/>
    <x v="3"/>
    <x v="3"/>
    <x v="65"/>
    <x v="0"/>
    <x v="1"/>
    <x v="2"/>
    <x v="2"/>
    <n v="1414.13"/>
  </r>
  <r>
    <d v="2025-04-07T00:00:00"/>
    <x v="1"/>
    <x v="15"/>
    <x v="1"/>
    <x v="58"/>
    <x v="3"/>
    <x v="3"/>
    <x v="61"/>
    <x v="0"/>
    <x v="17"/>
    <x v="1"/>
    <x v="0"/>
    <n v="2248.13"/>
  </r>
  <r>
    <d v="2025-04-08T00:00:00"/>
    <x v="1"/>
    <x v="15"/>
    <x v="1"/>
    <x v="58"/>
    <x v="3"/>
    <x v="3"/>
    <x v="61"/>
    <x v="0"/>
    <x v="17"/>
    <x v="2"/>
    <x v="2"/>
    <n v="25.98"/>
  </r>
  <r>
    <d v="2025-04-08T00:00:00"/>
    <x v="1"/>
    <x v="15"/>
    <x v="1"/>
    <x v="1"/>
    <x v="7"/>
    <x v="7"/>
    <x v="89"/>
    <x v="0"/>
    <x v="12"/>
    <x v="2"/>
    <x v="2"/>
    <n v="29.0"/>
  </r>
  <r>
    <d v="2025-04-08T00:00:00"/>
    <x v="1"/>
    <x v="15"/>
    <x v="0"/>
    <x v="76"/>
    <x v="6"/>
    <x v="6"/>
    <x v="34"/>
    <x v="0"/>
    <x v="14"/>
    <x v="1"/>
    <x v="0"/>
    <n v="44.47"/>
  </r>
  <r>
    <d v="2025-04-08T00:00:00"/>
    <x v="1"/>
    <x v="15"/>
    <x v="1"/>
    <x v="53"/>
    <x v="1"/>
    <x v="1"/>
    <x v="16"/>
    <x v="0"/>
    <x v="4"/>
    <x v="4"/>
    <x v="7"/>
    <n v="129.06"/>
  </r>
  <r>
    <d v="2025-04-08T00:00:00"/>
    <x v="1"/>
    <x v="15"/>
    <x v="0"/>
    <x v="39"/>
    <x v="7"/>
    <x v="7"/>
    <x v="91"/>
    <x v="0"/>
    <x v="9"/>
    <x v="1"/>
    <x v="0"/>
    <n v="908.51"/>
  </r>
  <r>
    <d v="2025-04-08T00:00:00"/>
    <x v="1"/>
    <x v="15"/>
    <x v="1"/>
    <x v="15"/>
    <x v="4"/>
    <x v="4"/>
    <x v="79"/>
    <x v="0"/>
    <x v="0"/>
    <x v="9"/>
    <x v="6"/>
    <n v="1088.77"/>
  </r>
  <r>
    <d v="2025-04-09T00:00:00"/>
    <x v="1"/>
    <x v="15"/>
    <x v="1"/>
    <x v="82"/>
    <x v="6"/>
    <x v="6"/>
    <x v="47"/>
    <x v="0"/>
    <x v="13"/>
    <x v="4"/>
    <x v="7"/>
    <n v="67.43"/>
  </r>
  <r>
    <d v="2025-04-09T00:00:00"/>
    <x v="1"/>
    <x v="15"/>
    <x v="0"/>
    <x v="34"/>
    <x v="6"/>
    <x v="6"/>
    <x v="32"/>
    <x v="0"/>
    <x v="2"/>
    <x v="7"/>
    <x v="3"/>
    <n v="205.46"/>
  </r>
  <r>
    <d v="2025-04-09T00:00:00"/>
    <x v="1"/>
    <x v="15"/>
    <x v="1"/>
    <x v="47"/>
    <x v="3"/>
    <x v="3"/>
    <x v="54"/>
    <x v="0"/>
    <x v="19"/>
    <x v="1"/>
    <x v="0"/>
    <n v="324.33"/>
  </r>
  <r>
    <d v="2025-04-09T00:00:00"/>
    <x v="1"/>
    <x v="15"/>
    <x v="1"/>
    <x v="83"/>
    <x v="3"/>
    <x v="3"/>
    <x v="56"/>
    <x v="0"/>
    <x v="16"/>
    <x v="1"/>
    <x v="0"/>
    <n v="872.91"/>
  </r>
  <r>
    <d v="2025-04-09T00:00:00"/>
    <x v="1"/>
    <x v="15"/>
    <x v="1"/>
    <x v="25"/>
    <x v="1"/>
    <x v="1"/>
    <x v="6"/>
    <x v="0"/>
    <x v="6"/>
    <x v="3"/>
    <x v="1"/>
    <n v="2677.43"/>
  </r>
  <r>
    <d v="2025-04-09T00:00:00"/>
    <x v="1"/>
    <x v="15"/>
    <x v="0"/>
    <x v="2"/>
    <x v="1"/>
    <x v="1"/>
    <x v="2"/>
    <x v="0"/>
    <x v="6"/>
    <x v="3"/>
    <x v="1"/>
    <n v="4140.61"/>
  </r>
  <r>
    <d v="2025-04-09T00:00:00"/>
    <x v="1"/>
    <x v="15"/>
    <x v="0"/>
    <x v="2"/>
    <x v="1"/>
    <x v="1"/>
    <x v="2"/>
    <x v="0"/>
    <x v="6"/>
    <x v="2"/>
    <x v="2"/>
    <n v="7096.95"/>
  </r>
  <r>
    <d v="2025-04-10T00:00:00"/>
    <x v="1"/>
    <x v="15"/>
    <x v="1"/>
    <x v="22"/>
    <x v="1"/>
    <x v="1"/>
    <x v="20"/>
    <x v="0"/>
    <x v="5"/>
    <x v="2"/>
    <x v="2"/>
    <n v="63.92"/>
  </r>
  <r>
    <d v="2025-04-10T00:00:00"/>
    <x v="1"/>
    <x v="15"/>
    <x v="0"/>
    <x v="17"/>
    <x v="3"/>
    <x v="3"/>
    <x v="57"/>
    <x v="0"/>
    <x v="16"/>
    <x v="9"/>
    <x v="6"/>
    <n v="95.32"/>
  </r>
  <r>
    <d v="2025-04-10T00:00:00"/>
    <x v="1"/>
    <x v="15"/>
    <x v="1"/>
    <x v="13"/>
    <x v="0"/>
    <x v="0"/>
    <x v="22"/>
    <x v="0"/>
    <x v="5"/>
    <x v="9"/>
    <x v="6"/>
    <n v="285.46"/>
  </r>
  <r>
    <d v="2025-04-11T00:00:00"/>
    <x v="1"/>
    <x v="15"/>
    <x v="1"/>
    <x v="24"/>
    <x v="6"/>
    <x v="6"/>
    <x v="36"/>
    <x v="0"/>
    <x v="14"/>
    <x v="4"/>
    <x v="7"/>
    <n v="7.98"/>
  </r>
  <r>
    <d v="2025-04-11T00:00:00"/>
    <x v="1"/>
    <x v="15"/>
    <x v="1"/>
    <x v="21"/>
    <x v="3"/>
    <x v="3"/>
    <x v="60"/>
    <x v="0"/>
    <x v="17"/>
    <x v="7"/>
    <x v="3"/>
    <n v="104.77"/>
  </r>
  <r>
    <d v="2025-04-11T00:00:00"/>
    <x v="1"/>
    <x v="15"/>
    <x v="1"/>
    <x v="21"/>
    <x v="3"/>
    <x v="3"/>
    <x v="60"/>
    <x v="0"/>
    <x v="17"/>
    <x v="8"/>
    <x v="5"/>
    <n v="833.85"/>
  </r>
  <r>
    <d v="2025-04-11T00:00:00"/>
    <x v="1"/>
    <x v="15"/>
    <x v="1"/>
    <x v="78"/>
    <x v="5"/>
    <x v="5"/>
    <x v="94"/>
    <x v="0"/>
    <x v="18"/>
    <x v="9"/>
    <x v="6"/>
    <n v="1443.08"/>
  </r>
  <r>
    <d v="2025-04-11T00:00:00"/>
    <x v="1"/>
    <x v="15"/>
    <x v="1"/>
    <x v="14"/>
    <x v="6"/>
    <x v="6"/>
    <x v="45"/>
    <x v="0"/>
    <x v="7"/>
    <x v="5"/>
    <x v="8"/>
    <n v="3453.17"/>
  </r>
  <r>
    <d v="2025-04-12T00:00:00"/>
    <x v="1"/>
    <x v="15"/>
    <x v="1"/>
    <x v="47"/>
    <x v="3"/>
    <x v="3"/>
    <x v="54"/>
    <x v="0"/>
    <x v="19"/>
    <x v="5"/>
    <x v="8"/>
    <n v="12.43"/>
  </r>
  <r>
    <d v="2025-04-12T00:00:00"/>
    <x v="1"/>
    <x v="15"/>
    <x v="1"/>
    <x v="83"/>
    <x v="3"/>
    <x v="3"/>
    <x v="56"/>
    <x v="0"/>
    <x v="16"/>
    <x v="2"/>
    <x v="2"/>
    <n v="33.0"/>
  </r>
  <r>
    <d v="2025-04-12T00:00:00"/>
    <x v="1"/>
    <x v="15"/>
    <x v="0"/>
    <x v="16"/>
    <x v="7"/>
    <x v="7"/>
    <x v="92"/>
    <x v="0"/>
    <x v="9"/>
    <x v="0"/>
    <x v="9"/>
    <n v="52.45"/>
  </r>
  <r>
    <d v="2025-04-12T00:00:00"/>
    <x v="1"/>
    <x v="15"/>
    <x v="0"/>
    <x v="92"/>
    <x v="6"/>
    <x v="6"/>
    <x v="40"/>
    <x v="0"/>
    <x v="7"/>
    <x v="1"/>
    <x v="0"/>
    <n v="175.86"/>
  </r>
  <r>
    <d v="2025-04-12T00:00:00"/>
    <x v="1"/>
    <x v="15"/>
    <x v="1"/>
    <x v="91"/>
    <x v="1"/>
    <x v="1"/>
    <x v="23"/>
    <x v="0"/>
    <x v="8"/>
    <x v="8"/>
    <x v="5"/>
    <n v="514.15"/>
  </r>
  <r>
    <d v="2025-04-12T00:00:00"/>
    <x v="1"/>
    <x v="15"/>
    <x v="0"/>
    <x v="86"/>
    <x v="1"/>
    <x v="1"/>
    <x v="9"/>
    <x v="0"/>
    <x v="10"/>
    <x v="9"/>
    <x v="6"/>
    <n v="1712.89"/>
  </r>
  <r>
    <d v="2025-04-12T00:00:00"/>
    <x v="1"/>
    <x v="15"/>
    <x v="1"/>
    <x v="68"/>
    <x v="3"/>
    <x v="3"/>
    <x v="59"/>
    <x v="0"/>
    <x v="16"/>
    <x v="6"/>
    <x v="4"/>
    <n v="5802.1"/>
  </r>
  <r>
    <d v="2025-04-13T00:00:00"/>
    <x v="1"/>
    <x v="15"/>
    <x v="1"/>
    <x v="69"/>
    <x v="1"/>
    <x v="1"/>
    <x v="19"/>
    <x v="0"/>
    <x v="5"/>
    <x v="9"/>
    <x v="6"/>
    <n v="8.99"/>
  </r>
  <r>
    <d v="2025-04-13T00:00:00"/>
    <x v="1"/>
    <x v="15"/>
    <x v="1"/>
    <x v="22"/>
    <x v="1"/>
    <x v="1"/>
    <x v="20"/>
    <x v="0"/>
    <x v="5"/>
    <x v="6"/>
    <x v="4"/>
    <n v="12.98"/>
  </r>
  <r>
    <d v="2025-04-13T00:00:00"/>
    <x v="1"/>
    <x v="15"/>
    <x v="1"/>
    <x v="15"/>
    <x v="4"/>
    <x v="4"/>
    <x v="79"/>
    <x v="0"/>
    <x v="0"/>
    <x v="6"/>
    <x v="4"/>
    <n v="19.0"/>
  </r>
  <r>
    <d v="2025-04-13T00:00:00"/>
    <x v="1"/>
    <x v="15"/>
    <x v="1"/>
    <x v="13"/>
    <x v="0"/>
    <x v="0"/>
    <x v="22"/>
    <x v="0"/>
    <x v="5"/>
    <x v="7"/>
    <x v="3"/>
    <n v="68.42"/>
  </r>
  <r>
    <d v="2025-04-13T00:00:00"/>
    <x v="1"/>
    <x v="15"/>
    <x v="0"/>
    <x v="96"/>
    <x v="3"/>
    <x v="3"/>
    <x v="67"/>
    <x v="0"/>
    <x v="1"/>
    <x v="2"/>
    <x v="2"/>
    <n v="90.93"/>
  </r>
  <r>
    <d v="2025-04-13T00:00:00"/>
    <x v="1"/>
    <x v="15"/>
    <x v="1"/>
    <x v="19"/>
    <x v="7"/>
    <x v="7"/>
    <x v="88"/>
    <x v="0"/>
    <x v="12"/>
    <x v="1"/>
    <x v="0"/>
    <n v="174.82"/>
  </r>
  <r>
    <d v="2025-04-13T00:00:00"/>
    <x v="1"/>
    <x v="15"/>
    <x v="0"/>
    <x v="48"/>
    <x v="7"/>
    <x v="7"/>
    <x v="85"/>
    <x v="0"/>
    <x v="20"/>
    <x v="4"/>
    <x v="7"/>
    <n v="282.81"/>
  </r>
  <r>
    <d v="2025-04-13T00:00:00"/>
    <x v="1"/>
    <x v="15"/>
    <x v="1"/>
    <x v="71"/>
    <x v="1"/>
    <x v="1"/>
    <x v="27"/>
    <x v="0"/>
    <x v="8"/>
    <x v="6"/>
    <x v="4"/>
    <n v="361.81"/>
  </r>
  <r>
    <d v="2025-04-13T00:00:00"/>
    <x v="1"/>
    <x v="15"/>
    <x v="1"/>
    <x v="51"/>
    <x v="5"/>
    <x v="5"/>
    <x v="95"/>
    <x v="0"/>
    <x v="18"/>
    <x v="9"/>
    <x v="6"/>
    <n v="444.56"/>
  </r>
  <r>
    <d v="2025-04-13T00:00:00"/>
    <x v="1"/>
    <x v="15"/>
    <x v="1"/>
    <x v="28"/>
    <x v="6"/>
    <x v="6"/>
    <x v="51"/>
    <x v="0"/>
    <x v="13"/>
    <x v="6"/>
    <x v="4"/>
    <n v="547.33"/>
  </r>
  <r>
    <d v="2025-04-13T00:00:00"/>
    <x v="1"/>
    <x v="15"/>
    <x v="1"/>
    <x v="47"/>
    <x v="3"/>
    <x v="3"/>
    <x v="54"/>
    <x v="0"/>
    <x v="19"/>
    <x v="5"/>
    <x v="8"/>
    <n v="686.72"/>
  </r>
  <r>
    <d v="2025-04-13T00:00:00"/>
    <x v="1"/>
    <x v="15"/>
    <x v="0"/>
    <x v="27"/>
    <x v="6"/>
    <x v="6"/>
    <x v="31"/>
    <x v="0"/>
    <x v="2"/>
    <x v="2"/>
    <x v="2"/>
    <n v="2046.01"/>
  </r>
  <r>
    <d v="2025-04-14T00:00:00"/>
    <x v="1"/>
    <x v="15"/>
    <x v="0"/>
    <x v="61"/>
    <x v="7"/>
    <x v="7"/>
    <x v="84"/>
    <x v="0"/>
    <x v="20"/>
    <x v="8"/>
    <x v="5"/>
    <n v="22.94"/>
  </r>
  <r>
    <d v="2025-04-14T00:00:00"/>
    <x v="1"/>
    <x v="15"/>
    <x v="1"/>
    <x v="37"/>
    <x v="6"/>
    <x v="6"/>
    <x v="39"/>
    <x v="0"/>
    <x v="14"/>
    <x v="0"/>
    <x v="9"/>
    <n v="35.11"/>
  </r>
  <r>
    <d v="2025-04-14T00:00:00"/>
    <x v="1"/>
    <x v="15"/>
    <x v="1"/>
    <x v="53"/>
    <x v="1"/>
    <x v="1"/>
    <x v="16"/>
    <x v="0"/>
    <x v="4"/>
    <x v="1"/>
    <x v="0"/>
    <n v="1194.63"/>
  </r>
  <r>
    <d v="2025-04-14T00:00:00"/>
    <x v="1"/>
    <x v="15"/>
    <x v="1"/>
    <x v="22"/>
    <x v="1"/>
    <x v="1"/>
    <x v="20"/>
    <x v="0"/>
    <x v="5"/>
    <x v="6"/>
    <x v="4"/>
    <n v="1212.42"/>
  </r>
  <r>
    <d v="2025-04-14T00:00:00"/>
    <x v="1"/>
    <x v="15"/>
    <x v="0"/>
    <x v="2"/>
    <x v="1"/>
    <x v="1"/>
    <x v="2"/>
    <x v="0"/>
    <x v="6"/>
    <x v="9"/>
    <x v="6"/>
    <n v="2150.67"/>
  </r>
  <r>
    <d v="2025-04-14T00:00:00"/>
    <x v="1"/>
    <x v="15"/>
    <x v="1"/>
    <x v="91"/>
    <x v="1"/>
    <x v="1"/>
    <x v="23"/>
    <x v="0"/>
    <x v="8"/>
    <x v="3"/>
    <x v="1"/>
    <n v="4052.44"/>
  </r>
  <r>
    <d v="2025-04-15T00:00:00"/>
    <x v="1"/>
    <x v="15"/>
    <x v="1"/>
    <x v="93"/>
    <x v="6"/>
    <x v="6"/>
    <x v="30"/>
    <x v="0"/>
    <x v="2"/>
    <x v="0"/>
    <x v="9"/>
    <n v="2.0"/>
  </r>
  <r>
    <d v="2025-04-15T00:00:00"/>
    <x v="1"/>
    <x v="15"/>
    <x v="1"/>
    <x v="93"/>
    <x v="6"/>
    <x v="6"/>
    <x v="30"/>
    <x v="0"/>
    <x v="2"/>
    <x v="6"/>
    <x v="4"/>
    <n v="67.83"/>
  </r>
  <r>
    <d v="2025-04-16T00:00:00"/>
    <x v="1"/>
    <x v="15"/>
    <x v="1"/>
    <x v="22"/>
    <x v="1"/>
    <x v="1"/>
    <x v="20"/>
    <x v="0"/>
    <x v="5"/>
    <x v="0"/>
    <x v="9"/>
    <n v="8.99"/>
  </r>
  <r>
    <d v="2025-04-16T00:00:00"/>
    <x v="1"/>
    <x v="15"/>
    <x v="1"/>
    <x v="68"/>
    <x v="3"/>
    <x v="3"/>
    <x v="59"/>
    <x v="0"/>
    <x v="16"/>
    <x v="5"/>
    <x v="8"/>
    <n v="886.67"/>
  </r>
  <r>
    <d v="2025-04-16T00:00:00"/>
    <x v="1"/>
    <x v="15"/>
    <x v="1"/>
    <x v="30"/>
    <x v="6"/>
    <x v="6"/>
    <x v="37"/>
    <x v="0"/>
    <x v="14"/>
    <x v="3"/>
    <x v="1"/>
    <n v="2692.99"/>
  </r>
  <r>
    <d v="2025-04-17T00:00:00"/>
    <x v="1"/>
    <x v="15"/>
    <x v="0"/>
    <x v="19"/>
    <x v="7"/>
    <x v="7"/>
    <x v="88"/>
    <x v="0"/>
    <x v="12"/>
    <x v="2"/>
    <x v="2"/>
    <n v="51.96"/>
  </r>
  <r>
    <d v="2025-04-17T00:00:00"/>
    <x v="1"/>
    <x v="15"/>
    <x v="1"/>
    <x v="82"/>
    <x v="6"/>
    <x v="6"/>
    <x v="47"/>
    <x v="0"/>
    <x v="13"/>
    <x v="3"/>
    <x v="1"/>
    <n v="108.76"/>
  </r>
  <r>
    <d v="2025-04-17T00:00:00"/>
    <x v="1"/>
    <x v="15"/>
    <x v="0"/>
    <x v="17"/>
    <x v="3"/>
    <x v="3"/>
    <x v="57"/>
    <x v="0"/>
    <x v="16"/>
    <x v="1"/>
    <x v="0"/>
    <n v="149.9"/>
  </r>
  <r>
    <d v="2025-04-17T00:00:00"/>
    <x v="1"/>
    <x v="15"/>
    <x v="1"/>
    <x v="65"/>
    <x v="1"/>
    <x v="1"/>
    <x v="7"/>
    <x v="0"/>
    <x v="10"/>
    <x v="1"/>
    <x v="0"/>
    <n v="342.1"/>
  </r>
  <r>
    <d v="2025-04-17T00:00:00"/>
    <x v="1"/>
    <x v="15"/>
    <x v="1"/>
    <x v="55"/>
    <x v="3"/>
    <x v="3"/>
    <x v="68"/>
    <x v="0"/>
    <x v="1"/>
    <x v="9"/>
    <x v="6"/>
    <n v="535.94"/>
  </r>
  <r>
    <d v="2025-04-17T00:00:00"/>
    <x v="1"/>
    <x v="15"/>
    <x v="1"/>
    <x v="65"/>
    <x v="1"/>
    <x v="1"/>
    <x v="7"/>
    <x v="0"/>
    <x v="10"/>
    <x v="5"/>
    <x v="8"/>
    <n v="837.64"/>
  </r>
  <r>
    <d v="2025-04-17T00:00:00"/>
    <x v="1"/>
    <x v="15"/>
    <x v="1"/>
    <x v="59"/>
    <x v="1"/>
    <x v="1"/>
    <x v="3"/>
    <x v="0"/>
    <x v="6"/>
    <x v="3"/>
    <x v="1"/>
    <n v="1040.91"/>
  </r>
  <r>
    <d v="2025-04-17T00:00:00"/>
    <x v="1"/>
    <x v="15"/>
    <x v="1"/>
    <x v="67"/>
    <x v="3"/>
    <x v="3"/>
    <x v="62"/>
    <x v="0"/>
    <x v="17"/>
    <x v="3"/>
    <x v="1"/>
    <n v="1948.58"/>
  </r>
  <r>
    <d v="2025-04-17T00:00:00"/>
    <x v="1"/>
    <x v="15"/>
    <x v="1"/>
    <x v="33"/>
    <x v="1"/>
    <x v="1"/>
    <x v="13"/>
    <x v="0"/>
    <x v="10"/>
    <x v="3"/>
    <x v="1"/>
    <n v="2682.11"/>
  </r>
  <r>
    <d v="2025-04-17T00:00:00"/>
    <x v="1"/>
    <x v="15"/>
    <x v="0"/>
    <x v="2"/>
    <x v="1"/>
    <x v="1"/>
    <x v="2"/>
    <x v="0"/>
    <x v="6"/>
    <x v="3"/>
    <x v="1"/>
    <n v="3123.46"/>
  </r>
  <r>
    <d v="2025-04-18T00:00:00"/>
    <x v="1"/>
    <x v="15"/>
    <x v="1"/>
    <x v="60"/>
    <x v="6"/>
    <x v="6"/>
    <x v="44"/>
    <x v="0"/>
    <x v="7"/>
    <x v="5"/>
    <x v="8"/>
    <n v="7.99"/>
  </r>
  <r>
    <d v="2025-04-18T00:00:00"/>
    <x v="1"/>
    <x v="15"/>
    <x v="1"/>
    <x v="38"/>
    <x v="0"/>
    <x v="0"/>
    <x v="21"/>
    <x v="0"/>
    <x v="5"/>
    <x v="4"/>
    <x v="7"/>
    <n v="35.91"/>
  </r>
  <r>
    <d v="2025-04-18T00:00:00"/>
    <x v="1"/>
    <x v="15"/>
    <x v="0"/>
    <x v="63"/>
    <x v="4"/>
    <x v="4"/>
    <x v="78"/>
    <x v="0"/>
    <x v="0"/>
    <x v="1"/>
    <x v="0"/>
    <n v="53.95"/>
  </r>
  <r>
    <d v="2025-04-18T00:00:00"/>
    <x v="1"/>
    <x v="15"/>
    <x v="0"/>
    <x v="75"/>
    <x v="1"/>
    <x v="1"/>
    <x v="4"/>
    <x v="0"/>
    <x v="6"/>
    <x v="3"/>
    <x v="1"/>
    <n v="55.9"/>
  </r>
  <r>
    <d v="2025-04-18T00:00:00"/>
    <x v="1"/>
    <x v="15"/>
    <x v="0"/>
    <x v="93"/>
    <x v="6"/>
    <x v="6"/>
    <x v="30"/>
    <x v="0"/>
    <x v="2"/>
    <x v="8"/>
    <x v="5"/>
    <n v="148.77"/>
  </r>
  <r>
    <d v="2025-04-18T00:00:00"/>
    <x v="1"/>
    <x v="15"/>
    <x v="1"/>
    <x v="21"/>
    <x v="3"/>
    <x v="3"/>
    <x v="60"/>
    <x v="0"/>
    <x v="17"/>
    <x v="9"/>
    <x v="6"/>
    <n v="873.34"/>
  </r>
  <r>
    <d v="2025-04-18T00:00:00"/>
    <x v="1"/>
    <x v="15"/>
    <x v="0"/>
    <x v="28"/>
    <x v="6"/>
    <x v="6"/>
    <x v="51"/>
    <x v="0"/>
    <x v="13"/>
    <x v="2"/>
    <x v="2"/>
    <n v="906.08"/>
  </r>
  <r>
    <d v="2025-04-18T00:00:00"/>
    <x v="1"/>
    <x v="15"/>
    <x v="1"/>
    <x v="37"/>
    <x v="6"/>
    <x v="6"/>
    <x v="39"/>
    <x v="0"/>
    <x v="14"/>
    <x v="3"/>
    <x v="1"/>
    <n v="2109.84"/>
  </r>
  <r>
    <d v="2025-04-19T00:00:00"/>
    <x v="1"/>
    <x v="15"/>
    <x v="1"/>
    <x v="4"/>
    <x v="6"/>
    <x v="6"/>
    <x v="29"/>
    <x v="0"/>
    <x v="2"/>
    <x v="8"/>
    <x v="5"/>
    <n v="19.95"/>
  </r>
  <r>
    <d v="2025-04-19T00:00:00"/>
    <x v="1"/>
    <x v="15"/>
    <x v="1"/>
    <x v="14"/>
    <x v="6"/>
    <x v="6"/>
    <x v="45"/>
    <x v="0"/>
    <x v="7"/>
    <x v="2"/>
    <x v="2"/>
    <n v="44.5"/>
  </r>
  <r>
    <d v="2025-04-19T00:00:00"/>
    <x v="1"/>
    <x v="15"/>
    <x v="1"/>
    <x v="6"/>
    <x v="1"/>
    <x v="1"/>
    <x v="5"/>
    <x v="0"/>
    <x v="6"/>
    <x v="5"/>
    <x v="8"/>
    <n v="51.94"/>
  </r>
  <r>
    <d v="2025-04-19T00:00:00"/>
    <x v="1"/>
    <x v="15"/>
    <x v="0"/>
    <x v="55"/>
    <x v="3"/>
    <x v="3"/>
    <x v="68"/>
    <x v="0"/>
    <x v="1"/>
    <x v="2"/>
    <x v="2"/>
    <n v="51.96"/>
  </r>
  <r>
    <d v="2025-04-19T00:00:00"/>
    <x v="1"/>
    <x v="15"/>
    <x v="1"/>
    <x v="82"/>
    <x v="6"/>
    <x v="6"/>
    <x v="47"/>
    <x v="0"/>
    <x v="13"/>
    <x v="6"/>
    <x v="4"/>
    <n v="132.75"/>
  </r>
  <r>
    <d v="2025-04-19T00:00:00"/>
    <x v="1"/>
    <x v="15"/>
    <x v="1"/>
    <x v="39"/>
    <x v="7"/>
    <x v="7"/>
    <x v="91"/>
    <x v="0"/>
    <x v="9"/>
    <x v="6"/>
    <x v="4"/>
    <n v="220.2"/>
  </r>
  <r>
    <d v="2025-04-19T00:00:00"/>
    <x v="1"/>
    <x v="15"/>
    <x v="1"/>
    <x v="5"/>
    <x v="1"/>
    <x v="1"/>
    <x v="14"/>
    <x v="0"/>
    <x v="4"/>
    <x v="9"/>
    <x v="6"/>
    <n v="329.48"/>
  </r>
  <r>
    <d v="2025-04-19T00:00:00"/>
    <x v="1"/>
    <x v="15"/>
    <x v="0"/>
    <x v="29"/>
    <x v="6"/>
    <x v="6"/>
    <x v="35"/>
    <x v="0"/>
    <x v="14"/>
    <x v="9"/>
    <x v="6"/>
    <n v="589.82"/>
  </r>
  <r>
    <d v="2025-04-19T00:00:00"/>
    <x v="1"/>
    <x v="15"/>
    <x v="1"/>
    <x v="61"/>
    <x v="7"/>
    <x v="7"/>
    <x v="84"/>
    <x v="0"/>
    <x v="20"/>
    <x v="9"/>
    <x v="6"/>
    <n v="1344.57"/>
  </r>
  <r>
    <d v="2025-04-19T00:00:00"/>
    <x v="1"/>
    <x v="15"/>
    <x v="1"/>
    <x v="66"/>
    <x v="4"/>
    <x v="4"/>
    <x v="76"/>
    <x v="0"/>
    <x v="15"/>
    <x v="3"/>
    <x v="1"/>
    <n v="3831.53"/>
  </r>
  <r>
    <d v="2025-04-20T00:00:00"/>
    <x v="1"/>
    <x v="15"/>
    <x v="1"/>
    <x v="31"/>
    <x v="2"/>
    <x v="2"/>
    <x v="0"/>
    <x v="0"/>
    <x v="11"/>
    <x v="2"/>
    <x v="2"/>
    <n v="5.11"/>
  </r>
  <r>
    <d v="2025-04-20T00:00:00"/>
    <x v="1"/>
    <x v="15"/>
    <x v="1"/>
    <x v="0"/>
    <x v="3"/>
    <x v="3"/>
    <x v="69"/>
    <x v="0"/>
    <x v="3"/>
    <x v="9"/>
    <x v="6"/>
    <n v="44.91"/>
  </r>
  <r>
    <d v="2025-04-20T00:00:00"/>
    <x v="1"/>
    <x v="15"/>
    <x v="1"/>
    <x v="38"/>
    <x v="0"/>
    <x v="0"/>
    <x v="21"/>
    <x v="0"/>
    <x v="5"/>
    <x v="3"/>
    <x v="1"/>
    <n v="47.92"/>
  </r>
  <r>
    <d v="2025-04-20T00:00:00"/>
    <x v="1"/>
    <x v="15"/>
    <x v="1"/>
    <x v="28"/>
    <x v="6"/>
    <x v="6"/>
    <x v="51"/>
    <x v="0"/>
    <x v="13"/>
    <x v="6"/>
    <x v="4"/>
    <n v="167.18"/>
  </r>
  <r>
    <d v="2025-04-20T00:00:00"/>
    <x v="1"/>
    <x v="15"/>
    <x v="0"/>
    <x v="70"/>
    <x v="6"/>
    <x v="6"/>
    <x v="33"/>
    <x v="0"/>
    <x v="14"/>
    <x v="1"/>
    <x v="0"/>
    <n v="207.84"/>
  </r>
  <r>
    <d v="2025-04-20T00:00:00"/>
    <x v="1"/>
    <x v="15"/>
    <x v="1"/>
    <x v="93"/>
    <x v="6"/>
    <x v="6"/>
    <x v="30"/>
    <x v="0"/>
    <x v="2"/>
    <x v="9"/>
    <x v="6"/>
    <n v="658.26"/>
  </r>
  <r>
    <d v="2025-04-21T00:00:00"/>
    <x v="1"/>
    <x v="15"/>
    <x v="1"/>
    <x v="27"/>
    <x v="6"/>
    <x v="6"/>
    <x v="31"/>
    <x v="0"/>
    <x v="2"/>
    <x v="2"/>
    <x v="2"/>
    <n v="1.5"/>
  </r>
  <r>
    <d v="2025-04-21T00:00:00"/>
    <x v="1"/>
    <x v="15"/>
    <x v="1"/>
    <x v="29"/>
    <x v="6"/>
    <x v="6"/>
    <x v="35"/>
    <x v="0"/>
    <x v="14"/>
    <x v="6"/>
    <x v="4"/>
    <n v="41.93"/>
  </r>
  <r>
    <d v="2025-04-21T00:00:00"/>
    <x v="1"/>
    <x v="15"/>
    <x v="0"/>
    <x v="78"/>
    <x v="5"/>
    <x v="5"/>
    <x v="94"/>
    <x v="0"/>
    <x v="18"/>
    <x v="3"/>
    <x v="1"/>
    <n v="83.95"/>
  </r>
  <r>
    <d v="2025-04-21T00:00:00"/>
    <x v="1"/>
    <x v="15"/>
    <x v="1"/>
    <x v="19"/>
    <x v="7"/>
    <x v="7"/>
    <x v="88"/>
    <x v="0"/>
    <x v="12"/>
    <x v="3"/>
    <x v="1"/>
    <n v="136.85"/>
  </r>
  <r>
    <d v="2025-04-21T00:00:00"/>
    <x v="1"/>
    <x v="15"/>
    <x v="1"/>
    <x v="6"/>
    <x v="1"/>
    <x v="1"/>
    <x v="5"/>
    <x v="0"/>
    <x v="6"/>
    <x v="9"/>
    <x v="6"/>
    <n v="654.53"/>
  </r>
  <r>
    <d v="2025-04-22T00:00:00"/>
    <x v="1"/>
    <x v="15"/>
    <x v="0"/>
    <x v="43"/>
    <x v="7"/>
    <x v="7"/>
    <x v="87"/>
    <x v="0"/>
    <x v="12"/>
    <x v="3"/>
    <x v="1"/>
    <n v="75.89"/>
  </r>
  <r>
    <d v="2025-04-22T00:00:00"/>
    <x v="1"/>
    <x v="15"/>
    <x v="0"/>
    <x v="48"/>
    <x v="7"/>
    <x v="7"/>
    <x v="85"/>
    <x v="0"/>
    <x v="20"/>
    <x v="5"/>
    <x v="8"/>
    <n v="88.95"/>
  </r>
  <r>
    <d v="2025-04-22T00:00:00"/>
    <x v="1"/>
    <x v="15"/>
    <x v="1"/>
    <x v="13"/>
    <x v="0"/>
    <x v="0"/>
    <x v="22"/>
    <x v="0"/>
    <x v="5"/>
    <x v="2"/>
    <x v="2"/>
    <n v="93.0"/>
  </r>
  <r>
    <d v="2025-04-22T00:00:00"/>
    <x v="1"/>
    <x v="15"/>
    <x v="1"/>
    <x v="87"/>
    <x v="3"/>
    <x v="3"/>
    <x v="52"/>
    <x v="0"/>
    <x v="19"/>
    <x v="3"/>
    <x v="1"/>
    <n v="111.83"/>
  </r>
  <r>
    <d v="2025-04-22T00:00:00"/>
    <x v="1"/>
    <x v="15"/>
    <x v="0"/>
    <x v="9"/>
    <x v="7"/>
    <x v="7"/>
    <x v="82"/>
    <x v="0"/>
    <x v="20"/>
    <x v="3"/>
    <x v="1"/>
    <n v="176.81"/>
  </r>
  <r>
    <d v="2025-04-22T00:00:00"/>
    <x v="1"/>
    <x v="15"/>
    <x v="1"/>
    <x v="56"/>
    <x v="7"/>
    <x v="7"/>
    <x v="86"/>
    <x v="0"/>
    <x v="12"/>
    <x v="2"/>
    <x v="2"/>
    <n v="570.95"/>
  </r>
  <r>
    <d v="2025-04-22T00:00:00"/>
    <x v="1"/>
    <x v="15"/>
    <x v="1"/>
    <x v="90"/>
    <x v="3"/>
    <x v="3"/>
    <x v="55"/>
    <x v="0"/>
    <x v="19"/>
    <x v="2"/>
    <x v="2"/>
    <n v="3138.94"/>
  </r>
  <r>
    <d v="2025-04-23T00:00:00"/>
    <x v="1"/>
    <x v="15"/>
    <x v="0"/>
    <x v="73"/>
    <x v="4"/>
    <x v="4"/>
    <x v="80"/>
    <x v="0"/>
    <x v="0"/>
    <x v="4"/>
    <x v="7"/>
    <n v="10.98"/>
  </r>
  <r>
    <d v="2025-04-23T00:00:00"/>
    <x v="1"/>
    <x v="15"/>
    <x v="1"/>
    <x v="3"/>
    <x v="2"/>
    <x v="2"/>
    <x v="1"/>
    <x v="0"/>
    <x v="11"/>
    <x v="1"/>
    <x v="0"/>
    <n v="11.99"/>
  </r>
  <r>
    <d v="2025-04-23T00:00:00"/>
    <x v="1"/>
    <x v="15"/>
    <x v="0"/>
    <x v="52"/>
    <x v="1"/>
    <x v="1"/>
    <x v="11"/>
    <x v="0"/>
    <x v="10"/>
    <x v="8"/>
    <x v="5"/>
    <n v="73.83"/>
  </r>
  <r>
    <d v="2025-04-23T00:00:00"/>
    <x v="1"/>
    <x v="15"/>
    <x v="1"/>
    <x v="1"/>
    <x v="7"/>
    <x v="7"/>
    <x v="89"/>
    <x v="0"/>
    <x v="12"/>
    <x v="8"/>
    <x v="5"/>
    <n v="731.02"/>
  </r>
  <r>
    <d v="2025-04-23T00:00:00"/>
    <x v="1"/>
    <x v="15"/>
    <x v="1"/>
    <x v="30"/>
    <x v="6"/>
    <x v="6"/>
    <x v="37"/>
    <x v="0"/>
    <x v="14"/>
    <x v="9"/>
    <x v="6"/>
    <n v="903.78"/>
  </r>
  <r>
    <d v="2025-04-23T00:00:00"/>
    <x v="1"/>
    <x v="15"/>
    <x v="0"/>
    <x v="86"/>
    <x v="1"/>
    <x v="1"/>
    <x v="9"/>
    <x v="0"/>
    <x v="10"/>
    <x v="6"/>
    <x v="4"/>
    <n v="943.72"/>
  </r>
  <r>
    <d v="2025-04-23T00:00:00"/>
    <x v="1"/>
    <x v="15"/>
    <x v="1"/>
    <x v="52"/>
    <x v="1"/>
    <x v="1"/>
    <x v="11"/>
    <x v="0"/>
    <x v="10"/>
    <x v="9"/>
    <x v="6"/>
    <n v="1884.95"/>
  </r>
  <r>
    <d v="2025-04-24T00:00:00"/>
    <x v="1"/>
    <x v="15"/>
    <x v="1"/>
    <x v="65"/>
    <x v="1"/>
    <x v="1"/>
    <x v="7"/>
    <x v="0"/>
    <x v="10"/>
    <x v="2"/>
    <x v="2"/>
    <n v="4.0"/>
  </r>
  <r>
    <d v="2025-04-24T00:00:00"/>
    <x v="1"/>
    <x v="15"/>
    <x v="1"/>
    <x v="60"/>
    <x v="6"/>
    <x v="6"/>
    <x v="44"/>
    <x v="0"/>
    <x v="7"/>
    <x v="1"/>
    <x v="0"/>
    <n v="10.0"/>
  </r>
  <r>
    <d v="2025-04-24T00:00:00"/>
    <x v="1"/>
    <x v="15"/>
    <x v="1"/>
    <x v="25"/>
    <x v="1"/>
    <x v="1"/>
    <x v="6"/>
    <x v="0"/>
    <x v="6"/>
    <x v="1"/>
    <x v="0"/>
    <n v="23.96"/>
  </r>
  <r>
    <d v="2025-04-24T00:00:00"/>
    <x v="1"/>
    <x v="15"/>
    <x v="1"/>
    <x v="3"/>
    <x v="2"/>
    <x v="2"/>
    <x v="1"/>
    <x v="0"/>
    <x v="11"/>
    <x v="2"/>
    <x v="2"/>
    <n v="38.97"/>
  </r>
  <r>
    <d v="2025-04-24T00:00:00"/>
    <x v="1"/>
    <x v="15"/>
    <x v="1"/>
    <x v="4"/>
    <x v="6"/>
    <x v="6"/>
    <x v="29"/>
    <x v="0"/>
    <x v="2"/>
    <x v="6"/>
    <x v="4"/>
    <n v="47.94"/>
  </r>
  <r>
    <d v="2025-04-24T00:00:00"/>
    <x v="1"/>
    <x v="15"/>
    <x v="1"/>
    <x v="60"/>
    <x v="6"/>
    <x v="6"/>
    <x v="44"/>
    <x v="0"/>
    <x v="7"/>
    <x v="1"/>
    <x v="0"/>
    <n v="62.46"/>
  </r>
  <r>
    <d v="2025-04-24T00:00:00"/>
    <x v="1"/>
    <x v="15"/>
    <x v="0"/>
    <x v="86"/>
    <x v="1"/>
    <x v="1"/>
    <x v="9"/>
    <x v="0"/>
    <x v="10"/>
    <x v="1"/>
    <x v="0"/>
    <n v="157.83"/>
  </r>
  <r>
    <d v="2025-04-24T00:00:00"/>
    <x v="1"/>
    <x v="15"/>
    <x v="1"/>
    <x v="30"/>
    <x v="6"/>
    <x v="6"/>
    <x v="37"/>
    <x v="0"/>
    <x v="14"/>
    <x v="9"/>
    <x v="6"/>
    <n v="594.39"/>
  </r>
  <r>
    <d v="2025-04-24T00:00:00"/>
    <x v="1"/>
    <x v="15"/>
    <x v="1"/>
    <x v="38"/>
    <x v="0"/>
    <x v="0"/>
    <x v="21"/>
    <x v="0"/>
    <x v="5"/>
    <x v="3"/>
    <x v="1"/>
    <n v="802.67"/>
  </r>
  <r>
    <d v="2025-04-24T00:00:00"/>
    <x v="1"/>
    <x v="15"/>
    <x v="1"/>
    <x v="17"/>
    <x v="3"/>
    <x v="3"/>
    <x v="57"/>
    <x v="0"/>
    <x v="16"/>
    <x v="9"/>
    <x v="6"/>
    <n v="1215.47"/>
  </r>
  <r>
    <d v="2025-04-25T00:00:00"/>
    <x v="1"/>
    <x v="15"/>
    <x v="1"/>
    <x v="89"/>
    <x v="1"/>
    <x v="1"/>
    <x v="18"/>
    <x v="0"/>
    <x v="5"/>
    <x v="6"/>
    <x v="4"/>
    <n v="11.98"/>
  </r>
  <r>
    <d v="2025-04-25T00:00:00"/>
    <x v="1"/>
    <x v="15"/>
    <x v="1"/>
    <x v="28"/>
    <x v="6"/>
    <x v="6"/>
    <x v="51"/>
    <x v="0"/>
    <x v="13"/>
    <x v="8"/>
    <x v="5"/>
    <n v="15.96"/>
  </r>
  <r>
    <d v="2025-04-26T00:00:00"/>
    <x v="1"/>
    <x v="15"/>
    <x v="1"/>
    <x v="7"/>
    <x v="1"/>
    <x v="1"/>
    <x v="10"/>
    <x v="0"/>
    <x v="10"/>
    <x v="3"/>
    <x v="1"/>
    <n v="20.99"/>
  </r>
  <r>
    <d v="2025-04-26T00:00:00"/>
    <x v="1"/>
    <x v="15"/>
    <x v="1"/>
    <x v="28"/>
    <x v="6"/>
    <x v="6"/>
    <x v="51"/>
    <x v="0"/>
    <x v="13"/>
    <x v="3"/>
    <x v="1"/>
    <n v="75.96"/>
  </r>
  <r>
    <d v="2025-04-26T00:00:00"/>
    <x v="1"/>
    <x v="15"/>
    <x v="1"/>
    <x v="42"/>
    <x v="3"/>
    <x v="3"/>
    <x v="63"/>
    <x v="0"/>
    <x v="17"/>
    <x v="5"/>
    <x v="8"/>
    <n v="158.43"/>
  </r>
  <r>
    <d v="2025-04-26T00:00:00"/>
    <x v="1"/>
    <x v="15"/>
    <x v="1"/>
    <x v="4"/>
    <x v="6"/>
    <x v="6"/>
    <x v="29"/>
    <x v="0"/>
    <x v="2"/>
    <x v="0"/>
    <x v="9"/>
    <n v="517.26"/>
  </r>
  <r>
    <d v="2025-04-26T00:00:00"/>
    <x v="1"/>
    <x v="15"/>
    <x v="1"/>
    <x v="22"/>
    <x v="1"/>
    <x v="1"/>
    <x v="20"/>
    <x v="0"/>
    <x v="5"/>
    <x v="2"/>
    <x v="2"/>
    <n v="986.02"/>
  </r>
  <r>
    <d v="2025-04-26T00:00:00"/>
    <x v="1"/>
    <x v="15"/>
    <x v="0"/>
    <x v="4"/>
    <x v="6"/>
    <x v="6"/>
    <x v="29"/>
    <x v="0"/>
    <x v="2"/>
    <x v="5"/>
    <x v="8"/>
    <n v="3058.64"/>
  </r>
  <r>
    <d v="2025-04-27T00:00:00"/>
    <x v="1"/>
    <x v="15"/>
    <x v="1"/>
    <x v="32"/>
    <x v="1"/>
    <x v="1"/>
    <x v="28"/>
    <x v="0"/>
    <x v="8"/>
    <x v="0"/>
    <x v="9"/>
    <n v="6.99"/>
  </r>
  <r>
    <d v="2025-04-27T00:00:00"/>
    <x v="1"/>
    <x v="15"/>
    <x v="0"/>
    <x v="93"/>
    <x v="6"/>
    <x v="6"/>
    <x v="30"/>
    <x v="0"/>
    <x v="2"/>
    <x v="3"/>
    <x v="1"/>
    <n v="95.85"/>
  </r>
  <r>
    <d v="2025-04-27T00:00:00"/>
    <x v="1"/>
    <x v="15"/>
    <x v="1"/>
    <x v="49"/>
    <x v="3"/>
    <x v="3"/>
    <x v="58"/>
    <x v="0"/>
    <x v="16"/>
    <x v="3"/>
    <x v="1"/>
    <n v="273.69"/>
  </r>
  <r>
    <d v="2025-04-27T00:00:00"/>
    <x v="1"/>
    <x v="15"/>
    <x v="0"/>
    <x v="10"/>
    <x v="6"/>
    <x v="6"/>
    <x v="41"/>
    <x v="0"/>
    <x v="7"/>
    <x v="0"/>
    <x v="9"/>
    <n v="756.94"/>
  </r>
  <r>
    <d v="2025-04-27T00:00:00"/>
    <x v="1"/>
    <x v="15"/>
    <x v="1"/>
    <x v="19"/>
    <x v="7"/>
    <x v="7"/>
    <x v="88"/>
    <x v="0"/>
    <x v="12"/>
    <x v="8"/>
    <x v="5"/>
    <n v="801.48"/>
  </r>
  <r>
    <d v="2025-04-29T00:00:00"/>
    <x v="1"/>
    <x v="15"/>
    <x v="1"/>
    <x v="49"/>
    <x v="3"/>
    <x v="3"/>
    <x v="58"/>
    <x v="0"/>
    <x v="16"/>
    <x v="4"/>
    <x v="7"/>
    <n v="55.14"/>
  </r>
  <r>
    <d v="2025-04-29T00:00:00"/>
    <x v="1"/>
    <x v="15"/>
    <x v="1"/>
    <x v="1"/>
    <x v="7"/>
    <x v="7"/>
    <x v="89"/>
    <x v="0"/>
    <x v="12"/>
    <x v="7"/>
    <x v="3"/>
    <n v="66.87"/>
  </r>
  <r>
    <d v="2025-04-29T00:00:00"/>
    <x v="1"/>
    <x v="15"/>
    <x v="1"/>
    <x v="34"/>
    <x v="6"/>
    <x v="6"/>
    <x v="32"/>
    <x v="0"/>
    <x v="2"/>
    <x v="9"/>
    <x v="6"/>
    <n v="808.07"/>
  </r>
  <r>
    <d v="2025-04-29T00:00:00"/>
    <x v="1"/>
    <x v="15"/>
    <x v="1"/>
    <x v="23"/>
    <x v="1"/>
    <x v="1"/>
    <x v="12"/>
    <x v="0"/>
    <x v="10"/>
    <x v="5"/>
    <x v="8"/>
    <n v="865.66"/>
  </r>
  <r>
    <d v="2025-04-30T00:00:00"/>
    <x v="1"/>
    <x v="15"/>
    <x v="1"/>
    <x v="36"/>
    <x v="7"/>
    <x v="7"/>
    <x v="90"/>
    <x v="0"/>
    <x v="9"/>
    <x v="1"/>
    <x v="0"/>
    <n v="9.6"/>
  </r>
  <r>
    <d v="2025-04-30T00:00:00"/>
    <x v="1"/>
    <x v="15"/>
    <x v="1"/>
    <x v="50"/>
    <x v="7"/>
    <x v="7"/>
    <x v="83"/>
    <x v="0"/>
    <x v="20"/>
    <x v="2"/>
    <x v="2"/>
    <n v="90.93"/>
  </r>
  <r>
    <d v="2025-04-30T00:00:00"/>
    <x v="1"/>
    <x v="15"/>
    <x v="1"/>
    <x v="79"/>
    <x v="1"/>
    <x v="1"/>
    <x v="8"/>
    <x v="0"/>
    <x v="10"/>
    <x v="1"/>
    <x v="0"/>
    <n v="120.13"/>
  </r>
  <r>
    <d v="2025-04-30T00:00:00"/>
    <x v="1"/>
    <x v="15"/>
    <x v="0"/>
    <x v="34"/>
    <x v="6"/>
    <x v="6"/>
    <x v="32"/>
    <x v="0"/>
    <x v="2"/>
    <x v="4"/>
    <x v="7"/>
    <n v="223.71"/>
  </r>
  <r>
    <d v="2025-04-30T00:00:00"/>
    <x v="1"/>
    <x v="15"/>
    <x v="0"/>
    <x v="71"/>
    <x v="1"/>
    <x v="1"/>
    <x v="27"/>
    <x v="0"/>
    <x v="8"/>
    <x v="0"/>
    <x v="9"/>
    <n v="236.0"/>
  </r>
  <r>
    <d v="2025-04-30T00:00:00"/>
    <x v="1"/>
    <x v="15"/>
    <x v="1"/>
    <x v="19"/>
    <x v="7"/>
    <x v="7"/>
    <x v="88"/>
    <x v="0"/>
    <x v="12"/>
    <x v="4"/>
    <x v="7"/>
    <n v="341.15"/>
  </r>
  <r>
    <d v="2025-04-30T00:00:00"/>
    <x v="1"/>
    <x v="15"/>
    <x v="1"/>
    <x v="46"/>
    <x v="6"/>
    <x v="6"/>
    <x v="42"/>
    <x v="0"/>
    <x v="7"/>
    <x v="2"/>
    <x v="2"/>
    <n v="474.07"/>
  </r>
  <r>
    <d v="2025-04-30T00:00:00"/>
    <x v="1"/>
    <x v="15"/>
    <x v="0"/>
    <x v="31"/>
    <x v="2"/>
    <x v="2"/>
    <x v="0"/>
    <x v="0"/>
    <x v="11"/>
    <x v="9"/>
    <x v="6"/>
    <n v="571.99"/>
  </r>
  <r>
    <d v="2025-04-30T00:00:00"/>
    <x v="1"/>
    <x v="15"/>
    <x v="0"/>
    <x v="4"/>
    <x v="6"/>
    <x v="6"/>
    <x v="29"/>
    <x v="0"/>
    <x v="2"/>
    <x v="6"/>
    <x v="4"/>
    <n v="584.96"/>
  </r>
  <r>
    <d v="2025-04-30T00:00:00"/>
    <x v="1"/>
    <x v="15"/>
    <x v="0"/>
    <x v="54"/>
    <x v="1"/>
    <x v="1"/>
    <x v="25"/>
    <x v="0"/>
    <x v="8"/>
    <x v="9"/>
    <x v="6"/>
    <n v="1214.61"/>
  </r>
  <r>
    <d v="2025-05-01T00:00:00"/>
    <x v="1"/>
    <x v="16"/>
    <x v="1"/>
    <x v="89"/>
    <x v="1"/>
    <x v="1"/>
    <x v="18"/>
    <x v="0"/>
    <x v="5"/>
    <x v="3"/>
    <x v="1"/>
    <n v="1.0"/>
  </r>
  <r>
    <d v="2025-05-01T00:00:00"/>
    <x v="1"/>
    <x v="16"/>
    <x v="1"/>
    <x v="55"/>
    <x v="3"/>
    <x v="3"/>
    <x v="68"/>
    <x v="0"/>
    <x v="1"/>
    <x v="9"/>
    <x v="6"/>
    <n v="26.0"/>
  </r>
  <r>
    <d v="2025-05-01T00:00:00"/>
    <x v="1"/>
    <x v="16"/>
    <x v="1"/>
    <x v="13"/>
    <x v="0"/>
    <x v="0"/>
    <x v="22"/>
    <x v="0"/>
    <x v="5"/>
    <x v="8"/>
    <x v="5"/>
    <n v="38.94"/>
  </r>
  <r>
    <d v="2025-05-01T00:00:00"/>
    <x v="1"/>
    <x v="16"/>
    <x v="0"/>
    <x v="64"/>
    <x v="3"/>
    <x v="3"/>
    <x v="70"/>
    <x v="0"/>
    <x v="3"/>
    <x v="0"/>
    <x v="9"/>
    <n v="97.93"/>
  </r>
  <r>
    <d v="2025-05-01T00:00:00"/>
    <x v="1"/>
    <x v="16"/>
    <x v="0"/>
    <x v="22"/>
    <x v="1"/>
    <x v="1"/>
    <x v="20"/>
    <x v="0"/>
    <x v="5"/>
    <x v="9"/>
    <x v="6"/>
    <n v="145.8"/>
  </r>
  <r>
    <d v="2025-05-01T00:00:00"/>
    <x v="1"/>
    <x v="16"/>
    <x v="1"/>
    <x v="47"/>
    <x v="3"/>
    <x v="3"/>
    <x v="54"/>
    <x v="0"/>
    <x v="19"/>
    <x v="4"/>
    <x v="7"/>
    <n v="161.18"/>
  </r>
  <r>
    <d v="2025-05-01T00:00:00"/>
    <x v="1"/>
    <x v="16"/>
    <x v="1"/>
    <x v="88"/>
    <x v="1"/>
    <x v="1"/>
    <x v="17"/>
    <x v="0"/>
    <x v="4"/>
    <x v="6"/>
    <x v="4"/>
    <n v="976.41"/>
  </r>
  <r>
    <d v="2025-05-01T00:00:00"/>
    <x v="1"/>
    <x v="16"/>
    <x v="1"/>
    <x v="65"/>
    <x v="1"/>
    <x v="1"/>
    <x v="7"/>
    <x v="0"/>
    <x v="10"/>
    <x v="1"/>
    <x v="0"/>
    <n v="979.84"/>
  </r>
  <r>
    <d v="2025-05-01T00:00:00"/>
    <x v="1"/>
    <x v="16"/>
    <x v="1"/>
    <x v="65"/>
    <x v="1"/>
    <x v="1"/>
    <x v="7"/>
    <x v="0"/>
    <x v="10"/>
    <x v="9"/>
    <x v="6"/>
    <n v="2715.92"/>
  </r>
  <r>
    <d v="2025-05-02T00:00:00"/>
    <x v="1"/>
    <x v="16"/>
    <x v="1"/>
    <x v="34"/>
    <x v="6"/>
    <x v="6"/>
    <x v="32"/>
    <x v="0"/>
    <x v="2"/>
    <x v="4"/>
    <x v="7"/>
    <n v="1.0"/>
  </r>
  <r>
    <d v="2025-05-02T00:00:00"/>
    <x v="1"/>
    <x v="16"/>
    <x v="1"/>
    <x v="2"/>
    <x v="1"/>
    <x v="1"/>
    <x v="2"/>
    <x v="0"/>
    <x v="6"/>
    <x v="8"/>
    <x v="5"/>
    <n v="3.99"/>
  </r>
  <r>
    <d v="2025-05-02T00:00:00"/>
    <x v="1"/>
    <x v="16"/>
    <x v="1"/>
    <x v="26"/>
    <x v="7"/>
    <x v="7"/>
    <x v="81"/>
    <x v="0"/>
    <x v="20"/>
    <x v="2"/>
    <x v="2"/>
    <n v="4.5"/>
  </r>
  <r>
    <d v="2025-05-02T00:00:00"/>
    <x v="1"/>
    <x v="16"/>
    <x v="0"/>
    <x v="13"/>
    <x v="0"/>
    <x v="0"/>
    <x v="22"/>
    <x v="0"/>
    <x v="5"/>
    <x v="3"/>
    <x v="1"/>
    <n v="5.25"/>
  </r>
  <r>
    <d v="2025-05-02T00:00:00"/>
    <x v="1"/>
    <x v="16"/>
    <x v="0"/>
    <x v="65"/>
    <x v="1"/>
    <x v="1"/>
    <x v="7"/>
    <x v="0"/>
    <x v="10"/>
    <x v="4"/>
    <x v="7"/>
    <n v="29.9"/>
  </r>
  <r>
    <d v="2025-05-02T00:00:00"/>
    <x v="1"/>
    <x v="16"/>
    <x v="1"/>
    <x v="4"/>
    <x v="6"/>
    <x v="6"/>
    <x v="29"/>
    <x v="0"/>
    <x v="2"/>
    <x v="6"/>
    <x v="4"/>
    <n v="39.95"/>
  </r>
  <r>
    <d v="2025-05-02T00:00:00"/>
    <x v="1"/>
    <x v="16"/>
    <x v="0"/>
    <x v="44"/>
    <x v="6"/>
    <x v="6"/>
    <x v="49"/>
    <x v="0"/>
    <x v="13"/>
    <x v="0"/>
    <x v="9"/>
    <n v="136.79"/>
  </r>
  <r>
    <d v="2025-05-02T00:00:00"/>
    <x v="1"/>
    <x v="16"/>
    <x v="1"/>
    <x v="82"/>
    <x v="6"/>
    <x v="6"/>
    <x v="47"/>
    <x v="0"/>
    <x v="13"/>
    <x v="1"/>
    <x v="0"/>
    <n v="246.26"/>
  </r>
  <r>
    <d v="2025-05-02T00:00:00"/>
    <x v="1"/>
    <x v="16"/>
    <x v="1"/>
    <x v="0"/>
    <x v="3"/>
    <x v="3"/>
    <x v="69"/>
    <x v="0"/>
    <x v="3"/>
    <x v="2"/>
    <x v="2"/>
    <n v="276.27"/>
  </r>
  <r>
    <d v="2025-05-02T00:00:00"/>
    <x v="1"/>
    <x v="16"/>
    <x v="1"/>
    <x v="12"/>
    <x v="1"/>
    <x v="1"/>
    <x v="26"/>
    <x v="0"/>
    <x v="8"/>
    <x v="3"/>
    <x v="1"/>
    <n v="1379.7"/>
  </r>
  <r>
    <d v="2025-05-02T00:00:00"/>
    <x v="1"/>
    <x v="16"/>
    <x v="1"/>
    <x v="49"/>
    <x v="3"/>
    <x v="3"/>
    <x v="58"/>
    <x v="0"/>
    <x v="16"/>
    <x v="3"/>
    <x v="1"/>
    <n v="1751.77"/>
  </r>
  <r>
    <d v="2025-05-03T00:00:00"/>
    <x v="1"/>
    <x v="16"/>
    <x v="1"/>
    <x v="24"/>
    <x v="6"/>
    <x v="6"/>
    <x v="36"/>
    <x v="0"/>
    <x v="14"/>
    <x v="2"/>
    <x v="2"/>
    <n v="1.71"/>
  </r>
  <r>
    <d v="2025-05-03T00:00:00"/>
    <x v="1"/>
    <x v="16"/>
    <x v="1"/>
    <x v="30"/>
    <x v="6"/>
    <x v="6"/>
    <x v="37"/>
    <x v="0"/>
    <x v="14"/>
    <x v="6"/>
    <x v="4"/>
    <n v="4.0"/>
  </r>
  <r>
    <d v="2025-05-03T00:00:00"/>
    <x v="1"/>
    <x v="16"/>
    <x v="1"/>
    <x v="37"/>
    <x v="6"/>
    <x v="6"/>
    <x v="39"/>
    <x v="0"/>
    <x v="14"/>
    <x v="6"/>
    <x v="4"/>
    <n v="42.17"/>
  </r>
  <r>
    <d v="2025-05-03T00:00:00"/>
    <x v="1"/>
    <x v="16"/>
    <x v="1"/>
    <x v="96"/>
    <x v="3"/>
    <x v="3"/>
    <x v="67"/>
    <x v="0"/>
    <x v="1"/>
    <x v="0"/>
    <x v="9"/>
    <n v="167.74"/>
  </r>
  <r>
    <d v="2025-05-03T00:00:00"/>
    <x v="1"/>
    <x v="16"/>
    <x v="1"/>
    <x v="75"/>
    <x v="1"/>
    <x v="1"/>
    <x v="4"/>
    <x v="0"/>
    <x v="6"/>
    <x v="0"/>
    <x v="9"/>
    <n v="878.53"/>
  </r>
  <r>
    <d v="2025-05-04T00:00:00"/>
    <x v="1"/>
    <x v="16"/>
    <x v="1"/>
    <x v="69"/>
    <x v="1"/>
    <x v="1"/>
    <x v="19"/>
    <x v="0"/>
    <x v="5"/>
    <x v="7"/>
    <x v="3"/>
    <n v="2.98"/>
  </r>
  <r>
    <d v="2025-05-04T00:00:00"/>
    <x v="1"/>
    <x v="16"/>
    <x v="0"/>
    <x v="91"/>
    <x v="1"/>
    <x v="1"/>
    <x v="23"/>
    <x v="0"/>
    <x v="8"/>
    <x v="6"/>
    <x v="4"/>
    <n v="12.99"/>
  </r>
  <r>
    <d v="2025-05-04T00:00:00"/>
    <x v="1"/>
    <x v="16"/>
    <x v="1"/>
    <x v="38"/>
    <x v="0"/>
    <x v="0"/>
    <x v="21"/>
    <x v="0"/>
    <x v="5"/>
    <x v="4"/>
    <x v="7"/>
    <n v="27.18"/>
  </r>
  <r>
    <d v="2025-05-04T00:00:00"/>
    <x v="1"/>
    <x v="16"/>
    <x v="0"/>
    <x v="21"/>
    <x v="3"/>
    <x v="3"/>
    <x v="60"/>
    <x v="0"/>
    <x v="17"/>
    <x v="7"/>
    <x v="3"/>
    <n v="34.86"/>
  </r>
  <r>
    <d v="2025-05-04T00:00:00"/>
    <x v="1"/>
    <x v="16"/>
    <x v="0"/>
    <x v="61"/>
    <x v="7"/>
    <x v="7"/>
    <x v="84"/>
    <x v="0"/>
    <x v="20"/>
    <x v="4"/>
    <x v="7"/>
    <n v="48.85"/>
  </r>
  <r>
    <d v="2025-05-04T00:00:00"/>
    <x v="1"/>
    <x v="16"/>
    <x v="0"/>
    <x v="46"/>
    <x v="6"/>
    <x v="6"/>
    <x v="42"/>
    <x v="0"/>
    <x v="7"/>
    <x v="9"/>
    <x v="6"/>
    <n v="264.91"/>
  </r>
  <r>
    <d v="2025-05-04T00:00:00"/>
    <x v="1"/>
    <x v="16"/>
    <x v="0"/>
    <x v="87"/>
    <x v="3"/>
    <x v="3"/>
    <x v="52"/>
    <x v="0"/>
    <x v="19"/>
    <x v="6"/>
    <x v="4"/>
    <n v="852.9"/>
  </r>
  <r>
    <d v="2025-05-05T00:00:00"/>
    <x v="1"/>
    <x v="16"/>
    <x v="1"/>
    <x v="77"/>
    <x v="3"/>
    <x v="3"/>
    <x v="66"/>
    <x v="0"/>
    <x v="1"/>
    <x v="3"/>
    <x v="1"/>
    <n v="87.83"/>
  </r>
  <r>
    <d v="2025-05-05T00:00:00"/>
    <x v="1"/>
    <x v="16"/>
    <x v="1"/>
    <x v="95"/>
    <x v="4"/>
    <x v="4"/>
    <x v="73"/>
    <x v="0"/>
    <x v="15"/>
    <x v="1"/>
    <x v="0"/>
    <n v="152.9"/>
  </r>
  <r>
    <d v="2025-05-06T00:00:00"/>
    <x v="1"/>
    <x v="16"/>
    <x v="1"/>
    <x v="13"/>
    <x v="0"/>
    <x v="0"/>
    <x v="22"/>
    <x v="0"/>
    <x v="5"/>
    <x v="6"/>
    <x v="4"/>
    <n v="7.22"/>
  </r>
  <r>
    <d v="2025-05-06T00:00:00"/>
    <x v="1"/>
    <x v="16"/>
    <x v="0"/>
    <x v="90"/>
    <x v="3"/>
    <x v="3"/>
    <x v="55"/>
    <x v="0"/>
    <x v="19"/>
    <x v="6"/>
    <x v="4"/>
    <n v="9.99"/>
  </r>
  <r>
    <d v="2025-05-06T00:00:00"/>
    <x v="1"/>
    <x v="16"/>
    <x v="0"/>
    <x v="76"/>
    <x v="6"/>
    <x v="6"/>
    <x v="34"/>
    <x v="0"/>
    <x v="14"/>
    <x v="1"/>
    <x v="0"/>
    <n v="15.0"/>
  </r>
  <r>
    <d v="2025-05-06T00:00:00"/>
    <x v="1"/>
    <x v="16"/>
    <x v="1"/>
    <x v="45"/>
    <x v="3"/>
    <x v="3"/>
    <x v="64"/>
    <x v="0"/>
    <x v="1"/>
    <x v="3"/>
    <x v="1"/>
    <n v="19.49"/>
  </r>
  <r>
    <d v="2025-05-06T00:00:00"/>
    <x v="1"/>
    <x v="16"/>
    <x v="1"/>
    <x v="2"/>
    <x v="1"/>
    <x v="1"/>
    <x v="2"/>
    <x v="0"/>
    <x v="6"/>
    <x v="7"/>
    <x v="3"/>
    <n v="50.4"/>
  </r>
  <r>
    <d v="2025-05-06T00:00:00"/>
    <x v="1"/>
    <x v="16"/>
    <x v="1"/>
    <x v="4"/>
    <x v="6"/>
    <x v="6"/>
    <x v="29"/>
    <x v="0"/>
    <x v="2"/>
    <x v="2"/>
    <x v="2"/>
    <n v="90.93"/>
  </r>
  <r>
    <d v="2025-05-06T00:00:00"/>
    <x v="1"/>
    <x v="16"/>
    <x v="1"/>
    <x v="67"/>
    <x v="3"/>
    <x v="3"/>
    <x v="62"/>
    <x v="0"/>
    <x v="17"/>
    <x v="5"/>
    <x v="8"/>
    <n v="176.37"/>
  </r>
  <r>
    <d v="2025-05-06T00:00:00"/>
    <x v="1"/>
    <x v="16"/>
    <x v="1"/>
    <x v="3"/>
    <x v="2"/>
    <x v="2"/>
    <x v="1"/>
    <x v="0"/>
    <x v="11"/>
    <x v="9"/>
    <x v="6"/>
    <n v="290.77"/>
  </r>
  <r>
    <d v="2025-05-06T00:00:00"/>
    <x v="1"/>
    <x v="16"/>
    <x v="0"/>
    <x v="39"/>
    <x v="7"/>
    <x v="7"/>
    <x v="91"/>
    <x v="0"/>
    <x v="9"/>
    <x v="3"/>
    <x v="1"/>
    <n v="942.92"/>
  </r>
  <r>
    <d v="2025-05-06T00:00:00"/>
    <x v="1"/>
    <x v="16"/>
    <x v="1"/>
    <x v="90"/>
    <x v="3"/>
    <x v="3"/>
    <x v="55"/>
    <x v="0"/>
    <x v="19"/>
    <x v="3"/>
    <x v="1"/>
    <n v="2670.66"/>
  </r>
  <r>
    <d v="2025-05-06T00:00:00"/>
    <x v="1"/>
    <x v="16"/>
    <x v="1"/>
    <x v="10"/>
    <x v="6"/>
    <x v="6"/>
    <x v="41"/>
    <x v="0"/>
    <x v="7"/>
    <x v="9"/>
    <x v="6"/>
    <n v="3300.76"/>
  </r>
  <r>
    <d v="2025-05-07T00:00:00"/>
    <x v="1"/>
    <x v="16"/>
    <x v="1"/>
    <x v="73"/>
    <x v="4"/>
    <x v="4"/>
    <x v="80"/>
    <x v="0"/>
    <x v="0"/>
    <x v="1"/>
    <x v="0"/>
    <n v="37.47"/>
  </r>
  <r>
    <d v="2025-05-07T00:00:00"/>
    <x v="1"/>
    <x v="16"/>
    <x v="1"/>
    <x v="74"/>
    <x v="4"/>
    <x v="4"/>
    <x v="75"/>
    <x v="0"/>
    <x v="15"/>
    <x v="5"/>
    <x v="8"/>
    <n v="359.75"/>
  </r>
  <r>
    <d v="2025-05-07T00:00:00"/>
    <x v="1"/>
    <x v="16"/>
    <x v="1"/>
    <x v="40"/>
    <x v="3"/>
    <x v="3"/>
    <x v="65"/>
    <x v="0"/>
    <x v="1"/>
    <x v="6"/>
    <x v="4"/>
    <n v="965.06"/>
  </r>
  <r>
    <d v="2025-05-08T00:00:00"/>
    <x v="1"/>
    <x v="16"/>
    <x v="1"/>
    <x v="31"/>
    <x v="2"/>
    <x v="2"/>
    <x v="0"/>
    <x v="0"/>
    <x v="11"/>
    <x v="3"/>
    <x v="1"/>
    <n v="3.0"/>
  </r>
  <r>
    <d v="2025-05-08T00:00:00"/>
    <x v="1"/>
    <x v="16"/>
    <x v="1"/>
    <x v="2"/>
    <x v="1"/>
    <x v="1"/>
    <x v="2"/>
    <x v="0"/>
    <x v="6"/>
    <x v="3"/>
    <x v="1"/>
    <n v="36.67"/>
  </r>
  <r>
    <d v="2025-05-08T00:00:00"/>
    <x v="1"/>
    <x v="16"/>
    <x v="0"/>
    <x v="57"/>
    <x v="4"/>
    <x v="4"/>
    <x v="74"/>
    <x v="0"/>
    <x v="15"/>
    <x v="0"/>
    <x v="9"/>
    <n v="65.88"/>
  </r>
  <r>
    <d v="2025-05-08T00:00:00"/>
    <x v="1"/>
    <x v="16"/>
    <x v="0"/>
    <x v="9"/>
    <x v="7"/>
    <x v="7"/>
    <x v="82"/>
    <x v="0"/>
    <x v="20"/>
    <x v="5"/>
    <x v="8"/>
    <n v="94.93"/>
  </r>
  <r>
    <d v="2025-05-08T00:00:00"/>
    <x v="1"/>
    <x v="16"/>
    <x v="0"/>
    <x v="91"/>
    <x v="1"/>
    <x v="1"/>
    <x v="23"/>
    <x v="0"/>
    <x v="8"/>
    <x v="8"/>
    <x v="5"/>
    <n v="122.77"/>
  </r>
  <r>
    <d v="2025-05-08T00:00:00"/>
    <x v="1"/>
    <x v="16"/>
    <x v="1"/>
    <x v="72"/>
    <x v="1"/>
    <x v="1"/>
    <x v="24"/>
    <x v="0"/>
    <x v="8"/>
    <x v="4"/>
    <x v="7"/>
    <n v="286.61"/>
  </r>
  <r>
    <d v="2025-05-08T00:00:00"/>
    <x v="1"/>
    <x v="16"/>
    <x v="0"/>
    <x v="36"/>
    <x v="7"/>
    <x v="7"/>
    <x v="90"/>
    <x v="0"/>
    <x v="9"/>
    <x v="3"/>
    <x v="1"/>
    <n v="1120.5"/>
  </r>
  <r>
    <d v="2025-05-08T00:00:00"/>
    <x v="1"/>
    <x v="16"/>
    <x v="1"/>
    <x v="32"/>
    <x v="1"/>
    <x v="1"/>
    <x v="28"/>
    <x v="0"/>
    <x v="8"/>
    <x v="3"/>
    <x v="1"/>
    <n v="2621.51"/>
  </r>
  <r>
    <d v="2025-05-08T00:00:00"/>
    <x v="1"/>
    <x v="16"/>
    <x v="1"/>
    <x v="12"/>
    <x v="1"/>
    <x v="1"/>
    <x v="26"/>
    <x v="0"/>
    <x v="8"/>
    <x v="9"/>
    <x v="6"/>
    <n v="7909.75"/>
  </r>
  <r>
    <d v="2025-05-09T00:00:00"/>
    <x v="1"/>
    <x v="16"/>
    <x v="1"/>
    <x v="18"/>
    <x v="5"/>
    <x v="5"/>
    <x v="96"/>
    <x v="0"/>
    <x v="18"/>
    <x v="5"/>
    <x v="8"/>
    <n v="9.98"/>
  </r>
  <r>
    <d v="2025-05-09T00:00:00"/>
    <x v="1"/>
    <x v="16"/>
    <x v="1"/>
    <x v="10"/>
    <x v="6"/>
    <x v="6"/>
    <x v="41"/>
    <x v="0"/>
    <x v="7"/>
    <x v="6"/>
    <x v="4"/>
    <n v="65.89"/>
  </r>
  <r>
    <d v="2025-05-09T00:00:00"/>
    <x v="1"/>
    <x v="16"/>
    <x v="0"/>
    <x v="23"/>
    <x v="1"/>
    <x v="1"/>
    <x v="12"/>
    <x v="0"/>
    <x v="10"/>
    <x v="6"/>
    <x v="4"/>
    <n v="175.76"/>
  </r>
  <r>
    <d v="2025-05-09T00:00:00"/>
    <x v="1"/>
    <x v="16"/>
    <x v="1"/>
    <x v="60"/>
    <x v="6"/>
    <x v="6"/>
    <x v="44"/>
    <x v="0"/>
    <x v="7"/>
    <x v="9"/>
    <x v="6"/>
    <n v="698.73"/>
  </r>
  <r>
    <d v="2025-05-10T00:00:00"/>
    <x v="1"/>
    <x v="16"/>
    <x v="1"/>
    <x v="89"/>
    <x v="1"/>
    <x v="1"/>
    <x v="18"/>
    <x v="0"/>
    <x v="5"/>
    <x v="1"/>
    <x v="0"/>
    <n v="13.0"/>
  </r>
  <r>
    <d v="2025-05-10T00:00:00"/>
    <x v="1"/>
    <x v="16"/>
    <x v="1"/>
    <x v="2"/>
    <x v="1"/>
    <x v="1"/>
    <x v="2"/>
    <x v="0"/>
    <x v="6"/>
    <x v="0"/>
    <x v="9"/>
    <n v="52.52"/>
  </r>
  <r>
    <d v="2025-05-10T00:00:00"/>
    <x v="1"/>
    <x v="16"/>
    <x v="0"/>
    <x v="93"/>
    <x v="6"/>
    <x v="6"/>
    <x v="30"/>
    <x v="0"/>
    <x v="2"/>
    <x v="0"/>
    <x v="9"/>
    <n v="56.81"/>
  </r>
  <r>
    <d v="2025-05-10T00:00:00"/>
    <x v="1"/>
    <x v="16"/>
    <x v="0"/>
    <x v="12"/>
    <x v="1"/>
    <x v="1"/>
    <x v="26"/>
    <x v="0"/>
    <x v="8"/>
    <x v="1"/>
    <x v="0"/>
    <n v="234.68"/>
  </r>
  <r>
    <d v="2025-05-11T00:00:00"/>
    <x v="1"/>
    <x v="16"/>
    <x v="0"/>
    <x v="91"/>
    <x v="1"/>
    <x v="1"/>
    <x v="23"/>
    <x v="0"/>
    <x v="8"/>
    <x v="6"/>
    <x v="4"/>
    <n v="1.8"/>
  </r>
  <r>
    <d v="2025-05-11T00:00:00"/>
    <x v="1"/>
    <x v="16"/>
    <x v="1"/>
    <x v="8"/>
    <x v="3"/>
    <x v="3"/>
    <x v="72"/>
    <x v="0"/>
    <x v="3"/>
    <x v="1"/>
    <x v="0"/>
    <n v="6.5"/>
  </r>
  <r>
    <d v="2025-05-11T00:00:00"/>
    <x v="1"/>
    <x v="16"/>
    <x v="1"/>
    <x v="59"/>
    <x v="1"/>
    <x v="1"/>
    <x v="3"/>
    <x v="0"/>
    <x v="6"/>
    <x v="9"/>
    <x v="6"/>
    <n v="151.76"/>
  </r>
  <r>
    <d v="2025-05-11T00:00:00"/>
    <x v="1"/>
    <x v="16"/>
    <x v="1"/>
    <x v="10"/>
    <x v="6"/>
    <x v="6"/>
    <x v="41"/>
    <x v="0"/>
    <x v="7"/>
    <x v="1"/>
    <x v="0"/>
    <n v="242.86"/>
  </r>
  <r>
    <d v="2025-05-11T00:00:00"/>
    <x v="1"/>
    <x v="16"/>
    <x v="1"/>
    <x v="50"/>
    <x v="7"/>
    <x v="7"/>
    <x v="83"/>
    <x v="0"/>
    <x v="20"/>
    <x v="6"/>
    <x v="4"/>
    <n v="604.06"/>
  </r>
  <r>
    <d v="2025-05-11T00:00:00"/>
    <x v="1"/>
    <x v="16"/>
    <x v="1"/>
    <x v="37"/>
    <x v="6"/>
    <x v="6"/>
    <x v="39"/>
    <x v="0"/>
    <x v="14"/>
    <x v="0"/>
    <x v="9"/>
    <n v="982.19"/>
  </r>
  <r>
    <d v="2025-05-11T00:00:00"/>
    <x v="1"/>
    <x v="16"/>
    <x v="1"/>
    <x v="20"/>
    <x v="3"/>
    <x v="3"/>
    <x v="71"/>
    <x v="0"/>
    <x v="3"/>
    <x v="2"/>
    <x v="2"/>
    <n v="1233.97"/>
  </r>
  <r>
    <d v="2025-05-11T00:00:00"/>
    <x v="1"/>
    <x v="16"/>
    <x v="1"/>
    <x v="75"/>
    <x v="1"/>
    <x v="1"/>
    <x v="4"/>
    <x v="0"/>
    <x v="6"/>
    <x v="2"/>
    <x v="2"/>
    <n v="1789.21"/>
  </r>
  <r>
    <d v="2025-05-12T00:00:00"/>
    <x v="1"/>
    <x v="16"/>
    <x v="0"/>
    <x v="63"/>
    <x v="4"/>
    <x v="4"/>
    <x v="78"/>
    <x v="0"/>
    <x v="0"/>
    <x v="5"/>
    <x v="8"/>
    <n v="41.75"/>
  </r>
  <r>
    <d v="2025-05-12T00:00:00"/>
    <x v="1"/>
    <x v="16"/>
    <x v="0"/>
    <x v="32"/>
    <x v="1"/>
    <x v="1"/>
    <x v="28"/>
    <x v="0"/>
    <x v="8"/>
    <x v="2"/>
    <x v="2"/>
    <n v="259.31"/>
  </r>
  <r>
    <d v="2025-05-12T00:00:00"/>
    <x v="1"/>
    <x v="16"/>
    <x v="1"/>
    <x v="48"/>
    <x v="7"/>
    <x v="7"/>
    <x v="85"/>
    <x v="0"/>
    <x v="20"/>
    <x v="1"/>
    <x v="0"/>
    <n v="317.68"/>
  </r>
  <r>
    <d v="2025-05-12T00:00:00"/>
    <x v="1"/>
    <x v="16"/>
    <x v="1"/>
    <x v="83"/>
    <x v="3"/>
    <x v="3"/>
    <x v="56"/>
    <x v="0"/>
    <x v="16"/>
    <x v="1"/>
    <x v="0"/>
    <n v="1094.07"/>
  </r>
  <r>
    <d v="2025-05-12T00:00:00"/>
    <x v="1"/>
    <x v="16"/>
    <x v="1"/>
    <x v="91"/>
    <x v="1"/>
    <x v="1"/>
    <x v="23"/>
    <x v="0"/>
    <x v="8"/>
    <x v="3"/>
    <x v="1"/>
    <n v="1364.04"/>
  </r>
  <r>
    <d v="2025-05-13T00:00:00"/>
    <x v="1"/>
    <x v="16"/>
    <x v="1"/>
    <x v="28"/>
    <x v="6"/>
    <x v="6"/>
    <x v="51"/>
    <x v="0"/>
    <x v="13"/>
    <x v="5"/>
    <x v="8"/>
    <n v="4.99"/>
  </r>
  <r>
    <d v="2025-05-13T00:00:00"/>
    <x v="1"/>
    <x v="16"/>
    <x v="1"/>
    <x v="79"/>
    <x v="1"/>
    <x v="1"/>
    <x v="8"/>
    <x v="0"/>
    <x v="10"/>
    <x v="2"/>
    <x v="2"/>
    <n v="38.97"/>
  </r>
  <r>
    <d v="2025-05-13T00:00:00"/>
    <x v="1"/>
    <x v="16"/>
    <x v="0"/>
    <x v="85"/>
    <x v="6"/>
    <x v="6"/>
    <x v="43"/>
    <x v="0"/>
    <x v="7"/>
    <x v="1"/>
    <x v="0"/>
    <n v="72.94"/>
  </r>
  <r>
    <d v="2025-05-13T00:00:00"/>
    <x v="1"/>
    <x v="16"/>
    <x v="1"/>
    <x v="84"/>
    <x v="3"/>
    <x v="3"/>
    <x v="53"/>
    <x v="0"/>
    <x v="19"/>
    <x v="2"/>
    <x v="2"/>
    <n v="466.79"/>
  </r>
  <r>
    <d v="2025-05-13T00:00:00"/>
    <x v="1"/>
    <x v="16"/>
    <x v="0"/>
    <x v="26"/>
    <x v="7"/>
    <x v="7"/>
    <x v="81"/>
    <x v="0"/>
    <x v="20"/>
    <x v="2"/>
    <x v="2"/>
    <n v="1010.25"/>
  </r>
  <r>
    <d v="2025-05-13T00:00:00"/>
    <x v="1"/>
    <x v="16"/>
    <x v="1"/>
    <x v="68"/>
    <x v="3"/>
    <x v="3"/>
    <x v="59"/>
    <x v="0"/>
    <x v="16"/>
    <x v="9"/>
    <x v="6"/>
    <n v="1065.18"/>
  </r>
  <r>
    <d v="2025-05-13T00:00:00"/>
    <x v="1"/>
    <x v="16"/>
    <x v="1"/>
    <x v="71"/>
    <x v="1"/>
    <x v="1"/>
    <x v="27"/>
    <x v="0"/>
    <x v="8"/>
    <x v="2"/>
    <x v="2"/>
    <n v="2836.6"/>
  </r>
  <r>
    <d v="2025-05-14T00:00:00"/>
    <x v="1"/>
    <x v="16"/>
    <x v="0"/>
    <x v="72"/>
    <x v="1"/>
    <x v="1"/>
    <x v="24"/>
    <x v="0"/>
    <x v="8"/>
    <x v="8"/>
    <x v="5"/>
    <n v="9.95"/>
  </r>
  <r>
    <d v="2025-05-14T00:00:00"/>
    <x v="1"/>
    <x v="16"/>
    <x v="0"/>
    <x v="56"/>
    <x v="7"/>
    <x v="7"/>
    <x v="86"/>
    <x v="0"/>
    <x v="12"/>
    <x v="3"/>
    <x v="1"/>
    <n v="14.99"/>
  </r>
  <r>
    <d v="2025-05-14T00:00:00"/>
    <x v="1"/>
    <x v="16"/>
    <x v="1"/>
    <x v="25"/>
    <x v="1"/>
    <x v="1"/>
    <x v="6"/>
    <x v="0"/>
    <x v="6"/>
    <x v="6"/>
    <x v="4"/>
    <n v="64.98"/>
  </r>
  <r>
    <d v="2025-05-14T00:00:00"/>
    <x v="1"/>
    <x v="16"/>
    <x v="1"/>
    <x v="15"/>
    <x v="4"/>
    <x v="4"/>
    <x v="79"/>
    <x v="0"/>
    <x v="0"/>
    <x v="0"/>
    <x v="9"/>
    <n v="104.84"/>
  </r>
  <r>
    <d v="2025-05-14T00:00:00"/>
    <x v="1"/>
    <x v="16"/>
    <x v="1"/>
    <x v="13"/>
    <x v="0"/>
    <x v="0"/>
    <x v="22"/>
    <x v="0"/>
    <x v="5"/>
    <x v="7"/>
    <x v="3"/>
    <n v="151.02"/>
  </r>
  <r>
    <d v="2025-05-14T00:00:00"/>
    <x v="1"/>
    <x v="16"/>
    <x v="1"/>
    <x v="2"/>
    <x v="1"/>
    <x v="1"/>
    <x v="2"/>
    <x v="0"/>
    <x v="6"/>
    <x v="7"/>
    <x v="3"/>
    <n v="195.35"/>
  </r>
  <r>
    <d v="2025-05-14T00:00:00"/>
    <x v="1"/>
    <x v="16"/>
    <x v="1"/>
    <x v="34"/>
    <x v="6"/>
    <x v="6"/>
    <x v="32"/>
    <x v="0"/>
    <x v="2"/>
    <x v="8"/>
    <x v="5"/>
    <n v="447.44"/>
  </r>
  <r>
    <d v="2025-05-14T00:00:00"/>
    <x v="1"/>
    <x v="16"/>
    <x v="1"/>
    <x v="65"/>
    <x v="1"/>
    <x v="1"/>
    <x v="7"/>
    <x v="0"/>
    <x v="10"/>
    <x v="9"/>
    <x v="6"/>
    <n v="915.68"/>
  </r>
  <r>
    <d v="2025-05-14T00:00:00"/>
    <x v="1"/>
    <x v="16"/>
    <x v="0"/>
    <x v="1"/>
    <x v="7"/>
    <x v="7"/>
    <x v="89"/>
    <x v="0"/>
    <x v="12"/>
    <x v="3"/>
    <x v="1"/>
    <n v="1870.51"/>
  </r>
  <r>
    <d v="2025-05-14T00:00:00"/>
    <x v="1"/>
    <x v="16"/>
    <x v="1"/>
    <x v="92"/>
    <x v="6"/>
    <x v="6"/>
    <x v="40"/>
    <x v="0"/>
    <x v="7"/>
    <x v="3"/>
    <x v="1"/>
    <n v="4667.36"/>
  </r>
  <r>
    <d v="2025-05-15T00:00:00"/>
    <x v="1"/>
    <x v="16"/>
    <x v="1"/>
    <x v="35"/>
    <x v="6"/>
    <x v="6"/>
    <x v="46"/>
    <x v="0"/>
    <x v="7"/>
    <x v="3"/>
    <x v="1"/>
    <n v="3.53"/>
  </r>
  <r>
    <d v="2025-05-15T00:00:00"/>
    <x v="1"/>
    <x v="16"/>
    <x v="1"/>
    <x v="83"/>
    <x v="3"/>
    <x v="3"/>
    <x v="56"/>
    <x v="0"/>
    <x v="16"/>
    <x v="1"/>
    <x v="0"/>
    <n v="82.21"/>
  </r>
  <r>
    <d v="2025-05-15T00:00:00"/>
    <x v="1"/>
    <x v="16"/>
    <x v="1"/>
    <x v="45"/>
    <x v="3"/>
    <x v="3"/>
    <x v="64"/>
    <x v="0"/>
    <x v="1"/>
    <x v="3"/>
    <x v="1"/>
    <n v="498.64"/>
  </r>
  <r>
    <d v="2025-05-16T00:00:00"/>
    <x v="1"/>
    <x v="16"/>
    <x v="1"/>
    <x v="10"/>
    <x v="6"/>
    <x v="6"/>
    <x v="41"/>
    <x v="0"/>
    <x v="7"/>
    <x v="9"/>
    <x v="6"/>
    <n v="23.97"/>
  </r>
  <r>
    <d v="2025-05-16T00:00:00"/>
    <x v="1"/>
    <x v="16"/>
    <x v="0"/>
    <x v="24"/>
    <x v="6"/>
    <x v="6"/>
    <x v="36"/>
    <x v="0"/>
    <x v="14"/>
    <x v="3"/>
    <x v="1"/>
    <n v="41.64"/>
  </r>
  <r>
    <d v="2025-05-16T00:00:00"/>
    <x v="1"/>
    <x v="16"/>
    <x v="1"/>
    <x v="49"/>
    <x v="3"/>
    <x v="3"/>
    <x v="58"/>
    <x v="0"/>
    <x v="16"/>
    <x v="6"/>
    <x v="4"/>
    <n v="52.9"/>
  </r>
  <r>
    <d v="2025-05-16T00:00:00"/>
    <x v="1"/>
    <x v="16"/>
    <x v="1"/>
    <x v="10"/>
    <x v="6"/>
    <x v="6"/>
    <x v="41"/>
    <x v="0"/>
    <x v="7"/>
    <x v="6"/>
    <x v="4"/>
    <n v="151.93"/>
  </r>
  <r>
    <d v="2025-05-16T00:00:00"/>
    <x v="1"/>
    <x v="16"/>
    <x v="1"/>
    <x v="61"/>
    <x v="7"/>
    <x v="7"/>
    <x v="84"/>
    <x v="0"/>
    <x v="20"/>
    <x v="3"/>
    <x v="1"/>
    <n v="1190.68"/>
  </r>
  <r>
    <d v="2025-05-16T00:00:00"/>
    <x v="1"/>
    <x v="16"/>
    <x v="1"/>
    <x v="24"/>
    <x v="6"/>
    <x v="6"/>
    <x v="36"/>
    <x v="0"/>
    <x v="14"/>
    <x v="3"/>
    <x v="1"/>
    <n v="1807.66"/>
  </r>
  <r>
    <d v="2025-05-16T00:00:00"/>
    <x v="1"/>
    <x v="16"/>
    <x v="1"/>
    <x v="13"/>
    <x v="0"/>
    <x v="0"/>
    <x v="22"/>
    <x v="0"/>
    <x v="5"/>
    <x v="5"/>
    <x v="8"/>
    <n v="2032.06"/>
  </r>
  <r>
    <d v="2025-05-17T00:00:00"/>
    <x v="1"/>
    <x v="16"/>
    <x v="1"/>
    <x v="45"/>
    <x v="3"/>
    <x v="3"/>
    <x v="64"/>
    <x v="0"/>
    <x v="1"/>
    <x v="6"/>
    <x v="4"/>
    <n v="9.5"/>
  </r>
  <r>
    <d v="2025-05-17T00:00:00"/>
    <x v="1"/>
    <x v="16"/>
    <x v="1"/>
    <x v="3"/>
    <x v="2"/>
    <x v="2"/>
    <x v="1"/>
    <x v="0"/>
    <x v="11"/>
    <x v="1"/>
    <x v="0"/>
    <n v="23.98"/>
  </r>
  <r>
    <d v="2025-05-17T00:00:00"/>
    <x v="1"/>
    <x v="16"/>
    <x v="1"/>
    <x v="39"/>
    <x v="7"/>
    <x v="7"/>
    <x v="91"/>
    <x v="0"/>
    <x v="9"/>
    <x v="1"/>
    <x v="0"/>
    <n v="115.41"/>
  </r>
  <r>
    <d v="2025-05-17T00:00:00"/>
    <x v="1"/>
    <x v="16"/>
    <x v="1"/>
    <x v="8"/>
    <x v="3"/>
    <x v="3"/>
    <x v="72"/>
    <x v="0"/>
    <x v="3"/>
    <x v="8"/>
    <x v="5"/>
    <n v="115.67"/>
  </r>
  <r>
    <d v="2025-05-17T00:00:00"/>
    <x v="1"/>
    <x v="16"/>
    <x v="0"/>
    <x v="9"/>
    <x v="7"/>
    <x v="7"/>
    <x v="82"/>
    <x v="0"/>
    <x v="20"/>
    <x v="6"/>
    <x v="4"/>
    <n v="184.13"/>
  </r>
  <r>
    <d v="2025-05-17T00:00:00"/>
    <x v="1"/>
    <x v="16"/>
    <x v="1"/>
    <x v="8"/>
    <x v="3"/>
    <x v="3"/>
    <x v="72"/>
    <x v="0"/>
    <x v="3"/>
    <x v="3"/>
    <x v="1"/>
    <n v="275.65"/>
  </r>
  <r>
    <d v="2025-05-17T00:00:00"/>
    <x v="1"/>
    <x v="16"/>
    <x v="0"/>
    <x v="7"/>
    <x v="1"/>
    <x v="1"/>
    <x v="10"/>
    <x v="0"/>
    <x v="10"/>
    <x v="2"/>
    <x v="2"/>
    <n v="1126.35"/>
  </r>
  <r>
    <d v="2025-05-17T00:00:00"/>
    <x v="1"/>
    <x v="16"/>
    <x v="1"/>
    <x v="65"/>
    <x v="1"/>
    <x v="1"/>
    <x v="7"/>
    <x v="0"/>
    <x v="10"/>
    <x v="9"/>
    <x v="6"/>
    <n v="5537.78"/>
  </r>
  <r>
    <d v="2025-05-18T00:00:00"/>
    <x v="1"/>
    <x v="16"/>
    <x v="1"/>
    <x v="83"/>
    <x v="3"/>
    <x v="3"/>
    <x v="56"/>
    <x v="0"/>
    <x v="16"/>
    <x v="5"/>
    <x v="8"/>
    <n v="815.61"/>
  </r>
  <r>
    <d v="2025-05-19T00:00:00"/>
    <x v="1"/>
    <x v="16"/>
    <x v="0"/>
    <x v="73"/>
    <x v="4"/>
    <x v="4"/>
    <x v="80"/>
    <x v="0"/>
    <x v="0"/>
    <x v="4"/>
    <x v="7"/>
    <n v="9.98"/>
  </r>
  <r>
    <d v="2025-05-19T00:00:00"/>
    <x v="1"/>
    <x v="16"/>
    <x v="0"/>
    <x v="25"/>
    <x v="1"/>
    <x v="1"/>
    <x v="6"/>
    <x v="0"/>
    <x v="6"/>
    <x v="3"/>
    <x v="1"/>
    <n v="53.82"/>
  </r>
  <r>
    <d v="2025-05-19T00:00:00"/>
    <x v="1"/>
    <x v="16"/>
    <x v="1"/>
    <x v="84"/>
    <x v="3"/>
    <x v="3"/>
    <x v="53"/>
    <x v="0"/>
    <x v="19"/>
    <x v="4"/>
    <x v="7"/>
    <n v="241.72"/>
  </r>
  <r>
    <d v="2025-05-19T00:00:00"/>
    <x v="1"/>
    <x v="16"/>
    <x v="1"/>
    <x v="10"/>
    <x v="6"/>
    <x v="6"/>
    <x v="41"/>
    <x v="0"/>
    <x v="7"/>
    <x v="3"/>
    <x v="1"/>
    <n v="271.56"/>
  </r>
  <r>
    <d v="2025-05-19T00:00:00"/>
    <x v="1"/>
    <x v="16"/>
    <x v="1"/>
    <x v="19"/>
    <x v="7"/>
    <x v="7"/>
    <x v="88"/>
    <x v="0"/>
    <x v="12"/>
    <x v="7"/>
    <x v="3"/>
    <n v="821.36"/>
  </r>
  <r>
    <d v="2025-05-19T00:00:00"/>
    <x v="1"/>
    <x v="16"/>
    <x v="0"/>
    <x v="5"/>
    <x v="1"/>
    <x v="1"/>
    <x v="14"/>
    <x v="0"/>
    <x v="4"/>
    <x v="3"/>
    <x v="1"/>
    <n v="2156.83"/>
  </r>
  <r>
    <d v="2025-05-20T00:00:00"/>
    <x v="1"/>
    <x v="16"/>
    <x v="0"/>
    <x v="48"/>
    <x v="7"/>
    <x v="7"/>
    <x v="85"/>
    <x v="0"/>
    <x v="20"/>
    <x v="0"/>
    <x v="9"/>
    <n v="159.73"/>
  </r>
  <r>
    <d v="2025-05-20T00:00:00"/>
    <x v="1"/>
    <x v="16"/>
    <x v="0"/>
    <x v="92"/>
    <x v="6"/>
    <x v="6"/>
    <x v="40"/>
    <x v="0"/>
    <x v="7"/>
    <x v="5"/>
    <x v="8"/>
    <n v="261.7"/>
  </r>
  <r>
    <d v="2025-05-20T00:00:00"/>
    <x v="1"/>
    <x v="16"/>
    <x v="1"/>
    <x v="23"/>
    <x v="1"/>
    <x v="1"/>
    <x v="12"/>
    <x v="0"/>
    <x v="10"/>
    <x v="8"/>
    <x v="5"/>
    <n v="328.29"/>
  </r>
  <r>
    <d v="2025-05-20T00:00:00"/>
    <x v="1"/>
    <x v="16"/>
    <x v="0"/>
    <x v="95"/>
    <x v="4"/>
    <x v="4"/>
    <x v="73"/>
    <x v="0"/>
    <x v="15"/>
    <x v="5"/>
    <x v="8"/>
    <n v="519.22"/>
  </r>
  <r>
    <d v="2025-05-20T00:00:00"/>
    <x v="1"/>
    <x v="16"/>
    <x v="1"/>
    <x v="53"/>
    <x v="1"/>
    <x v="1"/>
    <x v="16"/>
    <x v="0"/>
    <x v="4"/>
    <x v="5"/>
    <x v="8"/>
    <n v="3740.52"/>
  </r>
  <r>
    <d v="2025-05-21T00:00:00"/>
    <x v="1"/>
    <x v="16"/>
    <x v="0"/>
    <x v="25"/>
    <x v="1"/>
    <x v="1"/>
    <x v="6"/>
    <x v="0"/>
    <x v="6"/>
    <x v="3"/>
    <x v="1"/>
    <n v="6.0"/>
  </r>
  <r>
    <d v="2025-05-21T00:00:00"/>
    <x v="1"/>
    <x v="16"/>
    <x v="1"/>
    <x v="4"/>
    <x v="6"/>
    <x v="6"/>
    <x v="29"/>
    <x v="0"/>
    <x v="2"/>
    <x v="0"/>
    <x v="9"/>
    <n v="6.99"/>
  </r>
  <r>
    <d v="2025-05-21T00:00:00"/>
    <x v="1"/>
    <x v="16"/>
    <x v="1"/>
    <x v="13"/>
    <x v="0"/>
    <x v="0"/>
    <x v="22"/>
    <x v="0"/>
    <x v="5"/>
    <x v="7"/>
    <x v="3"/>
    <n v="23.94"/>
  </r>
  <r>
    <d v="2025-05-21T00:00:00"/>
    <x v="1"/>
    <x v="16"/>
    <x v="0"/>
    <x v="65"/>
    <x v="1"/>
    <x v="1"/>
    <x v="7"/>
    <x v="0"/>
    <x v="10"/>
    <x v="6"/>
    <x v="4"/>
    <n v="75.96"/>
  </r>
  <r>
    <d v="2025-05-21T00:00:00"/>
    <x v="1"/>
    <x v="16"/>
    <x v="1"/>
    <x v="21"/>
    <x v="3"/>
    <x v="3"/>
    <x v="60"/>
    <x v="0"/>
    <x v="17"/>
    <x v="2"/>
    <x v="2"/>
    <n v="4107.51"/>
  </r>
  <r>
    <d v="2025-05-22T00:00:00"/>
    <x v="1"/>
    <x v="16"/>
    <x v="1"/>
    <x v="41"/>
    <x v="5"/>
    <x v="5"/>
    <x v="93"/>
    <x v="0"/>
    <x v="18"/>
    <x v="8"/>
    <x v="5"/>
    <n v="18.95"/>
  </r>
  <r>
    <d v="2025-05-22T00:00:00"/>
    <x v="1"/>
    <x v="16"/>
    <x v="0"/>
    <x v="23"/>
    <x v="1"/>
    <x v="1"/>
    <x v="12"/>
    <x v="0"/>
    <x v="10"/>
    <x v="7"/>
    <x v="3"/>
    <n v="69.2"/>
  </r>
  <r>
    <d v="2025-05-22T00:00:00"/>
    <x v="1"/>
    <x v="16"/>
    <x v="0"/>
    <x v="96"/>
    <x v="3"/>
    <x v="3"/>
    <x v="67"/>
    <x v="0"/>
    <x v="1"/>
    <x v="1"/>
    <x v="0"/>
    <n v="94.44"/>
  </r>
  <r>
    <d v="2025-05-22T00:00:00"/>
    <x v="1"/>
    <x v="16"/>
    <x v="1"/>
    <x v="25"/>
    <x v="1"/>
    <x v="1"/>
    <x v="6"/>
    <x v="0"/>
    <x v="6"/>
    <x v="2"/>
    <x v="2"/>
    <n v="185.82"/>
  </r>
  <r>
    <d v="2025-05-22T00:00:00"/>
    <x v="1"/>
    <x v="16"/>
    <x v="1"/>
    <x v="17"/>
    <x v="3"/>
    <x v="3"/>
    <x v="57"/>
    <x v="0"/>
    <x v="16"/>
    <x v="0"/>
    <x v="9"/>
    <n v="215.69"/>
  </r>
  <r>
    <d v="2025-05-22T00:00:00"/>
    <x v="1"/>
    <x v="16"/>
    <x v="0"/>
    <x v="14"/>
    <x v="6"/>
    <x v="6"/>
    <x v="45"/>
    <x v="0"/>
    <x v="7"/>
    <x v="1"/>
    <x v="0"/>
    <n v="521.99"/>
  </r>
  <r>
    <d v="2025-05-23T00:00:00"/>
    <x v="1"/>
    <x v="16"/>
    <x v="1"/>
    <x v="31"/>
    <x v="2"/>
    <x v="2"/>
    <x v="0"/>
    <x v="0"/>
    <x v="11"/>
    <x v="5"/>
    <x v="8"/>
    <n v="67.18"/>
  </r>
  <r>
    <d v="2025-05-23T00:00:00"/>
    <x v="1"/>
    <x v="16"/>
    <x v="0"/>
    <x v="34"/>
    <x v="6"/>
    <x v="6"/>
    <x v="32"/>
    <x v="0"/>
    <x v="2"/>
    <x v="1"/>
    <x v="0"/>
    <n v="154.07"/>
  </r>
  <r>
    <d v="2025-05-23T00:00:00"/>
    <x v="1"/>
    <x v="16"/>
    <x v="1"/>
    <x v="29"/>
    <x v="6"/>
    <x v="6"/>
    <x v="35"/>
    <x v="0"/>
    <x v="14"/>
    <x v="9"/>
    <x v="6"/>
    <n v="255.23"/>
  </r>
  <r>
    <d v="2025-05-23T00:00:00"/>
    <x v="1"/>
    <x v="16"/>
    <x v="0"/>
    <x v="31"/>
    <x v="2"/>
    <x v="2"/>
    <x v="0"/>
    <x v="0"/>
    <x v="11"/>
    <x v="3"/>
    <x v="1"/>
    <n v="926.2"/>
  </r>
  <r>
    <d v="2025-05-24T00:00:00"/>
    <x v="1"/>
    <x v="16"/>
    <x v="1"/>
    <x v="17"/>
    <x v="3"/>
    <x v="3"/>
    <x v="57"/>
    <x v="0"/>
    <x v="16"/>
    <x v="0"/>
    <x v="9"/>
    <n v="1.0"/>
  </r>
  <r>
    <d v="2025-05-24T00:00:00"/>
    <x v="1"/>
    <x v="16"/>
    <x v="1"/>
    <x v="15"/>
    <x v="4"/>
    <x v="4"/>
    <x v="79"/>
    <x v="0"/>
    <x v="0"/>
    <x v="1"/>
    <x v="0"/>
    <n v="52.3"/>
  </r>
  <r>
    <d v="2025-05-24T00:00:00"/>
    <x v="1"/>
    <x v="16"/>
    <x v="1"/>
    <x v="8"/>
    <x v="3"/>
    <x v="3"/>
    <x v="72"/>
    <x v="0"/>
    <x v="3"/>
    <x v="1"/>
    <x v="0"/>
    <n v="66.94"/>
  </r>
  <r>
    <d v="2025-05-24T00:00:00"/>
    <x v="1"/>
    <x v="16"/>
    <x v="0"/>
    <x v="80"/>
    <x v="6"/>
    <x v="6"/>
    <x v="38"/>
    <x v="0"/>
    <x v="14"/>
    <x v="8"/>
    <x v="5"/>
    <n v="77.14"/>
  </r>
  <r>
    <d v="2025-05-24T00:00:00"/>
    <x v="1"/>
    <x v="16"/>
    <x v="1"/>
    <x v="68"/>
    <x v="3"/>
    <x v="3"/>
    <x v="59"/>
    <x v="0"/>
    <x v="16"/>
    <x v="6"/>
    <x v="4"/>
    <n v="89.82"/>
  </r>
  <r>
    <d v="2025-05-24T00:00:00"/>
    <x v="1"/>
    <x v="16"/>
    <x v="0"/>
    <x v="88"/>
    <x v="1"/>
    <x v="1"/>
    <x v="17"/>
    <x v="0"/>
    <x v="4"/>
    <x v="1"/>
    <x v="0"/>
    <n v="108.44"/>
  </r>
  <r>
    <d v="2025-05-24T00:00:00"/>
    <x v="1"/>
    <x v="16"/>
    <x v="0"/>
    <x v="64"/>
    <x v="3"/>
    <x v="3"/>
    <x v="70"/>
    <x v="0"/>
    <x v="3"/>
    <x v="1"/>
    <x v="0"/>
    <n v="151.25"/>
  </r>
  <r>
    <d v="2025-05-24T00:00:00"/>
    <x v="1"/>
    <x v="16"/>
    <x v="0"/>
    <x v="92"/>
    <x v="6"/>
    <x v="6"/>
    <x v="40"/>
    <x v="0"/>
    <x v="7"/>
    <x v="5"/>
    <x v="8"/>
    <n v="183.35"/>
  </r>
  <r>
    <d v="2025-05-24T00:00:00"/>
    <x v="1"/>
    <x v="16"/>
    <x v="0"/>
    <x v="44"/>
    <x v="6"/>
    <x v="6"/>
    <x v="49"/>
    <x v="0"/>
    <x v="13"/>
    <x v="9"/>
    <x v="6"/>
    <n v="489.06"/>
  </r>
  <r>
    <d v="2025-05-24T00:00:00"/>
    <x v="1"/>
    <x v="16"/>
    <x v="1"/>
    <x v="68"/>
    <x v="3"/>
    <x v="3"/>
    <x v="59"/>
    <x v="0"/>
    <x v="16"/>
    <x v="4"/>
    <x v="7"/>
    <n v="2217.26"/>
  </r>
  <r>
    <d v="2025-05-25T00:00:00"/>
    <x v="1"/>
    <x v="16"/>
    <x v="1"/>
    <x v="54"/>
    <x v="1"/>
    <x v="1"/>
    <x v="25"/>
    <x v="0"/>
    <x v="8"/>
    <x v="1"/>
    <x v="0"/>
    <n v="16.0"/>
  </r>
  <r>
    <d v="2025-05-25T00:00:00"/>
    <x v="1"/>
    <x v="16"/>
    <x v="0"/>
    <x v="66"/>
    <x v="4"/>
    <x v="4"/>
    <x v="76"/>
    <x v="0"/>
    <x v="15"/>
    <x v="0"/>
    <x v="9"/>
    <n v="27.53"/>
  </r>
  <r>
    <d v="2025-05-25T00:00:00"/>
    <x v="1"/>
    <x v="16"/>
    <x v="0"/>
    <x v="85"/>
    <x v="6"/>
    <x v="6"/>
    <x v="43"/>
    <x v="0"/>
    <x v="7"/>
    <x v="1"/>
    <x v="0"/>
    <n v="48.0"/>
  </r>
  <r>
    <d v="2025-05-25T00:00:00"/>
    <x v="1"/>
    <x v="16"/>
    <x v="1"/>
    <x v="73"/>
    <x v="4"/>
    <x v="4"/>
    <x v="80"/>
    <x v="0"/>
    <x v="0"/>
    <x v="0"/>
    <x v="9"/>
    <n v="211.63"/>
  </r>
  <r>
    <d v="2025-05-25T00:00:00"/>
    <x v="1"/>
    <x v="16"/>
    <x v="1"/>
    <x v="80"/>
    <x v="6"/>
    <x v="6"/>
    <x v="38"/>
    <x v="0"/>
    <x v="14"/>
    <x v="0"/>
    <x v="9"/>
    <n v="241.52"/>
  </r>
  <r>
    <d v="2025-05-25T00:00:00"/>
    <x v="1"/>
    <x v="16"/>
    <x v="1"/>
    <x v="27"/>
    <x v="6"/>
    <x v="6"/>
    <x v="31"/>
    <x v="0"/>
    <x v="2"/>
    <x v="8"/>
    <x v="5"/>
    <n v="307.38"/>
  </r>
  <r>
    <d v="2025-05-25T00:00:00"/>
    <x v="1"/>
    <x v="16"/>
    <x v="1"/>
    <x v="67"/>
    <x v="3"/>
    <x v="3"/>
    <x v="62"/>
    <x v="0"/>
    <x v="17"/>
    <x v="4"/>
    <x v="7"/>
    <n v="705.05"/>
  </r>
  <r>
    <d v="2025-05-26T00:00:00"/>
    <x v="1"/>
    <x v="16"/>
    <x v="1"/>
    <x v="69"/>
    <x v="1"/>
    <x v="1"/>
    <x v="19"/>
    <x v="0"/>
    <x v="5"/>
    <x v="5"/>
    <x v="8"/>
    <n v="10.5"/>
  </r>
  <r>
    <d v="2025-05-26T00:00:00"/>
    <x v="1"/>
    <x v="16"/>
    <x v="1"/>
    <x v="42"/>
    <x v="3"/>
    <x v="3"/>
    <x v="63"/>
    <x v="0"/>
    <x v="17"/>
    <x v="5"/>
    <x v="8"/>
    <n v="24.99"/>
  </r>
  <r>
    <d v="2025-05-26T00:00:00"/>
    <x v="1"/>
    <x v="16"/>
    <x v="1"/>
    <x v="13"/>
    <x v="0"/>
    <x v="0"/>
    <x v="22"/>
    <x v="0"/>
    <x v="5"/>
    <x v="3"/>
    <x v="1"/>
    <n v="27.36"/>
  </r>
  <r>
    <d v="2025-05-26T00:00:00"/>
    <x v="1"/>
    <x v="16"/>
    <x v="0"/>
    <x v="62"/>
    <x v="6"/>
    <x v="6"/>
    <x v="50"/>
    <x v="0"/>
    <x v="13"/>
    <x v="8"/>
    <x v="5"/>
    <n v="58.9"/>
  </r>
  <r>
    <d v="2025-05-26T00:00:00"/>
    <x v="1"/>
    <x v="16"/>
    <x v="0"/>
    <x v="12"/>
    <x v="1"/>
    <x v="1"/>
    <x v="26"/>
    <x v="0"/>
    <x v="8"/>
    <x v="4"/>
    <x v="7"/>
    <n v="122.41"/>
  </r>
  <r>
    <d v="2025-05-26T00:00:00"/>
    <x v="1"/>
    <x v="16"/>
    <x v="1"/>
    <x v="29"/>
    <x v="6"/>
    <x v="6"/>
    <x v="35"/>
    <x v="0"/>
    <x v="14"/>
    <x v="5"/>
    <x v="8"/>
    <n v="235.59"/>
  </r>
  <r>
    <d v="2025-05-26T00:00:00"/>
    <x v="1"/>
    <x v="16"/>
    <x v="0"/>
    <x v="54"/>
    <x v="1"/>
    <x v="1"/>
    <x v="25"/>
    <x v="0"/>
    <x v="8"/>
    <x v="4"/>
    <x v="7"/>
    <n v="281.92"/>
  </r>
  <r>
    <d v="2025-05-26T00:00:00"/>
    <x v="1"/>
    <x v="16"/>
    <x v="1"/>
    <x v="51"/>
    <x v="5"/>
    <x v="5"/>
    <x v="95"/>
    <x v="0"/>
    <x v="18"/>
    <x v="6"/>
    <x v="4"/>
    <n v="939.83"/>
  </r>
  <r>
    <d v="2025-05-27T00:00:00"/>
    <x v="1"/>
    <x v="16"/>
    <x v="0"/>
    <x v="51"/>
    <x v="5"/>
    <x v="5"/>
    <x v="95"/>
    <x v="0"/>
    <x v="18"/>
    <x v="0"/>
    <x v="9"/>
    <n v="74.5"/>
  </r>
  <r>
    <d v="2025-05-27T00:00:00"/>
    <x v="1"/>
    <x v="16"/>
    <x v="1"/>
    <x v="5"/>
    <x v="1"/>
    <x v="1"/>
    <x v="14"/>
    <x v="0"/>
    <x v="4"/>
    <x v="1"/>
    <x v="0"/>
    <n v="104.93"/>
  </r>
  <r>
    <d v="2025-05-27T00:00:00"/>
    <x v="1"/>
    <x v="16"/>
    <x v="1"/>
    <x v="51"/>
    <x v="5"/>
    <x v="5"/>
    <x v="95"/>
    <x v="0"/>
    <x v="18"/>
    <x v="9"/>
    <x v="6"/>
    <n v="455.39"/>
  </r>
  <r>
    <d v="2025-05-27T00:00:00"/>
    <x v="1"/>
    <x v="16"/>
    <x v="1"/>
    <x v="23"/>
    <x v="1"/>
    <x v="1"/>
    <x v="12"/>
    <x v="0"/>
    <x v="10"/>
    <x v="7"/>
    <x v="3"/>
    <n v="940.7"/>
  </r>
  <r>
    <d v="2025-05-27T00:00:00"/>
    <x v="1"/>
    <x v="16"/>
    <x v="0"/>
    <x v="7"/>
    <x v="1"/>
    <x v="1"/>
    <x v="10"/>
    <x v="0"/>
    <x v="10"/>
    <x v="6"/>
    <x v="4"/>
    <n v="1053.53"/>
  </r>
  <r>
    <d v="2025-05-27T00:00:00"/>
    <x v="1"/>
    <x v="16"/>
    <x v="1"/>
    <x v="83"/>
    <x v="3"/>
    <x v="3"/>
    <x v="56"/>
    <x v="0"/>
    <x v="16"/>
    <x v="7"/>
    <x v="3"/>
    <n v="1655.86"/>
  </r>
  <r>
    <d v="2025-05-27T00:00:00"/>
    <x v="1"/>
    <x v="16"/>
    <x v="1"/>
    <x v="59"/>
    <x v="1"/>
    <x v="1"/>
    <x v="3"/>
    <x v="0"/>
    <x v="6"/>
    <x v="3"/>
    <x v="1"/>
    <n v="2329.82"/>
  </r>
  <r>
    <d v="2025-05-28T00:00:00"/>
    <x v="1"/>
    <x v="16"/>
    <x v="1"/>
    <x v="46"/>
    <x v="6"/>
    <x v="6"/>
    <x v="42"/>
    <x v="0"/>
    <x v="7"/>
    <x v="0"/>
    <x v="9"/>
    <n v="5.0"/>
  </r>
  <r>
    <d v="2025-05-28T00:00:00"/>
    <x v="1"/>
    <x v="16"/>
    <x v="1"/>
    <x v="86"/>
    <x v="1"/>
    <x v="1"/>
    <x v="9"/>
    <x v="0"/>
    <x v="10"/>
    <x v="4"/>
    <x v="7"/>
    <n v="7.98"/>
  </r>
  <r>
    <d v="2025-05-28T00:00:00"/>
    <x v="1"/>
    <x v="16"/>
    <x v="1"/>
    <x v="23"/>
    <x v="1"/>
    <x v="1"/>
    <x v="12"/>
    <x v="0"/>
    <x v="10"/>
    <x v="1"/>
    <x v="0"/>
    <n v="11.96"/>
  </r>
  <r>
    <d v="2025-05-28T00:00:00"/>
    <x v="1"/>
    <x v="16"/>
    <x v="1"/>
    <x v="32"/>
    <x v="1"/>
    <x v="1"/>
    <x v="28"/>
    <x v="0"/>
    <x v="8"/>
    <x v="6"/>
    <x v="4"/>
    <n v="25.2"/>
  </r>
  <r>
    <d v="2025-05-28T00:00:00"/>
    <x v="1"/>
    <x v="16"/>
    <x v="0"/>
    <x v="12"/>
    <x v="1"/>
    <x v="1"/>
    <x v="26"/>
    <x v="0"/>
    <x v="8"/>
    <x v="5"/>
    <x v="8"/>
    <n v="140.03"/>
  </r>
  <r>
    <d v="2025-05-28T00:00:00"/>
    <x v="1"/>
    <x v="16"/>
    <x v="1"/>
    <x v="29"/>
    <x v="6"/>
    <x v="6"/>
    <x v="35"/>
    <x v="0"/>
    <x v="14"/>
    <x v="9"/>
    <x v="6"/>
    <n v="239.92"/>
  </r>
  <r>
    <d v="2025-05-28T00:00:00"/>
    <x v="1"/>
    <x v="16"/>
    <x v="0"/>
    <x v="4"/>
    <x v="6"/>
    <x v="6"/>
    <x v="29"/>
    <x v="0"/>
    <x v="2"/>
    <x v="6"/>
    <x v="4"/>
    <n v="7862.59"/>
  </r>
  <r>
    <d v="2025-05-28T00:00:00"/>
    <x v="1"/>
    <x v="16"/>
    <x v="1"/>
    <x v="32"/>
    <x v="1"/>
    <x v="1"/>
    <x v="28"/>
    <x v="0"/>
    <x v="8"/>
    <x v="6"/>
    <x v="4"/>
    <n v="9866.44"/>
  </r>
  <r>
    <d v="2025-05-29T00:00:00"/>
    <x v="1"/>
    <x v="16"/>
    <x v="1"/>
    <x v="45"/>
    <x v="3"/>
    <x v="3"/>
    <x v="64"/>
    <x v="0"/>
    <x v="1"/>
    <x v="4"/>
    <x v="7"/>
    <n v="11.97"/>
  </r>
  <r>
    <d v="2025-05-29T00:00:00"/>
    <x v="1"/>
    <x v="16"/>
    <x v="0"/>
    <x v="70"/>
    <x v="6"/>
    <x v="6"/>
    <x v="33"/>
    <x v="0"/>
    <x v="14"/>
    <x v="8"/>
    <x v="5"/>
    <n v="29.85"/>
  </r>
  <r>
    <d v="2025-05-29T00:00:00"/>
    <x v="1"/>
    <x v="16"/>
    <x v="1"/>
    <x v="68"/>
    <x v="3"/>
    <x v="3"/>
    <x v="59"/>
    <x v="0"/>
    <x v="16"/>
    <x v="9"/>
    <x v="6"/>
    <n v="71.91"/>
  </r>
  <r>
    <d v="2025-05-29T00:00:00"/>
    <x v="1"/>
    <x v="16"/>
    <x v="0"/>
    <x v="52"/>
    <x v="1"/>
    <x v="1"/>
    <x v="11"/>
    <x v="0"/>
    <x v="10"/>
    <x v="4"/>
    <x v="7"/>
    <n v="91.77"/>
  </r>
  <r>
    <d v="2025-05-29T00:00:00"/>
    <x v="1"/>
    <x v="16"/>
    <x v="1"/>
    <x v="3"/>
    <x v="2"/>
    <x v="2"/>
    <x v="1"/>
    <x v="0"/>
    <x v="11"/>
    <x v="3"/>
    <x v="1"/>
    <n v="497.18"/>
  </r>
  <r>
    <d v="2025-05-29T00:00:00"/>
    <x v="1"/>
    <x v="16"/>
    <x v="1"/>
    <x v="83"/>
    <x v="3"/>
    <x v="3"/>
    <x v="56"/>
    <x v="0"/>
    <x v="16"/>
    <x v="3"/>
    <x v="1"/>
    <n v="1106.07"/>
  </r>
  <r>
    <d v="2025-05-30T00:00:00"/>
    <x v="1"/>
    <x v="16"/>
    <x v="1"/>
    <x v="0"/>
    <x v="3"/>
    <x v="3"/>
    <x v="69"/>
    <x v="0"/>
    <x v="3"/>
    <x v="1"/>
    <x v="0"/>
    <n v="10.0"/>
  </r>
  <r>
    <d v="2025-05-30T00:00:00"/>
    <x v="1"/>
    <x v="16"/>
    <x v="0"/>
    <x v="96"/>
    <x v="3"/>
    <x v="3"/>
    <x v="67"/>
    <x v="0"/>
    <x v="1"/>
    <x v="0"/>
    <x v="9"/>
    <n v="36.92"/>
  </r>
  <r>
    <d v="2025-05-30T00:00:00"/>
    <x v="1"/>
    <x v="16"/>
    <x v="1"/>
    <x v="72"/>
    <x v="1"/>
    <x v="1"/>
    <x v="24"/>
    <x v="0"/>
    <x v="8"/>
    <x v="1"/>
    <x v="0"/>
    <n v="89.94"/>
  </r>
  <r>
    <d v="2025-05-30T00:00:00"/>
    <x v="1"/>
    <x v="16"/>
    <x v="0"/>
    <x v="65"/>
    <x v="1"/>
    <x v="1"/>
    <x v="7"/>
    <x v="0"/>
    <x v="10"/>
    <x v="3"/>
    <x v="1"/>
    <n v="119.7"/>
  </r>
  <r>
    <d v="2025-05-30T00:00:00"/>
    <x v="1"/>
    <x v="16"/>
    <x v="0"/>
    <x v="54"/>
    <x v="1"/>
    <x v="1"/>
    <x v="25"/>
    <x v="0"/>
    <x v="8"/>
    <x v="4"/>
    <x v="7"/>
    <n v="1093.44"/>
  </r>
  <r>
    <d v="2025-05-30T00:00:00"/>
    <x v="1"/>
    <x v="16"/>
    <x v="1"/>
    <x v="34"/>
    <x v="6"/>
    <x v="6"/>
    <x v="32"/>
    <x v="0"/>
    <x v="2"/>
    <x v="7"/>
    <x v="3"/>
    <n v="1606.3"/>
  </r>
  <r>
    <d v="2025-05-31T00:00:00"/>
    <x v="1"/>
    <x v="16"/>
    <x v="1"/>
    <x v="9"/>
    <x v="7"/>
    <x v="7"/>
    <x v="82"/>
    <x v="0"/>
    <x v="20"/>
    <x v="5"/>
    <x v="8"/>
    <n v="4.99"/>
  </r>
  <r>
    <d v="2025-05-31T00:00:00"/>
    <x v="1"/>
    <x v="16"/>
    <x v="1"/>
    <x v="6"/>
    <x v="1"/>
    <x v="1"/>
    <x v="5"/>
    <x v="0"/>
    <x v="6"/>
    <x v="8"/>
    <x v="5"/>
    <n v="19.96"/>
  </r>
  <r>
    <d v="2025-05-31T00:00:00"/>
    <x v="1"/>
    <x v="16"/>
    <x v="0"/>
    <x v="20"/>
    <x v="3"/>
    <x v="3"/>
    <x v="71"/>
    <x v="0"/>
    <x v="3"/>
    <x v="1"/>
    <x v="0"/>
    <n v="42.96"/>
  </r>
  <r>
    <d v="2025-05-31T00:00:00"/>
    <x v="1"/>
    <x v="16"/>
    <x v="1"/>
    <x v="27"/>
    <x v="6"/>
    <x v="6"/>
    <x v="31"/>
    <x v="0"/>
    <x v="2"/>
    <x v="2"/>
    <x v="2"/>
    <n v="57.91"/>
  </r>
  <r>
    <d v="2025-05-31T00:00:00"/>
    <x v="1"/>
    <x v="16"/>
    <x v="1"/>
    <x v="49"/>
    <x v="3"/>
    <x v="3"/>
    <x v="58"/>
    <x v="0"/>
    <x v="16"/>
    <x v="2"/>
    <x v="2"/>
    <n v="292.2"/>
  </r>
  <r>
    <d v="2025-05-31T00:00:00"/>
    <x v="1"/>
    <x v="16"/>
    <x v="1"/>
    <x v="11"/>
    <x v="1"/>
    <x v="1"/>
    <x v="15"/>
    <x v="0"/>
    <x v="4"/>
    <x v="5"/>
    <x v="8"/>
    <n v="307.12"/>
  </r>
  <r>
    <d v="2025-05-31T00:00:00"/>
    <x v="1"/>
    <x v="16"/>
    <x v="1"/>
    <x v="71"/>
    <x v="1"/>
    <x v="1"/>
    <x v="27"/>
    <x v="0"/>
    <x v="8"/>
    <x v="9"/>
    <x v="6"/>
    <n v="658.83"/>
  </r>
  <r>
    <d v="2025-05-31T00:00:00"/>
    <x v="1"/>
    <x v="16"/>
    <x v="1"/>
    <x v="92"/>
    <x v="6"/>
    <x v="6"/>
    <x v="40"/>
    <x v="0"/>
    <x v="7"/>
    <x v="9"/>
    <x v="6"/>
    <n v="2151.63"/>
  </r>
  <r>
    <d v="2025-05-31T00:00:00"/>
    <x v="1"/>
    <x v="16"/>
    <x v="0"/>
    <x v="5"/>
    <x v="1"/>
    <x v="1"/>
    <x v="14"/>
    <x v="0"/>
    <x v="4"/>
    <x v="5"/>
    <x v="8"/>
    <n v="2919.72"/>
  </r>
  <r>
    <d v="2025-06-01T00:00:00"/>
    <x v="1"/>
    <x v="17"/>
    <x v="1"/>
    <x v="15"/>
    <x v="4"/>
    <x v="4"/>
    <x v="79"/>
    <x v="0"/>
    <x v="0"/>
    <x v="1"/>
    <x v="0"/>
    <n v="4.0"/>
  </r>
  <r>
    <d v="2025-06-01T00:00:00"/>
    <x v="1"/>
    <x v="17"/>
    <x v="1"/>
    <x v="13"/>
    <x v="0"/>
    <x v="0"/>
    <x v="22"/>
    <x v="0"/>
    <x v="5"/>
    <x v="0"/>
    <x v="9"/>
    <n v="17.97"/>
  </r>
  <r>
    <d v="2025-06-01T00:00:00"/>
    <x v="1"/>
    <x v="17"/>
    <x v="1"/>
    <x v="64"/>
    <x v="3"/>
    <x v="3"/>
    <x v="70"/>
    <x v="0"/>
    <x v="3"/>
    <x v="8"/>
    <x v="5"/>
    <n v="44.87"/>
  </r>
  <r>
    <d v="2025-06-01T00:00:00"/>
    <x v="1"/>
    <x v="17"/>
    <x v="0"/>
    <x v="78"/>
    <x v="5"/>
    <x v="5"/>
    <x v="94"/>
    <x v="0"/>
    <x v="18"/>
    <x v="1"/>
    <x v="0"/>
    <n v="87.96"/>
  </r>
  <r>
    <d v="2025-06-01T00:00:00"/>
    <x v="1"/>
    <x v="17"/>
    <x v="0"/>
    <x v="61"/>
    <x v="7"/>
    <x v="7"/>
    <x v="84"/>
    <x v="0"/>
    <x v="20"/>
    <x v="1"/>
    <x v="0"/>
    <n v="96.97"/>
  </r>
  <r>
    <d v="2025-06-01T00:00:00"/>
    <x v="1"/>
    <x v="17"/>
    <x v="1"/>
    <x v="41"/>
    <x v="5"/>
    <x v="5"/>
    <x v="93"/>
    <x v="0"/>
    <x v="18"/>
    <x v="6"/>
    <x v="4"/>
    <n v="1349.51"/>
  </r>
  <r>
    <d v="2025-06-02T00:00:00"/>
    <x v="1"/>
    <x v="17"/>
    <x v="1"/>
    <x v="57"/>
    <x v="4"/>
    <x v="4"/>
    <x v="74"/>
    <x v="0"/>
    <x v="15"/>
    <x v="4"/>
    <x v="7"/>
    <n v="9.98"/>
  </r>
  <r>
    <d v="2025-06-02T00:00:00"/>
    <x v="1"/>
    <x v="17"/>
    <x v="1"/>
    <x v="7"/>
    <x v="1"/>
    <x v="1"/>
    <x v="10"/>
    <x v="0"/>
    <x v="10"/>
    <x v="4"/>
    <x v="7"/>
    <n v="18.95"/>
  </r>
  <r>
    <d v="2025-06-02T00:00:00"/>
    <x v="1"/>
    <x v="17"/>
    <x v="1"/>
    <x v="7"/>
    <x v="1"/>
    <x v="1"/>
    <x v="10"/>
    <x v="0"/>
    <x v="10"/>
    <x v="4"/>
    <x v="7"/>
    <n v="47.85"/>
  </r>
  <r>
    <d v="2025-06-02T00:00:00"/>
    <x v="1"/>
    <x v="17"/>
    <x v="1"/>
    <x v="53"/>
    <x v="1"/>
    <x v="1"/>
    <x v="16"/>
    <x v="0"/>
    <x v="4"/>
    <x v="6"/>
    <x v="4"/>
    <n v="57.0"/>
  </r>
  <r>
    <d v="2025-06-02T00:00:00"/>
    <x v="1"/>
    <x v="17"/>
    <x v="0"/>
    <x v="38"/>
    <x v="0"/>
    <x v="0"/>
    <x v="21"/>
    <x v="0"/>
    <x v="5"/>
    <x v="0"/>
    <x v="9"/>
    <n v="59.9"/>
  </r>
  <r>
    <d v="2025-06-02T00:00:00"/>
    <x v="1"/>
    <x v="17"/>
    <x v="0"/>
    <x v="12"/>
    <x v="1"/>
    <x v="1"/>
    <x v="26"/>
    <x v="0"/>
    <x v="8"/>
    <x v="7"/>
    <x v="3"/>
    <n v="212.88"/>
  </r>
  <r>
    <d v="2025-06-03T00:00:00"/>
    <x v="1"/>
    <x v="17"/>
    <x v="1"/>
    <x v="88"/>
    <x v="1"/>
    <x v="1"/>
    <x v="17"/>
    <x v="0"/>
    <x v="4"/>
    <x v="0"/>
    <x v="9"/>
    <n v="3.0"/>
  </r>
  <r>
    <d v="2025-06-03T00:00:00"/>
    <x v="1"/>
    <x v="17"/>
    <x v="1"/>
    <x v="55"/>
    <x v="3"/>
    <x v="3"/>
    <x v="68"/>
    <x v="0"/>
    <x v="1"/>
    <x v="1"/>
    <x v="0"/>
    <n v="5.0"/>
  </r>
  <r>
    <d v="2025-06-03T00:00:00"/>
    <x v="1"/>
    <x v="17"/>
    <x v="1"/>
    <x v="49"/>
    <x v="3"/>
    <x v="3"/>
    <x v="58"/>
    <x v="0"/>
    <x v="16"/>
    <x v="2"/>
    <x v="2"/>
    <n v="6.0"/>
  </r>
  <r>
    <d v="2025-06-03T00:00:00"/>
    <x v="1"/>
    <x v="17"/>
    <x v="1"/>
    <x v="82"/>
    <x v="6"/>
    <x v="6"/>
    <x v="47"/>
    <x v="0"/>
    <x v="13"/>
    <x v="3"/>
    <x v="1"/>
    <n v="22.0"/>
  </r>
  <r>
    <d v="2025-06-03T00:00:00"/>
    <x v="1"/>
    <x v="17"/>
    <x v="1"/>
    <x v="77"/>
    <x v="3"/>
    <x v="3"/>
    <x v="66"/>
    <x v="0"/>
    <x v="1"/>
    <x v="1"/>
    <x v="0"/>
    <n v="59.96"/>
  </r>
  <r>
    <d v="2025-06-03T00:00:00"/>
    <x v="1"/>
    <x v="17"/>
    <x v="0"/>
    <x v="94"/>
    <x v="6"/>
    <x v="6"/>
    <x v="48"/>
    <x v="0"/>
    <x v="13"/>
    <x v="1"/>
    <x v="0"/>
    <n v="98.14"/>
  </r>
  <r>
    <d v="2025-06-03T00:00:00"/>
    <x v="1"/>
    <x v="17"/>
    <x v="0"/>
    <x v="64"/>
    <x v="3"/>
    <x v="3"/>
    <x v="70"/>
    <x v="0"/>
    <x v="3"/>
    <x v="0"/>
    <x v="9"/>
    <n v="143.71"/>
  </r>
  <r>
    <d v="2025-06-03T00:00:00"/>
    <x v="1"/>
    <x v="17"/>
    <x v="1"/>
    <x v="18"/>
    <x v="5"/>
    <x v="5"/>
    <x v="96"/>
    <x v="0"/>
    <x v="18"/>
    <x v="3"/>
    <x v="1"/>
    <n v="223.23"/>
  </r>
  <r>
    <d v="2025-06-03T00:00:00"/>
    <x v="1"/>
    <x v="17"/>
    <x v="1"/>
    <x v="59"/>
    <x v="1"/>
    <x v="1"/>
    <x v="3"/>
    <x v="0"/>
    <x v="6"/>
    <x v="1"/>
    <x v="0"/>
    <n v="420.66"/>
  </r>
  <r>
    <d v="2025-06-03T00:00:00"/>
    <x v="1"/>
    <x v="17"/>
    <x v="1"/>
    <x v="30"/>
    <x v="6"/>
    <x v="6"/>
    <x v="37"/>
    <x v="0"/>
    <x v="14"/>
    <x v="0"/>
    <x v="9"/>
    <n v="771.22"/>
  </r>
  <r>
    <d v="2025-06-03T00:00:00"/>
    <x v="1"/>
    <x v="17"/>
    <x v="0"/>
    <x v="0"/>
    <x v="3"/>
    <x v="3"/>
    <x v="69"/>
    <x v="0"/>
    <x v="3"/>
    <x v="3"/>
    <x v="1"/>
    <n v="1090.05"/>
  </r>
  <r>
    <d v="2025-06-03T00:00:00"/>
    <x v="1"/>
    <x v="17"/>
    <x v="0"/>
    <x v="89"/>
    <x v="1"/>
    <x v="1"/>
    <x v="18"/>
    <x v="0"/>
    <x v="5"/>
    <x v="2"/>
    <x v="2"/>
    <n v="1211.14"/>
  </r>
  <r>
    <d v="2025-06-04T00:00:00"/>
    <x v="1"/>
    <x v="17"/>
    <x v="1"/>
    <x v="52"/>
    <x v="1"/>
    <x v="1"/>
    <x v="11"/>
    <x v="0"/>
    <x v="10"/>
    <x v="6"/>
    <x v="4"/>
    <n v="15.96"/>
  </r>
  <r>
    <d v="2025-06-04T00:00:00"/>
    <x v="1"/>
    <x v="17"/>
    <x v="0"/>
    <x v="44"/>
    <x v="6"/>
    <x v="6"/>
    <x v="49"/>
    <x v="0"/>
    <x v="13"/>
    <x v="9"/>
    <x v="6"/>
    <n v="484.84"/>
  </r>
  <r>
    <d v="2025-06-04T00:00:00"/>
    <x v="1"/>
    <x v="17"/>
    <x v="1"/>
    <x v="27"/>
    <x v="6"/>
    <x v="6"/>
    <x v="31"/>
    <x v="0"/>
    <x v="2"/>
    <x v="3"/>
    <x v="1"/>
    <n v="1493.24"/>
  </r>
  <r>
    <d v="2025-06-05T00:00:00"/>
    <x v="1"/>
    <x v="17"/>
    <x v="1"/>
    <x v="27"/>
    <x v="6"/>
    <x v="6"/>
    <x v="31"/>
    <x v="0"/>
    <x v="2"/>
    <x v="6"/>
    <x v="4"/>
    <n v="9.85"/>
  </r>
  <r>
    <d v="2025-06-05T00:00:00"/>
    <x v="1"/>
    <x v="17"/>
    <x v="0"/>
    <x v="51"/>
    <x v="5"/>
    <x v="5"/>
    <x v="95"/>
    <x v="0"/>
    <x v="18"/>
    <x v="8"/>
    <x v="5"/>
    <n v="47.84"/>
  </r>
  <r>
    <d v="2025-06-05T00:00:00"/>
    <x v="1"/>
    <x v="17"/>
    <x v="1"/>
    <x v="40"/>
    <x v="3"/>
    <x v="3"/>
    <x v="65"/>
    <x v="0"/>
    <x v="1"/>
    <x v="1"/>
    <x v="0"/>
    <n v="47.97"/>
  </r>
  <r>
    <d v="2025-06-05T00:00:00"/>
    <x v="1"/>
    <x v="17"/>
    <x v="1"/>
    <x v="52"/>
    <x v="1"/>
    <x v="1"/>
    <x v="11"/>
    <x v="0"/>
    <x v="10"/>
    <x v="6"/>
    <x v="4"/>
    <n v="234.54"/>
  </r>
  <r>
    <d v="2025-06-05T00:00:00"/>
    <x v="1"/>
    <x v="17"/>
    <x v="0"/>
    <x v="88"/>
    <x v="1"/>
    <x v="1"/>
    <x v="17"/>
    <x v="0"/>
    <x v="4"/>
    <x v="1"/>
    <x v="0"/>
    <n v="246.42"/>
  </r>
  <r>
    <d v="2025-06-06T00:00:00"/>
    <x v="1"/>
    <x v="17"/>
    <x v="0"/>
    <x v="34"/>
    <x v="6"/>
    <x v="6"/>
    <x v="32"/>
    <x v="0"/>
    <x v="2"/>
    <x v="8"/>
    <x v="5"/>
    <n v="43.9"/>
  </r>
  <r>
    <d v="2025-06-06T00:00:00"/>
    <x v="1"/>
    <x v="17"/>
    <x v="1"/>
    <x v="44"/>
    <x v="6"/>
    <x v="6"/>
    <x v="49"/>
    <x v="0"/>
    <x v="13"/>
    <x v="1"/>
    <x v="0"/>
    <n v="55.93"/>
  </r>
  <r>
    <d v="2025-06-06T00:00:00"/>
    <x v="1"/>
    <x v="17"/>
    <x v="0"/>
    <x v="57"/>
    <x v="4"/>
    <x v="4"/>
    <x v="74"/>
    <x v="0"/>
    <x v="15"/>
    <x v="1"/>
    <x v="0"/>
    <n v="66.95"/>
  </r>
  <r>
    <d v="2025-06-06T00:00:00"/>
    <x v="1"/>
    <x v="17"/>
    <x v="0"/>
    <x v="67"/>
    <x v="3"/>
    <x v="3"/>
    <x v="62"/>
    <x v="0"/>
    <x v="17"/>
    <x v="0"/>
    <x v="9"/>
    <n v="110.63"/>
  </r>
  <r>
    <d v="2025-06-06T00:00:00"/>
    <x v="1"/>
    <x v="17"/>
    <x v="1"/>
    <x v="27"/>
    <x v="6"/>
    <x v="6"/>
    <x v="31"/>
    <x v="0"/>
    <x v="2"/>
    <x v="1"/>
    <x v="0"/>
    <n v="194.56"/>
  </r>
  <r>
    <d v="2025-06-06T00:00:00"/>
    <x v="1"/>
    <x v="17"/>
    <x v="0"/>
    <x v="14"/>
    <x v="6"/>
    <x v="6"/>
    <x v="45"/>
    <x v="0"/>
    <x v="7"/>
    <x v="7"/>
    <x v="3"/>
    <n v="220.85"/>
  </r>
  <r>
    <d v="2025-06-06T00:00:00"/>
    <x v="1"/>
    <x v="17"/>
    <x v="0"/>
    <x v="54"/>
    <x v="1"/>
    <x v="1"/>
    <x v="25"/>
    <x v="0"/>
    <x v="8"/>
    <x v="9"/>
    <x v="6"/>
    <n v="1266.28"/>
  </r>
  <r>
    <d v="2025-06-06T00:00:00"/>
    <x v="1"/>
    <x v="17"/>
    <x v="1"/>
    <x v="68"/>
    <x v="3"/>
    <x v="3"/>
    <x v="59"/>
    <x v="0"/>
    <x v="16"/>
    <x v="2"/>
    <x v="2"/>
    <n v="4838.31"/>
  </r>
  <r>
    <d v="2025-06-06T00:00:00"/>
    <x v="1"/>
    <x v="17"/>
    <x v="1"/>
    <x v="68"/>
    <x v="3"/>
    <x v="3"/>
    <x v="59"/>
    <x v="0"/>
    <x v="16"/>
    <x v="9"/>
    <x v="6"/>
    <n v="5557.48"/>
  </r>
  <r>
    <d v="2025-06-07T00:00:00"/>
    <x v="1"/>
    <x v="17"/>
    <x v="1"/>
    <x v="94"/>
    <x v="6"/>
    <x v="6"/>
    <x v="48"/>
    <x v="0"/>
    <x v="13"/>
    <x v="2"/>
    <x v="2"/>
    <n v="35.84"/>
  </r>
  <r>
    <d v="2025-06-07T00:00:00"/>
    <x v="1"/>
    <x v="17"/>
    <x v="0"/>
    <x v="75"/>
    <x v="1"/>
    <x v="1"/>
    <x v="4"/>
    <x v="0"/>
    <x v="6"/>
    <x v="5"/>
    <x v="8"/>
    <n v="61.45"/>
  </r>
  <r>
    <d v="2025-06-07T00:00:00"/>
    <x v="1"/>
    <x v="17"/>
    <x v="1"/>
    <x v="83"/>
    <x v="3"/>
    <x v="3"/>
    <x v="56"/>
    <x v="0"/>
    <x v="16"/>
    <x v="3"/>
    <x v="1"/>
    <n v="1361.63"/>
  </r>
  <r>
    <d v="2025-06-07T00:00:00"/>
    <x v="1"/>
    <x v="17"/>
    <x v="1"/>
    <x v="35"/>
    <x v="6"/>
    <x v="6"/>
    <x v="46"/>
    <x v="0"/>
    <x v="7"/>
    <x v="5"/>
    <x v="8"/>
    <n v="3415.03"/>
  </r>
  <r>
    <d v="2025-06-08T00:00:00"/>
    <x v="1"/>
    <x v="17"/>
    <x v="1"/>
    <x v="53"/>
    <x v="1"/>
    <x v="1"/>
    <x v="16"/>
    <x v="0"/>
    <x v="4"/>
    <x v="1"/>
    <x v="0"/>
    <n v="4.63"/>
  </r>
  <r>
    <d v="2025-06-08T00:00:00"/>
    <x v="1"/>
    <x v="17"/>
    <x v="1"/>
    <x v="49"/>
    <x v="3"/>
    <x v="3"/>
    <x v="58"/>
    <x v="0"/>
    <x v="16"/>
    <x v="1"/>
    <x v="0"/>
    <n v="83.89"/>
  </r>
  <r>
    <d v="2025-06-08T00:00:00"/>
    <x v="1"/>
    <x v="17"/>
    <x v="1"/>
    <x v="72"/>
    <x v="1"/>
    <x v="1"/>
    <x v="24"/>
    <x v="0"/>
    <x v="8"/>
    <x v="5"/>
    <x v="8"/>
    <n v="204.84"/>
  </r>
  <r>
    <d v="2025-06-08T00:00:00"/>
    <x v="1"/>
    <x v="17"/>
    <x v="1"/>
    <x v="32"/>
    <x v="1"/>
    <x v="1"/>
    <x v="28"/>
    <x v="0"/>
    <x v="8"/>
    <x v="1"/>
    <x v="0"/>
    <n v="606.91"/>
  </r>
  <r>
    <d v="2025-06-08T00:00:00"/>
    <x v="1"/>
    <x v="17"/>
    <x v="0"/>
    <x v="33"/>
    <x v="1"/>
    <x v="1"/>
    <x v="13"/>
    <x v="0"/>
    <x v="10"/>
    <x v="9"/>
    <x v="6"/>
    <n v="744.88"/>
  </r>
  <r>
    <d v="2025-06-08T00:00:00"/>
    <x v="1"/>
    <x v="17"/>
    <x v="0"/>
    <x v="54"/>
    <x v="1"/>
    <x v="1"/>
    <x v="25"/>
    <x v="0"/>
    <x v="8"/>
    <x v="2"/>
    <x v="2"/>
    <n v="2356.73"/>
  </r>
  <r>
    <d v="2025-06-09T00:00:00"/>
    <x v="1"/>
    <x v="17"/>
    <x v="1"/>
    <x v="4"/>
    <x v="6"/>
    <x v="6"/>
    <x v="29"/>
    <x v="0"/>
    <x v="2"/>
    <x v="2"/>
    <x v="2"/>
    <n v="9.02"/>
  </r>
  <r>
    <d v="2025-06-09T00:00:00"/>
    <x v="1"/>
    <x v="17"/>
    <x v="0"/>
    <x v="84"/>
    <x v="3"/>
    <x v="3"/>
    <x v="53"/>
    <x v="0"/>
    <x v="19"/>
    <x v="1"/>
    <x v="0"/>
    <n v="174.94"/>
  </r>
  <r>
    <d v="2025-06-09T00:00:00"/>
    <x v="1"/>
    <x v="17"/>
    <x v="1"/>
    <x v="68"/>
    <x v="3"/>
    <x v="3"/>
    <x v="59"/>
    <x v="0"/>
    <x v="16"/>
    <x v="3"/>
    <x v="1"/>
    <n v="1175.16"/>
  </r>
  <r>
    <d v="2025-06-09T00:00:00"/>
    <x v="1"/>
    <x v="17"/>
    <x v="1"/>
    <x v="82"/>
    <x v="6"/>
    <x v="6"/>
    <x v="47"/>
    <x v="0"/>
    <x v="13"/>
    <x v="3"/>
    <x v="1"/>
    <n v="1501.4"/>
  </r>
  <r>
    <d v="2025-06-10T00:00:00"/>
    <x v="1"/>
    <x v="17"/>
    <x v="1"/>
    <x v="4"/>
    <x v="6"/>
    <x v="6"/>
    <x v="29"/>
    <x v="0"/>
    <x v="2"/>
    <x v="6"/>
    <x v="4"/>
    <n v="4.31"/>
  </r>
  <r>
    <d v="2025-06-10T00:00:00"/>
    <x v="1"/>
    <x v="17"/>
    <x v="1"/>
    <x v="82"/>
    <x v="6"/>
    <x v="6"/>
    <x v="47"/>
    <x v="0"/>
    <x v="13"/>
    <x v="9"/>
    <x v="6"/>
    <n v="19.98"/>
  </r>
  <r>
    <d v="2025-06-10T00:00:00"/>
    <x v="1"/>
    <x v="17"/>
    <x v="1"/>
    <x v="52"/>
    <x v="1"/>
    <x v="1"/>
    <x v="11"/>
    <x v="0"/>
    <x v="10"/>
    <x v="8"/>
    <x v="5"/>
    <n v="20.94"/>
  </r>
  <r>
    <d v="2025-06-10T00:00:00"/>
    <x v="1"/>
    <x v="17"/>
    <x v="1"/>
    <x v="26"/>
    <x v="7"/>
    <x v="7"/>
    <x v="81"/>
    <x v="0"/>
    <x v="20"/>
    <x v="9"/>
    <x v="6"/>
    <n v="29.99"/>
  </r>
  <r>
    <d v="2025-06-10T00:00:00"/>
    <x v="1"/>
    <x v="17"/>
    <x v="0"/>
    <x v="65"/>
    <x v="1"/>
    <x v="1"/>
    <x v="7"/>
    <x v="0"/>
    <x v="10"/>
    <x v="7"/>
    <x v="3"/>
    <n v="131.98"/>
  </r>
  <r>
    <d v="2025-06-10T00:00:00"/>
    <x v="1"/>
    <x v="17"/>
    <x v="1"/>
    <x v="27"/>
    <x v="6"/>
    <x v="6"/>
    <x v="31"/>
    <x v="0"/>
    <x v="2"/>
    <x v="4"/>
    <x v="7"/>
    <n v="378.72"/>
  </r>
  <r>
    <d v="2025-06-10T00:00:00"/>
    <x v="1"/>
    <x v="17"/>
    <x v="1"/>
    <x v="1"/>
    <x v="7"/>
    <x v="7"/>
    <x v="89"/>
    <x v="0"/>
    <x v="12"/>
    <x v="1"/>
    <x v="0"/>
    <n v="599.03"/>
  </r>
  <r>
    <d v="2025-06-10T00:00:00"/>
    <x v="1"/>
    <x v="17"/>
    <x v="1"/>
    <x v="21"/>
    <x v="3"/>
    <x v="3"/>
    <x v="60"/>
    <x v="0"/>
    <x v="17"/>
    <x v="5"/>
    <x v="8"/>
    <n v="795.31"/>
  </r>
  <r>
    <d v="2025-06-11T00:00:00"/>
    <x v="1"/>
    <x v="17"/>
    <x v="1"/>
    <x v="90"/>
    <x v="3"/>
    <x v="3"/>
    <x v="55"/>
    <x v="0"/>
    <x v="19"/>
    <x v="1"/>
    <x v="0"/>
    <n v="463.95"/>
  </r>
  <r>
    <d v="2025-06-11T00:00:00"/>
    <x v="1"/>
    <x v="17"/>
    <x v="1"/>
    <x v="66"/>
    <x v="4"/>
    <x v="4"/>
    <x v="76"/>
    <x v="0"/>
    <x v="15"/>
    <x v="3"/>
    <x v="1"/>
    <n v="1630.79"/>
  </r>
  <r>
    <d v="2025-06-12T00:00:00"/>
    <x v="1"/>
    <x v="17"/>
    <x v="1"/>
    <x v="37"/>
    <x v="6"/>
    <x v="6"/>
    <x v="39"/>
    <x v="0"/>
    <x v="14"/>
    <x v="6"/>
    <x v="4"/>
    <n v="25.52"/>
  </r>
  <r>
    <d v="2025-06-12T00:00:00"/>
    <x v="1"/>
    <x v="17"/>
    <x v="1"/>
    <x v="50"/>
    <x v="7"/>
    <x v="7"/>
    <x v="83"/>
    <x v="0"/>
    <x v="20"/>
    <x v="1"/>
    <x v="0"/>
    <n v="66.94"/>
  </r>
  <r>
    <d v="2025-06-12T00:00:00"/>
    <x v="1"/>
    <x v="17"/>
    <x v="0"/>
    <x v="65"/>
    <x v="1"/>
    <x v="1"/>
    <x v="7"/>
    <x v="0"/>
    <x v="10"/>
    <x v="6"/>
    <x v="4"/>
    <n v="99.8"/>
  </r>
  <r>
    <d v="2025-06-12T00:00:00"/>
    <x v="1"/>
    <x v="17"/>
    <x v="0"/>
    <x v="9"/>
    <x v="7"/>
    <x v="7"/>
    <x v="82"/>
    <x v="0"/>
    <x v="20"/>
    <x v="1"/>
    <x v="0"/>
    <n v="242.3"/>
  </r>
  <r>
    <d v="2025-06-12T00:00:00"/>
    <x v="1"/>
    <x v="17"/>
    <x v="1"/>
    <x v="6"/>
    <x v="1"/>
    <x v="1"/>
    <x v="5"/>
    <x v="0"/>
    <x v="6"/>
    <x v="3"/>
    <x v="1"/>
    <n v="525.5"/>
  </r>
  <r>
    <d v="2025-06-12T00:00:00"/>
    <x v="1"/>
    <x v="17"/>
    <x v="0"/>
    <x v="94"/>
    <x v="6"/>
    <x v="6"/>
    <x v="48"/>
    <x v="0"/>
    <x v="13"/>
    <x v="3"/>
    <x v="1"/>
    <n v="706.39"/>
  </r>
  <r>
    <d v="2025-06-12T00:00:00"/>
    <x v="1"/>
    <x v="17"/>
    <x v="1"/>
    <x v="12"/>
    <x v="1"/>
    <x v="1"/>
    <x v="26"/>
    <x v="0"/>
    <x v="8"/>
    <x v="3"/>
    <x v="1"/>
    <n v="1685.32"/>
  </r>
  <r>
    <d v="2025-06-12T00:00:00"/>
    <x v="1"/>
    <x v="17"/>
    <x v="0"/>
    <x v="89"/>
    <x v="1"/>
    <x v="1"/>
    <x v="18"/>
    <x v="0"/>
    <x v="5"/>
    <x v="3"/>
    <x v="1"/>
    <n v="1987.97"/>
  </r>
  <r>
    <d v="2025-06-13T00:00:00"/>
    <x v="1"/>
    <x v="17"/>
    <x v="1"/>
    <x v="90"/>
    <x v="3"/>
    <x v="3"/>
    <x v="55"/>
    <x v="0"/>
    <x v="19"/>
    <x v="3"/>
    <x v="1"/>
    <n v="2.0"/>
  </r>
  <r>
    <d v="2025-06-13T00:00:00"/>
    <x v="1"/>
    <x v="17"/>
    <x v="1"/>
    <x v="78"/>
    <x v="5"/>
    <x v="5"/>
    <x v="94"/>
    <x v="0"/>
    <x v="18"/>
    <x v="4"/>
    <x v="7"/>
    <n v="3.98"/>
  </r>
  <r>
    <d v="2025-06-13T00:00:00"/>
    <x v="1"/>
    <x v="17"/>
    <x v="1"/>
    <x v="66"/>
    <x v="4"/>
    <x v="4"/>
    <x v="76"/>
    <x v="0"/>
    <x v="15"/>
    <x v="5"/>
    <x v="8"/>
    <n v="26.9"/>
  </r>
  <r>
    <d v="2025-06-13T00:00:00"/>
    <x v="1"/>
    <x v="17"/>
    <x v="0"/>
    <x v="26"/>
    <x v="7"/>
    <x v="7"/>
    <x v="81"/>
    <x v="0"/>
    <x v="20"/>
    <x v="3"/>
    <x v="1"/>
    <n v="5936.02"/>
  </r>
  <r>
    <d v="2025-06-14T00:00:00"/>
    <x v="1"/>
    <x v="17"/>
    <x v="0"/>
    <x v="83"/>
    <x v="3"/>
    <x v="3"/>
    <x v="56"/>
    <x v="0"/>
    <x v="16"/>
    <x v="6"/>
    <x v="4"/>
    <n v="7.57"/>
  </r>
  <r>
    <d v="2025-06-14T00:00:00"/>
    <x v="1"/>
    <x v="17"/>
    <x v="1"/>
    <x v="9"/>
    <x v="7"/>
    <x v="7"/>
    <x v="82"/>
    <x v="0"/>
    <x v="20"/>
    <x v="1"/>
    <x v="0"/>
    <n v="12.99"/>
  </r>
  <r>
    <d v="2025-06-14T00:00:00"/>
    <x v="1"/>
    <x v="17"/>
    <x v="0"/>
    <x v="22"/>
    <x v="1"/>
    <x v="1"/>
    <x v="20"/>
    <x v="0"/>
    <x v="5"/>
    <x v="6"/>
    <x v="4"/>
    <n v="113.76"/>
  </r>
  <r>
    <d v="2025-06-14T00:00:00"/>
    <x v="1"/>
    <x v="17"/>
    <x v="1"/>
    <x v="0"/>
    <x v="3"/>
    <x v="3"/>
    <x v="69"/>
    <x v="0"/>
    <x v="3"/>
    <x v="4"/>
    <x v="7"/>
    <n v="122.69"/>
  </r>
  <r>
    <d v="2025-06-14T00:00:00"/>
    <x v="1"/>
    <x v="17"/>
    <x v="0"/>
    <x v="14"/>
    <x v="6"/>
    <x v="6"/>
    <x v="45"/>
    <x v="0"/>
    <x v="7"/>
    <x v="3"/>
    <x v="1"/>
    <n v="149.99"/>
  </r>
  <r>
    <d v="2025-06-14T00:00:00"/>
    <x v="1"/>
    <x v="17"/>
    <x v="1"/>
    <x v="1"/>
    <x v="7"/>
    <x v="7"/>
    <x v="89"/>
    <x v="0"/>
    <x v="12"/>
    <x v="1"/>
    <x v="0"/>
    <n v="166.53"/>
  </r>
  <r>
    <d v="2025-06-14T00:00:00"/>
    <x v="1"/>
    <x v="17"/>
    <x v="0"/>
    <x v="22"/>
    <x v="1"/>
    <x v="1"/>
    <x v="20"/>
    <x v="0"/>
    <x v="5"/>
    <x v="6"/>
    <x v="4"/>
    <n v="170.28"/>
  </r>
  <r>
    <d v="2025-06-14T00:00:00"/>
    <x v="1"/>
    <x v="17"/>
    <x v="0"/>
    <x v="14"/>
    <x v="6"/>
    <x v="6"/>
    <x v="45"/>
    <x v="0"/>
    <x v="7"/>
    <x v="1"/>
    <x v="0"/>
    <n v="436.11"/>
  </r>
  <r>
    <d v="2025-06-15T00:00:00"/>
    <x v="1"/>
    <x v="17"/>
    <x v="0"/>
    <x v="43"/>
    <x v="7"/>
    <x v="7"/>
    <x v="87"/>
    <x v="0"/>
    <x v="12"/>
    <x v="0"/>
    <x v="9"/>
    <n v="47.94"/>
  </r>
  <r>
    <d v="2025-06-15T00:00:00"/>
    <x v="1"/>
    <x v="17"/>
    <x v="0"/>
    <x v="30"/>
    <x v="6"/>
    <x v="6"/>
    <x v="37"/>
    <x v="0"/>
    <x v="14"/>
    <x v="6"/>
    <x v="4"/>
    <n v="260.7"/>
  </r>
  <r>
    <d v="2025-06-15T00:00:00"/>
    <x v="1"/>
    <x v="17"/>
    <x v="0"/>
    <x v="32"/>
    <x v="1"/>
    <x v="1"/>
    <x v="28"/>
    <x v="0"/>
    <x v="8"/>
    <x v="0"/>
    <x v="9"/>
    <n v="324.38"/>
  </r>
  <r>
    <d v="2025-06-15T00:00:00"/>
    <x v="1"/>
    <x v="17"/>
    <x v="0"/>
    <x v="14"/>
    <x v="6"/>
    <x v="6"/>
    <x v="45"/>
    <x v="0"/>
    <x v="7"/>
    <x v="5"/>
    <x v="8"/>
    <n v="583.53"/>
  </r>
  <r>
    <d v="2025-06-15T00:00:00"/>
    <x v="1"/>
    <x v="17"/>
    <x v="1"/>
    <x v="18"/>
    <x v="5"/>
    <x v="5"/>
    <x v="96"/>
    <x v="0"/>
    <x v="18"/>
    <x v="9"/>
    <x v="6"/>
    <n v="1003.5"/>
  </r>
  <r>
    <d v="2025-06-15T00:00:00"/>
    <x v="1"/>
    <x v="17"/>
    <x v="1"/>
    <x v="64"/>
    <x v="3"/>
    <x v="3"/>
    <x v="70"/>
    <x v="0"/>
    <x v="3"/>
    <x v="9"/>
    <x v="6"/>
    <n v="1392.32"/>
  </r>
  <r>
    <d v="2025-06-16T00:00:00"/>
    <x v="1"/>
    <x v="17"/>
    <x v="1"/>
    <x v="1"/>
    <x v="7"/>
    <x v="7"/>
    <x v="89"/>
    <x v="0"/>
    <x v="12"/>
    <x v="1"/>
    <x v="0"/>
    <n v="7.99"/>
  </r>
  <r>
    <d v="2025-06-16T00:00:00"/>
    <x v="1"/>
    <x v="17"/>
    <x v="1"/>
    <x v="42"/>
    <x v="3"/>
    <x v="3"/>
    <x v="63"/>
    <x v="0"/>
    <x v="17"/>
    <x v="8"/>
    <x v="5"/>
    <n v="17.98"/>
  </r>
  <r>
    <d v="2025-06-16T00:00:00"/>
    <x v="1"/>
    <x v="17"/>
    <x v="0"/>
    <x v="91"/>
    <x v="1"/>
    <x v="1"/>
    <x v="23"/>
    <x v="0"/>
    <x v="8"/>
    <x v="7"/>
    <x v="3"/>
    <n v="20.32"/>
  </r>
  <r>
    <d v="2025-06-16T00:00:00"/>
    <x v="1"/>
    <x v="17"/>
    <x v="0"/>
    <x v="84"/>
    <x v="3"/>
    <x v="3"/>
    <x v="53"/>
    <x v="0"/>
    <x v="19"/>
    <x v="3"/>
    <x v="1"/>
    <n v="115.7"/>
  </r>
  <r>
    <d v="2025-06-16T00:00:00"/>
    <x v="1"/>
    <x v="17"/>
    <x v="1"/>
    <x v="50"/>
    <x v="7"/>
    <x v="7"/>
    <x v="83"/>
    <x v="0"/>
    <x v="20"/>
    <x v="6"/>
    <x v="4"/>
    <n v="273.72"/>
  </r>
  <r>
    <d v="2025-06-16T00:00:00"/>
    <x v="1"/>
    <x v="17"/>
    <x v="0"/>
    <x v="58"/>
    <x v="3"/>
    <x v="3"/>
    <x v="61"/>
    <x v="0"/>
    <x v="17"/>
    <x v="9"/>
    <x v="6"/>
    <n v="873.59"/>
  </r>
  <r>
    <d v="2025-06-17T00:00:00"/>
    <x v="1"/>
    <x v="17"/>
    <x v="0"/>
    <x v="68"/>
    <x v="3"/>
    <x v="3"/>
    <x v="59"/>
    <x v="0"/>
    <x v="16"/>
    <x v="7"/>
    <x v="3"/>
    <n v="2.98"/>
  </r>
  <r>
    <d v="2025-06-17T00:00:00"/>
    <x v="1"/>
    <x v="17"/>
    <x v="1"/>
    <x v="33"/>
    <x v="1"/>
    <x v="1"/>
    <x v="13"/>
    <x v="0"/>
    <x v="10"/>
    <x v="3"/>
    <x v="1"/>
    <n v="4.99"/>
  </r>
  <r>
    <d v="2025-06-17T00:00:00"/>
    <x v="1"/>
    <x v="17"/>
    <x v="0"/>
    <x v="46"/>
    <x v="6"/>
    <x v="6"/>
    <x v="42"/>
    <x v="0"/>
    <x v="7"/>
    <x v="4"/>
    <x v="7"/>
    <n v="187.22"/>
  </r>
  <r>
    <d v="2025-06-17T00:00:00"/>
    <x v="1"/>
    <x v="17"/>
    <x v="0"/>
    <x v="5"/>
    <x v="1"/>
    <x v="1"/>
    <x v="14"/>
    <x v="0"/>
    <x v="4"/>
    <x v="3"/>
    <x v="1"/>
    <n v="1491.24"/>
  </r>
  <r>
    <d v="2025-06-18T00:00:00"/>
    <x v="1"/>
    <x v="17"/>
    <x v="1"/>
    <x v="79"/>
    <x v="1"/>
    <x v="1"/>
    <x v="8"/>
    <x v="0"/>
    <x v="10"/>
    <x v="9"/>
    <x v="6"/>
    <n v="8.26"/>
  </r>
  <r>
    <d v="2025-06-18T00:00:00"/>
    <x v="1"/>
    <x v="17"/>
    <x v="0"/>
    <x v="20"/>
    <x v="3"/>
    <x v="3"/>
    <x v="71"/>
    <x v="0"/>
    <x v="3"/>
    <x v="2"/>
    <x v="2"/>
    <n v="9.99"/>
  </r>
  <r>
    <d v="2025-06-18T00:00:00"/>
    <x v="1"/>
    <x v="17"/>
    <x v="1"/>
    <x v="54"/>
    <x v="1"/>
    <x v="1"/>
    <x v="25"/>
    <x v="0"/>
    <x v="8"/>
    <x v="1"/>
    <x v="0"/>
    <n v="24.99"/>
  </r>
  <r>
    <d v="2025-06-18T00:00:00"/>
    <x v="1"/>
    <x v="17"/>
    <x v="1"/>
    <x v="76"/>
    <x v="6"/>
    <x v="6"/>
    <x v="34"/>
    <x v="0"/>
    <x v="14"/>
    <x v="2"/>
    <x v="2"/>
    <n v="29.95"/>
  </r>
  <r>
    <d v="2025-06-18T00:00:00"/>
    <x v="1"/>
    <x v="17"/>
    <x v="0"/>
    <x v="40"/>
    <x v="3"/>
    <x v="3"/>
    <x v="65"/>
    <x v="0"/>
    <x v="1"/>
    <x v="5"/>
    <x v="8"/>
    <n v="79.91"/>
  </r>
  <r>
    <d v="2025-06-18T00:00:00"/>
    <x v="1"/>
    <x v="17"/>
    <x v="1"/>
    <x v="16"/>
    <x v="7"/>
    <x v="7"/>
    <x v="92"/>
    <x v="0"/>
    <x v="9"/>
    <x v="3"/>
    <x v="1"/>
    <n v="507.79"/>
  </r>
  <r>
    <d v="2025-06-18T00:00:00"/>
    <x v="1"/>
    <x v="17"/>
    <x v="1"/>
    <x v="22"/>
    <x v="1"/>
    <x v="1"/>
    <x v="20"/>
    <x v="0"/>
    <x v="5"/>
    <x v="8"/>
    <x v="5"/>
    <n v="1271.2"/>
  </r>
  <r>
    <d v="2025-06-18T00:00:00"/>
    <x v="1"/>
    <x v="17"/>
    <x v="1"/>
    <x v="12"/>
    <x v="1"/>
    <x v="1"/>
    <x v="26"/>
    <x v="0"/>
    <x v="8"/>
    <x v="2"/>
    <x v="2"/>
    <n v="1754.39"/>
  </r>
  <r>
    <d v="2025-06-19T00:00:00"/>
    <x v="1"/>
    <x v="17"/>
    <x v="1"/>
    <x v="36"/>
    <x v="7"/>
    <x v="7"/>
    <x v="90"/>
    <x v="0"/>
    <x v="9"/>
    <x v="2"/>
    <x v="2"/>
    <n v="44.67"/>
  </r>
  <r>
    <d v="2025-06-19T00:00:00"/>
    <x v="1"/>
    <x v="17"/>
    <x v="1"/>
    <x v="92"/>
    <x v="6"/>
    <x v="6"/>
    <x v="40"/>
    <x v="0"/>
    <x v="7"/>
    <x v="1"/>
    <x v="0"/>
    <n v="44.97"/>
  </r>
  <r>
    <d v="2025-06-19T00:00:00"/>
    <x v="1"/>
    <x v="17"/>
    <x v="1"/>
    <x v="84"/>
    <x v="3"/>
    <x v="3"/>
    <x v="53"/>
    <x v="0"/>
    <x v="19"/>
    <x v="2"/>
    <x v="2"/>
    <n v="70.0"/>
  </r>
  <r>
    <d v="2025-06-19T00:00:00"/>
    <x v="1"/>
    <x v="17"/>
    <x v="1"/>
    <x v="7"/>
    <x v="1"/>
    <x v="1"/>
    <x v="10"/>
    <x v="0"/>
    <x v="10"/>
    <x v="9"/>
    <x v="6"/>
    <n v="221.93"/>
  </r>
  <r>
    <d v="2025-06-19T00:00:00"/>
    <x v="1"/>
    <x v="17"/>
    <x v="1"/>
    <x v="27"/>
    <x v="6"/>
    <x v="6"/>
    <x v="31"/>
    <x v="0"/>
    <x v="2"/>
    <x v="5"/>
    <x v="8"/>
    <n v="684.45"/>
  </r>
  <r>
    <d v="2025-06-19T00:00:00"/>
    <x v="1"/>
    <x v="17"/>
    <x v="1"/>
    <x v="75"/>
    <x v="1"/>
    <x v="1"/>
    <x v="4"/>
    <x v="0"/>
    <x v="6"/>
    <x v="5"/>
    <x v="8"/>
    <n v="2892.3"/>
  </r>
  <r>
    <d v="2025-06-20T00:00:00"/>
    <x v="1"/>
    <x v="17"/>
    <x v="1"/>
    <x v="65"/>
    <x v="1"/>
    <x v="1"/>
    <x v="7"/>
    <x v="0"/>
    <x v="10"/>
    <x v="3"/>
    <x v="1"/>
    <n v="2.0"/>
  </r>
  <r>
    <d v="2025-06-20T00:00:00"/>
    <x v="1"/>
    <x v="17"/>
    <x v="1"/>
    <x v="77"/>
    <x v="3"/>
    <x v="3"/>
    <x v="66"/>
    <x v="0"/>
    <x v="1"/>
    <x v="6"/>
    <x v="4"/>
    <n v="7.41"/>
  </r>
  <r>
    <d v="2025-06-20T00:00:00"/>
    <x v="1"/>
    <x v="17"/>
    <x v="0"/>
    <x v="51"/>
    <x v="5"/>
    <x v="5"/>
    <x v="95"/>
    <x v="0"/>
    <x v="18"/>
    <x v="2"/>
    <x v="2"/>
    <n v="14.99"/>
  </r>
  <r>
    <d v="2025-06-20T00:00:00"/>
    <x v="1"/>
    <x v="17"/>
    <x v="1"/>
    <x v="79"/>
    <x v="1"/>
    <x v="1"/>
    <x v="8"/>
    <x v="0"/>
    <x v="10"/>
    <x v="7"/>
    <x v="3"/>
    <n v="44.6"/>
  </r>
  <r>
    <d v="2025-06-20T00:00:00"/>
    <x v="1"/>
    <x v="17"/>
    <x v="1"/>
    <x v="68"/>
    <x v="3"/>
    <x v="3"/>
    <x v="59"/>
    <x v="0"/>
    <x v="16"/>
    <x v="1"/>
    <x v="0"/>
    <n v="528.56"/>
  </r>
  <r>
    <d v="2025-06-20T00:00:00"/>
    <x v="1"/>
    <x v="17"/>
    <x v="1"/>
    <x v="15"/>
    <x v="4"/>
    <x v="4"/>
    <x v="79"/>
    <x v="0"/>
    <x v="0"/>
    <x v="2"/>
    <x v="2"/>
    <n v="1150.03"/>
  </r>
  <r>
    <d v="2025-06-20T00:00:00"/>
    <x v="1"/>
    <x v="17"/>
    <x v="1"/>
    <x v="47"/>
    <x v="3"/>
    <x v="3"/>
    <x v="54"/>
    <x v="0"/>
    <x v="19"/>
    <x v="1"/>
    <x v="0"/>
    <n v="1171.06"/>
  </r>
  <r>
    <d v="2025-06-21T00:00:00"/>
    <x v="1"/>
    <x v="17"/>
    <x v="1"/>
    <x v="37"/>
    <x v="6"/>
    <x v="6"/>
    <x v="39"/>
    <x v="0"/>
    <x v="14"/>
    <x v="6"/>
    <x v="4"/>
    <n v="4.96"/>
  </r>
  <r>
    <d v="2025-06-21T00:00:00"/>
    <x v="1"/>
    <x v="17"/>
    <x v="1"/>
    <x v="92"/>
    <x v="6"/>
    <x v="6"/>
    <x v="40"/>
    <x v="0"/>
    <x v="7"/>
    <x v="8"/>
    <x v="5"/>
    <n v="7.96"/>
  </r>
  <r>
    <d v="2025-06-21T00:00:00"/>
    <x v="1"/>
    <x v="17"/>
    <x v="1"/>
    <x v="56"/>
    <x v="7"/>
    <x v="7"/>
    <x v="86"/>
    <x v="0"/>
    <x v="12"/>
    <x v="0"/>
    <x v="9"/>
    <n v="23.49"/>
  </r>
  <r>
    <d v="2025-06-21T00:00:00"/>
    <x v="1"/>
    <x v="17"/>
    <x v="1"/>
    <x v="83"/>
    <x v="3"/>
    <x v="3"/>
    <x v="56"/>
    <x v="0"/>
    <x v="16"/>
    <x v="8"/>
    <x v="5"/>
    <n v="27.94"/>
  </r>
  <r>
    <d v="2025-06-21T00:00:00"/>
    <x v="1"/>
    <x v="17"/>
    <x v="1"/>
    <x v="47"/>
    <x v="3"/>
    <x v="3"/>
    <x v="54"/>
    <x v="0"/>
    <x v="19"/>
    <x v="1"/>
    <x v="0"/>
    <n v="31.5"/>
  </r>
  <r>
    <d v="2025-06-21T00:00:00"/>
    <x v="1"/>
    <x v="17"/>
    <x v="1"/>
    <x v="63"/>
    <x v="4"/>
    <x v="4"/>
    <x v="78"/>
    <x v="0"/>
    <x v="0"/>
    <x v="1"/>
    <x v="0"/>
    <n v="33.0"/>
  </r>
  <r>
    <d v="2025-06-21T00:00:00"/>
    <x v="1"/>
    <x v="17"/>
    <x v="0"/>
    <x v="16"/>
    <x v="7"/>
    <x v="7"/>
    <x v="92"/>
    <x v="0"/>
    <x v="9"/>
    <x v="0"/>
    <x v="9"/>
    <n v="61.89"/>
  </r>
  <r>
    <d v="2025-06-21T00:00:00"/>
    <x v="1"/>
    <x v="17"/>
    <x v="1"/>
    <x v="6"/>
    <x v="1"/>
    <x v="1"/>
    <x v="5"/>
    <x v="0"/>
    <x v="6"/>
    <x v="8"/>
    <x v="5"/>
    <n v="179.69"/>
  </r>
  <r>
    <d v="2025-06-21T00:00:00"/>
    <x v="1"/>
    <x v="17"/>
    <x v="1"/>
    <x v="81"/>
    <x v="4"/>
    <x v="4"/>
    <x v="77"/>
    <x v="0"/>
    <x v="15"/>
    <x v="3"/>
    <x v="1"/>
    <n v="717.45"/>
  </r>
  <r>
    <d v="2025-06-21T00:00:00"/>
    <x v="1"/>
    <x v="17"/>
    <x v="1"/>
    <x v="72"/>
    <x v="1"/>
    <x v="1"/>
    <x v="24"/>
    <x v="0"/>
    <x v="8"/>
    <x v="1"/>
    <x v="0"/>
    <n v="749.25"/>
  </r>
  <r>
    <d v="2025-06-21T00:00:00"/>
    <x v="1"/>
    <x v="17"/>
    <x v="1"/>
    <x v="30"/>
    <x v="6"/>
    <x v="6"/>
    <x v="37"/>
    <x v="0"/>
    <x v="14"/>
    <x v="5"/>
    <x v="8"/>
    <n v="991.15"/>
  </r>
  <r>
    <d v="2025-06-21T00:00:00"/>
    <x v="1"/>
    <x v="17"/>
    <x v="1"/>
    <x v="48"/>
    <x v="7"/>
    <x v="7"/>
    <x v="85"/>
    <x v="0"/>
    <x v="20"/>
    <x v="2"/>
    <x v="2"/>
    <n v="1007.7"/>
  </r>
  <r>
    <d v="2025-06-21T00:00:00"/>
    <x v="1"/>
    <x v="17"/>
    <x v="1"/>
    <x v="90"/>
    <x v="3"/>
    <x v="3"/>
    <x v="55"/>
    <x v="0"/>
    <x v="19"/>
    <x v="3"/>
    <x v="1"/>
    <n v="3603.14"/>
  </r>
  <r>
    <d v="2025-06-22T00:00:00"/>
    <x v="1"/>
    <x v="17"/>
    <x v="1"/>
    <x v="66"/>
    <x v="4"/>
    <x v="4"/>
    <x v="76"/>
    <x v="0"/>
    <x v="15"/>
    <x v="2"/>
    <x v="2"/>
    <n v="103.92"/>
  </r>
  <r>
    <d v="2025-06-22T00:00:00"/>
    <x v="1"/>
    <x v="17"/>
    <x v="1"/>
    <x v="47"/>
    <x v="3"/>
    <x v="3"/>
    <x v="54"/>
    <x v="0"/>
    <x v="19"/>
    <x v="1"/>
    <x v="0"/>
    <n v="129.82"/>
  </r>
  <r>
    <d v="2025-06-22T00:00:00"/>
    <x v="1"/>
    <x v="17"/>
    <x v="1"/>
    <x v="68"/>
    <x v="3"/>
    <x v="3"/>
    <x v="59"/>
    <x v="0"/>
    <x v="16"/>
    <x v="0"/>
    <x v="9"/>
    <n v="1034.22"/>
  </r>
  <r>
    <d v="2025-06-22T00:00:00"/>
    <x v="1"/>
    <x v="17"/>
    <x v="1"/>
    <x v="73"/>
    <x v="4"/>
    <x v="4"/>
    <x v="80"/>
    <x v="0"/>
    <x v="0"/>
    <x v="3"/>
    <x v="1"/>
    <n v="1120.91"/>
  </r>
  <r>
    <d v="2025-06-23T00:00:00"/>
    <x v="1"/>
    <x v="17"/>
    <x v="1"/>
    <x v="12"/>
    <x v="1"/>
    <x v="1"/>
    <x v="26"/>
    <x v="0"/>
    <x v="8"/>
    <x v="1"/>
    <x v="0"/>
    <n v="14.55"/>
  </r>
  <r>
    <d v="2025-06-23T00:00:00"/>
    <x v="1"/>
    <x v="17"/>
    <x v="1"/>
    <x v="32"/>
    <x v="1"/>
    <x v="1"/>
    <x v="28"/>
    <x v="0"/>
    <x v="8"/>
    <x v="2"/>
    <x v="2"/>
    <n v="59.9"/>
  </r>
  <r>
    <d v="2025-06-23T00:00:00"/>
    <x v="1"/>
    <x v="17"/>
    <x v="0"/>
    <x v="48"/>
    <x v="7"/>
    <x v="7"/>
    <x v="85"/>
    <x v="0"/>
    <x v="20"/>
    <x v="8"/>
    <x v="5"/>
    <n v="59.9"/>
  </r>
  <r>
    <d v="2025-06-23T00:00:00"/>
    <x v="1"/>
    <x v="17"/>
    <x v="0"/>
    <x v="94"/>
    <x v="6"/>
    <x v="6"/>
    <x v="48"/>
    <x v="0"/>
    <x v="13"/>
    <x v="4"/>
    <x v="7"/>
    <n v="213.62"/>
  </r>
  <r>
    <d v="2025-06-23T00:00:00"/>
    <x v="1"/>
    <x v="17"/>
    <x v="0"/>
    <x v="54"/>
    <x v="1"/>
    <x v="1"/>
    <x v="25"/>
    <x v="0"/>
    <x v="8"/>
    <x v="3"/>
    <x v="1"/>
    <n v="235.48"/>
  </r>
  <r>
    <d v="2025-06-23T00:00:00"/>
    <x v="1"/>
    <x v="17"/>
    <x v="1"/>
    <x v="82"/>
    <x v="6"/>
    <x v="6"/>
    <x v="47"/>
    <x v="0"/>
    <x v="13"/>
    <x v="9"/>
    <x v="6"/>
    <n v="388.59"/>
  </r>
  <r>
    <d v="2025-06-24T00:00:00"/>
    <x v="1"/>
    <x v="17"/>
    <x v="1"/>
    <x v="60"/>
    <x v="6"/>
    <x v="6"/>
    <x v="44"/>
    <x v="0"/>
    <x v="7"/>
    <x v="3"/>
    <x v="1"/>
    <n v="27.93"/>
  </r>
  <r>
    <d v="2025-06-24T00:00:00"/>
    <x v="1"/>
    <x v="17"/>
    <x v="1"/>
    <x v="54"/>
    <x v="1"/>
    <x v="1"/>
    <x v="25"/>
    <x v="0"/>
    <x v="8"/>
    <x v="1"/>
    <x v="0"/>
    <n v="31.0"/>
  </r>
  <r>
    <d v="2025-06-24T00:00:00"/>
    <x v="1"/>
    <x v="17"/>
    <x v="0"/>
    <x v="75"/>
    <x v="1"/>
    <x v="1"/>
    <x v="4"/>
    <x v="0"/>
    <x v="6"/>
    <x v="2"/>
    <x v="2"/>
    <n v="64.95"/>
  </r>
  <r>
    <d v="2025-06-24T00:00:00"/>
    <x v="1"/>
    <x v="17"/>
    <x v="1"/>
    <x v="31"/>
    <x v="2"/>
    <x v="2"/>
    <x v="0"/>
    <x v="0"/>
    <x v="11"/>
    <x v="1"/>
    <x v="0"/>
    <n v="65.96"/>
  </r>
  <r>
    <d v="2025-06-24T00:00:00"/>
    <x v="1"/>
    <x v="17"/>
    <x v="0"/>
    <x v="63"/>
    <x v="4"/>
    <x v="4"/>
    <x v="78"/>
    <x v="0"/>
    <x v="0"/>
    <x v="9"/>
    <x v="6"/>
    <n v="77.87"/>
  </r>
  <r>
    <d v="2025-06-24T00:00:00"/>
    <x v="1"/>
    <x v="17"/>
    <x v="1"/>
    <x v="65"/>
    <x v="1"/>
    <x v="1"/>
    <x v="7"/>
    <x v="0"/>
    <x v="10"/>
    <x v="0"/>
    <x v="9"/>
    <n v="380.59"/>
  </r>
  <r>
    <d v="2025-06-25T00:00:00"/>
    <x v="1"/>
    <x v="17"/>
    <x v="1"/>
    <x v="37"/>
    <x v="6"/>
    <x v="6"/>
    <x v="39"/>
    <x v="0"/>
    <x v="14"/>
    <x v="6"/>
    <x v="4"/>
    <n v="4.3"/>
  </r>
  <r>
    <d v="2025-06-25T00:00:00"/>
    <x v="1"/>
    <x v="17"/>
    <x v="0"/>
    <x v="72"/>
    <x v="1"/>
    <x v="1"/>
    <x v="24"/>
    <x v="0"/>
    <x v="8"/>
    <x v="0"/>
    <x v="9"/>
    <n v="12.99"/>
  </r>
  <r>
    <d v="2025-06-25T00:00:00"/>
    <x v="1"/>
    <x v="17"/>
    <x v="1"/>
    <x v="81"/>
    <x v="4"/>
    <x v="4"/>
    <x v="77"/>
    <x v="0"/>
    <x v="15"/>
    <x v="1"/>
    <x v="0"/>
    <n v="29.0"/>
  </r>
  <r>
    <d v="2025-06-25T00:00:00"/>
    <x v="1"/>
    <x v="17"/>
    <x v="0"/>
    <x v="58"/>
    <x v="3"/>
    <x v="3"/>
    <x v="61"/>
    <x v="0"/>
    <x v="17"/>
    <x v="8"/>
    <x v="5"/>
    <n v="54.82"/>
  </r>
  <r>
    <d v="2025-06-25T00:00:00"/>
    <x v="1"/>
    <x v="17"/>
    <x v="1"/>
    <x v="53"/>
    <x v="1"/>
    <x v="1"/>
    <x v="16"/>
    <x v="0"/>
    <x v="4"/>
    <x v="1"/>
    <x v="0"/>
    <n v="85.95"/>
  </r>
  <r>
    <d v="2025-06-25T00:00:00"/>
    <x v="1"/>
    <x v="17"/>
    <x v="1"/>
    <x v="90"/>
    <x v="3"/>
    <x v="3"/>
    <x v="55"/>
    <x v="0"/>
    <x v="19"/>
    <x v="8"/>
    <x v="5"/>
    <n v="1249.04"/>
  </r>
  <r>
    <d v="2025-06-25T00:00:00"/>
    <x v="1"/>
    <x v="17"/>
    <x v="1"/>
    <x v="13"/>
    <x v="0"/>
    <x v="0"/>
    <x v="22"/>
    <x v="0"/>
    <x v="5"/>
    <x v="6"/>
    <x v="4"/>
    <n v="3129.96"/>
  </r>
  <r>
    <d v="2025-06-26T00:00:00"/>
    <x v="1"/>
    <x v="17"/>
    <x v="1"/>
    <x v="44"/>
    <x v="6"/>
    <x v="6"/>
    <x v="49"/>
    <x v="0"/>
    <x v="13"/>
    <x v="1"/>
    <x v="0"/>
    <n v="17.97"/>
  </r>
  <r>
    <d v="2025-06-26T00:00:00"/>
    <x v="1"/>
    <x v="17"/>
    <x v="1"/>
    <x v="87"/>
    <x v="3"/>
    <x v="3"/>
    <x v="52"/>
    <x v="0"/>
    <x v="19"/>
    <x v="2"/>
    <x v="2"/>
    <n v="77.94"/>
  </r>
  <r>
    <d v="2025-06-26T00:00:00"/>
    <x v="1"/>
    <x v="17"/>
    <x v="1"/>
    <x v="4"/>
    <x v="6"/>
    <x v="6"/>
    <x v="29"/>
    <x v="0"/>
    <x v="2"/>
    <x v="1"/>
    <x v="0"/>
    <n v="115.85"/>
  </r>
  <r>
    <d v="2025-06-26T00:00:00"/>
    <x v="1"/>
    <x v="17"/>
    <x v="1"/>
    <x v="39"/>
    <x v="7"/>
    <x v="7"/>
    <x v="91"/>
    <x v="0"/>
    <x v="9"/>
    <x v="6"/>
    <x v="4"/>
    <n v="197.91"/>
  </r>
  <r>
    <d v="2025-06-26T00:00:00"/>
    <x v="1"/>
    <x v="17"/>
    <x v="1"/>
    <x v="11"/>
    <x v="1"/>
    <x v="1"/>
    <x v="15"/>
    <x v="0"/>
    <x v="4"/>
    <x v="8"/>
    <x v="5"/>
    <n v="245.98"/>
  </r>
  <r>
    <d v="2025-06-26T00:00:00"/>
    <x v="1"/>
    <x v="17"/>
    <x v="1"/>
    <x v="37"/>
    <x v="6"/>
    <x v="6"/>
    <x v="39"/>
    <x v="0"/>
    <x v="14"/>
    <x v="8"/>
    <x v="5"/>
    <n v="413.14"/>
  </r>
  <r>
    <d v="2025-06-26T00:00:00"/>
    <x v="1"/>
    <x v="17"/>
    <x v="1"/>
    <x v="58"/>
    <x v="3"/>
    <x v="3"/>
    <x v="61"/>
    <x v="0"/>
    <x v="17"/>
    <x v="0"/>
    <x v="9"/>
    <n v="435.52"/>
  </r>
  <r>
    <d v="2025-06-26T00:00:00"/>
    <x v="1"/>
    <x v="17"/>
    <x v="0"/>
    <x v="89"/>
    <x v="1"/>
    <x v="1"/>
    <x v="18"/>
    <x v="0"/>
    <x v="5"/>
    <x v="5"/>
    <x v="8"/>
    <n v="472.74"/>
  </r>
  <r>
    <d v="2025-06-26T00:00:00"/>
    <x v="1"/>
    <x v="17"/>
    <x v="1"/>
    <x v="11"/>
    <x v="1"/>
    <x v="1"/>
    <x v="15"/>
    <x v="0"/>
    <x v="4"/>
    <x v="2"/>
    <x v="2"/>
    <n v="845.83"/>
  </r>
  <r>
    <d v="2025-06-27T00:00:00"/>
    <x v="1"/>
    <x v="17"/>
    <x v="1"/>
    <x v="35"/>
    <x v="6"/>
    <x v="6"/>
    <x v="46"/>
    <x v="0"/>
    <x v="7"/>
    <x v="6"/>
    <x v="4"/>
    <n v="37.33"/>
  </r>
  <r>
    <d v="2025-06-27T00:00:00"/>
    <x v="1"/>
    <x v="17"/>
    <x v="0"/>
    <x v="64"/>
    <x v="3"/>
    <x v="3"/>
    <x v="70"/>
    <x v="0"/>
    <x v="3"/>
    <x v="3"/>
    <x v="1"/>
    <n v="224.89"/>
  </r>
  <r>
    <d v="2025-06-27T00:00:00"/>
    <x v="1"/>
    <x v="17"/>
    <x v="0"/>
    <x v="81"/>
    <x v="4"/>
    <x v="4"/>
    <x v="77"/>
    <x v="0"/>
    <x v="15"/>
    <x v="3"/>
    <x v="1"/>
    <n v="253.82"/>
  </r>
  <r>
    <d v="2025-06-27T00:00:00"/>
    <x v="1"/>
    <x v="17"/>
    <x v="1"/>
    <x v="35"/>
    <x v="6"/>
    <x v="6"/>
    <x v="46"/>
    <x v="0"/>
    <x v="7"/>
    <x v="9"/>
    <x v="6"/>
    <n v="1548.91"/>
  </r>
  <r>
    <d v="2025-06-27T00:00:00"/>
    <x v="1"/>
    <x v="17"/>
    <x v="1"/>
    <x v="69"/>
    <x v="1"/>
    <x v="1"/>
    <x v="19"/>
    <x v="0"/>
    <x v="5"/>
    <x v="3"/>
    <x v="1"/>
    <n v="1704.66"/>
  </r>
  <r>
    <d v="2025-06-28T00:00:00"/>
    <x v="1"/>
    <x v="17"/>
    <x v="1"/>
    <x v="90"/>
    <x v="3"/>
    <x v="3"/>
    <x v="55"/>
    <x v="0"/>
    <x v="19"/>
    <x v="1"/>
    <x v="0"/>
    <n v="6.6"/>
  </r>
  <r>
    <d v="2025-06-28T00:00:00"/>
    <x v="1"/>
    <x v="17"/>
    <x v="1"/>
    <x v="47"/>
    <x v="3"/>
    <x v="3"/>
    <x v="54"/>
    <x v="0"/>
    <x v="19"/>
    <x v="2"/>
    <x v="2"/>
    <n v="9.5"/>
  </r>
  <r>
    <d v="2025-06-28T00:00:00"/>
    <x v="1"/>
    <x v="17"/>
    <x v="1"/>
    <x v="31"/>
    <x v="2"/>
    <x v="2"/>
    <x v="0"/>
    <x v="0"/>
    <x v="11"/>
    <x v="1"/>
    <x v="0"/>
    <n v="9.99"/>
  </r>
  <r>
    <d v="2025-06-28T00:00:00"/>
    <x v="1"/>
    <x v="17"/>
    <x v="1"/>
    <x v="51"/>
    <x v="5"/>
    <x v="5"/>
    <x v="95"/>
    <x v="0"/>
    <x v="18"/>
    <x v="1"/>
    <x v="0"/>
    <n v="27.86"/>
  </r>
  <r>
    <d v="2025-06-28T00:00:00"/>
    <x v="1"/>
    <x v="17"/>
    <x v="1"/>
    <x v="25"/>
    <x v="1"/>
    <x v="1"/>
    <x v="6"/>
    <x v="0"/>
    <x v="6"/>
    <x v="3"/>
    <x v="1"/>
    <n v="51.87"/>
  </r>
  <r>
    <d v="2025-06-28T00:00:00"/>
    <x v="1"/>
    <x v="17"/>
    <x v="0"/>
    <x v="34"/>
    <x v="6"/>
    <x v="6"/>
    <x v="32"/>
    <x v="0"/>
    <x v="2"/>
    <x v="7"/>
    <x v="3"/>
    <n v="370.91"/>
  </r>
  <r>
    <d v="2025-06-28T00:00:00"/>
    <x v="1"/>
    <x v="17"/>
    <x v="1"/>
    <x v="56"/>
    <x v="7"/>
    <x v="7"/>
    <x v="86"/>
    <x v="0"/>
    <x v="12"/>
    <x v="4"/>
    <x v="7"/>
    <n v="397.83"/>
  </r>
  <r>
    <d v="2025-06-28T00:00:00"/>
    <x v="1"/>
    <x v="17"/>
    <x v="1"/>
    <x v="85"/>
    <x v="6"/>
    <x v="6"/>
    <x v="43"/>
    <x v="0"/>
    <x v="7"/>
    <x v="0"/>
    <x v="9"/>
    <n v="445.87"/>
  </r>
  <r>
    <d v="2025-06-28T00:00:00"/>
    <x v="1"/>
    <x v="17"/>
    <x v="1"/>
    <x v="73"/>
    <x v="4"/>
    <x v="4"/>
    <x v="80"/>
    <x v="0"/>
    <x v="0"/>
    <x v="9"/>
    <x v="6"/>
    <n v="690.91"/>
  </r>
  <r>
    <d v="2025-06-29T00:00:00"/>
    <x v="1"/>
    <x v="17"/>
    <x v="1"/>
    <x v="68"/>
    <x v="3"/>
    <x v="3"/>
    <x v="59"/>
    <x v="0"/>
    <x v="16"/>
    <x v="7"/>
    <x v="3"/>
    <n v="200.87"/>
  </r>
  <r>
    <d v="2025-06-30T00:00:00"/>
    <x v="1"/>
    <x v="17"/>
    <x v="0"/>
    <x v="40"/>
    <x v="3"/>
    <x v="3"/>
    <x v="65"/>
    <x v="0"/>
    <x v="1"/>
    <x v="4"/>
    <x v="7"/>
    <n v="58.88"/>
  </r>
  <r>
    <d v="2025-06-30T00:00:00"/>
    <x v="1"/>
    <x v="17"/>
    <x v="1"/>
    <x v="10"/>
    <x v="6"/>
    <x v="6"/>
    <x v="41"/>
    <x v="0"/>
    <x v="7"/>
    <x v="0"/>
    <x v="9"/>
    <n v="70.34"/>
  </r>
  <r>
    <d v="2025-06-30T00:00:00"/>
    <x v="1"/>
    <x v="17"/>
    <x v="1"/>
    <x v="25"/>
    <x v="1"/>
    <x v="1"/>
    <x v="6"/>
    <x v="0"/>
    <x v="6"/>
    <x v="0"/>
    <x v="9"/>
    <n v="89.36"/>
  </r>
  <r>
    <d v="2025-06-30T00:00:00"/>
    <x v="1"/>
    <x v="17"/>
    <x v="1"/>
    <x v="31"/>
    <x v="2"/>
    <x v="2"/>
    <x v="0"/>
    <x v="0"/>
    <x v="11"/>
    <x v="4"/>
    <x v="7"/>
    <n v="131.47"/>
  </r>
  <r>
    <d v="2025-06-30T00:00:00"/>
    <x v="1"/>
    <x v="17"/>
    <x v="1"/>
    <x v="19"/>
    <x v="7"/>
    <x v="7"/>
    <x v="88"/>
    <x v="0"/>
    <x v="12"/>
    <x v="6"/>
    <x v="4"/>
    <n v="258.4"/>
  </r>
  <r>
    <d v="2025-06-30T00:00:00"/>
    <x v="1"/>
    <x v="17"/>
    <x v="1"/>
    <x v="67"/>
    <x v="3"/>
    <x v="3"/>
    <x v="62"/>
    <x v="0"/>
    <x v="17"/>
    <x v="1"/>
    <x v="0"/>
    <n v="262.36"/>
  </r>
  <r>
    <d v="2025-06-30T00:00:00"/>
    <x v="1"/>
    <x v="17"/>
    <x v="1"/>
    <x v="90"/>
    <x v="3"/>
    <x v="3"/>
    <x v="55"/>
    <x v="0"/>
    <x v="19"/>
    <x v="9"/>
    <x v="6"/>
    <n v="343.61"/>
  </r>
  <r>
    <d v="2025-06-30T00:00:00"/>
    <x v="1"/>
    <x v="17"/>
    <x v="0"/>
    <x v="39"/>
    <x v="7"/>
    <x v="7"/>
    <x v="91"/>
    <x v="0"/>
    <x v="9"/>
    <x v="2"/>
    <x v="2"/>
    <n v="364.9"/>
  </r>
  <r>
    <d v="2025-06-30T00:00:00"/>
    <x v="1"/>
    <x v="17"/>
    <x v="1"/>
    <x v="65"/>
    <x v="1"/>
    <x v="1"/>
    <x v="7"/>
    <x v="0"/>
    <x v="10"/>
    <x v="1"/>
    <x v="0"/>
    <n v="921.67"/>
  </r>
  <r>
    <d v="2025-07-01T00:00:00"/>
    <x v="2"/>
    <x v="18"/>
    <x v="1"/>
    <x v="2"/>
    <x v="1"/>
    <x v="1"/>
    <x v="2"/>
    <x v="0"/>
    <x v="6"/>
    <x v="9"/>
    <x v="6"/>
    <n v="55.93"/>
  </r>
  <r>
    <d v="2025-07-01T00:00:00"/>
    <x v="2"/>
    <x v="18"/>
    <x v="1"/>
    <x v="73"/>
    <x v="4"/>
    <x v="4"/>
    <x v="80"/>
    <x v="0"/>
    <x v="0"/>
    <x v="3"/>
    <x v="1"/>
    <n v="228.77"/>
  </r>
  <r>
    <d v="2025-07-01T00:00:00"/>
    <x v="2"/>
    <x v="18"/>
    <x v="1"/>
    <x v="8"/>
    <x v="3"/>
    <x v="3"/>
    <x v="72"/>
    <x v="0"/>
    <x v="3"/>
    <x v="5"/>
    <x v="8"/>
    <n v="299.84"/>
  </r>
  <r>
    <d v="2025-07-01T00:00:00"/>
    <x v="2"/>
    <x v="18"/>
    <x v="0"/>
    <x v="41"/>
    <x v="5"/>
    <x v="5"/>
    <x v="93"/>
    <x v="0"/>
    <x v="18"/>
    <x v="2"/>
    <x v="2"/>
    <n v="371.64"/>
  </r>
  <r>
    <d v="2025-07-01T00:00:00"/>
    <x v="2"/>
    <x v="18"/>
    <x v="1"/>
    <x v="30"/>
    <x v="6"/>
    <x v="6"/>
    <x v="37"/>
    <x v="0"/>
    <x v="14"/>
    <x v="3"/>
    <x v="1"/>
    <n v="5715.18"/>
  </r>
  <r>
    <d v="2025-07-02T00:00:00"/>
    <x v="2"/>
    <x v="18"/>
    <x v="1"/>
    <x v="34"/>
    <x v="6"/>
    <x v="6"/>
    <x v="32"/>
    <x v="0"/>
    <x v="2"/>
    <x v="1"/>
    <x v="0"/>
    <n v="18.31"/>
  </r>
  <r>
    <d v="2025-07-02T00:00:00"/>
    <x v="2"/>
    <x v="18"/>
    <x v="1"/>
    <x v="89"/>
    <x v="1"/>
    <x v="1"/>
    <x v="18"/>
    <x v="0"/>
    <x v="5"/>
    <x v="8"/>
    <x v="5"/>
    <n v="122.89"/>
  </r>
  <r>
    <d v="2025-07-02T00:00:00"/>
    <x v="2"/>
    <x v="18"/>
    <x v="0"/>
    <x v="81"/>
    <x v="4"/>
    <x v="4"/>
    <x v="77"/>
    <x v="0"/>
    <x v="15"/>
    <x v="5"/>
    <x v="8"/>
    <n v="174.74"/>
  </r>
  <r>
    <d v="2025-07-02T00:00:00"/>
    <x v="2"/>
    <x v="18"/>
    <x v="0"/>
    <x v="41"/>
    <x v="5"/>
    <x v="5"/>
    <x v="93"/>
    <x v="0"/>
    <x v="18"/>
    <x v="3"/>
    <x v="1"/>
    <n v="281.58"/>
  </r>
  <r>
    <d v="2025-07-02T00:00:00"/>
    <x v="2"/>
    <x v="18"/>
    <x v="1"/>
    <x v="65"/>
    <x v="1"/>
    <x v="1"/>
    <x v="7"/>
    <x v="0"/>
    <x v="10"/>
    <x v="8"/>
    <x v="5"/>
    <n v="296.23"/>
  </r>
  <r>
    <d v="2025-07-02T00:00:00"/>
    <x v="2"/>
    <x v="18"/>
    <x v="1"/>
    <x v="96"/>
    <x v="3"/>
    <x v="3"/>
    <x v="67"/>
    <x v="0"/>
    <x v="1"/>
    <x v="9"/>
    <x v="6"/>
    <n v="296.68"/>
  </r>
  <r>
    <d v="2025-07-02T00:00:00"/>
    <x v="2"/>
    <x v="18"/>
    <x v="1"/>
    <x v="35"/>
    <x v="6"/>
    <x v="6"/>
    <x v="46"/>
    <x v="0"/>
    <x v="7"/>
    <x v="1"/>
    <x v="0"/>
    <n v="989.2"/>
  </r>
  <r>
    <d v="2025-07-03T00:00:00"/>
    <x v="2"/>
    <x v="18"/>
    <x v="0"/>
    <x v="53"/>
    <x v="1"/>
    <x v="1"/>
    <x v="16"/>
    <x v="0"/>
    <x v="4"/>
    <x v="1"/>
    <x v="0"/>
    <n v="7.99"/>
  </r>
  <r>
    <d v="2025-07-03T00:00:00"/>
    <x v="2"/>
    <x v="18"/>
    <x v="0"/>
    <x v="24"/>
    <x v="6"/>
    <x v="6"/>
    <x v="36"/>
    <x v="0"/>
    <x v="14"/>
    <x v="7"/>
    <x v="3"/>
    <n v="91.87"/>
  </r>
  <r>
    <d v="2025-07-03T00:00:00"/>
    <x v="2"/>
    <x v="18"/>
    <x v="1"/>
    <x v="69"/>
    <x v="1"/>
    <x v="1"/>
    <x v="19"/>
    <x v="0"/>
    <x v="5"/>
    <x v="0"/>
    <x v="9"/>
    <n v="223.63"/>
  </r>
  <r>
    <d v="2025-07-03T00:00:00"/>
    <x v="2"/>
    <x v="18"/>
    <x v="1"/>
    <x v="63"/>
    <x v="4"/>
    <x v="4"/>
    <x v="78"/>
    <x v="0"/>
    <x v="0"/>
    <x v="5"/>
    <x v="8"/>
    <n v="229.4"/>
  </r>
  <r>
    <d v="2025-07-03T00:00:00"/>
    <x v="2"/>
    <x v="18"/>
    <x v="1"/>
    <x v="45"/>
    <x v="3"/>
    <x v="3"/>
    <x v="64"/>
    <x v="0"/>
    <x v="1"/>
    <x v="3"/>
    <x v="1"/>
    <n v="611.59"/>
  </r>
  <r>
    <d v="2025-07-03T00:00:00"/>
    <x v="2"/>
    <x v="18"/>
    <x v="1"/>
    <x v="15"/>
    <x v="4"/>
    <x v="4"/>
    <x v="79"/>
    <x v="0"/>
    <x v="0"/>
    <x v="6"/>
    <x v="4"/>
    <n v="888.1"/>
  </r>
  <r>
    <d v="2025-07-04T00:00:00"/>
    <x v="2"/>
    <x v="18"/>
    <x v="1"/>
    <x v="79"/>
    <x v="1"/>
    <x v="1"/>
    <x v="8"/>
    <x v="0"/>
    <x v="10"/>
    <x v="1"/>
    <x v="0"/>
    <n v="2.0"/>
  </r>
  <r>
    <d v="2025-07-04T00:00:00"/>
    <x v="2"/>
    <x v="18"/>
    <x v="0"/>
    <x v="9"/>
    <x v="7"/>
    <x v="7"/>
    <x v="82"/>
    <x v="0"/>
    <x v="20"/>
    <x v="4"/>
    <x v="7"/>
    <n v="25.92"/>
  </r>
  <r>
    <d v="2025-07-04T00:00:00"/>
    <x v="2"/>
    <x v="18"/>
    <x v="0"/>
    <x v="62"/>
    <x v="6"/>
    <x v="6"/>
    <x v="50"/>
    <x v="0"/>
    <x v="13"/>
    <x v="1"/>
    <x v="0"/>
    <n v="113.91"/>
  </r>
  <r>
    <d v="2025-07-04T00:00:00"/>
    <x v="2"/>
    <x v="18"/>
    <x v="0"/>
    <x v="9"/>
    <x v="7"/>
    <x v="7"/>
    <x v="82"/>
    <x v="0"/>
    <x v="20"/>
    <x v="1"/>
    <x v="0"/>
    <n v="172.83"/>
  </r>
  <r>
    <d v="2025-07-04T00:00:00"/>
    <x v="2"/>
    <x v="18"/>
    <x v="1"/>
    <x v="37"/>
    <x v="6"/>
    <x v="6"/>
    <x v="39"/>
    <x v="0"/>
    <x v="14"/>
    <x v="1"/>
    <x v="0"/>
    <n v="197.04"/>
  </r>
  <r>
    <d v="2025-07-04T00:00:00"/>
    <x v="2"/>
    <x v="18"/>
    <x v="1"/>
    <x v="53"/>
    <x v="1"/>
    <x v="1"/>
    <x v="16"/>
    <x v="0"/>
    <x v="4"/>
    <x v="8"/>
    <x v="5"/>
    <n v="242.33"/>
  </r>
  <r>
    <d v="2025-07-04T00:00:00"/>
    <x v="2"/>
    <x v="18"/>
    <x v="1"/>
    <x v="1"/>
    <x v="7"/>
    <x v="7"/>
    <x v="89"/>
    <x v="0"/>
    <x v="12"/>
    <x v="3"/>
    <x v="1"/>
    <n v="387.33"/>
  </r>
  <r>
    <d v="2025-07-04T00:00:00"/>
    <x v="2"/>
    <x v="18"/>
    <x v="1"/>
    <x v="90"/>
    <x v="3"/>
    <x v="3"/>
    <x v="55"/>
    <x v="0"/>
    <x v="19"/>
    <x v="5"/>
    <x v="8"/>
    <n v="455.02"/>
  </r>
  <r>
    <d v="2025-07-05T00:00:00"/>
    <x v="2"/>
    <x v="18"/>
    <x v="0"/>
    <x v="76"/>
    <x v="6"/>
    <x v="6"/>
    <x v="34"/>
    <x v="0"/>
    <x v="14"/>
    <x v="5"/>
    <x v="8"/>
    <n v="32.94"/>
  </r>
  <r>
    <d v="2025-07-05T00:00:00"/>
    <x v="2"/>
    <x v="18"/>
    <x v="0"/>
    <x v="7"/>
    <x v="1"/>
    <x v="1"/>
    <x v="10"/>
    <x v="0"/>
    <x v="10"/>
    <x v="1"/>
    <x v="0"/>
    <n v="777.14"/>
  </r>
  <r>
    <d v="2025-07-05T00:00:00"/>
    <x v="2"/>
    <x v="18"/>
    <x v="1"/>
    <x v="13"/>
    <x v="0"/>
    <x v="0"/>
    <x v="22"/>
    <x v="0"/>
    <x v="5"/>
    <x v="3"/>
    <x v="1"/>
    <n v="1025.23"/>
  </r>
  <r>
    <d v="2025-07-05T00:00:00"/>
    <x v="2"/>
    <x v="18"/>
    <x v="1"/>
    <x v="47"/>
    <x v="3"/>
    <x v="3"/>
    <x v="54"/>
    <x v="0"/>
    <x v="19"/>
    <x v="7"/>
    <x v="3"/>
    <n v="1199.75"/>
  </r>
  <r>
    <d v="2025-07-06T00:00:00"/>
    <x v="2"/>
    <x v="18"/>
    <x v="1"/>
    <x v="1"/>
    <x v="7"/>
    <x v="7"/>
    <x v="89"/>
    <x v="0"/>
    <x v="12"/>
    <x v="8"/>
    <x v="5"/>
    <n v="4.0"/>
  </r>
  <r>
    <d v="2025-07-06T00:00:00"/>
    <x v="2"/>
    <x v="18"/>
    <x v="1"/>
    <x v="79"/>
    <x v="1"/>
    <x v="1"/>
    <x v="8"/>
    <x v="0"/>
    <x v="10"/>
    <x v="2"/>
    <x v="2"/>
    <n v="25.98"/>
  </r>
  <r>
    <d v="2025-07-06T00:00:00"/>
    <x v="2"/>
    <x v="18"/>
    <x v="0"/>
    <x v="47"/>
    <x v="3"/>
    <x v="3"/>
    <x v="54"/>
    <x v="0"/>
    <x v="19"/>
    <x v="2"/>
    <x v="2"/>
    <n v="51.96"/>
  </r>
  <r>
    <d v="2025-07-06T00:00:00"/>
    <x v="2"/>
    <x v="18"/>
    <x v="1"/>
    <x v="37"/>
    <x v="6"/>
    <x v="6"/>
    <x v="39"/>
    <x v="0"/>
    <x v="14"/>
    <x v="6"/>
    <x v="4"/>
    <n v="124.75"/>
  </r>
  <r>
    <d v="2025-07-06T00:00:00"/>
    <x v="2"/>
    <x v="18"/>
    <x v="1"/>
    <x v="0"/>
    <x v="3"/>
    <x v="3"/>
    <x v="69"/>
    <x v="0"/>
    <x v="3"/>
    <x v="3"/>
    <x v="1"/>
    <n v="168.87"/>
  </r>
  <r>
    <d v="2025-07-06T00:00:00"/>
    <x v="2"/>
    <x v="18"/>
    <x v="1"/>
    <x v="71"/>
    <x v="1"/>
    <x v="1"/>
    <x v="27"/>
    <x v="0"/>
    <x v="8"/>
    <x v="1"/>
    <x v="0"/>
    <n v="489.69"/>
  </r>
  <r>
    <d v="2025-07-06T00:00:00"/>
    <x v="2"/>
    <x v="18"/>
    <x v="1"/>
    <x v="91"/>
    <x v="1"/>
    <x v="1"/>
    <x v="23"/>
    <x v="0"/>
    <x v="8"/>
    <x v="7"/>
    <x v="3"/>
    <n v="1191.76"/>
  </r>
  <r>
    <d v="2025-07-06T00:00:00"/>
    <x v="2"/>
    <x v="18"/>
    <x v="1"/>
    <x v="19"/>
    <x v="7"/>
    <x v="7"/>
    <x v="88"/>
    <x v="0"/>
    <x v="12"/>
    <x v="2"/>
    <x v="2"/>
    <n v="1224.49"/>
  </r>
  <r>
    <d v="2025-07-07T00:00:00"/>
    <x v="2"/>
    <x v="18"/>
    <x v="1"/>
    <x v="32"/>
    <x v="1"/>
    <x v="1"/>
    <x v="28"/>
    <x v="0"/>
    <x v="8"/>
    <x v="4"/>
    <x v="7"/>
    <n v="22.93"/>
  </r>
  <r>
    <d v="2025-07-07T00:00:00"/>
    <x v="2"/>
    <x v="18"/>
    <x v="1"/>
    <x v="2"/>
    <x v="1"/>
    <x v="1"/>
    <x v="2"/>
    <x v="0"/>
    <x v="6"/>
    <x v="6"/>
    <x v="4"/>
    <n v="40.79"/>
  </r>
  <r>
    <d v="2025-07-07T00:00:00"/>
    <x v="2"/>
    <x v="18"/>
    <x v="0"/>
    <x v="42"/>
    <x v="3"/>
    <x v="3"/>
    <x v="63"/>
    <x v="0"/>
    <x v="17"/>
    <x v="6"/>
    <x v="4"/>
    <n v="95.87"/>
  </r>
  <r>
    <d v="2025-07-07T00:00:00"/>
    <x v="2"/>
    <x v="18"/>
    <x v="0"/>
    <x v="87"/>
    <x v="3"/>
    <x v="3"/>
    <x v="52"/>
    <x v="0"/>
    <x v="19"/>
    <x v="3"/>
    <x v="1"/>
    <n v="360.75"/>
  </r>
  <r>
    <d v="2025-07-07T00:00:00"/>
    <x v="2"/>
    <x v="18"/>
    <x v="0"/>
    <x v="54"/>
    <x v="1"/>
    <x v="1"/>
    <x v="25"/>
    <x v="0"/>
    <x v="8"/>
    <x v="3"/>
    <x v="1"/>
    <n v="395.53"/>
  </r>
  <r>
    <d v="2025-07-07T00:00:00"/>
    <x v="2"/>
    <x v="18"/>
    <x v="1"/>
    <x v="4"/>
    <x v="6"/>
    <x v="6"/>
    <x v="29"/>
    <x v="0"/>
    <x v="2"/>
    <x v="5"/>
    <x v="8"/>
    <n v="801.97"/>
  </r>
  <r>
    <d v="2025-07-07T00:00:00"/>
    <x v="2"/>
    <x v="18"/>
    <x v="1"/>
    <x v="47"/>
    <x v="3"/>
    <x v="3"/>
    <x v="54"/>
    <x v="0"/>
    <x v="19"/>
    <x v="8"/>
    <x v="5"/>
    <n v="1209.15"/>
  </r>
  <r>
    <d v="2025-07-07T00:00:00"/>
    <x v="2"/>
    <x v="18"/>
    <x v="1"/>
    <x v="33"/>
    <x v="1"/>
    <x v="1"/>
    <x v="13"/>
    <x v="0"/>
    <x v="10"/>
    <x v="2"/>
    <x v="2"/>
    <n v="1642.0"/>
  </r>
  <r>
    <d v="2025-07-08T00:00:00"/>
    <x v="2"/>
    <x v="18"/>
    <x v="1"/>
    <x v="8"/>
    <x v="3"/>
    <x v="3"/>
    <x v="72"/>
    <x v="0"/>
    <x v="3"/>
    <x v="8"/>
    <x v="5"/>
    <n v="4.75"/>
  </r>
  <r>
    <d v="2025-07-08T00:00:00"/>
    <x v="2"/>
    <x v="18"/>
    <x v="0"/>
    <x v="83"/>
    <x v="3"/>
    <x v="3"/>
    <x v="56"/>
    <x v="0"/>
    <x v="16"/>
    <x v="1"/>
    <x v="0"/>
    <n v="10.05"/>
  </r>
  <r>
    <d v="2025-07-08T00:00:00"/>
    <x v="2"/>
    <x v="18"/>
    <x v="1"/>
    <x v="4"/>
    <x v="6"/>
    <x v="6"/>
    <x v="29"/>
    <x v="0"/>
    <x v="2"/>
    <x v="7"/>
    <x v="3"/>
    <n v="14.21"/>
  </r>
  <r>
    <d v="2025-07-08T00:00:00"/>
    <x v="2"/>
    <x v="18"/>
    <x v="1"/>
    <x v="32"/>
    <x v="1"/>
    <x v="1"/>
    <x v="28"/>
    <x v="0"/>
    <x v="8"/>
    <x v="8"/>
    <x v="5"/>
    <n v="67.83"/>
  </r>
  <r>
    <d v="2025-07-08T00:00:00"/>
    <x v="2"/>
    <x v="18"/>
    <x v="0"/>
    <x v="33"/>
    <x v="1"/>
    <x v="1"/>
    <x v="13"/>
    <x v="0"/>
    <x v="10"/>
    <x v="0"/>
    <x v="9"/>
    <n v="471.15"/>
  </r>
  <r>
    <d v="2025-07-08T00:00:00"/>
    <x v="2"/>
    <x v="18"/>
    <x v="1"/>
    <x v="23"/>
    <x v="1"/>
    <x v="1"/>
    <x v="12"/>
    <x v="0"/>
    <x v="10"/>
    <x v="1"/>
    <x v="0"/>
    <n v="721.23"/>
  </r>
  <r>
    <d v="2025-07-08T00:00:00"/>
    <x v="2"/>
    <x v="18"/>
    <x v="1"/>
    <x v="19"/>
    <x v="7"/>
    <x v="7"/>
    <x v="88"/>
    <x v="0"/>
    <x v="12"/>
    <x v="3"/>
    <x v="1"/>
    <n v="1724.37"/>
  </r>
  <r>
    <d v="2025-07-08T00:00:00"/>
    <x v="2"/>
    <x v="18"/>
    <x v="1"/>
    <x v="29"/>
    <x v="6"/>
    <x v="6"/>
    <x v="35"/>
    <x v="0"/>
    <x v="14"/>
    <x v="9"/>
    <x v="6"/>
    <n v="3343.95"/>
  </r>
  <r>
    <d v="2025-07-09T00:00:00"/>
    <x v="2"/>
    <x v="18"/>
    <x v="1"/>
    <x v="6"/>
    <x v="1"/>
    <x v="1"/>
    <x v="5"/>
    <x v="0"/>
    <x v="6"/>
    <x v="2"/>
    <x v="2"/>
    <n v="41.93"/>
  </r>
  <r>
    <d v="2025-07-09T00:00:00"/>
    <x v="2"/>
    <x v="18"/>
    <x v="1"/>
    <x v="59"/>
    <x v="1"/>
    <x v="1"/>
    <x v="3"/>
    <x v="0"/>
    <x v="6"/>
    <x v="8"/>
    <x v="5"/>
    <n v="44.91"/>
  </r>
  <r>
    <d v="2025-07-09T00:00:00"/>
    <x v="2"/>
    <x v="18"/>
    <x v="1"/>
    <x v="50"/>
    <x v="7"/>
    <x v="7"/>
    <x v="83"/>
    <x v="0"/>
    <x v="20"/>
    <x v="0"/>
    <x v="9"/>
    <n v="71.49"/>
  </r>
  <r>
    <d v="2025-07-09T00:00:00"/>
    <x v="2"/>
    <x v="18"/>
    <x v="1"/>
    <x v="29"/>
    <x v="6"/>
    <x v="6"/>
    <x v="35"/>
    <x v="0"/>
    <x v="14"/>
    <x v="5"/>
    <x v="8"/>
    <n v="258.97"/>
  </r>
  <r>
    <d v="2025-07-09T00:00:00"/>
    <x v="2"/>
    <x v="18"/>
    <x v="0"/>
    <x v="7"/>
    <x v="1"/>
    <x v="1"/>
    <x v="10"/>
    <x v="0"/>
    <x v="10"/>
    <x v="0"/>
    <x v="9"/>
    <n v="264.5"/>
  </r>
  <r>
    <d v="2025-07-09T00:00:00"/>
    <x v="2"/>
    <x v="18"/>
    <x v="0"/>
    <x v="0"/>
    <x v="3"/>
    <x v="3"/>
    <x v="69"/>
    <x v="0"/>
    <x v="3"/>
    <x v="3"/>
    <x v="1"/>
    <n v="618.4"/>
  </r>
  <r>
    <d v="2025-07-09T00:00:00"/>
    <x v="2"/>
    <x v="18"/>
    <x v="1"/>
    <x v="66"/>
    <x v="4"/>
    <x v="4"/>
    <x v="76"/>
    <x v="0"/>
    <x v="15"/>
    <x v="5"/>
    <x v="8"/>
    <n v="795.65"/>
  </r>
  <r>
    <d v="2025-07-09T00:00:00"/>
    <x v="2"/>
    <x v="18"/>
    <x v="1"/>
    <x v="22"/>
    <x v="1"/>
    <x v="1"/>
    <x v="20"/>
    <x v="0"/>
    <x v="5"/>
    <x v="3"/>
    <x v="1"/>
    <n v="1590.76"/>
  </r>
  <r>
    <d v="2025-07-09T00:00:00"/>
    <x v="2"/>
    <x v="18"/>
    <x v="1"/>
    <x v="65"/>
    <x v="1"/>
    <x v="1"/>
    <x v="7"/>
    <x v="0"/>
    <x v="10"/>
    <x v="4"/>
    <x v="7"/>
    <n v="3377.2"/>
  </r>
  <r>
    <d v="2025-07-10T00:00:00"/>
    <x v="2"/>
    <x v="18"/>
    <x v="1"/>
    <x v="9"/>
    <x v="7"/>
    <x v="7"/>
    <x v="82"/>
    <x v="0"/>
    <x v="20"/>
    <x v="2"/>
    <x v="2"/>
    <n v="3.5"/>
  </r>
  <r>
    <d v="2025-07-10T00:00:00"/>
    <x v="2"/>
    <x v="18"/>
    <x v="1"/>
    <x v="50"/>
    <x v="7"/>
    <x v="7"/>
    <x v="83"/>
    <x v="0"/>
    <x v="20"/>
    <x v="2"/>
    <x v="2"/>
    <n v="967.21"/>
  </r>
  <r>
    <d v="2025-07-10T00:00:00"/>
    <x v="2"/>
    <x v="18"/>
    <x v="0"/>
    <x v="58"/>
    <x v="3"/>
    <x v="3"/>
    <x v="61"/>
    <x v="0"/>
    <x v="17"/>
    <x v="3"/>
    <x v="1"/>
    <n v="1013.14"/>
  </r>
  <r>
    <d v="2025-07-11T00:00:00"/>
    <x v="2"/>
    <x v="18"/>
    <x v="1"/>
    <x v="50"/>
    <x v="7"/>
    <x v="7"/>
    <x v="83"/>
    <x v="0"/>
    <x v="20"/>
    <x v="3"/>
    <x v="1"/>
    <n v="23.94"/>
  </r>
  <r>
    <d v="2025-07-11T00:00:00"/>
    <x v="2"/>
    <x v="18"/>
    <x v="1"/>
    <x v="78"/>
    <x v="5"/>
    <x v="5"/>
    <x v="94"/>
    <x v="0"/>
    <x v="18"/>
    <x v="8"/>
    <x v="5"/>
    <n v="40.29"/>
  </r>
  <r>
    <d v="2025-07-11T00:00:00"/>
    <x v="2"/>
    <x v="18"/>
    <x v="0"/>
    <x v="19"/>
    <x v="7"/>
    <x v="7"/>
    <x v="88"/>
    <x v="0"/>
    <x v="12"/>
    <x v="1"/>
    <x v="0"/>
    <n v="87.41"/>
  </r>
  <r>
    <d v="2025-07-12T00:00:00"/>
    <x v="2"/>
    <x v="18"/>
    <x v="1"/>
    <x v="42"/>
    <x v="3"/>
    <x v="3"/>
    <x v="63"/>
    <x v="0"/>
    <x v="17"/>
    <x v="4"/>
    <x v="7"/>
    <n v="12.99"/>
  </r>
  <r>
    <d v="2025-07-12T00:00:00"/>
    <x v="2"/>
    <x v="18"/>
    <x v="1"/>
    <x v="13"/>
    <x v="0"/>
    <x v="0"/>
    <x v="22"/>
    <x v="0"/>
    <x v="5"/>
    <x v="3"/>
    <x v="1"/>
    <n v="13.98"/>
  </r>
  <r>
    <d v="2025-07-12T00:00:00"/>
    <x v="2"/>
    <x v="18"/>
    <x v="1"/>
    <x v="7"/>
    <x v="1"/>
    <x v="1"/>
    <x v="10"/>
    <x v="0"/>
    <x v="10"/>
    <x v="5"/>
    <x v="8"/>
    <n v="43.97"/>
  </r>
  <r>
    <d v="2025-07-12T00:00:00"/>
    <x v="2"/>
    <x v="18"/>
    <x v="1"/>
    <x v="46"/>
    <x v="6"/>
    <x v="6"/>
    <x v="42"/>
    <x v="0"/>
    <x v="7"/>
    <x v="3"/>
    <x v="1"/>
    <n v="568.63"/>
  </r>
  <r>
    <d v="2025-07-13T00:00:00"/>
    <x v="2"/>
    <x v="18"/>
    <x v="1"/>
    <x v="25"/>
    <x v="1"/>
    <x v="1"/>
    <x v="6"/>
    <x v="0"/>
    <x v="6"/>
    <x v="6"/>
    <x v="4"/>
    <n v="3.49"/>
  </r>
  <r>
    <d v="2025-07-13T00:00:00"/>
    <x v="2"/>
    <x v="18"/>
    <x v="1"/>
    <x v="45"/>
    <x v="3"/>
    <x v="3"/>
    <x v="64"/>
    <x v="0"/>
    <x v="1"/>
    <x v="2"/>
    <x v="2"/>
    <n v="4.5"/>
  </r>
  <r>
    <d v="2025-07-13T00:00:00"/>
    <x v="2"/>
    <x v="18"/>
    <x v="0"/>
    <x v="24"/>
    <x v="6"/>
    <x v="6"/>
    <x v="36"/>
    <x v="0"/>
    <x v="14"/>
    <x v="0"/>
    <x v="9"/>
    <n v="6.0"/>
  </r>
  <r>
    <d v="2025-07-13T00:00:00"/>
    <x v="2"/>
    <x v="18"/>
    <x v="1"/>
    <x v="85"/>
    <x v="6"/>
    <x v="6"/>
    <x v="43"/>
    <x v="0"/>
    <x v="7"/>
    <x v="3"/>
    <x v="1"/>
    <n v="25.98"/>
  </r>
  <r>
    <d v="2025-07-13T00:00:00"/>
    <x v="2"/>
    <x v="18"/>
    <x v="0"/>
    <x v="75"/>
    <x v="1"/>
    <x v="1"/>
    <x v="4"/>
    <x v="0"/>
    <x v="6"/>
    <x v="6"/>
    <x v="4"/>
    <n v="147.8"/>
  </r>
  <r>
    <d v="2025-07-13T00:00:00"/>
    <x v="2"/>
    <x v="18"/>
    <x v="0"/>
    <x v="36"/>
    <x v="7"/>
    <x v="7"/>
    <x v="90"/>
    <x v="0"/>
    <x v="9"/>
    <x v="3"/>
    <x v="1"/>
    <n v="159.11"/>
  </r>
  <r>
    <d v="2025-07-13T00:00:00"/>
    <x v="2"/>
    <x v="18"/>
    <x v="0"/>
    <x v="12"/>
    <x v="1"/>
    <x v="1"/>
    <x v="26"/>
    <x v="0"/>
    <x v="8"/>
    <x v="5"/>
    <x v="8"/>
    <n v="597.21"/>
  </r>
  <r>
    <d v="2025-07-13T00:00:00"/>
    <x v="2"/>
    <x v="18"/>
    <x v="1"/>
    <x v="69"/>
    <x v="1"/>
    <x v="1"/>
    <x v="19"/>
    <x v="0"/>
    <x v="5"/>
    <x v="9"/>
    <x v="6"/>
    <n v="605.54"/>
  </r>
  <r>
    <d v="2025-07-13T00:00:00"/>
    <x v="2"/>
    <x v="18"/>
    <x v="1"/>
    <x v="40"/>
    <x v="3"/>
    <x v="3"/>
    <x v="65"/>
    <x v="0"/>
    <x v="1"/>
    <x v="3"/>
    <x v="1"/>
    <n v="2140.92"/>
  </r>
  <r>
    <d v="2025-07-14T00:00:00"/>
    <x v="2"/>
    <x v="18"/>
    <x v="0"/>
    <x v="21"/>
    <x v="3"/>
    <x v="3"/>
    <x v="60"/>
    <x v="0"/>
    <x v="17"/>
    <x v="9"/>
    <x v="6"/>
    <n v="5.0"/>
  </r>
  <r>
    <d v="2025-07-14T00:00:00"/>
    <x v="2"/>
    <x v="18"/>
    <x v="1"/>
    <x v="83"/>
    <x v="3"/>
    <x v="3"/>
    <x v="56"/>
    <x v="0"/>
    <x v="16"/>
    <x v="9"/>
    <x v="6"/>
    <n v="200.71"/>
  </r>
  <r>
    <d v="2025-07-14T00:00:00"/>
    <x v="2"/>
    <x v="18"/>
    <x v="1"/>
    <x v="12"/>
    <x v="1"/>
    <x v="1"/>
    <x v="26"/>
    <x v="0"/>
    <x v="8"/>
    <x v="0"/>
    <x v="9"/>
    <n v="264.73"/>
  </r>
  <r>
    <d v="2025-07-14T00:00:00"/>
    <x v="2"/>
    <x v="18"/>
    <x v="1"/>
    <x v="50"/>
    <x v="7"/>
    <x v="7"/>
    <x v="83"/>
    <x v="0"/>
    <x v="20"/>
    <x v="1"/>
    <x v="0"/>
    <n v="401.66"/>
  </r>
  <r>
    <d v="2025-07-14T00:00:00"/>
    <x v="2"/>
    <x v="18"/>
    <x v="1"/>
    <x v="58"/>
    <x v="3"/>
    <x v="3"/>
    <x v="61"/>
    <x v="0"/>
    <x v="17"/>
    <x v="5"/>
    <x v="8"/>
    <n v="965.94"/>
  </r>
  <r>
    <d v="2025-07-15T00:00:00"/>
    <x v="2"/>
    <x v="18"/>
    <x v="1"/>
    <x v="22"/>
    <x v="1"/>
    <x v="1"/>
    <x v="20"/>
    <x v="0"/>
    <x v="5"/>
    <x v="3"/>
    <x v="1"/>
    <n v="55.0"/>
  </r>
  <r>
    <d v="2025-07-15T00:00:00"/>
    <x v="2"/>
    <x v="18"/>
    <x v="0"/>
    <x v="66"/>
    <x v="4"/>
    <x v="4"/>
    <x v="76"/>
    <x v="0"/>
    <x v="15"/>
    <x v="3"/>
    <x v="1"/>
    <n v="89.9"/>
  </r>
  <r>
    <d v="2025-07-15T00:00:00"/>
    <x v="2"/>
    <x v="18"/>
    <x v="1"/>
    <x v="14"/>
    <x v="6"/>
    <x v="6"/>
    <x v="45"/>
    <x v="0"/>
    <x v="7"/>
    <x v="2"/>
    <x v="2"/>
    <n v="116.91"/>
  </r>
  <r>
    <d v="2025-07-15T00:00:00"/>
    <x v="2"/>
    <x v="18"/>
    <x v="0"/>
    <x v="8"/>
    <x v="3"/>
    <x v="3"/>
    <x v="72"/>
    <x v="0"/>
    <x v="3"/>
    <x v="9"/>
    <x v="6"/>
    <n v="654.07"/>
  </r>
  <r>
    <d v="2025-07-15T00:00:00"/>
    <x v="2"/>
    <x v="18"/>
    <x v="1"/>
    <x v="24"/>
    <x v="6"/>
    <x v="6"/>
    <x v="36"/>
    <x v="0"/>
    <x v="14"/>
    <x v="9"/>
    <x v="6"/>
    <n v="931.81"/>
  </r>
  <r>
    <d v="2025-07-15T00:00:00"/>
    <x v="2"/>
    <x v="18"/>
    <x v="1"/>
    <x v="31"/>
    <x v="2"/>
    <x v="2"/>
    <x v="0"/>
    <x v="0"/>
    <x v="11"/>
    <x v="3"/>
    <x v="1"/>
    <n v="3245.14"/>
  </r>
  <r>
    <d v="2025-07-15T00:00:00"/>
    <x v="2"/>
    <x v="18"/>
    <x v="1"/>
    <x v="37"/>
    <x v="6"/>
    <x v="6"/>
    <x v="39"/>
    <x v="0"/>
    <x v="14"/>
    <x v="9"/>
    <x v="6"/>
    <n v="6630.37"/>
  </r>
  <r>
    <d v="2025-07-16T00:00:00"/>
    <x v="2"/>
    <x v="18"/>
    <x v="1"/>
    <x v="5"/>
    <x v="1"/>
    <x v="1"/>
    <x v="14"/>
    <x v="0"/>
    <x v="4"/>
    <x v="6"/>
    <x v="4"/>
    <n v="47.88"/>
  </r>
  <r>
    <d v="2025-07-16T00:00:00"/>
    <x v="2"/>
    <x v="18"/>
    <x v="0"/>
    <x v="82"/>
    <x v="6"/>
    <x v="6"/>
    <x v="47"/>
    <x v="0"/>
    <x v="13"/>
    <x v="1"/>
    <x v="0"/>
    <n v="49.0"/>
  </r>
  <r>
    <d v="2025-07-16T00:00:00"/>
    <x v="2"/>
    <x v="18"/>
    <x v="1"/>
    <x v="78"/>
    <x v="5"/>
    <x v="5"/>
    <x v="94"/>
    <x v="0"/>
    <x v="18"/>
    <x v="9"/>
    <x v="6"/>
    <n v="53.46"/>
  </r>
  <r>
    <d v="2025-07-16T00:00:00"/>
    <x v="2"/>
    <x v="18"/>
    <x v="1"/>
    <x v="31"/>
    <x v="2"/>
    <x v="2"/>
    <x v="0"/>
    <x v="0"/>
    <x v="11"/>
    <x v="1"/>
    <x v="0"/>
    <n v="73.12"/>
  </r>
  <r>
    <d v="2025-07-16T00:00:00"/>
    <x v="2"/>
    <x v="18"/>
    <x v="1"/>
    <x v="79"/>
    <x v="1"/>
    <x v="1"/>
    <x v="8"/>
    <x v="0"/>
    <x v="10"/>
    <x v="8"/>
    <x v="5"/>
    <n v="110.62"/>
  </r>
  <r>
    <d v="2025-07-16T00:00:00"/>
    <x v="2"/>
    <x v="18"/>
    <x v="1"/>
    <x v="47"/>
    <x v="3"/>
    <x v="3"/>
    <x v="54"/>
    <x v="0"/>
    <x v="19"/>
    <x v="8"/>
    <x v="5"/>
    <n v="176.54"/>
  </r>
  <r>
    <d v="2025-07-16T00:00:00"/>
    <x v="2"/>
    <x v="18"/>
    <x v="1"/>
    <x v="69"/>
    <x v="1"/>
    <x v="1"/>
    <x v="19"/>
    <x v="0"/>
    <x v="5"/>
    <x v="1"/>
    <x v="0"/>
    <n v="521.35"/>
  </r>
  <r>
    <d v="2025-07-17T00:00:00"/>
    <x v="2"/>
    <x v="18"/>
    <x v="1"/>
    <x v="64"/>
    <x v="3"/>
    <x v="3"/>
    <x v="70"/>
    <x v="0"/>
    <x v="3"/>
    <x v="1"/>
    <x v="0"/>
    <n v="3.0"/>
  </r>
  <r>
    <d v="2025-07-17T00:00:00"/>
    <x v="2"/>
    <x v="18"/>
    <x v="0"/>
    <x v="75"/>
    <x v="1"/>
    <x v="1"/>
    <x v="4"/>
    <x v="0"/>
    <x v="6"/>
    <x v="6"/>
    <x v="4"/>
    <n v="19.95"/>
  </r>
  <r>
    <d v="2025-07-17T00:00:00"/>
    <x v="2"/>
    <x v="18"/>
    <x v="0"/>
    <x v="91"/>
    <x v="1"/>
    <x v="1"/>
    <x v="23"/>
    <x v="0"/>
    <x v="8"/>
    <x v="8"/>
    <x v="5"/>
    <n v="25.93"/>
  </r>
  <r>
    <d v="2025-07-17T00:00:00"/>
    <x v="2"/>
    <x v="18"/>
    <x v="0"/>
    <x v="23"/>
    <x v="1"/>
    <x v="1"/>
    <x v="12"/>
    <x v="0"/>
    <x v="10"/>
    <x v="9"/>
    <x v="6"/>
    <n v="77.94"/>
  </r>
  <r>
    <d v="2025-07-17T00:00:00"/>
    <x v="2"/>
    <x v="18"/>
    <x v="1"/>
    <x v="38"/>
    <x v="0"/>
    <x v="0"/>
    <x v="21"/>
    <x v="0"/>
    <x v="5"/>
    <x v="3"/>
    <x v="1"/>
    <n v="5935.05"/>
  </r>
  <r>
    <d v="2025-07-18T00:00:00"/>
    <x v="2"/>
    <x v="18"/>
    <x v="1"/>
    <x v="32"/>
    <x v="1"/>
    <x v="1"/>
    <x v="28"/>
    <x v="0"/>
    <x v="8"/>
    <x v="6"/>
    <x v="4"/>
    <n v="2.0"/>
  </r>
  <r>
    <d v="2025-07-18T00:00:00"/>
    <x v="2"/>
    <x v="18"/>
    <x v="1"/>
    <x v="1"/>
    <x v="7"/>
    <x v="7"/>
    <x v="89"/>
    <x v="0"/>
    <x v="12"/>
    <x v="9"/>
    <x v="6"/>
    <n v="9.99"/>
  </r>
  <r>
    <d v="2025-07-18T00:00:00"/>
    <x v="2"/>
    <x v="18"/>
    <x v="1"/>
    <x v="8"/>
    <x v="3"/>
    <x v="3"/>
    <x v="72"/>
    <x v="0"/>
    <x v="3"/>
    <x v="0"/>
    <x v="9"/>
    <n v="26.98"/>
  </r>
  <r>
    <d v="2025-07-18T00:00:00"/>
    <x v="2"/>
    <x v="18"/>
    <x v="0"/>
    <x v="81"/>
    <x v="4"/>
    <x v="4"/>
    <x v="77"/>
    <x v="0"/>
    <x v="15"/>
    <x v="3"/>
    <x v="1"/>
    <n v="204.64"/>
  </r>
  <r>
    <d v="2025-07-18T00:00:00"/>
    <x v="2"/>
    <x v="18"/>
    <x v="1"/>
    <x v="13"/>
    <x v="0"/>
    <x v="0"/>
    <x v="22"/>
    <x v="0"/>
    <x v="5"/>
    <x v="3"/>
    <x v="1"/>
    <n v="552.62"/>
  </r>
  <r>
    <d v="2025-07-18T00:00:00"/>
    <x v="2"/>
    <x v="18"/>
    <x v="1"/>
    <x v="4"/>
    <x v="6"/>
    <x v="6"/>
    <x v="29"/>
    <x v="0"/>
    <x v="2"/>
    <x v="1"/>
    <x v="0"/>
    <n v="698.61"/>
  </r>
  <r>
    <d v="2025-07-18T00:00:00"/>
    <x v="2"/>
    <x v="18"/>
    <x v="1"/>
    <x v="86"/>
    <x v="1"/>
    <x v="1"/>
    <x v="9"/>
    <x v="0"/>
    <x v="10"/>
    <x v="9"/>
    <x v="6"/>
    <n v="1002.67"/>
  </r>
  <r>
    <d v="2025-07-18T00:00:00"/>
    <x v="2"/>
    <x v="18"/>
    <x v="1"/>
    <x v="69"/>
    <x v="1"/>
    <x v="1"/>
    <x v="19"/>
    <x v="0"/>
    <x v="5"/>
    <x v="1"/>
    <x v="0"/>
    <n v="1745.6"/>
  </r>
  <r>
    <d v="2025-07-18T00:00:00"/>
    <x v="2"/>
    <x v="18"/>
    <x v="1"/>
    <x v="77"/>
    <x v="3"/>
    <x v="3"/>
    <x v="66"/>
    <x v="0"/>
    <x v="1"/>
    <x v="3"/>
    <x v="1"/>
    <n v="1839.38"/>
  </r>
  <r>
    <d v="2025-07-19T00:00:00"/>
    <x v="2"/>
    <x v="18"/>
    <x v="1"/>
    <x v="30"/>
    <x v="6"/>
    <x v="6"/>
    <x v="37"/>
    <x v="0"/>
    <x v="14"/>
    <x v="1"/>
    <x v="0"/>
    <n v="7.0"/>
  </r>
  <r>
    <d v="2025-07-19T00:00:00"/>
    <x v="2"/>
    <x v="18"/>
    <x v="1"/>
    <x v="71"/>
    <x v="1"/>
    <x v="1"/>
    <x v="27"/>
    <x v="0"/>
    <x v="8"/>
    <x v="1"/>
    <x v="0"/>
    <n v="41.87"/>
  </r>
  <r>
    <d v="2025-07-19T00:00:00"/>
    <x v="2"/>
    <x v="18"/>
    <x v="0"/>
    <x v="67"/>
    <x v="3"/>
    <x v="3"/>
    <x v="62"/>
    <x v="0"/>
    <x v="17"/>
    <x v="0"/>
    <x v="9"/>
    <n v="66.11"/>
  </r>
  <r>
    <d v="2025-07-19T00:00:00"/>
    <x v="2"/>
    <x v="18"/>
    <x v="0"/>
    <x v="44"/>
    <x v="6"/>
    <x v="6"/>
    <x v="49"/>
    <x v="0"/>
    <x v="13"/>
    <x v="8"/>
    <x v="5"/>
    <n v="220.18"/>
  </r>
  <r>
    <d v="2025-07-19T00:00:00"/>
    <x v="2"/>
    <x v="18"/>
    <x v="0"/>
    <x v="55"/>
    <x v="3"/>
    <x v="3"/>
    <x v="68"/>
    <x v="0"/>
    <x v="1"/>
    <x v="1"/>
    <x v="0"/>
    <n v="286.8"/>
  </r>
  <r>
    <d v="2025-07-19T00:00:00"/>
    <x v="2"/>
    <x v="18"/>
    <x v="1"/>
    <x v="72"/>
    <x v="1"/>
    <x v="1"/>
    <x v="24"/>
    <x v="0"/>
    <x v="8"/>
    <x v="5"/>
    <x v="8"/>
    <n v="420.39"/>
  </r>
  <r>
    <d v="2025-07-19T00:00:00"/>
    <x v="2"/>
    <x v="18"/>
    <x v="1"/>
    <x v="46"/>
    <x v="6"/>
    <x v="6"/>
    <x v="42"/>
    <x v="0"/>
    <x v="7"/>
    <x v="4"/>
    <x v="7"/>
    <n v="507.3"/>
  </r>
  <r>
    <d v="2025-07-19T00:00:00"/>
    <x v="2"/>
    <x v="18"/>
    <x v="1"/>
    <x v="50"/>
    <x v="7"/>
    <x v="7"/>
    <x v="83"/>
    <x v="0"/>
    <x v="20"/>
    <x v="4"/>
    <x v="7"/>
    <n v="541.59"/>
  </r>
  <r>
    <d v="2025-07-19T00:00:00"/>
    <x v="2"/>
    <x v="18"/>
    <x v="1"/>
    <x v="87"/>
    <x v="3"/>
    <x v="3"/>
    <x v="52"/>
    <x v="0"/>
    <x v="19"/>
    <x v="9"/>
    <x v="6"/>
    <n v="1913.18"/>
  </r>
  <r>
    <d v="2025-07-20T00:00:00"/>
    <x v="2"/>
    <x v="18"/>
    <x v="1"/>
    <x v="19"/>
    <x v="7"/>
    <x v="7"/>
    <x v="88"/>
    <x v="0"/>
    <x v="12"/>
    <x v="4"/>
    <x v="7"/>
    <n v="5.98"/>
  </r>
  <r>
    <d v="2025-07-20T00:00:00"/>
    <x v="2"/>
    <x v="18"/>
    <x v="0"/>
    <x v="75"/>
    <x v="1"/>
    <x v="1"/>
    <x v="4"/>
    <x v="0"/>
    <x v="6"/>
    <x v="3"/>
    <x v="1"/>
    <n v="8.0"/>
  </r>
  <r>
    <d v="2025-07-20T00:00:00"/>
    <x v="2"/>
    <x v="18"/>
    <x v="1"/>
    <x v="11"/>
    <x v="1"/>
    <x v="1"/>
    <x v="15"/>
    <x v="0"/>
    <x v="4"/>
    <x v="0"/>
    <x v="9"/>
    <n v="28.0"/>
  </r>
  <r>
    <d v="2025-07-20T00:00:00"/>
    <x v="2"/>
    <x v="18"/>
    <x v="1"/>
    <x v="71"/>
    <x v="1"/>
    <x v="1"/>
    <x v="27"/>
    <x v="0"/>
    <x v="8"/>
    <x v="5"/>
    <x v="8"/>
    <n v="5012.69"/>
  </r>
  <r>
    <d v="2025-07-21T00:00:00"/>
    <x v="2"/>
    <x v="18"/>
    <x v="1"/>
    <x v="8"/>
    <x v="3"/>
    <x v="3"/>
    <x v="72"/>
    <x v="0"/>
    <x v="3"/>
    <x v="6"/>
    <x v="4"/>
    <n v="34.93"/>
  </r>
  <r>
    <d v="2025-07-21T00:00:00"/>
    <x v="2"/>
    <x v="18"/>
    <x v="1"/>
    <x v="4"/>
    <x v="6"/>
    <x v="6"/>
    <x v="29"/>
    <x v="0"/>
    <x v="2"/>
    <x v="7"/>
    <x v="3"/>
    <n v="229.38"/>
  </r>
  <r>
    <d v="2025-07-21T00:00:00"/>
    <x v="2"/>
    <x v="18"/>
    <x v="1"/>
    <x v="35"/>
    <x v="6"/>
    <x v="6"/>
    <x v="46"/>
    <x v="0"/>
    <x v="7"/>
    <x v="4"/>
    <x v="7"/>
    <n v="304.0"/>
  </r>
  <r>
    <d v="2025-07-21T00:00:00"/>
    <x v="2"/>
    <x v="18"/>
    <x v="1"/>
    <x v="69"/>
    <x v="1"/>
    <x v="1"/>
    <x v="19"/>
    <x v="0"/>
    <x v="5"/>
    <x v="0"/>
    <x v="9"/>
    <n v="340.43"/>
  </r>
  <r>
    <d v="2025-07-21T00:00:00"/>
    <x v="2"/>
    <x v="18"/>
    <x v="1"/>
    <x v="19"/>
    <x v="7"/>
    <x v="7"/>
    <x v="88"/>
    <x v="0"/>
    <x v="12"/>
    <x v="1"/>
    <x v="0"/>
    <n v="551.76"/>
  </r>
  <r>
    <d v="2025-07-21T00:00:00"/>
    <x v="2"/>
    <x v="18"/>
    <x v="1"/>
    <x v="73"/>
    <x v="4"/>
    <x v="4"/>
    <x v="80"/>
    <x v="0"/>
    <x v="0"/>
    <x v="6"/>
    <x v="4"/>
    <n v="559.35"/>
  </r>
  <r>
    <d v="2025-07-21T00:00:00"/>
    <x v="2"/>
    <x v="18"/>
    <x v="1"/>
    <x v="34"/>
    <x v="6"/>
    <x v="6"/>
    <x v="32"/>
    <x v="0"/>
    <x v="2"/>
    <x v="9"/>
    <x v="6"/>
    <n v="4231.64"/>
  </r>
  <r>
    <d v="2025-07-21T00:00:00"/>
    <x v="2"/>
    <x v="18"/>
    <x v="1"/>
    <x v="68"/>
    <x v="3"/>
    <x v="3"/>
    <x v="59"/>
    <x v="0"/>
    <x v="16"/>
    <x v="5"/>
    <x v="8"/>
    <n v="5429.46"/>
  </r>
  <r>
    <d v="2025-07-21T00:00:00"/>
    <x v="2"/>
    <x v="18"/>
    <x v="0"/>
    <x v="5"/>
    <x v="1"/>
    <x v="1"/>
    <x v="14"/>
    <x v="0"/>
    <x v="4"/>
    <x v="9"/>
    <x v="6"/>
    <n v="10648.29"/>
  </r>
  <r>
    <d v="2025-07-22T00:00:00"/>
    <x v="2"/>
    <x v="18"/>
    <x v="0"/>
    <x v="25"/>
    <x v="1"/>
    <x v="1"/>
    <x v="6"/>
    <x v="0"/>
    <x v="6"/>
    <x v="4"/>
    <x v="7"/>
    <n v="9.98"/>
  </r>
  <r>
    <d v="2025-07-22T00:00:00"/>
    <x v="2"/>
    <x v="18"/>
    <x v="0"/>
    <x v="51"/>
    <x v="5"/>
    <x v="5"/>
    <x v="95"/>
    <x v="0"/>
    <x v="18"/>
    <x v="1"/>
    <x v="0"/>
    <n v="29.98"/>
  </r>
  <r>
    <d v="2025-07-22T00:00:00"/>
    <x v="2"/>
    <x v="18"/>
    <x v="1"/>
    <x v="27"/>
    <x v="6"/>
    <x v="6"/>
    <x v="31"/>
    <x v="0"/>
    <x v="2"/>
    <x v="6"/>
    <x v="4"/>
    <n v="40.39"/>
  </r>
  <r>
    <d v="2025-07-22T00:00:00"/>
    <x v="2"/>
    <x v="18"/>
    <x v="0"/>
    <x v="90"/>
    <x v="3"/>
    <x v="3"/>
    <x v="55"/>
    <x v="0"/>
    <x v="19"/>
    <x v="7"/>
    <x v="3"/>
    <n v="136.17"/>
  </r>
  <r>
    <d v="2025-07-22T00:00:00"/>
    <x v="2"/>
    <x v="18"/>
    <x v="1"/>
    <x v="13"/>
    <x v="0"/>
    <x v="0"/>
    <x v="22"/>
    <x v="0"/>
    <x v="5"/>
    <x v="4"/>
    <x v="7"/>
    <n v="893.99"/>
  </r>
  <r>
    <d v="2025-07-22T00:00:00"/>
    <x v="2"/>
    <x v="18"/>
    <x v="1"/>
    <x v="91"/>
    <x v="1"/>
    <x v="1"/>
    <x v="23"/>
    <x v="0"/>
    <x v="8"/>
    <x v="1"/>
    <x v="0"/>
    <n v="2003.56"/>
  </r>
  <r>
    <d v="2025-07-23T00:00:00"/>
    <x v="2"/>
    <x v="18"/>
    <x v="1"/>
    <x v="86"/>
    <x v="1"/>
    <x v="1"/>
    <x v="9"/>
    <x v="0"/>
    <x v="10"/>
    <x v="1"/>
    <x v="0"/>
    <n v="19.99"/>
  </r>
  <r>
    <d v="2025-07-23T00:00:00"/>
    <x v="2"/>
    <x v="18"/>
    <x v="0"/>
    <x v="12"/>
    <x v="1"/>
    <x v="1"/>
    <x v="26"/>
    <x v="0"/>
    <x v="8"/>
    <x v="9"/>
    <x v="6"/>
    <n v="24.99"/>
  </r>
  <r>
    <d v="2025-07-23T00:00:00"/>
    <x v="2"/>
    <x v="18"/>
    <x v="0"/>
    <x v="65"/>
    <x v="1"/>
    <x v="1"/>
    <x v="7"/>
    <x v="0"/>
    <x v="10"/>
    <x v="6"/>
    <x v="4"/>
    <n v="41.64"/>
  </r>
  <r>
    <d v="2025-07-23T00:00:00"/>
    <x v="2"/>
    <x v="18"/>
    <x v="0"/>
    <x v="49"/>
    <x v="3"/>
    <x v="3"/>
    <x v="58"/>
    <x v="0"/>
    <x v="16"/>
    <x v="1"/>
    <x v="0"/>
    <n v="122.91"/>
  </r>
  <r>
    <d v="2025-07-23T00:00:00"/>
    <x v="2"/>
    <x v="18"/>
    <x v="1"/>
    <x v="13"/>
    <x v="0"/>
    <x v="0"/>
    <x v="22"/>
    <x v="0"/>
    <x v="5"/>
    <x v="6"/>
    <x v="4"/>
    <n v="156.04"/>
  </r>
  <r>
    <d v="2025-07-23T00:00:00"/>
    <x v="2"/>
    <x v="18"/>
    <x v="1"/>
    <x v="11"/>
    <x v="1"/>
    <x v="1"/>
    <x v="15"/>
    <x v="0"/>
    <x v="4"/>
    <x v="9"/>
    <x v="6"/>
    <n v="2181.59"/>
  </r>
  <r>
    <d v="2025-07-24T00:00:00"/>
    <x v="2"/>
    <x v="18"/>
    <x v="0"/>
    <x v="32"/>
    <x v="1"/>
    <x v="1"/>
    <x v="28"/>
    <x v="0"/>
    <x v="8"/>
    <x v="1"/>
    <x v="0"/>
    <n v="182.3"/>
  </r>
  <r>
    <d v="2025-07-24T00:00:00"/>
    <x v="2"/>
    <x v="18"/>
    <x v="0"/>
    <x v="40"/>
    <x v="3"/>
    <x v="3"/>
    <x v="65"/>
    <x v="0"/>
    <x v="1"/>
    <x v="3"/>
    <x v="1"/>
    <n v="436.96"/>
  </r>
  <r>
    <d v="2025-07-24T00:00:00"/>
    <x v="2"/>
    <x v="18"/>
    <x v="1"/>
    <x v="57"/>
    <x v="4"/>
    <x v="4"/>
    <x v="74"/>
    <x v="0"/>
    <x v="15"/>
    <x v="3"/>
    <x v="1"/>
    <n v="5286.48"/>
  </r>
  <r>
    <d v="2025-07-25T00:00:00"/>
    <x v="2"/>
    <x v="18"/>
    <x v="0"/>
    <x v="35"/>
    <x v="6"/>
    <x v="6"/>
    <x v="46"/>
    <x v="0"/>
    <x v="7"/>
    <x v="8"/>
    <x v="5"/>
    <n v="23.76"/>
  </r>
  <r>
    <d v="2025-07-25T00:00:00"/>
    <x v="2"/>
    <x v="18"/>
    <x v="0"/>
    <x v="17"/>
    <x v="3"/>
    <x v="3"/>
    <x v="57"/>
    <x v="0"/>
    <x v="16"/>
    <x v="6"/>
    <x v="4"/>
    <n v="71.82"/>
  </r>
  <r>
    <d v="2025-07-25T00:00:00"/>
    <x v="2"/>
    <x v="18"/>
    <x v="1"/>
    <x v="45"/>
    <x v="3"/>
    <x v="3"/>
    <x v="64"/>
    <x v="0"/>
    <x v="1"/>
    <x v="9"/>
    <x v="6"/>
    <n v="988.03"/>
  </r>
  <r>
    <d v="2025-07-25T00:00:00"/>
    <x v="2"/>
    <x v="18"/>
    <x v="0"/>
    <x v="1"/>
    <x v="7"/>
    <x v="7"/>
    <x v="89"/>
    <x v="0"/>
    <x v="12"/>
    <x v="4"/>
    <x v="7"/>
    <n v="3186.85"/>
  </r>
  <r>
    <d v="2025-07-26T00:00:00"/>
    <x v="2"/>
    <x v="18"/>
    <x v="1"/>
    <x v="79"/>
    <x v="1"/>
    <x v="1"/>
    <x v="8"/>
    <x v="0"/>
    <x v="10"/>
    <x v="8"/>
    <x v="5"/>
    <n v="31.68"/>
  </r>
  <r>
    <d v="2025-07-26T00:00:00"/>
    <x v="2"/>
    <x v="18"/>
    <x v="1"/>
    <x v="21"/>
    <x v="3"/>
    <x v="3"/>
    <x v="60"/>
    <x v="0"/>
    <x v="17"/>
    <x v="3"/>
    <x v="1"/>
    <n v="158.54"/>
  </r>
  <r>
    <d v="2025-07-27T00:00:00"/>
    <x v="2"/>
    <x v="18"/>
    <x v="1"/>
    <x v="2"/>
    <x v="1"/>
    <x v="1"/>
    <x v="2"/>
    <x v="0"/>
    <x v="6"/>
    <x v="2"/>
    <x v="2"/>
    <n v="3.0"/>
  </r>
  <r>
    <d v="2025-07-27T00:00:00"/>
    <x v="2"/>
    <x v="18"/>
    <x v="0"/>
    <x v="43"/>
    <x v="7"/>
    <x v="7"/>
    <x v="87"/>
    <x v="0"/>
    <x v="12"/>
    <x v="3"/>
    <x v="1"/>
    <n v="9.99"/>
  </r>
  <r>
    <d v="2025-07-27T00:00:00"/>
    <x v="2"/>
    <x v="18"/>
    <x v="1"/>
    <x v="26"/>
    <x v="7"/>
    <x v="7"/>
    <x v="81"/>
    <x v="0"/>
    <x v="20"/>
    <x v="5"/>
    <x v="8"/>
    <n v="425.74"/>
  </r>
  <r>
    <d v="2025-07-27T00:00:00"/>
    <x v="2"/>
    <x v="18"/>
    <x v="1"/>
    <x v="37"/>
    <x v="6"/>
    <x v="6"/>
    <x v="39"/>
    <x v="0"/>
    <x v="14"/>
    <x v="6"/>
    <x v="4"/>
    <n v="432.91"/>
  </r>
  <r>
    <d v="2025-07-27T00:00:00"/>
    <x v="2"/>
    <x v="18"/>
    <x v="1"/>
    <x v="79"/>
    <x v="1"/>
    <x v="1"/>
    <x v="8"/>
    <x v="0"/>
    <x v="10"/>
    <x v="5"/>
    <x v="8"/>
    <n v="592.06"/>
  </r>
  <r>
    <d v="2025-07-28T00:00:00"/>
    <x v="2"/>
    <x v="18"/>
    <x v="1"/>
    <x v="24"/>
    <x v="6"/>
    <x v="6"/>
    <x v="36"/>
    <x v="0"/>
    <x v="14"/>
    <x v="6"/>
    <x v="4"/>
    <n v="15.39"/>
  </r>
  <r>
    <d v="2025-07-28T00:00:00"/>
    <x v="2"/>
    <x v="18"/>
    <x v="0"/>
    <x v="53"/>
    <x v="1"/>
    <x v="1"/>
    <x v="16"/>
    <x v="0"/>
    <x v="4"/>
    <x v="7"/>
    <x v="3"/>
    <n v="37.19"/>
  </r>
  <r>
    <d v="2025-07-28T00:00:00"/>
    <x v="2"/>
    <x v="18"/>
    <x v="0"/>
    <x v="49"/>
    <x v="3"/>
    <x v="3"/>
    <x v="58"/>
    <x v="0"/>
    <x v="16"/>
    <x v="0"/>
    <x v="9"/>
    <n v="112.64"/>
  </r>
  <r>
    <d v="2025-07-28T00:00:00"/>
    <x v="2"/>
    <x v="18"/>
    <x v="1"/>
    <x v="23"/>
    <x v="1"/>
    <x v="1"/>
    <x v="12"/>
    <x v="0"/>
    <x v="10"/>
    <x v="1"/>
    <x v="0"/>
    <n v="445.52"/>
  </r>
  <r>
    <d v="2025-07-28T00:00:00"/>
    <x v="2"/>
    <x v="18"/>
    <x v="1"/>
    <x v="30"/>
    <x v="6"/>
    <x v="6"/>
    <x v="37"/>
    <x v="0"/>
    <x v="14"/>
    <x v="9"/>
    <x v="6"/>
    <n v="5375.47"/>
  </r>
  <r>
    <d v="2025-07-29T00:00:00"/>
    <x v="2"/>
    <x v="18"/>
    <x v="1"/>
    <x v="80"/>
    <x v="6"/>
    <x v="6"/>
    <x v="38"/>
    <x v="0"/>
    <x v="14"/>
    <x v="1"/>
    <x v="0"/>
    <n v="11.5"/>
  </r>
  <r>
    <d v="2025-07-29T00:00:00"/>
    <x v="2"/>
    <x v="18"/>
    <x v="1"/>
    <x v="22"/>
    <x v="1"/>
    <x v="1"/>
    <x v="20"/>
    <x v="0"/>
    <x v="5"/>
    <x v="3"/>
    <x v="1"/>
    <n v="19.98"/>
  </r>
  <r>
    <d v="2025-07-29T00:00:00"/>
    <x v="2"/>
    <x v="18"/>
    <x v="1"/>
    <x v="54"/>
    <x v="1"/>
    <x v="1"/>
    <x v="25"/>
    <x v="0"/>
    <x v="8"/>
    <x v="5"/>
    <x v="8"/>
    <n v="24.99"/>
  </r>
  <r>
    <d v="2025-07-29T00:00:00"/>
    <x v="2"/>
    <x v="18"/>
    <x v="1"/>
    <x v="1"/>
    <x v="7"/>
    <x v="7"/>
    <x v="89"/>
    <x v="0"/>
    <x v="12"/>
    <x v="1"/>
    <x v="0"/>
    <n v="25.6"/>
  </r>
  <r>
    <d v="2025-07-29T00:00:00"/>
    <x v="2"/>
    <x v="18"/>
    <x v="0"/>
    <x v="36"/>
    <x v="7"/>
    <x v="7"/>
    <x v="90"/>
    <x v="0"/>
    <x v="9"/>
    <x v="0"/>
    <x v="9"/>
    <n v="196.62"/>
  </r>
  <r>
    <d v="2025-07-29T00:00:00"/>
    <x v="2"/>
    <x v="18"/>
    <x v="1"/>
    <x v="59"/>
    <x v="1"/>
    <x v="1"/>
    <x v="3"/>
    <x v="0"/>
    <x v="6"/>
    <x v="0"/>
    <x v="9"/>
    <n v="540.88"/>
  </r>
  <r>
    <d v="2025-07-29T00:00:00"/>
    <x v="2"/>
    <x v="18"/>
    <x v="1"/>
    <x v="61"/>
    <x v="7"/>
    <x v="7"/>
    <x v="84"/>
    <x v="0"/>
    <x v="20"/>
    <x v="1"/>
    <x v="0"/>
    <n v="623.55"/>
  </r>
  <r>
    <d v="2025-07-29T00:00:00"/>
    <x v="2"/>
    <x v="18"/>
    <x v="0"/>
    <x v="6"/>
    <x v="1"/>
    <x v="1"/>
    <x v="5"/>
    <x v="0"/>
    <x v="6"/>
    <x v="4"/>
    <x v="7"/>
    <n v="1793.64"/>
  </r>
  <r>
    <d v="2025-07-30T00:00:00"/>
    <x v="2"/>
    <x v="18"/>
    <x v="0"/>
    <x v="51"/>
    <x v="5"/>
    <x v="5"/>
    <x v="95"/>
    <x v="0"/>
    <x v="18"/>
    <x v="6"/>
    <x v="4"/>
    <n v="7.0"/>
  </r>
  <r>
    <d v="2025-07-30T00:00:00"/>
    <x v="2"/>
    <x v="18"/>
    <x v="0"/>
    <x v="17"/>
    <x v="3"/>
    <x v="3"/>
    <x v="57"/>
    <x v="0"/>
    <x v="16"/>
    <x v="1"/>
    <x v="0"/>
    <n v="146.88"/>
  </r>
  <r>
    <d v="2025-07-31T00:00:00"/>
    <x v="2"/>
    <x v="18"/>
    <x v="1"/>
    <x v="30"/>
    <x v="6"/>
    <x v="6"/>
    <x v="37"/>
    <x v="0"/>
    <x v="14"/>
    <x v="0"/>
    <x v="9"/>
    <n v="21.81"/>
  </r>
  <r>
    <d v="2025-08-01T00:00:00"/>
    <x v="2"/>
    <x v="19"/>
    <x v="1"/>
    <x v="82"/>
    <x v="6"/>
    <x v="6"/>
    <x v="47"/>
    <x v="0"/>
    <x v="13"/>
    <x v="9"/>
    <x v="6"/>
    <n v="2.0"/>
  </r>
  <r>
    <d v="2025-08-01T00:00:00"/>
    <x v="2"/>
    <x v="19"/>
    <x v="1"/>
    <x v="74"/>
    <x v="4"/>
    <x v="4"/>
    <x v="75"/>
    <x v="0"/>
    <x v="15"/>
    <x v="1"/>
    <x v="0"/>
    <n v="14.99"/>
  </r>
  <r>
    <d v="2025-08-01T00:00:00"/>
    <x v="2"/>
    <x v="19"/>
    <x v="1"/>
    <x v="2"/>
    <x v="1"/>
    <x v="1"/>
    <x v="2"/>
    <x v="0"/>
    <x v="6"/>
    <x v="5"/>
    <x v="8"/>
    <n v="71.71"/>
  </r>
  <r>
    <d v="2025-08-01T00:00:00"/>
    <x v="2"/>
    <x v="19"/>
    <x v="1"/>
    <x v="32"/>
    <x v="1"/>
    <x v="1"/>
    <x v="28"/>
    <x v="0"/>
    <x v="8"/>
    <x v="4"/>
    <x v="7"/>
    <n v="94.0"/>
  </r>
  <r>
    <d v="2025-08-01T00:00:00"/>
    <x v="2"/>
    <x v="19"/>
    <x v="1"/>
    <x v="22"/>
    <x v="1"/>
    <x v="1"/>
    <x v="20"/>
    <x v="0"/>
    <x v="5"/>
    <x v="5"/>
    <x v="8"/>
    <n v="7487.49"/>
  </r>
  <r>
    <d v="2025-08-01T00:00:00"/>
    <x v="2"/>
    <x v="19"/>
    <x v="1"/>
    <x v="24"/>
    <x v="6"/>
    <x v="6"/>
    <x v="36"/>
    <x v="0"/>
    <x v="14"/>
    <x v="6"/>
    <x v="4"/>
    <n v="11864.76"/>
  </r>
  <r>
    <d v="2025-08-02T00:00:00"/>
    <x v="2"/>
    <x v="19"/>
    <x v="1"/>
    <x v="37"/>
    <x v="6"/>
    <x v="6"/>
    <x v="39"/>
    <x v="0"/>
    <x v="14"/>
    <x v="3"/>
    <x v="1"/>
    <n v="3.0"/>
  </r>
  <r>
    <d v="2025-08-02T00:00:00"/>
    <x v="2"/>
    <x v="19"/>
    <x v="1"/>
    <x v="96"/>
    <x v="3"/>
    <x v="3"/>
    <x v="67"/>
    <x v="0"/>
    <x v="1"/>
    <x v="3"/>
    <x v="1"/>
    <n v="19.98"/>
  </r>
  <r>
    <d v="2025-08-02T00:00:00"/>
    <x v="2"/>
    <x v="19"/>
    <x v="1"/>
    <x v="87"/>
    <x v="3"/>
    <x v="3"/>
    <x v="52"/>
    <x v="0"/>
    <x v="19"/>
    <x v="6"/>
    <x v="4"/>
    <n v="29.95"/>
  </r>
  <r>
    <d v="2025-08-02T00:00:00"/>
    <x v="2"/>
    <x v="19"/>
    <x v="1"/>
    <x v="77"/>
    <x v="3"/>
    <x v="3"/>
    <x v="66"/>
    <x v="0"/>
    <x v="1"/>
    <x v="2"/>
    <x v="2"/>
    <n v="38.97"/>
  </r>
  <r>
    <d v="2025-08-02T00:00:00"/>
    <x v="2"/>
    <x v="19"/>
    <x v="0"/>
    <x v="46"/>
    <x v="6"/>
    <x v="6"/>
    <x v="42"/>
    <x v="0"/>
    <x v="7"/>
    <x v="5"/>
    <x v="8"/>
    <n v="103.87"/>
  </r>
  <r>
    <d v="2025-08-02T00:00:00"/>
    <x v="2"/>
    <x v="19"/>
    <x v="1"/>
    <x v="28"/>
    <x v="6"/>
    <x v="6"/>
    <x v="51"/>
    <x v="0"/>
    <x v="13"/>
    <x v="4"/>
    <x v="7"/>
    <n v="355.17"/>
  </r>
  <r>
    <d v="2025-08-02T00:00:00"/>
    <x v="2"/>
    <x v="19"/>
    <x v="1"/>
    <x v="66"/>
    <x v="4"/>
    <x v="4"/>
    <x v="76"/>
    <x v="0"/>
    <x v="15"/>
    <x v="3"/>
    <x v="1"/>
    <n v="652.14"/>
  </r>
  <r>
    <d v="2025-08-03T00:00:00"/>
    <x v="2"/>
    <x v="19"/>
    <x v="0"/>
    <x v="12"/>
    <x v="1"/>
    <x v="1"/>
    <x v="26"/>
    <x v="0"/>
    <x v="8"/>
    <x v="6"/>
    <x v="4"/>
    <n v="8.94"/>
  </r>
  <r>
    <d v="2025-08-03T00:00:00"/>
    <x v="2"/>
    <x v="19"/>
    <x v="1"/>
    <x v="17"/>
    <x v="3"/>
    <x v="3"/>
    <x v="57"/>
    <x v="0"/>
    <x v="16"/>
    <x v="1"/>
    <x v="0"/>
    <n v="71.14"/>
  </r>
  <r>
    <d v="2025-08-03T00:00:00"/>
    <x v="2"/>
    <x v="19"/>
    <x v="0"/>
    <x v="92"/>
    <x v="6"/>
    <x v="6"/>
    <x v="40"/>
    <x v="0"/>
    <x v="7"/>
    <x v="3"/>
    <x v="1"/>
    <n v="91.91"/>
  </r>
  <r>
    <d v="2025-08-03T00:00:00"/>
    <x v="2"/>
    <x v="19"/>
    <x v="1"/>
    <x v="82"/>
    <x v="6"/>
    <x v="6"/>
    <x v="47"/>
    <x v="0"/>
    <x v="13"/>
    <x v="5"/>
    <x v="8"/>
    <n v="175.13"/>
  </r>
  <r>
    <d v="2025-08-03T00:00:00"/>
    <x v="2"/>
    <x v="19"/>
    <x v="0"/>
    <x v="57"/>
    <x v="4"/>
    <x v="4"/>
    <x v="74"/>
    <x v="0"/>
    <x v="15"/>
    <x v="8"/>
    <x v="5"/>
    <n v="231.54"/>
  </r>
  <r>
    <d v="2025-08-03T00:00:00"/>
    <x v="2"/>
    <x v="19"/>
    <x v="1"/>
    <x v="79"/>
    <x v="1"/>
    <x v="1"/>
    <x v="8"/>
    <x v="0"/>
    <x v="10"/>
    <x v="1"/>
    <x v="0"/>
    <n v="376.5"/>
  </r>
  <r>
    <d v="2025-08-03T00:00:00"/>
    <x v="2"/>
    <x v="19"/>
    <x v="0"/>
    <x v="54"/>
    <x v="1"/>
    <x v="1"/>
    <x v="25"/>
    <x v="0"/>
    <x v="8"/>
    <x v="2"/>
    <x v="2"/>
    <n v="1138.88"/>
  </r>
  <r>
    <d v="2025-08-03T00:00:00"/>
    <x v="2"/>
    <x v="19"/>
    <x v="0"/>
    <x v="79"/>
    <x v="1"/>
    <x v="1"/>
    <x v="8"/>
    <x v="0"/>
    <x v="10"/>
    <x v="2"/>
    <x v="2"/>
    <n v="1637.24"/>
  </r>
  <r>
    <d v="2025-08-03T00:00:00"/>
    <x v="2"/>
    <x v="19"/>
    <x v="0"/>
    <x v="5"/>
    <x v="1"/>
    <x v="1"/>
    <x v="14"/>
    <x v="0"/>
    <x v="4"/>
    <x v="4"/>
    <x v="7"/>
    <n v="3254.77"/>
  </r>
  <r>
    <d v="2025-08-03T00:00:00"/>
    <x v="2"/>
    <x v="19"/>
    <x v="1"/>
    <x v="59"/>
    <x v="1"/>
    <x v="1"/>
    <x v="3"/>
    <x v="0"/>
    <x v="6"/>
    <x v="6"/>
    <x v="4"/>
    <n v="3870.99"/>
  </r>
  <r>
    <d v="2025-08-04T00:00:00"/>
    <x v="2"/>
    <x v="19"/>
    <x v="1"/>
    <x v="94"/>
    <x v="6"/>
    <x v="6"/>
    <x v="48"/>
    <x v="0"/>
    <x v="13"/>
    <x v="1"/>
    <x v="0"/>
    <n v="12.99"/>
  </r>
  <r>
    <d v="2025-08-04T00:00:00"/>
    <x v="2"/>
    <x v="19"/>
    <x v="1"/>
    <x v="4"/>
    <x v="6"/>
    <x v="6"/>
    <x v="29"/>
    <x v="0"/>
    <x v="2"/>
    <x v="2"/>
    <x v="2"/>
    <n v="31.96"/>
  </r>
  <r>
    <d v="2025-08-04T00:00:00"/>
    <x v="2"/>
    <x v="19"/>
    <x v="1"/>
    <x v="25"/>
    <x v="1"/>
    <x v="1"/>
    <x v="6"/>
    <x v="0"/>
    <x v="6"/>
    <x v="3"/>
    <x v="1"/>
    <n v="39.96"/>
  </r>
  <r>
    <d v="2025-08-04T00:00:00"/>
    <x v="2"/>
    <x v="19"/>
    <x v="1"/>
    <x v="89"/>
    <x v="1"/>
    <x v="1"/>
    <x v="18"/>
    <x v="0"/>
    <x v="5"/>
    <x v="6"/>
    <x v="4"/>
    <n v="54.89"/>
  </r>
  <r>
    <d v="2025-08-04T00:00:00"/>
    <x v="2"/>
    <x v="19"/>
    <x v="1"/>
    <x v="53"/>
    <x v="1"/>
    <x v="1"/>
    <x v="16"/>
    <x v="0"/>
    <x v="4"/>
    <x v="6"/>
    <x v="4"/>
    <n v="376.57"/>
  </r>
  <r>
    <d v="2025-08-04T00:00:00"/>
    <x v="2"/>
    <x v="19"/>
    <x v="0"/>
    <x v="64"/>
    <x v="3"/>
    <x v="3"/>
    <x v="70"/>
    <x v="0"/>
    <x v="3"/>
    <x v="9"/>
    <x v="6"/>
    <n v="848.82"/>
  </r>
  <r>
    <d v="2025-08-05T00:00:00"/>
    <x v="2"/>
    <x v="19"/>
    <x v="1"/>
    <x v="19"/>
    <x v="7"/>
    <x v="7"/>
    <x v="88"/>
    <x v="0"/>
    <x v="12"/>
    <x v="1"/>
    <x v="0"/>
    <n v="9.52"/>
  </r>
  <r>
    <d v="2025-08-05T00:00:00"/>
    <x v="2"/>
    <x v="19"/>
    <x v="1"/>
    <x v="7"/>
    <x v="1"/>
    <x v="1"/>
    <x v="10"/>
    <x v="0"/>
    <x v="10"/>
    <x v="1"/>
    <x v="0"/>
    <n v="26.0"/>
  </r>
  <r>
    <d v="2025-08-05T00:00:00"/>
    <x v="2"/>
    <x v="19"/>
    <x v="1"/>
    <x v="38"/>
    <x v="0"/>
    <x v="0"/>
    <x v="21"/>
    <x v="0"/>
    <x v="5"/>
    <x v="5"/>
    <x v="8"/>
    <n v="37.49"/>
  </r>
  <r>
    <d v="2025-08-05T00:00:00"/>
    <x v="2"/>
    <x v="19"/>
    <x v="0"/>
    <x v="35"/>
    <x v="6"/>
    <x v="6"/>
    <x v="46"/>
    <x v="0"/>
    <x v="7"/>
    <x v="2"/>
    <x v="2"/>
    <n v="51.96"/>
  </r>
  <r>
    <d v="2025-08-05T00:00:00"/>
    <x v="2"/>
    <x v="19"/>
    <x v="1"/>
    <x v="31"/>
    <x v="2"/>
    <x v="2"/>
    <x v="0"/>
    <x v="0"/>
    <x v="11"/>
    <x v="6"/>
    <x v="4"/>
    <n v="325.47"/>
  </r>
  <r>
    <d v="2025-08-05T00:00:00"/>
    <x v="2"/>
    <x v="19"/>
    <x v="1"/>
    <x v="69"/>
    <x v="1"/>
    <x v="1"/>
    <x v="19"/>
    <x v="0"/>
    <x v="5"/>
    <x v="4"/>
    <x v="7"/>
    <n v="2171.88"/>
  </r>
  <r>
    <d v="2025-08-05T00:00:00"/>
    <x v="2"/>
    <x v="19"/>
    <x v="0"/>
    <x v="5"/>
    <x v="1"/>
    <x v="1"/>
    <x v="14"/>
    <x v="0"/>
    <x v="4"/>
    <x v="5"/>
    <x v="8"/>
    <n v="3713.36"/>
  </r>
  <r>
    <d v="2025-08-05T00:00:00"/>
    <x v="2"/>
    <x v="19"/>
    <x v="0"/>
    <x v="27"/>
    <x v="6"/>
    <x v="6"/>
    <x v="31"/>
    <x v="0"/>
    <x v="2"/>
    <x v="3"/>
    <x v="1"/>
    <n v="3852.25"/>
  </r>
  <r>
    <d v="2025-08-05T00:00:00"/>
    <x v="2"/>
    <x v="19"/>
    <x v="1"/>
    <x v="35"/>
    <x v="6"/>
    <x v="6"/>
    <x v="46"/>
    <x v="0"/>
    <x v="7"/>
    <x v="9"/>
    <x v="6"/>
    <n v="4245.89"/>
  </r>
  <r>
    <d v="2025-08-05T00:00:00"/>
    <x v="2"/>
    <x v="19"/>
    <x v="1"/>
    <x v="65"/>
    <x v="1"/>
    <x v="1"/>
    <x v="7"/>
    <x v="0"/>
    <x v="10"/>
    <x v="6"/>
    <x v="4"/>
    <n v="7135.28"/>
  </r>
  <r>
    <d v="2025-08-06T00:00:00"/>
    <x v="2"/>
    <x v="19"/>
    <x v="0"/>
    <x v="94"/>
    <x v="6"/>
    <x v="6"/>
    <x v="48"/>
    <x v="0"/>
    <x v="13"/>
    <x v="6"/>
    <x v="4"/>
    <n v="139.86"/>
  </r>
  <r>
    <d v="2025-08-06T00:00:00"/>
    <x v="2"/>
    <x v="19"/>
    <x v="1"/>
    <x v="2"/>
    <x v="1"/>
    <x v="1"/>
    <x v="2"/>
    <x v="0"/>
    <x v="6"/>
    <x v="4"/>
    <x v="7"/>
    <n v="200.05"/>
  </r>
  <r>
    <d v="2025-08-06T00:00:00"/>
    <x v="2"/>
    <x v="19"/>
    <x v="1"/>
    <x v="7"/>
    <x v="1"/>
    <x v="1"/>
    <x v="10"/>
    <x v="0"/>
    <x v="10"/>
    <x v="6"/>
    <x v="4"/>
    <n v="206.74"/>
  </r>
  <r>
    <d v="2025-08-06T00:00:00"/>
    <x v="2"/>
    <x v="19"/>
    <x v="0"/>
    <x v="54"/>
    <x v="1"/>
    <x v="1"/>
    <x v="25"/>
    <x v="0"/>
    <x v="8"/>
    <x v="4"/>
    <x v="7"/>
    <n v="240.01"/>
  </r>
  <r>
    <d v="2025-08-06T00:00:00"/>
    <x v="2"/>
    <x v="19"/>
    <x v="1"/>
    <x v="25"/>
    <x v="1"/>
    <x v="1"/>
    <x v="6"/>
    <x v="0"/>
    <x v="6"/>
    <x v="6"/>
    <x v="4"/>
    <n v="819.14"/>
  </r>
  <r>
    <d v="2025-08-06T00:00:00"/>
    <x v="2"/>
    <x v="19"/>
    <x v="1"/>
    <x v="70"/>
    <x v="6"/>
    <x v="6"/>
    <x v="33"/>
    <x v="0"/>
    <x v="14"/>
    <x v="2"/>
    <x v="2"/>
    <n v="1460.24"/>
  </r>
  <r>
    <d v="2025-08-06T00:00:00"/>
    <x v="2"/>
    <x v="19"/>
    <x v="1"/>
    <x v="16"/>
    <x v="7"/>
    <x v="7"/>
    <x v="92"/>
    <x v="0"/>
    <x v="9"/>
    <x v="3"/>
    <x v="1"/>
    <n v="2957.02"/>
  </r>
  <r>
    <d v="2025-08-06T00:00:00"/>
    <x v="2"/>
    <x v="19"/>
    <x v="1"/>
    <x v="32"/>
    <x v="1"/>
    <x v="1"/>
    <x v="28"/>
    <x v="0"/>
    <x v="8"/>
    <x v="6"/>
    <x v="4"/>
    <n v="11753.83"/>
  </r>
  <r>
    <d v="2025-08-07T00:00:00"/>
    <x v="2"/>
    <x v="19"/>
    <x v="1"/>
    <x v="27"/>
    <x v="6"/>
    <x v="6"/>
    <x v="31"/>
    <x v="0"/>
    <x v="2"/>
    <x v="5"/>
    <x v="8"/>
    <n v="126.35"/>
  </r>
  <r>
    <d v="2025-08-07T00:00:00"/>
    <x v="2"/>
    <x v="19"/>
    <x v="0"/>
    <x v="87"/>
    <x v="3"/>
    <x v="3"/>
    <x v="52"/>
    <x v="0"/>
    <x v="19"/>
    <x v="3"/>
    <x v="1"/>
    <n v="391.47"/>
  </r>
  <r>
    <d v="2025-08-07T00:00:00"/>
    <x v="2"/>
    <x v="19"/>
    <x v="1"/>
    <x v="1"/>
    <x v="7"/>
    <x v="7"/>
    <x v="89"/>
    <x v="0"/>
    <x v="12"/>
    <x v="8"/>
    <x v="5"/>
    <n v="433.0"/>
  </r>
  <r>
    <d v="2025-08-07T00:00:00"/>
    <x v="2"/>
    <x v="19"/>
    <x v="1"/>
    <x v="21"/>
    <x v="3"/>
    <x v="3"/>
    <x v="60"/>
    <x v="0"/>
    <x v="17"/>
    <x v="7"/>
    <x v="3"/>
    <n v="1636.11"/>
  </r>
  <r>
    <d v="2025-08-07T00:00:00"/>
    <x v="2"/>
    <x v="19"/>
    <x v="1"/>
    <x v="22"/>
    <x v="1"/>
    <x v="1"/>
    <x v="20"/>
    <x v="0"/>
    <x v="5"/>
    <x v="3"/>
    <x v="1"/>
    <n v="5184.95"/>
  </r>
  <r>
    <d v="2025-08-08T00:00:00"/>
    <x v="2"/>
    <x v="19"/>
    <x v="0"/>
    <x v="13"/>
    <x v="0"/>
    <x v="0"/>
    <x v="22"/>
    <x v="0"/>
    <x v="5"/>
    <x v="1"/>
    <x v="0"/>
    <n v="26.28"/>
  </r>
  <r>
    <d v="2025-08-08T00:00:00"/>
    <x v="2"/>
    <x v="19"/>
    <x v="0"/>
    <x v="18"/>
    <x v="5"/>
    <x v="5"/>
    <x v="96"/>
    <x v="0"/>
    <x v="18"/>
    <x v="8"/>
    <x v="5"/>
    <n v="187.53"/>
  </r>
  <r>
    <d v="2025-08-08T00:00:00"/>
    <x v="2"/>
    <x v="19"/>
    <x v="1"/>
    <x v="50"/>
    <x v="7"/>
    <x v="7"/>
    <x v="83"/>
    <x v="0"/>
    <x v="20"/>
    <x v="9"/>
    <x v="6"/>
    <n v="199.95"/>
  </r>
  <r>
    <d v="2025-08-09T00:00:00"/>
    <x v="2"/>
    <x v="19"/>
    <x v="1"/>
    <x v="92"/>
    <x v="6"/>
    <x v="6"/>
    <x v="40"/>
    <x v="0"/>
    <x v="7"/>
    <x v="9"/>
    <x v="6"/>
    <n v="12.99"/>
  </r>
  <r>
    <d v="2025-08-09T00:00:00"/>
    <x v="2"/>
    <x v="19"/>
    <x v="1"/>
    <x v="14"/>
    <x v="6"/>
    <x v="6"/>
    <x v="45"/>
    <x v="0"/>
    <x v="7"/>
    <x v="2"/>
    <x v="2"/>
    <n v="17.99"/>
  </r>
  <r>
    <d v="2025-08-09T00:00:00"/>
    <x v="2"/>
    <x v="19"/>
    <x v="1"/>
    <x v="71"/>
    <x v="1"/>
    <x v="1"/>
    <x v="27"/>
    <x v="0"/>
    <x v="8"/>
    <x v="5"/>
    <x v="8"/>
    <n v="32.74"/>
  </r>
  <r>
    <d v="2025-08-09T00:00:00"/>
    <x v="2"/>
    <x v="19"/>
    <x v="1"/>
    <x v="59"/>
    <x v="1"/>
    <x v="1"/>
    <x v="3"/>
    <x v="0"/>
    <x v="6"/>
    <x v="4"/>
    <x v="7"/>
    <n v="440.3"/>
  </r>
  <r>
    <d v="2025-08-09T00:00:00"/>
    <x v="2"/>
    <x v="19"/>
    <x v="1"/>
    <x v="68"/>
    <x v="3"/>
    <x v="3"/>
    <x v="59"/>
    <x v="0"/>
    <x v="16"/>
    <x v="5"/>
    <x v="8"/>
    <n v="963.69"/>
  </r>
  <r>
    <d v="2025-08-09T00:00:00"/>
    <x v="2"/>
    <x v="19"/>
    <x v="1"/>
    <x v="24"/>
    <x v="6"/>
    <x v="6"/>
    <x v="36"/>
    <x v="0"/>
    <x v="14"/>
    <x v="1"/>
    <x v="0"/>
    <n v="1211.68"/>
  </r>
  <r>
    <d v="2025-08-09T00:00:00"/>
    <x v="2"/>
    <x v="19"/>
    <x v="1"/>
    <x v="22"/>
    <x v="1"/>
    <x v="1"/>
    <x v="20"/>
    <x v="0"/>
    <x v="5"/>
    <x v="1"/>
    <x v="0"/>
    <n v="1257.97"/>
  </r>
  <r>
    <d v="2025-08-09T00:00:00"/>
    <x v="2"/>
    <x v="19"/>
    <x v="0"/>
    <x v="4"/>
    <x v="6"/>
    <x v="6"/>
    <x v="29"/>
    <x v="0"/>
    <x v="2"/>
    <x v="9"/>
    <x v="6"/>
    <n v="5306.62"/>
  </r>
  <r>
    <d v="2025-08-10T00:00:00"/>
    <x v="2"/>
    <x v="19"/>
    <x v="1"/>
    <x v="69"/>
    <x v="1"/>
    <x v="1"/>
    <x v="19"/>
    <x v="0"/>
    <x v="5"/>
    <x v="3"/>
    <x v="1"/>
    <n v="6.0"/>
  </r>
  <r>
    <d v="2025-08-10T00:00:00"/>
    <x v="2"/>
    <x v="19"/>
    <x v="1"/>
    <x v="68"/>
    <x v="3"/>
    <x v="3"/>
    <x v="59"/>
    <x v="0"/>
    <x v="16"/>
    <x v="1"/>
    <x v="0"/>
    <n v="74.91"/>
  </r>
  <r>
    <d v="2025-08-10T00:00:00"/>
    <x v="2"/>
    <x v="19"/>
    <x v="0"/>
    <x v="54"/>
    <x v="1"/>
    <x v="1"/>
    <x v="25"/>
    <x v="0"/>
    <x v="8"/>
    <x v="0"/>
    <x v="9"/>
    <n v="310.58"/>
  </r>
  <r>
    <d v="2025-08-10T00:00:00"/>
    <x v="2"/>
    <x v="19"/>
    <x v="1"/>
    <x v="68"/>
    <x v="3"/>
    <x v="3"/>
    <x v="59"/>
    <x v="0"/>
    <x v="16"/>
    <x v="1"/>
    <x v="0"/>
    <n v="797.2"/>
  </r>
  <r>
    <d v="2025-08-10T00:00:00"/>
    <x v="2"/>
    <x v="19"/>
    <x v="0"/>
    <x v="5"/>
    <x v="1"/>
    <x v="1"/>
    <x v="14"/>
    <x v="0"/>
    <x v="4"/>
    <x v="9"/>
    <x v="6"/>
    <n v="1437.57"/>
  </r>
  <r>
    <d v="2025-08-10T00:00:00"/>
    <x v="2"/>
    <x v="19"/>
    <x v="1"/>
    <x v="21"/>
    <x v="3"/>
    <x v="3"/>
    <x v="60"/>
    <x v="0"/>
    <x v="17"/>
    <x v="1"/>
    <x v="0"/>
    <n v="1450.49"/>
  </r>
  <r>
    <d v="2025-08-11T00:00:00"/>
    <x v="2"/>
    <x v="19"/>
    <x v="1"/>
    <x v="21"/>
    <x v="3"/>
    <x v="3"/>
    <x v="60"/>
    <x v="0"/>
    <x v="17"/>
    <x v="1"/>
    <x v="0"/>
    <n v="3.0"/>
  </r>
  <r>
    <d v="2025-08-11T00:00:00"/>
    <x v="2"/>
    <x v="19"/>
    <x v="1"/>
    <x v="88"/>
    <x v="1"/>
    <x v="1"/>
    <x v="17"/>
    <x v="0"/>
    <x v="4"/>
    <x v="3"/>
    <x v="1"/>
    <n v="10.0"/>
  </r>
  <r>
    <d v="2025-08-11T00:00:00"/>
    <x v="2"/>
    <x v="19"/>
    <x v="0"/>
    <x v="71"/>
    <x v="1"/>
    <x v="1"/>
    <x v="27"/>
    <x v="0"/>
    <x v="8"/>
    <x v="9"/>
    <x v="6"/>
    <n v="49.93"/>
  </r>
  <r>
    <d v="2025-08-11T00:00:00"/>
    <x v="2"/>
    <x v="19"/>
    <x v="0"/>
    <x v="34"/>
    <x v="6"/>
    <x v="6"/>
    <x v="32"/>
    <x v="0"/>
    <x v="2"/>
    <x v="5"/>
    <x v="8"/>
    <n v="467.08"/>
  </r>
  <r>
    <d v="2025-08-11T00:00:00"/>
    <x v="2"/>
    <x v="19"/>
    <x v="1"/>
    <x v="43"/>
    <x v="7"/>
    <x v="7"/>
    <x v="87"/>
    <x v="0"/>
    <x v="12"/>
    <x v="3"/>
    <x v="1"/>
    <n v="560.37"/>
  </r>
  <r>
    <d v="2025-08-11T00:00:00"/>
    <x v="2"/>
    <x v="19"/>
    <x v="1"/>
    <x v="44"/>
    <x v="6"/>
    <x v="6"/>
    <x v="49"/>
    <x v="0"/>
    <x v="13"/>
    <x v="6"/>
    <x v="4"/>
    <n v="801.37"/>
  </r>
  <r>
    <d v="2025-08-11T00:00:00"/>
    <x v="2"/>
    <x v="19"/>
    <x v="1"/>
    <x v="34"/>
    <x v="6"/>
    <x v="6"/>
    <x v="32"/>
    <x v="0"/>
    <x v="2"/>
    <x v="5"/>
    <x v="8"/>
    <n v="2752.15"/>
  </r>
  <r>
    <d v="2025-08-12T00:00:00"/>
    <x v="2"/>
    <x v="19"/>
    <x v="1"/>
    <x v="29"/>
    <x v="6"/>
    <x v="6"/>
    <x v="35"/>
    <x v="0"/>
    <x v="14"/>
    <x v="0"/>
    <x v="9"/>
    <n v="34.47"/>
  </r>
  <r>
    <d v="2025-08-12T00:00:00"/>
    <x v="2"/>
    <x v="19"/>
    <x v="1"/>
    <x v="17"/>
    <x v="3"/>
    <x v="3"/>
    <x v="57"/>
    <x v="0"/>
    <x v="16"/>
    <x v="2"/>
    <x v="2"/>
    <n v="79.0"/>
  </r>
  <r>
    <d v="2025-08-12T00:00:00"/>
    <x v="2"/>
    <x v="19"/>
    <x v="1"/>
    <x v="52"/>
    <x v="1"/>
    <x v="1"/>
    <x v="11"/>
    <x v="0"/>
    <x v="10"/>
    <x v="0"/>
    <x v="9"/>
    <n v="429.35"/>
  </r>
  <r>
    <d v="2025-08-13T00:00:00"/>
    <x v="2"/>
    <x v="19"/>
    <x v="0"/>
    <x v="24"/>
    <x v="6"/>
    <x v="6"/>
    <x v="36"/>
    <x v="0"/>
    <x v="14"/>
    <x v="8"/>
    <x v="5"/>
    <n v="83.39"/>
  </r>
  <r>
    <d v="2025-08-13T00:00:00"/>
    <x v="2"/>
    <x v="19"/>
    <x v="1"/>
    <x v="61"/>
    <x v="7"/>
    <x v="7"/>
    <x v="84"/>
    <x v="0"/>
    <x v="20"/>
    <x v="1"/>
    <x v="0"/>
    <n v="218.78"/>
  </r>
  <r>
    <d v="2025-08-13T00:00:00"/>
    <x v="2"/>
    <x v="19"/>
    <x v="1"/>
    <x v="25"/>
    <x v="1"/>
    <x v="1"/>
    <x v="6"/>
    <x v="0"/>
    <x v="6"/>
    <x v="1"/>
    <x v="0"/>
    <n v="4074.37"/>
  </r>
  <r>
    <d v="2025-08-14T00:00:00"/>
    <x v="2"/>
    <x v="19"/>
    <x v="0"/>
    <x v="55"/>
    <x v="3"/>
    <x v="3"/>
    <x v="68"/>
    <x v="0"/>
    <x v="1"/>
    <x v="1"/>
    <x v="0"/>
    <n v="48.97"/>
  </r>
  <r>
    <d v="2025-08-14T00:00:00"/>
    <x v="2"/>
    <x v="19"/>
    <x v="0"/>
    <x v="18"/>
    <x v="5"/>
    <x v="5"/>
    <x v="96"/>
    <x v="0"/>
    <x v="18"/>
    <x v="4"/>
    <x v="7"/>
    <n v="65.9"/>
  </r>
  <r>
    <d v="2025-08-14T00:00:00"/>
    <x v="2"/>
    <x v="19"/>
    <x v="0"/>
    <x v="34"/>
    <x v="6"/>
    <x v="6"/>
    <x v="32"/>
    <x v="0"/>
    <x v="2"/>
    <x v="1"/>
    <x v="0"/>
    <n v="405.42"/>
  </r>
  <r>
    <d v="2025-08-14T00:00:00"/>
    <x v="2"/>
    <x v="19"/>
    <x v="1"/>
    <x v="72"/>
    <x v="1"/>
    <x v="1"/>
    <x v="24"/>
    <x v="0"/>
    <x v="8"/>
    <x v="3"/>
    <x v="1"/>
    <n v="481.61"/>
  </r>
  <r>
    <d v="2025-08-14T00:00:00"/>
    <x v="2"/>
    <x v="19"/>
    <x v="1"/>
    <x v="52"/>
    <x v="1"/>
    <x v="1"/>
    <x v="11"/>
    <x v="0"/>
    <x v="10"/>
    <x v="3"/>
    <x v="1"/>
    <n v="1029.47"/>
  </r>
  <r>
    <d v="2025-08-14T00:00:00"/>
    <x v="2"/>
    <x v="19"/>
    <x v="1"/>
    <x v="47"/>
    <x v="3"/>
    <x v="3"/>
    <x v="54"/>
    <x v="0"/>
    <x v="19"/>
    <x v="3"/>
    <x v="1"/>
    <n v="1267.02"/>
  </r>
  <r>
    <d v="2025-08-14T00:00:00"/>
    <x v="2"/>
    <x v="19"/>
    <x v="1"/>
    <x v="27"/>
    <x v="6"/>
    <x v="6"/>
    <x v="31"/>
    <x v="0"/>
    <x v="2"/>
    <x v="1"/>
    <x v="0"/>
    <n v="1778.2"/>
  </r>
  <r>
    <d v="2025-08-15T00:00:00"/>
    <x v="2"/>
    <x v="19"/>
    <x v="1"/>
    <x v="75"/>
    <x v="1"/>
    <x v="1"/>
    <x v="4"/>
    <x v="0"/>
    <x v="6"/>
    <x v="1"/>
    <x v="0"/>
    <n v="44.9"/>
  </r>
  <r>
    <d v="2025-08-15T00:00:00"/>
    <x v="2"/>
    <x v="19"/>
    <x v="1"/>
    <x v="33"/>
    <x v="1"/>
    <x v="1"/>
    <x v="13"/>
    <x v="0"/>
    <x v="10"/>
    <x v="2"/>
    <x v="2"/>
    <n v="49.98"/>
  </r>
  <r>
    <d v="2025-08-15T00:00:00"/>
    <x v="2"/>
    <x v="19"/>
    <x v="1"/>
    <x v="0"/>
    <x v="3"/>
    <x v="3"/>
    <x v="69"/>
    <x v="0"/>
    <x v="3"/>
    <x v="1"/>
    <x v="0"/>
    <n v="53.96"/>
  </r>
  <r>
    <d v="2025-08-15T00:00:00"/>
    <x v="2"/>
    <x v="19"/>
    <x v="1"/>
    <x v="18"/>
    <x v="5"/>
    <x v="5"/>
    <x v="96"/>
    <x v="0"/>
    <x v="18"/>
    <x v="2"/>
    <x v="2"/>
    <n v="168.87"/>
  </r>
  <r>
    <d v="2025-08-15T00:00:00"/>
    <x v="2"/>
    <x v="19"/>
    <x v="0"/>
    <x v="44"/>
    <x v="6"/>
    <x v="6"/>
    <x v="49"/>
    <x v="0"/>
    <x v="13"/>
    <x v="2"/>
    <x v="2"/>
    <n v="479.47"/>
  </r>
  <r>
    <d v="2025-08-15T00:00:00"/>
    <x v="2"/>
    <x v="19"/>
    <x v="1"/>
    <x v="42"/>
    <x v="3"/>
    <x v="3"/>
    <x v="63"/>
    <x v="0"/>
    <x v="17"/>
    <x v="3"/>
    <x v="1"/>
    <n v="535.02"/>
  </r>
  <r>
    <d v="2025-08-15T00:00:00"/>
    <x v="2"/>
    <x v="19"/>
    <x v="1"/>
    <x v="83"/>
    <x v="3"/>
    <x v="3"/>
    <x v="56"/>
    <x v="0"/>
    <x v="16"/>
    <x v="3"/>
    <x v="1"/>
    <n v="1158.84"/>
  </r>
  <r>
    <d v="2025-08-15T00:00:00"/>
    <x v="2"/>
    <x v="19"/>
    <x v="0"/>
    <x v="5"/>
    <x v="1"/>
    <x v="1"/>
    <x v="14"/>
    <x v="0"/>
    <x v="4"/>
    <x v="2"/>
    <x v="2"/>
    <n v="5894.89"/>
  </r>
  <r>
    <d v="2025-08-16T00:00:00"/>
    <x v="2"/>
    <x v="19"/>
    <x v="0"/>
    <x v="72"/>
    <x v="1"/>
    <x v="1"/>
    <x v="24"/>
    <x v="0"/>
    <x v="8"/>
    <x v="4"/>
    <x v="7"/>
    <n v="11.97"/>
  </r>
  <r>
    <d v="2025-08-16T00:00:00"/>
    <x v="2"/>
    <x v="19"/>
    <x v="1"/>
    <x v="86"/>
    <x v="1"/>
    <x v="1"/>
    <x v="9"/>
    <x v="0"/>
    <x v="10"/>
    <x v="1"/>
    <x v="0"/>
    <n v="18.01"/>
  </r>
  <r>
    <d v="2025-08-16T00:00:00"/>
    <x v="2"/>
    <x v="19"/>
    <x v="1"/>
    <x v="86"/>
    <x v="1"/>
    <x v="1"/>
    <x v="9"/>
    <x v="0"/>
    <x v="10"/>
    <x v="5"/>
    <x v="8"/>
    <n v="68.44"/>
  </r>
  <r>
    <d v="2025-08-16T00:00:00"/>
    <x v="2"/>
    <x v="19"/>
    <x v="1"/>
    <x v="19"/>
    <x v="7"/>
    <x v="7"/>
    <x v="88"/>
    <x v="0"/>
    <x v="12"/>
    <x v="1"/>
    <x v="0"/>
    <n v="117.99"/>
  </r>
  <r>
    <d v="2025-08-16T00:00:00"/>
    <x v="2"/>
    <x v="19"/>
    <x v="0"/>
    <x v="46"/>
    <x v="6"/>
    <x v="6"/>
    <x v="42"/>
    <x v="0"/>
    <x v="7"/>
    <x v="8"/>
    <x v="5"/>
    <n v="160.45"/>
  </r>
  <r>
    <d v="2025-08-16T00:00:00"/>
    <x v="2"/>
    <x v="19"/>
    <x v="1"/>
    <x v="65"/>
    <x v="1"/>
    <x v="1"/>
    <x v="7"/>
    <x v="0"/>
    <x v="10"/>
    <x v="5"/>
    <x v="8"/>
    <n v="875.0"/>
  </r>
  <r>
    <d v="2025-08-16T00:00:00"/>
    <x v="2"/>
    <x v="19"/>
    <x v="1"/>
    <x v="23"/>
    <x v="1"/>
    <x v="1"/>
    <x v="12"/>
    <x v="0"/>
    <x v="10"/>
    <x v="9"/>
    <x v="6"/>
    <n v="1444.28"/>
  </r>
  <r>
    <d v="2025-08-16T00:00:00"/>
    <x v="2"/>
    <x v="19"/>
    <x v="1"/>
    <x v="12"/>
    <x v="1"/>
    <x v="1"/>
    <x v="26"/>
    <x v="0"/>
    <x v="8"/>
    <x v="6"/>
    <x v="4"/>
    <n v="4529.53"/>
  </r>
  <r>
    <d v="2025-08-17T00:00:00"/>
    <x v="2"/>
    <x v="19"/>
    <x v="1"/>
    <x v="5"/>
    <x v="1"/>
    <x v="1"/>
    <x v="14"/>
    <x v="0"/>
    <x v="4"/>
    <x v="8"/>
    <x v="5"/>
    <n v="34.57"/>
  </r>
  <r>
    <d v="2025-08-17T00:00:00"/>
    <x v="2"/>
    <x v="19"/>
    <x v="0"/>
    <x v="96"/>
    <x v="3"/>
    <x v="3"/>
    <x v="67"/>
    <x v="0"/>
    <x v="1"/>
    <x v="3"/>
    <x v="1"/>
    <n v="44.42"/>
  </r>
  <r>
    <d v="2025-08-17T00:00:00"/>
    <x v="2"/>
    <x v="19"/>
    <x v="1"/>
    <x v="21"/>
    <x v="3"/>
    <x v="3"/>
    <x v="60"/>
    <x v="0"/>
    <x v="17"/>
    <x v="1"/>
    <x v="0"/>
    <n v="77.12"/>
  </r>
  <r>
    <d v="2025-08-17T00:00:00"/>
    <x v="2"/>
    <x v="19"/>
    <x v="1"/>
    <x v="1"/>
    <x v="7"/>
    <x v="7"/>
    <x v="89"/>
    <x v="0"/>
    <x v="12"/>
    <x v="1"/>
    <x v="0"/>
    <n v="240.82"/>
  </r>
  <r>
    <d v="2025-08-17T00:00:00"/>
    <x v="2"/>
    <x v="19"/>
    <x v="0"/>
    <x v="44"/>
    <x v="6"/>
    <x v="6"/>
    <x v="49"/>
    <x v="0"/>
    <x v="13"/>
    <x v="5"/>
    <x v="8"/>
    <n v="510.09"/>
  </r>
  <r>
    <d v="2025-08-17T00:00:00"/>
    <x v="2"/>
    <x v="19"/>
    <x v="1"/>
    <x v="2"/>
    <x v="1"/>
    <x v="1"/>
    <x v="2"/>
    <x v="0"/>
    <x v="6"/>
    <x v="8"/>
    <x v="5"/>
    <n v="1294.34"/>
  </r>
  <r>
    <d v="2025-08-17T00:00:00"/>
    <x v="2"/>
    <x v="19"/>
    <x v="1"/>
    <x v="39"/>
    <x v="7"/>
    <x v="7"/>
    <x v="91"/>
    <x v="0"/>
    <x v="9"/>
    <x v="9"/>
    <x v="6"/>
    <n v="2881.7"/>
  </r>
  <r>
    <d v="2025-08-17T00:00:00"/>
    <x v="2"/>
    <x v="19"/>
    <x v="1"/>
    <x v="14"/>
    <x v="6"/>
    <x v="6"/>
    <x v="45"/>
    <x v="0"/>
    <x v="7"/>
    <x v="6"/>
    <x v="4"/>
    <n v="7040.84"/>
  </r>
  <r>
    <d v="2025-08-18T00:00:00"/>
    <x v="2"/>
    <x v="19"/>
    <x v="1"/>
    <x v="91"/>
    <x v="1"/>
    <x v="1"/>
    <x v="23"/>
    <x v="0"/>
    <x v="8"/>
    <x v="2"/>
    <x v="2"/>
    <n v="5.79"/>
  </r>
  <r>
    <d v="2025-08-18T00:00:00"/>
    <x v="2"/>
    <x v="19"/>
    <x v="0"/>
    <x v="62"/>
    <x v="6"/>
    <x v="6"/>
    <x v="50"/>
    <x v="0"/>
    <x v="13"/>
    <x v="3"/>
    <x v="1"/>
    <n v="37.62"/>
  </r>
  <r>
    <d v="2025-08-18T00:00:00"/>
    <x v="2"/>
    <x v="19"/>
    <x v="0"/>
    <x v="90"/>
    <x v="3"/>
    <x v="3"/>
    <x v="55"/>
    <x v="0"/>
    <x v="19"/>
    <x v="7"/>
    <x v="3"/>
    <n v="81.73"/>
  </r>
  <r>
    <d v="2025-08-18T00:00:00"/>
    <x v="2"/>
    <x v="19"/>
    <x v="1"/>
    <x v="81"/>
    <x v="4"/>
    <x v="4"/>
    <x v="77"/>
    <x v="0"/>
    <x v="15"/>
    <x v="3"/>
    <x v="1"/>
    <n v="3516.87"/>
  </r>
  <r>
    <d v="2025-08-19T00:00:00"/>
    <x v="2"/>
    <x v="19"/>
    <x v="1"/>
    <x v="35"/>
    <x v="6"/>
    <x v="6"/>
    <x v="46"/>
    <x v="0"/>
    <x v="7"/>
    <x v="6"/>
    <x v="4"/>
    <n v="2.52"/>
  </r>
  <r>
    <d v="2025-08-19T00:00:00"/>
    <x v="2"/>
    <x v="19"/>
    <x v="1"/>
    <x v="33"/>
    <x v="1"/>
    <x v="1"/>
    <x v="13"/>
    <x v="0"/>
    <x v="10"/>
    <x v="1"/>
    <x v="0"/>
    <n v="9.99"/>
  </r>
  <r>
    <d v="2025-08-19T00:00:00"/>
    <x v="2"/>
    <x v="19"/>
    <x v="0"/>
    <x v="61"/>
    <x v="7"/>
    <x v="7"/>
    <x v="84"/>
    <x v="0"/>
    <x v="20"/>
    <x v="8"/>
    <x v="5"/>
    <n v="17.37"/>
  </r>
  <r>
    <d v="2025-08-19T00:00:00"/>
    <x v="2"/>
    <x v="19"/>
    <x v="1"/>
    <x v="74"/>
    <x v="4"/>
    <x v="4"/>
    <x v="75"/>
    <x v="0"/>
    <x v="15"/>
    <x v="1"/>
    <x v="0"/>
    <n v="25.0"/>
  </r>
  <r>
    <d v="2025-08-19T00:00:00"/>
    <x v="2"/>
    <x v="19"/>
    <x v="1"/>
    <x v="49"/>
    <x v="3"/>
    <x v="3"/>
    <x v="58"/>
    <x v="0"/>
    <x v="16"/>
    <x v="3"/>
    <x v="1"/>
    <n v="55.86"/>
  </r>
  <r>
    <d v="2025-08-19T00:00:00"/>
    <x v="2"/>
    <x v="19"/>
    <x v="0"/>
    <x v="62"/>
    <x v="6"/>
    <x v="6"/>
    <x v="50"/>
    <x v="0"/>
    <x v="13"/>
    <x v="2"/>
    <x v="2"/>
    <n v="119.88"/>
  </r>
  <r>
    <d v="2025-08-19T00:00:00"/>
    <x v="2"/>
    <x v="19"/>
    <x v="1"/>
    <x v="52"/>
    <x v="1"/>
    <x v="1"/>
    <x v="11"/>
    <x v="0"/>
    <x v="10"/>
    <x v="6"/>
    <x v="4"/>
    <n v="384.1"/>
  </r>
  <r>
    <d v="2025-08-19T00:00:00"/>
    <x v="2"/>
    <x v="19"/>
    <x v="1"/>
    <x v="74"/>
    <x v="4"/>
    <x v="4"/>
    <x v="75"/>
    <x v="0"/>
    <x v="15"/>
    <x v="3"/>
    <x v="1"/>
    <n v="659.45"/>
  </r>
  <r>
    <d v="2025-08-19T00:00:00"/>
    <x v="2"/>
    <x v="19"/>
    <x v="0"/>
    <x v="4"/>
    <x v="6"/>
    <x v="6"/>
    <x v="29"/>
    <x v="0"/>
    <x v="2"/>
    <x v="3"/>
    <x v="1"/>
    <n v="995.43"/>
  </r>
  <r>
    <d v="2025-08-20T00:00:00"/>
    <x v="2"/>
    <x v="19"/>
    <x v="1"/>
    <x v="53"/>
    <x v="1"/>
    <x v="1"/>
    <x v="16"/>
    <x v="0"/>
    <x v="4"/>
    <x v="0"/>
    <x v="9"/>
    <n v="297.34"/>
  </r>
  <r>
    <d v="2025-08-20T00:00:00"/>
    <x v="2"/>
    <x v="19"/>
    <x v="1"/>
    <x v="65"/>
    <x v="1"/>
    <x v="1"/>
    <x v="7"/>
    <x v="0"/>
    <x v="10"/>
    <x v="1"/>
    <x v="0"/>
    <n v="467.04"/>
  </r>
  <r>
    <d v="2025-08-20T00:00:00"/>
    <x v="2"/>
    <x v="19"/>
    <x v="1"/>
    <x v="79"/>
    <x v="1"/>
    <x v="1"/>
    <x v="8"/>
    <x v="0"/>
    <x v="10"/>
    <x v="1"/>
    <x v="0"/>
    <n v="673.93"/>
  </r>
  <r>
    <d v="2025-08-20T00:00:00"/>
    <x v="2"/>
    <x v="19"/>
    <x v="1"/>
    <x v="10"/>
    <x v="6"/>
    <x v="6"/>
    <x v="41"/>
    <x v="0"/>
    <x v="7"/>
    <x v="3"/>
    <x v="1"/>
    <n v="2709.6"/>
  </r>
  <r>
    <d v="2025-08-20T00:00:00"/>
    <x v="2"/>
    <x v="19"/>
    <x v="1"/>
    <x v="65"/>
    <x v="1"/>
    <x v="1"/>
    <x v="7"/>
    <x v="0"/>
    <x v="10"/>
    <x v="2"/>
    <x v="2"/>
    <n v="6228.03"/>
  </r>
  <r>
    <d v="2025-08-21T00:00:00"/>
    <x v="2"/>
    <x v="19"/>
    <x v="1"/>
    <x v="16"/>
    <x v="7"/>
    <x v="7"/>
    <x v="92"/>
    <x v="0"/>
    <x v="9"/>
    <x v="8"/>
    <x v="5"/>
    <n v="5.53"/>
  </r>
  <r>
    <d v="2025-08-21T00:00:00"/>
    <x v="2"/>
    <x v="19"/>
    <x v="0"/>
    <x v="56"/>
    <x v="7"/>
    <x v="7"/>
    <x v="86"/>
    <x v="0"/>
    <x v="12"/>
    <x v="2"/>
    <x v="2"/>
    <n v="102.62"/>
  </r>
  <r>
    <d v="2025-08-21T00:00:00"/>
    <x v="2"/>
    <x v="19"/>
    <x v="1"/>
    <x v="68"/>
    <x v="3"/>
    <x v="3"/>
    <x v="59"/>
    <x v="0"/>
    <x v="16"/>
    <x v="0"/>
    <x v="9"/>
    <n v="127.25"/>
  </r>
  <r>
    <d v="2025-08-21T00:00:00"/>
    <x v="2"/>
    <x v="19"/>
    <x v="1"/>
    <x v="5"/>
    <x v="1"/>
    <x v="1"/>
    <x v="14"/>
    <x v="0"/>
    <x v="4"/>
    <x v="0"/>
    <x v="9"/>
    <n v="192.65"/>
  </r>
  <r>
    <d v="2025-08-21T00:00:00"/>
    <x v="2"/>
    <x v="19"/>
    <x v="0"/>
    <x v="88"/>
    <x v="1"/>
    <x v="1"/>
    <x v="17"/>
    <x v="0"/>
    <x v="4"/>
    <x v="3"/>
    <x v="1"/>
    <n v="696.71"/>
  </r>
  <r>
    <d v="2025-08-21T00:00:00"/>
    <x v="2"/>
    <x v="19"/>
    <x v="1"/>
    <x v="70"/>
    <x v="6"/>
    <x v="6"/>
    <x v="33"/>
    <x v="0"/>
    <x v="14"/>
    <x v="3"/>
    <x v="1"/>
    <n v="858.84"/>
  </r>
  <r>
    <d v="2025-08-21T00:00:00"/>
    <x v="2"/>
    <x v="19"/>
    <x v="1"/>
    <x v="21"/>
    <x v="3"/>
    <x v="3"/>
    <x v="60"/>
    <x v="0"/>
    <x v="17"/>
    <x v="1"/>
    <x v="0"/>
    <n v="869.43"/>
  </r>
  <r>
    <d v="2025-08-21T00:00:00"/>
    <x v="2"/>
    <x v="19"/>
    <x v="1"/>
    <x v="47"/>
    <x v="3"/>
    <x v="3"/>
    <x v="54"/>
    <x v="0"/>
    <x v="19"/>
    <x v="3"/>
    <x v="1"/>
    <n v="1301.8"/>
  </r>
  <r>
    <d v="2025-08-21T00:00:00"/>
    <x v="2"/>
    <x v="19"/>
    <x v="1"/>
    <x v="91"/>
    <x v="1"/>
    <x v="1"/>
    <x v="23"/>
    <x v="0"/>
    <x v="8"/>
    <x v="2"/>
    <x v="2"/>
    <n v="1791.45"/>
  </r>
  <r>
    <d v="2025-08-22T00:00:00"/>
    <x v="2"/>
    <x v="19"/>
    <x v="1"/>
    <x v="92"/>
    <x v="6"/>
    <x v="6"/>
    <x v="40"/>
    <x v="0"/>
    <x v="7"/>
    <x v="6"/>
    <x v="4"/>
    <n v="1.5"/>
  </r>
  <r>
    <d v="2025-08-22T00:00:00"/>
    <x v="2"/>
    <x v="19"/>
    <x v="1"/>
    <x v="30"/>
    <x v="6"/>
    <x v="6"/>
    <x v="37"/>
    <x v="0"/>
    <x v="14"/>
    <x v="9"/>
    <x v="6"/>
    <n v="7.99"/>
  </r>
  <r>
    <d v="2025-08-22T00:00:00"/>
    <x v="2"/>
    <x v="19"/>
    <x v="1"/>
    <x v="82"/>
    <x v="6"/>
    <x v="6"/>
    <x v="47"/>
    <x v="0"/>
    <x v="13"/>
    <x v="8"/>
    <x v="5"/>
    <n v="116.8"/>
  </r>
  <r>
    <d v="2025-08-22T00:00:00"/>
    <x v="2"/>
    <x v="19"/>
    <x v="1"/>
    <x v="0"/>
    <x v="3"/>
    <x v="3"/>
    <x v="69"/>
    <x v="0"/>
    <x v="3"/>
    <x v="1"/>
    <x v="0"/>
    <n v="123.16"/>
  </r>
  <r>
    <d v="2025-08-22T00:00:00"/>
    <x v="2"/>
    <x v="19"/>
    <x v="1"/>
    <x v="79"/>
    <x v="1"/>
    <x v="1"/>
    <x v="8"/>
    <x v="0"/>
    <x v="10"/>
    <x v="0"/>
    <x v="9"/>
    <n v="413.26"/>
  </r>
  <r>
    <d v="2025-08-22T00:00:00"/>
    <x v="2"/>
    <x v="19"/>
    <x v="1"/>
    <x v="62"/>
    <x v="6"/>
    <x v="6"/>
    <x v="50"/>
    <x v="0"/>
    <x v="13"/>
    <x v="9"/>
    <x v="6"/>
    <n v="1178.76"/>
  </r>
  <r>
    <d v="2025-08-22T00:00:00"/>
    <x v="2"/>
    <x v="19"/>
    <x v="0"/>
    <x v="10"/>
    <x v="6"/>
    <x v="6"/>
    <x v="41"/>
    <x v="0"/>
    <x v="7"/>
    <x v="1"/>
    <x v="0"/>
    <n v="1189.83"/>
  </r>
  <r>
    <d v="2025-08-23T00:00:00"/>
    <x v="2"/>
    <x v="19"/>
    <x v="1"/>
    <x v="34"/>
    <x v="6"/>
    <x v="6"/>
    <x v="32"/>
    <x v="0"/>
    <x v="2"/>
    <x v="4"/>
    <x v="7"/>
    <n v="31.93"/>
  </r>
  <r>
    <d v="2025-08-23T00:00:00"/>
    <x v="2"/>
    <x v="19"/>
    <x v="0"/>
    <x v="76"/>
    <x v="6"/>
    <x v="6"/>
    <x v="34"/>
    <x v="0"/>
    <x v="14"/>
    <x v="8"/>
    <x v="5"/>
    <n v="80.95"/>
  </r>
  <r>
    <d v="2025-08-23T00:00:00"/>
    <x v="2"/>
    <x v="19"/>
    <x v="0"/>
    <x v="58"/>
    <x v="3"/>
    <x v="3"/>
    <x v="61"/>
    <x v="0"/>
    <x v="17"/>
    <x v="9"/>
    <x v="6"/>
    <n v="101.88"/>
  </r>
  <r>
    <d v="2025-08-23T00:00:00"/>
    <x v="2"/>
    <x v="19"/>
    <x v="1"/>
    <x v="61"/>
    <x v="7"/>
    <x v="7"/>
    <x v="84"/>
    <x v="0"/>
    <x v="20"/>
    <x v="0"/>
    <x v="9"/>
    <n v="143.79"/>
  </r>
  <r>
    <d v="2025-08-23T00:00:00"/>
    <x v="2"/>
    <x v="19"/>
    <x v="0"/>
    <x v="12"/>
    <x v="1"/>
    <x v="1"/>
    <x v="26"/>
    <x v="0"/>
    <x v="8"/>
    <x v="6"/>
    <x v="4"/>
    <n v="844.36"/>
  </r>
  <r>
    <d v="2025-08-23T00:00:00"/>
    <x v="2"/>
    <x v="19"/>
    <x v="1"/>
    <x v="23"/>
    <x v="1"/>
    <x v="1"/>
    <x v="12"/>
    <x v="0"/>
    <x v="10"/>
    <x v="2"/>
    <x v="2"/>
    <n v="5438.45"/>
  </r>
  <r>
    <d v="2025-08-24T00:00:00"/>
    <x v="2"/>
    <x v="19"/>
    <x v="1"/>
    <x v="51"/>
    <x v="5"/>
    <x v="5"/>
    <x v="95"/>
    <x v="0"/>
    <x v="18"/>
    <x v="4"/>
    <x v="7"/>
    <n v="9.99"/>
  </r>
  <r>
    <d v="2025-08-24T00:00:00"/>
    <x v="2"/>
    <x v="19"/>
    <x v="1"/>
    <x v="83"/>
    <x v="3"/>
    <x v="3"/>
    <x v="56"/>
    <x v="0"/>
    <x v="16"/>
    <x v="8"/>
    <x v="5"/>
    <n v="47.88"/>
  </r>
  <r>
    <d v="2025-08-24T00:00:00"/>
    <x v="2"/>
    <x v="19"/>
    <x v="0"/>
    <x v="23"/>
    <x v="1"/>
    <x v="1"/>
    <x v="12"/>
    <x v="0"/>
    <x v="10"/>
    <x v="2"/>
    <x v="2"/>
    <n v="113.81"/>
  </r>
  <r>
    <d v="2025-08-24T00:00:00"/>
    <x v="2"/>
    <x v="19"/>
    <x v="1"/>
    <x v="10"/>
    <x v="6"/>
    <x v="6"/>
    <x v="41"/>
    <x v="0"/>
    <x v="7"/>
    <x v="8"/>
    <x v="5"/>
    <n v="257.24"/>
  </r>
  <r>
    <d v="2025-08-24T00:00:00"/>
    <x v="2"/>
    <x v="19"/>
    <x v="1"/>
    <x v="34"/>
    <x v="6"/>
    <x v="6"/>
    <x v="32"/>
    <x v="0"/>
    <x v="2"/>
    <x v="3"/>
    <x v="1"/>
    <n v="1828.15"/>
  </r>
  <r>
    <d v="2025-08-24T00:00:00"/>
    <x v="2"/>
    <x v="19"/>
    <x v="0"/>
    <x v="2"/>
    <x v="1"/>
    <x v="1"/>
    <x v="2"/>
    <x v="0"/>
    <x v="6"/>
    <x v="4"/>
    <x v="7"/>
    <n v="2017.0"/>
  </r>
  <r>
    <d v="2025-08-25T00:00:00"/>
    <x v="2"/>
    <x v="19"/>
    <x v="1"/>
    <x v="88"/>
    <x v="1"/>
    <x v="1"/>
    <x v="17"/>
    <x v="0"/>
    <x v="4"/>
    <x v="0"/>
    <x v="9"/>
    <n v="27.38"/>
  </r>
  <r>
    <d v="2025-08-25T00:00:00"/>
    <x v="2"/>
    <x v="19"/>
    <x v="0"/>
    <x v="91"/>
    <x v="1"/>
    <x v="1"/>
    <x v="23"/>
    <x v="0"/>
    <x v="8"/>
    <x v="4"/>
    <x v="7"/>
    <n v="71.88"/>
  </r>
  <r>
    <d v="2025-08-25T00:00:00"/>
    <x v="2"/>
    <x v="19"/>
    <x v="1"/>
    <x v="21"/>
    <x v="3"/>
    <x v="3"/>
    <x v="60"/>
    <x v="0"/>
    <x v="17"/>
    <x v="4"/>
    <x v="7"/>
    <n v="248.37"/>
  </r>
  <r>
    <d v="2025-08-25T00:00:00"/>
    <x v="2"/>
    <x v="19"/>
    <x v="1"/>
    <x v="24"/>
    <x v="6"/>
    <x v="6"/>
    <x v="36"/>
    <x v="0"/>
    <x v="14"/>
    <x v="4"/>
    <x v="7"/>
    <n v="465.92"/>
  </r>
  <r>
    <d v="2025-08-25T00:00:00"/>
    <x v="2"/>
    <x v="19"/>
    <x v="0"/>
    <x v="39"/>
    <x v="7"/>
    <x v="7"/>
    <x v="91"/>
    <x v="0"/>
    <x v="9"/>
    <x v="1"/>
    <x v="0"/>
    <n v="648.24"/>
  </r>
  <r>
    <d v="2025-08-25T00:00:00"/>
    <x v="2"/>
    <x v="19"/>
    <x v="1"/>
    <x v="93"/>
    <x v="6"/>
    <x v="6"/>
    <x v="30"/>
    <x v="0"/>
    <x v="2"/>
    <x v="2"/>
    <x v="2"/>
    <n v="1101.09"/>
  </r>
  <r>
    <d v="2025-08-26T00:00:00"/>
    <x v="2"/>
    <x v="19"/>
    <x v="1"/>
    <x v="70"/>
    <x v="6"/>
    <x v="6"/>
    <x v="33"/>
    <x v="0"/>
    <x v="14"/>
    <x v="1"/>
    <x v="0"/>
    <n v="1.5"/>
  </r>
  <r>
    <d v="2025-08-26T00:00:00"/>
    <x v="2"/>
    <x v="19"/>
    <x v="0"/>
    <x v="35"/>
    <x v="6"/>
    <x v="6"/>
    <x v="46"/>
    <x v="0"/>
    <x v="7"/>
    <x v="8"/>
    <x v="5"/>
    <n v="24.95"/>
  </r>
  <r>
    <d v="2025-08-26T00:00:00"/>
    <x v="2"/>
    <x v="19"/>
    <x v="0"/>
    <x v="12"/>
    <x v="1"/>
    <x v="1"/>
    <x v="26"/>
    <x v="0"/>
    <x v="8"/>
    <x v="9"/>
    <x v="6"/>
    <n v="40.21"/>
  </r>
  <r>
    <d v="2025-08-26T00:00:00"/>
    <x v="2"/>
    <x v="19"/>
    <x v="0"/>
    <x v="77"/>
    <x v="3"/>
    <x v="3"/>
    <x v="66"/>
    <x v="0"/>
    <x v="1"/>
    <x v="9"/>
    <x v="6"/>
    <n v="54.99"/>
  </r>
  <r>
    <d v="2025-08-26T00:00:00"/>
    <x v="2"/>
    <x v="19"/>
    <x v="0"/>
    <x v="49"/>
    <x v="3"/>
    <x v="3"/>
    <x v="58"/>
    <x v="0"/>
    <x v="16"/>
    <x v="5"/>
    <x v="8"/>
    <n v="187.41"/>
  </r>
  <r>
    <d v="2025-08-26T00:00:00"/>
    <x v="2"/>
    <x v="19"/>
    <x v="0"/>
    <x v="60"/>
    <x v="6"/>
    <x v="6"/>
    <x v="44"/>
    <x v="0"/>
    <x v="7"/>
    <x v="8"/>
    <x v="5"/>
    <n v="196.21"/>
  </r>
  <r>
    <d v="2025-08-26T00:00:00"/>
    <x v="2"/>
    <x v="19"/>
    <x v="0"/>
    <x v="34"/>
    <x v="6"/>
    <x v="6"/>
    <x v="32"/>
    <x v="0"/>
    <x v="2"/>
    <x v="2"/>
    <x v="2"/>
    <n v="200.82"/>
  </r>
  <r>
    <d v="2025-08-26T00:00:00"/>
    <x v="2"/>
    <x v="19"/>
    <x v="1"/>
    <x v="61"/>
    <x v="7"/>
    <x v="7"/>
    <x v="84"/>
    <x v="0"/>
    <x v="20"/>
    <x v="4"/>
    <x v="7"/>
    <n v="866.95"/>
  </r>
  <r>
    <d v="2025-08-27T00:00:00"/>
    <x v="2"/>
    <x v="19"/>
    <x v="1"/>
    <x v="89"/>
    <x v="1"/>
    <x v="1"/>
    <x v="18"/>
    <x v="0"/>
    <x v="5"/>
    <x v="1"/>
    <x v="0"/>
    <n v="6.0"/>
  </r>
  <r>
    <d v="2025-08-27T00:00:00"/>
    <x v="2"/>
    <x v="19"/>
    <x v="1"/>
    <x v="91"/>
    <x v="1"/>
    <x v="1"/>
    <x v="23"/>
    <x v="0"/>
    <x v="8"/>
    <x v="5"/>
    <x v="8"/>
    <n v="9.29"/>
  </r>
  <r>
    <d v="2025-08-27T00:00:00"/>
    <x v="2"/>
    <x v="19"/>
    <x v="0"/>
    <x v="16"/>
    <x v="7"/>
    <x v="7"/>
    <x v="92"/>
    <x v="0"/>
    <x v="9"/>
    <x v="5"/>
    <x v="8"/>
    <n v="45.15"/>
  </r>
  <r>
    <d v="2025-08-27T00:00:00"/>
    <x v="2"/>
    <x v="19"/>
    <x v="1"/>
    <x v="24"/>
    <x v="6"/>
    <x v="6"/>
    <x v="36"/>
    <x v="0"/>
    <x v="14"/>
    <x v="6"/>
    <x v="4"/>
    <n v="350.75"/>
  </r>
  <r>
    <d v="2025-08-27T00:00:00"/>
    <x v="2"/>
    <x v="19"/>
    <x v="1"/>
    <x v="34"/>
    <x v="6"/>
    <x v="6"/>
    <x v="32"/>
    <x v="0"/>
    <x v="2"/>
    <x v="8"/>
    <x v="5"/>
    <n v="1167.87"/>
  </r>
  <r>
    <d v="2025-08-27T00:00:00"/>
    <x v="2"/>
    <x v="19"/>
    <x v="1"/>
    <x v="14"/>
    <x v="6"/>
    <x v="6"/>
    <x v="45"/>
    <x v="0"/>
    <x v="7"/>
    <x v="9"/>
    <x v="6"/>
    <n v="3282.9"/>
  </r>
  <r>
    <d v="2025-08-28T00:00:00"/>
    <x v="2"/>
    <x v="19"/>
    <x v="0"/>
    <x v="61"/>
    <x v="7"/>
    <x v="7"/>
    <x v="84"/>
    <x v="0"/>
    <x v="20"/>
    <x v="1"/>
    <x v="0"/>
    <n v="9.99"/>
  </r>
  <r>
    <d v="2025-08-28T00:00:00"/>
    <x v="2"/>
    <x v="19"/>
    <x v="0"/>
    <x v="20"/>
    <x v="3"/>
    <x v="3"/>
    <x v="71"/>
    <x v="0"/>
    <x v="3"/>
    <x v="6"/>
    <x v="4"/>
    <n v="59.88"/>
  </r>
  <r>
    <d v="2025-08-28T00:00:00"/>
    <x v="2"/>
    <x v="19"/>
    <x v="1"/>
    <x v="37"/>
    <x v="6"/>
    <x v="6"/>
    <x v="39"/>
    <x v="0"/>
    <x v="14"/>
    <x v="4"/>
    <x v="7"/>
    <n v="4354.21"/>
  </r>
  <r>
    <d v="2025-08-28T00:00:00"/>
    <x v="2"/>
    <x v="19"/>
    <x v="1"/>
    <x v="58"/>
    <x v="3"/>
    <x v="3"/>
    <x v="61"/>
    <x v="0"/>
    <x v="17"/>
    <x v="5"/>
    <x v="8"/>
    <n v="5294.92"/>
  </r>
  <r>
    <d v="2025-08-29T00:00:00"/>
    <x v="2"/>
    <x v="19"/>
    <x v="0"/>
    <x v="88"/>
    <x v="1"/>
    <x v="1"/>
    <x v="17"/>
    <x v="0"/>
    <x v="4"/>
    <x v="3"/>
    <x v="1"/>
    <n v="223.31"/>
  </r>
  <r>
    <d v="2025-08-29T00:00:00"/>
    <x v="2"/>
    <x v="19"/>
    <x v="1"/>
    <x v="2"/>
    <x v="1"/>
    <x v="1"/>
    <x v="2"/>
    <x v="0"/>
    <x v="6"/>
    <x v="1"/>
    <x v="0"/>
    <n v="318.78"/>
  </r>
  <r>
    <d v="2025-08-29T00:00:00"/>
    <x v="2"/>
    <x v="19"/>
    <x v="1"/>
    <x v="83"/>
    <x v="3"/>
    <x v="3"/>
    <x v="56"/>
    <x v="0"/>
    <x v="16"/>
    <x v="8"/>
    <x v="5"/>
    <n v="902.49"/>
  </r>
  <r>
    <d v="2025-08-29T00:00:00"/>
    <x v="2"/>
    <x v="19"/>
    <x v="0"/>
    <x v="10"/>
    <x v="6"/>
    <x v="6"/>
    <x v="41"/>
    <x v="0"/>
    <x v="7"/>
    <x v="3"/>
    <x v="1"/>
    <n v="2037.57"/>
  </r>
  <r>
    <d v="2025-08-29T00:00:00"/>
    <x v="2"/>
    <x v="19"/>
    <x v="0"/>
    <x v="1"/>
    <x v="7"/>
    <x v="7"/>
    <x v="89"/>
    <x v="0"/>
    <x v="12"/>
    <x v="6"/>
    <x v="4"/>
    <n v="10622.69"/>
  </r>
  <r>
    <d v="2025-08-30T00:00:00"/>
    <x v="2"/>
    <x v="19"/>
    <x v="1"/>
    <x v="47"/>
    <x v="3"/>
    <x v="3"/>
    <x v="54"/>
    <x v="0"/>
    <x v="19"/>
    <x v="2"/>
    <x v="2"/>
    <n v="5.0"/>
  </r>
  <r>
    <d v="2025-08-30T00:00:00"/>
    <x v="2"/>
    <x v="19"/>
    <x v="0"/>
    <x v="61"/>
    <x v="7"/>
    <x v="7"/>
    <x v="84"/>
    <x v="0"/>
    <x v="20"/>
    <x v="4"/>
    <x v="7"/>
    <n v="21.98"/>
  </r>
  <r>
    <d v="2025-08-30T00:00:00"/>
    <x v="2"/>
    <x v="19"/>
    <x v="1"/>
    <x v="47"/>
    <x v="3"/>
    <x v="3"/>
    <x v="54"/>
    <x v="0"/>
    <x v="19"/>
    <x v="6"/>
    <x v="4"/>
    <n v="22.99"/>
  </r>
  <r>
    <d v="2025-08-30T00:00:00"/>
    <x v="2"/>
    <x v="19"/>
    <x v="1"/>
    <x v="18"/>
    <x v="5"/>
    <x v="5"/>
    <x v="96"/>
    <x v="0"/>
    <x v="18"/>
    <x v="3"/>
    <x v="1"/>
    <n v="23.94"/>
  </r>
  <r>
    <d v="2025-08-30T00:00:00"/>
    <x v="2"/>
    <x v="19"/>
    <x v="0"/>
    <x v="13"/>
    <x v="0"/>
    <x v="0"/>
    <x v="22"/>
    <x v="0"/>
    <x v="5"/>
    <x v="2"/>
    <x v="2"/>
    <n v="27.48"/>
  </r>
  <r>
    <d v="2025-08-30T00:00:00"/>
    <x v="2"/>
    <x v="19"/>
    <x v="0"/>
    <x v="15"/>
    <x v="4"/>
    <x v="4"/>
    <x v="79"/>
    <x v="0"/>
    <x v="0"/>
    <x v="5"/>
    <x v="8"/>
    <n v="44.96"/>
  </r>
  <r>
    <d v="2025-08-30T00:00:00"/>
    <x v="2"/>
    <x v="19"/>
    <x v="0"/>
    <x v="68"/>
    <x v="3"/>
    <x v="3"/>
    <x v="59"/>
    <x v="0"/>
    <x v="16"/>
    <x v="6"/>
    <x v="4"/>
    <n v="65.21"/>
  </r>
  <r>
    <d v="2025-08-30T00:00:00"/>
    <x v="2"/>
    <x v="19"/>
    <x v="0"/>
    <x v="7"/>
    <x v="1"/>
    <x v="1"/>
    <x v="10"/>
    <x v="0"/>
    <x v="10"/>
    <x v="4"/>
    <x v="7"/>
    <n v="649.99"/>
  </r>
  <r>
    <d v="2025-08-30T00:00:00"/>
    <x v="2"/>
    <x v="19"/>
    <x v="1"/>
    <x v="12"/>
    <x v="1"/>
    <x v="1"/>
    <x v="26"/>
    <x v="0"/>
    <x v="8"/>
    <x v="9"/>
    <x v="6"/>
    <n v="1659.36"/>
  </r>
  <r>
    <d v="2025-08-31T00:00:00"/>
    <x v="2"/>
    <x v="19"/>
    <x v="0"/>
    <x v="22"/>
    <x v="1"/>
    <x v="1"/>
    <x v="20"/>
    <x v="0"/>
    <x v="5"/>
    <x v="2"/>
    <x v="2"/>
    <n v="65.89"/>
  </r>
  <r>
    <d v="2025-09-01T00:00:00"/>
    <x v="2"/>
    <x v="20"/>
    <x v="1"/>
    <x v="72"/>
    <x v="1"/>
    <x v="1"/>
    <x v="24"/>
    <x v="0"/>
    <x v="8"/>
    <x v="0"/>
    <x v="9"/>
    <n v="1.99"/>
  </r>
  <r>
    <d v="2025-09-01T00:00:00"/>
    <x v="2"/>
    <x v="20"/>
    <x v="1"/>
    <x v="52"/>
    <x v="1"/>
    <x v="1"/>
    <x v="11"/>
    <x v="0"/>
    <x v="10"/>
    <x v="4"/>
    <x v="7"/>
    <n v="3.99"/>
  </r>
  <r>
    <d v="2025-09-01T00:00:00"/>
    <x v="2"/>
    <x v="20"/>
    <x v="1"/>
    <x v="17"/>
    <x v="3"/>
    <x v="3"/>
    <x v="57"/>
    <x v="0"/>
    <x v="16"/>
    <x v="8"/>
    <x v="5"/>
    <n v="29.6"/>
  </r>
  <r>
    <d v="2025-09-01T00:00:00"/>
    <x v="2"/>
    <x v="20"/>
    <x v="1"/>
    <x v="94"/>
    <x v="6"/>
    <x v="6"/>
    <x v="48"/>
    <x v="0"/>
    <x v="13"/>
    <x v="2"/>
    <x v="2"/>
    <n v="53.91"/>
  </r>
  <r>
    <d v="2025-09-01T00:00:00"/>
    <x v="2"/>
    <x v="20"/>
    <x v="1"/>
    <x v="10"/>
    <x v="6"/>
    <x v="6"/>
    <x v="41"/>
    <x v="0"/>
    <x v="7"/>
    <x v="7"/>
    <x v="3"/>
    <n v="174.04"/>
  </r>
  <r>
    <d v="2025-09-01T00:00:00"/>
    <x v="2"/>
    <x v="20"/>
    <x v="1"/>
    <x v="71"/>
    <x v="1"/>
    <x v="1"/>
    <x v="27"/>
    <x v="0"/>
    <x v="8"/>
    <x v="8"/>
    <x v="5"/>
    <n v="200.39"/>
  </r>
  <r>
    <d v="2025-09-01T00:00:00"/>
    <x v="2"/>
    <x v="20"/>
    <x v="0"/>
    <x v="14"/>
    <x v="6"/>
    <x v="6"/>
    <x v="45"/>
    <x v="0"/>
    <x v="7"/>
    <x v="4"/>
    <x v="7"/>
    <n v="447.95"/>
  </r>
  <r>
    <d v="2025-09-01T00:00:00"/>
    <x v="2"/>
    <x v="20"/>
    <x v="1"/>
    <x v="34"/>
    <x v="6"/>
    <x v="6"/>
    <x v="32"/>
    <x v="0"/>
    <x v="2"/>
    <x v="3"/>
    <x v="1"/>
    <n v="1419.69"/>
  </r>
  <r>
    <d v="2025-09-01T00:00:00"/>
    <x v="2"/>
    <x v="20"/>
    <x v="1"/>
    <x v="55"/>
    <x v="3"/>
    <x v="3"/>
    <x v="68"/>
    <x v="0"/>
    <x v="1"/>
    <x v="9"/>
    <x v="6"/>
    <n v="1764.82"/>
  </r>
  <r>
    <d v="2025-09-01T00:00:00"/>
    <x v="2"/>
    <x v="20"/>
    <x v="1"/>
    <x v="78"/>
    <x v="5"/>
    <x v="5"/>
    <x v="94"/>
    <x v="0"/>
    <x v="18"/>
    <x v="3"/>
    <x v="1"/>
    <n v="3332.72"/>
  </r>
  <r>
    <d v="2025-09-01T00:00:00"/>
    <x v="2"/>
    <x v="20"/>
    <x v="1"/>
    <x v="23"/>
    <x v="1"/>
    <x v="1"/>
    <x v="12"/>
    <x v="0"/>
    <x v="10"/>
    <x v="9"/>
    <x v="6"/>
    <n v="5238.66"/>
  </r>
  <r>
    <d v="2025-09-02T00:00:00"/>
    <x v="2"/>
    <x v="20"/>
    <x v="0"/>
    <x v="64"/>
    <x v="3"/>
    <x v="3"/>
    <x v="70"/>
    <x v="0"/>
    <x v="3"/>
    <x v="6"/>
    <x v="4"/>
    <n v="78.89"/>
  </r>
  <r>
    <d v="2025-09-02T00:00:00"/>
    <x v="2"/>
    <x v="20"/>
    <x v="1"/>
    <x v="91"/>
    <x v="1"/>
    <x v="1"/>
    <x v="23"/>
    <x v="0"/>
    <x v="8"/>
    <x v="6"/>
    <x v="4"/>
    <n v="6879.29"/>
  </r>
  <r>
    <d v="2025-09-03T00:00:00"/>
    <x v="2"/>
    <x v="20"/>
    <x v="1"/>
    <x v="41"/>
    <x v="5"/>
    <x v="5"/>
    <x v="93"/>
    <x v="0"/>
    <x v="18"/>
    <x v="4"/>
    <x v="7"/>
    <n v="7.98"/>
  </r>
  <r>
    <d v="2025-09-03T00:00:00"/>
    <x v="2"/>
    <x v="20"/>
    <x v="1"/>
    <x v="50"/>
    <x v="7"/>
    <x v="7"/>
    <x v="83"/>
    <x v="0"/>
    <x v="20"/>
    <x v="3"/>
    <x v="1"/>
    <n v="17.98"/>
  </r>
  <r>
    <d v="2025-09-03T00:00:00"/>
    <x v="2"/>
    <x v="20"/>
    <x v="1"/>
    <x v="8"/>
    <x v="3"/>
    <x v="3"/>
    <x v="72"/>
    <x v="0"/>
    <x v="3"/>
    <x v="4"/>
    <x v="7"/>
    <n v="29.92"/>
  </r>
  <r>
    <d v="2025-09-03T00:00:00"/>
    <x v="2"/>
    <x v="20"/>
    <x v="1"/>
    <x v="81"/>
    <x v="4"/>
    <x v="4"/>
    <x v="77"/>
    <x v="0"/>
    <x v="15"/>
    <x v="8"/>
    <x v="5"/>
    <n v="47.84"/>
  </r>
  <r>
    <d v="2025-09-03T00:00:00"/>
    <x v="2"/>
    <x v="20"/>
    <x v="0"/>
    <x v="88"/>
    <x v="1"/>
    <x v="1"/>
    <x v="17"/>
    <x v="0"/>
    <x v="4"/>
    <x v="3"/>
    <x v="1"/>
    <n v="96.93"/>
  </r>
  <r>
    <d v="2025-09-03T00:00:00"/>
    <x v="2"/>
    <x v="20"/>
    <x v="1"/>
    <x v="56"/>
    <x v="7"/>
    <x v="7"/>
    <x v="86"/>
    <x v="0"/>
    <x v="12"/>
    <x v="3"/>
    <x v="1"/>
    <n v="319.45"/>
  </r>
  <r>
    <d v="2025-09-03T00:00:00"/>
    <x v="2"/>
    <x v="20"/>
    <x v="1"/>
    <x v="2"/>
    <x v="1"/>
    <x v="1"/>
    <x v="2"/>
    <x v="0"/>
    <x v="6"/>
    <x v="1"/>
    <x v="0"/>
    <n v="371.1"/>
  </r>
  <r>
    <d v="2025-09-04T00:00:00"/>
    <x v="2"/>
    <x v="20"/>
    <x v="1"/>
    <x v="70"/>
    <x v="6"/>
    <x v="6"/>
    <x v="33"/>
    <x v="0"/>
    <x v="14"/>
    <x v="4"/>
    <x v="7"/>
    <n v="7.98"/>
  </r>
  <r>
    <d v="2025-09-04T00:00:00"/>
    <x v="2"/>
    <x v="20"/>
    <x v="0"/>
    <x v="21"/>
    <x v="3"/>
    <x v="3"/>
    <x v="60"/>
    <x v="0"/>
    <x v="17"/>
    <x v="0"/>
    <x v="9"/>
    <n v="8.63"/>
  </r>
  <r>
    <d v="2025-09-04T00:00:00"/>
    <x v="2"/>
    <x v="20"/>
    <x v="1"/>
    <x v="81"/>
    <x v="4"/>
    <x v="4"/>
    <x v="77"/>
    <x v="0"/>
    <x v="15"/>
    <x v="1"/>
    <x v="0"/>
    <n v="74.93"/>
  </r>
  <r>
    <d v="2025-09-04T00:00:00"/>
    <x v="2"/>
    <x v="20"/>
    <x v="0"/>
    <x v="18"/>
    <x v="5"/>
    <x v="5"/>
    <x v="96"/>
    <x v="0"/>
    <x v="18"/>
    <x v="1"/>
    <x v="0"/>
    <n v="123.42"/>
  </r>
  <r>
    <d v="2025-09-04T00:00:00"/>
    <x v="2"/>
    <x v="20"/>
    <x v="1"/>
    <x v="25"/>
    <x v="1"/>
    <x v="1"/>
    <x v="6"/>
    <x v="0"/>
    <x v="6"/>
    <x v="3"/>
    <x v="1"/>
    <n v="415.68"/>
  </r>
  <r>
    <d v="2025-09-04T00:00:00"/>
    <x v="2"/>
    <x v="20"/>
    <x v="0"/>
    <x v="89"/>
    <x v="1"/>
    <x v="1"/>
    <x v="18"/>
    <x v="0"/>
    <x v="5"/>
    <x v="6"/>
    <x v="4"/>
    <n v="726.35"/>
  </r>
  <r>
    <d v="2025-09-04T00:00:00"/>
    <x v="2"/>
    <x v="20"/>
    <x v="1"/>
    <x v="91"/>
    <x v="1"/>
    <x v="1"/>
    <x v="23"/>
    <x v="0"/>
    <x v="8"/>
    <x v="5"/>
    <x v="8"/>
    <n v="2807.3"/>
  </r>
  <r>
    <d v="2025-09-05T00:00:00"/>
    <x v="2"/>
    <x v="20"/>
    <x v="1"/>
    <x v="32"/>
    <x v="1"/>
    <x v="1"/>
    <x v="28"/>
    <x v="0"/>
    <x v="8"/>
    <x v="0"/>
    <x v="9"/>
    <n v="29.95"/>
  </r>
  <r>
    <d v="2025-09-05T00:00:00"/>
    <x v="2"/>
    <x v="20"/>
    <x v="0"/>
    <x v="14"/>
    <x v="6"/>
    <x v="6"/>
    <x v="45"/>
    <x v="0"/>
    <x v="7"/>
    <x v="9"/>
    <x v="6"/>
    <n v="715.88"/>
  </r>
  <r>
    <d v="2025-09-05T00:00:00"/>
    <x v="2"/>
    <x v="20"/>
    <x v="1"/>
    <x v="1"/>
    <x v="7"/>
    <x v="7"/>
    <x v="89"/>
    <x v="0"/>
    <x v="12"/>
    <x v="5"/>
    <x v="8"/>
    <n v="951.84"/>
  </r>
  <r>
    <d v="2025-09-06T00:00:00"/>
    <x v="2"/>
    <x v="20"/>
    <x v="0"/>
    <x v="90"/>
    <x v="3"/>
    <x v="3"/>
    <x v="55"/>
    <x v="0"/>
    <x v="19"/>
    <x v="1"/>
    <x v="0"/>
    <n v="82.3"/>
  </r>
  <r>
    <d v="2025-09-06T00:00:00"/>
    <x v="2"/>
    <x v="20"/>
    <x v="1"/>
    <x v="4"/>
    <x v="6"/>
    <x v="6"/>
    <x v="29"/>
    <x v="0"/>
    <x v="2"/>
    <x v="1"/>
    <x v="0"/>
    <n v="83.86"/>
  </r>
  <r>
    <d v="2025-09-06T00:00:00"/>
    <x v="2"/>
    <x v="20"/>
    <x v="1"/>
    <x v="71"/>
    <x v="1"/>
    <x v="1"/>
    <x v="27"/>
    <x v="0"/>
    <x v="8"/>
    <x v="6"/>
    <x v="4"/>
    <n v="136.28"/>
  </r>
  <r>
    <d v="2025-09-06T00:00:00"/>
    <x v="2"/>
    <x v="20"/>
    <x v="1"/>
    <x v="4"/>
    <x v="6"/>
    <x v="6"/>
    <x v="29"/>
    <x v="0"/>
    <x v="2"/>
    <x v="6"/>
    <x v="4"/>
    <n v="405.97"/>
  </r>
  <r>
    <d v="2025-09-06T00:00:00"/>
    <x v="2"/>
    <x v="20"/>
    <x v="1"/>
    <x v="27"/>
    <x v="6"/>
    <x v="6"/>
    <x v="31"/>
    <x v="0"/>
    <x v="2"/>
    <x v="3"/>
    <x v="1"/>
    <n v="452.17"/>
  </r>
  <r>
    <d v="2025-09-06T00:00:00"/>
    <x v="2"/>
    <x v="20"/>
    <x v="1"/>
    <x v="64"/>
    <x v="3"/>
    <x v="3"/>
    <x v="70"/>
    <x v="0"/>
    <x v="3"/>
    <x v="2"/>
    <x v="2"/>
    <n v="1119.66"/>
  </r>
  <r>
    <d v="2025-09-06T00:00:00"/>
    <x v="2"/>
    <x v="20"/>
    <x v="1"/>
    <x v="92"/>
    <x v="6"/>
    <x v="6"/>
    <x v="40"/>
    <x v="0"/>
    <x v="7"/>
    <x v="9"/>
    <x v="6"/>
    <n v="1821.34"/>
  </r>
  <r>
    <d v="2025-09-07T00:00:00"/>
    <x v="2"/>
    <x v="20"/>
    <x v="1"/>
    <x v="10"/>
    <x v="6"/>
    <x v="6"/>
    <x v="41"/>
    <x v="0"/>
    <x v="7"/>
    <x v="4"/>
    <x v="7"/>
    <n v="20.93"/>
  </r>
  <r>
    <d v="2025-09-07T00:00:00"/>
    <x v="2"/>
    <x v="20"/>
    <x v="1"/>
    <x v="33"/>
    <x v="1"/>
    <x v="1"/>
    <x v="13"/>
    <x v="0"/>
    <x v="10"/>
    <x v="5"/>
    <x v="8"/>
    <n v="39.94"/>
  </r>
  <r>
    <d v="2025-09-07T00:00:00"/>
    <x v="2"/>
    <x v="20"/>
    <x v="1"/>
    <x v="61"/>
    <x v="7"/>
    <x v="7"/>
    <x v="84"/>
    <x v="0"/>
    <x v="20"/>
    <x v="6"/>
    <x v="4"/>
    <n v="157.8"/>
  </r>
  <r>
    <d v="2025-09-07T00:00:00"/>
    <x v="2"/>
    <x v="20"/>
    <x v="1"/>
    <x v="91"/>
    <x v="1"/>
    <x v="1"/>
    <x v="23"/>
    <x v="0"/>
    <x v="8"/>
    <x v="5"/>
    <x v="8"/>
    <n v="756.55"/>
  </r>
  <r>
    <d v="2025-09-07T00:00:00"/>
    <x v="2"/>
    <x v="20"/>
    <x v="0"/>
    <x v="79"/>
    <x v="1"/>
    <x v="1"/>
    <x v="8"/>
    <x v="0"/>
    <x v="10"/>
    <x v="3"/>
    <x v="1"/>
    <n v="2100.31"/>
  </r>
  <r>
    <d v="2025-09-07T00:00:00"/>
    <x v="2"/>
    <x v="20"/>
    <x v="1"/>
    <x v="84"/>
    <x v="3"/>
    <x v="3"/>
    <x v="53"/>
    <x v="0"/>
    <x v="19"/>
    <x v="2"/>
    <x v="2"/>
    <n v="3050.32"/>
  </r>
  <r>
    <d v="2025-09-08T00:00:00"/>
    <x v="2"/>
    <x v="20"/>
    <x v="1"/>
    <x v="93"/>
    <x v="6"/>
    <x v="6"/>
    <x v="30"/>
    <x v="0"/>
    <x v="2"/>
    <x v="9"/>
    <x v="6"/>
    <n v="32.99"/>
  </r>
  <r>
    <d v="2025-09-08T00:00:00"/>
    <x v="2"/>
    <x v="20"/>
    <x v="0"/>
    <x v="66"/>
    <x v="4"/>
    <x v="4"/>
    <x v="76"/>
    <x v="0"/>
    <x v="15"/>
    <x v="3"/>
    <x v="1"/>
    <n v="45.91"/>
  </r>
  <r>
    <d v="2025-09-08T00:00:00"/>
    <x v="2"/>
    <x v="20"/>
    <x v="1"/>
    <x v="79"/>
    <x v="1"/>
    <x v="1"/>
    <x v="8"/>
    <x v="0"/>
    <x v="10"/>
    <x v="0"/>
    <x v="9"/>
    <n v="48.91"/>
  </r>
  <r>
    <d v="2025-09-08T00:00:00"/>
    <x v="2"/>
    <x v="20"/>
    <x v="1"/>
    <x v="33"/>
    <x v="1"/>
    <x v="1"/>
    <x v="13"/>
    <x v="0"/>
    <x v="10"/>
    <x v="1"/>
    <x v="0"/>
    <n v="106.94"/>
  </r>
  <r>
    <d v="2025-09-08T00:00:00"/>
    <x v="2"/>
    <x v="20"/>
    <x v="1"/>
    <x v="31"/>
    <x v="2"/>
    <x v="2"/>
    <x v="0"/>
    <x v="0"/>
    <x v="11"/>
    <x v="3"/>
    <x v="1"/>
    <n v="131.27"/>
  </r>
  <r>
    <d v="2025-09-08T00:00:00"/>
    <x v="2"/>
    <x v="20"/>
    <x v="1"/>
    <x v="76"/>
    <x v="6"/>
    <x v="6"/>
    <x v="34"/>
    <x v="0"/>
    <x v="14"/>
    <x v="2"/>
    <x v="2"/>
    <n v="270.67"/>
  </r>
  <r>
    <d v="2025-09-08T00:00:00"/>
    <x v="2"/>
    <x v="20"/>
    <x v="0"/>
    <x v="74"/>
    <x v="4"/>
    <x v="4"/>
    <x v="75"/>
    <x v="0"/>
    <x v="15"/>
    <x v="3"/>
    <x v="1"/>
    <n v="293.34"/>
  </r>
  <r>
    <d v="2025-09-08T00:00:00"/>
    <x v="2"/>
    <x v="20"/>
    <x v="1"/>
    <x v="78"/>
    <x v="5"/>
    <x v="5"/>
    <x v="94"/>
    <x v="0"/>
    <x v="18"/>
    <x v="9"/>
    <x v="6"/>
    <n v="356.27"/>
  </r>
  <r>
    <d v="2025-09-08T00:00:00"/>
    <x v="2"/>
    <x v="20"/>
    <x v="1"/>
    <x v="42"/>
    <x v="3"/>
    <x v="3"/>
    <x v="63"/>
    <x v="0"/>
    <x v="17"/>
    <x v="3"/>
    <x v="1"/>
    <n v="1836.5"/>
  </r>
  <r>
    <d v="2025-09-09T00:00:00"/>
    <x v="2"/>
    <x v="20"/>
    <x v="1"/>
    <x v="26"/>
    <x v="7"/>
    <x v="7"/>
    <x v="81"/>
    <x v="0"/>
    <x v="20"/>
    <x v="0"/>
    <x v="9"/>
    <n v="217.11"/>
  </r>
  <r>
    <d v="2025-09-09T00:00:00"/>
    <x v="2"/>
    <x v="20"/>
    <x v="1"/>
    <x v="6"/>
    <x v="1"/>
    <x v="1"/>
    <x v="5"/>
    <x v="0"/>
    <x v="6"/>
    <x v="9"/>
    <x v="6"/>
    <n v="898.86"/>
  </r>
  <r>
    <d v="2025-09-10T00:00:00"/>
    <x v="2"/>
    <x v="20"/>
    <x v="1"/>
    <x v="89"/>
    <x v="1"/>
    <x v="1"/>
    <x v="18"/>
    <x v="0"/>
    <x v="5"/>
    <x v="4"/>
    <x v="7"/>
    <n v="7.98"/>
  </r>
  <r>
    <d v="2025-09-10T00:00:00"/>
    <x v="2"/>
    <x v="20"/>
    <x v="1"/>
    <x v="4"/>
    <x v="6"/>
    <x v="6"/>
    <x v="29"/>
    <x v="0"/>
    <x v="2"/>
    <x v="1"/>
    <x v="0"/>
    <n v="13.08"/>
  </r>
  <r>
    <d v="2025-09-10T00:00:00"/>
    <x v="2"/>
    <x v="20"/>
    <x v="1"/>
    <x v="89"/>
    <x v="1"/>
    <x v="1"/>
    <x v="18"/>
    <x v="0"/>
    <x v="5"/>
    <x v="3"/>
    <x v="1"/>
    <n v="40.0"/>
  </r>
  <r>
    <d v="2025-09-10T00:00:00"/>
    <x v="2"/>
    <x v="20"/>
    <x v="1"/>
    <x v="68"/>
    <x v="3"/>
    <x v="3"/>
    <x v="59"/>
    <x v="0"/>
    <x v="16"/>
    <x v="8"/>
    <x v="5"/>
    <n v="239.94"/>
  </r>
  <r>
    <d v="2025-09-10T00:00:00"/>
    <x v="2"/>
    <x v="20"/>
    <x v="0"/>
    <x v="14"/>
    <x v="6"/>
    <x v="6"/>
    <x v="45"/>
    <x v="0"/>
    <x v="7"/>
    <x v="5"/>
    <x v="8"/>
    <n v="680.99"/>
  </r>
  <r>
    <d v="2025-09-11T00:00:00"/>
    <x v="2"/>
    <x v="20"/>
    <x v="1"/>
    <x v="5"/>
    <x v="1"/>
    <x v="1"/>
    <x v="14"/>
    <x v="0"/>
    <x v="4"/>
    <x v="4"/>
    <x v="7"/>
    <n v="7.98"/>
  </r>
  <r>
    <d v="2025-09-11T00:00:00"/>
    <x v="2"/>
    <x v="20"/>
    <x v="1"/>
    <x v="1"/>
    <x v="7"/>
    <x v="7"/>
    <x v="89"/>
    <x v="0"/>
    <x v="12"/>
    <x v="6"/>
    <x v="4"/>
    <n v="79.1"/>
  </r>
  <r>
    <d v="2025-09-11T00:00:00"/>
    <x v="2"/>
    <x v="20"/>
    <x v="0"/>
    <x v="91"/>
    <x v="1"/>
    <x v="1"/>
    <x v="23"/>
    <x v="0"/>
    <x v="8"/>
    <x v="1"/>
    <x v="0"/>
    <n v="81.25"/>
  </r>
  <r>
    <d v="2025-09-11T00:00:00"/>
    <x v="2"/>
    <x v="20"/>
    <x v="0"/>
    <x v="60"/>
    <x v="6"/>
    <x v="6"/>
    <x v="44"/>
    <x v="0"/>
    <x v="7"/>
    <x v="1"/>
    <x v="0"/>
    <n v="176.12"/>
  </r>
  <r>
    <d v="2025-09-11T00:00:00"/>
    <x v="2"/>
    <x v="20"/>
    <x v="1"/>
    <x v="49"/>
    <x v="3"/>
    <x v="3"/>
    <x v="58"/>
    <x v="0"/>
    <x v="16"/>
    <x v="3"/>
    <x v="1"/>
    <n v="465.56"/>
  </r>
  <r>
    <d v="2025-09-11T00:00:00"/>
    <x v="2"/>
    <x v="20"/>
    <x v="1"/>
    <x v="5"/>
    <x v="1"/>
    <x v="1"/>
    <x v="14"/>
    <x v="0"/>
    <x v="4"/>
    <x v="0"/>
    <x v="9"/>
    <n v="535.75"/>
  </r>
  <r>
    <d v="2025-09-11T00:00:00"/>
    <x v="2"/>
    <x v="20"/>
    <x v="1"/>
    <x v="25"/>
    <x v="1"/>
    <x v="1"/>
    <x v="6"/>
    <x v="0"/>
    <x v="6"/>
    <x v="6"/>
    <x v="4"/>
    <n v="6641.99"/>
  </r>
  <r>
    <d v="2025-09-12T00:00:00"/>
    <x v="2"/>
    <x v="20"/>
    <x v="0"/>
    <x v="53"/>
    <x v="1"/>
    <x v="1"/>
    <x v="16"/>
    <x v="0"/>
    <x v="4"/>
    <x v="2"/>
    <x v="2"/>
    <n v="12.99"/>
  </r>
  <r>
    <d v="2025-09-12T00:00:00"/>
    <x v="2"/>
    <x v="20"/>
    <x v="0"/>
    <x v="54"/>
    <x v="1"/>
    <x v="1"/>
    <x v="25"/>
    <x v="0"/>
    <x v="8"/>
    <x v="9"/>
    <x v="6"/>
    <n v="79.98"/>
  </r>
  <r>
    <d v="2025-09-12T00:00:00"/>
    <x v="2"/>
    <x v="20"/>
    <x v="1"/>
    <x v="43"/>
    <x v="7"/>
    <x v="7"/>
    <x v="87"/>
    <x v="0"/>
    <x v="12"/>
    <x v="1"/>
    <x v="0"/>
    <n v="130.93"/>
  </r>
  <r>
    <d v="2025-09-12T00:00:00"/>
    <x v="2"/>
    <x v="20"/>
    <x v="1"/>
    <x v="13"/>
    <x v="0"/>
    <x v="0"/>
    <x v="22"/>
    <x v="0"/>
    <x v="5"/>
    <x v="0"/>
    <x v="9"/>
    <n v="300.66"/>
  </r>
  <r>
    <d v="2025-09-12T00:00:00"/>
    <x v="2"/>
    <x v="20"/>
    <x v="1"/>
    <x v="48"/>
    <x v="7"/>
    <x v="7"/>
    <x v="85"/>
    <x v="0"/>
    <x v="20"/>
    <x v="2"/>
    <x v="2"/>
    <n v="318.63"/>
  </r>
  <r>
    <d v="2025-09-12T00:00:00"/>
    <x v="2"/>
    <x v="20"/>
    <x v="1"/>
    <x v="56"/>
    <x v="7"/>
    <x v="7"/>
    <x v="86"/>
    <x v="0"/>
    <x v="12"/>
    <x v="3"/>
    <x v="1"/>
    <n v="393.69"/>
  </r>
  <r>
    <d v="2025-09-12T00:00:00"/>
    <x v="2"/>
    <x v="20"/>
    <x v="0"/>
    <x v="54"/>
    <x v="1"/>
    <x v="1"/>
    <x v="25"/>
    <x v="0"/>
    <x v="8"/>
    <x v="5"/>
    <x v="8"/>
    <n v="636.2"/>
  </r>
  <r>
    <d v="2025-09-13T00:00:00"/>
    <x v="2"/>
    <x v="20"/>
    <x v="1"/>
    <x v="37"/>
    <x v="6"/>
    <x v="6"/>
    <x v="39"/>
    <x v="0"/>
    <x v="14"/>
    <x v="8"/>
    <x v="5"/>
    <n v="7.98"/>
  </r>
  <r>
    <d v="2025-09-13T00:00:00"/>
    <x v="2"/>
    <x v="20"/>
    <x v="1"/>
    <x v="26"/>
    <x v="7"/>
    <x v="7"/>
    <x v="81"/>
    <x v="0"/>
    <x v="20"/>
    <x v="1"/>
    <x v="0"/>
    <n v="23.0"/>
  </r>
  <r>
    <d v="2025-09-13T00:00:00"/>
    <x v="2"/>
    <x v="20"/>
    <x v="1"/>
    <x v="93"/>
    <x v="6"/>
    <x v="6"/>
    <x v="30"/>
    <x v="0"/>
    <x v="2"/>
    <x v="0"/>
    <x v="9"/>
    <n v="67.89"/>
  </r>
  <r>
    <d v="2025-09-13T00:00:00"/>
    <x v="2"/>
    <x v="20"/>
    <x v="1"/>
    <x v="53"/>
    <x v="1"/>
    <x v="1"/>
    <x v="16"/>
    <x v="0"/>
    <x v="4"/>
    <x v="0"/>
    <x v="9"/>
    <n v="77.87"/>
  </r>
  <r>
    <d v="2025-09-13T00:00:00"/>
    <x v="2"/>
    <x v="20"/>
    <x v="1"/>
    <x v="83"/>
    <x v="3"/>
    <x v="3"/>
    <x v="56"/>
    <x v="0"/>
    <x v="16"/>
    <x v="1"/>
    <x v="0"/>
    <n v="443.54"/>
  </r>
  <r>
    <d v="2025-09-13T00:00:00"/>
    <x v="2"/>
    <x v="20"/>
    <x v="1"/>
    <x v="81"/>
    <x v="4"/>
    <x v="4"/>
    <x v="77"/>
    <x v="0"/>
    <x v="15"/>
    <x v="9"/>
    <x v="6"/>
    <n v="833.7"/>
  </r>
  <r>
    <d v="2025-09-13T00:00:00"/>
    <x v="2"/>
    <x v="20"/>
    <x v="0"/>
    <x v="3"/>
    <x v="2"/>
    <x v="2"/>
    <x v="1"/>
    <x v="0"/>
    <x v="11"/>
    <x v="3"/>
    <x v="1"/>
    <n v="1574.38"/>
  </r>
  <r>
    <d v="2025-09-13T00:00:00"/>
    <x v="2"/>
    <x v="20"/>
    <x v="1"/>
    <x v="37"/>
    <x v="6"/>
    <x v="6"/>
    <x v="39"/>
    <x v="0"/>
    <x v="14"/>
    <x v="1"/>
    <x v="0"/>
    <n v="2614.3"/>
  </r>
  <r>
    <d v="2025-09-14T00:00:00"/>
    <x v="2"/>
    <x v="20"/>
    <x v="1"/>
    <x v="14"/>
    <x v="6"/>
    <x v="6"/>
    <x v="45"/>
    <x v="0"/>
    <x v="7"/>
    <x v="8"/>
    <x v="5"/>
    <n v="74.86"/>
  </r>
  <r>
    <d v="2025-09-14T00:00:00"/>
    <x v="2"/>
    <x v="20"/>
    <x v="0"/>
    <x v="30"/>
    <x v="6"/>
    <x v="6"/>
    <x v="37"/>
    <x v="0"/>
    <x v="14"/>
    <x v="1"/>
    <x v="0"/>
    <n v="157.91"/>
  </r>
  <r>
    <d v="2025-09-14T00:00:00"/>
    <x v="2"/>
    <x v="20"/>
    <x v="1"/>
    <x v="73"/>
    <x v="4"/>
    <x v="4"/>
    <x v="80"/>
    <x v="0"/>
    <x v="0"/>
    <x v="2"/>
    <x v="2"/>
    <n v="250.28"/>
  </r>
  <r>
    <d v="2025-09-14T00:00:00"/>
    <x v="2"/>
    <x v="20"/>
    <x v="1"/>
    <x v="39"/>
    <x v="7"/>
    <x v="7"/>
    <x v="91"/>
    <x v="0"/>
    <x v="9"/>
    <x v="5"/>
    <x v="8"/>
    <n v="3344.77"/>
  </r>
  <r>
    <d v="2025-09-15T00:00:00"/>
    <x v="2"/>
    <x v="20"/>
    <x v="1"/>
    <x v="23"/>
    <x v="1"/>
    <x v="1"/>
    <x v="12"/>
    <x v="0"/>
    <x v="10"/>
    <x v="2"/>
    <x v="2"/>
    <n v="14.0"/>
  </r>
  <r>
    <d v="2025-09-15T00:00:00"/>
    <x v="2"/>
    <x v="20"/>
    <x v="1"/>
    <x v="0"/>
    <x v="3"/>
    <x v="3"/>
    <x v="69"/>
    <x v="0"/>
    <x v="3"/>
    <x v="3"/>
    <x v="1"/>
    <n v="74.95"/>
  </r>
  <r>
    <d v="2025-09-15T00:00:00"/>
    <x v="2"/>
    <x v="20"/>
    <x v="0"/>
    <x v="81"/>
    <x v="4"/>
    <x v="4"/>
    <x v="77"/>
    <x v="0"/>
    <x v="15"/>
    <x v="5"/>
    <x v="8"/>
    <n v="211.57"/>
  </r>
  <r>
    <d v="2025-09-15T00:00:00"/>
    <x v="2"/>
    <x v="20"/>
    <x v="1"/>
    <x v="96"/>
    <x v="3"/>
    <x v="3"/>
    <x v="67"/>
    <x v="0"/>
    <x v="1"/>
    <x v="5"/>
    <x v="8"/>
    <n v="258.33"/>
  </r>
  <r>
    <d v="2025-09-15T00:00:00"/>
    <x v="2"/>
    <x v="20"/>
    <x v="0"/>
    <x v="9"/>
    <x v="7"/>
    <x v="7"/>
    <x v="82"/>
    <x v="0"/>
    <x v="20"/>
    <x v="9"/>
    <x v="6"/>
    <n v="1095.78"/>
  </r>
  <r>
    <d v="2025-09-15T00:00:00"/>
    <x v="2"/>
    <x v="20"/>
    <x v="0"/>
    <x v="6"/>
    <x v="1"/>
    <x v="1"/>
    <x v="5"/>
    <x v="0"/>
    <x v="6"/>
    <x v="3"/>
    <x v="1"/>
    <n v="6954.6"/>
  </r>
  <r>
    <d v="2025-09-16T00:00:00"/>
    <x v="2"/>
    <x v="20"/>
    <x v="1"/>
    <x v="11"/>
    <x v="1"/>
    <x v="1"/>
    <x v="15"/>
    <x v="0"/>
    <x v="4"/>
    <x v="6"/>
    <x v="4"/>
    <n v="3.99"/>
  </r>
  <r>
    <d v="2025-09-16T00:00:00"/>
    <x v="2"/>
    <x v="20"/>
    <x v="1"/>
    <x v="25"/>
    <x v="1"/>
    <x v="1"/>
    <x v="6"/>
    <x v="0"/>
    <x v="6"/>
    <x v="8"/>
    <x v="5"/>
    <n v="56.0"/>
  </r>
  <r>
    <d v="2025-09-16T00:00:00"/>
    <x v="2"/>
    <x v="20"/>
    <x v="1"/>
    <x v="11"/>
    <x v="1"/>
    <x v="1"/>
    <x v="15"/>
    <x v="0"/>
    <x v="4"/>
    <x v="3"/>
    <x v="1"/>
    <n v="549.59"/>
  </r>
  <r>
    <d v="2025-09-16T00:00:00"/>
    <x v="2"/>
    <x v="20"/>
    <x v="0"/>
    <x v="94"/>
    <x v="6"/>
    <x v="6"/>
    <x v="48"/>
    <x v="0"/>
    <x v="13"/>
    <x v="3"/>
    <x v="1"/>
    <n v="693.95"/>
  </r>
  <r>
    <d v="2025-09-16T00:00:00"/>
    <x v="2"/>
    <x v="20"/>
    <x v="1"/>
    <x v="69"/>
    <x v="1"/>
    <x v="1"/>
    <x v="19"/>
    <x v="0"/>
    <x v="5"/>
    <x v="3"/>
    <x v="1"/>
    <n v="5012.21"/>
  </r>
  <r>
    <d v="2025-09-17T00:00:00"/>
    <x v="2"/>
    <x v="20"/>
    <x v="1"/>
    <x v="80"/>
    <x v="6"/>
    <x v="6"/>
    <x v="38"/>
    <x v="0"/>
    <x v="14"/>
    <x v="1"/>
    <x v="0"/>
    <n v="17.0"/>
  </r>
  <r>
    <d v="2025-09-17T00:00:00"/>
    <x v="2"/>
    <x v="20"/>
    <x v="0"/>
    <x v="47"/>
    <x v="3"/>
    <x v="3"/>
    <x v="54"/>
    <x v="0"/>
    <x v="19"/>
    <x v="6"/>
    <x v="4"/>
    <n v="28.98"/>
  </r>
  <r>
    <d v="2025-09-17T00:00:00"/>
    <x v="2"/>
    <x v="20"/>
    <x v="0"/>
    <x v="62"/>
    <x v="6"/>
    <x v="6"/>
    <x v="50"/>
    <x v="0"/>
    <x v="13"/>
    <x v="0"/>
    <x v="9"/>
    <n v="98.93"/>
  </r>
  <r>
    <d v="2025-09-17T00:00:00"/>
    <x v="2"/>
    <x v="20"/>
    <x v="1"/>
    <x v="31"/>
    <x v="2"/>
    <x v="2"/>
    <x v="0"/>
    <x v="0"/>
    <x v="11"/>
    <x v="9"/>
    <x v="6"/>
    <n v="130.86"/>
  </r>
  <r>
    <d v="2025-09-17T00:00:00"/>
    <x v="2"/>
    <x v="20"/>
    <x v="1"/>
    <x v="19"/>
    <x v="7"/>
    <x v="7"/>
    <x v="88"/>
    <x v="0"/>
    <x v="12"/>
    <x v="9"/>
    <x v="6"/>
    <n v="277.66"/>
  </r>
  <r>
    <d v="2025-09-17T00:00:00"/>
    <x v="2"/>
    <x v="20"/>
    <x v="1"/>
    <x v="74"/>
    <x v="4"/>
    <x v="4"/>
    <x v="75"/>
    <x v="0"/>
    <x v="15"/>
    <x v="6"/>
    <x v="4"/>
    <n v="747.42"/>
  </r>
  <r>
    <d v="2025-09-17T00:00:00"/>
    <x v="2"/>
    <x v="20"/>
    <x v="0"/>
    <x v="88"/>
    <x v="1"/>
    <x v="1"/>
    <x v="17"/>
    <x v="0"/>
    <x v="4"/>
    <x v="9"/>
    <x v="6"/>
    <n v="1059.84"/>
  </r>
  <r>
    <d v="2025-09-18T00:00:00"/>
    <x v="2"/>
    <x v="20"/>
    <x v="1"/>
    <x v="8"/>
    <x v="3"/>
    <x v="3"/>
    <x v="72"/>
    <x v="0"/>
    <x v="3"/>
    <x v="8"/>
    <x v="5"/>
    <n v="4.49"/>
  </r>
  <r>
    <d v="2025-09-18T00:00:00"/>
    <x v="2"/>
    <x v="20"/>
    <x v="1"/>
    <x v="64"/>
    <x v="3"/>
    <x v="3"/>
    <x v="70"/>
    <x v="0"/>
    <x v="3"/>
    <x v="6"/>
    <x v="4"/>
    <n v="23.96"/>
  </r>
  <r>
    <d v="2025-09-18T00:00:00"/>
    <x v="2"/>
    <x v="20"/>
    <x v="1"/>
    <x v="2"/>
    <x v="1"/>
    <x v="1"/>
    <x v="2"/>
    <x v="0"/>
    <x v="6"/>
    <x v="4"/>
    <x v="7"/>
    <n v="30.86"/>
  </r>
  <r>
    <d v="2025-09-18T00:00:00"/>
    <x v="2"/>
    <x v="20"/>
    <x v="1"/>
    <x v="44"/>
    <x v="6"/>
    <x v="6"/>
    <x v="49"/>
    <x v="0"/>
    <x v="13"/>
    <x v="3"/>
    <x v="1"/>
    <n v="37.98"/>
  </r>
  <r>
    <d v="2025-09-18T00:00:00"/>
    <x v="2"/>
    <x v="20"/>
    <x v="0"/>
    <x v="58"/>
    <x v="3"/>
    <x v="3"/>
    <x v="61"/>
    <x v="0"/>
    <x v="17"/>
    <x v="4"/>
    <x v="7"/>
    <n v="38.34"/>
  </r>
  <r>
    <d v="2025-09-18T00:00:00"/>
    <x v="2"/>
    <x v="20"/>
    <x v="0"/>
    <x v="42"/>
    <x v="3"/>
    <x v="3"/>
    <x v="63"/>
    <x v="0"/>
    <x v="17"/>
    <x v="1"/>
    <x v="0"/>
    <n v="95.94"/>
  </r>
  <r>
    <d v="2025-09-18T00:00:00"/>
    <x v="2"/>
    <x v="20"/>
    <x v="1"/>
    <x v="78"/>
    <x v="5"/>
    <x v="5"/>
    <x v="94"/>
    <x v="0"/>
    <x v="18"/>
    <x v="1"/>
    <x v="0"/>
    <n v="236.78"/>
  </r>
  <r>
    <d v="2025-09-18T00:00:00"/>
    <x v="2"/>
    <x v="20"/>
    <x v="0"/>
    <x v="33"/>
    <x v="1"/>
    <x v="1"/>
    <x v="13"/>
    <x v="0"/>
    <x v="10"/>
    <x v="2"/>
    <x v="2"/>
    <n v="433.6"/>
  </r>
  <r>
    <d v="2025-09-18T00:00:00"/>
    <x v="2"/>
    <x v="20"/>
    <x v="1"/>
    <x v="19"/>
    <x v="7"/>
    <x v="7"/>
    <x v="88"/>
    <x v="0"/>
    <x v="12"/>
    <x v="3"/>
    <x v="1"/>
    <n v="1013.66"/>
  </r>
  <r>
    <d v="2025-09-18T00:00:00"/>
    <x v="2"/>
    <x v="20"/>
    <x v="1"/>
    <x v="32"/>
    <x v="1"/>
    <x v="1"/>
    <x v="28"/>
    <x v="0"/>
    <x v="8"/>
    <x v="5"/>
    <x v="8"/>
    <n v="2869.6"/>
  </r>
  <r>
    <d v="2025-09-19T00:00:00"/>
    <x v="2"/>
    <x v="20"/>
    <x v="1"/>
    <x v="28"/>
    <x v="6"/>
    <x v="6"/>
    <x v="51"/>
    <x v="0"/>
    <x v="13"/>
    <x v="3"/>
    <x v="1"/>
    <n v="11.97"/>
  </r>
  <r>
    <d v="2025-09-19T00:00:00"/>
    <x v="2"/>
    <x v="20"/>
    <x v="1"/>
    <x v="46"/>
    <x v="6"/>
    <x v="6"/>
    <x v="42"/>
    <x v="0"/>
    <x v="7"/>
    <x v="5"/>
    <x v="8"/>
    <n v="43.47"/>
  </r>
  <r>
    <d v="2025-09-19T00:00:00"/>
    <x v="2"/>
    <x v="20"/>
    <x v="1"/>
    <x v="67"/>
    <x v="3"/>
    <x v="3"/>
    <x v="62"/>
    <x v="0"/>
    <x v="17"/>
    <x v="9"/>
    <x v="6"/>
    <n v="45.0"/>
  </r>
  <r>
    <d v="2025-09-19T00:00:00"/>
    <x v="2"/>
    <x v="20"/>
    <x v="1"/>
    <x v="83"/>
    <x v="3"/>
    <x v="3"/>
    <x v="56"/>
    <x v="0"/>
    <x v="16"/>
    <x v="8"/>
    <x v="5"/>
    <n v="74.75"/>
  </r>
  <r>
    <d v="2025-09-19T00:00:00"/>
    <x v="2"/>
    <x v="20"/>
    <x v="1"/>
    <x v="4"/>
    <x v="6"/>
    <x v="6"/>
    <x v="29"/>
    <x v="0"/>
    <x v="2"/>
    <x v="9"/>
    <x v="6"/>
    <n v="119.96"/>
  </r>
  <r>
    <d v="2025-09-19T00:00:00"/>
    <x v="2"/>
    <x v="20"/>
    <x v="1"/>
    <x v="81"/>
    <x v="4"/>
    <x v="4"/>
    <x v="77"/>
    <x v="0"/>
    <x v="15"/>
    <x v="1"/>
    <x v="0"/>
    <n v="394.43"/>
  </r>
  <r>
    <d v="2025-09-19T00:00:00"/>
    <x v="2"/>
    <x v="20"/>
    <x v="1"/>
    <x v="30"/>
    <x v="6"/>
    <x v="6"/>
    <x v="37"/>
    <x v="0"/>
    <x v="14"/>
    <x v="8"/>
    <x v="5"/>
    <n v="450.11"/>
  </r>
  <r>
    <d v="2025-09-19T00:00:00"/>
    <x v="2"/>
    <x v="20"/>
    <x v="1"/>
    <x v="19"/>
    <x v="7"/>
    <x v="7"/>
    <x v="88"/>
    <x v="0"/>
    <x v="12"/>
    <x v="3"/>
    <x v="1"/>
    <n v="1219.38"/>
  </r>
  <r>
    <d v="2025-09-20T00:00:00"/>
    <x v="2"/>
    <x v="20"/>
    <x v="0"/>
    <x v="24"/>
    <x v="6"/>
    <x v="6"/>
    <x v="36"/>
    <x v="0"/>
    <x v="14"/>
    <x v="6"/>
    <x v="4"/>
    <n v="15.98"/>
  </r>
  <r>
    <d v="2025-09-20T00:00:00"/>
    <x v="2"/>
    <x v="20"/>
    <x v="1"/>
    <x v="8"/>
    <x v="3"/>
    <x v="3"/>
    <x v="72"/>
    <x v="0"/>
    <x v="3"/>
    <x v="1"/>
    <x v="0"/>
    <n v="16.99"/>
  </r>
  <r>
    <d v="2025-09-20T00:00:00"/>
    <x v="2"/>
    <x v="20"/>
    <x v="1"/>
    <x v="13"/>
    <x v="0"/>
    <x v="0"/>
    <x v="22"/>
    <x v="0"/>
    <x v="5"/>
    <x v="3"/>
    <x v="1"/>
    <n v="189.58"/>
  </r>
  <r>
    <d v="2025-09-20T00:00:00"/>
    <x v="2"/>
    <x v="20"/>
    <x v="1"/>
    <x v="75"/>
    <x v="1"/>
    <x v="1"/>
    <x v="4"/>
    <x v="0"/>
    <x v="6"/>
    <x v="9"/>
    <x v="6"/>
    <n v="383.53"/>
  </r>
  <r>
    <d v="2025-09-20T00:00:00"/>
    <x v="2"/>
    <x v="20"/>
    <x v="0"/>
    <x v="87"/>
    <x v="3"/>
    <x v="3"/>
    <x v="52"/>
    <x v="0"/>
    <x v="19"/>
    <x v="9"/>
    <x v="6"/>
    <n v="611.5"/>
  </r>
  <r>
    <d v="2025-09-20T00:00:00"/>
    <x v="2"/>
    <x v="20"/>
    <x v="1"/>
    <x v="55"/>
    <x v="3"/>
    <x v="3"/>
    <x v="68"/>
    <x v="0"/>
    <x v="1"/>
    <x v="3"/>
    <x v="1"/>
    <n v="704.46"/>
  </r>
  <r>
    <d v="2025-09-21T00:00:00"/>
    <x v="2"/>
    <x v="20"/>
    <x v="1"/>
    <x v="55"/>
    <x v="3"/>
    <x v="3"/>
    <x v="68"/>
    <x v="0"/>
    <x v="1"/>
    <x v="1"/>
    <x v="0"/>
    <n v="15.0"/>
  </r>
  <r>
    <d v="2025-09-21T00:00:00"/>
    <x v="2"/>
    <x v="20"/>
    <x v="1"/>
    <x v="46"/>
    <x v="6"/>
    <x v="6"/>
    <x v="42"/>
    <x v="0"/>
    <x v="7"/>
    <x v="4"/>
    <x v="7"/>
    <n v="32.89"/>
  </r>
  <r>
    <d v="2025-09-21T00:00:00"/>
    <x v="2"/>
    <x v="20"/>
    <x v="1"/>
    <x v="82"/>
    <x v="6"/>
    <x v="6"/>
    <x v="47"/>
    <x v="0"/>
    <x v="13"/>
    <x v="9"/>
    <x v="6"/>
    <n v="36.0"/>
  </r>
  <r>
    <d v="2025-09-21T00:00:00"/>
    <x v="2"/>
    <x v="20"/>
    <x v="0"/>
    <x v="34"/>
    <x v="6"/>
    <x v="6"/>
    <x v="32"/>
    <x v="0"/>
    <x v="2"/>
    <x v="3"/>
    <x v="1"/>
    <n v="36.54"/>
  </r>
  <r>
    <d v="2025-09-21T00:00:00"/>
    <x v="2"/>
    <x v="20"/>
    <x v="0"/>
    <x v="47"/>
    <x v="3"/>
    <x v="3"/>
    <x v="54"/>
    <x v="0"/>
    <x v="19"/>
    <x v="1"/>
    <x v="0"/>
    <n v="49.95"/>
  </r>
  <r>
    <d v="2025-09-21T00:00:00"/>
    <x v="2"/>
    <x v="20"/>
    <x v="0"/>
    <x v="38"/>
    <x v="0"/>
    <x v="0"/>
    <x v="21"/>
    <x v="0"/>
    <x v="5"/>
    <x v="4"/>
    <x v="7"/>
    <n v="119.22"/>
  </r>
  <r>
    <d v="2025-09-21T00:00:00"/>
    <x v="2"/>
    <x v="20"/>
    <x v="1"/>
    <x v="74"/>
    <x v="4"/>
    <x v="4"/>
    <x v="75"/>
    <x v="0"/>
    <x v="15"/>
    <x v="2"/>
    <x v="2"/>
    <n v="148.87"/>
  </r>
  <r>
    <d v="2025-09-21T00:00:00"/>
    <x v="2"/>
    <x v="20"/>
    <x v="0"/>
    <x v="34"/>
    <x v="6"/>
    <x v="6"/>
    <x v="32"/>
    <x v="0"/>
    <x v="2"/>
    <x v="9"/>
    <x v="6"/>
    <n v="157.7"/>
  </r>
  <r>
    <d v="2025-09-21T00:00:00"/>
    <x v="2"/>
    <x v="20"/>
    <x v="1"/>
    <x v="83"/>
    <x v="3"/>
    <x v="3"/>
    <x v="56"/>
    <x v="0"/>
    <x v="16"/>
    <x v="2"/>
    <x v="2"/>
    <n v="281.81"/>
  </r>
  <r>
    <d v="2025-09-21T00:00:00"/>
    <x v="2"/>
    <x v="20"/>
    <x v="1"/>
    <x v="82"/>
    <x v="6"/>
    <x v="6"/>
    <x v="47"/>
    <x v="0"/>
    <x v="13"/>
    <x v="9"/>
    <x v="6"/>
    <n v="1591.82"/>
  </r>
  <r>
    <d v="2025-09-22T00:00:00"/>
    <x v="2"/>
    <x v="20"/>
    <x v="0"/>
    <x v="25"/>
    <x v="1"/>
    <x v="1"/>
    <x v="6"/>
    <x v="0"/>
    <x v="6"/>
    <x v="2"/>
    <x v="2"/>
    <n v="5.99"/>
  </r>
  <r>
    <d v="2025-09-22T00:00:00"/>
    <x v="2"/>
    <x v="20"/>
    <x v="1"/>
    <x v="76"/>
    <x v="6"/>
    <x v="6"/>
    <x v="34"/>
    <x v="0"/>
    <x v="14"/>
    <x v="2"/>
    <x v="2"/>
    <n v="240.93"/>
  </r>
  <r>
    <d v="2025-09-22T00:00:00"/>
    <x v="2"/>
    <x v="20"/>
    <x v="1"/>
    <x v="83"/>
    <x v="3"/>
    <x v="3"/>
    <x v="56"/>
    <x v="0"/>
    <x v="16"/>
    <x v="1"/>
    <x v="0"/>
    <n v="327.45"/>
  </r>
  <r>
    <d v="2025-09-22T00:00:00"/>
    <x v="2"/>
    <x v="20"/>
    <x v="1"/>
    <x v="65"/>
    <x v="1"/>
    <x v="1"/>
    <x v="7"/>
    <x v="0"/>
    <x v="10"/>
    <x v="3"/>
    <x v="1"/>
    <n v="731.58"/>
  </r>
  <r>
    <d v="2025-09-22T00:00:00"/>
    <x v="2"/>
    <x v="20"/>
    <x v="1"/>
    <x v="56"/>
    <x v="7"/>
    <x v="7"/>
    <x v="86"/>
    <x v="0"/>
    <x v="12"/>
    <x v="9"/>
    <x v="6"/>
    <n v="915.68"/>
  </r>
  <r>
    <d v="2025-09-23T00:00:00"/>
    <x v="2"/>
    <x v="20"/>
    <x v="1"/>
    <x v="6"/>
    <x v="1"/>
    <x v="1"/>
    <x v="5"/>
    <x v="0"/>
    <x v="6"/>
    <x v="5"/>
    <x v="8"/>
    <n v="20.96"/>
  </r>
  <r>
    <d v="2025-09-23T00:00:00"/>
    <x v="2"/>
    <x v="20"/>
    <x v="1"/>
    <x v="27"/>
    <x v="6"/>
    <x v="6"/>
    <x v="31"/>
    <x v="0"/>
    <x v="2"/>
    <x v="1"/>
    <x v="0"/>
    <n v="71.76"/>
  </r>
  <r>
    <d v="2025-09-23T00:00:00"/>
    <x v="2"/>
    <x v="20"/>
    <x v="1"/>
    <x v="76"/>
    <x v="6"/>
    <x v="6"/>
    <x v="34"/>
    <x v="0"/>
    <x v="14"/>
    <x v="9"/>
    <x v="6"/>
    <n v="617.74"/>
  </r>
  <r>
    <d v="2025-09-23T00:00:00"/>
    <x v="2"/>
    <x v="20"/>
    <x v="1"/>
    <x v="25"/>
    <x v="1"/>
    <x v="1"/>
    <x v="6"/>
    <x v="0"/>
    <x v="6"/>
    <x v="1"/>
    <x v="0"/>
    <n v="924.9"/>
  </r>
  <r>
    <d v="2025-09-24T00:00:00"/>
    <x v="2"/>
    <x v="20"/>
    <x v="1"/>
    <x v="87"/>
    <x v="3"/>
    <x v="3"/>
    <x v="52"/>
    <x v="0"/>
    <x v="19"/>
    <x v="1"/>
    <x v="0"/>
    <n v="7.0"/>
  </r>
  <r>
    <d v="2025-09-24T00:00:00"/>
    <x v="2"/>
    <x v="20"/>
    <x v="0"/>
    <x v="58"/>
    <x v="3"/>
    <x v="3"/>
    <x v="61"/>
    <x v="0"/>
    <x v="17"/>
    <x v="1"/>
    <x v="0"/>
    <n v="655.54"/>
  </r>
  <r>
    <d v="2025-09-24T00:00:00"/>
    <x v="2"/>
    <x v="20"/>
    <x v="1"/>
    <x v="72"/>
    <x v="1"/>
    <x v="1"/>
    <x v="24"/>
    <x v="0"/>
    <x v="8"/>
    <x v="3"/>
    <x v="1"/>
    <n v="1470.4"/>
  </r>
  <r>
    <d v="2025-09-25T00:00:00"/>
    <x v="2"/>
    <x v="20"/>
    <x v="0"/>
    <x v="66"/>
    <x v="4"/>
    <x v="4"/>
    <x v="76"/>
    <x v="0"/>
    <x v="15"/>
    <x v="1"/>
    <x v="0"/>
    <n v="97.41"/>
  </r>
  <r>
    <d v="2025-09-25T00:00:00"/>
    <x v="2"/>
    <x v="20"/>
    <x v="1"/>
    <x v="18"/>
    <x v="5"/>
    <x v="5"/>
    <x v="96"/>
    <x v="0"/>
    <x v="18"/>
    <x v="1"/>
    <x v="0"/>
    <n v="291.87"/>
  </r>
  <r>
    <d v="2025-09-25T00:00:00"/>
    <x v="2"/>
    <x v="20"/>
    <x v="1"/>
    <x v="40"/>
    <x v="3"/>
    <x v="3"/>
    <x v="65"/>
    <x v="0"/>
    <x v="1"/>
    <x v="9"/>
    <x v="6"/>
    <n v="1173.55"/>
  </r>
  <r>
    <d v="2025-09-25T00:00:00"/>
    <x v="2"/>
    <x v="20"/>
    <x v="1"/>
    <x v="34"/>
    <x v="6"/>
    <x v="6"/>
    <x v="32"/>
    <x v="0"/>
    <x v="2"/>
    <x v="1"/>
    <x v="0"/>
    <n v="2327.56"/>
  </r>
  <r>
    <d v="2025-09-26T00:00:00"/>
    <x v="2"/>
    <x v="20"/>
    <x v="1"/>
    <x v="2"/>
    <x v="1"/>
    <x v="1"/>
    <x v="2"/>
    <x v="0"/>
    <x v="6"/>
    <x v="6"/>
    <x v="4"/>
    <n v="21.0"/>
  </r>
  <r>
    <d v="2025-09-26T00:00:00"/>
    <x v="2"/>
    <x v="20"/>
    <x v="1"/>
    <x v="14"/>
    <x v="6"/>
    <x v="6"/>
    <x v="45"/>
    <x v="0"/>
    <x v="7"/>
    <x v="6"/>
    <x v="4"/>
    <n v="40.95"/>
  </r>
  <r>
    <d v="2025-09-26T00:00:00"/>
    <x v="2"/>
    <x v="20"/>
    <x v="0"/>
    <x v="91"/>
    <x v="1"/>
    <x v="1"/>
    <x v="23"/>
    <x v="0"/>
    <x v="8"/>
    <x v="4"/>
    <x v="7"/>
    <n v="48.92"/>
  </r>
  <r>
    <d v="2025-09-26T00:00:00"/>
    <x v="2"/>
    <x v="20"/>
    <x v="0"/>
    <x v="65"/>
    <x v="1"/>
    <x v="1"/>
    <x v="7"/>
    <x v="0"/>
    <x v="10"/>
    <x v="6"/>
    <x v="4"/>
    <n v="55.47"/>
  </r>
  <r>
    <d v="2025-09-26T00:00:00"/>
    <x v="2"/>
    <x v="20"/>
    <x v="0"/>
    <x v="74"/>
    <x v="4"/>
    <x v="4"/>
    <x v="75"/>
    <x v="0"/>
    <x v="15"/>
    <x v="0"/>
    <x v="9"/>
    <n v="97.86"/>
  </r>
  <r>
    <d v="2025-09-26T00:00:00"/>
    <x v="2"/>
    <x v="20"/>
    <x v="1"/>
    <x v="71"/>
    <x v="1"/>
    <x v="1"/>
    <x v="27"/>
    <x v="0"/>
    <x v="8"/>
    <x v="4"/>
    <x v="7"/>
    <n v="285.3"/>
  </r>
  <r>
    <d v="2025-09-26T00:00:00"/>
    <x v="2"/>
    <x v="20"/>
    <x v="1"/>
    <x v="74"/>
    <x v="4"/>
    <x v="4"/>
    <x v="75"/>
    <x v="0"/>
    <x v="15"/>
    <x v="3"/>
    <x v="1"/>
    <n v="2390.21"/>
  </r>
  <r>
    <d v="2025-09-27T00:00:00"/>
    <x v="2"/>
    <x v="20"/>
    <x v="1"/>
    <x v="12"/>
    <x v="1"/>
    <x v="1"/>
    <x v="26"/>
    <x v="0"/>
    <x v="8"/>
    <x v="1"/>
    <x v="0"/>
    <n v="14.9"/>
  </r>
  <r>
    <d v="2025-09-27T00:00:00"/>
    <x v="2"/>
    <x v="20"/>
    <x v="0"/>
    <x v="77"/>
    <x v="3"/>
    <x v="3"/>
    <x v="66"/>
    <x v="0"/>
    <x v="1"/>
    <x v="4"/>
    <x v="7"/>
    <n v="31.91"/>
  </r>
  <r>
    <d v="2025-09-27T00:00:00"/>
    <x v="2"/>
    <x v="20"/>
    <x v="0"/>
    <x v="18"/>
    <x v="5"/>
    <x v="5"/>
    <x v="96"/>
    <x v="0"/>
    <x v="18"/>
    <x v="4"/>
    <x v="7"/>
    <n v="61.8"/>
  </r>
  <r>
    <d v="2025-09-27T00:00:00"/>
    <x v="2"/>
    <x v="20"/>
    <x v="1"/>
    <x v="47"/>
    <x v="3"/>
    <x v="3"/>
    <x v="54"/>
    <x v="0"/>
    <x v="19"/>
    <x v="3"/>
    <x v="1"/>
    <n v="1426.21"/>
  </r>
  <r>
    <d v="2025-09-27T00:00:00"/>
    <x v="2"/>
    <x v="20"/>
    <x v="1"/>
    <x v="31"/>
    <x v="2"/>
    <x v="2"/>
    <x v="0"/>
    <x v="0"/>
    <x v="11"/>
    <x v="6"/>
    <x v="4"/>
    <n v="8078.87"/>
  </r>
  <r>
    <d v="2025-09-28T00:00:00"/>
    <x v="2"/>
    <x v="20"/>
    <x v="0"/>
    <x v="18"/>
    <x v="5"/>
    <x v="5"/>
    <x v="96"/>
    <x v="0"/>
    <x v="18"/>
    <x v="1"/>
    <x v="0"/>
    <n v="59.97"/>
  </r>
  <r>
    <d v="2025-09-28T00:00:00"/>
    <x v="2"/>
    <x v="20"/>
    <x v="0"/>
    <x v="18"/>
    <x v="5"/>
    <x v="5"/>
    <x v="96"/>
    <x v="0"/>
    <x v="18"/>
    <x v="5"/>
    <x v="8"/>
    <n v="105.92"/>
  </r>
  <r>
    <d v="2025-09-28T00:00:00"/>
    <x v="2"/>
    <x v="20"/>
    <x v="0"/>
    <x v="30"/>
    <x v="6"/>
    <x v="6"/>
    <x v="37"/>
    <x v="0"/>
    <x v="14"/>
    <x v="4"/>
    <x v="7"/>
    <n v="331.33"/>
  </r>
  <r>
    <d v="2025-09-28T00:00:00"/>
    <x v="2"/>
    <x v="20"/>
    <x v="1"/>
    <x v="69"/>
    <x v="1"/>
    <x v="1"/>
    <x v="19"/>
    <x v="0"/>
    <x v="5"/>
    <x v="5"/>
    <x v="8"/>
    <n v="380.3"/>
  </r>
  <r>
    <d v="2025-09-29T00:00:00"/>
    <x v="2"/>
    <x v="20"/>
    <x v="1"/>
    <x v="15"/>
    <x v="4"/>
    <x v="4"/>
    <x v="79"/>
    <x v="0"/>
    <x v="0"/>
    <x v="1"/>
    <x v="0"/>
    <n v="19.2"/>
  </r>
  <r>
    <d v="2025-09-29T00:00:00"/>
    <x v="2"/>
    <x v="20"/>
    <x v="1"/>
    <x v="52"/>
    <x v="1"/>
    <x v="1"/>
    <x v="11"/>
    <x v="0"/>
    <x v="10"/>
    <x v="6"/>
    <x v="4"/>
    <n v="776.77"/>
  </r>
  <r>
    <d v="2025-09-30T00:00:00"/>
    <x v="2"/>
    <x v="20"/>
    <x v="1"/>
    <x v="5"/>
    <x v="1"/>
    <x v="1"/>
    <x v="14"/>
    <x v="0"/>
    <x v="4"/>
    <x v="1"/>
    <x v="0"/>
    <n v="5.99"/>
  </r>
  <r>
    <d v="2025-09-30T00:00:00"/>
    <x v="2"/>
    <x v="20"/>
    <x v="1"/>
    <x v="80"/>
    <x v="6"/>
    <x v="6"/>
    <x v="38"/>
    <x v="0"/>
    <x v="14"/>
    <x v="1"/>
    <x v="0"/>
    <n v="6.0"/>
  </r>
  <r>
    <d v="2025-09-30T00:00:00"/>
    <x v="2"/>
    <x v="20"/>
    <x v="1"/>
    <x v="2"/>
    <x v="1"/>
    <x v="1"/>
    <x v="2"/>
    <x v="0"/>
    <x v="6"/>
    <x v="0"/>
    <x v="9"/>
    <n v="6.99"/>
  </r>
  <r>
    <d v="2025-09-30T00:00:00"/>
    <x v="2"/>
    <x v="20"/>
    <x v="0"/>
    <x v="24"/>
    <x v="6"/>
    <x v="6"/>
    <x v="36"/>
    <x v="0"/>
    <x v="14"/>
    <x v="0"/>
    <x v="9"/>
    <n v="15.97"/>
  </r>
  <r>
    <d v="2025-09-30T00:00:00"/>
    <x v="2"/>
    <x v="20"/>
    <x v="1"/>
    <x v="84"/>
    <x v="3"/>
    <x v="3"/>
    <x v="53"/>
    <x v="0"/>
    <x v="19"/>
    <x v="2"/>
    <x v="2"/>
    <n v="30.37"/>
  </r>
  <r>
    <d v="2025-09-30T00:00:00"/>
    <x v="2"/>
    <x v="20"/>
    <x v="1"/>
    <x v="82"/>
    <x v="6"/>
    <x v="6"/>
    <x v="47"/>
    <x v="0"/>
    <x v="13"/>
    <x v="5"/>
    <x v="8"/>
    <n v="111.25"/>
  </r>
  <r>
    <d v="2025-09-30T00:00:00"/>
    <x v="2"/>
    <x v="20"/>
    <x v="0"/>
    <x v="50"/>
    <x v="7"/>
    <x v="7"/>
    <x v="83"/>
    <x v="0"/>
    <x v="20"/>
    <x v="1"/>
    <x v="0"/>
    <n v="139.88"/>
  </r>
  <r>
    <d v="2025-09-30T00:00:00"/>
    <x v="2"/>
    <x v="20"/>
    <x v="0"/>
    <x v="45"/>
    <x v="3"/>
    <x v="3"/>
    <x v="64"/>
    <x v="0"/>
    <x v="1"/>
    <x v="0"/>
    <x v="9"/>
    <n v="169.1"/>
  </r>
  <r>
    <d v="2025-09-30T00:00:00"/>
    <x v="2"/>
    <x v="20"/>
    <x v="0"/>
    <x v="9"/>
    <x v="7"/>
    <x v="7"/>
    <x v="82"/>
    <x v="0"/>
    <x v="20"/>
    <x v="3"/>
    <x v="1"/>
    <n v="646.72"/>
  </r>
  <r>
    <d v="2025-10-01T00:00:00"/>
    <x v="2"/>
    <x v="21"/>
    <x v="0"/>
    <x v="86"/>
    <x v="1"/>
    <x v="1"/>
    <x v="9"/>
    <x v="0"/>
    <x v="10"/>
    <x v="3"/>
    <x v="1"/>
    <n v="183.7"/>
  </r>
  <r>
    <d v="2025-10-01T00:00:00"/>
    <x v="2"/>
    <x v="21"/>
    <x v="1"/>
    <x v="25"/>
    <x v="1"/>
    <x v="1"/>
    <x v="6"/>
    <x v="0"/>
    <x v="6"/>
    <x v="6"/>
    <x v="4"/>
    <n v="187.81"/>
  </r>
  <r>
    <d v="2025-10-01T00:00:00"/>
    <x v="2"/>
    <x v="21"/>
    <x v="1"/>
    <x v="42"/>
    <x v="3"/>
    <x v="3"/>
    <x v="63"/>
    <x v="0"/>
    <x v="17"/>
    <x v="3"/>
    <x v="1"/>
    <n v="494.04"/>
  </r>
  <r>
    <d v="2025-10-02T00:00:00"/>
    <x v="2"/>
    <x v="21"/>
    <x v="0"/>
    <x v="91"/>
    <x v="1"/>
    <x v="1"/>
    <x v="23"/>
    <x v="0"/>
    <x v="8"/>
    <x v="8"/>
    <x v="5"/>
    <n v="6.81"/>
  </r>
  <r>
    <d v="2025-10-02T00:00:00"/>
    <x v="2"/>
    <x v="21"/>
    <x v="1"/>
    <x v="59"/>
    <x v="1"/>
    <x v="1"/>
    <x v="3"/>
    <x v="0"/>
    <x v="6"/>
    <x v="6"/>
    <x v="4"/>
    <n v="47.94"/>
  </r>
  <r>
    <d v="2025-10-02T00:00:00"/>
    <x v="2"/>
    <x v="21"/>
    <x v="1"/>
    <x v="36"/>
    <x v="7"/>
    <x v="7"/>
    <x v="90"/>
    <x v="0"/>
    <x v="9"/>
    <x v="8"/>
    <x v="5"/>
    <n v="76.87"/>
  </r>
  <r>
    <d v="2025-10-02T00:00:00"/>
    <x v="2"/>
    <x v="21"/>
    <x v="0"/>
    <x v="34"/>
    <x v="6"/>
    <x v="6"/>
    <x v="32"/>
    <x v="0"/>
    <x v="2"/>
    <x v="1"/>
    <x v="0"/>
    <n v="90.97"/>
  </r>
  <r>
    <d v="2025-10-02T00:00:00"/>
    <x v="2"/>
    <x v="21"/>
    <x v="1"/>
    <x v="15"/>
    <x v="4"/>
    <x v="4"/>
    <x v="79"/>
    <x v="0"/>
    <x v="0"/>
    <x v="1"/>
    <x v="0"/>
    <n v="100.6"/>
  </r>
  <r>
    <d v="2025-10-02T00:00:00"/>
    <x v="2"/>
    <x v="21"/>
    <x v="0"/>
    <x v="60"/>
    <x v="6"/>
    <x v="6"/>
    <x v="44"/>
    <x v="0"/>
    <x v="7"/>
    <x v="0"/>
    <x v="9"/>
    <n v="137.76"/>
  </r>
  <r>
    <d v="2025-10-02T00:00:00"/>
    <x v="2"/>
    <x v="21"/>
    <x v="1"/>
    <x v="5"/>
    <x v="1"/>
    <x v="1"/>
    <x v="14"/>
    <x v="0"/>
    <x v="4"/>
    <x v="5"/>
    <x v="8"/>
    <n v="724.68"/>
  </r>
  <r>
    <d v="2025-10-02T00:00:00"/>
    <x v="2"/>
    <x v="21"/>
    <x v="1"/>
    <x v="23"/>
    <x v="1"/>
    <x v="1"/>
    <x v="12"/>
    <x v="0"/>
    <x v="10"/>
    <x v="5"/>
    <x v="8"/>
    <n v="5309.03"/>
  </r>
  <r>
    <d v="2025-10-02T00:00:00"/>
    <x v="2"/>
    <x v="21"/>
    <x v="1"/>
    <x v="35"/>
    <x v="6"/>
    <x v="6"/>
    <x v="46"/>
    <x v="0"/>
    <x v="7"/>
    <x v="9"/>
    <x v="6"/>
    <n v="5464.64"/>
  </r>
  <r>
    <d v="2025-10-03T00:00:00"/>
    <x v="2"/>
    <x v="21"/>
    <x v="0"/>
    <x v="19"/>
    <x v="7"/>
    <x v="7"/>
    <x v="88"/>
    <x v="0"/>
    <x v="12"/>
    <x v="1"/>
    <x v="0"/>
    <n v="20.01"/>
  </r>
  <r>
    <d v="2025-10-03T00:00:00"/>
    <x v="2"/>
    <x v="21"/>
    <x v="1"/>
    <x v="22"/>
    <x v="1"/>
    <x v="1"/>
    <x v="20"/>
    <x v="0"/>
    <x v="5"/>
    <x v="1"/>
    <x v="0"/>
    <n v="21.5"/>
  </r>
  <r>
    <d v="2025-10-03T00:00:00"/>
    <x v="2"/>
    <x v="21"/>
    <x v="0"/>
    <x v="9"/>
    <x v="7"/>
    <x v="7"/>
    <x v="82"/>
    <x v="0"/>
    <x v="20"/>
    <x v="2"/>
    <x v="2"/>
    <n v="41.93"/>
  </r>
  <r>
    <d v="2025-10-03T00:00:00"/>
    <x v="2"/>
    <x v="21"/>
    <x v="0"/>
    <x v="75"/>
    <x v="1"/>
    <x v="1"/>
    <x v="4"/>
    <x v="0"/>
    <x v="6"/>
    <x v="1"/>
    <x v="0"/>
    <n v="59.97"/>
  </r>
  <r>
    <d v="2025-10-03T00:00:00"/>
    <x v="2"/>
    <x v="21"/>
    <x v="1"/>
    <x v="3"/>
    <x v="2"/>
    <x v="2"/>
    <x v="1"/>
    <x v="0"/>
    <x v="11"/>
    <x v="1"/>
    <x v="0"/>
    <n v="85.92"/>
  </r>
  <r>
    <d v="2025-10-03T00:00:00"/>
    <x v="2"/>
    <x v="21"/>
    <x v="0"/>
    <x v="28"/>
    <x v="6"/>
    <x v="6"/>
    <x v="51"/>
    <x v="0"/>
    <x v="13"/>
    <x v="1"/>
    <x v="0"/>
    <n v="94.5"/>
  </r>
  <r>
    <d v="2025-10-03T00:00:00"/>
    <x v="2"/>
    <x v="21"/>
    <x v="1"/>
    <x v="2"/>
    <x v="1"/>
    <x v="1"/>
    <x v="2"/>
    <x v="0"/>
    <x v="6"/>
    <x v="1"/>
    <x v="0"/>
    <n v="500.63"/>
  </r>
  <r>
    <d v="2025-10-03T00:00:00"/>
    <x v="2"/>
    <x v="21"/>
    <x v="1"/>
    <x v="17"/>
    <x v="3"/>
    <x v="3"/>
    <x v="57"/>
    <x v="0"/>
    <x v="16"/>
    <x v="6"/>
    <x v="4"/>
    <n v="563.58"/>
  </r>
  <r>
    <d v="2025-10-04T00:00:00"/>
    <x v="2"/>
    <x v="21"/>
    <x v="1"/>
    <x v="37"/>
    <x v="6"/>
    <x v="6"/>
    <x v="39"/>
    <x v="0"/>
    <x v="14"/>
    <x v="1"/>
    <x v="0"/>
    <n v="3.0"/>
  </r>
  <r>
    <d v="2025-10-04T00:00:00"/>
    <x v="2"/>
    <x v="21"/>
    <x v="1"/>
    <x v="66"/>
    <x v="4"/>
    <x v="4"/>
    <x v="76"/>
    <x v="0"/>
    <x v="15"/>
    <x v="6"/>
    <x v="4"/>
    <n v="20.0"/>
  </r>
  <r>
    <d v="2025-10-04T00:00:00"/>
    <x v="2"/>
    <x v="21"/>
    <x v="1"/>
    <x v="79"/>
    <x v="1"/>
    <x v="1"/>
    <x v="8"/>
    <x v="0"/>
    <x v="10"/>
    <x v="3"/>
    <x v="1"/>
    <n v="292.11"/>
  </r>
  <r>
    <d v="2025-10-04T00:00:00"/>
    <x v="2"/>
    <x v="21"/>
    <x v="1"/>
    <x v="48"/>
    <x v="7"/>
    <x v="7"/>
    <x v="85"/>
    <x v="0"/>
    <x v="20"/>
    <x v="6"/>
    <x v="4"/>
    <n v="358.71"/>
  </r>
  <r>
    <d v="2025-10-05T00:00:00"/>
    <x v="2"/>
    <x v="21"/>
    <x v="1"/>
    <x v="70"/>
    <x v="6"/>
    <x v="6"/>
    <x v="33"/>
    <x v="0"/>
    <x v="14"/>
    <x v="1"/>
    <x v="0"/>
    <n v="11.99"/>
  </r>
  <r>
    <d v="2025-10-05T00:00:00"/>
    <x v="2"/>
    <x v="21"/>
    <x v="0"/>
    <x v="58"/>
    <x v="3"/>
    <x v="3"/>
    <x v="61"/>
    <x v="0"/>
    <x v="17"/>
    <x v="0"/>
    <x v="9"/>
    <n v="24.93"/>
  </r>
  <r>
    <d v="2025-10-05T00:00:00"/>
    <x v="2"/>
    <x v="21"/>
    <x v="1"/>
    <x v="4"/>
    <x v="6"/>
    <x v="6"/>
    <x v="29"/>
    <x v="0"/>
    <x v="2"/>
    <x v="7"/>
    <x v="3"/>
    <n v="92.61"/>
  </r>
  <r>
    <d v="2025-10-05T00:00:00"/>
    <x v="2"/>
    <x v="21"/>
    <x v="1"/>
    <x v="8"/>
    <x v="3"/>
    <x v="3"/>
    <x v="72"/>
    <x v="0"/>
    <x v="3"/>
    <x v="0"/>
    <x v="9"/>
    <n v="181.29"/>
  </r>
  <r>
    <d v="2025-10-05T00:00:00"/>
    <x v="2"/>
    <x v="21"/>
    <x v="1"/>
    <x v="0"/>
    <x v="3"/>
    <x v="3"/>
    <x v="69"/>
    <x v="0"/>
    <x v="3"/>
    <x v="5"/>
    <x v="8"/>
    <n v="313.93"/>
  </r>
  <r>
    <d v="2025-10-05T00:00:00"/>
    <x v="2"/>
    <x v="21"/>
    <x v="1"/>
    <x v="91"/>
    <x v="1"/>
    <x v="1"/>
    <x v="23"/>
    <x v="0"/>
    <x v="8"/>
    <x v="1"/>
    <x v="0"/>
    <n v="510.34"/>
  </r>
  <r>
    <d v="2025-10-05T00:00:00"/>
    <x v="2"/>
    <x v="21"/>
    <x v="1"/>
    <x v="78"/>
    <x v="5"/>
    <x v="5"/>
    <x v="94"/>
    <x v="0"/>
    <x v="18"/>
    <x v="6"/>
    <x v="4"/>
    <n v="523.21"/>
  </r>
  <r>
    <d v="2025-10-05T00:00:00"/>
    <x v="2"/>
    <x v="21"/>
    <x v="0"/>
    <x v="60"/>
    <x v="6"/>
    <x v="6"/>
    <x v="44"/>
    <x v="0"/>
    <x v="7"/>
    <x v="2"/>
    <x v="2"/>
    <n v="594.49"/>
  </r>
  <r>
    <d v="2025-10-05T00:00:00"/>
    <x v="2"/>
    <x v="21"/>
    <x v="1"/>
    <x v="67"/>
    <x v="3"/>
    <x v="3"/>
    <x v="62"/>
    <x v="0"/>
    <x v="17"/>
    <x v="2"/>
    <x v="2"/>
    <n v="872.49"/>
  </r>
  <r>
    <d v="2025-10-05T00:00:00"/>
    <x v="2"/>
    <x v="21"/>
    <x v="1"/>
    <x v="71"/>
    <x v="1"/>
    <x v="1"/>
    <x v="27"/>
    <x v="0"/>
    <x v="8"/>
    <x v="3"/>
    <x v="1"/>
    <n v="4960.19"/>
  </r>
  <r>
    <d v="2025-10-06T00:00:00"/>
    <x v="2"/>
    <x v="21"/>
    <x v="1"/>
    <x v="6"/>
    <x v="1"/>
    <x v="1"/>
    <x v="5"/>
    <x v="0"/>
    <x v="6"/>
    <x v="0"/>
    <x v="9"/>
    <n v="105.76"/>
  </r>
  <r>
    <d v="2025-10-07T00:00:00"/>
    <x v="2"/>
    <x v="21"/>
    <x v="1"/>
    <x v="26"/>
    <x v="7"/>
    <x v="7"/>
    <x v="81"/>
    <x v="0"/>
    <x v="20"/>
    <x v="5"/>
    <x v="8"/>
    <n v="21.99"/>
  </r>
  <r>
    <d v="2025-10-07T00:00:00"/>
    <x v="2"/>
    <x v="21"/>
    <x v="1"/>
    <x v="68"/>
    <x v="3"/>
    <x v="3"/>
    <x v="59"/>
    <x v="0"/>
    <x v="16"/>
    <x v="1"/>
    <x v="0"/>
    <n v="56.7"/>
  </r>
  <r>
    <d v="2025-10-07T00:00:00"/>
    <x v="2"/>
    <x v="21"/>
    <x v="0"/>
    <x v="88"/>
    <x v="1"/>
    <x v="1"/>
    <x v="17"/>
    <x v="0"/>
    <x v="4"/>
    <x v="3"/>
    <x v="1"/>
    <n v="65.92"/>
  </r>
  <r>
    <d v="2025-10-07T00:00:00"/>
    <x v="2"/>
    <x v="21"/>
    <x v="1"/>
    <x v="3"/>
    <x v="2"/>
    <x v="2"/>
    <x v="1"/>
    <x v="0"/>
    <x v="11"/>
    <x v="9"/>
    <x v="6"/>
    <n v="239.94"/>
  </r>
  <r>
    <d v="2025-10-07T00:00:00"/>
    <x v="2"/>
    <x v="21"/>
    <x v="0"/>
    <x v="30"/>
    <x v="6"/>
    <x v="6"/>
    <x v="37"/>
    <x v="0"/>
    <x v="14"/>
    <x v="5"/>
    <x v="8"/>
    <n v="977.49"/>
  </r>
  <r>
    <d v="2025-10-08T00:00:00"/>
    <x v="2"/>
    <x v="21"/>
    <x v="1"/>
    <x v="49"/>
    <x v="3"/>
    <x v="3"/>
    <x v="58"/>
    <x v="0"/>
    <x v="16"/>
    <x v="3"/>
    <x v="1"/>
    <n v="51.96"/>
  </r>
  <r>
    <d v="2025-10-08T00:00:00"/>
    <x v="2"/>
    <x v="21"/>
    <x v="1"/>
    <x v="7"/>
    <x v="1"/>
    <x v="1"/>
    <x v="10"/>
    <x v="0"/>
    <x v="10"/>
    <x v="3"/>
    <x v="1"/>
    <n v="99.48"/>
  </r>
  <r>
    <d v="2025-10-08T00:00:00"/>
    <x v="2"/>
    <x v="21"/>
    <x v="1"/>
    <x v="2"/>
    <x v="1"/>
    <x v="1"/>
    <x v="2"/>
    <x v="0"/>
    <x v="6"/>
    <x v="5"/>
    <x v="8"/>
    <n v="195.65"/>
  </r>
  <r>
    <d v="2025-10-08T00:00:00"/>
    <x v="2"/>
    <x v="21"/>
    <x v="1"/>
    <x v="51"/>
    <x v="5"/>
    <x v="5"/>
    <x v="95"/>
    <x v="0"/>
    <x v="18"/>
    <x v="5"/>
    <x v="8"/>
    <n v="199.82"/>
  </r>
  <r>
    <d v="2025-10-08T00:00:00"/>
    <x v="2"/>
    <x v="21"/>
    <x v="1"/>
    <x v="32"/>
    <x v="1"/>
    <x v="1"/>
    <x v="28"/>
    <x v="0"/>
    <x v="8"/>
    <x v="3"/>
    <x v="1"/>
    <n v="984.29"/>
  </r>
  <r>
    <d v="2025-10-09T00:00:00"/>
    <x v="2"/>
    <x v="21"/>
    <x v="0"/>
    <x v="35"/>
    <x v="6"/>
    <x v="6"/>
    <x v="46"/>
    <x v="0"/>
    <x v="7"/>
    <x v="2"/>
    <x v="2"/>
    <n v="2.44"/>
  </r>
  <r>
    <d v="2025-10-09T00:00:00"/>
    <x v="2"/>
    <x v="21"/>
    <x v="0"/>
    <x v="86"/>
    <x v="1"/>
    <x v="1"/>
    <x v="9"/>
    <x v="0"/>
    <x v="10"/>
    <x v="1"/>
    <x v="0"/>
    <n v="90.43"/>
  </r>
  <r>
    <d v="2025-10-09T00:00:00"/>
    <x v="2"/>
    <x v="21"/>
    <x v="1"/>
    <x v="25"/>
    <x v="1"/>
    <x v="1"/>
    <x v="6"/>
    <x v="0"/>
    <x v="6"/>
    <x v="0"/>
    <x v="9"/>
    <n v="90.87"/>
  </r>
  <r>
    <d v="2025-10-09T00:00:00"/>
    <x v="2"/>
    <x v="21"/>
    <x v="1"/>
    <x v="95"/>
    <x v="4"/>
    <x v="4"/>
    <x v="73"/>
    <x v="0"/>
    <x v="15"/>
    <x v="6"/>
    <x v="4"/>
    <n v="204.59"/>
  </r>
  <r>
    <d v="2025-10-09T00:00:00"/>
    <x v="2"/>
    <x v="21"/>
    <x v="0"/>
    <x v="86"/>
    <x v="1"/>
    <x v="1"/>
    <x v="9"/>
    <x v="0"/>
    <x v="10"/>
    <x v="0"/>
    <x v="9"/>
    <n v="269.54"/>
  </r>
  <r>
    <d v="2025-10-09T00:00:00"/>
    <x v="2"/>
    <x v="21"/>
    <x v="1"/>
    <x v="73"/>
    <x v="4"/>
    <x v="4"/>
    <x v="80"/>
    <x v="0"/>
    <x v="0"/>
    <x v="4"/>
    <x v="7"/>
    <n v="498.46"/>
  </r>
  <r>
    <d v="2025-10-09T00:00:00"/>
    <x v="2"/>
    <x v="21"/>
    <x v="1"/>
    <x v="43"/>
    <x v="7"/>
    <x v="7"/>
    <x v="87"/>
    <x v="0"/>
    <x v="12"/>
    <x v="2"/>
    <x v="2"/>
    <n v="665.11"/>
  </r>
  <r>
    <d v="2025-10-09T00:00:00"/>
    <x v="2"/>
    <x v="21"/>
    <x v="0"/>
    <x v="1"/>
    <x v="7"/>
    <x v="7"/>
    <x v="89"/>
    <x v="0"/>
    <x v="12"/>
    <x v="9"/>
    <x v="6"/>
    <n v="1696.45"/>
  </r>
  <r>
    <d v="2025-10-10T00:00:00"/>
    <x v="2"/>
    <x v="21"/>
    <x v="1"/>
    <x v="17"/>
    <x v="3"/>
    <x v="3"/>
    <x v="57"/>
    <x v="0"/>
    <x v="16"/>
    <x v="3"/>
    <x v="1"/>
    <n v="2.0"/>
  </r>
  <r>
    <d v="2025-10-10T00:00:00"/>
    <x v="2"/>
    <x v="21"/>
    <x v="1"/>
    <x v="89"/>
    <x v="1"/>
    <x v="1"/>
    <x v="18"/>
    <x v="0"/>
    <x v="5"/>
    <x v="2"/>
    <x v="2"/>
    <n v="7.99"/>
  </r>
  <r>
    <d v="2025-10-10T00:00:00"/>
    <x v="2"/>
    <x v="21"/>
    <x v="1"/>
    <x v="43"/>
    <x v="7"/>
    <x v="7"/>
    <x v="87"/>
    <x v="0"/>
    <x v="12"/>
    <x v="6"/>
    <x v="4"/>
    <n v="9.0"/>
  </r>
  <r>
    <d v="2025-10-10T00:00:00"/>
    <x v="2"/>
    <x v="21"/>
    <x v="1"/>
    <x v="77"/>
    <x v="3"/>
    <x v="3"/>
    <x v="66"/>
    <x v="0"/>
    <x v="1"/>
    <x v="4"/>
    <x v="7"/>
    <n v="9.98"/>
  </r>
  <r>
    <d v="2025-10-10T00:00:00"/>
    <x v="2"/>
    <x v="21"/>
    <x v="0"/>
    <x v="19"/>
    <x v="7"/>
    <x v="7"/>
    <x v="88"/>
    <x v="0"/>
    <x v="12"/>
    <x v="3"/>
    <x v="1"/>
    <n v="18.98"/>
  </r>
  <r>
    <d v="2025-10-10T00:00:00"/>
    <x v="2"/>
    <x v="21"/>
    <x v="0"/>
    <x v="44"/>
    <x v="6"/>
    <x v="6"/>
    <x v="49"/>
    <x v="0"/>
    <x v="13"/>
    <x v="3"/>
    <x v="1"/>
    <n v="90.93"/>
  </r>
  <r>
    <d v="2025-10-10T00:00:00"/>
    <x v="2"/>
    <x v="21"/>
    <x v="1"/>
    <x v="28"/>
    <x v="6"/>
    <x v="6"/>
    <x v="51"/>
    <x v="0"/>
    <x v="13"/>
    <x v="6"/>
    <x v="4"/>
    <n v="487.23"/>
  </r>
  <r>
    <d v="2025-10-11T00:00:00"/>
    <x v="2"/>
    <x v="21"/>
    <x v="1"/>
    <x v="27"/>
    <x v="6"/>
    <x v="6"/>
    <x v="31"/>
    <x v="0"/>
    <x v="2"/>
    <x v="4"/>
    <x v="7"/>
    <n v="6.6"/>
  </r>
  <r>
    <d v="2025-10-11T00:00:00"/>
    <x v="2"/>
    <x v="21"/>
    <x v="1"/>
    <x v="1"/>
    <x v="7"/>
    <x v="7"/>
    <x v="89"/>
    <x v="0"/>
    <x v="12"/>
    <x v="6"/>
    <x v="4"/>
    <n v="15.92"/>
  </r>
  <r>
    <d v="2025-10-11T00:00:00"/>
    <x v="2"/>
    <x v="21"/>
    <x v="1"/>
    <x v="47"/>
    <x v="3"/>
    <x v="3"/>
    <x v="54"/>
    <x v="0"/>
    <x v="19"/>
    <x v="2"/>
    <x v="2"/>
    <n v="2111.92"/>
  </r>
  <r>
    <d v="2025-10-11T00:00:00"/>
    <x v="2"/>
    <x v="21"/>
    <x v="0"/>
    <x v="9"/>
    <x v="7"/>
    <x v="7"/>
    <x v="82"/>
    <x v="0"/>
    <x v="20"/>
    <x v="3"/>
    <x v="1"/>
    <n v="2190.23"/>
  </r>
  <r>
    <d v="2025-10-12T00:00:00"/>
    <x v="2"/>
    <x v="21"/>
    <x v="1"/>
    <x v="34"/>
    <x v="6"/>
    <x v="6"/>
    <x v="32"/>
    <x v="0"/>
    <x v="2"/>
    <x v="0"/>
    <x v="9"/>
    <n v="2.3"/>
  </r>
  <r>
    <d v="2025-10-12T00:00:00"/>
    <x v="2"/>
    <x v="21"/>
    <x v="1"/>
    <x v="41"/>
    <x v="5"/>
    <x v="5"/>
    <x v="93"/>
    <x v="0"/>
    <x v="18"/>
    <x v="5"/>
    <x v="8"/>
    <n v="19.39"/>
  </r>
  <r>
    <d v="2025-10-12T00:00:00"/>
    <x v="2"/>
    <x v="21"/>
    <x v="0"/>
    <x v="80"/>
    <x v="6"/>
    <x v="6"/>
    <x v="38"/>
    <x v="0"/>
    <x v="14"/>
    <x v="0"/>
    <x v="9"/>
    <n v="76.21"/>
  </r>
  <r>
    <d v="2025-10-12T00:00:00"/>
    <x v="2"/>
    <x v="21"/>
    <x v="1"/>
    <x v="52"/>
    <x v="1"/>
    <x v="1"/>
    <x v="11"/>
    <x v="0"/>
    <x v="10"/>
    <x v="2"/>
    <x v="2"/>
    <n v="734.98"/>
  </r>
  <r>
    <d v="2025-10-12T00:00:00"/>
    <x v="2"/>
    <x v="21"/>
    <x v="1"/>
    <x v="15"/>
    <x v="4"/>
    <x v="4"/>
    <x v="79"/>
    <x v="0"/>
    <x v="0"/>
    <x v="6"/>
    <x v="4"/>
    <n v="829.82"/>
  </r>
  <r>
    <d v="2025-10-12T00:00:00"/>
    <x v="2"/>
    <x v="21"/>
    <x v="1"/>
    <x v="32"/>
    <x v="1"/>
    <x v="1"/>
    <x v="28"/>
    <x v="0"/>
    <x v="8"/>
    <x v="9"/>
    <x v="6"/>
    <n v="8620.21"/>
  </r>
  <r>
    <d v="2025-10-13T00:00:00"/>
    <x v="2"/>
    <x v="21"/>
    <x v="1"/>
    <x v="17"/>
    <x v="3"/>
    <x v="3"/>
    <x v="57"/>
    <x v="0"/>
    <x v="16"/>
    <x v="8"/>
    <x v="5"/>
    <n v="27.96"/>
  </r>
  <r>
    <d v="2025-10-13T00:00:00"/>
    <x v="2"/>
    <x v="21"/>
    <x v="1"/>
    <x v="69"/>
    <x v="1"/>
    <x v="1"/>
    <x v="19"/>
    <x v="0"/>
    <x v="5"/>
    <x v="6"/>
    <x v="4"/>
    <n v="82.16"/>
  </r>
  <r>
    <d v="2025-10-13T00:00:00"/>
    <x v="2"/>
    <x v="21"/>
    <x v="1"/>
    <x v="2"/>
    <x v="1"/>
    <x v="1"/>
    <x v="2"/>
    <x v="0"/>
    <x v="6"/>
    <x v="6"/>
    <x v="4"/>
    <n v="295.7"/>
  </r>
  <r>
    <d v="2025-10-13T00:00:00"/>
    <x v="2"/>
    <x v="21"/>
    <x v="1"/>
    <x v="38"/>
    <x v="0"/>
    <x v="0"/>
    <x v="21"/>
    <x v="0"/>
    <x v="5"/>
    <x v="1"/>
    <x v="0"/>
    <n v="308.82"/>
  </r>
  <r>
    <d v="2025-10-13T00:00:00"/>
    <x v="2"/>
    <x v="21"/>
    <x v="1"/>
    <x v="24"/>
    <x v="6"/>
    <x v="6"/>
    <x v="36"/>
    <x v="0"/>
    <x v="14"/>
    <x v="3"/>
    <x v="1"/>
    <n v="682.81"/>
  </r>
  <r>
    <d v="2025-10-13T00:00:00"/>
    <x v="2"/>
    <x v="21"/>
    <x v="1"/>
    <x v="32"/>
    <x v="1"/>
    <x v="1"/>
    <x v="28"/>
    <x v="0"/>
    <x v="8"/>
    <x v="6"/>
    <x v="4"/>
    <n v="922.07"/>
  </r>
  <r>
    <d v="2025-10-13T00:00:00"/>
    <x v="2"/>
    <x v="21"/>
    <x v="1"/>
    <x v="81"/>
    <x v="4"/>
    <x v="4"/>
    <x v="77"/>
    <x v="0"/>
    <x v="15"/>
    <x v="2"/>
    <x v="2"/>
    <n v="1130.88"/>
  </r>
  <r>
    <d v="2025-10-14T00:00:00"/>
    <x v="2"/>
    <x v="21"/>
    <x v="1"/>
    <x v="12"/>
    <x v="1"/>
    <x v="1"/>
    <x v="26"/>
    <x v="0"/>
    <x v="8"/>
    <x v="1"/>
    <x v="0"/>
    <n v="332.64"/>
  </r>
  <r>
    <d v="2025-10-14T00:00:00"/>
    <x v="2"/>
    <x v="21"/>
    <x v="0"/>
    <x v="33"/>
    <x v="1"/>
    <x v="1"/>
    <x v="13"/>
    <x v="0"/>
    <x v="10"/>
    <x v="3"/>
    <x v="1"/>
    <n v="536.36"/>
  </r>
  <r>
    <d v="2025-10-14T00:00:00"/>
    <x v="2"/>
    <x v="21"/>
    <x v="1"/>
    <x v="35"/>
    <x v="6"/>
    <x v="6"/>
    <x v="46"/>
    <x v="0"/>
    <x v="7"/>
    <x v="3"/>
    <x v="1"/>
    <n v="698.73"/>
  </r>
  <r>
    <d v="2025-10-14T00:00:00"/>
    <x v="2"/>
    <x v="21"/>
    <x v="1"/>
    <x v="50"/>
    <x v="7"/>
    <x v="7"/>
    <x v="83"/>
    <x v="0"/>
    <x v="20"/>
    <x v="3"/>
    <x v="1"/>
    <n v="4995.61"/>
  </r>
  <r>
    <d v="2025-10-15T00:00:00"/>
    <x v="2"/>
    <x v="21"/>
    <x v="1"/>
    <x v="22"/>
    <x v="1"/>
    <x v="1"/>
    <x v="20"/>
    <x v="0"/>
    <x v="5"/>
    <x v="2"/>
    <x v="2"/>
    <n v="2.0"/>
  </r>
  <r>
    <d v="2025-10-15T00:00:00"/>
    <x v="2"/>
    <x v="21"/>
    <x v="1"/>
    <x v="19"/>
    <x v="7"/>
    <x v="7"/>
    <x v="88"/>
    <x v="0"/>
    <x v="12"/>
    <x v="6"/>
    <x v="4"/>
    <n v="64.0"/>
  </r>
  <r>
    <d v="2025-10-15T00:00:00"/>
    <x v="2"/>
    <x v="21"/>
    <x v="0"/>
    <x v="45"/>
    <x v="3"/>
    <x v="3"/>
    <x v="64"/>
    <x v="0"/>
    <x v="1"/>
    <x v="3"/>
    <x v="1"/>
    <n v="193.8"/>
  </r>
  <r>
    <d v="2025-10-15T00:00:00"/>
    <x v="2"/>
    <x v="21"/>
    <x v="0"/>
    <x v="7"/>
    <x v="1"/>
    <x v="1"/>
    <x v="10"/>
    <x v="0"/>
    <x v="10"/>
    <x v="4"/>
    <x v="7"/>
    <n v="382.42"/>
  </r>
  <r>
    <d v="2025-10-15T00:00:00"/>
    <x v="2"/>
    <x v="21"/>
    <x v="1"/>
    <x v="71"/>
    <x v="1"/>
    <x v="1"/>
    <x v="27"/>
    <x v="0"/>
    <x v="8"/>
    <x v="0"/>
    <x v="9"/>
    <n v="491.43"/>
  </r>
  <r>
    <d v="2025-10-16T00:00:00"/>
    <x v="2"/>
    <x v="21"/>
    <x v="0"/>
    <x v="35"/>
    <x v="6"/>
    <x v="6"/>
    <x v="46"/>
    <x v="0"/>
    <x v="7"/>
    <x v="1"/>
    <x v="0"/>
    <n v="11.32"/>
  </r>
  <r>
    <d v="2025-10-16T00:00:00"/>
    <x v="2"/>
    <x v="21"/>
    <x v="1"/>
    <x v="13"/>
    <x v="0"/>
    <x v="0"/>
    <x v="22"/>
    <x v="0"/>
    <x v="5"/>
    <x v="6"/>
    <x v="4"/>
    <n v="13.47"/>
  </r>
  <r>
    <d v="2025-10-16T00:00:00"/>
    <x v="2"/>
    <x v="21"/>
    <x v="1"/>
    <x v="28"/>
    <x v="6"/>
    <x v="6"/>
    <x v="51"/>
    <x v="0"/>
    <x v="13"/>
    <x v="6"/>
    <x v="4"/>
    <n v="20.97"/>
  </r>
  <r>
    <d v="2025-10-16T00:00:00"/>
    <x v="2"/>
    <x v="21"/>
    <x v="0"/>
    <x v="56"/>
    <x v="7"/>
    <x v="7"/>
    <x v="86"/>
    <x v="0"/>
    <x v="12"/>
    <x v="0"/>
    <x v="9"/>
    <n v="29.95"/>
  </r>
  <r>
    <d v="2025-10-16T00:00:00"/>
    <x v="2"/>
    <x v="21"/>
    <x v="1"/>
    <x v="15"/>
    <x v="4"/>
    <x v="4"/>
    <x v="79"/>
    <x v="0"/>
    <x v="0"/>
    <x v="5"/>
    <x v="8"/>
    <n v="164.52"/>
  </r>
  <r>
    <d v="2025-10-16T00:00:00"/>
    <x v="2"/>
    <x v="21"/>
    <x v="1"/>
    <x v="53"/>
    <x v="1"/>
    <x v="1"/>
    <x v="16"/>
    <x v="0"/>
    <x v="4"/>
    <x v="5"/>
    <x v="8"/>
    <n v="769.59"/>
  </r>
  <r>
    <d v="2025-10-16T00:00:00"/>
    <x v="2"/>
    <x v="21"/>
    <x v="1"/>
    <x v="39"/>
    <x v="7"/>
    <x v="7"/>
    <x v="91"/>
    <x v="0"/>
    <x v="9"/>
    <x v="3"/>
    <x v="1"/>
    <n v="3474.51"/>
  </r>
  <r>
    <d v="2025-10-16T00:00:00"/>
    <x v="2"/>
    <x v="21"/>
    <x v="0"/>
    <x v="27"/>
    <x v="6"/>
    <x v="6"/>
    <x v="31"/>
    <x v="0"/>
    <x v="2"/>
    <x v="9"/>
    <x v="6"/>
    <n v="5433.69"/>
  </r>
  <r>
    <d v="2025-10-17T00:00:00"/>
    <x v="2"/>
    <x v="21"/>
    <x v="1"/>
    <x v="84"/>
    <x v="3"/>
    <x v="3"/>
    <x v="53"/>
    <x v="0"/>
    <x v="19"/>
    <x v="5"/>
    <x v="8"/>
    <n v="2.67"/>
  </r>
  <r>
    <d v="2025-10-17T00:00:00"/>
    <x v="2"/>
    <x v="21"/>
    <x v="0"/>
    <x v="83"/>
    <x v="3"/>
    <x v="3"/>
    <x v="56"/>
    <x v="0"/>
    <x v="16"/>
    <x v="6"/>
    <x v="4"/>
    <n v="7.76"/>
  </r>
  <r>
    <d v="2025-10-17T00:00:00"/>
    <x v="2"/>
    <x v="21"/>
    <x v="0"/>
    <x v="72"/>
    <x v="1"/>
    <x v="1"/>
    <x v="24"/>
    <x v="0"/>
    <x v="8"/>
    <x v="6"/>
    <x v="4"/>
    <n v="26.95"/>
  </r>
  <r>
    <d v="2025-10-17T00:00:00"/>
    <x v="2"/>
    <x v="21"/>
    <x v="1"/>
    <x v="23"/>
    <x v="1"/>
    <x v="1"/>
    <x v="12"/>
    <x v="0"/>
    <x v="10"/>
    <x v="4"/>
    <x v="7"/>
    <n v="38.0"/>
  </r>
  <r>
    <d v="2025-10-17T00:00:00"/>
    <x v="2"/>
    <x v="21"/>
    <x v="1"/>
    <x v="58"/>
    <x v="3"/>
    <x v="3"/>
    <x v="61"/>
    <x v="0"/>
    <x v="17"/>
    <x v="5"/>
    <x v="8"/>
    <n v="882.84"/>
  </r>
  <r>
    <d v="2025-10-17T00:00:00"/>
    <x v="2"/>
    <x v="21"/>
    <x v="0"/>
    <x v="5"/>
    <x v="1"/>
    <x v="1"/>
    <x v="14"/>
    <x v="0"/>
    <x v="4"/>
    <x v="6"/>
    <x v="4"/>
    <n v="7792.92"/>
  </r>
  <r>
    <d v="2025-10-18T00:00:00"/>
    <x v="2"/>
    <x v="21"/>
    <x v="1"/>
    <x v="96"/>
    <x v="3"/>
    <x v="3"/>
    <x v="67"/>
    <x v="0"/>
    <x v="1"/>
    <x v="1"/>
    <x v="0"/>
    <n v="2.0"/>
  </r>
  <r>
    <d v="2025-10-18T00:00:00"/>
    <x v="2"/>
    <x v="21"/>
    <x v="1"/>
    <x v="4"/>
    <x v="6"/>
    <x v="6"/>
    <x v="29"/>
    <x v="0"/>
    <x v="2"/>
    <x v="5"/>
    <x v="8"/>
    <n v="38.28"/>
  </r>
  <r>
    <d v="2025-10-18T00:00:00"/>
    <x v="2"/>
    <x v="21"/>
    <x v="0"/>
    <x v="34"/>
    <x v="6"/>
    <x v="6"/>
    <x v="32"/>
    <x v="0"/>
    <x v="2"/>
    <x v="0"/>
    <x v="9"/>
    <n v="203.88"/>
  </r>
  <r>
    <d v="2025-10-18T00:00:00"/>
    <x v="2"/>
    <x v="21"/>
    <x v="1"/>
    <x v="17"/>
    <x v="3"/>
    <x v="3"/>
    <x v="57"/>
    <x v="0"/>
    <x v="16"/>
    <x v="0"/>
    <x v="9"/>
    <n v="318.38"/>
  </r>
  <r>
    <d v="2025-10-18T00:00:00"/>
    <x v="2"/>
    <x v="21"/>
    <x v="0"/>
    <x v="87"/>
    <x v="3"/>
    <x v="3"/>
    <x v="52"/>
    <x v="0"/>
    <x v="19"/>
    <x v="5"/>
    <x v="8"/>
    <n v="335.41"/>
  </r>
  <r>
    <d v="2025-10-18T00:00:00"/>
    <x v="2"/>
    <x v="21"/>
    <x v="1"/>
    <x v="69"/>
    <x v="1"/>
    <x v="1"/>
    <x v="19"/>
    <x v="0"/>
    <x v="5"/>
    <x v="6"/>
    <x v="4"/>
    <n v="379.01"/>
  </r>
  <r>
    <d v="2025-10-18T00:00:00"/>
    <x v="2"/>
    <x v="21"/>
    <x v="0"/>
    <x v="34"/>
    <x v="6"/>
    <x v="6"/>
    <x v="32"/>
    <x v="0"/>
    <x v="2"/>
    <x v="1"/>
    <x v="0"/>
    <n v="408.49"/>
  </r>
  <r>
    <d v="2025-10-18T00:00:00"/>
    <x v="2"/>
    <x v="21"/>
    <x v="1"/>
    <x v="52"/>
    <x v="1"/>
    <x v="1"/>
    <x v="11"/>
    <x v="0"/>
    <x v="10"/>
    <x v="9"/>
    <x v="6"/>
    <n v="571.76"/>
  </r>
  <r>
    <d v="2025-10-18T00:00:00"/>
    <x v="2"/>
    <x v="21"/>
    <x v="1"/>
    <x v="82"/>
    <x v="6"/>
    <x v="6"/>
    <x v="47"/>
    <x v="0"/>
    <x v="13"/>
    <x v="3"/>
    <x v="1"/>
    <n v="2385.37"/>
  </r>
  <r>
    <d v="2025-10-19T00:00:00"/>
    <x v="2"/>
    <x v="21"/>
    <x v="1"/>
    <x v="62"/>
    <x v="6"/>
    <x v="6"/>
    <x v="50"/>
    <x v="0"/>
    <x v="13"/>
    <x v="1"/>
    <x v="0"/>
    <n v="3.0"/>
  </r>
  <r>
    <d v="2025-10-19T00:00:00"/>
    <x v="2"/>
    <x v="21"/>
    <x v="1"/>
    <x v="78"/>
    <x v="5"/>
    <x v="5"/>
    <x v="94"/>
    <x v="0"/>
    <x v="18"/>
    <x v="5"/>
    <x v="8"/>
    <n v="29.98"/>
  </r>
  <r>
    <d v="2025-10-19T00:00:00"/>
    <x v="2"/>
    <x v="21"/>
    <x v="1"/>
    <x v="6"/>
    <x v="1"/>
    <x v="1"/>
    <x v="5"/>
    <x v="0"/>
    <x v="6"/>
    <x v="4"/>
    <x v="7"/>
    <n v="129.68"/>
  </r>
  <r>
    <d v="2025-10-19T00:00:00"/>
    <x v="2"/>
    <x v="21"/>
    <x v="0"/>
    <x v="40"/>
    <x v="3"/>
    <x v="3"/>
    <x v="65"/>
    <x v="0"/>
    <x v="1"/>
    <x v="4"/>
    <x v="7"/>
    <n v="303.34"/>
  </r>
  <r>
    <d v="2025-10-19T00:00:00"/>
    <x v="2"/>
    <x v="21"/>
    <x v="1"/>
    <x v="72"/>
    <x v="1"/>
    <x v="1"/>
    <x v="24"/>
    <x v="0"/>
    <x v="8"/>
    <x v="6"/>
    <x v="4"/>
    <n v="568.37"/>
  </r>
  <r>
    <d v="2025-10-19T00:00:00"/>
    <x v="2"/>
    <x v="21"/>
    <x v="1"/>
    <x v="78"/>
    <x v="5"/>
    <x v="5"/>
    <x v="94"/>
    <x v="0"/>
    <x v="18"/>
    <x v="5"/>
    <x v="8"/>
    <n v="819.13"/>
  </r>
  <r>
    <d v="2025-10-19T00:00:00"/>
    <x v="2"/>
    <x v="21"/>
    <x v="1"/>
    <x v="37"/>
    <x v="6"/>
    <x v="6"/>
    <x v="39"/>
    <x v="0"/>
    <x v="14"/>
    <x v="2"/>
    <x v="2"/>
    <n v="1409.15"/>
  </r>
  <r>
    <d v="2025-10-19T00:00:00"/>
    <x v="2"/>
    <x v="21"/>
    <x v="1"/>
    <x v="12"/>
    <x v="1"/>
    <x v="1"/>
    <x v="26"/>
    <x v="0"/>
    <x v="8"/>
    <x v="5"/>
    <x v="8"/>
    <n v="3399.23"/>
  </r>
  <r>
    <d v="2025-10-19T00:00:00"/>
    <x v="2"/>
    <x v="21"/>
    <x v="1"/>
    <x v="30"/>
    <x v="6"/>
    <x v="6"/>
    <x v="37"/>
    <x v="0"/>
    <x v="14"/>
    <x v="5"/>
    <x v="8"/>
    <n v="5209.54"/>
  </r>
  <r>
    <d v="2025-10-20T00:00:00"/>
    <x v="2"/>
    <x v="21"/>
    <x v="0"/>
    <x v="84"/>
    <x v="3"/>
    <x v="3"/>
    <x v="53"/>
    <x v="0"/>
    <x v="19"/>
    <x v="6"/>
    <x v="4"/>
    <n v="101.55"/>
  </r>
  <r>
    <d v="2025-10-20T00:00:00"/>
    <x v="2"/>
    <x v="21"/>
    <x v="0"/>
    <x v="18"/>
    <x v="5"/>
    <x v="5"/>
    <x v="96"/>
    <x v="0"/>
    <x v="18"/>
    <x v="8"/>
    <x v="5"/>
    <n v="118.75"/>
  </r>
  <r>
    <d v="2025-10-20T00:00:00"/>
    <x v="2"/>
    <x v="21"/>
    <x v="1"/>
    <x v="24"/>
    <x v="6"/>
    <x v="6"/>
    <x v="36"/>
    <x v="0"/>
    <x v="14"/>
    <x v="1"/>
    <x v="0"/>
    <n v="194.64"/>
  </r>
  <r>
    <d v="2025-10-20T00:00:00"/>
    <x v="2"/>
    <x v="21"/>
    <x v="1"/>
    <x v="49"/>
    <x v="3"/>
    <x v="3"/>
    <x v="58"/>
    <x v="0"/>
    <x v="16"/>
    <x v="9"/>
    <x v="6"/>
    <n v="724.75"/>
  </r>
  <r>
    <d v="2025-10-20T00:00:00"/>
    <x v="2"/>
    <x v="21"/>
    <x v="1"/>
    <x v="80"/>
    <x v="6"/>
    <x v="6"/>
    <x v="38"/>
    <x v="0"/>
    <x v="14"/>
    <x v="9"/>
    <x v="6"/>
    <n v="1335.41"/>
  </r>
  <r>
    <d v="2025-10-20T00:00:00"/>
    <x v="2"/>
    <x v="21"/>
    <x v="1"/>
    <x v="32"/>
    <x v="1"/>
    <x v="1"/>
    <x v="28"/>
    <x v="0"/>
    <x v="8"/>
    <x v="1"/>
    <x v="0"/>
    <n v="1413.33"/>
  </r>
  <r>
    <d v="2025-10-21T00:00:00"/>
    <x v="2"/>
    <x v="21"/>
    <x v="1"/>
    <x v="80"/>
    <x v="6"/>
    <x v="6"/>
    <x v="38"/>
    <x v="0"/>
    <x v="14"/>
    <x v="3"/>
    <x v="1"/>
    <n v="2.0"/>
  </r>
  <r>
    <d v="2025-10-21T00:00:00"/>
    <x v="2"/>
    <x v="21"/>
    <x v="0"/>
    <x v="35"/>
    <x v="6"/>
    <x v="6"/>
    <x v="46"/>
    <x v="0"/>
    <x v="7"/>
    <x v="5"/>
    <x v="8"/>
    <n v="49.25"/>
  </r>
  <r>
    <d v="2025-10-21T00:00:00"/>
    <x v="2"/>
    <x v="21"/>
    <x v="1"/>
    <x v="59"/>
    <x v="1"/>
    <x v="1"/>
    <x v="3"/>
    <x v="0"/>
    <x v="6"/>
    <x v="1"/>
    <x v="0"/>
    <n v="253.71"/>
  </r>
  <r>
    <d v="2025-10-21T00:00:00"/>
    <x v="2"/>
    <x v="21"/>
    <x v="1"/>
    <x v="24"/>
    <x v="6"/>
    <x v="6"/>
    <x v="36"/>
    <x v="0"/>
    <x v="14"/>
    <x v="5"/>
    <x v="8"/>
    <n v="515.17"/>
  </r>
  <r>
    <d v="2025-10-21T00:00:00"/>
    <x v="2"/>
    <x v="21"/>
    <x v="1"/>
    <x v="69"/>
    <x v="1"/>
    <x v="1"/>
    <x v="19"/>
    <x v="0"/>
    <x v="5"/>
    <x v="6"/>
    <x v="4"/>
    <n v="6304.05"/>
  </r>
  <r>
    <d v="2025-10-22T00:00:00"/>
    <x v="2"/>
    <x v="21"/>
    <x v="0"/>
    <x v="25"/>
    <x v="1"/>
    <x v="1"/>
    <x v="6"/>
    <x v="0"/>
    <x v="6"/>
    <x v="5"/>
    <x v="8"/>
    <n v="11.92"/>
  </r>
  <r>
    <d v="2025-10-22T00:00:00"/>
    <x v="2"/>
    <x v="21"/>
    <x v="0"/>
    <x v="56"/>
    <x v="7"/>
    <x v="7"/>
    <x v="86"/>
    <x v="0"/>
    <x v="12"/>
    <x v="3"/>
    <x v="1"/>
    <n v="58.96"/>
  </r>
  <r>
    <d v="2025-10-22T00:00:00"/>
    <x v="2"/>
    <x v="21"/>
    <x v="1"/>
    <x v="27"/>
    <x v="6"/>
    <x v="6"/>
    <x v="31"/>
    <x v="0"/>
    <x v="2"/>
    <x v="5"/>
    <x v="8"/>
    <n v="82.17"/>
  </r>
  <r>
    <d v="2025-10-22T00:00:00"/>
    <x v="2"/>
    <x v="21"/>
    <x v="1"/>
    <x v="4"/>
    <x v="6"/>
    <x v="6"/>
    <x v="29"/>
    <x v="0"/>
    <x v="2"/>
    <x v="9"/>
    <x v="6"/>
    <n v="172.26"/>
  </r>
  <r>
    <d v="2025-10-22T00:00:00"/>
    <x v="2"/>
    <x v="21"/>
    <x v="1"/>
    <x v="67"/>
    <x v="3"/>
    <x v="3"/>
    <x v="62"/>
    <x v="0"/>
    <x v="17"/>
    <x v="3"/>
    <x v="1"/>
    <n v="445.42"/>
  </r>
  <r>
    <d v="2025-10-22T00:00:00"/>
    <x v="2"/>
    <x v="21"/>
    <x v="1"/>
    <x v="48"/>
    <x v="7"/>
    <x v="7"/>
    <x v="85"/>
    <x v="0"/>
    <x v="20"/>
    <x v="6"/>
    <x v="4"/>
    <n v="580.8"/>
  </r>
  <r>
    <d v="2025-10-23T00:00:00"/>
    <x v="2"/>
    <x v="21"/>
    <x v="1"/>
    <x v="66"/>
    <x v="4"/>
    <x v="4"/>
    <x v="76"/>
    <x v="0"/>
    <x v="15"/>
    <x v="4"/>
    <x v="7"/>
    <n v="1.99"/>
  </r>
  <r>
    <d v="2025-10-23T00:00:00"/>
    <x v="2"/>
    <x v="21"/>
    <x v="1"/>
    <x v="24"/>
    <x v="6"/>
    <x v="6"/>
    <x v="36"/>
    <x v="0"/>
    <x v="14"/>
    <x v="3"/>
    <x v="1"/>
    <n v="15.0"/>
  </r>
  <r>
    <d v="2025-10-23T00:00:00"/>
    <x v="2"/>
    <x v="21"/>
    <x v="1"/>
    <x v="32"/>
    <x v="1"/>
    <x v="1"/>
    <x v="28"/>
    <x v="0"/>
    <x v="8"/>
    <x v="5"/>
    <x v="8"/>
    <n v="53.94"/>
  </r>
  <r>
    <d v="2025-10-23T00:00:00"/>
    <x v="2"/>
    <x v="21"/>
    <x v="1"/>
    <x v="27"/>
    <x v="6"/>
    <x v="6"/>
    <x v="31"/>
    <x v="0"/>
    <x v="2"/>
    <x v="8"/>
    <x v="5"/>
    <n v="83.79"/>
  </r>
  <r>
    <d v="2025-10-23T00:00:00"/>
    <x v="2"/>
    <x v="21"/>
    <x v="0"/>
    <x v="95"/>
    <x v="4"/>
    <x v="4"/>
    <x v="73"/>
    <x v="0"/>
    <x v="15"/>
    <x v="9"/>
    <x v="6"/>
    <n v="288.18"/>
  </r>
  <r>
    <d v="2025-10-23T00:00:00"/>
    <x v="2"/>
    <x v="21"/>
    <x v="1"/>
    <x v="43"/>
    <x v="7"/>
    <x v="7"/>
    <x v="87"/>
    <x v="0"/>
    <x v="12"/>
    <x v="9"/>
    <x v="6"/>
    <n v="771.19"/>
  </r>
  <r>
    <d v="2025-10-23T00:00:00"/>
    <x v="2"/>
    <x v="21"/>
    <x v="1"/>
    <x v="57"/>
    <x v="4"/>
    <x v="4"/>
    <x v="74"/>
    <x v="0"/>
    <x v="15"/>
    <x v="3"/>
    <x v="1"/>
    <n v="819.16"/>
  </r>
  <r>
    <d v="2025-10-23T00:00:00"/>
    <x v="2"/>
    <x v="21"/>
    <x v="1"/>
    <x v="24"/>
    <x v="6"/>
    <x v="6"/>
    <x v="36"/>
    <x v="0"/>
    <x v="14"/>
    <x v="1"/>
    <x v="0"/>
    <n v="920.17"/>
  </r>
  <r>
    <d v="2025-10-24T00:00:00"/>
    <x v="2"/>
    <x v="21"/>
    <x v="1"/>
    <x v="15"/>
    <x v="4"/>
    <x v="4"/>
    <x v="79"/>
    <x v="0"/>
    <x v="0"/>
    <x v="8"/>
    <x v="5"/>
    <n v="2.99"/>
  </r>
  <r>
    <d v="2025-10-24T00:00:00"/>
    <x v="2"/>
    <x v="21"/>
    <x v="1"/>
    <x v="4"/>
    <x v="6"/>
    <x v="6"/>
    <x v="29"/>
    <x v="0"/>
    <x v="2"/>
    <x v="6"/>
    <x v="4"/>
    <n v="9.36"/>
  </r>
  <r>
    <d v="2025-10-24T00:00:00"/>
    <x v="2"/>
    <x v="21"/>
    <x v="1"/>
    <x v="54"/>
    <x v="1"/>
    <x v="1"/>
    <x v="25"/>
    <x v="0"/>
    <x v="8"/>
    <x v="6"/>
    <x v="4"/>
    <n v="59.85"/>
  </r>
  <r>
    <d v="2025-10-24T00:00:00"/>
    <x v="2"/>
    <x v="21"/>
    <x v="0"/>
    <x v="59"/>
    <x v="1"/>
    <x v="1"/>
    <x v="3"/>
    <x v="0"/>
    <x v="6"/>
    <x v="3"/>
    <x v="1"/>
    <n v="101.5"/>
  </r>
  <r>
    <d v="2025-10-24T00:00:00"/>
    <x v="2"/>
    <x v="21"/>
    <x v="1"/>
    <x v="70"/>
    <x v="6"/>
    <x v="6"/>
    <x v="33"/>
    <x v="0"/>
    <x v="14"/>
    <x v="6"/>
    <x v="4"/>
    <n v="455.37"/>
  </r>
  <r>
    <d v="2025-10-24T00:00:00"/>
    <x v="2"/>
    <x v="21"/>
    <x v="1"/>
    <x v="74"/>
    <x v="4"/>
    <x v="4"/>
    <x v="75"/>
    <x v="0"/>
    <x v="15"/>
    <x v="5"/>
    <x v="8"/>
    <n v="458.33"/>
  </r>
  <r>
    <d v="2025-10-24T00:00:00"/>
    <x v="2"/>
    <x v="21"/>
    <x v="1"/>
    <x v="13"/>
    <x v="0"/>
    <x v="0"/>
    <x v="22"/>
    <x v="0"/>
    <x v="5"/>
    <x v="4"/>
    <x v="7"/>
    <n v="601.51"/>
  </r>
  <r>
    <d v="2025-10-25T00:00:00"/>
    <x v="2"/>
    <x v="21"/>
    <x v="1"/>
    <x v="10"/>
    <x v="6"/>
    <x v="6"/>
    <x v="41"/>
    <x v="0"/>
    <x v="7"/>
    <x v="3"/>
    <x v="1"/>
    <n v="9.99"/>
  </r>
  <r>
    <d v="2025-10-25T00:00:00"/>
    <x v="2"/>
    <x v="21"/>
    <x v="1"/>
    <x v="26"/>
    <x v="7"/>
    <x v="7"/>
    <x v="81"/>
    <x v="0"/>
    <x v="20"/>
    <x v="4"/>
    <x v="7"/>
    <n v="43.89"/>
  </r>
  <r>
    <d v="2025-10-25T00:00:00"/>
    <x v="2"/>
    <x v="21"/>
    <x v="1"/>
    <x v="45"/>
    <x v="3"/>
    <x v="3"/>
    <x v="64"/>
    <x v="0"/>
    <x v="1"/>
    <x v="2"/>
    <x v="2"/>
    <n v="63.0"/>
  </r>
  <r>
    <d v="2025-10-25T00:00:00"/>
    <x v="2"/>
    <x v="21"/>
    <x v="1"/>
    <x v="96"/>
    <x v="3"/>
    <x v="3"/>
    <x v="67"/>
    <x v="0"/>
    <x v="1"/>
    <x v="5"/>
    <x v="8"/>
    <n v="113.68"/>
  </r>
  <r>
    <d v="2025-10-25T00:00:00"/>
    <x v="2"/>
    <x v="21"/>
    <x v="1"/>
    <x v="68"/>
    <x v="3"/>
    <x v="3"/>
    <x v="59"/>
    <x v="0"/>
    <x v="16"/>
    <x v="8"/>
    <x v="5"/>
    <n v="161.68"/>
  </r>
  <r>
    <d v="2025-10-25T00:00:00"/>
    <x v="2"/>
    <x v="21"/>
    <x v="0"/>
    <x v="46"/>
    <x v="6"/>
    <x v="6"/>
    <x v="42"/>
    <x v="0"/>
    <x v="7"/>
    <x v="9"/>
    <x v="6"/>
    <n v="209.9"/>
  </r>
  <r>
    <d v="2025-10-25T00:00:00"/>
    <x v="2"/>
    <x v="21"/>
    <x v="1"/>
    <x v="39"/>
    <x v="7"/>
    <x v="7"/>
    <x v="91"/>
    <x v="0"/>
    <x v="9"/>
    <x v="6"/>
    <x v="4"/>
    <n v="294.79"/>
  </r>
  <r>
    <d v="2025-10-25T00:00:00"/>
    <x v="2"/>
    <x v="21"/>
    <x v="1"/>
    <x v="90"/>
    <x v="3"/>
    <x v="3"/>
    <x v="55"/>
    <x v="0"/>
    <x v="19"/>
    <x v="4"/>
    <x v="7"/>
    <n v="551.24"/>
  </r>
  <r>
    <d v="2025-10-25T00:00:00"/>
    <x v="2"/>
    <x v="21"/>
    <x v="1"/>
    <x v="22"/>
    <x v="1"/>
    <x v="1"/>
    <x v="20"/>
    <x v="0"/>
    <x v="5"/>
    <x v="3"/>
    <x v="1"/>
    <n v="3080.41"/>
  </r>
  <r>
    <d v="2025-10-25T00:00:00"/>
    <x v="2"/>
    <x v="21"/>
    <x v="1"/>
    <x v="37"/>
    <x v="6"/>
    <x v="6"/>
    <x v="39"/>
    <x v="0"/>
    <x v="14"/>
    <x v="2"/>
    <x v="2"/>
    <n v="5521.92"/>
  </r>
  <r>
    <d v="2025-10-26T00:00:00"/>
    <x v="2"/>
    <x v="21"/>
    <x v="0"/>
    <x v="53"/>
    <x v="1"/>
    <x v="1"/>
    <x v="16"/>
    <x v="0"/>
    <x v="4"/>
    <x v="8"/>
    <x v="5"/>
    <n v="6.99"/>
  </r>
  <r>
    <d v="2025-10-26T00:00:00"/>
    <x v="2"/>
    <x v="21"/>
    <x v="1"/>
    <x v="88"/>
    <x v="1"/>
    <x v="1"/>
    <x v="17"/>
    <x v="0"/>
    <x v="4"/>
    <x v="4"/>
    <x v="7"/>
    <n v="19.95"/>
  </r>
  <r>
    <d v="2025-10-26T00:00:00"/>
    <x v="2"/>
    <x v="21"/>
    <x v="0"/>
    <x v="52"/>
    <x v="1"/>
    <x v="1"/>
    <x v="11"/>
    <x v="0"/>
    <x v="10"/>
    <x v="1"/>
    <x v="0"/>
    <n v="59.97"/>
  </r>
  <r>
    <d v="2025-10-26T00:00:00"/>
    <x v="2"/>
    <x v="21"/>
    <x v="0"/>
    <x v="91"/>
    <x v="1"/>
    <x v="1"/>
    <x v="23"/>
    <x v="0"/>
    <x v="8"/>
    <x v="7"/>
    <x v="3"/>
    <n v="336.41"/>
  </r>
  <r>
    <d v="2025-10-26T00:00:00"/>
    <x v="2"/>
    <x v="21"/>
    <x v="1"/>
    <x v="13"/>
    <x v="0"/>
    <x v="0"/>
    <x v="22"/>
    <x v="0"/>
    <x v="5"/>
    <x v="6"/>
    <x v="4"/>
    <n v="2856.02"/>
  </r>
  <r>
    <d v="2025-10-27T00:00:00"/>
    <x v="2"/>
    <x v="21"/>
    <x v="1"/>
    <x v="32"/>
    <x v="1"/>
    <x v="1"/>
    <x v="28"/>
    <x v="0"/>
    <x v="8"/>
    <x v="1"/>
    <x v="0"/>
    <n v="3.0"/>
  </r>
  <r>
    <d v="2025-10-27T00:00:00"/>
    <x v="2"/>
    <x v="21"/>
    <x v="0"/>
    <x v="61"/>
    <x v="7"/>
    <x v="7"/>
    <x v="84"/>
    <x v="0"/>
    <x v="20"/>
    <x v="6"/>
    <x v="4"/>
    <n v="8.0"/>
  </r>
  <r>
    <d v="2025-10-27T00:00:00"/>
    <x v="2"/>
    <x v="21"/>
    <x v="1"/>
    <x v="62"/>
    <x v="6"/>
    <x v="6"/>
    <x v="50"/>
    <x v="0"/>
    <x v="13"/>
    <x v="9"/>
    <x v="6"/>
    <n v="21.0"/>
  </r>
  <r>
    <d v="2025-10-27T00:00:00"/>
    <x v="2"/>
    <x v="21"/>
    <x v="1"/>
    <x v="53"/>
    <x v="1"/>
    <x v="1"/>
    <x v="16"/>
    <x v="0"/>
    <x v="4"/>
    <x v="6"/>
    <x v="4"/>
    <n v="63.11"/>
  </r>
  <r>
    <d v="2025-10-27T00:00:00"/>
    <x v="2"/>
    <x v="21"/>
    <x v="0"/>
    <x v="36"/>
    <x v="7"/>
    <x v="7"/>
    <x v="90"/>
    <x v="0"/>
    <x v="9"/>
    <x v="4"/>
    <x v="7"/>
    <n v="232.91"/>
  </r>
  <r>
    <d v="2025-10-27T00:00:00"/>
    <x v="2"/>
    <x v="21"/>
    <x v="0"/>
    <x v="36"/>
    <x v="7"/>
    <x v="7"/>
    <x v="90"/>
    <x v="0"/>
    <x v="9"/>
    <x v="1"/>
    <x v="0"/>
    <n v="306.76"/>
  </r>
  <r>
    <d v="2025-10-27T00:00:00"/>
    <x v="2"/>
    <x v="21"/>
    <x v="0"/>
    <x v="55"/>
    <x v="3"/>
    <x v="3"/>
    <x v="68"/>
    <x v="0"/>
    <x v="1"/>
    <x v="2"/>
    <x v="2"/>
    <n v="486.94"/>
  </r>
  <r>
    <d v="2025-10-27T00:00:00"/>
    <x v="2"/>
    <x v="21"/>
    <x v="1"/>
    <x v="94"/>
    <x v="6"/>
    <x v="6"/>
    <x v="48"/>
    <x v="0"/>
    <x v="13"/>
    <x v="9"/>
    <x v="6"/>
    <n v="1458.73"/>
  </r>
  <r>
    <d v="2025-10-27T00:00:00"/>
    <x v="2"/>
    <x v="21"/>
    <x v="1"/>
    <x v="90"/>
    <x v="3"/>
    <x v="3"/>
    <x v="55"/>
    <x v="0"/>
    <x v="19"/>
    <x v="5"/>
    <x v="8"/>
    <n v="6972.08"/>
  </r>
  <r>
    <d v="2025-10-28T00:00:00"/>
    <x v="2"/>
    <x v="21"/>
    <x v="1"/>
    <x v="61"/>
    <x v="7"/>
    <x v="7"/>
    <x v="84"/>
    <x v="0"/>
    <x v="20"/>
    <x v="2"/>
    <x v="2"/>
    <n v="3.0"/>
  </r>
  <r>
    <d v="2025-10-28T00:00:00"/>
    <x v="2"/>
    <x v="21"/>
    <x v="0"/>
    <x v="12"/>
    <x v="1"/>
    <x v="1"/>
    <x v="26"/>
    <x v="0"/>
    <x v="8"/>
    <x v="1"/>
    <x v="0"/>
    <n v="22.41"/>
  </r>
  <r>
    <d v="2025-10-28T00:00:00"/>
    <x v="2"/>
    <x v="21"/>
    <x v="1"/>
    <x v="21"/>
    <x v="3"/>
    <x v="3"/>
    <x v="60"/>
    <x v="0"/>
    <x v="17"/>
    <x v="1"/>
    <x v="0"/>
    <n v="89.54"/>
  </r>
  <r>
    <d v="2025-10-29T00:00:00"/>
    <x v="2"/>
    <x v="21"/>
    <x v="1"/>
    <x v="93"/>
    <x v="6"/>
    <x v="6"/>
    <x v="30"/>
    <x v="0"/>
    <x v="2"/>
    <x v="8"/>
    <x v="5"/>
    <n v="5.99"/>
  </r>
  <r>
    <d v="2025-10-29T00:00:00"/>
    <x v="2"/>
    <x v="21"/>
    <x v="1"/>
    <x v="77"/>
    <x v="3"/>
    <x v="3"/>
    <x v="66"/>
    <x v="0"/>
    <x v="1"/>
    <x v="8"/>
    <x v="5"/>
    <n v="7.99"/>
  </r>
  <r>
    <d v="2025-10-29T00:00:00"/>
    <x v="2"/>
    <x v="21"/>
    <x v="1"/>
    <x v="30"/>
    <x v="6"/>
    <x v="6"/>
    <x v="37"/>
    <x v="0"/>
    <x v="14"/>
    <x v="7"/>
    <x v="3"/>
    <n v="1480.54"/>
  </r>
  <r>
    <d v="2025-10-30T00:00:00"/>
    <x v="2"/>
    <x v="21"/>
    <x v="1"/>
    <x v="49"/>
    <x v="3"/>
    <x v="3"/>
    <x v="58"/>
    <x v="0"/>
    <x v="16"/>
    <x v="2"/>
    <x v="2"/>
    <n v="8.0"/>
  </r>
  <r>
    <d v="2025-10-30T00:00:00"/>
    <x v="2"/>
    <x v="21"/>
    <x v="1"/>
    <x v="8"/>
    <x v="3"/>
    <x v="3"/>
    <x v="72"/>
    <x v="0"/>
    <x v="3"/>
    <x v="1"/>
    <x v="0"/>
    <n v="57.44"/>
  </r>
  <r>
    <d v="2025-10-30T00:00:00"/>
    <x v="2"/>
    <x v="21"/>
    <x v="0"/>
    <x v="23"/>
    <x v="1"/>
    <x v="1"/>
    <x v="12"/>
    <x v="0"/>
    <x v="10"/>
    <x v="2"/>
    <x v="2"/>
    <n v="224.8"/>
  </r>
  <r>
    <d v="2025-10-30T00:00:00"/>
    <x v="2"/>
    <x v="21"/>
    <x v="1"/>
    <x v="84"/>
    <x v="3"/>
    <x v="3"/>
    <x v="53"/>
    <x v="0"/>
    <x v="19"/>
    <x v="3"/>
    <x v="1"/>
    <n v="337.69"/>
  </r>
  <r>
    <d v="2025-10-30T00:00:00"/>
    <x v="2"/>
    <x v="21"/>
    <x v="1"/>
    <x v="24"/>
    <x v="6"/>
    <x v="6"/>
    <x v="36"/>
    <x v="0"/>
    <x v="14"/>
    <x v="1"/>
    <x v="0"/>
    <n v="1203.66"/>
  </r>
  <r>
    <d v="2025-10-31T00:00:00"/>
    <x v="2"/>
    <x v="21"/>
    <x v="1"/>
    <x v="66"/>
    <x v="4"/>
    <x v="4"/>
    <x v="76"/>
    <x v="0"/>
    <x v="15"/>
    <x v="3"/>
    <x v="1"/>
    <n v="5.99"/>
  </r>
  <r>
    <d v="2025-10-31T00:00:00"/>
    <x v="2"/>
    <x v="21"/>
    <x v="0"/>
    <x v="64"/>
    <x v="3"/>
    <x v="3"/>
    <x v="70"/>
    <x v="0"/>
    <x v="3"/>
    <x v="0"/>
    <x v="9"/>
    <n v="28.92"/>
  </r>
  <r>
    <d v="2025-10-31T00:00:00"/>
    <x v="2"/>
    <x v="21"/>
    <x v="1"/>
    <x v="72"/>
    <x v="1"/>
    <x v="1"/>
    <x v="24"/>
    <x v="0"/>
    <x v="8"/>
    <x v="1"/>
    <x v="0"/>
    <n v="82.92"/>
  </r>
  <r>
    <d v="2025-10-31T00:00:00"/>
    <x v="2"/>
    <x v="21"/>
    <x v="0"/>
    <x v="30"/>
    <x v="6"/>
    <x v="6"/>
    <x v="37"/>
    <x v="0"/>
    <x v="14"/>
    <x v="2"/>
    <x v="2"/>
    <n v="281.91"/>
  </r>
  <r>
    <d v="2025-10-31T00:00:00"/>
    <x v="2"/>
    <x v="21"/>
    <x v="0"/>
    <x v="5"/>
    <x v="1"/>
    <x v="1"/>
    <x v="14"/>
    <x v="0"/>
    <x v="4"/>
    <x v="1"/>
    <x v="0"/>
    <n v="1430.29"/>
  </r>
  <r>
    <d v="2025-10-31T00:00:00"/>
    <x v="2"/>
    <x v="21"/>
    <x v="1"/>
    <x v="74"/>
    <x v="4"/>
    <x v="4"/>
    <x v="75"/>
    <x v="0"/>
    <x v="15"/>
    <x v="9"/>
    <x v="6"/>
    <n v="2034.7"/>
  </r>
  <r>
    <d v="2025-10-31T00:00:00"/>
    <x v="2"/>
    <x v="21"/>
    <x v="1"/>
    <x v="69"/>
    <x v="1"/>
    <x v="1"/>
    <x v="19"/>
    <x v="0"/>
    <x v="5"/>
    <x v="9"/>
    <x v="6"/>
    <n v="2200.87"/>
  </r>
  <r>
    <d v="2025-11-01T00:00:00"/>
    <x v="2"/>
    <x v="22"/>
    <x v="1"/>
    <x v="19"/>
    <x v="7"/>
    <x v="7"/>
    <x v="88"/>
    <x v="0"/>
    <x v="12"/>
    <x v="6"/>
    <x v="4"/>
    <n v="1.5"/>
  </r>
  <r>
    <d v="2025-11-01T00:00:00"/>
    <x v="2"/>
    <x v="22"/>
    <x v="1"/>
    <x v="26"/>
    <x v="7"/>
    <x v="7"/>
    <x v="81"/>
    <x v="0"/>
    <x v="20"/>
    <x v="4"/>
    <x v="7"/>
    <n v="4.99"/>
  </r>
  <r>
    <d v="2025-11-01T00:00:00"/>
    <x v="2"/>
    <x v="22"/>
    <x v="0"/>
    <x v="75"/>
    <x v="1"/>
    <x v="1"/>
    <x v="4"/>
    <x v="0"/>
    <x v="6"/>
    <x v="8"/>
    <x v="5"/>
    <n v="35.88"/>
  </r>
  <r>
    <d v="2025-11-01T00:00:00"/>
    <x v="2"/>
    <x v="22"/>
    <x v="1"/>
    <x v="6"/>
    <x v="1"/>
    <x v="1"/>
    <x v="5"/>
    <x v="0"/>
    <x v="6"/>
    <x v="3"/>
    <x v="1"/>
    <n v="73.93"/>
  </r>
  <r>
    <d v="2025-11-01T00:00:00"/>
    <x v="2"/>
    <x v="22"/>
    <x v="0"/>
    <x v="75"/>
    <x v="1"/>
    <x v="1"/>
    <x v="4"/>
    <x v="0"/>
    <x v="6"/>
    <x v="7"/>
    <x v="3"/>
    <n v="85.65"/>
  </r>
  <r>
    <d v="2025-11-01T00:00:00"/>
    <x v="2"/>
    <x v="22"/>
    <x v="1"/>
    <x v="53"/>
    <x v="1"/>
    <x v="1"/>
    <x v="16"/>
    <x v="0"/>
    <x v="4"/>
    <x v="1"/>
    <x v="0"/>
    <n v="358.05"/>
  </r>
  <r>
    <d v="2025-11-01T00:00:00"/>
    <x v="2"/>
    <x v="22"/>
    <x v="0"/>
    <x v="1"/>
    <x v="7"/>
    <x v="7"/>
    <x v="89"/>
    <x v="0"/>
    <x v="12"/>
    <x v="0"/>
    <x v="9"/>
    <n v="816.98"/>
  </r>
  <r>
    <d v="2025-11-01T00:00:00"/>
    <x v="2"/>
    <x v="22"/>
    <x v="1"/>
    <x v="66"/>
    <x v="4"/>
    <x v="4"/>
    <x v="76"/>
    <x v="0"/>
    <x v="15"/>
    <x v="6"/>
    <x v="4"/>
    <n v="1372.41"/>
  </r>
  <r>
    <d v="2025-11-02T00:00:00"/>
    <x v="2"/>
    <x v="22"/>
    <x v="1"/>
    <x v="73"/>
    <x v="4"/>
    <x v="4"/>
    <x v="80"/>
    <x v="0"/>
    <x v="0"/>
    <x v="0"/>
    <x v="9"/>
    <n v="22.29"/>
  </r>
  <r>
    <d v="2025-11-02T00:00:00"/>
    <x v="2"/>
    <x v="22"/>
    <x v="1"/>
    <x v="75"/>
    <x v="1"/>
    <x v="1"/>
    <x v="4"/>
    <x v="0"/>
    <x v="6"/>
    <x v="9"/>
    <x v="6"/>
    <n v="128.09"/>
  </r>
  <r>
    <d v="2025-11-02T00:00:00"/>
    <x v="2"/>
    <x v="22"/>
    <x v="1"/>
    <x v="43"/>
    <x v="7"/>
    <x v="7"/>
    <x v="87"/>
    <x v="0"/>
    <x v="12"/>
    <x v="1"/>
    <x v="0"/>
    <n v="212.91"/>
  </r>
  <r>
    <d v="2025-11-02T00:00:00"/>
    <x v="2"/>
    <x v="22"/>
    <x v="1"/>
    <x v="6"/>
    <x v="1"/>
    <x v="1"/>
    <x v="5"/>
    <x v="0"/>
    <x v="6"/>
    <x v="2"/>
    <x v="2"/>
    <n v="372.65"/>
  </r>
  <r>
    <d v="2025-11-03T00:00:00"/>
    <x v="2"/>
    <x v="22"/>
    <x v="1"/>
    <x v="9"/>
    <x v="7"/>
    <x v="7"/>
    <x v="82"/>
    <x v="0"/>
    <x v="20"/>
    <x v="6"/>
    <x v="4"/>
    <n v="3.66"/>
  </r>
  <r>
    <d v="2025-11-03T00:00:00"/>
    <x v="2"/>
    <x v="22"/>
    <x v="1"/>
    <x v="34"/>
    <x v="6"/>
    <x v="6"/>
    <x v="32"/>
    <x v="0"/>
    <x v="2"/>
    <x v="1"/>
    <x v="0"/>
    <n v="4.6"/>
  </r>
  <r>
    <d v="2025-11-03T00:00:00"/>
    <x v="2"/>
    <x v="22"/>
    <x v="1"/>
    <x v="58"/>
    <x v="3"/>
    <x v="3"/>
    <x v="61"/>
    <x v="0"/>
    <x v="17"/>
    <x v="4"/>
    <x v="7"/>
    <n v="9.97"/>
  </r>
  <r>
    <d v="2025-11-03T00:00:00"/>
    <x v="2"/>
    <x v="22"/>
    <x v="0"/>
    <x v="69"/>
    <x v="1"/>
    <x v="1"/>
    <x v="19"/>
    <x v="0"/>
    <x v="5"/>
    <x v="4"/>
    <x v="7"/>
    <n v="24.97"/>
  </r>
  <r>
    <d v="2025-11-03T00:00:00"/>
    <x v="2"/>
    <x v="22"/>
    <x v="1"/>
    <x v="62"/>
    <x v="6"/>
    <x v="6"/>
    <x v="50"/>
    <x v="0"/>
    <x v="13"/>
    <x v="1"/>
    <x v="0"/>
    <n v="45.0"/>
  </r>
  <r>
    <d v="2025-11-03T00:00:00"/>
    <x v="2"/>
    <x v="22"/>
    <x v="1"/>
    <x v="75"/>
    <x v="1"/>
    <x v="1"/>
    <x v="4"/>
    <x v="0"/>
    <x v="6"/>
    <x v="6"/>
    <x v="4"/>
    <n v="142.89"/>
  </r>
  <r>
    <d v="2025-11-03T00:00:00"/>
    <x v="2"/>
    <x v="22"/>
    <x v="1"/>
    <x v="16"/>
    <x v="7"/>
    <x v="7"/>
    <x v="92"/>
    <x v="0"/>
    <x v="9"/>
    <x v="2"/>
    <x v="2"/>
    <n v="523.91"/>
  </r>
  <r>
    <d v="2025-11-03T00:00:00"/>
    <x v="2"/>
    <x v="22"/>
    <x v="0"/>
    <x v="14"/>
    <x v="6"/>
    <x v="6"/>
    <x v="45"/>
    <x v="0"/>
    <x v="7"/>
    <x v="7"/>
    <x v="3"/>
    <n v="903.89"/>
  </r>
  <r>
    <d v="2025-11-04T00:00:00"/>
    <x v="2"/>
    <x v="22"/>
    <x v="1"/>
    <x v="79"/>
    <x v="1"/>
    <x v="1"/>
    <x v="8"/>
    <x v="0"/>
    <x v="10"/>
    <x v="1"/>
    <x v="0"/>
    <n v="48.83"/>
  </r>
  <r>
    <d v="2025-11-04T00:00:00"/>
    <x v="2"/>
    <x v="22"/>
    <x v="1"/>
    <x v="37"/>
    <x v="6"/>
    <x v="6"/>
    <x v="39"/>
    <x v="0"/>
    <x v="14"/>
    <x v="3"/>
    <x v="1"/>
    <n v="98.41"/>
  </r>
  <r>
    <d v="2025-11-04T00:00:00"/>
    <x v="2"/>
    <x v="22"/>
    <x v="0"/>
    <x v="71"/>
    <x v="1"/>
    <x v="1"/>
    <x v="27"/>
    <x v="0"/>
    <x v="8"/>
    <x v="7"/>
    <x v="3"/>
    <n v="114.82"/>
  </r>
  <r>
    <d v="2025-11-04T00:00:00"/>
    <x v="2"/>
    <x v="22"/>
    <x v="1"/>
    <x v="79"/>
    <x v="1"/>
    <x v="1"/>
    <x v="8"/>
    <x v="0"/>
    <x v="10"/>
    <x v="5"/>
    <x v="8"/>
    <n v="151.13"/>
  </r>
  <r>
    <d v="2025-11-04T00:00:00"/>
    <x v="2"/>
    <x v="22"/>
    <x v="1"/>
    <x v="90"/>
    <x v="3"/>
    <x v="3"/>
    <x v="55"/>
    <x v="0"/>
    <x v="19"/>
    <x v="2"/>
    <x v="2"/>
    <n v="185.83"/>
  </r>
  <r>
    <d v="2025-11-04T00:00:00"/>
    <x v="2"/>
    <x v="22"/>
    <x v="1"/>
    <x v="14"/>
    <x v="6"/>
    <x v="6"/>
    <x v="45"/>
    <x v="0"/>
    <x v="7"/>
    <x v="6"/>
    <x v="4"/>
    <n v="198.75"/>
  </r>
  <r>
    <d v="2025-11-04T00:00:00"/>
    <x v="2"/>
    <x v="22"/>
    <x v="0"/>
    <x v="10"/>
    <x v="6"/>
    <x v="6"/>
    <x v="41"/>
    <x v="0"/>
    <x v="7"/>
    <x v="0"/>
    <x v="9"/>
    <n v="574.99"/>
  </r>
  <r>
    <d v="2025-11-04T00:00:00"/>
    <x v="2"/>
    <x v="22"/>
    <x v="1"/>
    <x v="47"/>
    <x v="3"/>
    <x v="3"/>
    <x v="54"/>
    <x v="0"/>
    <x v="19"/>
    <x v="0"/>
    <x v="9"/>
    <n v="615.93"/>
  </r>
  <r>
    <d v="2025-11-04T00:00:00"/>
    <x v="2"/>
    <x v="22"/>
    <x v="1"/>
    <x v="20"/>
    <x v="3"/>
    <x v="3"/>
    <x v="71"/>
    <x v="0"/>
    <x v="3"/>
    <x v="9"/>
    <x v="6"/>
    <n v="1681.41"/>
  </r>
  <r>
    <d v="2025-11-04T00:00:00"/>
    <x v="2"/>
    <x v="22"/>
    <x v="1"/>
    <x v="31"/>
    <x v="2"/>
    <x v="2"/>
    <x v="0"/>
    <x v="0"/>
    <x v="11"/>
    <x v="9"/>
    <x v="6"/>
    <n v="2654.02"/>
  </r>
  <r>
    <d v="2025-11-05T00:00:00"/>
    <x v="2"/>
    <x v="22"/>
    <x v="1"/>
    <x v="4"/>
    <x v="6"/>
    <x v="6"/>
    <x v="29"/>
    <x v="0"/>
    <x v="2"/>
    <x v="1"/>
    <x v="0"/>
    <n v="2.78"/>
  </r>
  <r>
    <d v="2025-11-05T00:00:00"/>
    <x v="2"/>
    <x v="22"/>
    <x v="0"/>
    <x v="9"/>
    <x v="7"/>
    <x v="7"/>
    <x v="82"/>
    <x v="0"/>
    <x v="20"/>
    <x v="2"/>
    <x v="2"/>
    <n v="1746.34"/>
  </r>
  <r>
    <d v="2025-11-05T00:00:00"/>
    <x v="2"/>
    <x v="22"/>
    <x v="1"/>
    <x v="15"/>
    <x v="4"/>
    <x v="4"/>
    <x v="79"/>
    <x v="0"/>
    <x v="0"/>
    <x v="3"/>
    <x v="1"/>
    <n v="3190.32"/>
  </r>
  <r>
    <d v="2025-11-05T00:00:00"/>
    <x v="2"/>
    <x v="22"/>
    <x v="1"/>
    <x v="30"/>
    <x v="6"/>
    <x v="6"/>
    <x v="37"/>
    <x v="0"/>
    <x v="14"/>
    <x v="6"/>
    <x v="4"/>
    <n v="7828.06"/>
  </r>
  <r>
    <d v="2025-11-06T00:00:00"/>
    <x v="2"/>
    <x v="22"/>
    <x v="0"/>
    <x v="34"/>
    <x v="6"/>
    <x v="6"/>
    <x v="32"/>
    <x v="0"/>
    <x v="2"/>
    <x v="9"/>
    <x v="6"/>
    <n v="59.94"/>
  </r>
  <r>
    <d v="2025-11-06T00:00:00"/>
    <x v="2"/>
    <x v="22"/>
    <x v="1"/>
    <x v="78"/>
    <x v="5"/>
    <x v="5"/>
    <x v="94"/>
    <x v="0"/>
    <x v="18"/>
    <x v="5"/>
    <x v="8"/>
    <n v="63.64"/>
  </r>
  <r>
    <d v="2025-11-06T00:00:00"/>
    <x v="2"/>
    <x v="22"/>
    <x v="0"/>
    <x v="88"/>
    <x v="1"/>
    <x v="1"/>
    <x v="17"/>
    <x v="0"/>
    <x v="4"/>
    <x v="0"/>
    <x v="9"/>
    <n v="65.56"/>
  </r>
  <r>
    <d v="2025-11-06T00:00:00"/>
    <x v="2"/>
    <x v="22"/>
    <x v="0"/>
    <x v="55"/>
    <x v="3"/>
    <x v="3"/>
    <x v="68"/>
    <x v="0"/>
    <x v="1"/>
    <x v="9"/>
    <x v="6"/>
    <n v="605.92"/>
  </r>
  <r>
    <d v="2025-11-06T00:00:00"/>
    <x v="2"/>
    <x v="22"/>
    <x v="0"/>
    <x v="41"/>
    <x v="5"/>
    <x v="5"/>
    <x v="93"/>
    <x v="0"/>
    <x v="18"/>
    <x v="3"/>
    <x v="1"/>
    <n v="812.19"/>
  </r>
  <r>
    <d v="2025-11-07T00:00:00"/>
    <x v="2"/>
    <x v="22"/>
    <x v="0"/>
    <x v="66"/>
    <x v="4"/>
    <x v="4"/>
    <x v="76"/>
    <x v="0"/>
    <x v="15"/>
    <x v="0"/>
    <x v="9"/>
    <n v="26.91"/>
  </r>
  <r>
    <d v="2025-11-07T00:00:00"/>
    <x v="2"/>
    <x v="22"/>
    <x v="0"/>
    <x v="88"/>
    <x v="1"/>
    <x v="1"/>
    <x v="17"/>
    <x v="0"/>
    <x v="4"/>
    <x v="2"/>
    <x v="2"/>
    <n v="265.32"/>
  </r>
  <r>
    <d v="2025-11-07T00:00:00"/>
    <x v="2"/>
    <x v="22"/>
    <x v="0"/>
    <x v="4"/>
    <x v="6"/>
    <x v="6"/>
    <x v="29"/>
    <x v="0"/>
    <x v="2"/>
    <x v="8"/>
    <x v="5"/>
    <n v="1388.12"/>
  </r>
  <r>
    <d v="2025-11-07T00:00:00"/>
    <x v="2"/>
    <x v="22"/>
    <x v="1"/>
    <x v="69"/>
    <x v="1"/>
    <x v="1"/>
    <x v="19"/>
    <x v="0"/>
    <x v="5"/>
    <x v="3"/>
    <x v="1"/>
    <n v="1724.36"/>
  </r>
  <r>
    <d v="2025-11-08T00:00:00"/>
    <x v="2"/>
    <x v="22"/>
    <x v="0"/>
    <x v="58"/>
    <x v="3"/>
    <x v="3"/>
    <x v="61"/>
    <x v="0"/>
    <x v="17"/>
    <x v="9"/>
    <x v="6"/>
    <n v="2825.47"/>
  </r>
  <r>
    <d v="2025-11-08T00:00:00"/>
    <x v="2"/>
    <x v="22"/>
    <x v="1"/>
    <x v="17"/>
    <x v="3"/>
    <x v="3"/>
    <x v="57"/>
    <x v="0"/>
    <x v="16"/>
    <x v="3"/>
    <x v="1"/>
    <n v="3443.64"/>
  </r>
  <r>
    <d v="2025-11-09T00:00:00"/>
    <x v="2"/>
    <x v="22"/>
    <x v="0"/>
    <x v="4"/>
    <x v="6"/>
    <x v="6"/>
    <x v="29"/>
    <x v="0"/>
    <x v="2"/>
    <x v="3"/>
    <x v="1"/>
    <n v="1719.85"/>
  </r>
  <r>
    <d v="2025-11-09T00:00:00"/>
    <x v="2"/>
    <x v="22"/>
    <x v="1"/>
    <x v="91"/>
    <x v="1"/>
    <x v="1"/>
    <x v="23"/>
    <x v="0"/>
    <x v="8"/>
    <x v="3"/>
    <x v="1"/>
    <n v="1970.08"/>
  </r>
  <r>
    <d v="2025-11-10T00:00:00"/>
    <x v="2"/>
    <x v="22"/>
    <x v="1"/>
    <x v="88"/>
    <x v="1"/>
    <x v="1"/>
    <x v="17"/>
    <x v="0"/>
    <x v="4"/>
    <x v="1"/>
    <x v="0"/>
    <n v="15.0"/>
  </r>
  <r>
    <d v="2025-11-10T00:00:00"/>
    <x v="2"/>
    <x v="22"/>
    <x v="1"/>
    <x v="95"/>
    <x v="4"/>
    <x v="4"/>
    <x v="73"/>
    <x v="0"/>
    <x v="15"/>
    <x v="0"/>
    <x v="9"/>
    <n v="23.96"/>
  </r>
  <r>
    <d v="2025-11-10T00:00:00"/>
    <x v="2"/>
    <x v="22"/>
    <x v="1"/>
    <x v="28"/>
    <x v="6"/>
    <x v="6"/>
    <x v="51"/>
    <x v="0"/>
    <x v="13"/>
    <x v="2"/>
    <x v="2"/>
    <n v="27.99"/>
  </r>
  <r>
    <d v="2025-11-10T00:00:00"/>
    <x v="2"/>
    <x v="22"/>
    <x v="1"/>
    <x v="29"/>
    <x v="6"/>
    <x v="6"/>
    <x v="35"/>
    <x v="0"/>
    <x v="14"/>
    <x v="8"/>
    <x v="5"/>
    <n v="42.92"/>
  </r>
  <r>
    <d v="2025-11-10T00:00:00"/>
    <x v="2"/>
    <x v="22"/>
    <x v="1"/>
    <x v="93"/>
    <x v="6"/>
    <x v="6"/>
    <x v="30"/>
    <x v="0"/>
    <x v="2"/>
    <x v="3"/>
    <x v="1"/>
    <n v="158.05"/>
  </r>
  <r>
    <d v="2025-11-10T00:00:00"/>
    <x v="2"/>
    <x v="22"/>
    <x v="1"/>
    <x v="84"/>
    <x v="3"/>
    <x v="3"/>
    <x v="53"/>
    <x v="0"/>
    <x v="19"/>
    <x v="3"/>
    <x v="1"/>
    <n v="484.14"/>
  </r>
  <r>
    <d v="2025-11-11T00:00:00"/>
    <x v="2"/>
    <x v="22"/>
    <x v="1"/>
    <x v="50"/>
    <x v="7"/>
    <x v="7"/>
    <x v="83"/>
    <x v="0"/>
    <x v="20"/>
    <x v="0"/>
    <x v="9"/>
    <n v="169.78"/>
  </r>
  <r>
    <d v="2025-11-11T00:00:00"/>
    <x v="2"/>
    <x v="22"/>
    <x v="0"/>
    <x v="9"/>
    <x v="7"/>
    <x v="7"/>
    <x v="82"/>
    <x v="0"/>
    <x v="20"/>
    <x v="1"/>
    <x v="0"/>
    <n v="193.95"/>
  </r>
  <r>
    <d v="2025-11-11T00:00:00"/>
    <x v="2"/>
    <x v="22"/>
    <x v="1"/>
    <x v="42"/>
    <x v="3"/>
    <x v="3"/>
    <x v="63"/>
    <x v="0"/>
    <x v="17"/>
    <x v="9"/>
    <x v="6"/>
    <n v="395.74"/>
  </r>
  <r>
    <d v="2025-11-11T00:00:00"/>
    <x v="2"/>
    <x v="22"/>
    <x v="1"/>
    <x v="37"/>
    <x v="6"/>
    <x v="6"/>
    <x v="39"/>
    <x v="0"/>
    <x v="14"/>
    <x v="1"/>
    <x v="0"/>
    <n v="887.93"/>
  </r>
  <r>
    <d v="2025-11-11T00:00:00"/>
    <x v="2"/>
    <x v="22"/>
    <x v="0"/>
    <x v="54"/>
    <x v="1"/>
    <x v="1"/>
    <x v="25"/>
    <x v="0"/>
    <x v="8"/>
    <x v="6"/>
    <x v="4"/>
    <n v="1250.54"/>
  </r>
  <r>
    <d v="2025-11-11T00:00:00"/>
    <x v="2"/>
    <x v="22"/>
    <x v="1"/>
    <x v="12"/>
    <x v="1"/>
    <x v="1"/>
    <x v="26"/>
    <x v="0"/>
    <x v="8"/>
    <x v="3"/>
    <x v="1"/>
    <n v="3668.9"/>
  </r>
  <r>
    <d v="2025-11-12T00:00:00"/>
    <x v="2"/>
    <x v="22"/>
    <x v="1"/>
    <x v="21"/>
    <x v="3"/>
    <x v="3"/>
    <x v="60"/>
    <x v="0"/>
    <x v="17"/>
    <x v="6"/>
    <x v="4"/>
    <n v="50.22"/>
  </r>
  <r>
    <d v="2025-11-12T00:00:00"/>
    <x v="2"/>
    <x v="22"/>
    <x v="1"/>
    <x v="83"/>
    <x v="3"/>
    <x v="3"/>
    <x v="56"/>
    <x v="0"/>
    <x v="16"/>
    <x v="5"/>
    <x v="8"/>
    <n v="74.16"/>
  </r>
  <r>
    <d v="2025-11-12T00:00:00"/>
    <x v="2"/>
    <x v="22"/>
    <x v="0"/>
    <x v="89"/>
    <x v="1"/>
    <x v="1"/>
    <x v="18"/>
    <x v="0"/>
    <x v="5"/>
    <x v="4"/>
    <x v="7"/>
    <n v="284.17"/>
  </r>
  <r>
    <d v="2025-11-12T00:00:00"/>
    <x v="2"/>
    <x v="22"/>
    <x v="1"/>
    <x v="52"/>
    <x v="1"/>
    <x v="1"/>
    <x v="11"/>
    <x v="0"/>
    <x v="10"/>
    <x v="1"/>
    <x v="0"/>
    <n v="378.7"/>
  </r>
  <r>
    <d v="2025-11-12T00:00:00"/>
    <x v="2"/>
    <x v="22"/>
    <x v="1"/>
    <x v="91"/>
    <x v="1"/>
    <x v="1"/>
    <x v="23"/>
    <x v="0"/>
    <x v="8"/>
    <x v="1"/>
    <x v="0"/>
    <n v="1306.3"/>
  </r>
  <r>
    <d v="2025-11-12T00:00:00"/>
    <x v="2"/>
    <x v="22"/>
    <x v="1"/>
    <x v="53"/>
    <x v="1"/>
    <x v="1"/>
    <x v="16"/>
    <x v="0"/>
    <x v="4"/>
    <x v="7"/>
    <x v="3"/>
    <n v="2463.41"/>
  </r>
  <r>
    <d v="2025-11-13T00:00:00"/>
    <x v="2"/>
    <x v="22"/>
    <x v="1"/>
    <x v="87"/>
    <x v="3"/>
    <x v="3"/>
    <x v="52"/>
    <x v="0"/>
    <x v="19"/>
    <x v="1"/>
    <x v="0"/>
    <n v="1.0"/>
  </r>
  <r>
    <d v="2025-11-13T00:00:00"/>
    <x v="2"/>
    <x v="22"/>
    <x v="1"/>
    <x v="12"/>
    <x v="1"/>
    <x v="1"/>
    <x v="26"/>
    <x v="0"/>
    <x v="8"/>
    <x v="4"/>
    <x v="7"/>
    <n v="14.75"/>
  </r>
  <r>
    <d v="2025-11-14T00:00:00"/>
    <x v="2"/>
    <x v="22"/>
    <x v="0"/>
    <x v="56"/>
    <x v="7"/>
    <x v="7"/>
    <x v="86"/>
    <x v="0"/>
    <x v="12"/>
    <x v="6"/>
    <x v="4"/>
    <n v="104.79"/>
  </r>
  <r>
    <d v="2025-11-14T00:00:00"/>
    <x v="2"/>
    <x v="22"/>
    <x v="1"/>
    <x v="43"/>
    <x v="7"/>
    <x v="7"/>
    <x v="87"/>
    <x v="0"/>
    <x v="12"/>
    <x v="4"/>
    <x v="7"/>
    <n v="335.42"/>
  </r>
  <r>
    <d v="2025-11-14T00:00:00"/>
    <x v="2"/>
    <x v="22"/>
    <x v="0"/>
    <x v="60"/>
    <x v="6"/>
    <x v="6"/>
    <x v="44"/>
    <x v="0"/>
    <x v="7"/>
    <x v="3"/>
    <x v="1"/>
    <n v="487.04"/>
  </r>
  <r>
    <d v="2025-11-14T00:00:00"/>
    <x v="2"/>
    <x v="22"/>
    <x v="1"/>
    <x v="96"/>
    <x v="3"/>
    <x v="3"/>
    <x v="67"/>
    <x v="0"/>
    <x v="1"/>
    <x v="2"/>
    <x v="2"/>
    <n v="1207.02"/>
  </r>
  <r>
    <d v="2025-11-14T00:00:00"/>
    <x v="2"/>
    <x v="22"/>
    <x v="1"/>
    <x v="31"/>
    <x v="2"/>
    <x v="2"/>
    <x v="0"/>
    <x v="0"/>
    <x v="11"/>
    <x v="5"/>
    <x v="8"/>
    <n v="4330.65"/>
  </r>
  <r>
    <d v="2025-11-15T00:00:00"/>
    <x v="2"/>
    <x v="22"/>
    <x v="1"/>
    <x v="30"/>
    <x v="6"/>
    <x v="6"/>
    <x v="37"/>
    <x v="0"/>
    <x v="14"/>
    <x v="7"/>
    <x v="3"/>
    <n v="11.61"/>
  </r>
  <r>
    <d v="2025-11-15T00:00:00"/>
    <x v="2"/>
    <x v="22"/>
    <x v="1"/>
    <x v="5"/>
    <x v="1"/>
    <x v="1"/>
    <x v="14"/>
    <x v="0"/>
    <x v="4"/>
    <x v="7"/>
    <x v="3"/>
    <n v="23.9"/>
  </r>
  <r>
    <d v="2025-11-15T00:00:00"/>
    <x v="2"/>
    <x v="22"/>
    <x v="0"/>
    <x v="11"/>
    <x v="1"/>
    <x v="1"/>
    <x v="15"/>
    <x v="0"/>
    <x v="4"/>
    <x v="4"/>
    <x v="7"/>
    <n v="29.97"/>
  </r>
  <r>
    <d v="2025-11-15T00:00:00"/>
    <x v="2"/>
    <x v="22"/>
    <x v="0"/>
    <x v="52"/>
    <x v="1"/>
    <x v="1"/>
    <x v="11"/>
    <x v="0"/>
    <x v="10"/>
    <x v="3"/>
    <x v="1"/>
    <n v="38.97"/>
  </r>
  <r>
    <d v="2025-11-15T00:00:00"/>
    <x v="2"/>
    <x v="22"/>
    <x v="1"/>
    <x v="24"/>
    <x v="6"/>
    <x v="6"/>
    <x v="36"/>
    <x v="0"/>
    <x v="14"/>
    <x v="4"/>
    <x v="7"/>
    <n v="226.2"/>
  </r>
  <r>
    <d v="2025-11-15T00:00:00"/>
    <x v="2"/>
    <x v="22"/>
    <x v="1"/>
    <x v="90"/>
    <x v="3"/>
    <x v="3"/>
    <x v="55"/>
    <x v="0"/>
    <x v="19"/>
    <x v="5"/>
    <x v="8"/>
    <n v="845.6"/>
  </r>
  <r>
    <d v="2025-11-16T00:00:00"/>
    <x v="2"/>
    <x v="22"/>
    <x v="0"/>
    <x v="75"/>
    <x v="1"/>
    <x v="1"/>
    <x v="4"/>
    <x v="0"/>
    <x v="6"/>
    <x v="4"/>
    <x v="7"/>
    <n v="14.97"/>
  </r>
  <r>
    <d v="2025-11-16T00:00:00"/>
    <x v="2"/>
    <x v="22"/>
    <x v="1"/>
    <x v="5"/>
    <x v="1"/>
    <x v="1"/>
    <x v="14"/>
    <x v="0"/>
    <x v="4"/>
    <x v="6"/>
    <x v="4"/>
    <n v="15.06"/>
  </r>
  <r>
    <d v="2025-11-16T00:00:00"/>
    <x v="2"/>
    <x v="22"/>
    <x v="1"/>
    <x v="45"/>
    <x v="3"/>
    <x v="3"/>
    <x v="64"/>
    <x v="0"/>
    <x v="1"/>
    <x v="3"/>
    <x v="1"/>
    <n v="23.96"/>
  </r>
  <r>
    <d v="2025-11-16T00:00:00"/>
    <x v="2"/>
    <x v="22"/>
    <x v="0"/>
    <x v="67"/>
    <x v="3"/>
    <x v="3"/>
    <x v="62"/>
    <x v="0"/>
    <x v="17"/>
    <x v="8"/>
    <x v="5"/>
    <n v="31.97"/>
  </r>
  <r>
    <d v="2025-11-16T00:00:00"/>
    <x v="2"/>
    <x v="22"/>
    <x v="1"/>
    <x v="90"/>
    <x v="3"/>
    <x v="3"/>
    <x v="55"/>
    <x v="0"/>
    <x v="19"/>
    <x v="6"/>
    <x v="4"/>
    <n v="39.8"/>
  </r>
  <r>
    <d v="2025-11-16T00:00:00"/>
    <x v="2"/>
    <x v="22"/>
    <x v="1"/>
    <x v="87"/>
    <x v="3"/>
    <x v="3"/>
    <x v="52"/>
    <x v="0"/>
    <x v="19"/>
    <x v="0"/>
    <x v="9"/>
    <n v="101.87"/>
  </r>
  <r>
    <d v="2025-11-16T00:00:00"/>
    <x v="2"/>
    <x v="22"/>
    <x v="0"/>
    <x v="16"/>
    <x v="7"/>
    <x v="7"/>
    <x v="92"/>
    <x v="0"/>
    <x v="9"/>
    <x v="8"/>
    <x v="5"/>
    <n v="105.88"/>
  </r>
  <r>
    <d v="2025-11-16T00:00:00"/>
    <x v="2"/>
    <x v="22"/>
    <x v="0"/>
    <x v="42"/>
    <x v="3"/>
    <x v="3"/>
    <x v="63"/>
    <x v="0"/>
    <x v="17"/>
    <x v="4"/>
    <x v="7"/>
    <n v="144.18"/>
  </r>
  <r>
    <d v="2025-11-16T00:00:00"/>
    <x v="2"/>
    <x v="22"/>
    <x v="0"/>
    <x v="90"/>
    <x v="3"/>
    <x v="3"/>
    <x v="55"/>
    <x v="0"/>
    <x v="19"/>
    <x v="3"/>
    <x v="1"/>
    <n v="164.36"/>
  </r>
  <r>
    <d v="2025-11-16T00:00:00"/>
    <x v="2"/>
    <x v="22"/>
    <x v="0"/>
    <x v="29"/>
    <x v="6"/>
    <x v="6"/>
    <x v="35"/>
    <x v="0"/>
    <x v="14"/>
    <x v="1"/>
    <x v="0"/>
    <n v="444.64"/>
  </r>
  <r>
    <d v="2025-11-16T00:00:00"/>
    <x v="2"/>
    <x v="22"/>
    <x v="1"/>
    <x v="84"/>
    <x v="3"/>
    <x v="3"/>
    <x v="53"/>
    <x v="0"/>
    <x v="19"/>
    <x v="4"/>
    <x v="7"/>
    <n v="1613.22"/>
  </r>
  <r>
    <d v="2025-11-16T00:00:00"/>
    <x v="2"/>
    <x v="22"/>
    <x v="1"/>
    <x v="65"/>
    <x v="1"/>
    <x v="1"/>
    <x v="7"/>
    <x v="0"/>
    <x v="10"/>
    <x v="3"/>
    <x v="1"/>
    <n v="1851.43"/>
  </r>
  <r>
    <d v="2025-11-17T00:00:00"/>
    <x v="2"/>
    <x v="22"/>
    <x v="0"/>
    <x v="12"/>
    <x v="1"/>
    <x v="1"/>
    <x v="26"/>
    <x v="0"/>
    <x v="8"/>
    <x v="2"/>
    <x v="2"/>
    <n v="24.58"/>
  </r>
  <r>
    <d v="2025-11-17T00:00:00"/>
    <x v="2"/>
    <x v="22"/>
    <x v="0"/>
    <x v="20"/>
    <x v="3"/>
    <x v="3"/>
    <x v="71"/>
    <x v="0"/>
    <x v="3"/>
    <x v="1"/>
    <x v="0"/>
    <n v="37.5"/>
  </r>
  <r>
    <d v="2025-11-17T00:00:00"/>
    <x v="2"/>
    <x v="22"/>
    <x v="0"/>
    <x v="13"/>
    <x v="0"/>
    <x v="0"/>
    <x v="22"/>
    <x v="0"/>
    <x v="5"/>
    <x v="4"/>
    <x v="7"/>
    <n v="57.8"/>
  </r>
  <r>
    <d v="2025-11-17T00:00:00"/>
    <x v="2"/>
    <x v="22"/>
    <x v="0"/>
    <x v="81"/>
    <x v="4"/>
    <x v="4"/>
    <x v="77"/>
    <x v="0"/>
    <x v="15"/>
    <x v="4"/>
    <x v="7"/>
    <n v="254.1"/>
  </r>
  <r>
    <d v="2025-11-17T00:00:00"/>
    <x v="2"/>
    <x v="22"/>
    <x v="1"/>
    <x v="28"/>
    <x v="6"/>
    <x v="6"/>
    <x v="51"/>
    <x v="0"/>
    <x v="13"/>
    <x v="2"/>
    <x v="2"/>
    <n v="276.24"/>
  </r>
  <r>
    <d v="2025-11-17T00:00:00"/>
    <x v="2"/>
    <x v="22"/>
    <x v="1"/>
    <x v="2"/>
    <x v="1"/>
    <x v="1"/>
    <x v="2"/>
    <x v="0"/>
    <x v="6"/>
    <x v="6"/>
    <x v="4"/>
    <n v="325.5"/>
  </r>
  <r>
    <d v="2025-11-17T00:00:00"/>
    <x v="2"/>
    <x v="22"/>
    <x v="0"/>
    <x v="60"/>
    <x v="6"/>
    <x v="6"/>
    <x v="44"/>
    <x v="0"/>
    <x v="7"/>
    <x v="2"/>
    <x v="2"/>
    <n v="395.44"/>
  </r>
  <r>
    <d v="2025-11-17T00:00:00"/>
    <x v="2"/>
    <x v="22"/>
    <x v="1"/>
    <x v="91"/>
    <x v="1"/>
    <x v="1"/>
    <x v="23"/>
    <x v="0"/>
    <x v="8"/>
    <x v="9"/>
    <x v="6"/>
    <n v="933.94"/>
  </r>
  <r>
    <d v="2025-11-17T00:00:00"/>
    <x v="2"/>
    <x v="22"/>
    <x v="1"/>
    <x v="82"/>
    <x v="6"/>
    <x v="6"/>
    <x v="47"/>
    <x v="0"/>
    <x v="13"/>
    <x v="2"/>
    <x v="2"/>
    <n v="1921.95"/>
  </r>
  <r>
    <d v="2025-11-18T00:00:00"/>
    <x v="2"/>
    <x v="22"/>
    <x v="1"/>
    <x v="40"/>
    <x v="3"/>
    <x v="3"/>
    <x v="65"/>
    <x v="0"/>
    <x v="1"/>
    <x v="4"/>
    <x v="7"/>
    <n v="31.96"/>
  </r>
  <r>
    <d v="2025-11-18T00:00:00"/>
    <x v="2"/>
    <x v="22"/>
    <x v="1"/>
    <x v="5"/>
    <x v="1"/>
    <x v="1"/>
    <x v="14"/>
    <x v="0"/>
    <x v="4"/>
    <x v="5"/>
    <x v="8"/>
    <n v="48.21"/>
  </r>
  <r>
    <d v="2025-11-18T00:00:00"/>
    <x v="2"/>
    <x v="22"/>
    <x v="0"/>
    <x v="16"/>
    <x v="7"/>
    <x v="7"/>
    <x v="92"/>
    <x v="0"/>
    <x v="9"/>
    <x v="4"/>
    <x v="7"/>
    <n v="61.41"/>
  </r>
  <r>
    <d v="2025-11-18T00:00:00"/>
    <x v="2"/>
    <x v="22"/>
    <x v="0"/>
    <x v="24"/>
    <x v="6"/>
    <x v="6"/>
    <x v="36"/>
    <x v="0"/>
    <x v="14"/>
    <x v="9"/>
    <x v="6"/>
    <n v="81.51"/>
  </r>
  <r>
    <d v="2025-11-18T00:00:00"/>
    <x v="2"/>
    <x v="22"/>
    <x v="0"/>
    <x v="59"/>
    <x v="1"/>
    <x v="1"/>
    <x v="3"/>
    <x v="0"/>
    <x v="6"/>
    <x v="8"/>
    <x v="5"/>
    <n v="97.51"/>
  </r>
  <r>
    <d v="2025-11-18T00:00:00"/>
    <x v="2"/>
    <x v="22"/>
    <x v="0"/>
    <x v="44"/>
    <x v="6"/>
    <x v="6"/>
    <x v="49"/>
    <x v="0"/>
    <x v="13"/>
    <x v="4"/>
    <x v="7"/>
    <n v="124.22"/>
  </r>
  <r>
    <d v="2025-11-18T00:00:00"/>
    <x v="2"/>
    <x v="22"/>
    <x v="1"/>
    <x v="15"/>
    <x v="4"/>
    <x v="4"/>
    <x v="79"/>
    <x v="0"/>
    <x v="0"/>
    <x v="4"/>
    <x v="7"/>
    <n v="604.49"/>
  </r>
  <r>
    <d v="2025-11-18T00:00:00"/>
    <x v="2"/>
    <x v="22"/>
    <x v="1"/>
    <x v="35"/>
    <x v="6"/>
    <x v="6"/>
    <x v="46"/>
    <x v="0"/>
    <x v="7"/>
    <x v="3"/>
    <x v="1"/>
    <n v="1291.34"/>
  </r>
  <r>
    <d v="2025-11-19T00:00:00"/>
    <x v="2"/>
    <x v="22"/>
    <x v="1"/>
    <x v="32"/>
    <x v="1"/>
    <x v="1"/>
    <x v="28"/>
    <x v="0"/>
    <x v="8"/>
    <x v="0"/>
    <x v="9"/>
    <n v="2.99"/>
  </r>
  <r>
    <d v="2025-11-19T00:00:00"/>
    <x v="2"/>
    <x v="22"/>
    <x v="1"/>
    <x v="21"/>
    <x v="3"/>
    <x v="3"/>
    <x v="60"/>
    <x v="0"/>
    <x v="17"/>
    <x v="9"/>
    <x v="6"/>
    <n v="89.97"/>
  </r>
  <r>
    <d v="2025-11-19T00:00:00"/>
    <x v="2"/>
    <x v="22"/>
    <x v="1"/>
    <x v="76"/>
    <x v="6"/>
    <x v="6"/>
    <x v="34"/>
    <x v="0"/>
    <x v="14"/>
    <x v="3"/>
    <x v="1"/>
    <n v="209.79"/>
  </r>
  <r>
    <d v="2025-11-19T00:00:00"/>
    <x v="2"/>
    <x v="22"/>
    <x v="1"/>
    <x v="84"/>
    <x v="3"/>
    <x v="3"/>
    <x v="53"/>
    <x v="0"/>
    <x v="19"/>
    <x v="5"/>
    <x v="8"/>
    <n v="688.15"/>
  </r>
  <r>
    <d v="2025-11-19T00:00:00"/>
    <x v="2"/>
    <x v="22"/>
    <x v="0"/>
    <x v="14"/>
    <x v="6"/>
    <x v="6"/>
    <x v="45"/>
    <x v="0"/>
    <x v="7"/>
    <x v="1"/>
    <x v="0"/>
    <n v="702.54"/>
  </r>
  <r>
    <d v="2025-11-19T00:00:00"/>
    <x v="2"/>
    <x v="22"/>
    <x v="1"/>
    <x v="84"/>
    <x v="3"/>
    <x v="3"/>
    <x v="53"/>
    <x v="0"/>
    <x v="19"/>
    <x v="6"/>
    <x v="4"/>
    <n v="4824.82"/>
  </r>
  <r>
    <d v="2025-11-19T00:00:00"/>
    <x v="2"/>
    <x v="22"/>
    <x v="1"/>
    <x v="90"/>
    <x v="3"/>
    <x v="3"/>
    <x v="55"/>
    <x v="0"/>
    <x v="19"/>
    <x v="5"/>
    <x v="8"/>
    <n v="4846.61"/>
  </r>
  <r>
    <d v="2025-11-19T00:00:00"/>
    <x v="2"/>
    <x v="22"/>
    <x v="1"/>
    <x v="39"/>
    <x v="7"/>
    <x v="7"/>
    <x v="91"/>
    <x v="0"/>
    <x v="9"/>
    <x v="9"/>
    <x v="6"/>
    <n v="7890.83"/>
  </r>
  <r>
    <d v="2025-11-19T00:00:00"/>
    <x v="2"/>
    <x v="22"/>
    <x v="1"/>
    <x v="37"/>
    <x v="6"/>
    <x v="6"/>
    <x v="39"/>
    <x v="0"/>
    <x v="14"/>
    <x v="9"/>
    <x v="6"/>
    <n v="8106.36"/>
  </r>
  <r>
    <d v="2025-11-20T00:00:00"/>
    <x v="2"/>
    <x v="22"/>
    <x v="1"/>
    <x v="5"/>
    <x v="1"/>
    <x v="1"/>
    <x v="14"/>
    <x v="0"/>
    <x v="4"/>
    <x v="3"/>
    <x v="1"/>
    <n v="3.0"/>
  </r>
  <r>
    <d v="2025-11-20T00:00:00"/>
    <x v="2"/>
    <x v="22"/>
    <x v="1"/>
    <x v="62"/>
    <x v="6"/>
    <x v="6"/>
    <x v="50"/>
    <x v="0"/>
    <x v="13"/>
    <x v="2"/>
    <x v="2"/>
    <n v="7.0"/>
  </r>
  <r>
    <d v="2025-11-20T00:00:00"/>
    <x v="2"/>
    <x v="22"/>
    <x v="1"/>
    <x v="88"/>
    <x v="1"/>
    <x v="1"/>
    <x v="17"/>
    <x v="0"/>
    <x v="4"/>
    <x v="8"/>
    <x v="5"/>
    <n v="16.9"/>
  </r>
  <r>
    <d v="2025-11-20T00:00:00"/>
    <x v="2"/>
    <x v="22"/>
    <x v="0"/>
    <x v="39"/>
    <x v="7"/>
    <x v="7"/>
    <x v="91"/>
    <x v="0"/>
    <x v="9"/>
    <x v="0"/>
    <x v="9"/>
    <n v="224.95"/>
  </r>
  <r>
    <d v="2025-11-20T00:00:00"/>
    <x v="2"/>
    <x v="22"/>
    <x v="1"/>
    <x v="74"/>
    <x v="4"/>
    <x v="4"/>
    <x v="75"/>
    <x v="0"/>
    <x v="15"/>
    <x v="1"/>
    <x v="0"/>
    <n v="548.43"/>
  </r>
  <r>
    <d v="2025-11-20T00:00:00"/>
    <x v="2"/>
    <x v="22"/>
    <x v="1"/>
    <x v="62"/>
    <x v="6"/>
    <x v="6"/>
    <x v="50"/>
    <x v="0"/>
    <x v="13"/>
    <x v="9"/>
    <x v="6"/>
    <n v="574.99"/>
  </r>
  <r>
    <d v="2025-11-20T00:00:00"/>
    <x v="2"/>
    <x v="22"/>
    <x v="1"/>
    <x v="19"/>
    <x v="7"/>
    <x v="7"/>
    <x v="88"/>
    <x v="0"/>
    <x v="12"/>
    <x v="5"/>
    <x v="8"/>
    <n v="686.93"/>
  </r>
  <r>
    <d v="2025-11-20T00:00:00"/>
    <x v="2"/>
    <x v="22"/>
    <x v="0"/>
    <x v="86"/>
    <x v="1"/>
    <x v="1"/>
    <x v="9"/>
    <x v="0"/>
    <x v="10"/>
    <x v="3"/>
    <x v="1"/>
    <n v="739.61"/>
  </r>
  <r>
    <d v="2025-11-21T00:00:00"/>
    <x v="2"/>
    <x v="22"/>
    <x v="1"/>
    <x v="92"/>
    <x v="6"/>
    <x v="6"/>
    <x v="40"/>
    <x v="0"/>
    <x v="7"/>
    <x v="1"/>
    <x v="0"/>
    <n v="5.0"/>
  </r>
  <r>
    <d v="2025-11-21T00:00:00"/>
    <x v="2"/>
    <x v="22"/>
    <x v="0"/>
    <x v="83"/>
    <x v="3"/>
    <x v="3"/>
    <x v="56"/>
    <x v="0"/>
    <x v="16"/>
    <x v="4"/>
    <x v="7"/>
    <n v="9.98"/>
  </r>
  <r>
    <d v="2025-11-21T00:00:00"/>
    <x v="2"/>
    <x v="22"/>
    <x v="1"/>
    <x v="27"/>
    <x v="6"/>
    <x v="6"/>
    <x v="31"/>
    <x v="0"/>
    <x v="2"/>
    <x v="2"/>
    <x v="2"/>
    <n v="13.93"/>
  </r>
  <r>
    <d v="2025-11-21T00:00:00"/>
    <x v="2"/>
    <x v="22"/>
    <x v="0"/>
    <x v="51"/>
    <x v="5"/>
    <x v="5"/>
    <x v="95"/>
    <x v="0"/>
    <x v="18"/>
    <x v="5"/>
    <x v="8"/>
    <n v="47.94"/>
  </r>
  <r>
    <d v="2025-11-21T00:00:00"/>
    <x v="2"/>
    <x v="22"/>
    <x v="0"/>
    <x v="89"/>
    <x v="1"/>
    <x v="1"/>
    <x v="18"/>
    <x v="0"/>
    <x v="5"/>
    <x v="1"/>
    <x v="0"/>
    <n v="84.93"/>
  </r>
  <r>
    <d v="2025-11-21T00:00:00"/>
    <x v="2"/>
    <x v="22"/>
    <x v="1"/>
    <x v="25"/>
    <x v="1"/>
    <x v="1"/>
    <x v="6"/>
    <x v="0"/>
    <x v="6"/>
    <x v="6"/>
    <x v="4"/>
    <n v="86.29"/>
  </r>
  <r>
    <d v="2025-11-21T00:00:00"/>
    <x v="2"/>
    <x v="22"/>
    <x v="0"/>
    <x v="69"/>
    <x v="1"/>
    <x v="1"/>
    <x v="19"/>
    <x v="0"/>
    <x v="5"/>
    <x v="1"/>
    <x v="0"/>
    <n v="109.83"/>
  </r>
  <r>
    <d v="2025-11-21T00:00:00"/>
    <x v="2"/>
    <x v="22"/>
    <x v="0"/>
    <x v="81"/>
    <x v="4"/>
    <x v="4"/>
    <x v="77"/>
    <x v="0"/>
    <x v="15"/>
    <x v="2"/>
    <x v="2"/>
    <n v="152.34"/>
  </r>
  <r>
    <d v="2025-11-21T00:00:00"/>
    <x v="2"/>
    <x v="22"/>
    <x v="1"/>
    <x v="30"/>
    <x v="6"/>
    <x v="6"/>
    <x v="37"/>
    <x v="0"/>
    <x v="14"/>
    <x v="3"/>
    <x v="1"/>
    <n v="1817.09"/>
  </r>
  <r>
    <d v="2025-11-21T00:00:00"/>
    <x v="2"/>
    <x v="22"/>
    <x v="1"/>
    <x v="65"/>
    <x v="1"/>
    <x v="1"/>
    <x v="7"/>
    <x v="0"/>
    <x v="10"/>
    <x v="5"/>
    <x v="8"/>
    <n v="3214.76"/>
  </r>
  <r>
    <d v="2025-11-22T00:00:00"/>
    <x v="2"/>
    <x v="22"/>
    <x v="1"/>
    <x v="77"/>
    <x v="3"/>
    <x v="3"/>
    <x v="66"/>
    <x v="0"/>
    <x v="1"/>
    <x v="2"/>
    <x v="2"/>
    <n v="31.96"/>
  </r>
  <r>
    <d v="2025-11-22T00:00:00"/>
    <x v="2"/>
    <x v="22"/>
    <x v="0"/>
    <x v="88"/>
    <x v="1"/>
    <x v="1"/>
    <x v="17"/>
    <x v="0"/>
    <x v="4"/>
    <x v="6"/>
    <x v="4"/>
    <n v="109.04"/>
  </r>
  <r>
    <d v="2025-11-22T00:00:00"/>
    <x v="2"/>
    <x v="22"/>
    <x v="0"/>
    <x v="64"/>
    <x v="3"/>
    <x v="3"/>
    <x v="70"/>
    <x v="0"/>
    <x v="3"/>
    <x v="1"/>
    <x v="0"/>
    <n v="129.9"/>
  </r>
  <r>
    <d v="2025-11-22T00:00:00"/>
    <x v="2"/>
    <x v="22"/>
    <x v="1"/>
    <x v="27"/>
    <x v="6"/>
    <x v="6"/>
    <x v="31"/>
    <x v="0"/>
    <x v="2"/>
    <x v="0"/>
    <x v="9"/>
    <n v="575.21"/>
  </r>
  <r>
    <d v="2025-11-22T00:00:00"/>
    <x v="2"/>
    <x v="22"/>
    <x v="1"/>
    <x v="85"/>
    <x v="6"/>
    <x v="6"/>
    <x v="43"/>
    <x v="0"/>
    <x v="7"/>
    <x v="6"/>
    <x v="4"/>
    <n v="1034.95"/>
  </r>
  <r>
    <d v="2025-11-22T00:00:00"/>
    <x v="2"/>
    <x v="22"/>
    <x v="0"/>
    <x v="1"/>
    <x v="7"/>
    <x v="7"/>
    <x v="89"/>
    <x v="0"/>
    <x v="12"/>
    <x v="2"/>
    <x v="2"/>
    <n v="5438.42"/>
  </r>
  <r>
    <d v="2025-11-23T00:00:00"/>
    <x v="2"/>
    <x v="22"/>
    <x v="1"/>
    <x v="24"/>
    <x v="6"/>
    <x v="6"/>
    <x v="36"/>
    <x v="0"/>
    <x v="14"/>
    <x v="2"/>
    <x v="2"/>
    <n v="3.99"/>
  </r>
  <r>
    <d v="2025-11-23T00:00:00"/>
    <x v="2"/>
    <x v="22"/>
    <x v="0"/>
    <x v="83"/>
    <x v="3"/>
    <x v="3"/>
    <x v="56"/>
    <x v="0"/>
    <x v="16"/>
    <x v="4"/>
    <x v="7"/>
    <n v="19.96"/>
  </r>
  <r>
    <d v="2025-11-23T00:00:00"/>
    <x v="2"/>
    <x v="22"/>
    <x v="1"/>
    <x v="22"/>
    <x v="1"/>
    <x v="1"/>
    <x v="20"/>
    <x v="0"/>
    <x v="5"/>
    <x v="3"/>
    <x v="1"/>
    <n v="20.5"/>
  </r>
  <r>
    <d v="2025-11-23T00:00:00"/>
    <x v="2"/>
    <x v="22"/>
    <x v="0"/>
    <x v="91"/>
    <x v="1"/>
    <x v="1"/>
    <x v="23"/>
    <x v="0"/>
    <x v="8"/>
    <x v="3"/>
    <x v="1"/>
    <n v="41.48"/>
  </r>
  <r>
    <d v="2025-11-23T00:00:00"/>
    <x v="2"/>
    <x v="22"/>
    <x v="1"/>
    <x v="90"/>
    <x v="3"/>
    <x v="3"/>
    <x v="55"/>
    <x v="0"/>
    <x v="19"/>
    <x v="6"/>
    <x v="4"/>
    <n v="407.3"/>
  </r>
  <r>
    <d v="2025-11-23T00:00:00"/>
    <x v="2"/>
    <x v="22"/>
    <x v="0"/>
    <x v="79"/>
    <x v="1"/>
    <x v="1"/>
    <x v="8"/>
    <x v="0"/>
    <x v="10"/>
    <x v="6"/>
    <x v="4"/>
    <n v="3985.06"/>
  </r>
  <r>
    <d v="2025-11-24T00:00:00"/>
    <x v="2"/>
    <x v="22"/>
    <x v="1"/>
    <x v="12"/>
    <x v="1"/>
    <x v="1"/>
    <x v="26"/>
    <x v="0"/>
    <x v="8"/>
    <x v="2"/>
    <x v="2"/>
    <n v="2.36"/>
  </r>
  <r>
    <d v="2025-11-24T00:00:00"/>
    <x v="2"/>
    <x v="22"/>
    <x v="0"/>
    <x v="51"/>
    <x v="5"/>
    <x v="5"/>
    <x v="95"/>
    <x v="0"/>
    <x v="18"/>
    <x v="4"/>
    <x v="7"/>
    <n v="28.53"/>
  </r>
  <r>
    <d v="2025-11-24T00:00:00"/>
    <x v="2"/>
    <x v="22"/>
    <x v="1"/>
    <x v="67"/>
    <x v="3"/>
    <x v="3"/>
    <x v="62"/>
    <x v="0"/>
    <x v="17"/>
    <x v="1"/>
    <x v="0"/>
    <n v="264.83"/>
  </r>
  <r>
    <d v="2025-11-24T00:00:00"/>
    <x v="2"/>
    <x v="22"/>
    <x v="1"/>
    <x v="47"/>
    <x v="3"/>
    <x v="3"/>
    <x v="54"/>
    <x v="0"/>
    <x v="19"/>
    <x v="9"/>
    <x v="6"/>
    <n v="2507.75"/>
  </r>
  <r>
    <d v="2025-11-25T00:00:00"/>
    <x v="2"/>
    <x v="22"/>
    <x v="0"/>
    <x v="76"/>
    <x v="6"/>
    <x v="6"/>
    <x v="34"/>
    <x v="0"/>
    <x v="14"/>
    <x v="0"/>
    <x v="9"/>
    <n v="15.98"/>
  </r>
  <r>
    <d v="2025-11-25T00:00:00"/>
    <x v="2"/>
    <x v="22"/>
    <x v="1"/>
    <x v="68"/>
    <x v="3"/>
    <x v="3"/>
    <x v="59"/>
    <x v="0"/>
    <x v="16"/>
    <x v="4"/>
    <x v="7"/>
    <n v="37.91"/>
  </r>
  <r>
    <d v="2025-11-25T00:00:00"/>
    <x v="2"/>
    <x v="22"/>
    <x v="1"/>
    <x v="77"/>
    <x v="3"/>
    <x v="3"/>
    <x v="66"/>
    <x v="0"/>
    <x v="1"/>
    <x v="1"/>
    <x v="0"/>
    <n v="93.95"/>
  </r>
  <r>
    <d v="2025-11-25T00:00:00"/>
    <x v="2"/>
    <x v="22"/>
    <x v="1"/>
    <x v="12"/>
    <x v="1"/>
    <x v="1"/>
    <x v="26"/>
    <x v="0"/>
    <x v="8"/>
    <x v="0"/>
    <x v="9"/>
    <n v="422.37"/>
  </r>
  <r>
    <d v="2025-11-25T00:00:00"/>
    <x v="2"/>
    <x v="22"/>
    <x v="0"/>
    <x v="0"/>
    <x v="3"/>
    <x v="3"/>
    <x v="69"/>
    <x v="0"/>
    <x v="3"/>
    <x v="9"/>
    <x v="6"/>
    <n v="991.59"/>
  </r>
  <r>
    <d v="2025-11-26T00:00:00"/>
    <x v="2"/>
    <x v="22"/>
    <x v="1"/>
    <x v="85"/>
    <x v="6"/>
    <x v="6"/>
    <x v="43"/>
    <x v="0"/>
    <x v="7"/>
    <x v="4"/>
    <x v="7"/>
    <n v="11.97"/>
  </r>
  <r>
    <d v="2025-11-26T00:00:00"/>
    <x v="2"/>
    <x v="22"/>
    <x v="1"/>
    <x v="60"/>
    <x v="6"/>
    <x v="6"/>
    <x v="44"/>
    <x v="0"/>
    <x v="7"/>
    <x v="4"/>
    <x v="7"/>
    <n v="19.96"/>
  </r>
  <r>
    <d v="2025-11-26T00:00:00"/>
    <x v="2"/>
    <x v="22"/>
    <x v="1"/>
    <x v="26"/>
    <x v="7"/>
    <x v="7"/>
    <x v="81"/>
    <x v="0"/>
    <x v="20"/>
    <x v="3"/>
    <x v="1"/>
    <n v="35.28"/>
  </r>
  <r>
    <d v="2025-11-26T00:00:00"/>
    <x v="2"/>
    <x v="22"/>
    <x v="0"/>
    <x v="55"/>
    <x v="3"/>
    <x v="3"/>
    <x v="68"/>
    <x v="0"/>
    <x v="1"/>
    <x v="3"/>
    <x v="1"/>
    <n v="90.85"/>
  </r>
  <r>
    <d v="2025-11-26T00:00:00"/>
    <x v="2"/>
    <x v="22"/>
    <x v="1"/>
    <x v="3"/>
    <x v="2"/>
    <x v="2"/>
    <x v="1"/>
    <x v="0"/>
    <x v="11"/>
    <x v="5"/>
    <x v="8"/>
    <n v="128.81"/>
  </r>
  <r>
    <d v="2025-11-26T00:00:00"/>
    <x v="2"/>
    <x v="22"/>
    <x v="0"/>
    <x v="22"/>
    <x v="1"/>
    <x v="1"/>
    <x v="20"/>
    <x v="0"/>
    <x v="5"/>
    <x v="6"/>
    <x v="4"/>
    <n v="163.81"/>
  </r>
  <r>
    <d v="2025-11-26T00:00:00"/>
    <x v="2"/>
    <x v="22"/>
    <x v="0"/>
    <x v="55"/>
    <x v="3"/>
    <x v="3"/>
    <x v="68"/>
    <x v="0"/>
    <x v="1"/>
    <x v="4"/>
    <x v="7"/>
    <n v="231.64"/>
  </r>
  <r>
    <d v="2025-11-26T00:00:00"/>
    <x v="2"/>
    <x v="22"/>
    <x v="1"/>
    <x v="58"/>
    <x v="3"/>
    <x v="3"/>
    <x v="61"/>
    <x v="0"/>
    <x v="17"/>
    <x v="6"/>
    <x v="4"/>
    <n v="421.01"/>
  </r>
  <r>
    <d v="2025-11-26T00:00:00"/>
    <x v="2"/>
    <x v="22"/>
    <x v="1"/>
    <x v="2"/>
    <x v="1"/>
    <x v="1"/>
    <x v="2"/>
    <x v="0"/>
    <x v="6"/>
    <x v="5"/>
    <x v="8"/>
    <n v="789.65"/>
  </r>
  <r>
    <d v="2025-11-27T00:00:00"/>
    <x v="2"/>
    <x v="22"/>
    <x v="0"/>
    <x v="86"/>
    <x v="1"/>
    <x v="1"/>
    <x v="9"/>
    <x v="0"/>
    <x v="10"/>
    <x v="1"/>
    <x v="0"/>
    <n v="90.93"/>
  </r>
  <r>
    <d v="2025-11-27T00:00:00"/>
    <x v="2"/>
    <x v="22"/>
    <x v="0"/>
    <x v="67"/>
    <x v="3"/>
    <x v="3"/>
    <x v="62"/>
    <x v="0"/>
    <x v="17"/>
    <x v="3"/>
    <x v="1"/>
    <n v="141.3"/>
  </r>
  <r>
    <d v="2025-11-27T00:00:00"/>
    <x v="2"/>
    <x v="22"/>
    <x v="1"/>
    <x v="50"/>
    <x v="7"/>
    <x v="7"/>
    <x v="83"/>
    <x v="0"/>
    <x v="20"/>
    <x v="4"/>
    <x v="7"/>
    <n v="229.4"/>
  </r>
  <r>
    <d v="2025-11-27T00:00:00"/>
    <x v="2"/>
    <x v="22"/>
    <x v="1"/>
    <x v="59"/>
    <x v="1"/>
    <x v="1"/>
    <x v="3"/>
    <x v="0"/>
    <x v="6"/>
    <x v="0"/>
    <x v="9"/>
    <n v="391.5"/>
  </r>
  <r>
    <d v="2025-11-27T00:00:00"/>
    <x v="2"/>
    <x v="22"/>
    <x v="1"/>
    <x v="75"/>
    <x v="1"/>
    <x v="1"/>
    <x v="4"/>
    <x v="0"/>
    <x v="6"/>
    <x v="1"/>
    <x v="0"/>
    <n v="1067.18"/>
  </r>
  <r>
    <d v="2025-11-27T00:00:00"/>
    <x v="2"/>
    <x v="22"/>
    <x v="0"/>
    <x v="7"/>
    <x v="1"/>
    <x v="1"/>
    <x v="10"/>
    <x v="0"/>
    <x v="10"/>
    <x v="9"/>
    <x v="6"/>
    <n v="2544.18"/>
  </r>
  <r>
    <d v="2025-11-27T00:00:00"/>
    <x v="2"/>
    <x v="22"/>
    <x v="1"/>
    <x v="31"/>
    <x v="2"/>
    <x v="2"/>
    <x v="0"/>
    <x v="0"/>
    <x v="11"/>
    <x v="5"/>
    <x v="8"/>
    <n v="2809.26"/>
  </r>
  <r>
    <d v="2025-11-28T00:00:00"/>
    <x v="2"/>
    <x v="22"/>
    <x v="1"/>
    <x v="54"/>
    <x v="1"/>
    <x v="1"/>
    <x v="25"/>
    <x v="0"/>
    <x v="8"/>
    <x v="5"/>
    <x v="8"/>
    <n v="42.65"/>
  </r>
  <r>
    <d v="2025-11-28T00:00:00"/>
    <x v="2"/>
    <x v="22"/>
    <x v="0"/>
    <x v="47"/>
    <x v="3"/>
    <x v="3"/>
    <x v="54"/>
    <x v="0"/>
    <x v="19"/>
    <x v="6"/>
    <x v="4"/>
    <n v="59.88"/>
  </r>
  <r>
    <d v="2025-11-28T00:00:00"/>
    <x v="2"/>
    <x v="22"/>
    <x v="0"/>
    <x v="66"/>
    <x v="4"/>
    <x v="4"/>
    <x v="76"/>
    <x v="0"/>
    <x v="15"/>
    <x v="1"/>
    <x v="0"/>
    <n v="74.0"/>
  </r>
  <r>
    <d v="2025-11-28T00:00:00"/>
    <x v="2"/>
    <x v="22"/>
    <x v="0"/>
    <x v="74"/>
    <x v="4"/>
    <x v="4"/>
    <x v="75"/>
    <x v="0"/>
    <x v="15"/>
    <x v="6"/>
    <x v="4"/>
    <n v="88.88"/>
  </r>
  <r>
    <d v="2025-11-28T00:00:00"/>
    <x v="2"/>
    <x v="22"/>
    <x v="0"/>
    <x v="92"/>
    <x v="6"/>
    <x v="6"/>
    <x v="40"/>
    <x v="0"/>
    <x v="7"/>
    <x v="6"/>
    <x v="4"/>
    <n v="119.76"/>
  </r>
  <r>
    <d v="2025-11-28T00:00:00"/>
    <x v="2"/>
    <x v="22"/>
    <x v="1"/>
    <x v="78"/>
    <x v="5"/>
    <x v="5"/>
    <x v="94"/>
    <x v="0"/>
    <x v="18"/>
    <x v="3"/>
    <x v="1"/>
    <n v="395.26"/>
  </r>
  <r>
    <d v="2025-11-28T00:00:00"/>
    <x v="2"/>
    <x v="22"/>
    <x v="1"/>
    <x v="25"/>
    <x v="1"/>
    <x v="1"/>
    <x v="6"/>
    <x v="0"/>
    <x v="6"/>
    <x v="5"/>
    <x v="8"/>
    <n v="3143.54"/>
  </r>
  <r>
    <d v="2025-11-29T00:00:00"/>
    <x v="2"/>
    <x v="22"/>
    <x v="1"/>
    <x v="44"/>
    <x v="6"/>
    <x v="6"/>
    <x v="49"/>
    <x v="0"/>
    <x v="13"/>
    <x v="4"/>
    <x v="7"/>
    <n v="29.91"/>
  </r>
  <r>
    <d v="2025-11-29T00:00:00"/>
    <x v="2"/>
    <x v="22"/>
    <x v="1"/>
    <x v="14"/>
    <x v="6"/>
    <x v="6"/>
    <x v="45"/>
    <x v="0"/>
    <x v="7"/>
    <x v="7"/>
    <x v="3"/>
    <n v="46.31"/>
  </r>
  <r>
    <d v="2025-11-29T00:00:00"/>
    <x v="2"/>
    <x v="22"/>
    <x v="1"/>
    <x v="4"/>
    <x v="6"/>
    <x v="6"/>
    <x v="29"/>
    <x v="0"/>
    <x v="2"/>
    <x v="6"/>
    <x v="4"/>
    <n v="67.58"/>
  </r>
  <r>
    <d v="2025-11-29T00:00:00"/>
    <x v="2"/>
    <x v="22"/>
    <x v="0"/>
    <x v="22"/>
    <x v="1"/>
    <x v="1"/>
    <x v="20"/>
    <x v="0"/>
    <x v="5"/>
    <x v="5"/>
    <x v="8"/>
    <n v="122.73"/>
  </r>
  <r>
    <d v="2025-11-29T00:00:00"/>
    <x v="2"/>
    <x v="22"/>
    <x v="1"/>
    <x v="35"/>
    <x v="6"/>
    <x v="6"/>
    <x v="46"/>
    <x v="0"/>
    <x v="7"/>
    <x v="2"/>
    <x v="2"/>
    <n v="154.48"/>
  </r>
  <r>
    <d v="2025-11-29T00:00:00"/>
    <x v="2"/>
    <x v="22"/>
    <x v="0"/>
    <x v="10"/>
    <x v="6"/>
    <x v="6"/>
    <x v="41"/>
    <x v="0"/>
    <x v="7"/>
    <x v="4"/>
    <x v="7"/>
    <n v="402.18"/>
  </r>
  <r>
    <d v="2025-11-29T00:00:00"/>
    <x v="2"/>
    <x v="22"/>
    <x v="0"/>
    <x v="31"/>
    <x v="2"/>
    <x v="2"/>
    <x v="0"/>
    <x v="0"/>
    <x v="11"/>
    <x v="8"/>
    <x v="5"/>
    <n v="617.93"/>
  </r>
  <r>
    <d v="2025-11-30T00:00:00"/>
    <x v="2"/>
    <x v="22"/>
    <x v="0"/>
    <x v="83"/>
    <x v="3"/>
    <x v="3"/>
    <x v="56"/>
    <x v="0"/>
    <x v="16"/>
    <x v="3"/>
    <x v="1"/>
    <n v="4.99"/>
  </r>
  <r>
    <d v="2025-11-30T00:00:00"/>
    <x v="2"/>
    <x v="22"/>
    <x v="0"/>
    <x v="72"/>
    <x v="1"/>
    <x v="1"/>
    <x v="24"/>
    <x v="0"/>
    <x v="8"/>
    <x v="2"/>
    <x v="2"/>
    <n v="14.99"/>
  </r>
  <r>
    <d v="2025-11-30T00:00:00"/>
    <x v="2"/>
    <x v="22"/>
    <x v="1"/>
    <x v="36"/>
    <x v="7"/>
    <x v="7"/>
    <x v="90"/>
    <x v="0"/>
    <x v="9"/>
    <x v="5"/>
    <x v="8"/>
    <n v="15.98"/>
  </r>
  <r>
    <d v="2025-11-30T00:00:00"/>
    <x v="2"/>
    <x v="22"/>
    <x v="1"/>
    <x v="25"/>
    <x v="1"/>
    <x v="1"/>
    <x v="6"/>
    <x v="0"/>
    <x v="6"/>
    <x v="7"/>
    <x v="3"/>
    <n v="43.28"/>
  </r>
  <r>
    <d v="2025-11-30T00:00:00"/>
    <x v="2"/>
    <x v="22"/>
    <x v="1"/>
    <x v="24"/>
    <x v="6"/>
    <x v="6"/>
    <x v="36"/>
    <x v="0"/>
    <x v="14"/>
    <x v="6"/>
    <x v="4"/>
    <n v="1138.04"/>
  </r>
  <r>
    <d v="2025-11-30T00:00:00"/>
    <x v="2"/>
    <x v="22"/>
    <x v="0"/>
    <x v="5"/>
    <x v="1"/>
    <x v="1"/>
    <x v="14"/>
    <x v="0"/>
    <x v="4"/>
    <x v="9"/>
    <x v="6"/>
    <n v="4041.07"/>
  </r>
  <r>
    <d v="2025-12-01T00:00:00"/>
    <x v="2"/>
    <x v="23"/>
    <x v="0"/>
    <x v="20"/>
    <x v="3"/>
    <x v="3"/>
    <x v="71"/>
    <x v="0"/>
    <x v="3"/>
    <x v="8"/>
    <x v="5"/>
    <n v="53.89"/>
  </r>
  <r>
    <d v="2025-12-01T00:00:00"/>
    <x v="2"/>
    <x v="23"/>
    <x v="1"/>
    <x v="31"/>
    <x v="2"/>
    <x v="2"/>
    <x v="0"/>
    <x v="0"/>
    <x v="11"/>
    <x v="7"/>
    <x v="3"/>
    <n v="79.94"/>
  </r>
  <r>
    <d v="2025-12-01T00:00:00"/>
    <x v="2"/>
    <x v="23"/>
    <x v="1"/>
    <x v="53"/>
    <x v="1"/>
    <x v="1"/>
    <x v="16"/>
    <x v="0"/>
    <x v="4"/>
    <x v="3"/>
    <x v="1"/>
    <n v="1679.7"/>
  </r>
  <r>
    <d v="2025-12-01T00:00:00"/>
    <x v="2"/>
    <x v="23"/>
    <x v="1"/>
    <x v="21"/>
    <x v="3"/>
    <x v="3"/>
    <x v="60"/>
    <x v="0"/>
    <x v="17"/>
    <x v="3"/>
    <x v="1"/>
    <n v="1700.33"/>
  </r>
  <r>
    <d v="2025-12-02T00:00:00"/>
    <x v="2"/>
    <x v="23"/>
    <x v="1"/>
    <x v="72"/>
    <x v="1"/>
    <x v="1"/>
    <x v="24"/>
    <x v="0"/>
    <x v="8"/>
    <x v="8"/>
    <x v="5"/>
    <n v="3.95"/>
  </r>
  <r>
    <d v="2025-12-02T00:00:00"/>
    <x v="2"/>
    <x v="23"/>
    <x v="1"/>
    <x v="71"/>
    <x v="1"/>
    <x v="1"/>
    <x v="27"/>
    <x v="0"/>
    <x v="8"/>
    <x v="0"/>
    <x v="9"/>
    <n v="5.57"/>
  </r>
  <r>
    <d v="2025-12-02T00:00:00"/>
    <x v="2"/>
    <x v="23"/>
    <x v="1"/>
    <x v="23"/>
    <x v="1"/>
    <x v="1"/>
    <x v="12"/>
    <x v="0"/>
    <x v="10"/>
    <x v="4"/>
    <x v="7"/>
    <n v="323.19"/>
  </r>
  <r>
    <d v="2025-12-02T00:00:00"/>
    <x v="2"/>
    <x v="23"/>
    <x v="0"/>
    <x v="62"/>
    <x v="6"/>
    <x v="6"/>
    <x v="50"/>
    <x v="0"/>
    <x v="13"/>
    <x v="3"/>
    <x v="1"/>
    <n v="609.24"/>
  </r>
  <r>
    <d v="2025-12-02T00:00:00"/>
    <x v="2"/>
    <x v="23"/>
    <x v="1"/>
    <x v="21"/>
    <x v="3"/>
    <x v="3"/>
    <x v="60"/>
    <x v="0"/>
    <x v="17"/>
    <x v="5"/>
    <x v="8"/>
    <n v="817.61"/>
  </r>
  <r>
    <d v="2025-12-03T00:00:00"/>
    <x v="2"/>
    <x v="23"/>
    <x v="1"/>
    <x v="4"/>
    <x v="6"/>
    <x v="6"/>
    <x v="29"/>
    <x v="0"/>
    <x v="2"/>
    <x v="1"/>
    <x v="0"/>
    <n v="1.57"/>
  </r>
  <r>
    <d v="2025-12-03T00:00:00"/>
    <x v="2"/>
    <x v="23"/>
    <x v="1"/>
    <x v="65"/>
    <x v="1"/>
    <x v="1"/>
    <x v="7"/>
    <x v="0"/>
    <x v="10"/>
    <x v="4"/>
    <x v="7"/>
    <n v="2.0"/>
  </r>
  <r>
    <d v="2025-12-03T00:00:00"/>
    <x v="2"/>
    <x v="23"/>
    <x v="0"/>
    <x v="25"/>
    <x v="1"/>
    <x v="1"/>
    <x v="6"/>
    <x v="0"/>
    <x v="6"/>
    <x v="6"/>
    <x v="4"/>
    <n v="10.99"/>
  </r>
  <r>
    <d v="2025-12-03T00:00:00"/>
    <x v="2"/>
    <x v="23"/>
    <x v="1"/>
    <x v="32"/>
    <x v="1"/>
    <x v="1"/>
    <x v="28"/>
    <x v="0"/>
    <x v="8"/>
    <x v="4"/>
    <x v="7"/>
    <n v="13.99"/>
  </r>
  <r>
    <d v="2025-12-03T00:00:00"/>
    <x v="2"/>
    <x v="23"/>
    <x v="1"/>
    <x v="5"/>
    <x v="1"/>
    <x v="1"/>
    <x v="14"/>
    <x v="0"/>
    <x v="4"/>
    <x v="1"/>
    <x v="0"/>
    <n v="14.99"/>
  </r>
  <r>
    <d v="2025-12-03T00:00:00"/>
    <x v="2"/>
    <x v="23"/>
    <x v="1"/>
    <x v="67"/>
    <x v="3"/>
    <x v="3"/>
    <x v="62"/>
    <x v="0"/>
    <x v="17"/>
    <x v="5"/>
    <x v="8"/>
    <n v="23.99"/>
  </r>
  <r>
    <d v="2025-12-03T00:00:00"/>
    <x v="2"/>
    <x v="23"/>
    <x v="1"/>
    <x v="63"/>
    <x v="4"/>
    <x v="4"/>
    <x v="78"/>
    <x v="0"/>
    <x v="0"/>
    <x v="9"/>
    <x v="6"/>
    <n v="326.1"/>
  </r>
  <r>
    <d v="2025-12-03T00:00:00"/>
    <x v="2"/>
    <x v="23"/>
    <x v="0"/>
    <x v="30"/>
    <x v="6"/>
    <x v="6"/>
    <x v="37"/>
    <x v="0"/>
    <x v="14"/>
    <x v="8"/>
    <x v="5"/>
    <n v="346.13"/>
  </r>
  <r>
    <d v="2025-12-03T00:00:00"/>
    <x v="2"/>
    <x v="23"/>
    <x v="0"/>
    <x v="7"/>
    <x v="1"/>
    <x v="1"/>
    <x v="10"/>
    <x v="0"/>
    <x v="10"/>
    <x v="9"/>
    <x v="6"/>
    <n v="447.63"/>
  </r>
  <r>
    <d v="2025-12-03T00:00:00"/>
    <x v="2"/>
    <x v="23"/>
    <x v="1"/>
    <x v="48"/>
    <x v="7"/>
    <x v="7"/>
    <x v="85"/>
    <x v="0"/>
    <x v="20"/>
    <x v="9"/>
    <x v="6"/>
    <n v="1105.31"/>
  </r>
  <r>
    <d v="2025-12-04T00:00:00"/>
    <x v="2"/>
    <x v="23"/>
    <x v="0"/>
    <x v="20"/>
    <x v="3"/>
    <x v="3"/>
    <x v="71"/>
    <x v="0"/>
    <x v="3"/>
    <x v="3"/>
    <x v="1"/>
    <n v="6.99"/>
  </r>
  <r>
    <d v="2025-12-04T00:00:00"/>
    <x v="2"/>
    <x v="23"/>
    <x v="0"/>
    <x v="11"/>
    <x v="1"/>
    <x v="1"/>
    <x v="15"/>
    <x v="0"/>
    <x v="4"/>
    <x v="5"/>
    <x v="8"/>
    <n v="47.86"/>
  </r>
  <r>
    <d v="2025-12-04T00:00:00"/>
    <x v="2"/>
    <x v="23"/>
    <x v="0"/>
    <x v="89"/>
    <x v="1"/>
    <x v="1"/>
    <x v="18"/>
    <x v="0"/>
    <x v="5"/>
    <x v="0"/>
    <x v="9"/>
    <n v="59.43"/>
  </r>
  <r>
    <d v="2025-12-04T00:00:00"/>
    <x v="2"/>
    <x v="23"/>
    <x v="0"/>
    <x v="57"/>
    <x v="4"/>
    <x v="4"/>
    <x v="74"/>
    <x v="0"/>
    <x v="15"/>
    <x v="3"/>
    <x v="1"/>
    <n v="144.87"/>
  </r>
  <r>
    <d v="2025-12-04T00:00:00"/>
    <x v="2"/>
    <x v="23"/>
    <x v="1"/>
    <x v="93"/>
    <x v="6"/>
    <x v="6"/>
    <x v="30"/>
    <x v="0"/>
    <x v="2"/>
    <x v="4"/>
    <x v="7"/>
    <n v="157.42"/>
  </r>
  <r>
    <d v="2025-12-04T00:00:00"/>
    <x v="2"/>
    <x v="23"/>
    <x v="1"/>
    <x v="58"/>
    <x v="3"/>
    <x v="3"/>
    <x v="61"/>
    <x v="0"/>
    <x v="17"/>
    <x v="6"/>
    <x v="4"/>
    <n v="7110.98"/>
  </r>
  <r>
    <d v="2025-12-05T00:00:00"/>
    <x v="2"/>
    <x v="23"/>
    <x v="1"/>
    <x v="92"/>
    <x v="6"/>
    <x v="6"/>
    <x v="40"/>
    <x v="0"/>
    <x v="7"/>
    <x v="3"/>
    <x v="1"/>
    <n v="25.0"/>
  </r>
  <r>
    <d v="2025-12-05T00:00:00"/>
    <x v="2"/>
    <x v="23"/>
    <x v="0"/>
    <x v="43"/>
    <x v="7"/>
    <x v="7"/>
    <x v="87"/>
    <x v="0"/>
    <x v="12"/>
    <x v="0"/>
    <x v="9"/>
    <n v="47.44"/>
  </r>
  <r>
    <d v="2025-12-05T00:00:00"/>
    <x v="2"/>
    <x v="23"/>
    <x v="0"/>
    <x v="89"/>
    <x v="1"/>
    <x v="1"/>
    <x v="18"/>
    <x v="0"/>
    <x v="5"/>
    <x v="2"/>
    <x v="2"/>
    <n v="129.91"/>
  </r>
  <r>
    <d v="2025-12-05T00:00:00"/>
    <x v="2"/>
    <x v="23"/>
    <x v="1"/>
    <x v="27"/>
    <x v="6"/>
    <x v="6"/>
    <x v="31"/>
    <x v="0"/>
    <x v="2"/>
    <x v="1"/>
    <x v="0"/>
    <n v="390.13"/>
  </r>
  <r>
    <d v="2025-12-05T00:00:00"/>
    <x v="2"/>
    <x v="23"/>
    <x v="1"/>
    <x v="51"/>
    <x v="5"/>
    <x v="5"/>
    <x v="95"/>
    <x v="0"/>
    <x v="18"/>
    <x v="1"/>
    <x v="0"/>
    <n v="428.57"/>
  </r>
  <r>
    <d v="2025-12-05T00:00:00"/>
    <x v="2"/>
    <x v="23"/>
    <x v="0"/>
    <x v="4"/>
    <x v="6"/>
    <x v="6"/>
    <x v="29"/>
    <x v="0"/>
    <x v="2"/>
    <x v="1"/>
    <x v="0"/>
    <n v="1721.62"/>
  </r>
  <r>
    <d v="2025-12-06T00:00:00"/>
    <x v="2"/>
    <x v="23"/>
    <x v="1"/>
    <x v="4"/>
    <x v="6"/>
    <x v="6"/>
    <x v="29"/>
    <x v="0"/>
    <x v="2"/>
    <x v="8"/>
    <x v="5"/>
    <n v="105.84"/>
  </r>
  <r>
    <d v="2025-12-06T00:00:00"/>
    <x v="2"/>
    <x v="23"/>
    <x v="0"/>
    <x v="96"/>
    <x v="3"/>
    <x v="3"/>
    <x v="67"/>
    <x v="0"/>
    <x v="1"/>
    <x v="1"/>
    <x v="0"/>
    <n v="106.35"/>
  </r>
  <r>
    <d v="2025-12-06T00:00:00"/>
    <x v="2"/>
    <x v="23"/>
    <x v="0"/>
    <x v="60"/>
    <x v="6"/>
    <x v="6"/>
    <x v="44"/>
    <x v="0"/>
    <x v="7"/>
    <x v="5"/>
    <x v="8"/>
    <n v="445.95"/>
  </r>
  <r>
    <d v="2025-12-06T00:00:00"/>
    <x v="2"/>
    <x v="23"/>
    <x v="0"/>
    <x v="89"/>
    <x v="1"/>
    <x v="1"/>
    <x v="18"/>
    <x v="0"/>
    <x v="5"/>
    <x v="3"/>
    <x v="1"/>
    <n v="1091.22"/>
  </r>
  <r>
    <d v="2025-12-07T00:00:00"/>
    <x v="2"/>
    <x v="23"/>
    <x v="0"/>
    <x v="62"/>
    <x v="6"/>
    <x v="6"/>
    <x v="50"/>
    <x v="0"/>
    <x v="13"/>
    <x v="0"/>
    <x v="9"/>
    <n v="5.99"/>
  </r>
  <r>
    <d v="2025-12-07T00:00:00"/>
    <x v="2"/>
    <x v="23"/>
    <x v="1"/>
    <x v="71"/>
    <x v="1"/>
    <x v="1"/>
    <x v="27"/>
    <x v="0"/>
    <x v="8"/>
    <x v="2"/>
    <x v="2"/>
    <n v="39.0"/>
  </r>
  <r>
    <d v="2025-12-07T00:00:00"/>
    <x v="2"/>
    <x v="23"/>
    <x v="0"/>
    <x v="24"/>
    <x v="6"/>
    <x v="6"/>
    <x v="36"/>
    <x v="0"/>
    <x v="14"/>
    <x v="6"/>
    <x v="4"/>
    <n v="39.95"/>
  </r>
  <r>
    <d v="2025-12-07T00:00:00"/>
    <x v="2"/>
    <x v="23"/>
    <x v="1"/>
    <x v="47"/>
    <x v="3"/>
    <x v="3"/>
    <x v="54"/>
    <x v="0"/>
    <x v="19"/>
    <x v="9"/>
    <x v="6"/>
    <n v="54.0"/>
  </r>
  <r>
    <d v="2025-12-07T00:00:00"/>
    <x v="2"/>
    <x v="23"/>
    <x v="0"/>
    <x v="55"/>
    <x v="3"/>
    <x v="3"/>
    <x v="68"/>
    <x v="0"/>
    <x v="1"/>
    <x v="5"/>
    <x v="8"/>
    <n v="79.94"/>
  </r>
  <r>
    <d v="2025-12-07T00:00:00"/>
    <x v="2"/>
    <x v="23"/>
    <x v="1"/>
    <x v="74"/>
    <x v="4"/>
    <x v="4"/>
    <x v="75"/>
    <x v="0"/>
    <x v="15"/>
    <x v="8"/>
    <x v="5"/>
    <n v="101.66"/>
  </r>
  <r>
    <d v="2025-12-07T00:00:00"/>
    <x v="2"/>
    <x v="23"/>
    <x v="1"/>
    <x v="26"/>
    <x v="7"/>
    <x v="7"/>
    <x v="81"/>
    <x v="0"/>
    <x v="20"/>
    <x v="1"/>
    <x v="0"/>
    <n v="168.54"/>
  </r>
  <r>
    <d v="2025-12-07T00:00:00"/>
    <x v="2"/>
    <x v="23"/>
    <x v="1"/>
    <x v="73"/>
    <x v="4"/>
    <x v="4"/>
    <x v="80"/>
    <x v="0"/>
    <x v="0"/>
    <x v="8"/>
    <x v="5"/>
    <n v="201.14"/>
  </r>
  <r>
    <d v="2025-12-07T00:00:00"/>
    <x v="2"/>
    <x v="23"/>
    <x v="0"/>
    <x v="94"/>
    <x v="6"/>
    <x v="6"/>
    <x v="48"/>
    <x v="0"/>
    <x v="13"/>
    <x v="1"/>
    <x v="0"/>
    <n v="399.66"/>
  </r>
  <r>
    <d v="2025-12-07T00:00:00"/>
    <x v="2"/>
    <x v="23"/>
    <x v="0"/>
    <x v="4"/>
    <x v="6"/>
    <x v="6"/>
    <x v="29"/>
    <x v="0"/>
    <x v="2"/>
    <x v="0"/>
    <x v="9"/>
    <n v="642.3"/>
  </r>
  <r>
    <d v="2025-12-07T00:00:00"/>
    <x v="2"/>
    <x v="23"/>
    <x v="1"/>
    <x v="90"/>
    <x v="3"/>
    <x v="3"/>
    <x v="55"/>
    <x v="0"/>
    <x v="19"/>
    <x v="1"/>
    <x v="0"/>
    <n v="954.64"/>
  </r>
  <r>
    <d v="2025-12-08T00:00:00"/>
    <x v="2"/>
    <x v="23"/>
    <x v="0"/>
    <x v="67"/>
    <x v="3"/>
    <x v="3"/>
    <x v="62"/>
    <x v="0"/>
    <x v="17"/>
    <x v="3"/>
    <x v="1"/>
    <n v="39.91"/>
  </r>
  <r>
    <d v="2025-12-08T00:00:00"/>
    <x v="2"/>
    <x v="23"/>
    <x v="1"/>
    <x v="1"/>
    <x v="7"/>
    <x v="7"/>
    <x v="89"/>
    <x v="0"/>
    <x v="12"/>
    <x v="2"/>
    <x v="2"/>
    <n v="309.02"/>
  </r>
  <r>
    <d v="2025-12-08T00:00:00"/>
    <x v="2"/>
    <x v="23"/>
    <x v="1"/>
    <x v="69"/>
    <x v="1"/>
    <x v="1"/>
    <x v="19"/>
    <x v="0"/>
    <x v="5"/>
    <x v="8"/>
    <x v="5"/>
    <n v="550.4"/>
  </r>
  <r>
    <d v="2025-12-08T00:00:00"/>
    <x v="2"/>
    <x v="23"/>
    <x v="0"/>
    <x v="79"/>
    <x v="1"/>
    <x v="1"/>
    <x v="8"/>
    <x v="0"/>
    <x v="10"/>
    <x v="9"/>
    <x v="6"/>
    <n v="983.78"/>
  </r>
  <r>
    <d v="2025-12-09T00:00:00"/>
    <x v="2"/>
    <x v="23"/>
    <x v="1"/>
    <x v="32"/>
    <x v="1"/>
    <x v="1"/>
    <x v="28"/>
    <x v="0"/>
    <x v="8"/>
    <x v="9"/>
    <x v="6"/>
    <n v="2.0"/>
  </r>
  <r>
    <d v="2025-12-09T00:00:00"/>
    <x v="2"/>
    <x v="23"/>
    <x v="1"/>
    <x v="88"/>
    <x v="1"/>
    <x v="1"/>
    <x v="17"/>
    <x v="0"/>
    <x v="4"/>
    <x v="5"/>
    <x v="8"/>
    <n v="14.97"/>
  </r>
  <r>
    <d v="2025-12-09T00:00:00"/>
    <x v="2"/>
    <x v="23"/>
    <x v="0"/>
    <x v="83"/>
    <x v="3"/>
    <x v="3"/>
    <x v="56"/>
    <x v="0"/>
    <x v="16"/>
    <x v="0"/>
    <x v="9"/>
    <n v="21.97"/>
  </r>
  <r>
    <d v="2025-12-09T00:00:00"/>
    <x v="2"/>
    <x v="23"/>
    <x v="1"/>
    <x v="0"/>
    <x v="3"/>
    <x v="3"/>
    <x v="69"/>
    <x v="0"/>
    <x v="3"/>
    <x v="0"/>
    <x v="9"/>
    <n v="23.18"/>
  </r>
  <r>
    <d v="2025-12-09T00:00:00"/>
    <x v="2"/>
    <x v="23"/>
    <x v="1"/>
    <x v="41"/>
    <x v="5"/>
    <x v="5"/>
    <x v="93"/>
    <x v="0"/>
    <x v="18"/>
    <x v="5"/>
    <x v="8"/>
    <n v="33.43"/>
  </r>
  <r>
    <d v="2025-12-09T00:00:00"/>
    <x v="2"/>
    <x v="23"/>
    <x v="1"/>
    <x v="71"/>
    <x v="1"/>
    <x v="1"/>
    <x v="27"/>
    <x v="0"/>
    <x v="8"/>
    <x v="1"/>
    <x v="0"/>
    <n v="37.46"/>
  </r>
  <r>
    <d v="2025-12-09T00:00:00"/>
    <x v="2"/>
    <x v="23"/>
    <x v="0"/>
    <x v="63"/>
    <x v="4"/>
    <x v="4"/>
    <x v="78"/>
    <x v="0"/>
    <x v="0"/>
    <x v="1"/>
    <x v="0"/>
    <n v="86.79"/>
  </r>
  <r>
    <d v="2025-12-09T00:00:00"/>
    <x v="2"/>
    <x v="23"/>
    <x v="1"/>
    <x v="87"/>
    <x v="3"/>
    <x v="3"/>
    <x v="52"/>
    <x v="0"/>
    <x v="19"/>
    <x v="2"/>
    <x v="2"/>
    <n v="102.93"/>
  </r>
  <r>
    <d v="2025-12-09T00:00:00"/>
    <x v="2"/>
    <x v="23"/>
    <x v="1"/>
    <x v="59"/>
    <x v="1"/>
    <x v="1"/>
    <x v="3"/>
    <x v="0"/>
    <x v="6"/>
    <x v="8"/>
    <x v="5"/>
    <n v="125.28"/>
  </r>
  <r>
    <d v="2025-12-09T00:00:00"/>
    <x v="2"/>
    <x v="23"/>
    <x v="1"/>
    <x v="93"/>
    <x v="6"/>
    <x v="6"/>
    <x v="30"/>
    <x v="0"/>
    <x v="2"/>
    <x v="9"/>
    <x v="6"/>
    <n v="151.12"/>
  </r>
  <r>
    <d v="2025-12-09T00:00:00"/>
    <x v="2"/>
    <x v="23"/>
    <x v="1"/>
    <x v="15"/>
    <x v="4"/>
    <x v="4"/>
    <x v="79"/>
    <x v="0"/>
    <x v="0"/>
    <x v="5"/>
    <x v="8"/>
    <n v="248.08"/>
  </r>
  <r>
    <d v="2025-12-09T00:00:00"/>
    <x v="2"/>
    <x v="23"/>
    <x v="1"/>
    <x v="92"/>
    <x v="6"/>
    <x v="6"/>
    <x v="40"/>
    <x v="0"/>
    <x v="7"/>
    <x v="1"/>
    <x v="0"/>
    <n v="809.27"/>
  </r>
  <r>
    <d v="2025-12-09T00:00:00"/>
    <x v="2"/>
    <x v="23"/>
    <x v="1"/>
    <x v="19"/>
    <x v="7"/>
    <x v="7"/>
    <x v="88"/>
    <x v="0"/>
    <x v="12"/>
    <x v="6"/>
    <x v="4"/>
    <n v="3277.93"/>
  </r>
  <r>
    <d v="2025-12-09T00:00:00"/>
    <x v="2"/>
    <x v="23"/>
    <x v="1"/>
    <x v="35"/>
    <x v="6"/>
    <x v="6"/>
    <x v="46"/>
    <x v="0"/>
    <x v="7"/>
    <x v="6"/>
    <x v="4"/>
    <n v="4292.93"/>
  </r>
  <r>
    <d v="2025-12-10T00:00:00"/>
    <x v="2"/>
    <x v="23"/>
    <x v="0"/>
    <x v="90"/>
    <x v="3"/>
    <x v="3"/>
    <x v="55"/>
    <x v="0"/>
    <x v="19"/>
    <x v="0"/>
    <x v="9"/>
    <n v="8.0"/>
  </r>
  <r>
    <d v="2025-12-10T00:00:00"/>
    <x v="2"/>
    <x v="23"/>
    <x v="1"/>
    <x v="84"/>
    <x v="3"/>
    <x v="3"/>
    <x v="53"/>
    <x v="0"/>
    <x v="19"/>
    <x v="1"/>
    <x v="0"/>
    <n v="13.64"/>
  </r>
  <r>
    <d v="2025-12-10T00:00:00"/>
    <x v="2"/>
    <x v="23"/>
    <x v="0"/>
    <x v="55"/>
    <x v="3"/>
    <x v="3"/>
    <x v="68"/>
    <x v="0"/>
    <x v="1"/>
    <x v="5"/>
    <x v="8"/>
    <n v="286.44"/>
  </r>
  <r>
    <d v="2025-12-10T00:00:00"/>
    <x v="2"/>
    <x v="23"/>
    <x v="1"/>
    <x v="84"/>
    <x v="3"/>
    <x v="3"/>
    <x v="53"/>
    <x v="0"/>
    <x v="19"/>
    <x v="6"/>
    <x v="4"/>
    <n v="3603.73"/>
  </r>
  <r>
    <d v="2025-12-10T00:00:00"/>
    <x v="2"/>
    <x v="23"/>
    <x v="1"/>
    <x v="10"/>
    <x v="6"/>
    <x v="6"/>
    <x v="41"/>
    <x v="0"/>
    <x v="7"/>
    <x v="5"/>
    <x v="8"/>
    <n v="4487.68"/>
  </r>
  <r>
    <d v="2025-12-11T00:00:00"/>
    <x v="2"/>
    <x v="23"/>
    <x v="1"/>
    <x v="50"/>
    <x v="7"/>
    <x v="7"/>
    <x v="83"/>
    <x v="0"/>
    <x v="20"/>
    <x v="1"/>
    <x v="0"/>
    <n v="3.0"/>
  </r>
  <r>
    <d v="2025-12-11T00:00:00"/>
    <x v="2"/>
    <x v="23"/>
    <x v="0"/>
    <x v="15"/>
    <x v="4"/>
    <x v="4"/>
    <x v="79"/>
    <x v="0"/>
    <x v="0"/>
    <x v="1"/>
    <x v="0"/>
    <n v="39.96"/>
  </r>
  <r>
    <d v="2025-12-11T00:00:00"/>
    <x v="2"/>
    <x v="23"/>
    <x v="1"/>
    <x v="21"/>
    <x v="3"/>
    <x v="3"/>
    <x v="60"/>
    <x v="0"/>
    <x v="17"/>
    <x v="3"/>
    <x v="1"/>
    <n v="68.29"/>
  </r>
  <r>
    <d v="2025-12-11T00:00:00"/>
    <x v="2"/>
    <x v="23"/>
    <x v="1"/>
    <x v="19"/>
    <x v="7"/>
    <x v="7"/>
    <x v="88"/>
    <x v="0"/>
    <x v="12"/>
    <x v="7"/>
    <x v="3"/>
    <n v="198.02"/>
  </r>
  <r>
    <d v="2025-12-11T00:00:00"/>
    <x v="2"/>
    <x v="23"/>
    <x v="1"/>
    <x v="70"/>
    <x v="6"/>
    <x v="6"/>
    <x v="33"/>
    <x v="0"/>
    <x v="14"/>
    <x v="9"/>
    <x v="6"/>
    <n v="660.66"/>
  </r>
  <r>
    <d v="2025-12-11T00:00:00"/>
    <x v="2"/>
    <x v="23"/>
    <x v="1"/>
    <x v="72"/>
    <x v="1"/>
    <x v="1"/>
    <x v="24"/>
    <x v="0"/>
    <x v="8"/>
    <x v="3"/>
    <x v="1"/>
    <n v="1872.81"/>
  </r>
  <r>
    <d v="2025-12-11T00:00:00"/>
    <x v="2"/>
    <x v="23"/>
    <x v="1"/>
    <x v="90"/>
    <x v="3"/>
    <x v="3"/>
    <x v="55"/>
    <x v="0"/>
    <x v="19"/>
    <x v="2"/>
    <x v="2"/>
    <n v="2545.48"/>
  </r>
  <r>
    <d v="2025-12-12T00:00:00"/>
    <x v="2"/>
    <x v="23"/>
    <x v="1"/>
    <x v="85"/>
    <x v="6"/>
    <x v="6"/>
    <x v="43"/>
    <x v="0"/>
    <x v="7"/>
    <x v="0"/>
    <x v="9"/>
    <n v="58.82"/>
  </r>
  <r>
    <d v="2025-12-12T00:00:00"/>
    <x v="2"/>
    <x v="23"/>
    <x v="1"/>
    <x v="72"/>
    <x v="1"/>
    <x v="1"/>
    <x v="24"/>
    <x v="0"/>
    <x v="8"/>
    <x v="3"/>
    <x v="1"/>
    <n v="763.27"/>
  </r>
  <r>
    <d v="2025-12-12T00:00:00"/>
    <x v="2"/>
    <x v="23"/>
    <x v="1"/>
    <x v="92"/>
    <x v="6"/>
    <x v="6"/>
    <x v="40"/>
    <x v="0"/>
    <x v="7"/>
    <x v="6"/>
    <x v="4"/>
    <n v="1668.98"/>
  </r>
  <r>
    <d v="2025-12-13T00:00:00"/>
    <x v="2"/>
    <x v="23"/>
    <x v="1"/>
    <x v="53"/>
    <x v="1"/>
    <x v="1"/>
    <x v="16"/>
    <x v="0"/>
    <x v="4"/>
    <x v="4"/>
    <x v="7"/>
    <n v="25.0"/>
  </r>
  <r>
    <d v="2025-12-13T00:00:00"/>
    <x v="2"/>
    <x v="23"/>
    <x v="0"/>
    <x v="77"/>
    <x v="3"/>
    <x v="3"/>
    <x v="66"/>
    <x v="0"/>
    <x v="1"/>
    <x v="3"/>
    <x v="1"/>
    <n v="52.27"/>
  </r>
  <r>
    <d v="2025-12-13T00:00:00"/>
    <x v="2"/>
    <x v="23"/>
    <x v="0"/>
    <x v="65"/>
    <x v="1"/>
    <x v="1"/>
    <x v="7"/>
    <x v="0"/>
    <x v="10"/>
    <x v="9"/>
    <x v="6"/>
    <n v="63.92"/>
  </r>
  <r>
    <d v="2025-12-13T00:00:00"/>
    <x v="2"/>
    <x v="23"/>
    <x v="0"/>
    <x v="40"/>
    <x v="3"/>
    <x v="3"/>
    <x v="65"/>
    <x v="0"/>
    <x v="1"/>
    <x v="5"/>
    <x v="8"/>
    <n v="167.71"/>
  </r>
  <r>
    <d v="2025-12-13T00:00:00"/>
    <x v="2"/>
    <x v="23"/>
    <x v="1"/>
    <x v="77"/>
    <x v="3"/>
    <x v="3"/>
    <x v="66"/>
    <x v="0"/>
    <x v="1"/>
    <x v="1"/>
    <x v="0"/>
    <n v="276.71"/>
  </r>
  <r>
    <d v="2025-12-13T00:00:00"/>
    <x v="2"/>
    <x v="23"/>
    <x v="1"/>
    <x v="38"/>
    <x v="0"/>
    <x v="0"/>
    <x v="21"/>
    <x v="0"/>
    <x v="5"/>
    <x v="9"/>
    <x v="6"/>
    <n v="510.53"/>
  </r>
  <r>
    <d v="2025-12-13T00:00:00"/>
    <x v="2"/>
    <x v="23"/>
    <x v="1"/>
    <x v="21"/>
    <x v="3"/>
    <x v="3"/>
    <x v="60"/>
    <x v="0"/>
    <x v="17"/>
    <x v="3"/>
    <x v="1"/>
    <n v="844.23"/>
  </r>
  <r>
    <d v="2025-12-13T00:00:00"/>
    <x v="2"/>
    <x v="23"/>
    <x v="1"/>
    <x v="16"/>
    <x v="7"/>
    <x v="7"/>
    <x v="92"/>
    <x v="0"/>
    <x v="9"/>
    <x v="2"/>
    <x v="2"/>
    <n v="1725.22"/>
  </r>
  <r>
    <d v="2025-12-13T00:00:00"/>
    <x v="2"/>
    <x v="23"/>
    <x v="1"/>
    <x v="10"/>
    <x v="6"/>
    <x v="6"/>
    <x v="41"/>
    <x v="0"/>
    <x v="7"/>
    <x v="2"/>
    <x v="2"/>
    <n v="4950.16"/>
  </r>
  <r>
    <d v="2025-12-14T00:00:00"/>
    <x v="2"/>
    <x v="23"/>
    <x v="1"/>
    <x v="64"/>
    <x v="3"/>
    <x v="3"/>
    <x v="70"/>
    <x v="0"/>
    <x v="3"/>
    <x v="4"/>
    <x v="7"/>
    <n v="3.99"/>
  </r>
  <r>
    <d v="2025-12-14T00:00:00"/>
    <x v="2"/>
    <x v="23"/>
    <x v="1"/>
    <x v="84"/>
    <x v="3"/>
    <x v="3"/>
    <x v="53"/>
    <x v="0"/>
    <x v="19"/>
    <x v="1"/>
    <x v="0"/>
    <n v="4.75"/>
  </r>
  <r>
    <d v="2025-12-14T00:00:00"/>
    <x v="2"/>
    <x v="23"/>
    <x v="1"/>
    <x v="14"/>
    <x v="6"/>
    <x v="6"/>
    <x v="45"/>
    <x v="0"/>
    <x v="7"/>
    <x v="4"/>
    <x v="7"/>
    <n v="43.95"/>
  </r>
  <r>
    <d v="2025-12-14T00:00:00"/>
    <x v="2"/>
    <x v="23"/>
    <x v="0"/>
    <x v="54"/>
    <x v="1"/>
    <x v="1"/>
    <x v="25"/>
    <x v="0"/>
    <x v="8"/>
    <x v="1"/>
    <x v="0"/>
    <n v="215.58"/>
  </r>
  <r>
    <d v="2025-12-14T00:00:00"/>
    <x v="2"/>
    <x v="23"/>
    <x v="1"/>
    <x v="70"/>
    <x v="6"/>
    <x v="6"/>
    <x v="33"/>
    <x v="0"/>
    <x v="14"/>
    <x v="6"/>
    <x v="4"/>
    <n v="234.53"/>
  </r>
  <r>
    <d v="2025-12-14T00:00:00"/>
    <x v="2"/>
    <x v="23"/>
    <x v="1"/>
    <x v="91"/>
    <x v="1"/>
    <x v="1"/>
    <x v="23"/>
    <x v="0"/>
    <x v="8"/>
    <x v="6"/>
    <x v="4"/>
    <n v="283.23"/>
  </r>
  <r>
    <d v="2025-12-15T00:00:00"/>
    <x v="2"/>
    <x v="23"/>
    <x v="0"/>
    <x v="43"/>
    <x v="7"/>
    <x v="7"/>
    <x v="87"/>
    <x v="0"/>
    <x v="12"/>
    <x v="5"/>
    <x v="8"/>
    <n v="14.99"/>
  </r>
  <r>
    <d v="2025-12-15T00:00:00"/>
    <x v="2"/>
    <x v="23"/>
    <x v="0"/>
    <x v="21"/>
    <x v="3"/>
    <x v="3"/>
    <x v="60"/>
    <x v="0"/>
    <x v="17"/>
    <x v="2"/>
    <x v="2"/>
    <n v="15.98"/>
  </r>
  <r>
    <d v="2025-12-15T00:00:00"/>
    <x v="2"/>
    <x v="23"/>
    <x v="1"/>
    <x v="42"/>
    <x v="3"/>
    <x v="3"/>
    <x v="63"/>
    <x v="0"/>
    <x v="17"/>
    <x v="0"/>
    <x v="9"/>
    <n v="139.96"/>
  </r>
  <r>
    <d v="2025-12-15T00:00:00"/>
    <x v="2"/>
    <x v="23"/>
    <x v="0"/>
    <x v="63"/>
    <x v="4"/>
    <x v="4"/>
    <x v="78"/>
    <x v="0"/>
    <x v="0"/>
    <x v="8"/>
    <x v="5"/>
    <n v="143.92"/>
  </r>
  <r>
    <d v="2025-12-15T00:00:00"/>
    <x v="2"/>
    <x v="23"/>
    <x v="1"/>
    <x v="11"/>
    <x v="1"/>
    <x v="1"/>
    <x v="15"/>
    <x v="0"/>
    <x v="4"/>
    <x v="1"/>
    <x v="0"/>
    <n v="292.39"/>
  </r>
  <r>
    <d v="2025-12-15T00:00:00"/>
    <x v="2"/>
    <x v="23"/>
    <x v="1"/>
    <x v="75"/>
    <x v="1"/>
    <x v="1"/>
    <x v="4"/>
    <x v="0"/>
    <x v="6"/>
    <x v="1"/>
    <x v="0"/>
    <n v="372.74"/>
  </r>
  <r>
    <d v="2025-12-15T00:00:00"/>
    <x v="2"/>
    <x v="23"/>
    <x v="1"/>
    <x v="52"/>
    <x v="1"/>
    <x v="1"/>
    <x v="11"/>
    <x v="0"/>
    <x v="10"/>
    <x v="9"/>
    <x v="6"/>
    <n v="1825.67"/>
  </r>
  <r>
    <d v="2025-12-15T00:00:00"/>
    <x v="2"/>
    <x v="23"/>
    <x v="1"/>
    <x v="56"/>
    <x v="7"/>
    <x v="7"/>
    <x v="86"/>
    <x v="0"/>
    <x v="12"/>
    <x v="3"/>
    <x v="1"/>
    <n v="3793.35"/>
  </r>
  <r>
    <d v="2025-12-15T00:00:00"/>
    <x v="2"/>
    <x v="23"/>
    <x v="1"/>
    <x v="34"/>
    <x v="6"/>
    <x v="6"/>
    <x v="32"/>
    <x v="0"/>
    <x v="2"/>
    <x v="2"/>
    <x v="2"/>
    <n v="4893.72"/>
  </r>
  <r>
    <d v="2025-12-16T00:00:00"/>
    <x v="2"/>
    <x v="23"/>
    <x v="1"/>
    <x v="94"/>
    <x v="6"/>
    <x v="6"/>
    <x v="48"/>
    <x v="0"/>
    <x v="13"/>
    <x v="4"/>
    <x v="7"/>
    <n v="37.93"/>
  </r>
  <r>
    <d v="2025-12-16T00:00:00"/>
    <x v="2"/>
    <x v="23"/>
    <x v="1"/>
    <x v="59"/>
    <x v="1"/>
    <x v="1"/>
    <x v="3"/>
    <x v="0"/>
    <x v="6"/>
    <x v="1"/>
    <x v="0"/>
    <n v="154.55"/>
  </r>
  <r>
    <d v="2025-12-16T00:00:00"/>
    <x v="2"/>
    <x v="23"/>
    <x v="1"/>
    <x v="91"/>
    <x v="1"/>
    <x v="1"/>
    <x v="23"/>
    <x v="0"/>
    <x v="8"/>
    <x v="3"/>
    <x v="1"/>
    <n v="2774.37"/>
  </r>
  <r>
    <d v="2025-12-17T00:00:00"/>
    <x v="2"/>
    <x v="23"/>
    <x v="0"/>
    <x v="32"/>
    <x v="1"/>
    <x v="1"/>
    <x v="28"/>
    <x v="0"/>
    <x v="8"/>
    <x v="0"/>
    <x v="9"/>
    <n v="181.74"/>
  </r>
  <r>
    <d v="2025-12-17T00:00:00"/>
    <x v="2"/>
    <x v="23"/>
    <x v="1"/>
    <x v="36"/>
    <x v="7"/>
    <x v="7"/>
    <x v="90"/>
    <x v="0"/>
    <x v="9"/>
    <x v="5"/>
    <x v="8"/>
    <n v="195.1"/>
  </r>
  <r>
    <d v="2025-12-17T00:00:00"/>
    <x v="2"/>
    <x v="23"/>
    <x v="1"/>
    <x v="5"/>
    <x v="1"/>
    <x v="1"/>
    <x v="14"/>
    <x v="0"/>
    <x v="4"/>
    <x v="4"/>
    <x v="7"/>
    <n v="299.92"/>
  </r>
  <r>
    <d v="2025-12-17T00:00:00"/>
    <x v="2"/>
    <x v="23"/>
    <x v="1"/>
    <x v="50"/>
    <x v="7"/>
    <x v="7"/>
    <x v="83"/>
    <x v="0"/>
    <x v="20"/>
    <x v="3"/>
    <x v="1"/>
    <n v="328.71"/>
  </r>
  <r>
    <d v="2025-12-17T00:00:00"/>
    <x v="2"/>
    <x v="23"/>
    <x v="1"/>
    <x v="46"/>
    <x v="6"/>
    <x v="6"/>
    <x v="42"/>
    <x v="0"/>
    <x v="7"/>
    <x v="3"/>
    <x v="1"/>
    <n v="491.18"/>
  </r>
  <r>
    <d v="2025-12-17T00:00:00"/>
    <x v="2"/>
    <x v="23"/>
    <x v="0"/>
    <x v="27"/>
    <x v="6"/>
    <x v="6"/>
    <x v="31"/>
    <x v="0"/>
    <x v="2"/>
    <x v="5"/>
    <x v="8"/>
    <n v="3990.06"/>
  </r>
  <r>
    <d v="2025-12-18T00:00:00"/>
    <x v="2"/>
    <x v="23"/>
    <x v="1"/>
    <x v="23"/>
    <x v="1"/>
    <x v="1"/>
    <x v="12"/>
    <x v="0"/>
    <x v="10"/>
    <x v="6"/>
    <x v="4"/>
    <n v="3.5"/>
  </r>
  <r>
    <d v="2025-12-18T00:00:00"/>
    <x v="2"/>
    <x v="23"/>
    <x v="1"/>
    <x v="71"/>
    <x v="1"/>
    <x v="1"/>
    <x v="27"/>
    <x v="0"/>
    <x v="8"/>
    <x v="5"/>
    <x v="8"/>
    <n v="25.77"/>
  </r>
  <r>
    <d v="2025-12-18T00:00:00"/>
    <x v="2"/>
    <x v="23"/>
    <x v="0"/>
    <x v="14"/>
    <x v="6"/>
    <x v="6"/>
    <x v="45"/>
    <x v="0"/>
    <x v="7"/>
    <x v="2"/>
    <x v="2"/>
    <n v="461.3"/>
  </r>
  <r>
    <d v="2025-12-19T00:00:00"/>
    <x v="2"/>
    <x v="23"/>
    <x v="1"/>
    <x v="92"/>
    <x v="6"/>
    <x v="6"/>
    <x v="40"/>
    <x v="0"/>
    <x v="7"/>
    <x v="1"/>
    <x v="0"/>
    <n v="5.0"/>
  </r>
  <r>
    <d v="2025-12-19T00:00:00"/>
    <x v="2"/>
    <x v="23"/>
    <x v="0"/>
    <x v="11"/>
    <x v="1"/>
    <x v="1"/>
    <x v="15"/>
    <x v="0"/>
    <x v="4"/>
    <x v="0"/>
    <x v="9"/>
    <n v="52.92"/>
  </r>
  <r>
    <d v="2025-12-19T00:00:00"/>
    <x v="2"/>
    <x v="23"/>
    <x v="1"/>
    <x v="32"/>
    <x v="1"/>
    <x v="1"/>
    <x v="28"/>
    <x v="0"/>
    <x v="8"/>
    <x v="2"/>
    <x v="2"/>
    <n v="58.96"/>
  </r>
  <r>
    <d v="2025-12-19T00:00:00"/>
    <x v="2"/>
    <x v="23"/>
    <x v="1"/>
    <x v="62"/>
    <x v="6"/>
    <x v="6"/>
    <x v="50"/>
    <x v="0"/>
    <x v="13"/>
    <x v="5"/>
    <x v="8"/>
    <n v="306.11"/>
  </r>
  <r>
    <d v="2025-12-19T00:00:00"/>
    <x v="2"/>
    <x v="23"/>
    <x v="1"/>
    <x v="26"/>
    <x v="7"/>
    <x v="7"/>
    <x v="81"/>
    <x v="0"/>
    <x v="20"/>
    <x v="9"/>
    <x v="6"/>
    <n v="598.03"/>
  </r>
  <r>
    <d v="2025-12-19T00:00:00"/>
    <x v="2"/>
    <x v="23"/>
    <x v="1"/>
    <x v="6"/>
    <x v="1"/>
    <x v="1"/>
    <x v="5"/>
    <x v="0"/>
    <x v="6"/>
    <x v="3"/>
    <x v="1"/>
    <n v="621.74"/>
  </r>
  <r>
    <d v="2025-12-19T00:00:00"/>
    <x v="2"/>
    <x v="23"/>
    <x v="1"/>
    <x v="53"/>
    <x v="1"/>
    <x v="1"/>
    <x v="16"/>
    <x v="0"/>
    <x v="4"/>
    <x v="5"/>
    <x v="8"/>
    <n v="4042.05"/>
  </r>
  <r>
    <d v="2025-12-20T00:00:00"/>
    <x v="2"/>
    <x v="23"/>
    <x v="0"/>
    <x v="24"/>
    <x v="6"/>
    <x v="6"/>
    <x v="36"/>
    <x v="0"/>
    <x v="14"/>
    <x v="2"/>
    <x v="2"/>
    <n v="25.98"/>
  </r>
  <r>
    <d v="2025-12-20T00:00:00"/>
    <x v="2"/>
    <x v="23"/>
    <x v="1"/>
    <x v="89"/>
    <x v="1"/>
    <x v="1"/>
    <x v="18"/>
    <x v="0"/>
    <x v="5"/>
    <x v="1"/>
    <x v="0"/>
    <n v="84.44"/>
  </r>
  <r>
    <d v="2025-12-20T00:00:00"/>
    <x v="2"/>
    <x v="23"/>
    <x v="1"/>
    <x v="76"/>
    <x v="6"/>
    <x v="6"/>
    <x v="34"/>
    <x v="0"/>
    <x v="14"/>
    <x v="6"/>
    <x v="4"/>
    <n v="134.73"/>
  </r>
  <r>
    <d v="2025-12-20T00:00:00"/>
    <x v="2"/>
    <x v="23"/>
    <x v="0"/>
    <x v="60"/>
    <x v="6"/>
    <x v="6"/>
    <x v="44"/>
    <x v="0"/>
    <x v="7"/>
    <x v="3"/>
    <x v="1"/>
    <n v="266.26"/>
  </r>
  <r>
    <d v="2025-12-20T00:00:00"/>
    <x v="2"/>
    <x v="23"/>
    <x v="1"/>
    <x v="12"/>
    <x v="1"/>
    <x v="1"/>
    <x v="26"/>
    <x v="0"/>
    <x v="8"/>
    <x v="6"/>
    <x v="4"/>
    <n v="376.85"/>
  </r>
  <r>
    <d v="2025-12-20T00:00:00"/>
    <x v="2"/>
    <x v="23"/>
    <x v="1"/>
    <x v="59"/>
    <x v="1"/>
    <x v="1"/>
    <x v="3"/>
    <x v="0"/>
    <x v="6"/>
    <x v="1"/>
    <x v="0"/>
    <n v="432.34"/>
  </r>
  <r>
    <d v="2025-12-20T00:00:00"/>
    <x v="2"/>
    <x v="23"/>
    <x v="1"/>
    <x v="75"/>
    <x v="1"/>
    <x v="1"/>
    <x v="4"/>
    <x v="0"/>
    <x v="6"/>
    <x v="3"/>
    <x v="1"/>
    <n v="1442.99"/>
  </r>
  <r>
    <d v="2025-12-20T00:00:00"/>
    <x v="2"/>
    <x v="23"/>
    <x v="1"/>
    <x v="46"/>
    <x v="6"/>
    <x v="6"/>
    <x v="42"/>
    <x v="0"/>
    <x v="7"/>
    <x v="3"/>
    <x v="1"/>
    <n v="1474.1"/>
  </r>
  <r>
    <d v="2025-12-21T00:00:00"/>
    <x v="2"/>
    <x v="23"/>
    <x v="0"/>
    <x v="19"/>
    <x v="7"/>
    <x v="7"/>
    <x v="88"/>
    <x v="0"/>
    <x v="12"/>
    <x v="8"/>
    <x v="5"/>
    <n v="7.98"/>
  </r>
  <r>
    <d v="2025-12-21T00:00:00"/>
    <x v="2"/>
    <x v="23"/>
    <x v="0"/>
    <x v="69"/>
    <x v="1"/>
    <x v="1"/>
    <x v="19"/>
    <x v="0"/>
    <x v="5"/>
    <x v="1"/>
    <x v="0"/>
    <n v="19.18"/>
  </r>
  <r>
    <d v="2025-12-21T00:00:00"/>
    <x v="2"/>
    <x v="23"/>
    <x v="1"/>
    <x v="87"/>
    <x v="3"/>
    <x v="3"/>
    <x v="52"/>
    <x v="0"/>
    <x v="19"/>
    <x v="1"/>
    <x v="0"/>
    <n v="179.85"/>
  </r>
  <r>
    <d v="2025-12-21T00:00:00"/>
    <x v="2"/>
    <x v="23"/>
    <x v="1"/>
    <x v="68"/>
    <x v="3"/>
    <x v="3"/>
    <x v="59"/>
    <x v="0"/>
    <x v="16"/>
    <x v="6"/>
    <x v="4"/>
    <n v="312.12"/>
  </r>
  <r>
    <d v="2025-12-21T00:00:00"/>
    <x v="2"/>
    <x v="23"/>
    <x v="0"/>
    <x v="40"/>
    <x v="3"/>
    <x v="3"/>
    <x v="65"/>
    <x v="0"/>
    <x v="1"/>
    <x v="0"/>
    <x v="9"/>
    <n v="420.28"/>
  </r>
  <r>
    <d v="2025-12-22T00:00:00"/>
    <x v="2"/>
    <x v="23"/>
    <x v="1"/>
    <x v="66"/>
    <x v="4"/>
    <x v="4"/>
    <x v="76"/>
    <x v="0"/>
    <x v="15"/>
    <x v="6"/>
    <x v="4"/>
    <n v="20.97"/>
  </r>
  <r>
    <d v="2025-12-22T00:00:00"/>
    <x v="2"/>
    <x v="23"/>
    <x v="0"/>
    <x v="63"/>
    <x v="4"/>
    <x v="4"/>
    <x v="78"/>
    <x v="0"/>
    <x v="0"/>
    <x v="4"/>
    <x v="7"/>
    <n v="27.94"/>
  </r>
  <r>
    <d v="2025-12-23T00:00:00"/>
    <x v="2"/>
    <x v="23"/>
    <x v="1"/>
    <x v="58"/>
    <x v="3"/>
    <x v="3"/>
    <x v="61"/>
    <x v="0"/>
    <x v="17"/>
    <x v="2"/>
    <x v="2"/>
    <n v="6.82"/>
  </r>
  <r>
    <d v="2025-12-23T00:00:00"/>
    <x v="2"/>
    <x v="23"/>
    <x v="0"/>
    <x v="24"/>
    <x v="6"/>
    <x v="6"/>
    <x v="36"/>
    <x v="0"/>
    <x v="14"/>
    <x v="4"/>
    <x v="7"/>
    <n v="9.98"/>
  </r>
  <r>
    <d v="2025-12-23T00:00:00"/>
    <x v="2"/>
    <x v="23"/>
    <x v="0"/>
    <x v="58"/>
    <x v="3"/>
    <x v="3"/>
    <x v="61"/>
    <x v="0"/>
    <x v="17"/>
    <x v="5"/>
    <x v="8"/>
    <n v="58.19"/>
  </r>
  <r>
    <d v="2025-12-23T00:00:00"/>
    <x v="2"/>
    <x v="23"/>
    <x v="1"/>
    <x v="68"/>
    <x v="3"/>
    <x v="3"/>
    <x v="59"/>
    <x v="0"/>
    <x v="16"/>
    <x v="1"/>
    <x v="0"/>
    <n v="552.23"/>
  </r>
  <r>
    <d v="2025-12-23T00:00:00"/>
    <x v="2"/>
    <x v="23"/>
    <x v="1"/>
    <x v="91"/>
    <x v="1"/>
    <x v="1"/>
    <x v="23"/>
    <x v="0"/>
    <x v="8"/>
    <x v="5"/>
    <x v="8"/>
    <n v="796.76"/>
  </r>
  <r>
    <d v="2025-12-23T00:00:00"/>
    <x v="2"/>
    <x v="23"/>
    <x v="0"/>
    <x v="79"/>
    <x v="1"/>
    <x v="1"/>
    <x v="8"/>
    <x v="0"/>
    <x v="10"/>
    <x v="1"/>
    <x v="0"/>
    <n v="1552.36"/>
  </r>
  <r>
    <d v="2025-12-23T00:00:00"/>
    <x v="2"/>
    <x v="23"/>
    <x v="1"/>
    <x v="69"/>
    <x v="1"/>
    <x v="1"/>
    <x v="19"/>
    <x v="0"/>
    <x v="5"/>
    <x v="5"/>
    <x v="8"/>
    <n v="3350.64"/>
  </r>
  <r>
    <d v="2025-12-23T00:00:00"/>
    <x v="2"/>
    <x v="23"/>
    <x v="1"/>
    <x v="58"/>
    <x v="3"/>
    <x v="3"/>
    <x v="61"/>
    <x v="0"/>
    <x v="17"/>
    <x v="6"/>
    <x v="4"/>
    <n v="5318.67"/>
  </r>
  <r>
    <d v="2025-12-24T00:00:00"/>
    <x v="2"/>
    <x v="23"/>
    <x v="0"/>
    <x v="55"/>
    <x v="3"/>
    <x v="3"/>
    <x v="68"/>
    <x v="0"/>
    <x v="1"/>
    <x v="2"/>
    <x v="2"/>
    <n v="152.86"/>
  </r>
  <r>
    <d v="2025-12-24T00:00:00"/>
    <x v="2"/>
    <x v="23"/>
    <x v="1"/>
    <x v="96"/>
    <x v="3"/>
    <x v="3"/>
    <x v="67"/>
    <x v="0"/>
    <x v="1"/>
    <x v="9"/>
    <x v="6"/>
    <n v="179.94"/>
  </r>
  <r>
    <d v="2025-12-24T00:00:00"/>
    <x v="2"/>
    <x v="23"/>
    <x v="0"/>
    <x v="39"/>
    <x v="7"/>
    <x v="7"/>
    <x v="91"/>
    <x v="0"/>
    <x v="9"/>
    <x v="8"/>
    <x v="5"/>
    <n v="249.57"/>
  </r>
  <r>
    <d v="2025-12-24T00:00:00"/>
    <x v="2"/>
    <x v="23"/>
    <x v="1"/>
    <x v="77"/>
    <x v="3"/>
    <x v="3"/>
    <x v="66"/>
    <x v="0"/>
    <x v="1"/>
    <x v="9"/>
    <x v="6"/>
    <n v="655.81"/>
  </r>
  <r>
    <d v="2025-12-25T00:00:00"/>
    <x v="2"/>
    <x v="23"/>
    <x v="0"/>
    <x v="72"/>
    <x v="1"/>
    <x v="1"/>
    <x v="24"/>
    <x v="0"/>
    <x v="8"/>
    <x v="6"/>
    <x v="4"/>
    <n v="14.99"/>
  </r>
  <r>
    <d v="2025-12-25T00:00:00"/>
    <x v="2"/>
    <x v="23"/>
    <x v="1"/>
    <x v="37"/>
    <x v="6"/>
    <x v="6"/>
    <x v="39"/>
    <x v="0"/>
    <x v="14"/>
    <x v="2"/>
    <x v="2"/>
    <n v="51.96"/>
  </r>
  <r>
    <d v="2025-12-25T00:00:00"/>
    <x v="2"/>
    <x v="23"/>
    <x v="0"/>
    <x v="56"/>
    <x v="7"/>
    <x v="7"/>
    <x v="86"/>
    <x v="0"/>
    <x v="12"/>
    <x v="6"/>
    <x v="4"/>
    <n v="87.78"/>
  </r>
  <r>
    <d v="2025-12-25T00:00:00"/>
    <x v="2"/>
    <x v="23"/>
    <x v="1"/>
    <x v="25"/>
    <x v="1"/>
    <x v="1"/>
    <x v="6"/>
    <x v="0"/>
    <x v="6"/>
    <x v="1"/>
    <x v="0"/>
    <n v="89.41"/>
  </r>
  <r>
    <d v="2025-12-25T00:00:00"/>
    <x v="2"/>
    <x v="23"/>
    <x v="1"/>
    <x v="13"/>
    <x v="0"/>
    <x v="0"/>
    <x v="22"/>
    <x v="0"/>
    <x v="5"/>
    <x v="2"/>
    <x v="2"/>
    <n v="199.12"/>
  </r>
  <r>
    <d v="2025-12-25T00:00:00"/>
    <x v="2"/>
    <x v="23"/>
    <x v="1"/>
    <x v="37"/>
    <x v="6"/>
    <x v="6"/>
    <x v="39"/>
    <x v="0"/>
    <x v="14"/>
    <x v="3"/>
    <x v="1"/>
    <n v="4096.79"/>
  </r>
  <r>
    <d v="2025-12-25T00:00:00"/>
    <x v="2"/>
    <x v="23"/>
    <x v="0"/>
    <x v="27"/>
    <x v="6"/>
    <x v="6"/>
    <x v="31"/>
    <x v="0"/>
    <x v="2"/>
    <x v="6"/>
    <x v="4"/>
    <n v="5236.06"/>
  </r>
  <r>
    <d v="2025-12-26T00:00:00"/>
    <x v="2"/>
    <x v="23"/>
    <x v="1"/>
    <x v="0"/>
    <x v="3"/>
    <x v="3"/>
    <x v="69"/>
    <x v="0"/>
    <x v="3"/>
    <x v="6"/>
    <x v="4"/>
    <n v="4.0"/>
  </r>
  <r>
    <d v="2025-12-26T00:00:00"/>
    <x v="2"/>
    <x v="23"/>
    <x v="1"/>
    <x v="37"/>
    <x v="6"/>
    <x v="6"/>
    <x v="39"/>
    <x v="0"/>
    <x v="14"/>
    <x v="4"/>
    <x v="7"/>
    <n v="5.98"/>
  </r>
  <r>
    <d v="2025-12-26T00:00:00"/>
    <x v="2"/>
    <x v="23"/>
    <x v="0"/>
    <x v="72"/>
    <x v="1"/>
    <x v="1"/>
    <x v="24"/>
    <x v="0"/>
    <x v="8"/>
    <x v="8"/>
    <x v="5"/>
    <n v="17.91"/>
  </r>
  <r>
    <d v="2025-12-26T00:00:00"/>
    <x v="2"/>
    <x v="23"/>
    <x v="0"/>
    <x v="91"/>
    <x v="1"/>
    <x v="1"/>
    <x v="23"/>
    <x v="0"/>
    <x v="8"/>
    <x v="2"/>
    <x v="2"/>
    <n v="205.64"/>
  </r>
  <r>
    <d v="2025-12-26T00:00:00"/>
    <x v="2"/>
    <x v="23"/>
    <x v="1"/>
    <x v="27"/>
    <x v="6"/>
    <x v="6"/>
    <x v="31"/>
    <x v="0"/>
    <x v="2"/>
    <x v="1"/>
    <x v="0"/>
    <n v="555.95"/>
  </r>
  <r>
    <d v="2025-12-26T00:00:00"/>
    <x v="2"/>
    <x v="23"/>
    <x v="0"/>
    <x v="31"/>
    <x v="2"/>
    <x v="2"/>
    <x v="0"/>
    <x v="0"/>
    <x v="11"/>
    <x v="3"/>
    <x v="1"/>
    <n v="672.35"/>
  </r>
  <r>
    <d v="2025-12-26T00:00:00"/>
    <x v="2"/>
    <x v="23"/>
    <x v="1"/>
    <x v="20"/>
    <x v="3"/>
    <x v="3"/>
    <x v="71"/>
    <x v="0"/>
    <x v="3"/>
    <x v="9"/>
    <x v="6"/>
    <n v="699.15"/>
  </r>
  <r>
    <d v="2025-12-26T00:00:00"/>
    <x v="2"/>
    <x v="23"/>
    <x v="1"/>
    <x v="10"/>
    <x v="6"/>
    <x v="6"/>
    <x v="41"/>
    <x v="0"/>
    <x v="7"/>
    <x v="5"/>
    <x v="8"/>
    <n v="751.21"/>
  </r>
  <r>
    <d v="2025-12-27T00:00:00"/>
    <x v="2"/>
    <x v="23"/>
    <x v="0"/>
    <x v="75"/>
    <x v="1"/>
    <x v="1"/>
    <x v="4"/>
    <x v="0"/>
    <x v="6"/>
    <x v="7"/>
    <x v="3"/>
    <n v="122.04"/>
  </r>
  <r>
    <d v="2025-12-27T00:00:00"/>
    <x v="2"/>
    <x v="23"/>
    <x v="1"/>
    <x v="33"/>
    <x v="1"/>
    <x v="1"/>
    <x v="13"/>
    <x v="0"/>
    <x v="10"/>
    <x v="8"/>
    <x v="5"/>
    <n v="233.18"/>
  </r>
  <r>
    <d v="2025-12-27T00:00:00"/>
    <x v="2"/>
    <x v="23"/>
    <x v="1"/>
    <x v="46"/>
    <x v="6"/>
    <x v="6"/>
    <x v="42"/>
    <x v="0"/>
    <x v="7"/>
    <x v="3"/>
    <x v="1"/>
    <n v="387.6"/>
  </r>
  <r>
    <d v="2025-12-27T00:00:00"/>
    <x v="2"/>
    <x v="23"/>
    <x v="1"/>
    <x v="24"/>
    <x v="6"/>
    <x v="6"/>
    <x v="36"/>
    <x v="0"/>
    <x v="14"/>
    <x v="2"/>
    <x v="2"/>
    <n v="1970.79"/>
  </r>
  <r>
    <d v="2025-12-27T00:00:00"/>
    <x v="2"/>
    <x v="23"/>
    <x v="1"/>
    <x v="74"/>
    <x v="4"/>
    <x v="4"/>
    <x v="75"/>
    <x v="0"/>
    <x v="15"/>
    <x v="2"/>
    <x v="2"/>
    <n v="2452.88"/>
  </r>
  <r>
    <d v="2025-12-28T00:00:00"/>
    <x v="2"/>
    <x v="23"/>
    <x v="1"/>
    <x v="79"/>
    <x v="1"/>
    <x v="1"/>
    <x v="8"/>
    <x v="0"/>
    <x v="10"/>
    <x v="6"/>
    <x v="4"/>
    <n v="1.5"/>
  </r>
  <r>
    <d v="2025-12-28T00:00:00"/>
    <x v="2"/>
    <x v="23"/>
    <x v="1"/>
    <x v="3"/>
    <x v="2"/>
    <x v="2"/>
    <x v="1"/>
    <x v="0"/>
    <x v="11"/>
    <x v="3"/>
    <x v="1"/>
    <n v="17.99"/>
  </r>
  <r>
    <d v="2025-12-28T00:00:00"/>
    <x v="2"/>
    <x v="23"/>
    <x v="1"/>
    <x v="31"/>
    <x v="2"/>
    <x v="2"/>
    <x v="0"/>
    <x v="0"/>
    <x v="11"/>
    <x v="8"/>
    <x v="5"/>
    <n v="222.81"/>
  </r>
  <r>
    <d v="2025-12-28T00:00:00"/>
    <x v="2"/>
    <x v="23"/>
    <x v="0"/>
    <x v="31"/>
    <x v="2"/>
    <x v="2"/>
    <x v="0"/>
    <x v="0"/>
    <x v="11"/>
    <x v="8"/>
    <x v="5"/>
    <n v="455.71"/>
  </r>
  <r>
    <d v="2025-12-28T00:00:00"/>
    <x v="2"/>
    <x v="23"/>
    <x v="1"/>
    <x v="81"/>
    <x v="4"/>
    <x v="4"/>
    <x v="77"/>
    <x v="0"/>
    <x v="15"/>
    <x v="3"/>
    <x v="1"/>
    <n v="550.46"/>
  </r>
  <r>
    <d v="2025-12-28T00:00:00"/>
    <x v="2"/>
    <x v="23"/>
    <x v="1"/>
    <x v="30"/>
    <x v="6"/>
    <x v="6"/>
    <x v="37"/>
    <x v="0"/>
    <x v="14"/>
    <x v="0"/>
    <x v="9"/>
    <n v="600.96"/>
  </r>
  <r>
    <d v="2025-12-28T00:00:00"/>
    <x v="2"/>
    <x v="23"/>
    <x v="0"/>
    <x v="89"/>
    <x v="1"/>
    <x v="1"/>
    <x v="18"/>
    <x v="0"/>
    <x v="5"/>
    <x v="9"/>
    <x v="6"/>
    <n v="1070.1"/>
  </r>
  <r>
    <d v="2025-12-29T00:00:00"/>
    <x v="2"/>
    <x v="23"/>
    <x v="1"/>
    <x v="29"/>
    <x v="6"/>
    <x v="6"/>
    <x v="35"/>
    <x v="0"/>
    <x v="14"/>
    <x v="5"/>
    <x v="8"/>
    <n v="5.99"/>
  </r>
  <r>
    <d v="2025-12-29T00:00:00"/>
    <x v="2"/>
    <x v="23"/>
    <x v="1"/>
    <x v="80"/>
    <x v="6"/>
    <x v="6"/>
    <x v="38"/>
    <x v="0"/>
    <x v="14"/>
    <x v="6"/>
    <x v="4"/>
    <n v="9.98"/>
  </r>
  <r>
    <d v="2025-12-29T00:00:00"/>
    <x v="2"/>
    <x v="23"/>
    <x v="0"/>
    <x v="90"/>
    <x v="3"/>
    <x v="3"/>
    <x v="55"/>
    <x v="0"/>
    <x v="19"/>
    <x v="7"/>
    <x v="3"/>
    <n v="95.32"/>
  </r>
  <r>
    <d v="2025-12-29T00:00:00"/>
    <x v="2"/>
    <x v="23"/>
    <x v="1"/>
    <x v="3"/>
    <x v="2"/>
    <x v="2"/>
    <x v="1"/>
    <x v="0"/>
    <x v="11"/>
    <x v="5"/>
    <x v="8"/>
    <n v="170.72"/>
  </r>
  <r>
    <d v="2025-12-29T00:00:00"/>
    <x v="2"/>
    <x v="23"/>
    <x v="1"/>
    <x v="78"/>
    <x v="5"/>
    <x v="5"/>
    <x v="94"/>
    <x v="0"/>
    <x v="18"/>
    <x v="1"/>
    <x v="0"/>
    <n v="202.16"/>
  </r>
  <r>
    <d v="2025-12-29T00:00:00"/>
    <x v="2"/>
    <x v="23"/>
    <x v="1"/>
    <x v="1"/>
    <x v="7"/>
    <x v="7"/>
    <x v="89"/>
    <x v="0"/>
    <x v="12"/>
    <x v="8"/>
    <x v="5"/>
    <n v="293.04"/>
  </r>
  <r>
    <d v="2025-12-29T00:00:00"/>
    <x v="2"/>
    <x v="23"/>
    <x v="0"/>
    <x v="89"/>
    <x v="1"/>
    <x v="1"/>
    <x v="18"/>
    <x v="0"/>
    <x v="5"/>
    <x v="9"/>
    <x v="6"/>
    <n v="300.2"/>
  </r>
  <r>
    <d v="2025-12-29T00:00:00"/>
    <x v="2"/>
    <x v="23"/>
    <x v="1"/>
    <x v="15"/>
    <x v="4"/>
    <x v="4"/>
    <x v="79"/>
    <x v="0"/>
    <x v="0"/>
    <x v="3"/>
    <x v="1"/>
    <n v="577.27"/>
  </r>
  <r>
    <d v="2025-12-29T00:00:00"/>
    <x v="2"/>
    <x v="23"/>
    <x v="1"/>
    <x v="39"/>
    <x v="7"/>
    <x v="7"/>
    <x v="91"/>
    <x v="0"/>
    <x v="9"/>
    <x v="3"/>
    <x v="1"/>
    <n v="1369.14"/>
  </r>
  <r>
    <d v="2025-12-30T00:00:00"/>
    <x v="2"/>
    <x v="23"/>
    <x v="0"/>
    <x v="61"/>
    <x v="7"/>
    <x v="7"/>
    <x v="84"/>
    <x v="0"/>
    <x v="20"/>
    <x v="0"/>
    <x v="9"/>
    <n v="3.0"/>
  </r>
  <r>
    <d v="2025-12-30T00:00:00"/>
    <x v="2"/>
    <x v="23"/>
    <x v="1"/>
    <x v="84"/>
    <x v="3"/>
    <x v="3"/>
    <x v="53"/>
    <x v="0"/>
    <x v="19"/>
    <x v="9"/>
    <x v="6"/>
    <n v="6.99"/>
  </r>
  <r>
    <d v="2025-12-30T00:00:00"/>
    <x v="2"/>
    <x v="23"/>
    <x v="1"/>
    <x v="50"/>
    <x v="7"/>
    <x v="7"/>
    <x v="83"/>
    <x v="0"/>
    <x v="20"/>
    <x v="5"/>
    <x v="8"/>
    <n v="24.44"/>
  </r>
  <r>
    <d v="2025-12-30T00:00:00"/>
    <x v="2"/>
    <x v="23"/>
    <x v="1"/>
    <x v="50"/>
    <x v="7"/>
    <x v="7"/>
    <x v="83"/>
    <x v="0"/>
    <x v="20"/>
    <x v="4"/>
    <x v="7"/>
    <n v="59.45"/>
  </r>
  <r>
    <d v="2025-12-30T00:00:00"/>
    <x v="2"/>
    <x v="23"/>
    <x v="1"/>
    <x v="47"/>
    <x v="3"/>
    <x v="3"/>
    <x v="54"/>
    <x v="0"/>
    <x v="19"/>
    <x v="3"/>
    <x v="1"/>
    <n v="296.36"/>
  </r>
  <r>
    <d v="2025-12-30T00:00:00"/>
    <x v="2"/>
    <x v="23"/>
    <x v="0"/>
    <x v="9"/>
    <x v="7"/>
    <x v="7"/>
    <x v="82"/>
    <x v="0"/>
    <x v="20"/>
    <x v="4"/>
    <x v="7"/>
    <n v="297.28"/>
  </r>
  <r>
    <d v="2025-12-30T00:00:00"/>
    <x v="2"/>
    <x v="23"/>
    <x v="1"/>
    <x v="84"/>
    <x v="3"/>
    <x v="3"/>
    <x v="53"/>
    <x v="0"/>
    <x v="19"/>
    <x v="0"/>
    <x v="9"/>
    <n v="565.78"/>
  </r>
  <r>
    <d v="2025-12-30T00:00:00"/>
    <x v="2"/>
    <x v="23"/>
    <x v="1"/>
    <x v="25"/>
    <x v="1"/>
    <x v="1"/>
    <x v="6"/>
    <x v="0"/>
    <x v="6"/>
    <x v="5"/>
    <x v="8"/>
    <n v="928.56"/>
  </r>
  <r>
    <d v="2025-12-31T00:00:00"/>
    <x v="2"/>
    <x v="23"/>
    <x v="1"/>
    <x v="40"/>
    <x v="3"/>
    <x v="3"/>
    <x v="65"/>
    <x v="0"/>
    <x v="1"/>
    <x v="6"/>
    <x v="4"/>
    <n v="6.5"/>
  </r>
  <r>
    <d v="2025-12-31T00:00:00"/>
    <x v="2"/>
    <x v="23"/>
    <x v="1"/>
    <x v="25"/>
    <x v="1"/>
    <x v="1"/>
    <x v="6"/>
    <x v="0"/>
    <x v="6"/>
    <x v="5"/>
    <x v="8"/>
    <n v="15.84"/>
  </r>
  <r>
    <d v="2025-12-31T00:00:00"/>
    <x v="2"/>
    <x v="23"/>
    <x v="0"/>
    <x v="70"/>
    <x v="6"/>
    <x v="6"/>
    <x v="33"/>
    <x v="0"/>
    <x v="14"/>
    <x v="0"/>
    <x v="9"/>
    <n v="141.77"/>
  </r>
  <r>
    <d v="2025-12-31T00:00:00"/>
    <x v="2"/>
    <x v="23"/>
    <x v="1"/>
    <x v="13"/>
    <x v="0"/>
    <x v="0"/>
    <x v="22"/>
    <x v="0"/>
    <x v="5"/>
    <x v="0"/>
    <x v="9"/>
    <n v="153.76"/>
  </r>
  <r>
    <d v="2025-12-31T00:00:00"/>
    <x v="2"/>
    <x v="23"/>
    <x v="1"/>
    <x v="95"/>
    <x v="4"/>
    <x v="4"/>
    <x v="73"/>
    <x v="0"/>
    <x v="15"/>
    <x v="3"/>
    <x v="1"/>
    <n v="171.76"/>
  </r>
  <r>
    <d v="2025-12-31T00:00:00"/>
    <x v="2"/>
    <x v="23"/>
    <x v="1"/>
    <x v="35"/>
    <x v="6"/>
    <x v="6"/>
    <x v="46"/>
    <x v="0"/>
    <x v="7"/>
    <x v="7"/>
    <x v="3"/>
    <n v="189.72"/>
  </r>
  <r>
    <d v="2025-12-31T00:00:00"/>
    <x v="2"/>
    <x v="23"/>
    <x v="1"/>
    <x v="96"/>
    <x v="3"/>
    <x v="3"/>
    <x v="67"/>
    <x v="0"/>
    <x v="1"/>
    <x v="5"/>
    <x v="8"/>
    <n v="262.59"/>
  </r>
  <r>
    <d v="2025-12-31T00:00:00"/>
    <x v="2"/>
    <x v="23"/>
    <x v="1"/>
    <x v="71"/>
    <x v="1"/>
    <x v="1"/>
    <x v="27"/>
    <x v="0"/>
    <x v="8"/>
    <x v="6"/>
    <x v="4"/>
    <n v="7691.87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_KPI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" firstHeaderRow="1" firstDataRow="1" firstDataCol="0"/>
  <pivotFields count="13">
    <pivotField numFmtId="14" showAll="0"/>
    <pivotField showAll="0">
      <items count="4">
        <item x="0"/>
        <item x="1"/>
        <item x="2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colFields count="1">
    <field x="-2"/>
  </colFields>
  <dataFields count="2">
    <dataField name="Total Sales" fld="12" baseField="0" baseItem="0" numFmtId="164"/>
    <dataField name="Transactions" fld="12" subtotal="count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_SalesOverTim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nth" colHeaderCaption="Type">
  <location ref="E3:H29" firstHeaderRow="1" firstDataRow="2" firstDataCol="1"/>
  <pivotFields count="13">
    <pivotField numFmtId="14" showAll="0"/>
    <pivotField showAll="0">
      <items count="4">
        <item x="0"/>
        <item x="1"/>
        <item x="2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2"/>
  </rowFields>
  <colFields count="1">
    <field x="3"/>
  </colFields>
  <dataFields count="1">
    <dataField name="Total Sales" fld="12" baseField="0" baseItem="0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_AvgOverTim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nth">
  <location ref="K3:L28" firstHeaderRow="1" firstDataRow="1" firstDataCol="1"/>
  <pivotFields count="13">
    <pivotField numFmtId="14" showAll="0"/>
    <pivotField showAll="0">
      <items count="4">
        <item x="0"/>
        <item x="1"/>
        <item x="2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2"/>
  </rowFields>
  <dataFields count="1">
    <dataField name="Avg Sale" fld="12" subtotal="average" baseField="0" baseItem="0" numFmtId="165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T_SalesByCategory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Category">
  <location ref="O3:P14" firstHeaderRow="1" firstDataRow="1" firstDataCol="1"/>
  <pivotFields count="13">
    <pivotField numFmtId="14" showAll="0"/>
    <pivotField showAll="0">
      <items count="4">
        <item x="0"/>
        <item x="1"/>
        <item x="2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ortType="ascending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10"/>
  </rowFields>
  <dataFields count="1">
    <dataField name="Total Sales" fld="12" baseField="0" baseItem="0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T_CategoryMix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Suburb" colHeaderCaption="Category">
  <location ref="S3:AD15" firstHeaderRow="1" firstDataRow="2" firstDataCol="1"/>
  <pivotFields count="13">
    <pivotField numFmtId="14" showAll="0"/>
    <pivotField showAll="0">
      <items count="4">
        <item x="0"/>
        <item x="1"/>
        <item x="2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axis="axisRow" sortType="ascending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4"/>
  </rowFields>
  <colFields count="1">
    <field x="10"/>
  </colFields>
  <dataFields count="1">
    <dataField name="Total Sales" fld="12" baseField="0" baseItem="0" numFmtId="164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PT_OnlineVsStor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Type">
  <location ref="AG3:AH6" firstHeaderRow="1" firstDataRow="1" firstDataCol="1"/>
  <pivotFields count="13">
    <pivotField numFmtId="14" showAll="0"/>
    <pivotField showAll="0">
      <items count="4">
        <item x="0"/>
        <item x="1"/>
        <item x="2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3"/>
  </rowFields>
  <dataFields count="1">
    <dataField name="Total Sales" fld="12" baseField="0" baseItem="0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T_SalesByManager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anager">
  <location ref="AJ3:AK25" firstHeaderRow="1" firstDataRow="1" firstDataCol="1"/>
  <pivotFields count="13">
    <pivotField numFmtId="14" showAll="0"/>
    <pivotField showAll="0">
      <items count="4">
        <item x="0"/>
        <item x="1"/>
        <item x="2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axis="axisRow" sortType="ascending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9"/>
  </rowFields>
  <dataFields count="1">
    <dataField name="Total Sales" fld="12" baseField="0" baseItem="0" numFmtId="16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T_BuyersOnlin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Buyer">
  <location ref="AM5:AN16" firstHeaderRow="1" firstDataRow="1" firstDataCol="1" rowPageCount="1" colPageCount="1"/>
  <pivotFields count="13">
    <pivotField numFmtId="14" showAll="0"/>
    <pivotField showAll="0">
      <items count="4">
        <item x="0"/>
        <item x="1"/>
        <item x="2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Page" showAll="0">
      <items count="3">
        <item x="0"/>
        <item x="1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ortType="ascending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1"/>
  </rowFields>
  <pageFields count="1">
    <pageField fld="3" item="0" hier="-1"/>
  </pageFields>
  <dataFields count="1">
    <dataField name="Total Sales" fld="12" baseField="0" baseItem="0" numFmtId="164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T_SalesByStat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State">
  <location ref="AQ3:AR12" firstHeaderRow="1" firstDataRow="1" firstDataCol="1"/>
  <pivotFields count="13">
    <pivotField numFmtId="14" showAll="0"/>
    <pivotField showAll="0">
      <items count="4">
        <item x="0"/>
        <item x="1"/>
        <item x="2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axis="axisRow" sortType="ascending" showAll="0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5"/>
  </rowFields>
  <dataFields count="1">
    <dataField name="Total Sales" fld="12" baseField="0" baseItem="0" numFmtId="164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T_StateTrend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tate" colHeaderCaption="Month">
  <location ref="A33:Z43" firstHeaderRow="1" firstDataRow="2" firstDataCol="1"/>
  <pivotFields count="13">
    <pivotField numFmtId="14" showAll="0"/>
    <pivotField showAll="0">
      <items count="4">
        <item x="0"/>
        <item x="1"/>
        <item x="2"/>
        <item t="default"/>
      </items>
    </pivotField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>
      <items count="2">
        <item x="0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5"/>
  </rowFields>
  <colFields count="1">
    <field x="2"/>
  </colFields>
  <dataFields count="1">
    <dataField name="Total Sales" fld="12" baseField="0" baseItem="0" numFmtId="164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inancial_Year" sourceName="Financial Year">
  <pivotTables>
    <pivotTable tabId="3" name="PT_KPI"/>
    <pivotTable tabId="3" name="PT_SalesOverTime"/>
    <pivotTable tabId="3" name="PT_AvgOverTime"/>
    <pivotTable tabId="3" name="PT_SalesByCategory"/>
    <pivotTable tabId="3" name="PT_CategoryMix"/>
    <pivotTable tabId="3" name="PT_OnlineVsStore"/>
    <pivotTable tabId="3" name="PT_SalesByManager"/>
    <pivotTable tabId="3" name="PT_BuyersOnline"/>
    <pivotTable tabId="3" name="PT_SalesByState"/>
    <pivotTable tabId="3" name="PT_StateTrend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ype" sourceName="Type">
  <pivotTables>
    <pivotTable tabId="3" name="PT_KPI"/>
    <pivotTable tabId="3" name="PT_SalesOverTime"/>
    <pivotTable tabId="3" name="PT_AvgOverTime"/>
    <pivotTable tabId="3" name="PT_SalesByCategory"/>
    <pivotTable tabId="3" name="PT_CategoryMix"/>
    <pivotTable tabId="3" name="PT_OnlineVsStore"/>
    <pivotTable tabId="3" name="PT_SalesByManager"/>
    <pivotTable tabId="3" name="PT_SalesByState"/>
    <pivotTable tabId="3" name="PT_StateTrend"/>
  </pivotTables>
  <data>
    <tabular pivotCacheId="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3" name="PT_KPI"/>
    <pivotTable tabId="3" name="PT_SalesOverTime"/>
    <pivotTable tabId="3" name="PT_AvgOverTime"/>
    <pivotTable tabId="3" name="PT_SalesByCategory"/>
    <pivotTable tabId="3" name="PT_CategoryMix"/>
    <pivotTable tabId="3" name="PT_OnlineVsStore"/>
    <pivotTable tabId="3" name="PT_SalesByManager"/>
    <pivotTable tabId="3" name="PT_BuyersOnline"/>
    <pivotTable tabId="3" name="PT_SalesByState"/>
    <pivotTable tabId="3" name="PT_StateTrend"/>
  </pivotTables>
  <data>
    <tabular pivotCacheId="1">
      <items count="8">
        <i x="0" s="1"/>
        <i x="1" s="1"/>
        <i x="2" s="1"/>
        <i x="3" s="1"/>
        <i x="4" s="1"/>
        <i x="5" s="1"/>
        <i x="6" s="1"/>
        <i x="7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T_KPI"/>
    <pivotTable tabId="3" name="PT_SalesOverTime"/>
    <pivotTable tabId="3" name="PT_AvgOverTime"/>
    <pivotTable tabId="3" name="PT_SalesByCategory"/>
    <pivotTable tabId="3" name="PT_CategoryMix"/>
    <pivotTable tabId="3" name="PT_OnlineVsStore"/>
    <pivotTable tabId="3" name="PT_SalesByManager"/>
    <pivotTable tabId="3" name="PT_BuyersOnline"/>
    <pivotTable tabId="3" name="PT_SalesByState"/>
    <pivotTable tabId="3" name="PT_StateTrend"/>
  </pivotTables>
  <data>
    <tabular pivotCacheId="1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inancial Year" cache="Slicer_Financial_Year" caption="Financial Year" columnCount="3" style="SlicerStyleLight1" rowHeight="241300"/>
  <slicer name="Type" cache="Slicer_Type" caption="Type" columnCount="2" style="SlicerStyleLight1" rowHeight="241300"/>
  <slicer name="State" cache="Slicer_State" caption="State" columnCount="4" style="SlicerStyleLight1" rowHeight="241300"/>
  <slicer name="Category" cache="Slicer_Category" caption="Category" columnCount="2" style="SlicerStyleLight1" rowHeight="165100"/>
</slicers>
</file>

<file path=xl/tables/table1.xml><?xml version="1.0" encoding="utf-8"?>
<table xmlns="http://schemas.openxmlformats.org/spreadsheetml/2006/main" id="1" name="KMART_DATA" displayName="KMART_DATA" ref="A1:M4506" totalsRowShown="0">
  <autoFilter ref="A1:M4506"/>
  <tableColumns count="13">
    <tableColumn id="1" name="Date"/>
    <tableColumn id="2" name="Financial Year">
      <calculatedColumnFormula>"FY"&amp;(YEAR(KMART_DATA[[#This Row],[Date]])+(MONTH(KMART_DATA[[#This Row],[Date]])&gt;=7)-1)&amp;"-"&amp;RIGHT(YEAR(KMART_DATA[[#This Row],[Date]])+(MONTH(KMART_DATA[[#This Row],[Date]])&gt;=7),2)</calculatedColumnFormula>
    </tableColumn>
    <tableColumn id="3" name="Month">
      <calculatedColumnFormula>YEAR(KMART_DATA[[#This Row],[Date]])&amp;"-"&amp;TEXT(MONTH(KMART_DATA[[#This Row],[Date]]),"00")</calculatedColumnFormula>
    </tableColumn>
    <tableColumn id="4" name="Type"/>
    <tableColumn id="5" name="Suburb"/>
    <tableColumn id="6" name="State"/>
    <tableColumn id="7" name="Full State">
      <calculatedColumnFormula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calculatedColumnFormula>
    </tableColumn>
    <tableColumn id="8" name="Postcode"/>
    <tableColumn id="9" name="Country"/>
    <tableColumn id="10" name="Manager"/>
    <tableColumn id="11" name="Category"/>
    <tableColumn id="12" name="Buyer"/>
    <tableColumn id="13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Kmart">
      <a:dk1>
        <a:sysClr val="windowText" lastClr="000000"/>
      </a:dk1>
      <a:lt1>
        <a:sysClr val="window" lastClr="FFFFFF"/>
      </a:lt1>
      <a:dk2>
        <a:srgbClr val="293745"/>
      </a:dk2>
      <a:lt2>
        <a:srgbClr val="F4F4F4"/>
      </a:lt2>
      <a:accent1>
        <a:srgbClr val="3266AB"/>
      </a:accent1>
      <a:accent2>
        <a:srgbClr val="DD182C"/>
      </a:accent2>
      <a:accent3>
        <a:srgbClr val="54B8E9"/>
      </a:accent3>
      <a:accent4>
        <a:srgbClr val="F09758"/>
      </a:accent4>
      <a:accent5>
        <a:srgbClr val="70B556"/>
      </a:accent5>
      <a:accent6>
        <a:srgbClr val="9D98C5"/>
      </a:accent6>
      <a:hlink>
        <a:srgbClr val="0000FF"/>
      </a:hlink>
      <a:folHlink>
        <a:srgbClr val="800080"/>
      </a:folHlink>
    </a:clrScheme>
    <a:fontScheme name="Office">
      <a:majorFont>
        <a:latin typeface="Roboto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Roboto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microsoft.com/office/2007/relationships/slicer" Target="../slicers/slicer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Relationship Id="rId9" Type="http://schemas.openxmlformats.org/officeDocument/2006/relationships/pivotTable" Target="../pivotTables/pivotTable9.xml"/><Relationship Id="rId10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D182C"/>
    <pageSetUpPr fitToPage="1"/>
  </sheetPr>
  <dimension ref="A1:CB21"/>
  <sheetViews>
    <sheetView showGridLines="0" showRowColHeaders="0" tabSelected="1" zoomScale="85" zoomScaleNormal="85" workbookViewId="0">
      <selection activeCell="A1" sqref="A1"/>
    </sheetView>
  </sheetViews>
  <sheetFormatPr defaultRowHeight="15" zeroHeight="1"/>
  <cols>
    <col min="1" max="75" width="2.85546875" style="12" customWidth="1"/>
    <col min="76" max="76" width="11.42578125" style="12" customWidth="1"/>
    <col min="77" max="79" width="2.85546875" style="12" hidden="1" customWidth="1"/>
    <col min="80" max="80" width="2.85546875" style="12" customWidth="1"/>
    <col min="81" max="16384" width="2.85546875" hidden="1" customWidth="1"/>
  </cols>
  <sheetData>
    <row r="1" ht="16.5" customHeight="1">
      <c r="A1" s="14"/>
      <c r="B1" s="15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6" t="str">
        <f>"Data: "&amp;TEXT(MIN(KMART_DATA[Date]),"mmm yyyy")&amp;" to "&amp;TEXT(MAX(KMART_DATA[Date]),"mmm yyyy")</f>
        <v>Data: Jan 2024 to Dec 2025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</row>
    <row r="2" ht="45.0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7" t="s">
        <v>1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8" t="s">
        <v>2</v>
      </c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</row>
    <row r="3" ht="6.0" customHeight="1"/>
    <row r="4" ht="22.5" customHeight="1">
      <c r="B4" s="20" t="s">
        <v>3</v>
      </c>
      <c r="C4" s="13"/>
      <c r="D4" s="13"/>
      <c r="E4" s="13"/>
      <c r="F4" s="13"/>
      <c r="G4" s="13"/>
      <c r="H4" s="13"/>
      <c r="I4" s="13"/>
      <c r="J4" s="13"/>
      <c r="L4" s="24" t="s">
        <v>4</v>
      </c>
      <c r="M4" s="13"/>
      <c r="N4" s="13"/>
      <c r="O4" s="13"/>
      <c r="P4" s="13"/>
      <c r="Q4" s="13"/>
      <c r="R4" s="13"/>
      <c r="S4" s="13"/>
      <c r="T4" s="13"/>
    </row>
    <row r="5" ht="45.0" customHeight="1">
      <c r="B5" s="21">
        <f>IFERROR(GETPIVOTDATA("Total Sales",Pivots!$A$3),0)</f>
        <v>3186258.48</v>
      </c>
      <c r="C5" s="13"/>
      <c r="D5" s="13"/>
      <c r="E5" s="13"/>
      <c r="F5" s="13"/>
      <c r="G5" s="13"/>
      <c r="H5" s="13"/>
      <c r="I5" s="13"/>
      <c r="J5" s="13"/>
      <c r="L5" s="25">
        <f>IFERROR(GETPIVOTDATA("Total Sales",Pivots!$A$3)/GETPIVOTDATA("Transactions",Pivots!$A$3),0)</f>
        <v>707.27</v>
      </c>
      <c r="M5" s="13"/>
      <c r="N5" s="13"/>
      <c r="O5" s="13"/>
      <c r="P5" s="13"/>
      <c r="Q5" s="13"/>
      <c r="R5" s="13"/>
      <c r="S5" s="13"/>
      <c r="T5" s="13"/>
    </row>
    <row r="6" ht="30.0" customHeight="1">
      <c r="B6" s="22" t="str">
        <f>TEXT(IFERROR(GETPIVOTDATA("Transactions",Pivots!$A$3),0),"#,##0")&amp;" transactions"</f>
        <v>4,505 transactions</v>
      </c>
      <c r="C6" s="13"/>
      <c r="D6" s="13"/>
      <c r="E6" s="13"/>
      <c r="F6" s="13"/>
      <c r="G6" s="13"/>
      <c r="H6" s="13"/>
      <c r="I6" s="13"/>
      <c r="J6" s="13"/>
      <c r="L6" s="26" t="str">
        <f>"per transaction"</f>
        <v>per transaction</v>
      </c>
      <c r="M6" s="13"/>
      <c r="N6" s="13"/>
      <c r="O6" s="13"/>
      <c r="P6" s="13"/>
      <c r="Q6" s="13"/>
      <c r="R6" s="13"/>
      <c r="S6" s="13"/>
      <c r="T6" s="13"/>
    </row>
    <row r="7" ht="7.5" customHeight="1"/>
    <row r="8" ht="240.0" customHeight="1"/>
    <row r="9" ht="7.5" customHeight="1"/>
    <row r="10" ht="22.5" customHeight="1">
      <c r="BR10" s="27" t="s">
        <v>5</v>
      </c>
      <c r="BS10" s="13"/>
      <c r="BT10" s="13"/>
      <c r="BU10" s="13"/>
      <c r="BV10" s="13"/>
      <c r="BW10" s="13"/>
      <c r="BX10" s="13"/>
      <c r="BY10" s="13"/>
      <c r="BZ10" s="13"/>
      <c r="CA10" s="13"/>
    </row>
    <row r="11" ht="16.5" customHeight="1">
      <c r="BR11" s="28" t="s">
        <v>6</v>
      </c>
      <c r="BS11" s="28"/>
      <c r="BT11" s="28"/>
      <c r="BU11" s="28" t="s">
        <v>7</v>
      </c>
      <c r="BV11" s="28"/>
      <c r="BW11" s="28"/>
      <c r="BX11" s="28" t="s">
        <v>8</v>
      </c>
      <c r="BY11" s="28"/>
      <c r="BZ11" s="28"/>
      <c r="CA11" s="28"/>
    </row>
    <row r="12" ht="24.75" customHeight="1">
      <c r="BR12" s="29" t="s">
        <v>9</v>
      </c>
      <c r="BS12" s="13"/>
      <c r="BT12" s="13"/>
      <c r="BU12" s="30">
        <f>IFERROR(GETPIVOTDATA("Total Sales",Pivots!$AQ$3,"State",BR12),0)</f>
        <v>1165603.47</v>
      </c>
      <c r="BV12" s="13"/>
      <c r="BW12" s="13"/>
      <c r="BX12" s="13"/>
      <c r="BY12" s="13"/>
      <c r="BZ12" s="13"/>
      <c r="CA12" s="13"/>
    </row>
    <row r="13" ht="24.75" customHeight="1">
      <c r="BR13" s="29" t="s">
        <v>10</v>
      </c>
      <c r="BS13" s="13"/>
      <c r="BT13" s="13"/>
      <c r="BU13" s="30">
        <f>IFERROR(GETPIVOTDATA("Total Sales",Pivots!$AQ$3,"State",BR13),0)</f>
        <v>825449.32</v>
      </c>
      <c r="BV13" s="13"/>
      <c r="BW13" s="13"/>
      <c r="BX13" s="13"/>
      <c r="BY13" s="13"/>
      <c r="BZ13" s="13"/>
      <c r="CA13" s="13"/>
    </row>
    <row r="14" ht="24.75" customHeight="1">
      <c r="BR14" s="29" t="s">
        <v>11</v>
      </c>
      <c r="BS14" s="13"/>
      <c r="BT14" s="13"/>
      <c r="BU14" s="30">
        <f>IFERROR(GETPIVOTDATA("Total Sales",Pivots!$AQ$3,"State",BR14),0)</f>
        <v>603864.98</v>
      </c>
      <c r="BV14" s="13"/>
      <c r="BW14" s="13"/>
      <c r="BX14" s="13"/>
      <c r="BY14" s="13"/>
      <c r="BZ14" s="13"/>
      <c r="CA14" s="13"/>
    </row>
    <row r="15" ht="24.75" customHeight="1">
      <c r="BR15" s="29" t="s">
        <v>12</v>
      </c>
      <c r="BS15" s="13"/>
      <c r="BT15" s="13"/>
      <c r="BU15" s="30">
        <f>IFERROR(GETPIVOTDATA("Total Sales",Pivots!$AQ$3,"State",BR15),0)</f>
        <v>312583.22</v>
      </c>
      <c r="BV15" s="13"/>
      <c r="BW15" s="13"/>
      <c r="BX15" s="13"/>
      <c r="BY15" s="13"/>
      <c r="BZ15" s="13"/>
      <c r="CA15" s="13"/>
    </row>
    <row r="16" ht="24.75" customHeight="1">
      <c r="BR16" s="29" t="s">
        <v>13</v>
      </c>
      <c r="BS16" s="13"/>
      <c r="BT16" s="13"/>
      <c r="BU16" s="30">
        <f>IFERROR(GETPIVOTDATA("Total Sales",Pivots!$AQ$3,"State",BR16),0)</f>
        <v>112716.27</v>
      </c>
      <c r="BV16" s="13"/>
      <c r="BW16" s="13"/>
      <c r="BX16" s="13"/>
      <c r="BY16" s="13"/>
      <c r="BZ16" s="13"/>
      <c r="CA16" s="13"/>
    </row>
    <row r="17" ht="24.75" customHeight="1">
      <c r="BR17" s="29" t="s">
        <v>14</v>
      </c>
      <c r="BS17" s="13"/>
      <c r="BT17" s="13"/>
      <c r="BU17" s="30">
        <f>IFERROR(GETPIVOTDATA("Total Sales",Pivots!$AQ$3,"State",BR17),0)</f>
        <v>67846.81</v>
      </c>
      <c r="BV17" s="13"/>
      <c r="BW17" s="13"/>
      <c r="BX17" s="13"/>
      <c r="BY17" s="13"/>
      <c r="BZ17" s="13"/>
      <c r="CA17" s="13"/>
    </row>
    <row r="18" ht="24.75" customHeight="1">
      <c r="BR18" s="29" t="s">
        <v>15</v>
      </c>
      <c r="BS18" s="13"/>
      <c r="BT18" s="13"/>
      <c r="BU18" s="30">
        <f>IFERROR(GETPIVOTDATA("Total Sales",Pivots!$AQ$3,"State",BR18),0)</f>
        <v>59512.45</v>
      </c>
      <c r="BV18" s="13"/>
      <c r="BW18" s="13"/>
      <c r="BX18" s="13"/>
      <c r="BY18" s="13"/>
      <c r="BZ18" s="13"/>
      <c r="CA18" s="13"/>
    </row>
    <row r="19" ht="24.75" customHeight="1">
      <c r="BR19" s="29" t="s">
        <v>16</v>
      </c>
      <c r="BS19" s="13"/>
      <c r="BT19" s="13"/>
      <c r="BU19" s="30">
        <f>IFERROR(GETPIVOTDATA("Total Sales",Pivots!$AQ$3,"State",BR19),0)</f>
        <v>38681.96</v>
      </c>
      <c r="BV19" s="13"/>
      <c r="BW19" s="13"/>
      <c r="BX19" s="13"/>
      <c r="BY19" s="13"/>
      <c r="BZ19" s="13"/>
      <c r="CA19" s="13"/>
    </row>
    <row r="20" ht="6.0" customHeight="1"/>
    <row r="21" ht="16.5" customHeight="1">
      <c r="B21" s="31" t="str">
        <f>"Source: KMART DATA table ("&amp;TEXT(ROWS(KMART_DATA[Sales]),"#,##0")&amp;" rows). Pivot tables refresh automatically when the file opens; after editing data use Data &gt; Refresh All. Category-mix chart shows the top 10 suburbs by sales for the current filters."</f>
        <v>Source: KMART DATA table (4,505 rows). Pivot tables refresh automatically when the file opens; after editing data use Data &gt; Refresh All. Category-mix chart shows the top 10 suburbs by sales for the current filters.</v>
      </c>
    </row>
  </sheetData>
  <mergeCells count="31">
    <mergeCell ref="B1:AN1"/>
    <mergeCell ref="AO1:CA1"/>
    <mergeCell ref="U2:BH2"/>
    <mergeCell ref="BI2:CA2"/>
    <mergeCell ref="B4:J4"/>
    <mergeCell ref="B5:J5"/>
    <mergeCell ref="B6:J6"/>
    <mergeCell ref="L4:T4"/>
    <mergeCell ref="L5:T5"/>
    <mergeCell ref="L6:T6"/>
    <mergeCell ref="BR10:CA10"/>
    <mergeCell ref="BR11:BT11"/>
    <mergeCell ref="BU11:BW11"/>
    <mergeCell ref="BX11:CA11"/>
    <mergeCell ref="BR12:BT12"/>
    <mergeCell ref="BU12:BW12"/>
    <mergeCell ref="BR13:BT13"/>
    <mergeCell ref="BU13:BW13"/>
    <mergeCell ref="BR14:BT14"/>
    <mergeCell ref="BU14:BW14"/>
    <mergeCell ref="BR15:BT15"/>
    <mergeCell ref="BU15:BW15"/>
    <mergeCell ref="BR16:BT16"/>
    <mergeCell ref="BU16:BW16"/>
    <mergeCell ref="BR17:BT17"/>
    <mergeCell ref="BU17:BW17"/>
    <mergeCell ref="BR18:BT18"/>
    <mergeCell ref="BU18:BW18"/>
    <mergeCell ref="BR19:BT19"/>
    <mergeCell ref="BU19:BW19"/>
    <mergeCell ref="B21:CA21"/>
  </mergeCells>
  <conditionalFormatting sqref="BU12:BW19">
    <cfRule type="dataBar" priority="1">
      <dataBar>
        <cfvo type="num" val="0"/>
        <cfvo type="max"/>
        <color rgb="FFB1C7E2"/>
      </dataBar>
    </cfRule>
  </conditionalFormatting>
  <pageMargins left="0.25" right="0.25" top="0.25" bottom="0.25" header="0" footer="0"/>
  <pageSetup paperSize="9" orientation="landscape" fitToWidth="1" fitToHeight="1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ineWeight="1.5">
          <x14:colorSeries rgb="FF3266AB"/>
          <x14:colorNegative rgb="FFDD182C"/>
          <x14:colorAxis rgb="FF000000"/>
          <x14:colorMarkers rgb="FF3266AB"/>
          <x14:colorFirst rgb="FF3266AB"/>
          <x14:colorLast rgb="FF3266AB"/>
          <x14:colorHigh rgb="FFDD182C"/>
          <x14:colorLow rgb="FF3266AB"/>
          <x14:sparklines>
            <x14:sparkline>
              <xm:f>Pivots!B60:Y60</xm:f>
              <xm:sqref>BX12</xm:sqref>
            </x14:sparkline>
            <x14:sparkline>
              <xm:f>Pivots!B61:Y61</xm:f>
              <xm:sqref>BX13</xm:sqref>
            </x14:sparkline>
            <x14:sparkline>
              <xm:f>Pivots!B62:Y62</xm:f>
              <xm:sqref>BX14</xm:sqref>
            </x14:sparkline>
            <x14:sparkline>
              <xm:f>Pivots!B63:Y63</xm:f>
              <xm:sqref>BX15</xm:sqref>
            </x14:sparkline>
            <x14:sparkline>
              <xm:f>Pivots!B64:Y64</xm:f>
              <xm:sqref>BX16</xm:sqref>
            </x14:sparkline>
            <x14:sparkline>
              <xm:f>Pivots!B65:Y65</xm:f>
              <xm:sqref>BX17</xm:sqref>
            </x14:sparkline>
            <x14:sparkline>
              <xm:f>Pivots!B66:Y66</xm:f>
              <xm:sqref>BX18</xm:sqref>
            </x14:sparkline>
            <x14:sparkline>
              <xm:f>Pivots!B67:Y67</xm:f>
              <xm:sqref>BX19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266AB"/>
  </sheetPr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5" customWidth="1"/>
    <col min="3" max="3" width="10" customWidth="1"/>
    <col min="4" max="4" width="9" customWidth="1"/>
    <col min="5" max="5" width="20" customWidth="1"/>
    <col min="6" max="6" width="7" customWidth="1"/>
    <col min="7" max="7" width="28" customWidth="1"/>
    <col min="8" max="8" width="10" customWidth="1"/>
    <col min="9" max="9" width="11" customWidth="1"/>
    <col min="10" max="10" width="18" customWidth="1"/>
    <col min="11" max="11" width="28" customWidth="1"/>
    <col min="12" max="12" width="18" customWidth="1"/>
    <col min="13" max="13" width="12" customWidth="1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6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7</v>
      </c>
    </row>
    <row r="2">
      <c r="A2" s="2">
        <v>45292</v>
      </c>
      <c r="B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" s="3" t="str">
        <f>YEAR(KMART_DATA[[#This Row],[Date]])&amp;"-"&amp;TEXT(MONTH(KMART_DATA[[#This Row],[Date]]),"00")</f>
        <v>2024-01</v>
      </c>
      <c r="D2" s="3" t="s">
        <v>28</v>
      </c>
      <c r="E2" s="3" t="s">
        <v>29</v>
      </c>
      <c r="F2" s="3" t="s">
        <v>11</v>
      </c>
      <c r="G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4">
        <v>9.98</v>
      </c>
    </row>
    <row r="3">
      <c r="A3" s="2">
        <v>45292</v>
      </c>
      <c r="B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" s="3" t="str">
        <f>YEAR(KMART_DATA[[#This Row],[Date]])&amp;"-"&amp;TEXT(MONTH(KMART_DATA[[#This Row],[Date]]),"00")</f>
        <v>2024-01</v>
      </c>
      <c r="D3" s="3" t="s">
        <v>28</v>
      </c>
      <c r="E3" s="3" t="s">
        <v>35</v>
      </c>
      <c r="F3" s="3" t="s">
        <v>10</v>
      </c>
      <c r="G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" s="3" t="s">
        <v>36</v>
      </c>
      <c r="I3" s="3" t="s">
        <v>31</v>
      </c>
      <c r="J3" s="3" t="s">
        <v>37</v>
      </c>
      <c r="K3" s="3" t="s">
        <v>38</v>
      </c>
      <c r="L3" s="3" t="s">
        <v>39</v>
      </c>
      <c r="M3" s="4">
        <v>23.92</v>
      </c>
    </row>
    <row r="4">
      <c r="A4" s="2">
        <v>45292</v>
      </c>
      <c r="B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" s="3" t="str">
        <f>YEAR(KMART_DATA[[#This Row],[Date]])&amp;"-"&amp;TEXT(MONTH(KMART_DATA[[#This Row],[Date]]),"00")</f>
        <v>2024-01</v>
      </c>
      <c r="D4" s="3" t="s">
        <v>28</v>
      </c>
      <c r="E4" s="3" t="s">
        <v>40</v>
      </c>
      <c r="F4" s="3" t="s">
        <v>13</v>
      </c>
      <c r="G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" s="3" t="s">
        <v>41</v>
      </c>
      <c r="I4" s="3" t="s">
        <v>31</v>
      </c>
      <c r="J4" s="3" t="s">
        <v>42</v>
      </c>
      <c r="K4" s="3" t="s">
        <v>43</v>
      </c>
      <c r="L4" s="3" t="s">
        <v>44</v>
      </c>
      <c r="M4" s="4">
        <v>35.48</v>
      </c>
    </row>
    <row r="5">
      <c r="A5" s="2">
        <v>45292</v>
      </c>
      <c r="B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" s="3" t="str">
        <f>YEAR(KMART_DATA[[#This Row],[Date]])&amp;"-"&amp;TEXT(MONTH(KMART_DATA[[#This Row],[Date]]),"00")</f>
        <v>2024-01</v>
      </c>
      <c r="D5" s="3" t="s">
        <v>45</v>
      </c>
      <c r="E5" s="3" t="s">
        <v>29</v>
      </c>
      <c r="F5" s="3" t="s">
        <v>11</v>
      </c>
      <c r="G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" s="3" t="s">
        <v>30</v>
      </c>
      <c r="I5" s="3" t="s">
        <v>31</v>
      </c>
      <c r="J5" s="3" t="s">
        <v>32</v>
      </c>
      <c r="K5" s="3" t="s">
        <v>46</v>
      </c>
      <c r="L5" s="3" t="s">
        <v>47</v>
      </c>
      <c r="M5" s="4">
        <v>184.87</v>
      </c>
    </row>
    <row r="6">
      <c r="A6" s="2">
        <v>45292</v>
      </c>
      <c r="B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" s="3" t="str">
        <f>YEAR(KMART_DATA[[#This Row],[Date]])&amp;"-"&amp;TEXT(MONTH(KMART_DATA[[#This Row],[Date]]),"00")</f>
        <v>2024-01</v>
      </c>
      <c r="D6" s="3" t="s">
        <v>28</v>
      </c>
      <c r="E6" s="3" t="s">
        <v>48</v>
      </c>
      <c r="F6" s="3" t="s">
        <v>12</v>
      </c>
      <c r="G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" s="3" t="s">
        <v>49</v>
      </c>
      <c r="I6" s="3" t="s">
        <v>31</v>
      </c>
      <c r="J6" s="3" t="s">
        <v>50</v>
      </c>
      <c r="K6" s="3" t="s">
        <v>33</v>
      </c>
      <c r="L6" s="3" t="s">
        <v>34</v>
      </c>
      <c r="M6" s="4">
        <v>635.04</v>
      </c>
    </row>
    <row r="7">
      <c r="A7" s="2">
        <v>45292</v>
      </c>
      <c r="B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" s="3" t="str">
        <f>YEAR(KMART_DATA[[#This Row],[Date]])&amp;"-"&amp;TEXT(MONTH(KMART_DATA[[#This Row],[Date]]),"00")</f>
        <v>2024-01</v>
      </c>
      <c r="D7" s="3" t="s">
        <v>28</v>
      </c>
      <c r="E7" s="3" t="s">
        <v>51</v>
      </c>
      <c r="F7" s="3" t="s">
        <v>15</v>
      </c>
      <c r="G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7" s="3" t="s">
        <v>52</v>
      </c>
      <c r="I7" s="3" t="s">
        <v>31</v>
      </c>
      <c r="J7" s="3" t="s">
        <v>53</v>
      </c>
      <c r="K7" s="3" t="s">
        <v>46</v>
      </c>
      <c r="L7" s="3" t="s">
        <v>47</v>
      </c>
      <c r="M7" s="4">
        <v>893.23</v>
      </c>
    </row>
    <row r="8">
      <c r="A8" s="2">
        <v>45292</v>
      </c>
      <c r="B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" s="3" t="str">
        <f>YEAR(KMART_DATA[[#This Row],[Date]])&amp;"-"&amp;TEXT(MONTH(KMART_DATA[[#This Row],[Date]]),"00")</f>
        <v>2024-01</v>
      </c>
      <c r="D8" s="3" t="s">
        <v>45</v>
      </c>
      <c r="E8" s="3" t="s">
        <v>54</v>
      </c>
      <c r="F8" s="3" t="s">
        <v>11</v>
      </c>
      <c r="G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" s="3" t="s">
        <v>55</v>
      </c>
      <c r="I8" s="3" t="s">
        <v>31</v>
      </c>
      <c r="J8" s="3" t="s">
        <v>56</v>
      </c>
      <c r="K8" s="3" t="s">
        <v>57</v>
      </c>
      <c r="L8" s="3" t="s">
        <v>58</v>
      </c>
      <c r="M8" s="4">
        <v>1180.27</v>
      </c>
    </row>
    <row r="9">
      <c r="A9" s="2">
        <v>45292</v>
      </c>
      <c r="B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" s="3" t="str">
        <f>YEAR(KMART_DATA[[#This Row],[Date]])&amp;"-"&amp;TEXT(MONTH(KMART_DATA[[#This Row],[Date]]),"00")</f>
        <v>2024-01</v>
      </c>
      <c r="D9" s="3" t="s">
        <v>28</v>
      </c>
      <c r="E9" s="3" t="s">
        <v>59</v>
      </c>
      <c r="F9" s="3" t="s">
        <v>11</v>
      </c>
      <c r="G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" s="3" t="s">
        <v>60</v>
      </c>
      <c r="I9" s="3" t="s">
        <v>31</v>
      </c>
      <c r="J9" s="3" t="s">
        <v>61</v>
      </c>
      <c r="K9" s="3" t="s">
        <v>43</v>
      </c>
      <c r="L9" s="3" t="s">
        <v>44</v>
      </c>
      <c r="M9" s="4">
        <v>1354.21</v>
      </c>
    </row>
    <row r="10">
      <c r="A10" s="2">
        <v>45293</v>
      </c>
      <c r="B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" s="3" t="str">
        <f>YEAR(KMART_DATA[[#This Row],[Date]])&amp;"-"&amp;TEXT(MONTH(KMART_DATA[[#This Row],[Date]]),"00")</f>
        <v>2024-01</v>
      </c>
      <c r="D10" s="3" t="s">
        <v>28</v>
      </c>
      <c r="E10" s="3" t="s">
        <v>62</v>
      </c>
      <c r="F10" s="3" t="s">
        <v>12</v>
      </c>
      <c r="G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" s="3" t="s">
        <v>63</v>
      </c>
      <c r="I10" s="3" t="s">
        <v>31</v>
      </c>
      <c r="J10" s="3" t="s">
        <v>50</v>
      </c>
      <c r="K10" s="3" t="s">
        <v>46</v>
      </c>
      <c r="L10" s="3" t="s">
        <v>47</v>
      </c>
      <c r="M10" s="4">
        <v>12.99</v>
      </c>
    </row>
    <row r="11">
      <c r="A11" s="2">
        <v>45293</v>
      </c>
      <c r="B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" s="3" t="str">
        <f>YEAR(KMART_DATA[[#This Row],[Date]])&amp;"-"&amp;TEXT(MONTH(KMART_DATA[[#This Row],[Date]]),"00")</f>
        <v>2024-01</v>
      </c>
      <c r="D11" s="3" t="s">
        <v>28</v>
      </c>
      <c r="E11" s="3" t="s">
        <v>64</v>
      </c>
      <c r="F11" s="3" t="s">
        <v>11</v>
      </c>
      <c r="G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" s="3" t="s">
        <v>65</v>
      </c>
      <c r="I11" s="3" t="s">
        <v>31</v>
      </c>
      <c r="J11" s="3" t="s">
        <v>61</v>
      </c>
      <c r="K11" s="3" t="s">
        <v>66</v>
      </c>
      <c r="L11" s="3" t="s">
        <v>67</v>
      </c>
      <c r="M11" s="4">
        <v>318.18</v>
      </c>
    </row>
    <row r="12">
      <c r="A12" s="2">
        <v>45293</v>
      </c>
      <c r="B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" s="3" t="str">
        <f>YEAR(KMART_DATA[[#This Row],[Date]])&amp;"-"&amp;TEXT(MONTH(KMART_DATA[[#This Row],[Date]]),"00")</f>
        <v>2024-01</v>
      </c>
      <c r="D12" s="3" t="s">
        <v>28</v>
      </c>
      <c r="E12" s="3" t="s">
        <v>68</v>
      </c>
      <c r="F12" s="3" t="s">
        <v>9</v>
      </c>
      <c r="G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" s="3" t="s">
        <v>69</v>
      </c>
      <c r="I12" s="3" t="s">
        <v>31</v>
      </c>
      <c r="J12" s="3" t="s">
        <v>70</v>
      </c>
      <c r="K12" s="3" t="s">
        <v>71</v>
      </c>
      <c r="L12" s="3" t="s">
        <v>72</v>
      </c>
      <c r="M12" s="4">
        <v>526.89</v>
      </c>
    </row>
    <row r="13">
      <c r="A13" s="2">
        <v>45293</v>
      </c>
      <c r="B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" s="3" t="str">
        <f>YEAR(KMART_DATA[[#This Row],[Date]])&amp;"-"&amp;TEXT(MONTH(KMART_DATA[[#This Row],[Date]]),"00")</f>
        <v>2024-01</v>
      </c>
      <c r="D13" s="3" t="s">
        <v>28</v>
      </c>
      <c r="E13" s="3" t="s">
        <v>73</v>
      </c>
      <c r="F13" s="3" t="s">
        <v>9</v>
      </c>
      <c r="G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" s="3" t="s">
        <v>74</v>
      </c>
      <c r="I13" s="3" t="s">
        <v>31</v>
      </c>
      <c r="J13" s="3" t="s">
        <v>75</v>
      </c>
      <c r="K13" s="3" t="s">
        <v>57</v>
      </c>
      <c r="L13" s="3" t="s">
        <v>58</v>
      </c>
      <c r="M13" s="4">
        <v>551.43</v>
      </c>
    </row>
    <row r="14">
      <c r="A14" s="2">
        <v>45293</v>
      </c>
      <c r="B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" s="3" t="str">
        <f>YEAR(KMART_DATA[[#This Row],[Date]])&amp;"-"&amp;TEXT(MONTH(KMART_DATA[[#This Row],[Date]]),"00")</f>
        <v>2024-01</v>
      </c>
      <c r="D14" s="3" t="s">
        <v>28</v>
      </c>
      <c r="E14" s="3" t="s">
        <v>76</v>
      </c>
      <c r="F14" s="3" t="s">
        <v>11</v>
      </c>
      <c r="G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" s="3" t="s">
        <v>77</v>
      </c>
      <c r="I14" s="3" t="s">
        <v>31</v>
      </c>
      <c r="J14" s="3" t="s">
        <v>78</v>
      </c>
      <c r="K14" s="3" t="s">
        <v>33</v>
      </c>
      <c r="L14" s="3" t="s">
        <v>34</v>
      </c>
      <c r="M14" s="4">
        <v>597.02</v>
      </c>
    </row>
    <row r="15">
      <c r="A15" s="2">
        <v>45294</v>
      </c>
      <c r="B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" s="3" t="str">
        <f>YEAR(KMART_DATA[[#This Row],[Date]])&amp;"-"&amp;TEXT(MONTH(KMART_DATA[[#This Row],[Date]]),"00")</f>
        <v>2024-01</v>
      </c>
      <c r="D15" s="3" t="s">
        <v>28</v>
      </c>
      <c r="E15" s="3" t="s">
        <v>79</v>
      </c>
      <c r="F15" s="3" t="s">
        <v>9</v>
      </c>
      <c r="G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" s="3" t="s">
        <v>80</v>
      </c>
      <c r="I15" s="3" t="s">
        <v>31</v>
      </c>
      <c r="J15" s="3" t="s">
        <v>81</v>
      </c>
      <c r="K15" s="3" t="s">
        <v>38</v>
      </c>
      <c r="L15" s="3" t="s">
        <v>39</v>
      </c>
      <c r="M15" s="4">
        <v>6.0</v>
      </c>
    </row>
    <row r="16">
      <c r="A16" s="2">
        <v>45294</v>
      </c>
      <c r="B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" s="3" t="str">
        <f>YEAR(KMART_DATA[[#This Row],[Date]])&amp;"-"&amp;TEXT(MONTH(KMART_DATA[[#This Row],[Date]]),"00")</f>
        <v>2024-01</v>
      </c>
      <c r="D16" s="3" t="s">
        <v>28</v>
      </c>
      <c r="E16" s="3" t="s">
        <v>82</v>
      </c>
      <c r="F16" s="3" t="s">
        <v>11</v>
      </c>
      <c r="G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" s="3" t="s">
        <v>83</v>
      </c>
      <c r="I16" s="3" t="s">
        <v>31</v>
      </c>
      <c r="J16" s="3" t="s">
        <v>84</v>
      </c>
      <c r="K16" s="3" t="s">
        <v>71</v>
      </c>
      <c r="L16" s="3" t="s">
        <v>72</v>
      </c>
      <c r="M16" s="4">
        <v>159.58</v>
      </c>
    </row>
    <row r="17">
      <c r="A17" s="2">
        <v>45294</v>
      </c>
      <c r="B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" s="3" t="str">
        <f>YEAR(KMART_DATA[[#This Row],[Date]])&amp;"-"&amp;TEXT(MONTH(KMART_DATA[[#This Row],[Date]]),"00")</f>
        <v>2024-01</v>
      </c>
      <c r="D17" s="3" t="s">
        <v>45</v>
      </c>
      <c r="E17" s="3" t="s">
        <v>85</v>
      </c>
      <c r="F17" s="3" t="s">
        <v>9</v>
      </c>
      <c r="G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" s="3" t="s">
        <v>86</v>
      </c>
      <c r="I17" s="3" t="s">
        <v>31</v>
      </c>
      <c r="J17" s="3" t="s">
        <v>81</v>
      </c>
      <c r="K17" s="3" t="s">
        <v>71</v>
      </c>
      <c r="L17" s="3" t="s">
        <v>72</v>
      </c>
      <c r="M17" s="4">
        <v>221.83</v>
      </c>
    </row>
    <row r="18">
      <c r="A18" s="2">
        <v>45294</v>
      </c>
      <c r="B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" s="3" t="str">
        <f>YEAR(KMART_DATA[[#This Row],[Date]])&amp;"-"&amp;TEXT(MONTH(KMART_DATA[[#This Row],[Date]]),"00")</f>
        <v>2024-01</v>
      </c>
      <c r="D18" s="3" t="s">
        <v>28</v>
      </c>
      <c r="E18" s="3" t="s">
        <v>87</v>
      </c>
      <c r="F18" s="3" t="s">
        <v>10</v>
      </c>
      <c r="G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" s="3" t="s">
        <v>88</v>
      </c>
      <c r="I18" s="3" t="s">
        <v>31</v>
      </c>
      <c r="J18" s="3" t="s">
        <v>89</v>
      </c>
      <c r="K18" s="3" t="s">
        <v>57</v>
      </c>
      <c r="L18" s="3" t="s">
        <v>58</v>
      </c>
      <c r="M18" s="4">
        <v>8918.28</v>
      </c>
    </row>
    <row r="19">
      <c r="A19" s="2">
        <v>45296</v>
      </c>
      <c r="B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" s="3" t="str">
        <f>YEAR(KMART_DATA[[#This Row],[Date]])&amp;"-"&amp;TEXT(MONTH(KMART_DATA[[#This Row],[Date]]),"00")</f>
        <v>2024-01</v>
      </c>
      <c r="D19" s="3" t="s">
        <v>28</v>
      </c>
      <c r="E19" s="3" t="s">
        <v>90</v>
      </c>
      <c r="F19" s="3" t="s">
        <v>10</v>
      </c>
      <c r="G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" s="3" t="s">
        <v>91</v>
      </c>
      <c r="I19" s="3" t="s">
        <v>31</v>
      </c>
      <c r="J19" s="3" t="s">
        <v>37</v>
      </c>
      <c r="K19" s="3" t="s">
        <v>33</v>
      </c>
      <c r="L19" s="3" t="s">
        <v>34</v>
      </c>
      <c r="M19" s="4">
        <v>70.83</v>
      </c>
    </row>
    <row r="20">
      <c r="A20" s="2">
        <v>45296</v>
      </c>
      <c r="B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" s="3" t="str">
        <f>YEAR(KMART_DATA[[#This Row],[Date]])&amp;"-"&amp;TEXT(MONTH(KMART_DATA[[#This Row],[Date]]),"00")</f>
        <v>2024-01</v>
      </c>
      <c r="D20" s="3" t="s">
        <v>45</v>
      </c>
      <c r="E20" s="3" t="s">
        <v>51</v>
      </c>
      <c r="F20" s="3" t="s">
        <v>15</v>
      </c>
      <c r="G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0" s="3" t="s">
        <v>52</v>
      </c>
      <c r="I20" s="3" t="s">
        <v>31</v>
      </c>
      <c r="J20" s="3" t="s">
        <v>53</v>
      </c>
      <c r="K20" s="3" t="s">
        <v>33</v>
      </c>
      <c r="L20" s="3" t="s">
        <v>34</v>
      </c>
      <c r="M20" s="4">
        <v>96.82</v>
      </c>
    </row>
    <row r="21">
      <c r="A21" s="2">
        <v>45296</v>
      </c>
      <c r="B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" s="3" t="str">
        <f>YEAR(KMART_DATA[[#This Row],[Date]])&amp;"-"&amp;TEXT(MONTH(KMART_DATA[[#This Row],[Date]]),"00")</f>
        <v>2024-01</v>
      </c>
      <c r="D21" s="3" t="s">
        <v>28</v>
      </c>
      <c r="E21" s="3" t="s">
        <v>92</v>
      </c>
      <c r="F21" s="3" t="s">
        <v>10</v>
      </c>
      <c r="G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" s="3" t="s">
        <v>93</v>
      </c>
      <c r="I21" s="3" t="s">
        <v>31</v>
      </c>
      <c r="J21" s="3" t="s">
        <v>94</v>
      </c>
      <c r="K21" s="3" t="s">
        <v>95</v>
      </c>
      <c r="L21" s="3" t="s">
        <v>96</v>
      </c>
      <c r="M21" s="4">
        <v>104.79</v>
      </c>
    </row>
    <row r="22">
      <c r="A22" s="2">
        <v>45296</v>
      </c>
      <c r="B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" s="3" t="str">
        <f>YEAR(KMART_DATA[[#This Row],[Date]])&amp;"-"&amp;TEXT(MONTH(KMART_DATA[[#This Row],[Date]]),"00")</f>
        <v>2024-01</v>
      </c>
      <c r="D22" s="3" t="s">
        <v>28</v>
      </c>
      <c r="E22" s="3" t="s">
        <v>97</v>
      </c>
      <c r="F22" s="3" t="s">
        <v>9</v>
      </c>
      <c r="G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" s="3" t="s">
        <v>98</v>
      </c>
      <c r="I22" s="3" t="s">
        <v>31</v>
      </c>
      <c r="J22" s="3" t="s">
        <v>99</v>
      </c>
      <c r="K22" s="3" t="s">
        <v>95</v>
      </c>
      <c r="L22" s="3" t="s">
        <v>96</v>
      </c>
      <c r="M22" s="4">
        <v>204.21</v>
      </c>
    </row>
    <row r="23">
      <c r="A23" s="2">
        <v>45296</v>
      </c>
      <c r="B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" s="3" t="str">
        <f>YEAR(KMART_DATA[[#This Row],[Date]])&amp;"-"&amp;TEXT(MONTH(KMART_DATA[[#This Row],[Date]]),"00")</f>
        <v>2024-01</v>
      </c>
      <c r="D23" s="3" t="s">
        <v>28</v>
      </c>
      <c r="E23" s="3" t="s">
        <v>40</v>
      </c>
      <c r="F23" s="3" t="s">
        <v>13</v>
      </c>
      <c r="G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" s="3" t="s">
        <v>41</v>
      </c>
      <c r="I23" s="3" t="s">
        <v>31</v>
      </c>
      <c r="J23" s="3" t="s">
        <v>42</v>
      </c>
      <c r="K23" s="3" t="s">
        <v>71</v>
      </c>
      <c r="L23" s="3" t="s">
        <v>72</v>
      </c>
      <c r="M23" s="4">
        <v>4282.26</v>
      </c>
    </row>
    <row r="24">
      <c r="A24" s="2">
        <v>45297</v>
      </c>
      <c r="B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" s="3" t="str">
        <f>YEAR(KMART_DATA[[#This Row],[Date]])&amp;"-"&amp;TEXT(MONTH(KMART_DATA[[#This Row],[Date]]),"00")</f>
        <v>2024-01</v>
      </c>
      <c r="D24" s="3" t="s">
        <v>28</v>
      </c>
      <c r="E24" s="3" t="s">
        <v>54</v>
      </c>
      <c r="F24" s="3" t="s">
        <v>11</v>
      </c>
      <c r="G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" s="3" t="s">
        <v>55</v>
      </c>
      <c r="I24" s="3" t="s">
        <v>31</v>
      </c>
      <c r="J24" s="3" t="s">
        <v>56</v>
      </c>
      <c r="K24" s="3" t="s">
        <v>43</v>
      </c>
      <c r="L24" s="3" t="s">
        <v>44</v>
      </c>
      <c r="M24" s="4">
        <v>4.0</v>
      </c>
    </row>
    <row r="25">
      <c r="A25" s="2">
        <v>45297</v>
      </c>
      <c r="B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" s="3" t="str">
        <f>YEAR(KMART_DATA[[#This Row],[Date]])&amp;"-"&amp;TEXT(MONTH(KMART_DATA[[#This Row],[Date]]),"00")</f>
        <v>2024-01</v>
      </c>
      <c r="D25" s="3" t="s">
        <v>28</v>
      </c>
      <c r="E25" s="3" t="s">
        <v>100</v>
      </c>
      <c r="F25" s="3" t="s">
        <v>12</v>
      </c>
      <c r="G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5" s="3" t="s">
        <v>101</v>
      </c>
      <c r="I25" s="3" t="s">
        <v>31</v>
      </c>
      <c r="J25" s="3" t="s">
        <v>102</v>
      </c>
      <c r="K25" s="3" t="s">
        <v>43</v>
      </c>
      <c r="L25" s="3" t="s">
        <v>44</v>
      </c>
      <c r="M25" s="4">
        <v>52.97</v>
      </c>
    </row>
    <row r="26">
      <c r="A26" s="2">
        <v>45297</v>
      </c>
      <c r="B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" s="3" t="str">
        <f>YEAR(KMART_DATA[[#This Row],[Date]])&amp;"-"&amp;TEXT(MONTH(KMART_DATA[[#This Row],[Date]]),"00")</f>
        <v>2024-01</v>
      </c>
      <c r="D26" s="3" t="s">
        <v>45</v>
      </c>
      <c r="E26" s="3" t="s">
        <v>103</v>
      </c>
      <c r="F26" s="3" t="s">
        <v>12</v>
      </c>
      <c r="G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" s="3" t="s">
        <v>104</v>
      </c>
      <c r="I26" s="3" t="s">
        <v>31</v>
      </c>
      <c r="J26" s="3" t="s">
        <v>102</v>
      </c>
      <c r="K26" s="3" t="s">
        <v>57</v>
      </c>
      <c r="L26" s="3" t="s">
        <v>58</v>
      </c>
      <c r="M26" s="4">
        <v>1624.77</v>
      </c>
    </row>
    <row r="27">
      <c r="A27" s="2">
        <v>45297</v>
      </c>
      <c r="B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" s="3" t="str">
        <f>YEAR(KMART_DATA[[#This Row],[Date]])&amp;"-"&amp;TEXT(MONTH(KMART_DATA[[#This Row],[Date]]),"00")</f>
        <v>2024-01</v>
      </c>
      <c r="D27" s="3" t="s">
        <v>28</v>
      </c>
      <c r="E27" s="3" t="s">
        <v>62</v>
      </c>
      <c r="F27" s="3" t="s">
        <v>12</v>
      </c>
      <c r="G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" s="3" t="s">
        <v>63</v>
      </c>
      <c r="I27" s="3" t="s">
        <v>31</v>
      </c>
      <c r="J27" s="3" t="s">
        <v>50</v>
      </c>
      <c r="K27" s="3" t="s">
        <v>95</v>
      </c>
      <c r="L27" s="3" t="s">
        <v>96</v>
      </c>
      <c r="M27" s="4">
        <v>7077.93</v>
      </c>
    </row>
    <row r="28">
      <c r="A28" s="2">
        <v>45298</v>
      </c>
      <c r="B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" s="3" t="str">
        <f>YEAR(KMART_DATA[[#This Row],[Date]])&amp;"-"&amp;TEXT(MONTH(KMART_DATA[[#This Row],[Date]]),"00")</f>
        <v>2024-01</v>
      </c>
      <c r="D28" s="3" t="s">
        <v>28</v>
      </c>
      <c r="E28" s="3" t="s">
        <v>105</v>
      </c>
      <c r="F28" s="3" t="s">
        <v>9</v>
      </c>
      <c r="G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" s="3" t="s">
        <v>106</v>
      </c>
      <c r="I28" s="3" t="s">
        <v>31</v>
      </c>
      <c r="J28" s="3" t="s">
        <v>107</v>
      </c>
      <c r="K28" s="3" t="s">
        <v>43</v>
      </c>
      <c r="L28" s="3" t="s">
        <v>44</v>
      </c>
      <c r="M28" s="4">
        <v>14.57</v>
      </c>
    </row>
    <row r="29">
      <c r="A29" s="2">
        <v>45298</v>
      </c>
      <c r="B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" s="3" t="str">
        <f>YEAR(KMART_DATA[[#This Row],[Date]])&amp;"-"&amp;TEXT(MONTH(KMART_DATA[[#This Row],[Date]]),"00")</f>
        <v>2024-01</v>
      </c>
      <c r="D29" s="3" t="s">
        <v>45</v>
      </c>
      <c r="E29" s="3" t="s">
        <v>108</v>
      </c>
      <c r="F29" s="3" t="s">
        <v>9</v>
      </c>
      <c r="G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" s="3" t="s">
        <v>109</v>
      </c>
      <c r="I29" s="3" t="s">
        <v>31</v>
      </c>
      <c r="J29" s="3" t="s">
        <v>75</v>
      </c>
      <c r="K29" s="3" t="s">
        <v>46</v>
      </c>
      <c r="L29" s="3" t="s">
        <v>47</v>
      </c>
      <c r="M29" s="4">
        <v>14.97</v>
      </c>
    </row>
    <row r="30">
      <c r="A30" s="2">
        <v>45298</v>
      </c>
      <c r="B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" s="3" t="str">
        <f>YEAR(KMART_DATA[[#This Row],[Date]])&amp;"-"&amp;TEXT(MONTH(KMART_DATA[[#This Row],[Date]]),"00")</f>
        <v>2024-01</v>
      </c>
      <c r="D30" s="3" t="s">
        <v>45</v>
      </c>
      <c r="E30" s="3" t="s">
        <v>110</v>
      </c>
      <c r="F30" s="3" t="s">
        <v>9</v>
      </c>
      <c r="G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" s="3" t="s">
        <v>111</v>
      </c>
      <c r="I30" s="3" t="s">
        <v>31</v>
      </c>
      <c r="J30" s="3" t="s">
        <v>81</v>
      </c>
      <c r="K30" s="3" t="s">
        <v>112</v>
      </c>
      <c r="L30" s="3" t="s">
        <v>113</v>
      </c>
      <c r="M30" s="4">
        <v>116.71</v>
      </c>
    </row>
    <row r="31">
      <c r="A31" s="2">
        <v>45298</v>
      </c>
      <c r="B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" s="3" t="str">
        <f>YEAR(KMART_DATA[[#This Row],[Date]])&amp;"-"&amp;TEXT(MONTH(KMART_DATA[[#This Row],[Date]]),"00")</f>
        <v>2024-01</v>
      </c>
      <c r="D31" s="3" t="s">
        <v>28</v>
      </c>
      <c r="E31" s="3" t="s">
        <v>114</v>
      </c>
      <c r="F31" s="3" t="s">
        <v>9</v>
      </c>
      <c r="G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" s="3" t="s">
        <v>115</v>
      </c>
      <c r="I31" s="3" t="s">
        <v>31</v>
      </c>
      <c r="J31" s="3" t="s">
        <v>99</v>
      </c>
      <c r="K31" s="3" t="s">
        <v>57</v>
      </c>
      <c r="L31" s="3" t="s">
        <v>58</v>
      </c>
      <c r="M31" s="4">
        <v>149.95</v>
      </c>
    </row>
    <row r="32">
      <c r="A32" s="2">
        <v>45298</v>
      </c>
      <c r="B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" s="3" t="str">
        <f>YEAR(KMART_DATA[[#This Row],[Date]])&amp;"-"&amp;TEXT(MONTH(KMART_DATA[[#This Row],[Date]]),"00")</f>
        <v>2024-01</v>
      </c>
      <c r="D32" s="3" t="s">
        <v>45</v>
      </c>
      <c r="E32" s="3" t="s">
        <v>116</v>
      </c>
      <c r="F32" s="3" t="s">
        <v>9</v>
      </c>
      <c r="G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" s="3" t="s">
        <v>117</v>
      </c>
      <c r="I32" s="3" t="s">
        <v>31</v>
      </c>
      <c r="J32" s="3" t="s">
        <v>70</v>
      </c>
      <c r="K32" s="3" t="s">
        <v>33</v>
      </c>
      <c r="L32" s="3" t="s">
        <v>34</v>
      </c>
      <c r="M32" s="4">
        <v>166.25</v>
      </c>
    </row>
    <row r="33">
      <c r="A33" s="2">
        <v>45298</v>
      </c>
      <c r="B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" s="3" t="str">
        <f>YEAR(KMART_DATA[[#This Row],[Date]])&amp;"-"&amp;TEXT(MONTH(KMART_DATA[[#This Row],[Date]]),"00")</f>
        <v>2024-01</v>
      </c>
      <c r="D33" s="3" t="s">
        <v>28</v>
      </c>
      <c r="E33" s="3" t="s">
        <v>118</v>
      </c>
      <c r="F33" s="3" t="s">
        <v>10</v>
      </c>
      <c r="G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" s="3" t="s">
        <v>119</v>
      </c>
      <c r="I33" s="3" t="s">
        <v>31</v>
      </c>
      <c r="J33" s="3" t="s">
        <v>120</v>
      </c>
      <c r="K33" s="3" t="s">
        <v>71</v>
      </c>
      <c r="L33" s="3" t="s">
        <v>72</v>
      </c>
      <c r="M33" s="4">
        <v>346.11</v>
      </c>
    </row>
    <row r="34">
      <c r="A34" s="2">
        <v>45298</v>
      </c>
      <c r="B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" s="3" t="str">
        <f>YEAR(KMART_DATA[[#This Row],[Date]])&amp;"-"&amp;TEXT(MONTH(KMART_DATA[[#This Row],[Date]]),"00")</f>
        <v>2024-01</v>
      </c>
      <c r="D34" s="3" t="s">
        <v>28</v>
      </c>
      <c r="E34" s="3" t="s">
        <v>121</v>
      </c>
      <c r="F34" s="3" t="s">
        <v>11</v>
      </c>
      <c r="G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" s="3" t="s">
        <v>122</v>
      </c>
      <c r="I34" s="3" t="s">
        <v>31</v>
      </c>
      <c r="J34" s="3" t="s">
        <v>84</v>
      </c>
      <c r="K34" s="3" t="s">
        <v>123</v>
      </c>
      <c r="L34" s="3" t="s">
        <v>124</v>
      </c>
      <c r="M34" s="4">
        <v>449.75</v>
      </c>
    </row>
    <row r="35">
      <c r="A35" s="2">
        <v>45298</v>
      </c>
      <c r="B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" s="3" t="str">
        <f>YEAR(KMART_DATA[[#This Row],[Date]])&amp;"-"&amp;TEXT(MONTH(KMART_DATA[[#This Row],[Date]]),"00")</f>
        <v>2024-01</v>
      </c>
      <c r="D35" s="3" t="s">
        <v>28</v>
      </c>
      <c r="E35" s="3" t="s">
        <v>125</v>
      </c>
      <c r="F35" s="3" t="s">
        <v>10</v>
      </c>
      <c r="G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" s="3" t="s">
        <v>126</v>
      </c>
      <c r="I35" s="3" t="s">
        <v>31</v>
      </c>
      <c r="J35" s="3" t="s">
        <v>94</v>
      </c>
      <c r="K35" s="3" t="s">
        <v>33</v>
      </c>
      <c r="L35" s="3" t="s">
        <v>34</v>
      </c>
      <c r="M35" s="4">
        <v>510.02</v>
      </c>
    </row>
    <row r="36">
      <c r="A36" s="2">
        <v>45298</v>
      </c>
      <c r="B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" s="3" t="str">
        <f>YEAR(KMART_DATA[[#This Row],[Date]])&amp;"-"&amp;TEXT(MONTH(KMART_DATA[[#This Row],[Date]]),"00")</f>
        <v>2024-01</v>
      </c>
      <c r="D36" s="3" t="s">
        <v>28</v>
      </c>
      <c r="E36" s="3" t="s">
        <v>68</v>
      </c>
      <c r="F36" s="3" t="s">
        <v>9</v>
      </c>
      <c r="G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" s="3" t="s">
        <v>69</v>
      </c>
      <c r="I36" s="3" t="s">
        <v>31</v>
      </c>
      <c r="J36" s="3" t="s">
        <v>70</v>
      </c>
      <c r="K36" s="3" t="s">
        <v>71</v>
      </c>
      <c r="L36" s="3" t="s">
        <v>72</v>
      </c>
      <c r="M36" s="4">
        <v>4324.25</v>
      </c>
    </row>
    <row r="37">
      <c r="A37" s="2">
        <v>45299</v>
      </c>
      <c r="B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" s="3" t="str">
        <f>YEAR(KMART_DATA[[#This Row],[Date]])&amp;"-"&amp;TEXT(MONTH(KMART_DATA[[#This Row],[Date]]),"00")</f>
        <v>2024-01</v>
      </c>
      <c r="D37" s="3" t="s">
        <v>28</v>
      </c>
      <c r="E37" s="3" t="s">
        <v>127</v>
      </c>
      <c r="F37" s="3" t="s">
        <v>11</v>
      </c>
      <c r="G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" s="3" t="s">
        <v>128</v>
      </c>
      <c r="I37" s="3" t="s">
        <v>31</v>
      </c>
      <c r="J37" s="3" t="s">
        <v>78</v>
      </c>
      <c r="K37" s="3" t="s">
        <v>43</v>
      </c>
      <c r="L37" s="3" t="s">
        <v>44</v>
      </c>
      <c r="M37" s="4">
        <v>6.0</v>
      </c>
    </row>
    <row r="38">
      <c r="A38" s="2">
        <v>45299</v>
      </c>
      <c r="B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" s="3" t="str">
        <f>YEAR(KMART_DATA[[#This Row],[Date]])&amp;"-"&amp;TEXT(MONTH(KMART_DATA[[#This Row],[Date]]),"00")</f>
        <v>2024-01</v>
      </c>
      <c r="D38" s="3" t="s">
        <v>28</v>
      </c>
      <c r="E38" s="3" t="s">
        <v>129</v>
      </c>
      <c r="F38" s="3" t="s">
        <v>10</v>
      </c>
      <c r="G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" s="3" t="s">
        <v>130</v>
      </c>
      <c r="I38" s="3" t="s">
        <v>31</v>
      </c>
      <c r="J38" s="3" t="s">
        <v>120</v>
      </c>
      <c r="K38" s="3" t="s">
        <v>95</v>
      </c>
      <c r="L38" s="3" t="s">
        <v>96</v>
      </c>
      <c r="M38" s="4">
        <v>48.93</v>
      </c>
    </row>
    <row r="39">
      <c r="A39" s="2">
        <v>45299</v>
      </c>
      <c r="B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" s="3" t="str">
        <f>YEAR(KMART_DATA[[#This Row],[Date]])&amp;"-"&amp;TEXT(MONTH(KMART_DATA[[#This Row],[Date]]),"00")</f>
        <v>2024-01</v>
      </c>
      <c r="D39" s="3" t="s">
        <v>45</v>
      </c>
      <c r="E39" s="3" t="s">
        <v>131</v>
      </c>
      <c r="F39" s="3" t="s">
        <v>11</v>
      </c>
      <c r="G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" s="3" t="s">
        <v>132</v>
      </c>
      <c r="I39" s="3" t="s">
        <v>31</v>
      </c>
      <c r="J39" s="3" t="s">
        <v>32</v>
      </c>
      <c r="K39" s="3" t="s">
        <v>112</v>
      </c>
      <c r="L39" s="3" t="s">
        <v>113</v>
      </c>
      <c r="M39" s="4">
        <v>105.88</v>
      </c>
    </row>
    <row r="40">
      <c r="A40" s="2">
        <v>45299</v>
      </c>
      <c r="B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" s="3" t="str">
        <f>YEAR(KMART_DATA[[#This Row],[Date]])&amp;"-"&amp;TEXT(MONTH(KMART_DATA[[#This Row],[Date]]),"00")</f>
        <v>2024-01</v>
      </c>
      <c r="D40" s="3" t="s">
        <v>28</v>
      </c>
      <c r="E40" s="3" t="s">
        <v>133</v>
      </c>
      <c r="F40" s="3" t="s">
        <v>10</v>
      </c>
      <c r="G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" s="3" t="s">
        <v>134</v>
      </c>
      <c r="I40" s="3" t="s">
        <v>31</v>
      </c>
      <c r="J40" s="3" t="s">
        <v>37</v>
      </c>
      <c r="K40" s="3" t="s">
        <v>123</v>
      </c>
      <c r="L40" s="3" t="s">
        <v>124</v>
      </c>
      <c r="M40" s="4">
        <v>231.19</v>
      </c>
    </row>
    <row r="41">
      <c r="A41" s="2">
        <v>45299</v>
      </c>
      <c r="B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" s="3" t="str">
        <f>YEAR(KMART_DATA[[#This Row],[Date]])&amp;"-"&amp;TEXT(MONTH(KMART_DATA[[#This Row],[Date]]),"00")</f>
        <v>2024-01</v>
      </c>
      <c r="D41" s="3" t="s">
        <v>28</v>
      </c>
      <c r="E41" s="3" t="s">
        <v>135</v>
      </c>
      <c r="F41" s="3" t="s">
        <v>16</v>
      </c>
      <c r="G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1" s="3" t="s">
        <v>136</v>
      </c>
      <c r="I41" s="3" t="s">
        <v>31</v>
      </c>
      <c r="J41" s="3" t="s">
        <v>107</v>
      </c>
      <c r="K41" s="3" t="s">
        <v>95</v>
      </c>
      <c r="L41" s="3" t="s">
        <v>96</v>
      </c>
      <c r="M41" s="4">
        <v>468.84</v>
      </c>
    </row>
    <row r="42">
      <c r="A42" s="2">
        <v>45300</v>
      </c>
      <c r="B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" s="3" t="str">
        <f>YEAR(KMART_DATA[[#This Row],[Date]])&amp;"-"&amp;TEXT(MONTH(KMART_DATA[[#This Row],[Date]]),"00")</f>
        <v>2024-01</v>
      </c>
      <c r="D42" s="3" t="s">
        <v>28</v>
      </c>
      <c r="E42" s="3" t="s">
        <v>137</v>
      </c>
      <c r="F42" s="3" t="s">
        <v>10</v>
      </c>
      <c r="G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" s="3" t="s">
        <v>138</v>
      </c>
      <c r="I42" s="3" t="s">
        <v>31</v>
      </c>
      <c r="J42" s="3" t="s">
        <v>89</v>
      </c>
      <c r="K42" s="3" t="s">
        <v>71</v>
      </c>
      <c r="L42" s="3" t="s">
        <v>72</v>
      </c>
      <c r="M42" s="4">
        <v>2.0</v>
      </c>
    </row>
    <row r="43">
      <c r="A43" s="2">
        <v>45300</v>
      </c>
      <c r="B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" s="3" t="str">
        <f>YEAR(KMART_DATA[[#This Row],[Date]])&amp;"-"&amp;TEXT(MONTH(KMART_DATA[[#This Row],[Date]]),"00")</f>
        <v>2024-01</v>
      </c>
      <c r="D43" s="3" t="s">
        <v>28</v>
      </c>
      <c r="E43" s="3" t="s">
        <v>139</v>
      </c>
      <c r="F43" s="3" t="s">
        <v>10</v>
      </c>
      <c r="G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" s="3" t="s">
        <v>140</v>
      </c>
      <c r="I43" s="3" t="s">
        <v>31</v>
      </c>
      <c r="J43" s="3" t="s">
        <v>89</v>
      </c>
      <c r="K43" s="3" t="s">
        <v>38</v>
      </c>
      <c r="L43" s="3" t="s">
        <v>39</v>
      </c>
      <c r="M43" s="4">
        <v>17.0</v>
      </c>
    </row>
    <row r="44">
      <c r="A44" s="2">
        <v>45300</v>
      </c>
      <c r="B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" s="3" t="str">
        <f>YEAR(KMART_DATA[[#This Row],[Date]])&amp;"-"&amp;TEXT(MONTH(KMART_DATA[[#This Row],[Date]]),"00")</f>
        <v>2024-01</v>
      </c>
      <c r="D44" s="3" t="s">
        <v>28</v>
      </c>
      <c r="E44" s="3" t="s">
        <v>105</v>
      </c>
      <c r="F44" s="3" t="s">
        <v>9</v>
      </c>
      <c r="G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" s="3" t="s">
        <v>106</v>
      </c>
      <c r="I44" s="3" t="s">
        <v>31</v>
      </c>
      <c r="J44" s="3" t="s">
        <v>107</v>
      </c>
      <c r="K44" s="3" t="s">
        <v>71</v>
      </c>
      <c r="L44" s="3" t="s">
        <v>72</v>
      </c>
      <c r="M44" s="4">
        <v>18.0</v>
      </c>
    </row>
    <row r="45">
      <c r="A45" s="2">
        <v>45300</v>
      </c>
      <c r="B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" s="3" t="str">
        <f>YEAR(KMART_DATA[[#This Row],[Date]])&amp;"-"&amp;TEXT(MONTH(KMART_DATA[[#This Row],[Date]]),"00")</f>
        <v>2024-01</v>
      </c>
      <c r="D45" s="3" t="s">
        <v>45</v>
      </c>
      <c r="E45" s="3" t="s">
        <v>141</v>
      </c>
      <c r="F45" s="3" t="s">
        <v>9</v>
      </c>
      <c r="G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5" s="3" t="s">
        <v>142</v>
      </c>
      <c r="I45" s="3" t="s">
        <v>31</v>
      </c>
      <c r="J45" s="3" t="s">
        <v>107</v>
      </c>
      <c r="K45" s="3" t="s">
        <v>71</v>
      </c>
      <c r="L45" s="3" t="s">
        <v>72</v>
      </c>
      <c r="M45" s="4">
        <v>376.58</v>
      </c>
    </row>
    <row r="46">
      <c r="A46" s="2">
        <v>45300</v>
      </c>
      <c r="B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" s="3" t="str">
        <f>YEAR(KMART_DATA[[#This Row],[Date]])&amp;"-"&amp;TEXT(MONTH(KMART_DATA[[#This Row],[Date]]),"00")</f>
        <v>2024-01</v>
      </c>
      <c r="D46" s="3" t="s">
        <v>28</v>
      </c>
      <c r="E46" s="3" t="s">
        <v>143</v>
      </c>
      <c r="F46" s="3" t="s">
        <v>14</v>
      </c>
      <c r="G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6" s="3" t="s">
        <v>144</v>
      </c>
      <c r="I46" s="3" t="s">
        <v>31</v>
      </c>
      <c r="J46" s="3" t="s">
        <v>145</v>
      </c>
      <c r="K46" s="3" t="s">
        <v>95</v>
      </c>
      <c r="L46" s="3" t="s">
        <v>96</v>
      </c>
      <c r="M46" s="4">
        <v>5444.25</v>
      </c>
    </row>
    <row r="47">
      <c r="A47" s="2">
        <v>45301</v>
      </c>
      <c r="B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" s="3" t="str">
        <f>YEAR(KMART_DATA[[#This Row],[Date]])&amp;"-"&amp;TEXT(MONTH(KMART_DATA[[#This Row],[Date]]),"00")</f>
        <v>2024-01</v>
      </c>
      <c r="D47" s="3" t="s">
        <v>28</v>
      </c>
      <c r="E47" s="3" t="s">
        <v>146</v>
      </c>
      <c r="F47" s="3" t="s">
        <v>9</v>
      </c>
      <c r="G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7" s="3" t="s">
        <v>147</v>
      </c>
      <c r="I47" s="3" t="s">
        <v>31</v>
      </c>
      <c r="J47" s="3" t="s">
        <v>75</v>
      </c>
      <c r="K47" s="3" t="s">
        <v>43</v>
      </c>
      <c r="L47" s="3" t="s">
        <v>44</v>
      </c>
      <c r="M47" s="4">
        <v>5.99</v>
      </c>
    </row>
    <row r="48">
      <c r="A48" s="2">
        <v>45301</v>
      </c>
      <c r="B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" s="3" t="str">
        <f>YEAR(KMART_DATA[[#This Row],[Date]])&amp;"-"&amp;TEXT(MONTH(KMART_DATA[[#This Row],[Date]]),"00")</f>
        <v>2024-01</v>
      </c>
      <c r="D48" s="3" t="s">
        <v>28</v>
      </c>
      <c r="E48" s="3" t="s">
        <v>148</v>
      </c>
      <c r="F48" s="3" t="s">
        <v>12</v>
      </c>
      <c r="G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8" s="3" t="s">
        <v>149</v>
      </c>
      <c r="I48" s="3" t="s">
        <v>31</v>
      </c>
      <c r="J48" s="3" t="s">
        <v>50</v>
      </c>
      <c r="K48" s="3" t="s">
        <v>33</v>
      </c>
      <c r="L48" s="3" t="s">
        <v>34</v>
      </c>
      <c r="M48" s="4">
        <v>34.91</v>
      </c>
    </row>
    <row r="49">
      <c r="A49" s="2">
        <v>45301</v>
      </c>
      <c r="B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" s="3" t="str">
        <f>YEAR(KMART_DATA[[#This Row],[Date]])&amp;"-"&amp;TEXT(MONTH(KMART_DATA[[#This Row],[Date]]),"00")</f>
        <v>2024-01</v>
      </c>
      <c r="D49" s="3" t="s">
        <v>28</v>
      </c>
      <c r="E49" s="3" t="s">
        <v>40</v>
      </c>
      <c r="F49" s="3" t="s">
        <v>13</v>
      </c>
      <c r="G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9" s="3" t="s">
        <v>41</v>
      </c>
      <c r="I49" s="3" t="s">
        <v>31</v>
      </c>
      <c r="J49" s="3" t="s">
        <v>42</v>
      </c>
      <c r="K49" s="3" t="s">
        <v>71</v>
      </c>
      <c r="L49" s="3" t="s">
        <v>72</v>
      </c>
      <c r="M49" s="4">
        <v>84.94</v>
      </c>
    </row>
    <row r="50">
      <c r="A50" s="2">
        <v>45301</v>
      </c>
      <c r="B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" s="3" t="str">
        <f>YEAR(KMART_DATA[[#This Row],[Date]])&amp;"-"&amp;TEXT(MONTH(KMART_DATA[[#This Row],[Date]]),"00")</f>
        <v>2024-01</v>
      </c>
      <c r="D50" s="3" t="s">
        <v>28</v>
      </c>
      <c r="E50" s="3" t="s">
        <v>150</v>
      </c>
      <c r="F50" s="3" t="s">
        <v>15</v>
      </c>
      <c r="G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50" s="3" t="s">
        <v>151</v>
      </c>
      <c r="I50" s="3" t="s">
        <v>31</v>
      </c>
      <c r="J50" s="3" t="s">
        <v>53</v>
      </c>
      <c r="K50" s="3" t="s">
        <v>43</v>
      </c>
      <c r="L50" s="3" t="s">
        <v>44</v>
      </c>
      <c r="M50" s="4">
        <v>158.78</v>
      </c>
    </row>
    <row r="51">
      <c r="A51" s="2">
        <v>45301</v>
      </c>
      <c r="B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" s="3" t="str">
        <f>YEAR(KMART_DATA[[#This Row],[Date]])&amp;"-"&amp;TEXT(MONTH(KMART_DATA[[#This Row],[Date]]),"00")</f>
        <v>2024-01</v>
      </c>
      <c r="D51" s="3" t="s">
        <v>28</v>
      </c>
      <c r="E51" s="3" t="s">
        <v>152</v>
      </c>
      <c r="F51" s="3" t="s">
        <v>11</v>
      </c>
      <c r="G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1" s="3" t="s">
        <v>153</v>
      </c>
      <c r="I51" s="3" t="s">
        <v>31</v>
      </c>
      <c r="J51" s="3" t="s">
        <v>61</v>
      </c>
      <c r="K51" s="3" t="s">
        <v>33</v>
      </c>
      <c r="L51" s="3" t="s">
        <v>34</v>
      </c>
      <c r="M51" s="4">
        <v>285.38</v>
      </c>
    </row>
    <row r="52">
      <c r="A52" s="2">
        <v>45301</v>
      </c>
      <c r="B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" s="3" t="str">
        <f>YEAR(KMART_DATA[[#This Row],[Date]])&amp;"-"&amp;TEXT(MONTH(KMART_DATA[[#This Row],[Date]]),"00")</f>
        <v>2024-01</v>
      </c>
      <c r="D52" s="3" t="s">
        <v>28</v>
      </c>
      <c r="E52" s="3" t="s">
        <v>154</v>
      </c>
      <c r="F52" s="3" t="s">
        <v>11</v>
      </c>
      <c r="G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2" s="3" t="s">
        <v>155</v>
      </c>
      <c r="I52" s="3" t="s">
        <v>31</v>
      </c>
      <c r="J52" s="3" t="s">
        <v>84</v>
      </c>
      <c r="K52" s="3" t="s">
        <v>38</v>
      </c>
      <c r="L52" s="3" t="s">
        <v>39</v>
      </c>
      <c r="M52" s="4">
        <v>341.41</v>
      </c>
    </row>
    <row r="53">
      <c r="A53" s="2">
        <v>45302</v>
      </c>
      <c r="B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" s="3" t="str">
        <f>YEAR(KMART_DATA[[#This Row],[Date]])&amp;"-"&amp;TEXT(MONTH(KMART_DATA[[#This Row],[Date]]),"00")</f>
        <v>2024-01</v>
      </c>
      <c r="D53" s="3" t="s">
        <v>28</v>
      </c>
      <c r="E53" s="3" t="s">
        <v>156</v>
      </c>
      <c r="F53" s="3" t="s">
        <v>9</v>
      </c>
      <c r="G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3" s="3" t="s">
        <v>157</v>
      </c>
      <c r="I53" s="3" t="s">
        <v>31</v>
      </c>
      <c r="J53" s="3" t="s">
        <v>75</v>
      </c>
      <c r="K53" s="3" t="s">
        <v>46</v>
      </c>
      <c r="L53" s="3" t="s">
        <v>47</v>
      </c>
      <c r="M53" s="4">
        <v>1.5</v>
      </c>
    </row>
    <row r="54">
      <c r="A54" s="2">
        <v>45302</v>
      </c>
      <c r="B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" s="3" t="str">
        <f>YEAR(KMART_DATA[[#This Row],[Date]])&amp;"-"&amp;TEXT(MONTH(KMART_DATA[[#This Row],[Date]]),"00")</f>
        <v>2024-01</v>
      </c>
      <c r="D54" s="3" t="s">
        <v>28</v>
      </c>
      <c r="E54" s="3" t="s">
        <v>158</v>
      </c>
      <c r="F54" s="3" t="s">
        <v>11</v>
      </c>
      <c r="G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4" s="3" t="s">
        <v>159</v>
      </c>
      <c r="I54" s="3" t="s">
        <v>31</v>
      </c>
      <c r="J54" s="3" t="s">
        <v>84</v>
      </c>
      <c r="K54" s="3" t="s">
        <v>33</v>
      </c>
      <c r="L54" s="3" t="s">
        <v>34</v>
      </c>
      <c r="M54" s="4">
        <v>39.96</v>
      </c>
    </row>
    <row r="55">
      <c r="A55" s="2">
        <v>45302</v>
      </c>
      <c r="B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" s="3" t="str">
        <f>YEAR(KMART_DATA[[#This Row],[Date]])&amp;"-"&amp;TEXT(MONTH(KMART_DATA[[#This Row],[Date]]),"00")</f>
        <v>2024-01</v>
      </c>
      <c r="D55" s="3" t="s">
        <v>28</v>
      </c>
      <c r="E55" s="3" t="s">
        <v>160</v>
      </c>
      <c r="F55" s="3" t="s">
        <v>12</v>
      </c>
      <c r="G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5" s="3" t="s">
        <v>161</v>
      </c>
      <c r="I55" s="3" t="s">
        <v>31</v>
      </c>
      <c r="J55" s="3" t="s">
        <v>162</v>
      </c>
      <c r="K55" s="3" t="s">
        <v>43</v>
      </c>
      <c r="L55" s="3" t="s">
        <v>44</v>
      </c>
      <c r="M55" s="4">
        <v>787.32</v>
      </c>
    </row>
    <row r="56">
      <c r="A56" s="2">
        <v>45303</v>
      </c>
      <c r="B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" s="3" t="str">
        <f>YEAR(KMART_DATA[[#This Row],[Date]])&amp;"-"&amp;TEXT(MONTH(KMART_DATA[[#This Row],[Date]]),"00")</f>
        <v>2024-01</v>
      </c>
      <c r="D56" s="3" t="s">
        <v>28</v>
      </c>
      <c r="E56" s="3" t="s">
        <v>163</v>
      </c>
      <c r="F56" s="3" t="s">
        <v>9</v>
      </c>
      <c r="G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6" s="3" t="s">
        <v>164</v>
      </c>
      <c r="I56" s="3" t="s">
        <v>31</v>
      </c>
      <c r="J56" s="3" t="s">
        <v>81</v>
      </c>
      <c r="K56" s="3" t="s">
        <v>43</v>
      </c>
      <c r="L56" s="3" t="s">
        <v>44</v>
      </c>
      <c r="M56" s="4">
        <v>2.6</v>
      </c>
    </row>
    <row r="57">
      <c r="A57" s="2">
        <v>45303</v>
      </c>
      <c r="B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" s="3" t="str">
        <f>YEAR(KMART_DATA[[#This Row],[Date]])&amp;"-"&amp;TEXT(MONTH(KMART_DATA[[#This Row],[Date]]),"00")</f>
        <v>2024-01</v>
      </c>
      <c r="D57" s="3" t="s">
        <v>28</v>
      </c>
      <c r="E57" s="3" t="s">
        <v>165</v>
      </c>
      <c r="F57" s="3" t="s">
        <v>9</v>
      </c>
      <c r="G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7" s="3" t="s">
        <v>166</v>
      </c>
      <c r="I57" s="3" t="s">
        <v>31</v>
      </c>
      <c r="J57" s="3" t="s">
        <v>99</v>
      </c>
      <c r="K57" s="3" t="s">
        <v>95</v>
      </c>
      <c r="L57" s="3" t="s">
        <v>96</v>
      </c>
      <c r="M57" s="4">
        <v>6.99</v>
      </c>
    </row>
    <row r="58">
      <c r="A58" s="2">
        <v>45303</v>
      </c>
      <c r="B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" s="3" t="str">
        <f>YEAR(KMART_DATA[[#This Row],[Date]])&amp;"-"&amp;TEXT(MONTH(KMART_DATA[[#This Row],[Date]]),"00")</f>
        <v>2024-01</v>
      </c>
      <c r="D58" s="3" t="s">
        <v>45</v>
      </c>
      <c r="E58" s="3" t="s">
        <v>110</v>
      </c>
      <c r="F58" s="3" t="s">
        <v>9</v>
      </c>
      <c r="G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8" s="3" t="s">
        <v>111</v>
      </c>
      <c r="I58" s="3" t="s">
        <v>31</v>
      </c>
      <c r="J58" s="3" t="s">
        <v>81</v>
      </c>
      <c r="K58" s="3" t="s">
        <v>123</v>
      </c>
      <c r="L58" s="3" t="s">
        <v>124</v>
      </c>
      <c r="M58" s="4">
        <v>18.89</v>
      </c>
    </row>
    <row r="59">
      <c r="A59" s="2">
        <v>45303</v>
      </c>
      <c r="B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" s="3" t="str">
        <f>YEAR(KMART_DATA[[#This Row],[Date]])&amp;"-"&amp;TEXT(MONTH(KMART_DATA[[#This Row],[Date]]),"00")</f>
        <v>2024-01</v>
      </c>
      <c r="D59" s="3" t="s">
        <v>45</v>
      </c>
      <c r="E59" s="3" t="s">
        <v>167</v>
      </c>
      <c r="F59" s="3" t="s">
        <v>12</v>
      </c>
      <c r="G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9" s="3" t="s">
        <v>168</v>
      </c>
      <c r="I59" s="3" t="s">
        <v>31</v>
      </c>
      <c r="J59" s="3" t="s">
        <v>102</v>
      </c>
      <c r="K59" s="3" t="s">
        <v>46</v>
      </c>
      <c r="L59" s="3" t="s">
        <v>47</v>
      </c>
      <c r="M59" s="4">
        <v>41.93</v>
      </c>
    </row>
    <row r="60">
      <c r="A60" s="2">
        <v>45303</v>
      </c>
      <c r="B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" s="3" t="str">
        <f>YEAR(KMART_DATA[[#This Row],[Date]])&amp;"-"&amp;TEXT(MONTH(KMART_DATA[[#This Row],[Date]]),"00")</f>
        <v>2024-01</v>
      </c>
      <c r="D60" s="3" t="s">
        <v>28</v>
      </c>
      <c r="E60" s="3" t="s">
        <v>169</v>
      </c>
      <c r="F60" s="3" t="s">
        <v>12</v>
      </c>
      <c r="G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0" s="3" t="s">
        <v>170</v>
      </c>
      <c r="I60" s="3" t="s">
        <v>31</v>
      </c>
      <c r="J60" s="3" t="s">
        <v>102</v>
      </c>
      <c r="K60" s="3" t="s">
        <v>57</v>
      </c>
      <c r="L60" s="3" t="s">
        <v>58</v>
      </c>
      <c r="M60" s="4">
        <v>65.89</v>
      </c>
    </row>
    <row r="61">
      <c r="A61" s="2">
        <v>45303</v>
      </c>
      <c r="B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" s="3" t="str">
        <f>YEAR(KMART_DATA[[#This Row],[Date]])&amp;"-"&amp;TEXT(MONTH(KMART_DATA[[#This Row],[Date]]),"00")</f>
        <v>2024-01</v>
      </c>
      <c r="D61" s="3" t="s">
        <v>45</v>
      </c>
      <c r="E61" s="3" t="s">
        <v>171</v>
      </c>
      <c r="F61" s="3" t="s">
        <v>10</v>
      </c>
      <c r="G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1" s="3" t="s">
        <v>172</v>
      </c>
      <c r="I61" s="3" t="s">
        <v>31</v>
      </c>
      <c r="J61" s="3" t="s">
        <v>37</v>
      </c>
      <c r="K61" s="3" t="s">
        <v>38</v>
      </c>
      <c r="L61" s="3" t="s">
        <v>39</v>
      </c>
      <c r="M61" s="4">
        <v>136.41</v>
      </c>
    </row>
    <row r="62">
      <c r="A62" s="2">
        <v>45303</v>
      </c>
      <c r="B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" s="3" t="str">
        <f>YEAR(KMART_DATA[[#This Row],[Date]])&amp;"-"&amp;TEXT(MONTH(KMART_DATA[[#This Row],[Date]]),"00")</f>
        <v>2024-01</v>
      </c>
      <c r="D62" s="3" t="s">
        <v>28</v>
      </c>
      <c r="E62" s="3" t="s">
        <v>173</v>
      </c>
      <c r="F62" s="3" t="s">
        <v>11</v>
      </c>
      <c r="G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2" s="3" t="s">
        <v>174</v>
      </c>
      <c r="I62" s="3" t="s">
        <v>31</v>
      </c>
      <c r="J62" s="3" t="s">
        <v>61</v>
      </c>
      <c r="K62" s="3" t="s">
        <v>33</v>
      </c>
      <c r="L62" s="3" t="s">
        <v>34</v>
      </c>
      <c r="M62" s="4">
        <v>261.73</v>
      </c>
    </row>
    <row r="63">
      <c r="A63" s="2">
        <v>45303</v>
      </c>
      <c r="B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" s="3" t="str">
        <f>YEAR(KMART_DATA[[#This Row],[Date]])&amp;"-"&amp;TEXT(MONTH(KMART_DATA[[#This Row],[Date]]),"00")</f>
        <v>2024-01</v>
      </c>
      <c r="D63" s="3" t="s">
        <v>28</v>
      </c>
      <c r="E63" s="3" t="s">
        <v>97</v>
      </c>
      <c r="F63" s="3" t="s">
        <v>9</v>
      </c>
      <c r="G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3" s="3" t="s">
        <v>98</v>
      </c>
      <c r="I63" s="3" t="s">
        <v>31</v>
      </c>
      <c r="J63" s="3" t="s">
        <v>99</v>
      </c>
      <c r="K63" s="3" t="s">
        <v>38</v>
      </c>
      <c r="L63" s="3" t="s">
        <v>39</v>
      </c>
      <c r="M63" s="4">
        <v>544.26</v>
      </c>
    </row>
    <row r="64">
      <c r="A64" s="2">
        <v>45304</v>
      </c>
      <c r="B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" s="3" t="str">
        <f>YEAR(KMART_DATA[[#This Row],[Date]])&amp;"-"&amp;TEXT(MONTH(KMART_DATA[[#This Row],[Date]]),"00")</f>
        <v>2024-01</v>
      </c>
      <c r="D64" s="3" t="s">
        <v>45</v>
      </c>
      <c r="E64" s="3" t="s">
        <v>68</v>
      </c>
      <c r="F64" s="3" t="s">
        <v>9</v>
      </c>
      <c r="G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4" s="3" t="s">
        <v>69</v>
      </c>
      <c r="I64" s="3" t="s">
        <v>31</v>
      </c>
      <c r="J64" s="3" t="s">
        <v>70</v>
      </c>
      <c r="K64" s="3" t="s">
        <v>112</v>
      </c>
      <c r="L64" s="3" t="s">
        <v>113</v>
      </c>
      <c r="M64" s="4">
        <v>129.74</v>
      </c>
    </row>
    <row r="65">
      <c r="A65" s="2">
        <v>45304</v>
      </c>
      <c r="B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" s="3" t="str">
        <f>YEAR(KMART_DATA[[#This Row],[Date]])&amp;"-"&amp;TEXT(MONTH(KMART_DATA[[#This Row],[Date]]),"00")</f>
        <v>2024-01</v>
      </c>
      <c r="D65" s="3" t="s">
        <v>28</v>
      </c>
      <c r="E65" s="3" t="s">
        <v>40</v>
      </c>
      <c r="F65" s="3" t="s">
        <v>13</v>
      </c>
      <c r="G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65" s="3" t="s">
        <v>41</v>
      </c>
      <c r="I65" s="3" t="s">
        <v>31</v>
      </c>
      <c r="J65" s="3" t="s">
        <v>42</v>
      </c>
      <c r="K65" s="3" t="s">
        <v>46</v>
      </c>
      <c r="L65" s="3" t="s">
        <v>47</v>
      </c>
      <c r="M65" s="4">
        <v>1347.3</v>
      </c>
    </row>
    <row r="66">
      <c r="A66" s="2">
        <v>45304</v>
      </c>
      <c r="B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" s="3" t="str">
        <f>YEAR(KMART_DATA[[#This Row],[Date]])&amp;"-"&amp;TEXT(MONTH(KMART_DATA[[#This Row],[Date]]),"00")</f>
        <v>2024-01</v>
      </c>
      <c r="D66" s="3" t="s">
        <v>28</v>
      </c>
      <c r="E66" s="3" t="s">
        <v>156</v>
      </c>
      <c r="F66" s="3" t="s">
        <v>9</v>
      </c>
      <c r="G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6" s="3" t="s">
        <v>157</v>
      </c>
      <c r="I66" s="3" t="s">
        <v>31</v>
      </c>
      <c r="J66" s="3" t="s">
        <v>75</v>
      </c>
      <c r="K66" s="3" t="s">
        <v>33</v>
      </c>
      <c r="L66" s="3" t="s">
        <v>34</v>
      </c>
      <c r="M66" s="4">
        <v>1890.17</v>
      </c>
    </row>
    <row r="67">
      <c r="A67" s="2">
        <v>45305</v>
      </c>
      <c r="B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" s="3" t="str">
        <f>YEAR(KMART_DATA[[#This Row],[Date]])&amp;"-"&amp;TEXT(MONTH(KMART_DATA[[#This Row],[Date]]),"00")</f>
        <v>2024-01</v>
      </c>
      <c r="D67" s="3" t="s">
        <v>28</v>
      </c>
      <c r="E67" s="3" t="s">
        <v>118</v>
      </c>
      <c r="F67" s="3" t="s">
        <v>10</v>
      </c>
      <c r="G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7" s="3" t="s">
        <v>119</v>
      </c>
      <c r="I67" s="3" t="s">
        <v>31</v>
      </c>
      <c r="J67" s="3" t="s">
        <v>120</v>
      </c>
      <c r="K67" s="3" t="s">
        <v>46</v>
      </c>
      <c r="L67" s="3" t="s">
        <v>47</v>
      </c>
      <c r="M67" s="4">
        <v>12.99</v>
      </c>
    </row>
    <row r="68">
      <c r="A68" s="2">
        <v>45305</v>
      </c>
      <c r="B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" s="3" t="str">
        <f>YEAR(KMART_DATA[[#This Row],[Date]])&amp;"-"&amp;TEXT(MONTH(KMART_DATA[[#This Row],[Date]]),"00")</f>
        <v>2024-01</v>
      </c>
      <c r="D68" s="3" t="s">
        <v>28</v>
      </c>
      <c r="E68" s="3" t="s">
        <v>92</v>
      </c>
      <c r="F68" s="3" t="s">
        <v>10</v>
      </c>
      <c r="G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8" s="3" t="s">
        <v>93</v>
      </c>
      <c r="I68" s="3" t="s">
        <v>31</v>
      </c>
      <c r="J68" s="3" t="s">
        <v>94</v>
      </c>
      <c r="K68" s="3" t="s">
        <v>112</v>
      </c>
      <c r="L68" s="3" t="s">
        <v>113</v>
      </c>
      <c r="M68" s="4">
        <v>17.94</v>
      </c>
    </row>
    <row r="69">
      <c r="A69" s="2">
        <v>45305</v>
      </c>
      <c r="B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" s="3" t="str">
        <f>YEAR(KMART_DATA[[#This Row],[Date]])&amp;"-"&amp;TEXT(MONTH(KMART_DATA[[#This Row],[Date]]),"00")</f>
        <v>2024-01</v>
      </c>
      <c r="D69" s="3" t="s">
        <v>28</v>
      </c>
      <c r="E69" s="3" t="s">
        <v>175</v>
      </c>
      <c r="F69" s="3" t="s">
        <v>16</v>
      </c>
      <c r="G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69" s="3" t="s">
        <v>176</v>
      </c>
      <c r="I69" s="3" t="s">
        <v>31</v>
      </c>
      <c r="J69" s="3" t="s">
        <v>107</v>
      </c>
      <c r="K69" s="3" t="s">
        <v>43</v>
      </c>
      <c r="L69" s="3" t="s">
        <v>44</v>
      </c>
      <c r="M69" s="4">
        <v>47.94</v>
      </c>
    </row>
    <row r="70">
      <c r="A70" s="2">
        <v>45305</v>
      </c>
      <c r="B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" s="3" t="str">
        <f>YEAR(KMART_DATA[[#This Row],[Date]])&amp;"-"&amp;TEXT(MONTH(KMART_DATA[[#This Row],[Date]]),"00")</f>
        <v>2024-01</v>
      </c>
      <c r="D70" s="3" t="s">
        <v>28</v>
      </c>
      <c r="E70" s="3" t="s">
        <v>40</v>
      </c>
      <c r="F70" s="3" t="s">
        <v>13</v>
      </c>
      <c r="G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70" s="3" t="s">
        <v>41</v>
      </c>
      <c r="I70" s="3" t="s">
        <v>31</v>
      </c>
      <c r="J70" s="3" t="s">
        <v>42</v>
      </c>
      <c r="K70" s="3" t="s">
        <v>57</v>
      </c>
      <c r="L70" s="3" t="s">
        <v>58</v>
      </c>
      <c r="M70" s="4">
        <v>155.74</v>
      </c>
    </row>
    <row r="71">
      <c r="A71" s="2">
        <v>45305</v>
      </c>
      <c r="B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" s="3" t="str">
        <f>YEAR(KMART_DATA[[#This Row],[Date]])&amp;"-"&amp;TEXT(MONTH(KMART_DATA[[#This Row],[Date]]),"00")</f>
        <v>2024-01</v>
      </c>
      <c r="D71" s="3" t="s">
        <v>28</v>
      </c>
      <c r="E71" s="3" t="s">
        <v>137</v>
      </c>
      <c r="F71" s="3" t="s">
        <v>10</v>
      </c>
      <c r="G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1" s="3" t="s">
        <v>138</v>
      </c>
      <c r="I71" s="3" t="s">
        <v>31</v>
      </c>
      <c r="J71" s="3" t="s">
        <v>89</v>
      </c>
      <c r="K71" s="3" t="s">
        <v>123</v>
      </c>
      <c r="L71" s="3" t="s">
        <v>124</v>
      </c>
      <c r="M71" s="4">
        <v>201.22</v>
      </c>
    </row>
    <row r="72">
      <c r="A72" s="2">
        <v>45305</v>
      </c>
      <c r="B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" s="3" t="str">
        <f>YEAR(KMART_DATA[[#This Row],[Date]])&amp;"-"&amp;TEXT(MONTH(KMART_DATA[[#This Row],[Date]]),"00")</f>
        <v>2024-01</v>
      </c>
      <c r="D72" s="3" t="s">
        <v>28</v>
      </c>
      <c r="E72" s="3" t="s">
        <v>173</v>
      </c>
      <c r="F72" s="3" t="s">
        <v>11</v>
      </c>
      <c r="G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2" s="3" t="s">
        <v>174</v>
      </c>
      <c r="I72" s="3" t="s">
        <v>31</v>
      </c>
      <c r="J72" s="3" t="s">
        <v>61</v>
      </c>
      <c r="K72" s="3" t="s">
        <v>71</v>
      </c>
      <c r="L72" s="3" t="s">
        <v>72</v>
      </c>
      <c r="M72" s="4">
        <v>425.47</v>
      </c>
    </row>
    <row r="73">
      <c r="A73" s="2">
        <v>45305</v>
      </c>
      <c r="B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" s="3" t="str">
        <f>YEAR(KMART_DATA[[#This Row],[Date]])&amp;"-"&amp;TEXT(MONTH(KMART_DATA[[#This Row],[Date]]),"00")</f>
        <v>2024-01</v>
      </c>
      <c r="D73" s="3" t="s">
        <v>45</v>
      </c>
      <c r="E73" s="3" t="s">
        <v>177</v>
      </c>
      <c r="F73" s="3" t="s">
        <v>12</v>
      </c>
      <c r="G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3" s="3" t="s">
        <v>178</v>
      </c>
      <c r="I73" s="3" t="s">
        <v>31</v>
      </c>
      <c r="J73" s="3" t="s">
        <v>162</v>
      </c>
      <c r="K73" s="3" t="s">
        <v>43</v>
      </c>
      <c r="L73" s="3" t="s">
        <v>44</v>
      </c>
      <c r="M73" s="4">
        <v>1111.06</v>
      </c>
    </row>
    <row r="74">
      <c r="A74" s="2">
        <v>45305</v>
      </c>
      <c r="B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" s="3" t="str">
        <f>YEAR(KMART_DATA[[#This Row],[Date]])&amp;"-"&amp;TEXT(MONTH(KMART_DATA[[#This Row],[Date]]),"00")</f>
        <v>2024-01</v>
      </c>
      <c r="D74" s="3" t="s">
        <v>28</v>
      </c>
      <c r="E74" s="3" t="s">
        <v>62</v>
      </c>
      <c r="F74" s="3" t="s">
        <v>12</v>
      </c>
      <c r="G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4" s="3" t="s">
        <v>63</v>
      </c>
      <c r="I74" s="3" t="s">
        <v>31</v>
      </c>
      <c r="J74" s="3" t="s">
        <v>50</v>
      </c>
      <c r="K74" s="3" t="s">
        <v>71</v>
      </c>
      <c r="L74" s="3" t="s">
        <v>72</v>
      </c>
      <c r="M74" s="4">
        <v>1188.68</v>
      </c>
    </row>
    <row r="75">
      <c r="A75" s="2">
        <v>45305</v>
      </c>
      <c r="B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" s="3" t="str">
        <f>YEAR(KMART_DATA[[#This Row],[Date]])&amp;"-"&amp;TEXT(MONTH(KMART_DATA[[#This Row],[Date]]),"00")</f>
        <v>2024-01</v>
      </c>
      <c r="D75" s="3" t="s">
        <v>45</v>
      </c>
      <c r="E75" s="3" t="s">
        <v>179</v>
      </c>
      <c r="F75" s="3" t="s">
        <v>9</v>
      </c>
      <c r="G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5" s="3" t="s">
        <v>180</v>
      </c>
      <c r="I75" s="3" t="s">
        <v>31</v>
      </c>
      <c r="J75" s="3" t="s">
        <v>99</v>
      </c>
      <c r="K75" s="3" t="s">
        <v>71</v>
      </c>
      <c r="L75" s="3" t="s">
        <v>72</v>
      </c>
      <c r="M75" s="4">
        <v>1685.24</v>
      </c>
    </row>
    <row r="76">
      <c r="A76" s="2">
        <v>45306</v>
      </c>
      <c r="B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" s="3" t="str">
        <f>YEAR(KMART_DATA[[#This Row],[Date]])&amp;"-"&amp;TEXT(MONTH(KMART_DATA[[#This Row],[Date]]),"00")</f>
        <v>2024-01</v>
      </c>
      <c r="D76" s="3" t="s">
        <v>45</v>
      </c>
      <c r="E76" s="3" t="s">
        <v>87</v>
      </c>
      <c r="F76" s="3" t="s">
        <v>10</v>
      </c>
      <c r="G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6" s="3" t="s">
        <v>88</v>
      </c>
      <c r="I76" s="3" t="s">
        <v>31</v>
      </c>
      <c r="J76" s="3" t="s">
        <v>89</v>
      </c>
      <c r="K76" s="3" t="s">
        <v>33</v>
      </c>
      <c r="L76" s="3" t="s">
        <v>34</v>
      </c>
      <c r="M76" s="4">
        <v>31.68</v>
      </c>
    </row>
    <row r="77">
      <c r="A77" s="2">
        <v>45306</v>
      </c>
      <c r="B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" s="3" t="str">
        <f>YEAR(KMART_DATA[[#This Row],[Date]])&amp;"-"&amp;TEXT(MONTH(KMART_DATA[[#This Row],[Date]]),"00")</f>
        <v>2024-01</v>
      </c>
      <c r="D77" s="3" t="s">
        <v>28</v>
      </c>
      <c r="E77" s="3" t="s">
        <v>79</v>
      </c>
      <c r="F77" s="3" t="s">
        <v>9</v>
      </c>
      <c r="G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7" s="3" t="s">
        <v>80</v>
      </c>
      <c r="I77" s="3" t="s">
        <v>31</v>
      </c>
      <c r="J77" s="3" t="s">
        <v>81</v>
      </c>
      <c r="K77" s="3" t="s">
        <v>112</v>
      </c>
      <c r="L77" s="3" t="s">
        <v>113</v>
      </c>
      <c r="M77" s="4">
        <v>44.91</v>
      </c>
    </row>
    <row r="78">
      <c r="A78" s="2">
        <v>45306</v>
      </c>
      <c r="B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" s="3" t="str">
        <f>YEAR(KMART_DATA[[#This Row],[Date]])&amp;"-"&amp;TEXT(MONTH(KMART_DATA[[#This Row],[Date]]),"00")</f>
        <v>2024-01</v>
      </c>
      <c r="D78" s="3" t="s">
        <v>45</v>
      </c>
      <c r="E78" s="3" t="s">
        <v>131</v>
      </c>
      <c r="F78" s="3" t="s">
        <v>11</v>
      </c>
      <c r="G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8" s="3" t="s">
        <v>132</v>
      </c>
      <c r="I78" s="3" t="s">
        <v>31</v>
      </c>
      <c r="J78" s="3" t="s">
        <v>32</v>
      </c>
      <c r="K78" s="3" t="s">
        <v>57</v>
      </c>
      <c r="L78" s="3" t="s">
        <v>58</v>
      </c>
      <c r="M78" s="4">
        <v>79.98</v>
      </c>
    </row>
    <row r="79">
      <c r="A79" s="2">
        <v>45306</v>
      </c>
      <c r="B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" s="3" t="str">
        <f>YEAR(KMART_DATA[[#This Row],[Date]])&amp;"-"&amp;TEXT(MONTH(KMART_DATA[[#This Row],[Date]]),"00")</f>
        <v>2024-01</v>
      </c>
      <c r="D79" s="3" t="s">
        <v>28</v>
      </c>
      <c r="E79" s="3" t="s">
        <v>158</v>
      </c>
      <c r="F79" s="3" t="s">
        <v>11</v>
      </c>
      <c r="G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9" s="3" t="s">
        <v>159</v>
      </c>
      <c r="I79" s="3" t="s">
        <v>31</v>
      </c>
      <c r="J79" s="3" t="s">
        <v>84</v>
      </c>
      <c r="K79" s="3" t="s">
        <v>43</v>
      </c>
      <c r="L79" s="3" t="s">
        <v>44</v>
      </c>
      <c r="M79" s="4">
        <v>96.53</v>
      </c>
    </row>
    <row r="80">
      <c r="A80" s="2">
        <v>45306</v>
      </c>
      <c r="B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" s="3" t="str">
        <f>YEAR(KMART_DATA[[#This Row],[Date]])&amp;"-"&amp;TEXT(MONTH(KMART_DATA[[#This Row],[Date]]),"00")</f>
        <v>2024-01</v>
      </c>
      <c r="D80" s="3" t="s">
        <v>45</v>
      </c>
      <c r="E80" s="3" t="s">
        <v>167</v>
      </c>
      <c r="F80" s="3" t="s">
        <v>12</v>
      </c>
      <c r="G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0" s="3" t="s">
        <v>168</v>
      </c>
      <c r="I80" s="3" t="s">
        <v>31</v>
      </c>
      <c r="J80" s="3" t="s">
        <v>102</v>
      </c>
      <c r="K80" s="3" t="s">
        <v>57</v>
      </c>
      <c r="L80" s="3" t="s">
        <v>58</v>
      </c>
      <c r="M80" s="4">
        <v>118.8</v>
      </c>
    </row>
    <row r="81">
      <c r="A81" s="2">
        <v>45306</v>
      </c>
      <c r="B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" s="3" t="str">
        <f>YEAR(KMART_DATA[[#This Row],[Date]])&amp;"-"&amp;TEXT(MONTH(KMART_DATA[[#This Row],[Date]]),"00")</f>
        <v>2024-01</v>
      </c>
      <c r="D81" s="3" t="s">
        <v>28</v>
      </c>
      <c r="E81" s="3" t="s">
        <v>62</v>
      </c>
      <c r="F81" s="3" t="s">
        <v>12</v>
      </c>
      <c r="G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1" s="3" t="s">
        <v>63</v>
      </c>
      <c r="I81" s="3" t="s">
        <v>31</v>
      </c>
      <c r="J81" s="3" t="s">
        <v>50</v>
      </c>
      <c r="K81" s="3" t="s">
        <v>57</v>
      </c>
      <c r="L81" s="3" t="s">
        <v>58</v>
      </c>
      <c r="M81" s="4">
        <v>119.36</v>
      </c>
    </row>
    <row r="82">
      <c r="A82" s="2">
        <v>45306</v>
      </c>
      <c r="B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" s="3" t="str">
        <f>YEAR(KMART_DATA[[#This Row],[Date]])&amp;"-"&amp;TEXT(MONTH(KMART_DATA[[#This Row],[Date]]),"00")</f>
        <v>2024-01</v>
      </c>
      <c r="D82" s="3" t="s">
        <v>28</v>
      </c>
      <c r="E82" s="3" t="s">
        <v>181</v>
      </c>
      <c r="F82" s="3" t="s">
        <v>11</v>
      </c>
      <c r="G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2" s="3" t="s">
        <v>182</v>
      </c>
      <c r="I82" s="3" t="s">
        <v>31</v>
      </c>
      <c r="J82" s="3" t="s">
        <v>56</v>
      </c>
      <c r="K82" s="3" t="s">
        <v>33</v>
      </c>
      <c r="L82" s="3" t="s">
        <v>34</v>
      </c>
      <c r="M82" s="4">
        <v>2104.53</v>
      </c>
    </row>
    <row r="83">
      <c r="A83" s="2">
        <v>45307</v>
      </c>
      <c r="B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" s="3" t="str">
        <f>YEAR(KMART_DATA[[#This Row],[Date]])&amp;"-"&amp;TEXT(MONTH(KMART_DATA[[#This Row],[Date]]),"00")</f>
        <v>2024-01</v>
      </c>
      <c r="D83" s="3" t="s">
        <v>45</v>
      </c>
      <c r="E83" s="3" t="s">
        <v>183</v>
      </c>
      <c r="F83" s="3" t="s">
        <v>9</v>
      </c>
      <c r="G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3" s="3" t="s">
        <v>184</v>
      </c>
      <c r="I83" s="3" t="s">
        <v>31</v>
      </c>
      <c r="J83" s="3" t="s">
        <v>70</v>
      </c>
      <c r="K83" s="3" t="s">
        <v>43</v>
      </c>
      <c r="L83" s="3" t="s">
        <v>44</v>
      </c>
      <c r="M83" s="4">
        <v>10.8</v>
      </c>
    </row>
    <row r="84">
      <c r="A84" s="2">
        <v>45307</v>
      </c>
      <c r="B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" s="3" t="str">
        <f>YEAR(KMART_DATA[[#This Row],[Date]])&amp;"-"&amp;TEXT(MONTH(KMART_DATA[[#This Row],[Date]]),"00")</f>
        <v>2024-01</v>
      </c>
      <c r="D84" s="3" t="s">
        <v>45</v>
      </c>
      <c r="E84" s="3" t="s">
        <v>185</v>
      </c>
      <c r="F84" s="3" t="s">
        <v>12</v>
      </c>
      <c r="G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4" s="3" t="s">
        <v>186</v>
      </c>
      <c r="I84" s="3" t="s">
        <v>31</v>
      </c>
      <c r="J84" s="3" t="s">
        <v>162</v>
      </c>
      <c r="K84" s="3" t="s">
        <v>46</v>
      </c>
      <c r="L84" s="3" t="s">
        <v>47</v>
      </c>
      <c r="M84" s="4">
        <v>104.93</v>
      </c>
    </row>
    <row r="85">
      <c r="A85" s="2">
        <v>45307</v>
      </c>
      <c r="B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" s="3" t="str">
        <f>YEAR(KMART_DATA[[#This Row],[Date]])&amp;"-"&amp;TEXT(MONTH(KMART_DATA[[#This Row],[Date]]),"00")</f>
        <v>2024-01</v>
      </c>
      <c r="D85" s="3" t="s">
        <v>45</v>
      </c>
      <c r="E85" s="3" t="s">
        <v>156</v>
      </c>
      <c r="F85" s="3" t="s">
        <v>9</v>
      </c>
      <c r="G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5" s="3" t="s">
        <v>157</v>
      </c>
      <c r="I85" s="3" t="s">
        <v>31</v>
      </c>
      <c r="J85" s="3" t="s">
        <v>75</v>
      </c>
      <c r="K85" s="3" t="s">
        <v>95</v>
      </c>
      <c r="L85" s="3" t="s">
        <v>96</v>
      </c>
      <c r="M85" s="4">
        <v>184.24</v>
      </c>
    </row>
    <row r="86">
      <c r="A86" s="2">
        <v>45307</v>
      </c>
      <c r="B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" s="3" t="str">
        <f>YEAR(KMART_DATA[[#This Row],[Date]])&amp;"-"&amp;TEXT(MONTH(KMART_DATA[[#This Row],[Date]]),"00")</f>
        <v>2024-01</v>
      </c>
      <c r="D86" s="3" t="s">
        <v>45</v>
      </c>
      <c r="E86" s="3" t="s">
        <v>156</v>
      </c>
      <c r="F86" s="3" t="s">
        <v>9</v>
      </c>
      <c r="G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6" s="3" t="s">
        <v>157</v>
      </c>
      <c r="I86" s="3" t="s">
        <v>31</v>
      </c>
      <c r="J86" s="3" t="s">
        <v>75</v>
      </c>
      <c r="K86" s="3" t="s">
        <v>66</v>
      </c>
      <c r="L86" s="3" t="s">
        <v>67</v>
      </c>
      <c r="M86" s="4">
        <v>184.62</v>
      </c>
    </row>
    <row r="87">
      <c r="A87" s="2">
        <v>45307</v>
      </c>
      <c r="B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" s="3" t="str">
        <f>YEAR(KMART_DATA[[#This Row],[Date]])&amp;"-"&amp;TEXT(MONTH(KMART_DATA[[#This Row],[Date]]),"00")</f>
        <v>2024-01</v>
      </c>
      <c r="D87" s="3" t="s">
        <v>28</v>
      </c>
      <c r="E87" s="3" t="s">
        <v>187</v>
      </c>
      <c r="F87" s="3" t="s">
        <v>11</v>
      </c>
      <c r="G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7" s="3" t="s">
        <v>188</v>
      </c>
      <c r="I87" s="3" t="s">
        <v>31</v>
      </c>
      <c r="J87" s="3" t="s">
        <v>78</v>
      </c>
      <c r="K87" s="3" t="s">
        <v>33</v>
      </c>
      <c r="L87" s="3" t="s">
        <v>34</v>
      </c>
      <c r="M87" s="4">
        <v>202.28</v>
      </c>
    </row>
    <row r="88">
      <c r="A88" s="2">
        <v>45308</v>
      </c>
      <c r="B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" s="3" t="str">
        <f>YEAR(KMART_DATA[[#This Row],[Date]])&amp;"-"&amp;TEXT(MONTH(KMART_DATA[[#This Row],[Date]]),"00")</f>
        <v>2024-01</v>
      </c>
      <c r="D88" s="3" t="s">
        <v>45</v>
      </c>
      <c r="E88" s="3" t="s">
        <v>103</v>
      </c>
      <c r="F88" s="3" t="s">
        <v>12</v>
      </c>
      <c r="G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8" s="3" t="s">
        <v>104</v>
      </c>
      <c r="I88" s="3" t="s">
        <v>31</v>
      </c>
      <c r="J88" s="3" t="s">
        <v>102</v>
      </c>
      <c r="K88" s="3" t="s">
        <v>43</v>
      </c>
      <c r="L88" s="3" t="s">
        <v>44</v>
      </c>
      <c r="M88" s="4">
        <v>35.97</v>
      </c>
    </row>
    <row r="89">
      <c r="A89" s="2">
        <v>45308</v>
      </c>
      <c r="B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" s="3" t="str">
        <f>YEAR(KMART_DATA[[#This Row],[Date]])&amp;"-"&amp;TEXT(MONTH(KMART_DATA[[#This Row],[Date]]),"00")</f>
        <v>2024-01</v>
      </c>
      <c r="D89" s="3" t="s">
        <v>28</v>
      </c>
      <c r="E89" s="3" t="s">
        <v>100</v>
      </c>
      <c r="F89" s="3" t="s">
        <v>12</v>
      </c>
      <c r="G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9" s="3" t="s">
        <v>101</v>
      </c>
      <c r="I89" s="3" t="s">
        <v>31</v>
      </c>
      <c r="J89" s="3" t="s">
        <v>102</v>
      </c>
      <c r="K89" s="3" t="s">
        <v>95</v>
      </c>
      <c r="L89" s="3" t="s">
        <v>96</v>
      </c>
      <c r="M89" s="4">
        <v>127.28</v>
      </c>
    </row>
    <row r="90">
      <c r="A90" s="2">
        <v>45308</v>
      </c>
      <c r="B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" s="3" t="str">
        <f>YEAR(KMART_DATA[[#This Row],[Date]])&amp;"-"&amp;TEXT(MONTH(KMART_DATA[[#This Row],[Date]]),"00")</f>
        <v>2024-01</v>
      </c>
      <c r="D90" s="3" t="s">
        <v>28</v>
      </c>
      <c r="E90" s="3" t="s">
        <v>139</v>
      </c>
      <c r="F90" s="3" t="s">
        <v>10</v>
      </c>
      <c r="G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0" s="3" t="s">
        <v>140</v>
      </c>
      <c r="I90" s="3" t="s">
        <v>31</v>
      </c>
      <c r="J90" s="3" t="s">
        <v>89</v>
      </c>
      <c r="K90" s="3" t="s">
        <v>43</v>
      </c>
      <c r="L90" s="3" t="s">
        <v>44</v>
      </c>
      <c r="M90" s="4">
        <v>726.38</v>
      </c>
    </row>
    <row r="91">
      <c r="A91" s="2">
        <v>45309</v>
      </c>
      <c r="B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" s="3" t="str">
        <f>YEAR(KMART_DATA[[#This Row],[Date]])&amp;"-"&amp;TEXT(MONTH(KMART_DATA[[#This Row],[Date]]),"00")</f>
        <v>2024-01</v>
      </c>
      <c r="D91" s="3" t="s">
        <v>28</v>
      </c>
      <c r="E91" s="3" t="s">
        <v>85</v>
      </c>
      <c r="F91" s="3" t="s">
        <v>9</v>
      </c>
      <c r="G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1" s="3" t="s">
        <v>86</v>
      </c>
      <c r="I91" s="3" t="s">
        <v>31</v>
      </c>
      <c r="J91" s="3" t="s">
        <v>81</v>
      </c>
      <c r="K91" s="3" t="s">
        <v>43</v>
      </c>
      <c r="L91" s="3" t="s">
        <v>44</v>
      </c>
      <c r="M91" s="4">
        <v>3.0</v>
      </c>
    </row>
    <row r="92">
      <c r="A92" s="2">
        <v>45309</v>
      </c>
      <c r="B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" s="3" t="str">
        <f>YEAR(KMART_DATA[[#This Row],[Date]])&amp;"-"&amp;TEXT(MONTH(KMART_DATA[[#This Row],[Date]]),"00")</f>
        <v>2024-01</v>
      </c>
      <c r="D92" s="3" t="s">
        <v>45</v>
      </c>
      <c r="E92" s="3" t="s">
        <v>105</v>
      </c>
      <c r="F92" s="3" t="s">
        <v>9</v>
      </c>
      <c r="G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2" s="3" t="s">
        <v>106</v>
      </c>
      <c r="I92" s="3" t="s">
        <v>31</v>
      </c>
      <c r="J92" s="3" t="s">
        <v>107</v>
      </c>
      <c r="K92" s="3" t="s">
        <v>38</v>
      </c>
      <c r="L92" s="3" t="s">
        <v>39</v>
      </c>
      <c r="M92" s="4">
        <v>10.0</v>
      </c>
    </row>
    <row r="93">
      <c r="A93" s="2">
        <v>45309</v>
      </c>
      <c r="B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" s="3" t="str">
        <f>YEAR(KMART_DATA[[#This Row],[Date]])&amp;"-"&amp;TEXT(MONTH(KMART_DATA[[#This Row],[Date]]),"00")</f>
        <v>2024-01</v>
      </c>
      <c r="D93" s="3" t="s">
        <v>28</v>
      </c>
      <c r="E93" s="3" t="s">
        <v>156</v>
      </c>
      <c r="F93" s="3" t="s">
        <v>9</v>
      </c>
      <c r="G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3" s="3" t="s">
        <v>157</v>
      </c>
      <c r="I93" s="3" t="s">
        <v>31</v>
      </c>
      <c r="J93" s="3" t="s">
        <v>75</v>
      </c>
      <c r="K93" s="3" t="s">
        <v>38</v>
      </c>
      <c r="L93" s="3" t="s">
        <v>39</v>
      </c>
      <c r="M93" s="4">
        <v>13.0</v>
      </c>
    </row>
    <row r="94">
      <c r="A94" s="2">
        <v>45309</v>
      </c>
      <c r="B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" s="3" t="str">
        <f>YEAR(KMART_DATA[[#This Row],[Date]])&amp;"-"&amp;TEXT(MONTH(KMART_DATA[[#This Row],[Date]]),"00")</f>
        <v>2024-01</v>
      </c>
      <c r="D94" s="3" t="s">
        <v>28</v>
      </c>
      <c r="E94" s="3" t="s">
        <v>189</v>
      </c>
      <c r="F94" s="3" t="s">
        <v>9</v>
      </c>
      <c r="G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4" s="3" t="s">
        <v>190</v>
      </c>
      <c r="I94" s="3" t="s">
        <v>31</v>
      </c>
      <c r="J94" s="3" t="s">
        <v>81</v>
      </c>
      <c r="K94" s="3" t="s">
        <v>46</v>
      </c>
      <c r="L94" s="3" t="s">
        <v>47</v>
      </c>
      <c r="M94" s="4">
        <v>142.89</v>
      </c>
    </row>
    <row r="95">
      <c r="A95" s="2">
        <v>45309</v>
      </c>
      <c r="B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" s="3" t="str">
        <f>YEAR(KMART_DATA[[#This Row],[Date]])&amp;"-"&amp;TEXT(MONTH(KMART_DATA[[#This Row],[Date]]),"00")</f>
        <v>2024-01</v>
      </c>
      <c r="D95" s="3" t="s">
        <v>28</v>
      </c>
      <c r="E95" s="3" t="s">
        <v>48</v>
      </c>
      <c r="F95" s="3" t="s">
        <v>12</v>
      </c>
      <c r="G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5" s="3" t="s">
        <v>49</v>
      </c>
      <c r="I95" s="3" t="s">
        <v>31</v>
      </c>
      <c r="J95" s="3" t="s">
        <v>50</v>
      </c>
      <c r="K95" s="3" t="s">
        <v>71</v>
      </c>
      <c r="L95" s="3" t="s">
        <v>72</v>
      </c>
      <c r="M95" s="4">
        <v>220.83</v>
      </c>
    </row>
    <row r="96">
      <c r="A96" s="2">
        <v>45309</v>
      </c>
      <c r="B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" s="3" t="str">
        <f>YEAR(KMART_DATA[[#This Row],[Date]])&amp;"-"&amp;TEXT(MONTH(KMART_DATA[[#This Row],[Date]]),"00")</f>
        <v>2024-01</v>
      </c>
      <c r="D96" s="3" t="s">
        <v>28</v>
      </c>
      <c r="E96" s="3" t="s">
        <v>139</v>
      </c>
      <c r="F96" s="3" t="s">
        <v>10</v>
      </c>
      <c r="G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6" s="3" t="s">
        <v>140</v>
      </c>
      <c r="I96" s="3" t="s">
        <v>31</v>
      </c>
      <c r="J96" s="3" t="s">
        <v>89</v>
      </c>
      <c r="K96" s="3" t="s">
        <v>123</v>
      </c>
      <c r="L96" s="3" t="s">
        <v>124</v>
      </c>
      <c r="M96" s="4">
        <v>1131.73</v>
      </c>
    </row>
    <row r="97">
      <c r="A97" s="2">
        <v>45309</v>
      </c>
      <c r="B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" s="3" t="str">
        <f>YEAR(KMART_DATA[[#This Row],[Date]])&amp;"-"&amp;TEXT(MONTH(KMART_DATA[[#This Row],[Date]]),"00")</f>
        <v>2024-01</v>
      </c>
      <c r="D97" s="3" t="s">
        <v>28</v>
      </c>
      <c r="E97" s="3" t="s">
        <v>139</v>
      </c>
      <c r="F97" s="3" t="s">
        <v>10</v>
      </c>
      <c r="G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7" s="3" t="s">
        <v>140</v>
      </c>
      <c r="I97" s="3" t="s">
        <v>31</v>
      </c>
      <c r="J97" s="3" t="s">
        <v>89</v>
      </c>
      <c r="K97" s="3" t="s">
        <v>66</v>
      </c>
      <c r="L97" s="3" t="s">
        <v>67</v>
      </c>
      <c r="M97" s="4">
        <v>2690.33</v>
      </c>
    </row>
    <row r="98">
      <c r="A98" s="2">
        <v>45309</v>
      </c>
      <c r="B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" s="3" t="str">
        <f>YEAR(KMART_DATA[[#This Row],[Date]])&amp;"-"&amp;TEXT(MONTH(KMART_DATA[[#This Row],[Date]]),"00")</f>
        <v>2024-01</v>
      </c>
      <c r="D98" s="3" t="s">
        <v>28</v>
      </c>
      <c r="E98" s="3" t="s">
        <v>181</v>
      </c>
      <c r="F98" s="3" t="s">
        <v>11</v>
      </c>
      <c r="G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8" s="3" t="s">
        <v>182</v>
      </c>
      <c r="I98" s="3" t="s">
        <v>31</v>
      </c>
      <c r="J98" s="3" t="s">
        <v>56</v>
      </c>
      <c r="K98" s="3" t="s">
        <v>95</v>
      </c>
      <c r="L98" s="3" t="s">
        <v>96</v>
      </c>
      <c r="M98" s="4">
        <v>6393.69</v>
      </c>
    </row>
    <row r="99">
      <c r="A99" s="2">
        <v>45310</v>
      </c>
      <c r="B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" s="3" t="str">
        <f>YEAR(KMART_DATA[[#This Row],[Date]])&amp;"-"&amp;TEXT(MONTH(KMART_DATA[[#This Row],[Date]]),"00")</f>
        <v>2024-01</v>
      </c>
      <c r="D99" s="3" t="s">
        <v>28</v>
      </c>
      <c r="E99" s="3" t="s">
        <v>191</v>
      </c>
      <c r="F99" s="3" t="s">
        <v>10</v>
      </c>
      <c r="G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9" s="3" t="s">
        <v>192</v>
      </c>
      <c r="I99" s="3" t="s">
        <v>31</v>
      </c>
      <c r="J99" s="3" t="s">
        <v>120</v>
      </c>
      <c r="K99" s="3" t="s">
        <v>43</v>
      </c>
      <c r="L99" s="3" t="s">
        <v>44</v>
      </c>
      <c r="M99" s="4">
        <v>4.5</v>
      </c>
    </row>
    <row r="100">
      <c r="A100" s="2">
        <v>45310</v>
      </c>
      <c r="B1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" s="3" t="str">
        <f>YEAR(KMART_DATA[[#This Row],[Date]])&amp;"-"&amp;TEXT(MONTH(KMART_DATA[[#This Row],[Date]]),"00")</f>
        <v>2024-01</v>
      </c>
      <c r="D100" s="3" t="s">
        <v>28</v>
      </c>
      <c r="E100" s="3" t="s">
        <v>129</v>
      </c>
      <c r="F100" s="3" t="s">
        <v>10</v>
      </c>
      <c r="G1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0" s="3" t="s">
        <v>130</v>
      </c>
      <c r="I100" s="3" t="s">
        <v>31</v>
      </c>
      <c r="J100" s="3" t="s">
        <v>120</v>
      </c>
      <c r="K100" s="3" t="s">
        <v>38</v>
      </c>
      <c r="L100" s="3" t="s">
        <v>39</v>
      </c>
      <c r="M100" s="4">
        <v>27.0</v>
      </c>
    </row>
    <row r="101">
      <c r="A101" s="2">
        <v>45310</v>
      </c>
      <c r="B1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" s="3" t="str">
        <f>YEAR(KMART_DATA[[#This Row],[Date]])&amp;"-"&amp;TEXT(MONTH(KMART_DATA[[#This Row],[Date]]),"00")</f>
        <v>2024-01</v>
      </c>
      <c r="D101" s="3" t="s">
        <v>28</v>
      </c>
      <c r="E101" s="3" t="s">
        <v>193</v>
      </c>
      <c r="F101" s="3" t="s">
        <v>9</v>
      </c>
      <c r="G1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1" s="3" t="s">
        <v>194</v>
      </c>
      <c r="I101" s="3" t="s">
        <v>31</v>
      </c>
      <c r="J101" s="3" t="s">
        <v>99</v>
      </c>
      <c r="K101" s="3" t="s">
        <v>123</v>
      </c>
      <c r="L101" s="3" t="s">
        <v>124</v>
      </c>
      <c r="M101" s="4">
        <v>393.64</v>
      </c>
    </row>
    <row r="102">
      <c r="A102" s="2">
        <v>45310</v>
      </c>
      <c r="B1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" s="3" t="str">
        <f>YEAR(KMART_DATA[[#This Row],[Date]])&amp;"-"&amp;TEXT(MONTH(KMART_DATA[[#This Row],[Date]]),"00")</f>
        <v>2024-01</v>
      </c>
      <c r="D102" s="3" t="s">
        <v>28</v>
      </c>
      <c r="E102" s="3" t="s">
        <v>195</v>
      </c>
      <c r="F102" s="3" t="s">
        <v>11</v>
      </c>
      <c r="G1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2" s="3" t="s">
        <v>196</v>
      </c>
      <c r="I102" s="3" t="s">
        <v>31</v>
      </c>
      <c r="J102" s="3" t="s">
        <v>32</v>
      </c>
      <c r="K102" s="3" t="s">
        <v>57</v>
      </c>
      <c r="L102" s="3" t="s">
        <v>58</v>
      </c>
      <c r="M102" s="4">
        <v>827.26</v>
      </c>
    </row>
    <row r="103">
      <c r="A103" s="2">
        <v>45310</v>
      </c>
      <c r="B1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" s="3" t="str">
        <f>YEAR(KMART_DATA[[#This Row],[Date]])&amp;"-"&amp;TEXT(MONTH(KMART_DATA[[#This Row],[Date]]),"00")</f>
        <v>2024-01</v>
      </c>
      <c r="D103" s="3" t="s">
        <v>45</v>
      </c>
      <c r="E103" s="3" t="s">
        <v>189</v>
      </c>
      <c r="F103" s="3" t="s">
        <v>9</v>
      </c>
      <c r="G1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3" s="3" t="s">
        <v>190</v>
      </c>
      <c r="I103" s="3" t="s">
        <v>31</v>
      </c>
      <c r="J103" s="3" t="s">
        <v>81</v>
      </c>
      <c r="K103" s="3" t="s">
        <v>95</v>
      </c>
      <c r="L103" s="3" t="s">
        <v>96</v>
      </c>
      <c r="M103" s="4">
        <v>1198.2</v>
      </c>
    </row>
    <row r="104">
      <c r="A104" s="2">
        <v>45310</v>
      </c>
      <c r="B1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" s="3" t="str">
        <f>YEAR(KMART_DATA[[#This Row],[Date]])&amp;"-"&amp;TEXT(MONTH(KMART_DATA[[#This Row],[Date]]),"00")</f>
        <v>2024-01</v>
      </c>
      <c r="D104" s="3" t="s">
        <v>45</v>
      </c>
      <c r="E104" s="3" t="s">
        <v>90</v>
      </c>
      <c r="F104" s="3" t="s">
        <v>10</v>
      </c>
      <c r="G1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4" s="3" t="s">
        <v>91</v>
      </c>
      <c r="I104" s="3" t="s">
        <v>31</v>
      </c>
      <c r="J104" s="3" t="s">
        <v>37</v>
      </c>
      <c r="K104" s="3" t="s">
        <v>46</v>
      </c>
      <c r="L104" s="3" t="s">
        <v>47</v>
      </c>
      <c r="M104" s="4">
        <v>2043.55</v>
      </c>
    </row>
    <row r="105">
      <c r="A105" s="2">
        <v>45310</v>
      </c>
      <c r="B1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" s="3" t="str">
        <f>YEAR(KMART_DATA[[#This Row],[Date]])&amp;"-"&amp;TEXT(MONTH(KMART_DATA[[#This Row],[Date]]),"00")</f>
        <v>2024-01</v>
      </c>
      <c r="D105" s="3" t="s">
        <v>28</v>
      </c>
      <c r="E105" s="3" t="s">
        <v>114</v>
      </c>
      <c r="F105" s="3" t="s">
        <v>9</v>
      </c>
      <c r="G1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5" s="3" t="s">
        <v>115</v>
      </c>
      <c r="I105" s="3" t="s">
        <v>31</v>
      </c>
      <c r="J105" s="3" t="s">
        <v>99</v>
      </c>
      <c r="K105" s="3" t="s">
        <v>57</v>
      </c>
      <c r="L105" s="3" t="s">
        <v>58</v>
      </c>
      <c r="M105" s="4">
        <v>5722.39</v>
      </c>
    </row>
    <row r="106">
      <c r="A106" s="2">
        <v>45311</v>
      </c>
      <c r="B1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" s="3" t="str">
        <f>YEAR(KMART_DATA[[#This Row],[Date]])&amp;"-"&amp;TEXT(MONTH(KMART_DATA[[#This Row],[Date]]),"00")</f>
        <v>2024-01</v>
      </c>
      <c r="D106" s="3" t="s">
        <v>28</v>
      </c>
      <c r="E106" s="3" t="s">
        <v>133</v>
      </c>
      <c r="F106" s="3" t="s">
        <v>10</v>
      </c>
      <c r="G1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6" s="3" t="s">
        <v>134</v>
      </c>
      <c r="I106" s="3" t="s">
        <v>31</v>
      </c>
      <c r="J106" s="3" t="s">
        <v>37</v>
      </c>
      <c r="K106" s="3" t="s">
        <v>112</v>
      </c>
      <c r="L106" s="3" t="s">
        <v>113</v>
      </c>
      <c r="M106" s="4">
        <v>17.97</v>
      </c>
    </row>
    <row r="107">
      <c r="A107" s="2">
        <v>45311</v>
      </c>
      <c r="B1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" s="3" t="str">
        <f>YEAR(KMART_DATA[[#This Row],[Date]])&amp;"-"&amp;TEXT(MONTH(KMART_DATA[[#This Row],[Date]]),"00")</f>
        <v>2024-01</v>
      </c>
      <c r="D107" s="3" t="s">
        <v>28</v>
      </c>
      <c r="E107" s="3" t="s">
        <v>197</v>
      </c>
      <c r="F107" s="3" t="s">
        <v>9</v>
      </c>
      <c r="G1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7" s="3" t="s">
        <v>198</v>
      </c>
      <c r="I107" s="3" t="s">
        <v>31</v>
      </c>
      <c r="J107" s="3" t="s">
        <v>107</v>
      </c>
      <c r="K107" s="3" t="s">
        <v>46</v>
      </c>
      <c r="L107" s="3" t="s">
        <v>47</v>
      </c>
      <c r="M107" s="4">
        <v>22.25</v>
      </c>
    </row>
    <row r="108">
      <c r="A108" s="2">
        <v>45311</v>
      </c>
      <c r="B1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" s="3" t="str">
        <f>YEAR(KMART_DATA[[#This Row],[Date]])&amp;"-"&amp;TEXT(MONTH(KMART_DATA[[#This Row],[Date]]),"00")</f>
        <v>2024-01</v>
      </c>
      <c r="D108" s="3" t="s">
        <v>28</v>
      </c>
      <c r="E108" s="3" t="s">
        <v>175</v>
      </c>
      <c r="F108" s="3" t="s">
        <v>16</v>
      </c>
      <c r="G1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08" s="3" t="s">
        <v>176</v>
      </c>
      <c r="I108" s="3" t="s">
        <v>31</v>
      </c>
      <c r="J108" s="3" t="s">
        <v>107</v>
      </c>
      <c r="K108" s="3" t="s">
        <v>123</v>
      </c>
      <c r="L108" s="3" t="s">
        <v>124</v>
      </c>
      <c r="M108" s="4">
        <v>1340.78</v>
      </c>
    </row>
    <row r="109">
      <c r="A109" s="2">
        <v>45311</v>
      </c>
      <c r="B1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" s="3" t="str">
        <f>YEAR(KMART_DATA[[#This Row],[Date]])&amp;"-"&amp;TEXT(MONTH(KMART_DATA[[#This Row],[Date]]),"00")</f>
        <v>2024-01</v>
      </c>
      <c r="D109" s="3" t="s">
        <v>28</v>
      </c>
      <c r="E109" s="3" t="s">
        <v>171</v>
      </c>
      <c r="F109" s="3" t="s">
        <v>10</v>
      </c>
      <c r="G1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9" s="3" t="s">
        <v>172</v>
      </c>
      <c r="I109" s="3" t="s">
        <v>31</v>
      </c>
      <c r="J109" s="3" t="s">
        <v>37</v>
      </c>
      <c r="K109" s="3" t="s">
        <v>46</v>
      </c>
      <c r="L109" s="3" t="s">
        <v>47</v>
      </c>
      <c r="M109" s="4">
        <v>1927.96</v>
      </c>
    </row>
    <row r="110">
      <c r="A110" s="2">
        <v>45311</v>
      </c>
      <c r="B1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" s="3" t="str">
        <f>YEAR(KMART_DATA[[#This Row],[Date]])&amp;"-"&amp;TEXT(MONTH(KMART_DATA[[#This Row],[Date]]),"00")</f>
        <v>2024-01</v>
      </c>
      <c r="D110" s="3" t="s">
        <v>28</v>
      </c>
      <c r="E110" s="3" t="s">
        <v>90</v>
      </c>
      <c r="F110" s="3" t="s">
        <v>10</v>
      </c>
      <c r="G1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0" s="3" t="s">
        <v>91</v>
      </c>
      <c r="I110" s="3" t="s">
        <v>31</v>
      </c>
      <c r="J110" s="3" t="s">
        <v>37</v>
      </c>
      <c r="K110" s="3" t="s">
        <v>95</v>
      </c>
      <c r="L110" s="3" t="s">
        <v>96</v>
      </c>
      <c r="M110" s="4">
        <v>8030.14</v>
      </c>
    </row>
    <row r="111">
      <c r="A111" s="2">
        <v>45312</v>
      </c>
      <c r="B1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" s="3" t="str">
        <f>YEAR(KMART_DATA[[#This Row],[Date]])&amp;"-"&amp;TEXT(MONTH(KMART_DATA[[#This Row],[Date]]),"00")</f>
        <v>2024-01</v>
      </c>
      <c r="D111" s="3" t="s">
        <v>28</v>
      </c>
      <c r="E111" s="3" t="s">
        <v>199</v>
      </c>
      <c r="F111" s="3" t="s">
        <v>13</v>
      </c>
      <c r="G1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1" s="3" t="s">
        <v>200</v>
      </c>
      <c r="I111" s="3" t="s">
        <v>31</v>
      </c>
      <c r="J111" s="3" t="s">
        <v>42</v>
      </c>
      <c r="K111" s="3" t="s">
        <v>123</v>
      </c>
      <c r="L111" s="3" t="s">
        <v>124</v>
      </c>
      <c r="M111" s="4">
        <v>7.99</v>
      </c>
    </row>
    <row r="112">
      <c r="A112" s="2">
        <v>45312</v>
      </c>
      <c r="B1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" s="3" t="str">
        <f>YEAR(KMART_DATA[[#This Row],[Date]])&amp;"-"&amp;TEXT(MONTH(KMART_DATA[[#This Row],[Date]]),"00")</f>
        <v>2024-01</v>
      </c>
      <c r="D112" s="3" t="s">
        <v>28</v>
      </c>
      <c r="E112" s="3" t="s">
        <v>92</v>
      </c>
      <c r="F112" s="3" t="s">
        <v>10</v>
      </c>
      <c r="G1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2" s="3" t="s">
        <v>93</v>
      </c>
      <c r="I112" s="3" t="s">
        <v>31</v>
      </c>
      <c r="J112" s="3" t="s">
        <v>94</v>
      </c>
      <c r="K112" s="3" t="s">
        <v>38</v>
      </c>
      <c r="L112" s="3" t="s">
        <v>39</v>
      </c>
      <c r="M112" s="4">
        <v>38.48</v>
      </c>
    </row>
    <row r="113">
      <c r="A113" s="2">
        <v>45312</v>
      </c>
      <c r="B1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" s="3" t="str">
        <f>YEAR(KMART_DATA[[#This Row],[Date]])&amp;"-"&amp;TEXT(MONTH(KMART_DATA[[#This Row],[Date]]),"00")</f>
        <v>2024-01</v>
      </c>
      <c r="D113" s="3" t="s">
        <v>45</v>
      </c>
      <c r="E113" s="3" t="s">
        <v>201</v>
      </c>
      <c r="F113" s="3" t="s">
        <v>10</v>
      </c>
      <c r="G1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3" s="3" t="s">
        <v>202</v>
      </c>
      <c r="I113" s="3" t="s">
        <v>31</v>
      </c>
      <c r="J113" s="3" t="s">
        <v>89</v>
      </c>
      <c r="K113" s="3" t="s">
        <v>123</v>
      </c>
      <c r="L113" s="3" t="s">
        <v>124</v>
      </c>
      <c r="M113" s="4">
        <v>44.97</v>
      </c>
    </row>
    <row r="114">
      <c r="A114" s="2">
        <v>45312</v>
      </c>
      <c r="B1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" s="3" t="str">
        <f>YEAR(KMART_DATA[[#This Row],[Date]])&amp;"-"&amp;TEXT(MONTH(KMART_DATA[[#This Row],[Date]]),"00")</f>
        <v>2024-01</v>
      </c>
      <c r="D114" s="3" t="s">
        <v>28</v>
      </c>
      <c r="E114" s="3" t="s">
        <v>73</v>
      </c>
      <c r="F114" s="3" t="s">
        <v>9</v>
      </c>
      <c r="G1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4" s="3" t="s">
        <v>74</v>
      </c>
      <c r="I114" s="3" t="s">
        <v>31</v>
      </c>
      <c r="J114" s="3" t="s">
        <v>75</v>
      </c>
      <c r="K114" s="3" t="s">
        <v>112</v>
      </c>
      <c r="L114" s="3" t="s">
        <v>113</v>
      </c>
      <c r="M114" s="4">
        <v>66.65</v>
      </c>
    </row>
    <row r="115">
      <c r="A115" s="2">
        <v>45312</v>
      </c>
      <c r="B1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" s="3" t="str">
        <f>YEAR(KMART_DATA[[#This Row],[Date]])&amp;"-"&amp;TEXT(MONTH(KMART_DATA[[#This Row],[Date]]),"00")</f>
        <v>2024-01</v>
      </c>
      <c r="D115" s="3" t="s">
        <v>28</v>
      </c>
      <c r="E115" s="3" t="s">
        <v>82</v>
      </c>
      <c r="F115" s="3" t="s">
        <v>11</v>
      </c>
      <c r="G1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5" s="3" t="s">
        <v>83</v>
      </c>
      <c r="I115" s="3" t="s">
        <v>31</v>
      </c>
      <c r="J115" s="3" t="s">
        <v>84</v>
      </c>
      <c r="K115" s="3" t="s">
        <v>95</v>
      </c>
      <c r="L115" s="3" t="s">
        <v>96</v>
      </c>
      <c r="M115" s="4">
        <v>87.78</v>
      </c>
    </row>
    <row r="116">
      <c r="A116" s="2">
        <v>45312</v>
      </c>
      <c r="B1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6" s="3" t="str">
        <f>YEAR(KMART_DATA[[#This Row],[Date]])&amp;"-"&amp;TEXT(MONTH(KMART_DATA[[#This Row],[Date]]),"00")</f>
        <v>2024-01</v>
      </c>
      <c r="D116" s="3" t="s">
        <v>45</v>
      </c>
      <c r="E116" s="3" t="s">
        <v>135</v>
      </c>
      <c r="F116" s="3" t="s">
        <v>16</v>
      </c>
      <c r="G1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16" s="3" t="s">
        <v>136</v>
      </c>
      <c r="I116" s="3" t="s">
        <v>31</v>
      </c>
      <c r="J116" s="3" t="s">
        <v>107</v>
      </c>
      <c r="K116" s="3" t="s">
        <v>46</v>
      </c>
      <c r="L116" s="3" t="s">
        <v>47</v>
      </c>
      <c r="M116" s="4">
        <v>297.62</v>
      </c>
    </row>
    <row r="117">
      <c r="A117" s="2">
        <v>45312</v>
      </c>
      <c r="B1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7" s="3" t="str">
        <f>YEAR(KMART_DATA[[#This Row],[Date]])&amp;"-"&amp;TEXT(MONTH(KMART_DATA[[#This Row],[Date]]),"00")</f>
        <v>2024-01</v>
      </c>
      <c r="D117" s="3" t="s">
        <v>28</v>
      </c>
      <c r="E117" s="3" t="s">
        <v>179</v>
      </c>
      <c r="F117" s="3" t="s">
        <v>9</v>
      </c>
      <c r="G1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7" s="3" t="s">
        <v>180</v>
      </c>
      <c r="I117" s="3" t="s">
        <v>31</v>
      </c>
      <c r="J117" s="3" t="s">
        <v>99</v>
      </c>
      <c r="K117" s="3" t="s">
        <v>46</v>
      </c>
      <c r="L117" s="3" t="s">
        <v>47</v>
      </c>
      <c r="M117" s="4">
        <v>435.29</v>
      </c>
    </row>
    <row r="118">
      <c r="A118" s="2">
        <v>45312</v>
      </c>
      <c r="B1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8" s="3" t="str">
        <f>YEAR(KMART_DATA[[#This Row],[Date]])&amp;"-"&amp;TEXT(MONTH(KMART_DATA[[#This Row],[Date]]),"00")</f>
        <v>2024-01</v>
      </c>
      <c r="D118" s="3" t="s">
        <v>28</v>
      </c>
      <c r="E118" s="3" t="s">
        <v>187</v>
      </c>
      <c r="F118" s="3" t="s">
        <v>11</v>
      </c>
      <c r="G1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8" s="3" t="s">
        <v>188</v>
      </c>
      <c r="I118" s="3" t="s">
        <v>31</v>
      </c>
      <c r="J118" s="3" t="s">
        <v>78</v>
      </c>
      <c r="K118" s="3" t="s">
        <v>95</v>
      </c>
      <c r="L118" s="3" t="s">
        <v>96</v>
      </c>
      <c r="M118" s="4">
        <v>983.55</v>
      </c>
    </row>
    <row r="119">
      <c r="A119" s="2">
        <v>45313</v>
      </c>
      <c r="B1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9" s="3" t="str">
        <f>YEAR(KMART_DATA[[#This Row],[Date]])&amp;"-"&amp;TEXT(MONTH(KMART_DATA[[#This Row],[Date]]),"00")</f>
        <v>2024-01</v>
      </c>
      <c r="D119" s="3" t="s">
        <v>28</v>
      </c>
      <c r="E119" s="3" t="s">
        <v>193</v>
      </c>
      <c r="F119" s="3" t="s">
        <v>9</v>
      </c>
      <c r="G1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9" s="3" t="s">
        <v>194</v>
      </c>
      <c r="I119" s="3" t="s">
        <v>31</v>
      </c>
      <c r="J119" s="3" t="s">
        <v>99</v>
      </c>
      <c r="K119" s="3" t="s">
        <v>112</v>
      </c>
      <c r="L119" s="3" t="s">
        <v>113</v>
      </c>
      <c r="M119" s="4">
        <v>3.99</v>
      </c>
    </row>
    <row r="120">
      <c r="A120" s="2">
        <v>45313</v>
      </c>
      <c r="B1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0" s="3" t="str">
        <f>YEAR(KMART_DATA[[#This Row],[Date]])&amp;"-"&amp;TEXT(MONTH(KMART_DATA[[#This Row],[Date]]),"00")</f>
        <v>2024-01</v>
      </c>
      <c r="D120" s="3" t="s">
        <v>28</v>
      </c>
      <c r="E120" s="3" t="s">
        <v>62</v>
      </c>
      <c r="F120" s="3" t="s">
        <v>12</v>
      </c>
      <c r="G1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0" s="3" t="s">
        <v>63</v>
      </c>
      <c r="I120" s="3" t="s">
        <v>31</v>
      </c>
      <c r="J120" s="3" t="s">
        <v>50</v>
      </c>
      <c r="K120" s="3" t="s">
        <v>66</v>
      </c>
      <c r="L120" s="3" t="s">
        <v>67</v>
      </c>
      <c r="M120" s="4">
        <v>47.64</v>
      </c>
    </row>
    <row r="121">
      <c r="A121" s="2">
        <v>45313</v>
      </c>
      <c r="B1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1" s="3" t="str">
        <f>YEAR(KMART_DATA[[#This Row],[Date]])&amp;"-"&amp;TEXT(MONTH(KMART_DATA[[#This Row],[Date]]),"00")</f>
        <v>2024-01</v>
      </c>
      <c r="D121" s="3" t="s">
        <v>28</v>
      </c>
      <c r="E121" s="3" t="s">
        <v>154</v>
      </c>
      <c r="F121" s="3" t="s">
        <v>11</v>
      </c>
      <c r="G1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1" s="3" t="s">
        <v>155</v>
      </c>
      <c r="I121" s="3" t="s">
        <v>31</v>
      </c>
      <c r="J121" s="3" t="s">
        <v>84</v>
      </c>
      <c r="K121" s="3" t="s">
        <v>95</v>
      </c>
      <c r="L121" s="3" t="s">
        <v>96</v>
      </c>
      <c r="M121" s="4">
        <v>74.88</v>
      </c>
    </row>
    <row r="122">
      <c r="A122" s="2">
        <v>45313</v>
      </c>
      <c r="B1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2" s="3" t="str">
        <f>YEAR(KMART_DATA[[#This Row],[Date]])&amp;"-"&amp;TEXT(MONTH(KMART_DATA[[#This Row],[Date]]),"00")</f>
        <v>2024-01</v>
      </c>
      <c r="D122" s="3" t="s">
        <v>28</v>
      </c>
      <c r="E122" s="3" t="s">
        <v>203</v>
      </c>
      <c r="F122" s="3" t="s">
        <v>10</v>
      </c>
      <c r="G1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2" s="3" t="s">
        <v>204</v>
      </c>
      <c r="I122" s="3" t="s">
        <v>31</v>
      </c>
      <c r="J122" s="3" t="s">
        <v>89</v>
      </c>
      <c r="K122" s="3" t="s">
        <v>95</v>
      </c>
      <c r="L122" s="3" t="s">
        <v>96</v>
      </c>
      <c r="M122" s="4">
        <v>88.92</v>
      </c>
    </row>
    <row r="123">
      <c r="A123" s="2">
        <v>45313</v>
      </c>
      <c r="B1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3" s="3" t="str">
        <f>YEAR(KMART_DATA[[#This Row],[Date]])&amp;"-"&amp;TEXT(MONTH(KMART_DATA[[#This Row],[Date]]),"00")</f>
        <v>2024-01</v>
      </c>
      <c r="D123" s="3" t="s">
        <v>28</v>
      </c>
      <c r="E123" s="3" t="s">
        <v>135</v>
      </c>
      <c r="F123" s="3" t="s">
        <v>16</v>
      </c>
      <c r="G1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23" s="3" t="s">
        <v>136</v>
      </c>
      <c r="I123" s="3" t="s">
        <v>31</v>
      </c>
      <c r="J123" s="3" t="s">
        <v>107</v>
      </c>
      <c r="K123" s="3" t="s">
        <v>38</v>
      </c>
      <c r="L123" s="3" t="s">
        <v>39</v>
      </c>
      <c r="M123" s="4">
        <v>332.75</v>
      </c>
    </row>
    <row r="124">
      <c r="A124" s="2">
        <v>45314</v>
      </c>
      <c r="B1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4" s="3" t="str">
        <f>YEAR(KMART_DATA[[#This Row],[Date]])&amp;"-"&amp;TEXT(MONTH(KMART_DATA[[#This Row],[Date]]),"00")</f>
        <v>2024-01</v>
      </c>
      <c r="D124" s="3" t="s">
        <v>45</v>
      </c>
      <c r="E124" s="3" t="s">
        <v>133</v>
      </c>
      <c r="F124" s="3" t="s">
        <v>10</v>
      </c>
      <c r="G1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4" s="3" t="s">
        <v>134</v>
      </c>
      <c r="I124" s="3" t="s">
        <v>31</v>
      </c>
      <c r="J124" s="3" t="s">
        <v>37</v>
      </c>
      <c r="K124" s="3" t="s">
        <v>123</v>
      </c>
      <c r="L124" s="3" t="s">
        <v>124</v>
      </c>
      <c r="M124" s="4">
        <v>122.63</v>
      </c>
    </row>
    <row r="125">
      <c r="A125" s="2">
        <v>45314</v>
      </c>
      <c r="B1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5" s="3" t="str">
        <f>YEAR(KMART_DATA[[#This Row],[Date]])&amp;"-"&amp;TEXT(MONTH(KMART_DATA[[#This Row],[Date]]),"00")</f>
        <v>2024-01</v>
      </c>
      <c r="D125" s="3" t="s">
        <v>45</v>
      </c>
      <c r="E125" s="3" t="s">
        <v>205</v>
      </c>
      <c r="F125" s="3" t="s">
        <v>10</v>
      </c>
      <c r="G1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5" s="3" t="s">
        <v>206</v>
      </c>
      <c r="I125" s="3" t="s">
        <v>31</v>
      </c>
      <c r="J125" s="3" t="s">
        <v>37</v>
      </c>
      <c r="K125" s="3" t="s">
        <v>43</v>
      </c>
      <c r="L125" s="3" t="s">
        <v>44</v>
      </c>
      <c r="M125" s="4">
        <v>147.89</v>
      </c>
    </row>
    <row r="126">
      <c r="A126" s="2">
        <v>45314</v>
      </c>
      <c r="B1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6" s="3" t="str">
        <f>YEAR(KMART_DATA[[#This Row],[Date]])&amp;"-"&amp;TEXT(MONTH(KMART_DATA[[#This Row],[Date]]),"00")</f>
        <v>2024-01</v>
      </c>
      <c r="D126" s="3" t="s">
        <v>28</v>
      </c>
      <c r="E126" s="3" t="s">
        <v>183</v>
      </c>
      <c r="F126" s="3" t="s">
        <v>9</v>
      </c>
      <c r="G1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6" s="3" t="s">
        <v>184</v>
      </c>
      <c r="I126" s="3" t="s">
        <v>31</v>
      </c>
      <c r="J126" s="3" t="s">
        <v>70</v>
      </c>
      <c r="K126" s="3" t="s">
        <v>43</v>
      </c>
      <c r="L126" s="3" t="s">
        <v>44</v>
      </c>
      <c r="M126" s="4">
        <v>428.18</v>
      </c>
    </row>
    <row r="127">
      <c r="A127" s="2">
        <v>45315</v>
      </c>
      <c r="B1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7" s="3" t="str">
        <f>YEAR(KMART_DATA[[#This Row],[Date]])&amp;"-"&amp;TEXT(MONTH(KMART_DATA[[#This Row],[Date]]),"00")</f>
        <v>2024-01</v>
      </c>
      <c r="D127" s="3" t="s">
        <v>28</v>
      </c>
      <c r="E127" s="3" t="s">
        <v>207</v>
      </c>
      <c r="F127" s="3" t="s">
        <v>11</v>
      </c>
      <c r="G1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7" s="3" t="s">
        <v>208</v>
      </c>
      <c r="I127" s="3" t="s">
        <v>31</v>
      </c>
      <c r="J127" s="3" t="s">
        <v>78</v>
      </c>
      <c r="K127" s="3" t="s">
        <v>33</v>
      </c>
      <c r="L127" s="3" t="s">
        <v>34</v>
      </c>
      <c r="M127" s="4">
        <v>3.0</v>
      </c>
    </row>
    <row r="128">
      <c r="A128" s="2">
        <v>45315</v>
      </c>
      <c r="B1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8" s="3" t="str">
        <f>YEAR(KMART_DATA[[#This Row],[Date]])&amp;"-"&amp;TEXT(MONTH(KMART_DATA[[#This Row],[Date]]),"00")</f>
        <v>2024-01</v>
      </c>
      <c r="D128" s="3" t="s">
        <v>28</v>
      </c>
      <c r="E128" s="3" t="s">
        <v>110</v>
      </c>
      <c r="F128" s="3" t="s">
        <v>9</v>
      </c>
      <c r="G1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8" s="3" t="s">
        <v>111</v>
      </c>
      <c r="I128" s="3" t="s">
        <v>31</v>
      </c>
      <c r="J128" s="3" t="s">
        <v>81</v>
      </c>
      <c r="K128" s="3" t="s">
        <v>43</v>
      </c>
      <c r="L128" s="3" t="s">
        <v>44</v>
      </c>
      <c r="M128" s="4">
        <v>16.5</v>
      </c>
    </row>
    <row r="129">
      <c r="A129" s="2">
        <v>45315</v>
      </c>
      <c r="B1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29" s="3" t="str">
        <f>YEAR(KMART_DATA[[#This Row],[Date]])&amp;"-"&amp;TEXT(MONTH(KMART_DATA[[#This Row],[Date]]),"00")</f>
        <v>2024-01</v>
      </c>
      <c r="D129" s="3" t="s">
        <v>28</v>
      </c>
      <c r="E129" s="3" t="s">
        <v>90</v>
      </c>
      <c r="F129" s="3" t="s">
        <v>10</v>
      </c>
      <c r="G1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9" s="3" t="s">
        <v>91</v>
      </c>
      <c r="I129" s="3" t="s">
        <v>31</v>
      </c>
      <c r="J129" s="3" t="s">
        <v>37</v>
      </c>
      <c r="K129" s="3" t="s">
        <v>123</v>
      </c>
      <c r="L129" s="3" t="s">
        <v>124</v>
      </c>
      <c r="M129" s="4">
        <v>38.13</v>
      </c>
    </row>
    <row r="130">
      <c r="A130" s="2">
        <v>45315</v>
      </c>
      <c r="B1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0" s="3" t="str">
        <f>YEAR(KMART_DATA[[#This Row],[Date]])&amp;"-"&amp;TEXT(MONTH(KMART_DATA[[#This Row],[Date]]),"00")</f>
        <v>2024-01</v>
      </c>
      <c r="D130" s="3" t="s">
        <v>45</v>
      </c>
      <c r="E130" s="3" t="s">
        <v>203</v>
      </c>
      <c r="F130" s="3" t="s">
        <v>10</v>
      </c>
      <c r="G1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0" s="3" t="s">
        <v>204</v>
      </c>
      <c r="I130" s="3" t="s">
        <v>31</v>
      </c>
      <c r="J130" s="3" t="s">
        <v>89</v>
      </c>
      <c r="K130" s="3" t="s">
        <v>33</v>
      </c>
      <c r="L130" s="3" t="s">
        <v>34</v>
      </c>
      <c r="M130" s="4">
        <v>81.81</v>
      </c>
    </row>
    <row r="131">
      <c r="A131" s="2">
        <v>45315</v>
      </c>
      <c r="B1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1" s="3" t="str">
        <f>YEAR(KMART_DATA[[#This Row],[Date]])&amp;"-"&amp;TEXT(MONTH(KMART_DATA[[#This Row],[Date]]),"00")</f>
        <v>2024-01</v>
      </c>
      <c r="D131" s="3" t="s">
        <v>28</v>
      </c>
      <c r="E131" s="3" t="s">
        <v>209</v>
      </c>
      <c r="F131" s="3" t="s">
        <v>9</v>
      </c>
      <c r="G1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1" s="3" t="s">
        <v>210</v>
      </c>
      <c r="I131" s="3" t="s">
        <v>31</v>
      </c>
      <c r="J131" s="3" t="s">
        <v>81</v>
      </c>
      <c r="K131" s="3" t="s">
        <v>71</v>
      </c>
      <c r="L131" s="3" t="s">
        <v>72</v>
      </c>
      <c r="M131" s="4">
        <v>181.11</v>
      </c>
    </row>
    <row r="132">
      <c r="A132" s="2">
        <v>45315</v>
      </c>
      <c r="B1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2" s="3" t="str">
        <f>YEAR(KMART_DATA[[#This Row],[Date]])&amp;"-"&amp;TEXT(MONTH(KMART_DATA[[#This Row],[Date]]),"00")</f>
        <v>2024-01</v>
      </c>
      <c r="D132" s="3" t="s">
        <v>45</v>
      </c>
      <c r="E132" s="3" t="s">
        <v>173</v>
      </c>
      <c r="F132" s="3" t="s">
        <v>11</v>
      </c>
      <c r="G1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2" s="3" t="s">
        <v>174</v>
      </c>
      <c r="I132" s="3" t="s">
        <v>31</v>
      </c>
      <c r="J132" s="3" t="s">
        <v>61</v>
      </c>
      <c r="K132" s="3" t="s">
        <v>33</v>
      </c>
      <c r="L132" s="3" t="s">
        <v>34</v>
      </c>
      <c r="M132" s="4">
        <v>238.1</v>
      </c>
    </row>
    <row r="133">
      <c r="A133" s="2">
        <v>45316</v>
      </c>
      <c r="B1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3" s="3" t="str">
        <f>YEAR(KMART_DATA[[#This Row],[Date]])&amp;"-"&amp;TEXT(MONTH(KMART_DATA[[#This Row],[Date]]),"00")</f>
        <v>2024-01</v>
      </c>
      <c r="D133" s="3" t="s">
        <v>28</v>
      </c>
      <c r="E133" s="3" t="s">
        <v>110</v>
      </c>
      <c r="F133" s="3" t="s">
        <v>9</v>
      </c>
      <c r="G1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3" s="3" t="s">
        <v>111</v>
      </c>
      <c r="I133" s="3" t="s">
        <v>31</v>
      </c>
      <c r="J133" s="3" t="s">
        <v>81</v>
      </c>
      <c r="K133" s="3" t="s">
        <v>112</v>
      </c>
      <c r="L133" s="3" t="s">
        <v>113</v>
      </c>
      <c r="M133" s="4">
        <v>2.45</v>
      </c>
    </row>
    <row r="134">
      <c r="A134" s="2">
        <v>45316</v>
      </c>
      <c r="B1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4" s="3" t="str">
        <f>YEAR(KMART_DATA[[#This Row],[Date]])&amp;"-"&amp;TEXT(MONTH(KMART_DATA[[#This Row],[Date]]),"00")</f>
        <v>2024-01</v>
      </c>
      <c r="D134" s="3" t="s">
        <v>45</v>
      </c>
      <c r="E134" s="3" t="s">
        <v>211</v>
      </c>
      <c r="F134" s="3" t="s">
        <v>9</v>
      </c>
      <c r="G1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4" s="3" t="s">
        <v>212</v>
      </c>
      <c r="I134" s="3" t="s">
        <v>31</v>
      </c>
      <c r="J134" s="3" t="s">
        <v>75</v>
      </c>
      <c r="K134" s="3" t="s">
        <v>43</v>
      </c>
      <c r="L134" s="3" t="s">
        <v>44</v>
      </c>
      <c r="M134" s="4">
        <v>3.5</v>
      </c>
    </row>
    <row r="135">
      <c r="A135" s="2">
        <v>45316</v>
      </c>
      <c r="B1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5" s="3" t="str">
        <f>YEAR(KMART_DATA[[#This Row],[Date]])&amp;"-"&amp;TEXT(MONTH(KMART_DATA[[#This Row],[Date]]),"00")</f>
        <v>2024-01</v>
      </c>
      <c r="D135" s="3" t="s">
        <v>28</v>
      </c>
      <c r="E135" s="3" t="s">
        <v>171</v>
      </c>
      <c r="F135" s="3" t="s">
        <v>10</v>
      </c>
      <c r="G1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5" s="3" t="s">
        <v>172</v>
      </c>
      <c r="I135" s="3" t="s">
        <v>31</v>
      </c>
      <c r="J135" s="3" t="s">
        <v>37</v>
      </c>
      <c r="K135" s="3" t="s">
        <v>38</v>
      </c>
      <c r="L135" s="3" t="s">
        <v>39</v>
      </c>
      <c r="M135" s="4">
        <v>35.88</v>
      </c>
    </row>
    <row r="136">
      <c r="A136" s="2">
        <v>45316</v>
      </c>
      <c r="B1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6" s="3" t="str">
        <f>YEAR(KMART_DATA[[#This Row],[Date]])&amp;"-"&amp;TEXT(MONTH(KMART_DATA[[#This Row],[Date]]),"00")</f>
        <v>2024-01</v>
      </c>
      <c r="D136" s="3" t="s">
        <v>28</v>
      </c>
      <c r="E136" s="3" t="s">
        <v>160</v>
      </c>
      <c r="F136" s="3" t="s">
        <v>12</v>
      </c>
      <c r="G1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6" s="3" t="s">
        <v>161</v>
      </c>
      <c r="I136" s="3" t="s">
        <v>31</v>
      </c>
      <c r="J136" s="3" t="s">
        <v>162</v>
      </c>
      <c r="K136" s="3" t="s">
        <v>33</v>
      </c>
      <c r="L136" s="3" t="s">
        <v>34</v>
      </c>
      <c r="M136" s="4">
        <v>54.13</v>
      </c>
    </row>
    <row r="137">
      <c r="A137" s="2">
        <v>45316</v>
      </c>
      <c r="B1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7" s="3" t="str">
        <f>YEAR(KMART_DATA[[#This Row],[Date]])&amp;"-"&amp;TEXT(MONTH(KMART_DATA[[#This Row],[Date]]),"00")</f>
        <v>2024-01</v>
      </c>
      <c r="D137" s="3" t="s">
        <v>28</v>
      </c>
      <c r="E137" s="3" t="s">
        <v>100</v>
      </c>
      <c r="F137" s="3" t="s">
        <v>12</v>
      </c>
      <c r="G1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7" s="3" t="s">
        <v>101</v>
      </c>
      <c r="I137" s="3" t="s">
        <v>31</v>
      </c>
      <c r="J137" s="3" t="s">
        <v>102</v>
      </c>
      <c r="K137" s="3" t="s">
        <v>71</v>
      </c>
      <c r="L137" s="3" t="s">
        <v>72</v>
      </c>
      <c r="M137" s="4">
        <v>83.93</v>
      </c>
    </row>
    <row r="138">
      <c r="A138" s="2">
        <v>45316</v>
      </c>
      <c r="B1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8" s="3" t="str">
        <f>YEAR(KMART_DATA[[#This Row],[Date]])&amp;"-"&amp;TEXT(MONTH(KMART_DATA[[#This Row],[Date]]),"00")</f>
        <v>2024-01</v>
      </c>
      <c r="D138" s="3" t="s">
        <v>45</v>
      </c>
      <c r="E138" s="3" t="s">
        <v>62</v>
      </c>
      <c r="F138" s="3" t="s">
        <v>12</v>
      </c>
      <c r="G1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8" s="3" t="s">
        <v>63</v>
      </c>
      <c r="I138" s="3" t="s">
        <v>31</v>
      </c>
      <c r="J138" s="3" t="s">
        <v>50</v>
      </c>
      <c r="K138" s="3" t="s">
        <v>71</v>
      </c>
      <c r="L138" s="3" t="s">
        <v>72</v>
      </c>
      <c r="M138" s="4">
        <v>485.51</v>
      </c>
    </row>
    <row r="139">
      <c r="A139" s="2">
        <v>45316</v>
      </c>
      <c r="B1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39" s="3" t="str">
        <f>YEAR(KMART_DATA[[#This Row],[Date]])&amp;"-"&amp;TEXT(MONTH(KMART_DATA[[#This Row],[Date]]),"00")</f>
        <v>2024-01</v>
      </c>
      <c r="D139" s="3" t="s">
        <v>28</v>
      </c>
      <c r="E139" s="3" t="s">
        <v>195</v>
      </c>
      <c r="F139" s="3" t="s">
        <v>11</v>
      </c>
      <c r="G1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9" s="3" t="s">
        <v>196</v>
      </c>
      <c r="I139" s="3" t="s">
        <v>31</v>
      </c>
      <c r="J139" s="3" t="s">
        <v>32</v>
      </c>
      <c r="K139" s="3" t="s">
        <v>46</v>
      </c>
      <c r="L139" s="3" t="s">
        <v>47</v>
      </c>
      <c r="M139" s="4">
        <v>912.27</v>
      </c>
    </row>
    <row r="140">
      <c r="A140" s="2">
        <v>45316</v>
      </c>
      <c r="B1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0" s="3" t="str">
        <f>YEAR(KMART_DATA[[#This Row],[Date]])&amp;"-"&amp;TEXT(MONTH(KMART_DATA[[#This Row],[Date]]),"00")</f>
        <v>2024-01</v>
      </c>
      <c r="D140" s="3" t="s">
        <v>28</v>
      </c>
      <c r="E140" s="3" t="s">
        <v>160</v>
      </c>
      <c r="F140" s="3" t="s">
        <v>12</v>
      </c>
      <c r="G1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0" s="3" t="s">
        <v>161</v>
      </c>
      <c r="I140" s="3" t="s">
        <v>31</v>
      </c>
      <c r="J140" s="3" t="s">
        <v>162</v>
      </c>
      <c r="K140" s="3" t="s">
        <v>57</v>
      </c>
      <c r="L140" s="3" t="s">
        <v>58</v>
      </c>
      <c r="M140" s="4">
        <v>3893.05</v>
      </c>
    </row>
    <row r="141">
      <c r="A141" s="2">
        <v>45317</v>
      </c>
      <c r="B1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1" s="3" t="str">
        <f>YEAR(KMART_DATA[[#This Row],[Date]])&amp;"-"&amp;TEXT(MONTH(KMART_DATA[[#This Row],[Date]]),"00")</f>
        <v>2024-01</v>
      </c>
      <c r="D141" s="3" t="s">
        <v>28</v>
      </c>
      <c r="E141" s="3" t="s">
        <v>193</v>
      </c>
      <c r="F141" s="3" t="s">
        <v>9</v>
      </c>
      <c r="G1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1" s="3" t="s">
        <v>194</v>
      </c>
      <c r="I141" s="3" t="s">
        <v>31</v>
      </c>
      <c r="J141" s="3" t="s">
        <v>99</v>
      </c>
      <c r="K141" s="3" t="s">
        <v>33</v>
      </c>
      <c r="L141" s="3" t="s">
        <v>34</v>
      </c>
      <c r="M141" s="4">
        <v>1.0</v>
      </c>
    </row>
    <row r="142">
      <c r="A142" s="2">
        <v>45317</v>
      </c>
      <c r="B1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2" s="3" t="str">
        <f>YEAR(KMART_DATA[[#This Row],[Date]])&amp;"-"&amp;TEXT(MONTH(KMART_DATA[[#This Row],[Date]]),"00")</f>
        <v>2024-01</v>
      </c>
      <c r="D142" s="3" t="s">
        <v>28</v>
      </c>
      <c r="E142" s="3" t="s">
        <v>127</v>
      </c>
      <c r="F142" s="3" t="s">
        <v>11</v>
      </c>
      <c r="G1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2" s="3" t="s">
        <v>128</v>
      </c>
      <c r="I142" s="3" t="s">
        <v>31</v>
      </c>
      <c r="J142" s="3" t="s">
        <v>78</v>
      </c>
      <c r="K142" s="3" t="s">
        <v>71</v>
      </c>
      <c r="L142" s="3" t="s">
        <v>72</v>
      </c>
      <c r="M142" s="4">
        <v>2.0</v>
      </c>
    </row>
    <row r="143">
      <c r="A143" s="2">
        <v>45317</v>
      </c>
      <c r="B1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3" s="3" t="str">
        <f>YEAR(KMART_DATA[[#This Row],[Date]])&amp;"-"&amp;TEXT(MONTH(KMART_DATA[[#This Row],[Date]]),"00")</f>
        <v>2024-01</v>
      </c>
      <c r="D143" s="3" t="s">
        <v>28</v>
      </c>
      <c r="E143" s="3" t="s">
        <v>137</v>
      </c>
      <c r="F143" s="3" t="s">
        <v>10</v>
      </c>
      <c r="G1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3" s="3" t="s">
        <v>138</v>
      </c>
      <c r="I143" s="3" t="s">
        <v>31</v>
      </c>
      <c r="J143" s="3" t="s">
        <v>89</v>
      </c>
      <c r="K143" s="3" t="s">
        <v>43</v>
      </c>
      <c r="L143" s="3" t="s">
        <v>44</v>
      </c>
      <c r="M143" s="4">
        <v>3.0</v>
      </c>
    </row>
    <row r="144">
      <c r="A144" s="2">
        <v>45317</v>
      </c>
      <c r="B1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4" s="3" t="str">
        <f>YEAR(KMART_DATA[[#This Row],[Date]])&amp;"-"&amp;TEXT(MONTH(KMART_DATA[[#This Row],[Date]]),"00")</f>
        <v>2024-01</v>
      </c>
      <c r="D144" s="3" t="s">
        <v>45</v>
      </c>
      <c r="E144" s="3" t="s">
        <v>213</v>
      </c>
      <c r="F144" s="3" t="s">
        <v>11</v>
      </c>
      <c r="G1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4" s="3" t="s">
        <v>214</v>
      </c>
      <c r="I144" s="3" t="s">
        <v>31</v>
      </c>
      <c r="J144" s="3" t="s">
        <v>32</v>
      </c>
      <c r="K144" s="3" t="s">
        <v>38</v>
      </c>
      <c r="L144" s="3" t="s">
        <v>39</v>
      </c>
      <c r="M144" s="4">
        <v>59.9</v>
      </c>
    </row>
    <row r="145">
      <c r="A145" s="2">
        <v>45317</v>
      </c>
      <c r="B1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5" s="3" t="str">
        <f>YEAR(KMART_DATA[[#This Row],[Date]])&amp;"-"&amp;TEXT(MONTH(KMART_DATA[[#This Row],[Date]]),"00")</f>
        <v>2024-01</v>
      </c>
      <c r="D145" s="3" t="s">
        <v>45</v>
      </c>
      <c r="E145" s="3" t="s">
        <v>187</v>
      </c>
      <c r="F145" s="3" t="s">
        <v>11</v>
      </c>
      <c r="G1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5" s="3" t="s">
        <v>188</v>
      </c>
      <c r="I145" s="3" t="s">
        <v>31</v>
      </c>
      <c r="J145" s="3" t="s">
        <v>78</v>
      </c>
      <c r="K145" s="3" t="s">
        <v>112</v>
      </c>
      <c r="L145" s="3" t="s">
        <v>113</v>
      </c>
      <c r="M145" s="4">
        <v>79.62</v>
      </c>
    </row>
    <row r="146">
      <c r="A146" s="2">
        <v>45317</v>
      </c>
      <c r="B1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6" s="3" t="str">
        <f>YEAR(KMART_DATA[[#This Row],[Date]])&amp;"-"&amp;TEXT(MONTH(KMART_DATA[[#This Row],[Date]]),"00")</f>
        <v>2024-01</v>
      </c>
      <c r="D146" s="3" t="s">
        <v>28</v>
      </c>
      <c r="E146" s="3" t="s">
        <v>97</v>
      </c>
      <c r="F146" s="3" t="s">
        <v>9</v>
      </c>
      <c r="G1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6" s="3" t="s">
        <v>98</v>
      </c>
      <c r="I146" s="3" t="s">
        <v>31</v>
      </c>
      <c r="J146" s="3" t="s">
        <v>99</v>
      </c>
      <c r="K146" s="3" t="s">
        <v>66</v>
      </c>
      <c r="L146" s="3" t="s">
        <v>67</v>
      </c>
      <c r="M146" s="4">
        <v>595.94</v>
      </c>
    </row>
    <row r="147">
      <c r="A147" s="2">
        <v>45317</v>
      </c>
      <c r="B1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7" s="3" t="str">
        <f>YEAR(KMART_DATA[[#This Row],[Date]])&amp;"-"&amp;TEXT(MONTH(KMART_DATA[[#This Row],[Date]]),"00")</f>
        <v>2024-01</v>
      </c>
      <c r="D147" s="3" t="s">
        <v>28</v>
      </c>
      <c r="E147" s="3" t="s">
        <v>129</v>
      </c>
      <c r="F147" s="3" t="s">
        <v>10</v>
      </c>
      <c r="G1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7" s="3" t="s">
        <v>130</v>
      </c>
      <c r="I147" s="3" t="s">
        <v>31</v>
      </c>
      <c r="J147" s="3" t="s">
        <v>120</v>
      </c>
      <c r="K147" s="3" t="s">
        <v>66</v>
      </c>
      <c r="L147" s="3" t="s">
        <v>67</v>
      </c>
      <c r="M147" s="4">
        <v>1474.3</v>
      </c>
    </row>
    <row r="148">
      <c r="A148" s="2">
        <v>45317</v>
      </c>
      <c r="B1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8" s="3" t="str">
        <f>YEAR(KMART_DATA[[#This Row],[Date]])&amp;"-"&amp;TEXT(MONTH(KMART_DATA[[#This Row],[Date]]),"00")</f>
        <v>2024-01</v>
      </c>
      <c r="D148" s="3" t="s">
        <v>28</v>
      </c>
      <c r="E148" s="3" t="s">
        <v>215</v>
      </c>
      <c r="F148" s="3" t="s">
        <v>15</v>
      </c>
      <c r="G1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48" s="3" t="s">
        <v>216</v>
      </c>
      <c r="I148" s="3" t="s">
        <v>31</v>
      </c>
      <c r="J148" s="3" t="s">
        <v>53</v>
      </c>
      <c r="K148" s="3" t="s">
        <v>46</v>
      </c>
      <c r="L148" s="3" t="s">
        <v>47</v>
      </c>
      <c r="M148" s="4">
        <v>1765.48</v>
      </c>
    </row>
    <row r="149">
      <c r="A149" s="2">
        <v>45318</v>
      </c>
      <c r="B1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49" s="3" t="str">
        <f>YEAR(KMART_DATA[[#This Row],[Date]])&amp;"-"&amp;TEXT(MONTH(KMART_DATA[[#This Row],[Date]]),"00")</f>
        <v>2024-01</v>
      </c>
      <c r="D149" s="3" t="s">
        <v>45</v>
      </c>
      <c r="E149" s="3" t="s">
        <v>87</v>
      </c>
      <c r="F149" s="3" t="s">
        <v>10</v>
      </c>
      <c r="G1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9" s="3" t="s">
        <v>88</v>
      </c>
      <c r="I149" s="3" t="s">
        <v>31</v>
      </c>
      <c r="J149" s="3" t="s">
        <v>89</v>
      </c>
      <c r="K149" s="3" t="s">
        <v>112</v>
      </c>
      <c r="L149" s="3" t="s">
        <v>113</v>
      </c>
      <c r="M149" s="4">
        <v>47.84</v>
      </c>
    </row>
    <row r="150">
      <c r="A150" s="2">
        <v>45318</v>
      </c>
      <c r="B1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0" s="3" t="str">
        <f>YEAR(KMART_DATA[[#This Row],[Date]])&amp;"-"&amp;TEXT(MONTH(KMART_DATA[[#This Row],[Date]]),"00")</f>
        <v>2024-01</v>
      </c>
      <c r="D150" s="3" t="s">
        <v>28</v>
      </c>
      <c r="E150" s="3" t="s">
        <v>141</v>
      </c>
      <c r="F150" s="3" t="s">
        <v>9</v>
      </c>
      <c r="G1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0" s="3" t="s">
        <v>142</v>
      </c>
      <c r="I150" s="3" t="s">
        <v>31</v>
      </c>
      <c r="J150" s="3" t="s">
        <v>107</v>
      </c>
      <c r="K150" s="3" t="s">
        <v>46</v>
      </c>
      <c r="L150" s="3" t="s">
        <v>47</v>
      </c>
      <c r="M150" s="4">
        <v>51.96</v>
      </c>
    </row>
    <row r="151">
      <c r="A151" s="2">
        <v>45318</v>
      </c>
      <c r="B1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1" s="3" t="str">
        <f>YEAR(KMART_DATA[[#This Row],[Date]])&amp;"-"&amp;TEXT(MONTH(KMART_DATA[[#This Row],[Date]]),"00")</f>
        <v>2024-01</v>
      </c>
      <c r="D151" s="3" t="s">
        <v>28</v>
      </c>
      <c r="E151" s="3" t="s">
        <v>193</v>
      </c>
      <c r="F151" s="3" t="s">
        <v>9</v>
      </c>
      <c r="G1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1" s="3" t="s">
        <v>194</v>
      </c>
      <c r="I151" s="3" t="s">
        <v>31</v>
      </c>
      <c r="J151" s="3" t="s">
        <v>99</v>
      </c>
      <c r="K151" s="3" t="s">
        <v>46</v>
      </c>
      <c r="L151" s="3" t="s">
        <v>47</v>
      </c>
      <c r="M151" s="4">
        <v>64.95</v>
      </c>
    </row>
    <row r="152">
      <c r="A152" s="2">
        <v>45318</v>
      </c>
      <c r="B1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2" s="3" t="str">
        <f>YEAR(KMART_DATA[[#This Row],[Date]])&amp;"-"&amp;TEXT(MONTH(KMART_DATA[[#This Row],[Date]]),"00")</f>
        <v>2024-01</v>
      </c>
      <c r="D152" s="3" t="s">
        <v>28</v>
      </c>
      <c r="E152" s="3" t="s">
        <v>217</v>
      </c>
      <c r="F152" s="3" t="s">
        <v>10</v>
      </c>
      <c r="G1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2" s="3" t="s">
        <v>218</v>
      </c>
      <c r="I152" s="3" t="s">
        <v>31</v>
      </c>
      <c r="J152" s="3" t="s">
        <v>89</v>
      </c>
      <c r="K152" s="3" t="s">
        <v>43</v>
      </c>
      <c r="L152" s="3" t="s">
        <v>44</v>
      </c>
      <c r="M152" s="4">
        <v>74.95</v>
      </c>
    </row>
    <row r="153">
      <c r="A153" s="2">
        <v>45318</v>
      </c>
      <c r="B1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3" s="3" t="str">
        <f>YEAR(KMART_DATA[[#This Row],[Date]])&amp;"-"&amp;TEXT(MONTH(KMART_DATA[[#This Row],[Date]]),"00")</f>
        <v>2024-01</v>
      </c>
      <c r="D153" s="3" t="s">
        <v>45</v>
      </c>
      <c r="E153" s="3" t="s">
        <v>116</v>
      </c>
      <c r="F153" s="3" t="s">
        <v>9</v>
      </c>
      <c r="G1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3" s="3" t="s">
        <v>117</v>
      </c>
      <c r="I153" s="3" t="s">
        <v>31</v>
      </c>
      <c r="J153" s="3" t="s">
        <v>70</v>
      </c>
      <c r="K153" s="3" t="s">
        <v>95</v>
      </c>
      <c r="L153" s="3" t="s">
        <v>96</v>
      </c>
      <c r="M153" s="4">
        <v>108.78</v>
      </c>
    </row>
    <row r="154">
      <c r="A154" s="2">
        <v>45318</v>
      </c>
      <c r="B1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4" s="3" t="str">
        <f>YEAR(KMART_DATA[[#This Row],[Date]])&amp;"-"&amp;TEXT(MONTH(KMART_DATA[[#This Row],[Date]]),"00")</f>
        <v>2024-01</v>
      </c>
      <c r="D154" s="3" t="s">
        <v>28</v>
      </c>
      <c r="E154" s="3" t="s">
        <v>219</v>
      </c>
      <c r="F154" s="3" t="s">
        <v>11</v>
      </c>
      <c r="G1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4" s="3" t="s">
        <v>220</v>
      </c>
      <c r="I154" s="3" t="s">
        <v>31</v>
      </c>
      <c r="J154" s="3" t="s">
        <v>56</v>
      </c>
      <c r="K154" s="3" t="s">
        <v>95</v>
      </c>
      <c r="L154" s="3" t="s">
        <v>96</v>
      </c>
      <c r="M154" s="4">
        <v>286.38</v>
      </c>
    </row>
    <row r="155">
      <c r="A155" s="2">
        <v>45318</v>
      </c>
      <c r="B1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5" s="3" t="str">
        <f>YEAR(KMART_DATA[[#This Row],[Date]])&amp;"-"&amp;TEXT(MONTH(KMART_DATA[[#This Row],[Date]]),"00")</f>
        <v>2024-01</v>
      </c>
      <c r="D155" s="3" t="s">
        <v>28</v>
      </c>
      <c r="E155" s="3" t="s">
        <v>185</v>
      </c>
      <c r="F155" s="3" t="s">
        <v>12</v>
      </c>
      <c r="G1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5" s="3" t="s">
        <v>186</v>
      </c>
      <c r="I155" s="3" t="s">
        <v>31</v>
      </c>
      <c r="J155" s="3" t="s">
        <v>162</v>
      </c>
      <c r="K155" s="3" t="s">
        <v>123</v>
      </c>
      <c r="L155" s="3" t="s">
        <v>124</v>
      </c>
      <c r="M155" s="4">
        <v>361.15</v>
      </c>
    </row>
    <row r="156">
      <c r="A156" s="2">
        <v>45319</v>
      </c>
      <c r="B1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6" s="3" t="str">
        <f>YEAR(KMART_DATA[[#This Row],[Date]])&amp;"-"&amp;TEXT(MONTH(KMART_DATA[[#This Row],[Date]]),"00")</f>
        <v>2024-01</v>
      </c>
      <c r="D156" s="3" t="s">
        <v>45</v>
      </c>
      <c r="E156" s="3" t="s">
        <v>167</v>
      </c>
      <c r="F156" s="3" t="s">
        <v>12</v>
      </c>
      <c r="G1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6" s="3" t="s">
        <v>168</v>
      </c>
      <c r="I156" s="3" t="s">
        <v>31</v>
      </c>
      <c r="J156" s="3" t="s">
        <v>102</v>
      </c>
      <c r="K156" s="3" t="s">
        <v>123</v>
      </c>
      <c r="L156" s="3" t="s">
        <v>124</v>
      </c>
      <c r="M156" s="4">
        <v>29.97</v>
      </c>
    </row>
    <row r="157">
      <c r="A157" s="2">
        <v>45319</v>
      </c>
      <c r="B1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7" s="3" t="str">
        <f>YEAR(KMART_DATA[[#This Row],[Date]])&amp;"-"&amp;TEXT(MONTH(KMART_DATA[[#This Row],[Date]]),"00")</f>
        <v>2024-01</v>
      </c>
      <c r="D157" s="3" t="s">
        <v>45</v>
      </c>
      <c r="E157" s="3" t="s">
        <v>221</v>
      </c>
      <c r="F157" s="3" t="s">
        <v>11</v>
      </c>
      <c r="G1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7" s="3" t="s">
        <v>222</v>
      </c>
      <c r="I157" s="3" t="s">
        <v>31</v>
      </c>
      <c r="J157" s="3" t="s">
        <v>56</v>
      </c>
      <c r="K157" s="3" t="s">
        <v>33</v>
      </c>
      <c r="L157" s="3" t="s">
        <v>34</v>
      </c>
      <c r="M157" s="4">
        <v>44.84</v>
      </c>
    </row>
    <row r="158">
      <c r="A158" s="2">
        <v>45319</v>
      </c>
      <c r="B1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8" s="3" t="str">
        <f>YEAR(KMART_DATA[[#This Row],[Date]])&amp;"-"&amp;TEXT(MONTH(KMART_DATA[[#This Row],[Date]]),"00")</f>
        <v>2024-01</v>
      </c>
      <c r="D158" s="3" t="s">
        <v>45</v>
      </c>
      <c r="E158" s="3" t="s">
        <v>213</v>
      </c>
      <c r="F158" s="3" t="s">
        <v>11</v>
      </c>
      <c r="G1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8" s="3" t="s">
        <v>214</v>
      </c>
      <c r="I158" s="3" t="s">
        <v>31</v>
      </c>
      <c r="J158" s="3" t="s">
        <v>32</v>
      </c>
      <c r="K158" s="3" t="s">
        <v>38</v>
      </c>
      <c r="L158" s="3" t="s">
        <v>39</v>
      </c>
      <c r="M158" s="4">
        <v>52.92</v>
      </c>
    </row>
    <row r="159">
      <c r="A159" s="2">
        <v>45319</v>
      </c>
      <c r="B1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59" s="3" t="str">
        <f>YEAR(KMART_DATA[[#This Row],[Date]])&amp;"-"&amp;TEXT(MONTH(KMART_DATA[[#This Row],[Date]]),"00")</f>
        <v>2024-01</v>
      </c>
      <c r="D159" s="3" t="s">
        <v>28</v>
      </c>
      <c r="E159" s="3" t="s">
        <v>203</v>
      </c>
      <c r="F159" s="3" t="s">
        <v>10</v>
      </c>
      <c r="G1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9" s="3" t="s">
        <v>204</v>
      </c>
      <c r="I159" s="3" t="s">
        <v>31</v>
      </c>
      <c r="J159" s="3" t="s">
        <v>89</v>
      </c>
      <c r="K159" s="3" t="s">
        <v>71</v>
      </c>
      <c r="L159" s="3" t="s">
        <v>72</v>
      </c>
      <c r="M159" s="4">
        <v>59.97</v>
      </c>
    </row>
    <row r="160">
      <c r="A160" s="2">
        <v>45319</v>
      </c>
      <c r="B1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0" s="3" t="str">
        <f>YEAR(KMART_DATA[[#This Row],[Date]])&amp;"-"&amp;TEXT(MONTH(KMART_DATA[[#This Row],[Date]]),"00")</f>
        <v>2024-01</v>
      </c>
      <c r="D160" s="3" t="s">
        <v>45</v>
      </c>
      <c r="E160" s="3" t="s">
        <v>150</v>
      </c>
      <c r="F160" s="3" t="s">
        <v>15</v>
      </c>
      <c r="G1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60" s="3" t="s">
        <v>151</v>
      </c>
      <c r="I160" s="3" t="s">
        <v>31</v>
      </c>
      <c r="J160" s="3" t="s">
        <v>53</v>
      </c>
      <c r="K160" s="3" t="s">
        <v>71</v>
      </c>
      <c r="L160" s="3" t="s">
        <v>72</v>
      </c>
      <c r="M160" s="4">
        <v>67.83</v>
      </c>
    </row>
    <row r="161">
      <c r="A161" s="2">
        <v>45319</v>
      </c>
      <c r="B1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1" s="3" t="str">
        <f>YEAR(KMART_DATA[[#This Row],[Date]])&amp;"-"&amp;TEXT(MONTH(KMART_DATA[[#This Row],[Date]]),"00")</f>
        <v>2024-01</v>
      </c>
      <c r="D161" s="3" t="s">
        <v>28</v>
      </c>
      <c r="E161" s="3" t="s">
        <v>167</v>
      </c>
      <c r="F161" s="3" t="s">
        <v>12</v>
      </c>
      <c r="G1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1" s="3" t="s">
        <v>168</v>
      </c>
      <c r="I161" s="3" t="s">
        <v>31</v>
      </c>
      <c r="J161" s="3" t="s">
        <v>102</v>
      </c>
      <c r="K161" s="3" t="s">
        <v>46</v>
      </c>
      <c r="L161" s="3" t="s">
        <v>47</v>
      </c>
      <c r="M161" s="4">
        <v>415.52</v>
      </c>
    </row>
    <row r="162">
      <c r="A162" s="2">
        <v>45319</v>
      </c>
      <c r="B1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2" s="3" t="str">
        <f>YEAR(KMART_DATA[[#This Row],[Date]])&amp;"-"&amp;TEXT(MONTH(KMART_DATA[[#This Row],[Date]]),"00")</f>
        <v>2024-01</v>
      </c>
      <c r="D162" s="3" t="s">
        <v>28</v>
      </c>
      <c r="E162" s="3" t="s">
        <v>209</v>
      </c>
      <c r="F162" s="3" t="s">
        <v>9</v>
      </c>
      <c r="G1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2" s="3" t="s">
        <v>210</v>
      </c>
      <c r="I162" s="3" t="s">
        <v>31</v>
      </c>
      <c r="J162" s="3" t="s">
        <v>81</v>
      </c>
      <c r="K162" s="3" t="s">
        <v>38</v>
      </c>
      <c r="L162" s="3" t="s">
        <v>39</v>
      </c>
      <c r="M162" s="4">
        <v>469.28</v>
      </c>
    </row>
    <row r="163">
      <c r="A163" s="2">
        <v>45319</v>
      </c>
      <c r="B1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3" s="3" t="str">
        <f>YEAR(KMART_DATA[[#This Row],[Date]])&amp;"-"&amp;TEXT(MONTH(KMART_DATA[[#This Row],[Date]]),"00")</f>
        <v>2024-01</v>
      </c>
      <c r="D163" s="3" t="s">
        <v>45</v>
      </c>
      <c r="E163" s="3" t="s">
        <v>223</v>
      </c>
      <c r="F163" s="3" t="s">
        <v>10</v>
      </c>
      <c r="G1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3" s="3" t="s">
        <v>224</v>
      </c>
      <c r="I163" s="3" t="s">
        <v>31</v>
      </c>
      <c r="J163" s="3" t="s">
        <v>94</v>
      </c>
      <c r="K163" s="3" t="s">
        <v>95</v>
      </c>
      <c r="L163" s="3" t="s">
        <v>96</v>
      </c>
      <c r="M163" s="4">
        <v>520.22</v>
      </c>
    </row>
    <row r="164">
      <c r="A164" s="2">
        <v>45319</v>
      </c>
      <c r="B1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4" s="3" t="str">
        <f>YEAR(KMART_DATA[[#This Row],[Date]])&amp;"-"&amp;TEXT(MONTH(KMART_DATA[[#This Row],[Date]]),"00")</f>
        <v>2024-01</v>
      </c>
      <c r="D164" s="3" t="s">
        <v>28</v>
      </c>
      <c r="E164" s="3" t="s">
        <v>193</v>
      </c>
      <c r="F164" s="3" t="s">
        <v>9</v>
      </c>
      <c r="G1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4" s="3" t="s">
        <v>194</v>
      </c>
      <c r="I164" s="3" t="s">
        <v>31</v>
      </c>
      <c r="J164" s="3" t="s">
        <v>99</v>
      </c>
      <c r="K164" s="3" t="s">
        <v>43</v>
      </c>
      <c r="L164" s="3" t="s">
        <v>44</v>
      </c>
      <c r="M164" s="4">
        <v>1425.63</v>
      </c>
    </row>
    <row r="165">
      <c r="A165" s="2">
        <v>45320</v>
      </c>
      <c r="B1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5" s="3" t="str">
        <f>YEAR(KMART_DATA[[#This Row],[Date]])&amp;"-"&amp;TEXT(MONTH(KMART_DATA[[#This Row],[Date]]),"00")</f>
        <v>2024-01</v>
      </c>
      <c r="D165" s="3" t="s">
        <v>28</v>
      </c>
      <c r="E165" s="3" t="s">
        <v>225</v>
      </c>
      <c r="F165" s="3" t="s">
        <v>13</v>
      </c>
      <c r="G1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65" s="3" t="s">
        <v>226</v>
      </c>
      <c r="I165" s="3" t="s">
        <v>31</v>
      </c>
      <c r="J165" s="3" t="s">
        <v>227</v>
      </c>
      <c r="K165" s="3" t="s">
        <v>71</v>
      </c>
      <c r="L165" s="3" t="s">
        <v>72</v>
      </c>
      <c r="M165" s="4">
        <v>213.75</v>
      </c>
    </row>
    <row r="166">
      <c r="A166" s="2">
        <v>45321</v>
      </c>
      <c r="B1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6" s="3" t="str">
        <f>YEAR(KMART_DATA[[#This Row],[Date]])&amp;"-"&amp;TEXT(MONTH(KMART_DATA[[#This Row],[Date]]),"00")</f>
        <v>2024-01</v>
      </c>
      <c r="D166" s="3" t="s">
        <v>28</v>
      </c>
      <c r="E166" s="3" t="s">
        <v>228</v>
      </c>
      <c r="F166" s="3" t="s">
        <v>11</v>
      </c>
      <c r="G1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6" s="3" t="s">
        <v>229</v>
      </c>
      <c r="I166" s="3" t="s">
        <v>31</v>
      </c>
      <c r="J166" s="3" t="s">
        <v>32</v>
      </c>
      <c r="K166" s="3" t="s">
        <v>43</v>
      </c>
      <c r="L166" s="3" t="s">
        <v>44</v>
      </c>
      <c r="M166" s="4">
        <v>27.5</v>
      </c>
    </row>
    <row r="167">
      <c r="A167" s="2">
        <v>45321</v>
      </c>
      <c r="B1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7" s="3" t="str">
        <f>YEAR(KMART_DATA[[#This Row],[Date]])&amp;"-"&amp;TEXT(MONTH(KMART_DATA[[#This Row],[Date]]),"00")</f>
        <v>2024-01</v>
      </c>
      <c r="D167" s="3" t="s">
        <v>28</v>
      </c>
      <c r="E167" s="3" t="s">
        <v>154</v>
      </c>
      <c r="F167" s="3" t="s">
        <v>11</v>
      </c>
      <c r="G1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7" s="3" t="s">
        <v>155</v>
      </c>
      <c r="I167" s="3" t="s">
        <v>31</v>
      </c>
      <c r="J167" s="3" t="s">
        <v>84</v>
      </c>
      <c r="K167" s="3" t="s">
        <v>43</v>
      </c>
      <c r="L167" s="3" t="s">
        <v>44</v>
      </c>
      <c r="M167" s="4">
        <v>51.0</v>
      </c>
    </row>
    <row r="168">
      <c r="A168" s="2">
        <v>45322</v>
      </c>
      <c r="B1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8" s="3" t="str">
        <f>YEAR(KMART_DATA[[#This Row],[Date]])&amp;"-"&amp;TEXT(MONTH(KMART_DATA[[#This Row],[Date]]),"00")</f>
        <v>2024-01</v>
      </c>
      <c r="D168" s="3" t="s">
        <v>28</v>
      </c>
      <c r="E168" s="3" t="s">
        <v>195</v>
      </c>
      <c r="F168" s="3" t="s">
        <v>11</v>
      </c>
      <c r="G1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8" s="3" t="s">
        <v>196</v>
      </c>
      <c r="I168" s="3" t="s">
        <v>31</v>
      </c>
      <c r="J168" s="3" t="s">
        <v>32</v>
      </c>
      <c r="K168" s="3" t="s">
        <v>123</v>
      </c>
      <c r="L168" s="3" t="s">
        <v>124</v>
      </c>
      <c r="M168" s="4">
        <v>24.49</v>
      </c>
    </row>
    <row r="169">
      <c r="A169" s="2">
        <v>45322</v>
      </c>
      <c r="B1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69" s="3" t="str">
        <f>YEAR(KMART_DATA[[#This Row],[Date]])&amp;"-"&amp;TEXT(MONTH(KMART_DATA[[#This Row],[Date]]),"00")</f>
        <v>2024-01</v>
      </c>
      <c r="D169" s="3" t="s">
        <v>28</v>
      </c>
      <c r="E169" s="3" t="s">
        <v>189</v>
      </c>
      <c r="F169" s="3" t="s">
        <v>9</v>
      </c>
      <c r="G1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9" s="3" t="s">
        <v>190</v>
      </c>
      <c r="I169" s="3" t="s">
        <v>31</v>
      </c>
      <c r="J169" s="3" t="s">
        <v>81</v>
      </c>
      <c r="K169" s="3" t="s">
        <v>43</v>
      </c>
      <c r="L169" s="3" t="s">
        <v>44</v>
      </c>
      <c r="M169" s="4">
        <v>36.0</v>
      </c>
    </row>
    <row r="170">
      <c r="A170" s="2">
        <v>45322</v>
      </c>
      <c r="B1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0" s="3" t="str">
        <f>YEAR(KMART_DATA[[#This Row],[Date]])&amp;"-"&amp;TEXT(MONTH(KMART_DATA[[#This Row],[Date]]),"00")</f>
        <v>2024-01</v>
      </c>
      <c r="D170" s="3" t="s">
        <v>28</v>
      </c>
      <c r="E170" s="3" t="s">
        <v>85</v>
      </c>
      <c r="F170" s="3" t="s">
        <v>9</v>
      </c>
      <c r="G1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0" s="3" t="s">
        <v>86</v>
      </c>
      <c r="I170" s="3" t="s">
        <v>31</v>
      </c>
      <c r="J170" s="3" t="s">
        <v>81</v>
      </c>
      <c r="K170" s="3" t="s">
        <v>38</v>
      </c>
      <c r="L170" s="3" t="s">
        <v>39</v>
      </c>
      <c r="M170" s="4">
        <v>102.43</v>
      </c>
    </row>
    <row r="171">
      <c r="A171" s="2">
        <v>45322</v>
      </c>
      <c r="B1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1" s="3" t="str">
        <f>YEAR(KMART_DATA[[#This Row],[Date]])&amp;"-"&amp;TEXT(MONTH(KMART_DATA[[#This Row],[Date]]),"00")</f>
        <v>2024-01</v>
      </c>
      <c r="D171" s="3" t="s">
        <v>28</v>
      </c>
      <c r="E171" s="3" t="s">
        <v>137</v>
      </c>
      <c r="F171" s="3" t="s">
        <v>10</v>
      </c>
      <c r="G1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1" s="3" t="s">
        <v>138</v>
      </c>
      <c r="I171" s="3" t="s">
        <v>31</v>
      </c>
      <c r="J171" s="3" t="s">
        <v>89</v>
      </c>
      <c r="K171" s="3" t="s">
        <v>123</v>
      </c>
      <c r="L171" s="3" t="s">
        <v>124</v>
      </c>
      <c r="M171" s="4">
        <v>120.78</v>
      </c>
    </row>
    <row r="172">
      <c r="A172" s="2">
        <v>45322</v>
      </c>
      <c r="B1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2" s="3" t="str">
        <f>YEAR(KMART_DATA[[#This Row],[Date]])&amp;"-"&amp;TEXT(MONTH(KMART_DATA[[#This Row],[Date]]),"00")</f>
        <v>2024-01</v>
      </c>
      <c r="D172" s="3" t="s">
        <v>45</v>
      </c>
      <c r="E172" s="3" t="s">
        <v>187</v>
      </c>
      <c r="F172" s="3" t="s">
        <v>11</v>
      </c>
      <c r="G1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2" s="3" t="s">
        <v>188</v>
      </c>
      <c r="I172" s="3" t="s">
        <v>31</v>
      </c>
      <c r="J172" s="3" t="s">
        <v>78</v>
      </c>
      <c r="K172" s="3" t="s">
        <v>43</v>
      </c>
      <c r="L172" s="3" t="s">
        <v>44</v>
      </c>
      <c r="M172" s="4">
        <v>165.22</v>
      </c>
    </row>
    <row r="173">
      <c r="A173" s="2">
        <v>45322</v>
      </c>
      <c r="B1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3" s="3" t="str">
        <f>YEAR(KMART_DATA[[#This Row],[Date]])&amp;"-"&amp;TEXT(MONTH(KMART_DATA[[#This Row],[Date]]),"00")</f>
        <v>2024-01</v>
      </c>
      <c r="D173" s="3" t="s">
        <v>45</v>
      </c>
      <c r="E173" s="3" t="s">
        <v>146</v>
      </c>
      <c r="F173" s="3" t="s">
        <v>9</v>
      </c>
      <c r="G1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3" s="3" t="s">
        <v>147</v>
      </c>
      <c r="I173" s="3" t="s">
        <v>31</v>
      </c>
      <c r="J173" s="3" t="s">
        <v>75</v>
      </c>
      <c r="K173" s="3" t="s">
        <v>112</v>
      </c>
      <c r="L173" s="3" t="s">
        <v>113</v>
      </c>
      <c r="M173" s="4">
        <v>234.14</v>
      </c>
    </row>
    <row r="174">
      <c r="A174" s="2">
        <v>45322</v>
      </c>
      <c r="B1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4" s="3" t="str">
        <f>YEAR(KMART_DATA[[#This Row],[Date]])&amp;"-"&amp;TEXT(MONTH(KMART_DATA[[#This Row],[Date]]),"00")</f>
        <v>2024-01</v>
      </c>
      <c r="D174" s="3" t="s">
        <v>45</v>
      </c>
      <c r="E174" s="3" t="s">
        <v>146</v>
      </c>
      <c r="F174" s="3" t="s">
        <v>9</v>
      </c>
      <c r="G1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4" s="3" t="s">
        <v>147</v>
      </c>
      <c r="I174" s="3" t="s">
        <v>31</v>
      </c>
      <c r="J174" s="3" t="s">
        <v>75</v>
      </c>
      <c r="K174" s="3" t="s">
        <v>57</v>
      </c>
      <c r="L174" s="3" t="s">
        <v>58</v>
      </c>
      <c r="M174" s="4">
        <v>452.57</v>
      </c>
    </row>
    <row r="175">
      <c r="A175" s="2">
        <v>45322</v>
      </c>
      <c r="B1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5" s="3" t="str">
        <f>YEAR(KMART_DATA[[#This Row],[Date]])&amp;"-"&amp;TEXT(MONTH(KMART_DATA[[#This Row],[Date]]),"00")</f>
        <v>2024-01</v>
      </c>
      <c r="D175" s="3" t="s">
        <v>45</v>
      </c>
      <c r="E175" s="3" t="s">
        <v>127</v>
      </c>
      <c r="F175" s="3" t="s">
        <v>11</v>
      </c>
      <c r="G1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5" s="3" t="s">
        <v>128</v>
      </c>
      <c r="I175" s="3" t="s">
        <v>31</v>
      </c>
      <c r="J175" s="3" t="s">
        <v>78</v>
      </c>
      <c r="K175" s="3" t="s">
        <v>57</v>
      </c>
      <c r="L175" s="3" t="s">
        <v>58</v>
      </c>
      <c r="M175" s="4">
        <v>457.41</v>
      </c>
    </row>
    <row r="176">
      <c r="A176" s="2">
        <v>45322</v>
      </c>
      <c r="B1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6" s="3" t="str">
        <f>YEAR(KMART_DATA[[#This Row],[Date]])&amp;"-"&amp;TEXT(MONTH(KMART_DATA[[#This Row],[Date]]),"00")</f>
        <v>2024-01</v>
      </c>
      <c r="D176" s="3" t="s">
        <v>28</v>
      </c>
      <c r="E176" s="3" t="s">
        <v>156</v>
      </c>
      <c r="F176" s="3" t="s">
        <v>9</v>
      </c>
      <c r="G1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6" s="3" t="s">
        <v>157</v>
      </c>
      <c r="I176" s="3" t="s">
        <v>31</v>
      </c>
      <c r="J176" s="3" t="s">
        <v>75</v>
      </c>
      <c r="K176" s="3" t="s">
        <v>112</v>
      </c>
      <c r="L176" s="3" t="s">
        <v>113</v>
      </c>
      <c r="M176" s="4">
        <v>855.37</v>
      </c>
    </row>
    <row r="177">
      <c r="A177" s="2">
        <v>45322</v>
      </c>
      <c r="B1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7" s="3" t="str">
        <f>YEAR(KMART_DATA[[#This Row],[Date]])&amp;"-"&amp;TEXT(MONTH(KMART_DATA[[#This Row],[Date]]),"00")</f>
        <v>2024-01</v>
      </c>
      <c r="D177" s="3" t="s">
        <v>28</v>
      </c>
      <c r="E177" s="3" t="s">
        <v>139</v>
      </c>
      <c r="F177" s="3" t="s">
        <v>10</v>
      </c>
      <c r="G1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7" s="3" t="s">
        <v>140</v>
      </c>
      <c r="I177" s="3" t="s">
        <v>31</v>
      </c>
      <c r="J177" s="3" t="s">
        <v>89</v>
      </c>
      <c r="K177" s="3" t="s">
        <v>38</v>
      </c>
      <c r="L177" s="3" t="s">
        <v>39</v>
      </c>
      <c r="M177" s="4">
        <v>1014.33</v>
      </c>
    </row>
    <row r="178">
      <c r="A178" s="2">
        <v>45322</v>
      </c>
      <c r="B1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8" s="3" t="str">
        <f>YEAR(KMART_DATA[[#This Row],[Date]])&amp;"-"&amp;TEXT(MONTH(KMART_DATA[[#This Row],[Date]]),"00")</f>
        <v>2024-01</v>
      </c>
      <c r="D178" s="3" t="s">
        <v>45</v>
      </c>
      <c r="E178" s="3" t="s">
        <v>146</v>
      </c>
      <c r="F178" s="3" t="s">
        <v>9</v>
      </c>
      <c r="G1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8" s="3" t="s">
        <v>147</v>
      </c>
      <c r="I178" s="3" t="s">
        <v>31</v>
      </c>
      <c r="J178" s="3" t="s">
        <v>75</v>
      </c>
      <c r="K178" s="3" t="s">
        <v>71</v>
      </c>
      <c r="L178" s="3" t="s">
        <v>72</v>
      </c>
      <c r="M178" s="4">
        <v>1028.55</v>
      </c>
    </row>
    <row r="179">
      <c r="A179" s="2">
        <v>45322</v>
      </c>
      <c r="B1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79" s="3" t="str">
        <f>YEAR(KMART_DATA[[#This Row],[Date]])&amp;"-"&amp;TEXT(MONTH(KMART_DATA[[#This Row],[Date]]),"00")</f>
        <v>2024-01</v>
      </c>
      <c r="D179" s="3" t="s">
        <v>28</v>
      </c>
      <c r="E179" s="3" t="s">
        <v>201</v>
      </c>
      <c r="F179" s="3" t="s">
        <v>10</v>
      </c>
      <c r="G1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9" s="3" t="s">
        <v>202</v>
      </c>
      <c r="I179" s="3" t="s">
        <v>31</v>
      </c>
      <c r="J179" s="3" t="s">
        <v>89</v>
      </c>
      <c r="K179" s="3" t="s">
        <v>95</v>
      </c>
      <c r="L179" s="3" t="s">
        <v>96</v>
      </c>
      <c r="M179" s="4">
        <v>1107.77</v>
      </c>
    </row>
    <row r="180">
      <c r="A180" s="2">
        <v>45322</v>
      </c>
      <c r="B1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0" s="3" t="str">
        <f>YEAR(KMART_DATA[[#This Row],[Date]])&amp;"-"&amp;TEXT(MONTH(KMART_DATA[[#This Row],[Date]]),"00")</f>
        <v>2024-01</v>
      </c>
      <c r="D180" s="3" t="s">
        <v>28</v>
      </c>
      <c r="E180" s="3" t="s">
        <v>163</v>
      </c>
      <c r="F180" s="3" t="s">
        <v>9</v>
      </c>
      <c r="G1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0" s="3" t="s">
        <v>164</v>
      </c>
      <c r="I180" s="3" t="s">
        <v>31</v>
      </c>
      <c r="J180" s="3" t="s">
        <v>81</v>
      </c>
      <c r="K180" s="3" t="s">
        <v>71</v>
      </c>
      <c r="L180" s="3" t="s">
        <v>72</v>
      </c>
      <c r="M180" s="4">
        <v>1316.56</v>
      </c>
    </row>
    <row r="181">
      <c r="A181" s="2">
        <v>45322</v>
      </c>
      <c r="B1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1" s="3" t="str">
        <f>YEAR(KMART_DATA[[#This Row],[Date]])&amp;"-"&amp;TEXT(MONTH(KMART_DATA[[#This Row],[Date]]),"00")</f>
        <v>2024-01</v>
      </c>
      <c r="D181" s="3" t="s">
        <v>28</v>
      </c>
      <c r="E181" s="3" t="s">
        <v>97</v>
      </c>
      <c r="F181" s="3" t="s">
        <v>9</v>
      </c>
      <c r="G1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1" s="3" t="s">
        <v>98</v>
      </c>
      <c r="I181" s="3" t="s">
        <v>31</v>
      </c>
      <c r="J181" s="3" t="s">
        <v>99</v>
      </c>
      <c r="K181" s="3" t="s">
        <v>71</v>
      </c>
      <c r="L181" s="3" t="s">
        <v>72</v>
      </c>
      <c r="M181" s="4">
        <v>1473.64</v>
      </c>
    </row>
    <row r="182">
      <c r="A182" s="2">
        <v>45322</v>
      </c>
      <c r="B1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2" s="3" t="str">
        <f>YEAR(KMART_DATA[[#This Row],[Date]])&amp;"-"&amp;TEXT(MONTH(KMART_DATA[[#This Row],[Date]]),"00")</f>
        <v>2024-01</v>
      </c>
      <c r="D182" s="3" t="s">
        <v>45</v>
      </c>
      <c r="E182" s="3" t="s">
        <v>82</v>
      </c>
      <c r="F182" s="3" t="s">
        <v>11</v>
      </c>
      <c r="G1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2" s="3" t="s">
        <v>83</v>
      </c>
      <c r="I182" s="3" t="s">
        <v>31</v>
      </c>
      <c r="J182" s="3" t="s">
        <v>84</v>
      </c>
      <c r="K182" s="3" t="s">
        <v>46</v>
      </c>
      <c r="L182" s="3" t="s">
        <v>47</v>
      </c>
      <c r="M182" s="4">
        <v>1678.24</v>
      </c>
    </row>
    <row r="183">
      <c r="A183" s="2">
        <v>45322</v>
      </c>
      <c r="B1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3" s="3" t="str">
        <f>YEAR(KMART_DATA[[#This Row],[Date]])&amp;"-"&amp;TEXT(MONTH(KMART_DATA[[#This Row],[Date]]),"00")</f>
        <v>2024-01</v>
      </c>
      <c r="D183" s="3" t="s">
        <v>28</v>
      </c>
      <c r="E183" s="3" t="s">
        <v>97</v>
      </c>
      <c r="F183" s="3" t="s">
        <v>9</v>
      </c>
      <c r="G1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3" s="3" t="s">
        <v>98</v>
      </c>
      <c r="I183" s="3" t="s">
        <v>31</v>
      </c>
      <c r="J183" s="3" t="s">
        <v>99</v>
      </c>
      <c r="K183" s="3" t="s">
        <v>57</v>
      </c>
      <c r="L183" s="3" t="s">
        <v>58</v>
      </c>
      <c r="M183" s="4">
        <v>1741.8</v>
      </c>
    </row>
    <row r="184">
      <c r="A184" s="2">
        <v>45322</v>
      </c>
      <c r="B1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4" s="3" t="str">
        <f>YEAR(KMART_DATA[[#This Row],[Date]])&amp;"-"&amp;TEXT(MONTH(KMART_DATA[[#This Row],[Date]]),"00")</f>
        <v>2024-01</v>
      </c>
      <c r="D184" s="3" t="s">
        <v>28</v>
      </c>
      <c r="E184" s="3" t="s">
        <v>114</v>
      </c>
      <c r="F184" s="3" t="s">
        <v>9</v>
      </c>
      <c r="G1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4" s="3" t="s">
        <v>115</v>
      </c>
      <c r="I184" s="3" t="s">
        <v>31</v>
      </c>
      <c r="J184" s="3" t="s">
        <v>99</v>
      </c>
      <c r="K184" s="3" t="s">
        <v>57</v>
      </c>
      <c r="L184" s="3" t="s">
        <v>58</v>
      </c>
      <c r="M184" s="4">
        <v>4783.68</v>
      </c>
    </row>
    <row r="185">
      <c r="A185" s="2">
        <v>45322</v>
      </c>
      <c r="B1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5" s="3" t="str">
        <f>YEAR(KMART_DATA[[#This Row],[Date]])&amp;"-"&amp;TEXT(MONTH(KMART_DATA[[#This Row],[Date]]),"00")</f>
        <v>2024-01</v>
      </c>
      <c r="D185" s="3" t="s">
        <v>28</v>
      </c>
      <c r="E185" s="3" t="s">
        <v>139</v>
      </c>
      <c r="F185" s="3" t="s">
        <v>10</v>
      </c>
      <c r="G1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5" s="3" t="s">
        <v>140</v>
      </c>
      <c r="I185" s="3" t="s">
        <v>31</v>
      </c>
      <c r="J185" s="3" t="s">
        <v>89</v>
      </c>
      <c r="K185" s="3" t="s">
        <v>123</v>
      </c>
      <c r="L185" s="3" t="s">
        <v>124</v>
      </c>
      <c r="M185" s="4">
        <v>7284.18</v>
      </c>
    </row>
    <row r="186">
      <c r="A186" s="2">
        <v>45323</v>
      </c>
      <c r="B1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6" s="3" t="str">
        <f>YEAR(KMART_DATA[[#This Row],[Date]])&amp;"-"&amp;TEXT(MONTH(KMART_DATA[[#This Row],[Date]]),"00")</f>
        <v>2024-02</v>
      </c>
      <c r="D186" s="3" t="s">
        <v>28</v>
      </c>
      <c r="E186" s="3" t="s">
        <v>143</v>
      </c>
      <c r="F186" s="3" t="s">
        <v>14</v>
      </c>
      <c r="G1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86" s="3" t="s">
        <v>144</v>
      </c>
      <c r="I186" s="3" t="s">
        <v>31</v>
      </c>
      <c r="J186" s="3" t="s">
        <v>145</v>
      </c>
      <c r="K186" s="3" t="s">
        <v>112</v>
      </c>
      <c r="L186" s="3" t="s">
        <v>113</v>
      </c>
      <c r="M186" s="4">
        <v>33.41</v>
      </c>
    </row>
    <row r="187">
      <c r="A187" s="2">
        <v>45323</v>
      </c>
      <c r="B1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7" s="3" t="str">
        <f>YEAR(KMART_DATA[[#This Row],[Date]])&amp;"-"&amp;TEXT(MONTH(KMART_DATA[[#This Row],[Date]]),"00")</f>
        <v>2024-02</v>
      </c>
      <c r="D187" s="3" t="s">
        <v>28</v>
      </c>
      <c r="E187" s="3" t="s">
        <v>169</v>
      </c>
      <c r="F187" s="3" t="s">
        <v>12</v>
      </c>
      <c r="G1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7" s="3" t="s">
        <v>170</v>
      </c>
      <c r="I187" s="3" t="s">
        <v>31</v>
      </c>
      <c r="J187" s="3" t="s">
        <v>102</v>
      </c>
      <c r="K187" s="3" t="s">
        <v>71</v>
      </c>
      <c r="L187" s="3" t="s">
        <v>72</v>
      </c>
      <c r="M187" s="4">
        <v>55.92</v>
      </c>
    </row>
    <row r="188">
      <c r="A188" s="2">
        <v>45323</v>
      </c>
      <c r="B1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8" s="3" t="str">
        <f>YEAR(KMART_DATA[[#This Row],[Date]])&amp;"-"&amp;TEXT(MONTH(KMART_DATA[[#This Row],[Date]]),"00")</f>
        <v>2024-02</v>
      </c>
      <c r="D188" s="3" t="s">
        <v>28</v>
      </c>
      <c r="E188" s="3" t="s">
        <v>35</v>
      </c>
      <c r="F188" s="3" t="s">
        <v>10</v>
      </c>
      <c r="G1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8" s="3" t="s">
        <v>36</v>
      </c>
      <c r="I188" s="3" t="s">
        <v>31</v>
      </c>
      <c r="J188" s="3" t="s">
        <v>37</v>
      </c>
      <c r="K188" s="3" t="s">
        <v>71</v>
      </c>
      <c r="L188" s="3" t="s">
        <v>72</v>
      </c>
      <c r="M188" s="4">
        <v>72.84</v>
      </c>
    </row>
    <row r="189">
      <c r="A189" s="2">
        <v>45323</v>
      </c>
      <c r="B1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89" s="3" t="str">
        <f>YEAR(KMART_DATA[[#This Row],[Date]])&amp;"-"&amp;TEXT(MONTH(KMART_DATA[[#This Row],[Date]]),"00")</f>
        <v>2024-02</v>
      </c>
      <c r="D189" s="3" t="s">
        <v>28</v>
      </c>
      <c r="E189" s="3" t="s">
        <v>219</v>
      </c>
      <c r="F189" s="3" t="s">
        <v>11</v>
      </c>
      <c r="G1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9" s="3" t="s">
        <v>220</v>
      </c>
      <c r="I189" s="3" t="s">
        <v>31</v>
      </c>
      <c r="J189" s="3" t="s">
        <v>56</v>
      </c>
      <c r="K189" s="3" t="s">
        <v>38</v>
      </c>
      <c r="L189" s="3" t="s">
        <v>39</v>
      </c>
      <c r="M189" s="4">
        <v>439.62</v>
      </c>
    </row>
    <row r="190">
      <c r="A190" s="2">
        <v>45323</v>
      </c>
      <c r="B1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0" s="3" t="str">
        <f>YEAR(KMART_DATA[[#This Row],[Date]])&amp;"-"&amp;TEXT(MONTH(KMART_DATA[[#This Row],[Date]]),"00")</f>
        <v>2024-02</v>
      </c>
      <c r="D190" s="3" t="s">
        <v>28</v>
      </c>
      <c r="E190" s="3" t="s">
        <v>185</v>
      </c>
      <c r="F190" s="3" t="s">
        <v>12</v>
      </c>
      <c r="G1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90" s="3" t="s">
        <v>186</v>
      </c>
      <c r="I190" s="3" t="s">
        <v>31</v>
      </c>
      <c r="J190" s="3" t="s">
        <v>162</v>
      </c>
      <c r="K190" s="3" t="s">
        <v>95</v>
      </c>
      <c r="L190" s="3" t="s">
        <v>96</v>
      </c>
      <c r="M190" s="4">
        <v>703.34</v>
      </c>
    </row>
    <row r="191">
      <c r="A191" s="2">
        <v>45323</v>
      </c>
      <c r="B1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1" s="3" t="str">
        <f>YEAR(KMART_DATA[[#This Row],[Date]])&amp;"-"&amp;TEXT(MONTH(KMART_DATA[[#This Row],[Date]]),"00")</f>
        <v>2024-02</v>
      </c>
      <c r="D191" s="3" t="s">
        <v>28</v>
      </c>
      <c r="E191" s="3" t="s">
        <v>193</v>
      </c>
      <c r="F191" s="3" t="s">
        <v>9</v>
      </c>
      <c r="G1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1" s="3" t="s">
        <v>194</v>
      </c>
      <c r="I191" s="3" t="s">
        <v>31</v>
      </c>
      <c r="J191" s="3" t="s">
        <v>99</v>
      </c>
      <c r="K191" s="3" t="s">
        <v>33</v>
      </c>
      <c r="L191" s="3" t="s">
        <v>34</v>
      </c>
      <c r="M191" s="4">
        <v>2102.93</v>
      </c>
    </row>
    <row r="192">
      <c r="A192" s="2">
        <v>45324</v>
      </c>
      <c r="B1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2" s="3" t="str">
        <f>YEAR(KMART_DATA[[#This Row],[Date]])&amp;"-"&amp;TEXT(MONTH(KMART_DATA[[#This Row],[Date]]),"00")</f>
        <v>2024-02</v>
      </c>
      <c r="D192" s="3" t="s">
        <v>45</v>
      </c>
      <c r="E192" s="3" t="s">
        <v>230</v>
      </c>
      <c r="F192" s="3" t="s">
        <v>13</v>
      </c>
      <c r="G1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92" s="3" t="s">
        <v>231</v>
      </c>
      <c r="I192" s="3" t="s">
        <v>31</v>
      </c>
      <c r="J192" s="3" t="s">
        <v>227</v>
      </c>
      <c r="K192" s="3" t="s">
        <v>112</v>
      </c>
      <c r="L192" s="3" t="s">
        <v>113</v>
      </c>
      <c r="M192" s="4">
        <v>3.99</v>
      </c>
    </row>
    <row r="193">
      <c r="A193" s="2">
        <v>45324</v>
      </c>
      <c r="B1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3" s="3" t="str">
        <f>YEAR(KMART_DATA[[#This Row],[Date]])&amp;"-"&amp;TEXT(MONTH(KMART_DATA[[#This Row],[Date]]),"00")</f>
        <v>2024-02</v>
      </c>
      <c r="D193" s="3" t="s">
        <v>28</v>
      </c>
      <c r="E193" s="3" t="s">
        <v>205</v>
      </c>
      <c r="F193" s="3" t="s">
        <v>10</v>
      </c>
      <c r="G1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3" s="3" t="s">
        <v>206</v>
      </c>
      <c r="I193" s="3" t="s">
        <v>31</v>
      </c>
      <c r="J193" s="3" t="s">
        <v>37</v>
      </c>
      <c r="K193" s="3" t="s">
        <v>71</v>
      </c>
      <c r="L193" s="3" t="s">
        <v>72</v>
      </c>
      <c r="M193" s="4">
        <v>51.87</v>
      </c>
    </row>
    <row r="194">
      <c r="A194" s="2">
        <v>45324</v>
      </c>
      <c r="B1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4" s="3" t="str">
        <f>YEAR(KMART_DATA[[#This Row],[Date]])&amp;"-"&amp;TEXT(MONTH(KMART_DATA[[#This Row],[Date]]),"00")</f>
        <v>2024-02</v>
      </c>
      <c r="D194" s="3" t="s">
        <v>28</v>
      </c>
      <c r="E194" s="3" t="s">
        <v>163</v>
      </c>
      <c r="F194" s="3" t="s">
        <v>9</v>
      </c>
      <c r="G1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4" s="3" t="s">
        <v>164</v>
      </c>
      <c r="I194" s="3" t="s">
        <v>31</v>
      </c>
      <c r="J194" s="3" t="s">
        <v>81</v>
      </c>
      <c r="K194" s="3" t="s">
        <v>33</v>
      </c>
      <c r="L194" s="3" t="s">
        <v>34</v>
      </c>
      <c r="M194" s="4">
        <v>3296.71</v>
      </c>
    </row>
    <row r="195">
      <c r="A195" s="2">
        <v>45325</v>
      </c>
      <c r="B1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5" s="3" t="str">
        <f>YEAR(KMART_DATA[[#This Row],[Date]])&amp;"-"&amp;TEXT(MONTH(KMART_DATA[[#This Row],[Date]]),"00")</f>
        <v>2024-02</v>
      </c>
      <c r="D195" s="3" t="s">
        <v>28</v>
      </c>
      <c r="E195" s="3" t="s">
        <v>179</v>
      </c>
      <c r="F195" s="3" t="s">
        <v>9</v>
      </c>
      <c r="G1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5" s="3" t="s">
        <v>180</v>
      </c>
      <c r="I195" s="3" t="s">
        <v>31</v>
      </c>
      <c r="J195" s="3" t="s">
        <v>99</v>
      </c>
      <c r="K195" s="3" t="s">
        <v>38</v>
      </c>
      <c r="L195" s="3" t="s">
        <v>39</v>
      </c>
      <c r="M195" s="4">
        <v>3.99</v>
      </c>
    </row>
    <row r="196">
      <c r="A196" s="2">
        <v>45325</v>
      </c>
      <c r="B1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6" s="3" t="str">
        <f>YEAR(KMART_DATA[[#This Row],[Date]])&amp;"-"&amp;TEXT(MONTH(KMART_DATA[[#This Row],[Date]]),"00")</f>
        <v>2024-02</v>
      </c>
      <c r="D196" s="3" t="s">
        <v>28</v>
      </c>
      <c r="E196" s="3" t="s">
        <v>232</v>
      </c>
      <c r="F196" s="3" t="s">
        <v>9</v>
      </c>
      <c r="G1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6" s="3" t="s">
        <v>233</v>
      </c>
      <c r="I196" s="3" t="s">
        <v>31</v>
      </c>
      <c r="J196" s="3" t="s">
        <v>75</v>
      </c>
      <c r="K196" s="3" t="s">
        <v>43</v>
      </c>
      <c r="L196" s="3" t="s">
        <v>44</v>
      </c>
      <c r="M196" s="4">
        <v>17.99</v>
      </c>
    </row>
    <row r="197">
      <c r="A197" s="2">
        <v>45325</v>
      </c>
      <c r="B1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7" s="3" t="str">
        <f>YEAR(KMART_DATA[[#This Row],[Date]])&amp;"-"&amp;TEXT(MONTH(KMART_DATA[[#This Row],[Date]]),"00")</f>
        <v>2024-02</v>
      </c>
      <c r="D197" s="3" t="s">
        <v>28</v>
      </c>
      <c r="E197" s="3" t="s">
        <v>234</v>
      </c>
      <c r="F197" s="3" t="s">
        <v>9</v>
      </c>
      <c r="G1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7" s="3" t="s">
        <v>235</v>
      </c>
      <c r="I197" s="3" t="s">
        <v>31</v>
      </c>
      <c r="J197" s="3" t="s">
        <v>81</v>
      </c>
      <c r="K197" s="3" t="s">
        <v>112</v>
      </c>
      <c r="L197" s="3" t="s">
        <v>113</v>
      </c>
      <c r="M197" s="4">
        <v>23.92</v>
      </c>
    </row>
    <row r="198">
      <c r="A198" s="2">
        <v>45325</v>
      </c>
      <c r="B1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8" s="3" t="str">
        <f>YEAR(KMART_DATA[[#This Row],[Date]])&amp;"-"&amp;TEXT(MONTH(KMART_DATA[[#This Row],[Date]]),"00")</f>
        <v>2024-02</v>
      </c>
      <c r="D198" s="3" t="s">
        <v>28</v>
      </c>
      <c r="E198" s="3" t="s">
        <v>191</v>
      </c>
      <c r="F198" s="3" t="s">
        <v>10</v>
      </c>
      <c r="G1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8" s="3" t="s">
        <v>192</v>
      </c>
      <c r="I198" s="3" t="s">
        <v>31</v>
      </c>
      <c r="J198" s="3" t="s">
        <v>120</v>
      </c>
      <c r="K198" s="3" t="s">
        <v>95</v>
      </c>
      <c r="L198" s="3" t="s">
        <v>96</v>
      </c>
      <c r="M198" s="4">
        <v>786.16</v>
      </c>
    </row>
    <row r="199">
      <c r="A199" s="2">
        <v>45325</v>
      </c>
      <c r="B1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99" s="3" t="str">
        <f>YEAR(KMART_DATA[[#This Row],[Date]])&amp;"-"&amp;TEXT(MONTH(KMART_DATA[[#This Row],[Date]]),"00")</f>
        <v>2024-02</v>
      </c>
      <c r="D199" s="3" t="s">
        <v>28</v>
      </c>
      <c r="E199" s="3" t="s">
        <v>197</v>
      </c>
      <c r="F199" s="3" t="s">
        <v>9</v>
      </c>
      <c r="G1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9" s="3" t="s">
        <v>198</v>
      </c>
      <c r="I199" s="3" t="s">
        <v>31</v>
      </c>
      <c r="J199" s="3" t="s">
        <v>107</v>
      </c>
      <c r="K199" s="3" t="s">
        <v>95</v>
      </c>
      <c r="L199" s="3" t="s">
        <v>96</v>
      </c>
      <c r="M199" s="4">
        <v>12653.07</v>
      </c>
    </row>
    <row r="200">
      <c r="A200" s="2">
        <v>45326</v>
      </c>
      <c r="B2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0" s="3" t="str">
        <f>YEAR(KMART_DATA[[#This Row],[Date]])&amp;"-"&amp;TEXT(MONTH(KMART_DATA[[#This Row],[Date]]),"00")</f>
        <v>2024-02</v>
      </c>
      <c r="D200" s="3" t="s">
        <v>45</v>
      </c>
      <c r="E200" s="3" t="s">
        <v>181</v>
      </c>
      <c r="F200" s="3" t="s">
        <v>11</v>
      </c>
      <c r="G2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0" s="3" t="s">
        <v>182</v>
      </c>
      <c r="I200" s="3" t="s">
        <v>31</v>
      </c>
      <c r="J200" s="3" t="s">
        <v>56</v>
      </c>
      <c r="K200" s="3" t="s">
        <v>95</v>
      </c>
      <c r="L200" s="3" t="s">
        <v>96</v>
      </c>
      <c r="M200" s="4">
        <v>14.97</v>
      </c>
    </row>
    <row r="201">
      <c r="A201" s="2">
        <v>45326</v>
      </c>
      <c r="B2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1" s="3" t="str">
        <f>YEAR(KMART_DATA[[#This Row],[Date]])&amp;"-"&amp;TEXT(MONTH(KMART_DATA[[#This Row],[Date]]),"00")</f>
        <v>2024-02</v>
      </c>
      <c r="D201" s="3" t="s">
        <v>28</v>
      </c>
      <c r="E201" s="3" t="s">
        <v>152</v>
      </c>
      <c r="F201" s="3" t="s">
        <v>11</v>
      </c>
      <c r="G2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1" s="3" t="s">
        <v>153</v>
      </c>
      <c r="I201" s="3" t="s">
        <v>31</v>
      </c>
      <c r="J201" s="3" t="s">
        <v>61</v>
      </c>
      <c r="K201" s="3" t="s">
        <v>112</v>
      </c>
      <c r="L201" s="3" t="s">
        <v>113</v>
      </c>
      <c r="M201" s="4">
        <v>37.91</v>
      </c>
    </row>
    <row r="202">
      <c r="A202" s="2">
        <v>45326</v>
      </c>
      <c r="B2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2" s="3" t="str">
        <f>YEAR(KMART_DATA[[#This Row],[Date]])&amp;"-"&amp;TEXT(MONTH(KMART_DATA[[#This Row],[Date]]),"00")</f>
        <v>2024-02</v>
      </c>
      <c r="D202" s="3" t="s">
        <v>28</v>
      </c>
      <c r="E202" s="3" t="s">
        <v>92</v>
      </c>
      <c r="F202" s="3" t="s">
        <v>10</v>
      </c>
      <c r="G2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2" s="3" t="s">
        <v>93</v>
      </c>
      <c r="I202" s="3" t="s">
        <v>31</v>
      </c>
      <c r="J202" s="3" t="s">
        <v>94</v>
      </c>
      <c r="K202" s="3" t="s">
        <v>123</v>
      </c>
      <c r="L202" s="3" t="s">
        <v>124</v>
      </c>
      <c r="M202" s="4">
        <v>49.97</v>
      </c>
    </row>
    <row r="203">
      <c r="A203" s="2">
        <v>45326</v>
      </c>
      <c r="B2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3" s="3" t="str">
        <f>YEAR(KMART_DATA[[#This Row],[Date]])&amp;"-"&amp;TEXT(MONTH(KMART_DATA[[#This Row],[Date]]),"00")</f>
        <v>2024-02</v>
      </c>
      <c r="D203" s="3" t="s">
        <v>28</v>
      </c>
      <c r="E203" s="3" t="s">
        <v>54</v>
      </c>
      <c r="F203" s="3" t="s">
        <v>11</v>
      </c>
      <c r="G2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3" s="3" t="s">
        <v>55</v>
      </c>
      <c r="I203" s="3" t="s">
        <v>31</v>
      </c>
      <c r="J203" s="3" t="s">
        <v>56</v>
      </c>
      <c r="K203" s="3" t="s">
        <v>123</v>
      </c>
      <c r="L203" s="3" t="s">
        <v>124</v>
      </c>
      <c r="M203" s="4">
        <v>58.96</v>
      </c>
    </row>
    <row r="204">
      <c r="A204" s="2">
        <v>45326</v>
      </c>
      <c r="B2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4" s="3" t="str">
        <f>YEAR(KMART_DATA[[#This Row],[Date]])&amp;"-"&amp;TEXT(MONTH(KMART_DATA[[#This Row],[Date]]),"00")</f>
        <v>2024-02</v>
      </c>
      <c r="D204" s="3" t="s">
        <v>45</v>
      </c>
      <c r="E204" s="3" t="s">
        <v>187</v>
      </c>
      <c r="F204" s="3" t="s">
        <v>11</v>
      </c>
      <c r="G2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4" s="3" t="s">
        <v>188</v>
      </c>
      <c r="I204" s="3" t="s">
        <v>31</v>
      </c>
      <c r="J204" s="3" t="s">
        <v>78</v>
      </c>
      <c r="K204" s="3" t="s">
        <v>33</v>
      </c>
      <c r="L204" s="3" t="s">
        <v>34</v>
      </c>
      <c r="M204" s="4">
        <v>188.22</v>
      </c>
    </row>
    <row r="205">
      <c r="A205" s="2">
        <v>45326</v>
      </c>
      <c r="B2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5" s="3" t="str">
        <f>YEAR(KMART_DATA[[#This Row],[Date]])&amp;"-"&amp;TEXT(MONTH(KMART_DATA[[#This Row],[Date]]),"00")</f>
        <v>2024-02</v>
      </c>
      <c r="D205" s="3" t="s">
        <v>45</v>
      </c>
      <c r="E205" s="3" t="s">
        <v>171</v>
      </c>
      <c r="F205" s="3" t="s">
        <v>10</v>
      </c>
      <c r="G2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5" s="3" t="s">
        <v>172</v>
      </c>
      <c r="I205" s="3" t="s">
        <v>31</v>
      </c>
      <c r="J205" s="3" t="s">
        <v>37</v>
      </c>
      <c r="K205" s="3" t="s">
        <v>95</v>
      </c>
      <c r="L205" s="3" t="s">
        <v>96</v>
      </c>
      <c r="M205" s="4">
        <v>258.74</v>
      </c>
    </row>
    <row r="206">
      <c r="A206" s="2">
        <v>45326</v>
      </c>
      <c r="B2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6" s="3" t="str">
        <f>YEAR(KMART_DATA[[#This Row],[Date]])&amp;"-"&amp;TEXT(MONTH(KMART_DATA[[#This Row],[Date]]),"00")</f>
        <v>2024-02</v>
      </c>
      <c r="D206" s="3" t="s">
        <v>28</v>
      </c>
      <c r="E206" s="3" t="s">
        <v>150</v>
      </c>
      <c r="F206" s="3" t="s">
        <v>15</v>
      </c>
      <c r="G2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06" s="3" t="s">
        <v>151</v>
      </c>
      <c r="I206" s="3" t="s">
        <v>31</v>
      </c>
      <c r="J206" s="3" t="s">
        <v>53</v>
      </c>
      <c r="K206" s="3" t="s">
        <v>123</v>
      </c>
      <c r="L206" s="3" t="s">
        <v>124</v>
      </c>
      <c r="M206" s="4">
        <v>396.54</v>
      </c>
    </row>
    <row r="207">
      <c r="A207" s="2">
        <v>45326</v>
      </c>
      <c r="B2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7" s="3" t="str">
        <f>YEAR(KMART_DATA[[#This Row],[Date]])&amp;"-"&amp;TEXT(MONTH(KMART_DATA[[#This Row],[Date]]),"00")</f>
        <v>2024-02</v>
      </c>
      <c r="D207" s="3" t="s">
        <v>28</v>
      </c>
      <c r="E207" s="3" t="s">
        <v>125</v>
      </c>
      <c r="F207" s="3" t="s">
        <v>10</v>
      </c>
      <c r="G2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7" s="3" t="s">
        <v>126</v>
      </c>
      <c r="I207" s="3" t="s">
        <v>31</v>
      </c>
      <c r="J207" s="3" t="s">
        <v>94</v>
      </c>
      <c r="K207" s="3" t="s">
        <v>71</v>
      </c>
      <c r="L207" s="3" t="s">
        <v>72</v>
      </c>
      <c r="M207" s="4">
        <v>457.87</v>
      </c>
    </row>
    <row r="208">
      <c r="A208" s="2">
        <v>45326</v>
      </c>
      <c r="B2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8" s="3" t="str">
        <f>YEAR(KMART_DATA[[#This Row],[Date]])&amp;"-"&amp;TEXT(MONTH(KMART_DATA[[#This Row],[Date]]),"00")</f>
        <v>2024-02</v>
      </c>
      <c r="D208" s="3" t="s">
        <v>28</v>
      </c>
      <c r="E208" s="3" t="s">
        <v>150</v>
      </c>
      <c r="F208" s="3" t="s">
        <v>15</v>
      </c>
      <c r="G2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08" s="3" t="s">
        <v>151</v>
      </c>
      <c r="I208" s="3" t="s">
        <v>31</v>
      </c>
      <c r="J208" s="3" t="s">
        <v>53</v>
      </c>
      <c r="K208" s="3" t="s">
        <v>33</v>
      </c>
      <c r="L208" s="3" t="s">
        <v>34</v>
      </c>
      <c r="M208" s="4">
        <v>514.98</v>
      </c>
    </row>
    <row r="209">
      <c r="A209" s="2">
        <v>45326</v>
      </c>
      <c r="B2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09" s="3" t="str">
        <f>YEAR(KMART_DATA[[#This Row],[Date]])&amp;"-"&amp;TEXT(MONTH(KMART_DATA[[#This Row],[Date]]),"00")</f>
        <v>2024-02</v>
      </c>
      <c r="D209" s="3" t="s">
        <v>28</v>
      </c>
      <c r="E209" s="3" t="s">
        <v>179</v>
      </c>
      <c r="F209" s="3" t="s">
        <v>9</v>
      </c>
      <c r="G2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9" s="3" t="s">
        <v>180</v>
      </c>
      <c r="I209" s="3" t="s">
        <v>31</v>
      </c>
      <c r="J209" s="3" t="s">
        <v>99</v>
      </c>
      <c r="K209" s="3" t="s">
        <v>43</v>
      </c>
      <c r="L209" s="3" t="s">
        <v>44</v>
      </c>
      <c r="M209" s="4">
        <v>575.43</v>
      </c>
    </row>
    <row r="210">
      <c r="A210" s="2">
        <v>45326</v>
      </c>
      <c r="B2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0" s="3" t="str">
        <f>YEAR(KMART_DATA[[#This Row],[Date]])&amp;"-"&amp;TEXT(MONTH(KMART_DATA[[#This Row],[Date]]),"00")</f>
        <v>2024-02</v>
      </c>
      <c r="D210" s="3" t="s">
        <v>28</v>
      </c>
      <c r="E210" s="3" t="s">
        <v>236</v>
      </c>
      <c r="F210" s="3" t="s">
        <v>12</v>
      </c>
      <c r="G2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0" s="3" t="s">
        <v>237</v>
      </c>
      <c r="I210" s="3" t="s">
        <v>31</v>
      </c>
      <c r="J210" s="3" t="s">
        <v>102</v>
      </c>
      <c r="K210" s="3" t="s">
        <v>57</v>
      </c>
      <c r="L210" s="3" t="s">
        <v>58</v>
      </c>
      <c r="M210" s="4">
        <v>1059.79</v>
      </c>
    </row>
    <row r="211">
      <c r="A211" s="2">
        <v>45326</v>
      </c>
      <c r="B2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1" s="3" t="str">
        <f>YEAR(KMART_DATA[[#This Row],[Date]])&amp;"-"&amp;TEXT(MONTH(KMART_DATA[[#This Row],[Date]]),"00")</f>
        <v>2024-02</v>
      </c>
      <c r="D211" s="3" t="s">
        <v>28</v>
      </c>
      <c r="E211" s="3" t="s">
        <v>110</v>
      </c>
      <c r="F211" s="3" t="s">
        <v>9</v>
      </c>
      <c r="G2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1" s="3" t="s">
        <v>111</v>
      </c>
      <c r="I211" s="3" t="s">
        <v>31</v>
      </c>
      <c r="J211" s="3" t="s">
        <v>81</v>
      </c>
      <c r="K211" s="3" t="s">
        <v>71</v>
      </c>
      <c r="L211" s="3" t="s">
        <v>72</v>
      </c>
      <c r="M211" s="4">
        <v>6048.97</v>
      </c>
    </row>
    <row r="212">
      <c r="A212" s="2">
        <v>45327</v>
      </c>
      <c r="B2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2" s="3" t="str">
        <f>YEAR(KMART_DATA[[#This Row],[Date]])&amp;"-"&amp;TEXT(MONTH(KMART_DATA[[#This Row],[Date]]),"00")</f>
        <v>2024-02</v>
      </c>
      <c r="D212" s="3" t="s">
        <v>45</v>
      </c>
      <c r="E212" s="3" t="s">
        <v>108</v>
      </c>
      <c r="F212" s="3" t="s">
        <v>9</v>
      </c>
      <c r="G2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2" s="3" t="s">
        <v>109</v>
      </c>
      <c r="I212" s="3" t="s">
        <v>31</v>
      </c>
      <c r="J212" s="3" t="s">
        <v>75</v>
      </c>
      <c r="K212" s="3" t="s">
        <v>43</v>
      </c>
      <c r="L212" s="3" t="s">
        <v>44</v>
      </c>
      <c r="M212" s="4">
        <v>9.99</v>
      </c>
    </row>
    <row r="213">
      <c r="A213" s="2">
        <v>45327</v>
      </c>
      <c r="B2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3" s="3" t="str">
        <f>YEAR(KMART_DATA[[#This Row],[Date]])&amp;"-"&amp;TEXT(MONTH(KMART_DATA[[#This Row],[Date]]),"00")</f>
        <v>2024-02</v>
      </c>
      <c r="D213" s="3" t="s">
        <v>28</v>
      </c>
      <c r="E213" s="3" t="s">
        <v>225</v>
      </c>
      <c r="F213" s="3" t="s">
        <v>13</v>
      </c>
      <c r="G2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13" s="3" t="s">
        <v>226</v>
      </c>
      <c r="I213" s="3" t="s">
        <v>31</v>
      </c>
      <c r="J213" s="3" t="s">
        <v>227</v>
      </c>
      <c r="K213" s="3" t="s">
        <v>71</v>
      </c>
      <c r="L213" s="3" t="s">
        <v>72</v>
      </c>
      <c r="M213" s="4">
        <v>35.92</v>
      </c>
    </row>
    <row r="214">
      <c r="A214" s="2">
        <v>45327</v>
      </c>
      <c r="B2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4" s="3" t="str">
        <f>YEAR(KMART_DATA[[#This Row],[Date]])&amp;"-"&amp;TEXT(MONTH(KMART_DATA[[#This Row],[Date]]),"00")</f>
        <v>2024-02</v>
      </c>
      <c r="D214" s="3" t="s">
        <v>45</v>
      </c>
      <c r="E214" s="3" t="s">
        <v>137</v>
      </c>
      <c r="F214" s="3" t="s">
        <v>10</v>
      </c>
      <c r="G2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4" s="3" t="s">
        <v>138</v>
      </c>
      <c r="I214" s="3" t="s">
        <v>31</v>
      </c>
      <c r="J214" s="3" t="s">
        <v>89</v>
      </c>
      <c r="K214" s="3" t="s">
        <v>43</v>
      </c>
      <c r="L214" s="3" t="s">
        <v>44</v>
      </c>
      <c r="M214" s="4">
        <v>67.47</v>
      </c>
    </row>
    <row r="215">
      <c r="A215" s="2">
        <v>45327</v>
      </c>
      <c r="B2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5" s="3" t="str">
        <f>YEAR(KMART_DATA[[#This Row],[Date]])&amp;"-"&amp;TEXT(MONTH(KMART_DATA[[#This Row],[Date]]),"00")</f>
        <v>2024-02</v>
      </c>
      <c r="D215" s="3" t="s">
        <v>45</v>
      </c>
      <c r="E215" s="3" t="s">
        <v>158</v>
      </c>
      <c r="F215" s="3" t="s">
        <v>11</v>
      </c>
      <c r="G2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5" s="3" t="s">
        <v>159</v>
      </c>
      <c r="I215" s="3" t="s">
        <v>31</v>
      </c>
      <c r="J215" s="3" t="s">
        <v>84</v>
      </c>
      <c r="K215" s="3" t="s">
        <v>95</v>
      </c>
      <c r="L215" s="3" t="s">
        <v>96</v>
      </c>
      <c r="M215" s="4">
        <v>105.37</v>
      </c>
    </row>
    <row r="216">
      <c r="A216" s="2">
        <v>45327</v>
      </c>
      <c r="B2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6" s="3" t="str">
        <f>YEAR(KMART_DATA[[#This Row],[Date]])&amp;"-"&amp;TEXT(MONTH(KMART_DATA[[#This Row],[Date]]),"00")</f>
        <v>2024-02</v>
      </c>
      <c r="D216" s="3" t="s">
        <v>45</v>
      </c>
      <c r="E216" s="3" t="s">
        <v>230</v>
      </c>
      <c r="F216" s="3" t="s">
        <v>13</v>
      </c>
      <c r="G2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16" s="3" t="s">
        <v>231</v>
      </c>
      <c r="I216" s="3" t="s">
        <v>31</v>
      </c>
      <c r="J216" s="3" t="s">
        <v>227</v>
      </c>
      <c r="K216" s="3" t="s">
        <v>95</v>
      </c>
      <c r="L216" s="3" t="s">
        <v>96</v>
      </c>
      <c r="M216" s="4">
        <v>139.72</v>
      </c>
    </row>
    <row r="217">
      <c r="A217" s="2">
        <v>45327</v>
      </c>
      <c r="B2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7" s="3" t="str">
        <f>YEAR(KMART_DATA[[#This Row],[Date]])&amp;"-"&amp;TEXT(MONTH(KMART_DATA[[#This Row],[Date]]),"00")</f>
        <v>2024-02</v>
      </c>
      <c r="D217" s="3" t="s">
        <v>28</v>
      </c>
      <c r="E217" s="3" t="s">
        <v>238</v>
      </c>
      <c r="F217" s="3" t="s">
        <v>13</v>
      </c>
      <c r="G2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17" s="3" t="s">
        <v>239</v>
      </c>
      <c r="I217" s="3" t="s">
        <v>31</v>
      </c>
      <c r="J217" s="3" t="s">
        <v>42</v>
      </c>
      <c r="K217" s="3" t="s">
        <v>46</v>
      </c>
      <c r="L217" s="3" t="s">
        <v>47</v>
      </c>
      <c r="M217" s="4">
        <v>537.24</v>
      </c>
    </row>
    <row r="218">
      <c r="A218" s="2">
        <v>45327</v>
      </c>
      <c r="B2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8" s="3" t="str">
        <f>YEAR(KMART_DATA[[#This Row],[Date]])&amp;"-"&amp;TEXT(MONTH(KMART_DATA[[#This Row],[Date]]),"00")</f>
        <v>2024-02</v>
      </c>
      <c r="D218" s="3" t="s">
        <v>28</v>
      </c>
      <c r="E218" s="3" t="s">
        <v>197</v>
      </c>
      <c r="F218" s="3" t="s">
        <v>9</v>
      </c>
      <c r="G2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8" s="3" t="s">
        <v>198</v>
      </c>
      <c r="I218" s="3" t="s">
        <v>31</v>
      </c>
      <c r="J218" s="3" t="s">
        <v>107</v>
      </c>
      <c r="K218" s="3" t="s">
        <v>123</v>
      </c>
      <c r="L218" s="3" t="s">
        <v>124</v>
      </c>
      <c r="M218" s="4">
        <v>598.1</v>
      </c>
    </row>
    <row r="219">
      <c r="A219" s="2">
        <v>45327</v>
      </c>
      <c r="B2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19" s="3" t="str">
        <f>YEAR(KMART_DATA[[#This Row],[Date]])&amp;"-"&amp;TEXT(MONTH(KMART_DATA[[#This Row],[Date]]),"00")</f>
        <v>2024-02</v>
      </c>
      <c r="D219" s="3" t="s">
        <v>28</v>
      </c>
      <c r="E219" s="3" t="s">
        <v>197</v>
      </c>
      <c r="F219" s="3" t="s">
        <v>9</v>
      </c>
      <c r="G2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9" s="3" t="s">
        <v>198</v>
      </c>
      <c r="I219" s="3" t="s">
        <v>31</v>
      </c>
      <c r="J219" s="3" t="s">
        <v>107</v>
      </c>
      <c r="K219" s="3" t="s">
        <v>46</v>
      </c>
      <c r="L219" s="3" t="s">
        <v>47</v>
      </c>
      <c r="M219" s="4">
        <v>2330.86</v>
      </c>
    </row>
    <row r="220">
      <c r="A220" s="2">
        <v>45328</v>
      </c>
      <c r="B2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0" s="3" t="str">
        <f>YEAR(KMART_DATA[[#This Row],[Date]])&amp;"-"&amp;TEXT(MONTH(KMART_DATA[[#This Row],[Date]]),"00")</f>
        <v>2024-02</v>
      </c>
      <c r="D220" s="3" t="s">
        <v>28</v>
      </c>
      <c r="E220" s="3" t="s">
        <v>135</v>
      </c>
      <c r="F220" s="3" t="s">
        <v>16</v>
      </c>
      <c r="G2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20" s="3" t="s">
        <v>136</v>
      </c>
      <c r="I220" s="3" t="s">
        <v>31</v>
      </c>
      <c r="J220" s="3" t="s">
        <v>107</v>
      </c>
      <c r="K220" s="3" t="s">
        <v>112</v>
      </c>
      <c r="L220" s="3" t="s">
        <v>113</v>
      </c>
      <c r="M220" s="4">
        <v>31.0</v>
      </c>
    </row>
    <row r="221">
      <c r="A221" s="2">
        <v>45328</v>
      </c>
      <c r="B2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1" s="3" t="str">
        <f>YEAR(KMART_DATA[[#This Row],[Date]])&amp;"-"&amp;TEXT(MONTH(KMART_DATA[[#This Row],[Date]]),"00")</f>
        <v>2024-02</v>
      </c>
      <c r="D221" s="3" t="s">
        <v>45</v>
      </c>
      <c r="E221" s="3" t="s">
        <v>236</v>
      </c>
      <c r="F221" s="3" t="s">
        <v>12</v>
      </c>
      <c r="G2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1" s="3" t="s">
        <v>237</v>
      </c>
      <c r="I221" s="3" t="s">
        <v>31</v>
      </c>
      <c r="J221" s="3" t="s">
        <v>102</v>
      </c>
      <c r="K221" s="3" t="s">
        <v>43</v>
      </c>
      <c r="L221" s="3" t="s">
        <v>44</v>
      </c>
      <c r="M221" s="4">
        <v>76.92</v>
      </c>
    </row>
    <row r="222">
      <c r="A222" s="2">
        <v>45328</v>
      </c>
      <c r="B2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2" s="3" t="str">
        <f>YEAR(KMART_DATA[[#This Row],[Date]])&amp;"-"&amp;TEXT(MONTH(KMART_DATA[[#This Row],[Date]]),"00")</f>
        <v>2024-02</v>
      </c>
      <c r="D222" s="3" t="s">
        <v>28</v>
      </c>
      <c r="E222" s="3" t="s">
        <v>177</v>
      </c>
      <c r="F222" s="3" t="s">
        <v>12</v>
      </c>
      <c r="G2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2" s="3" t="s">
        <v>178</v>
      </c>
      <c r="I222" s="3" t="s">
        <v>31</v>
      </c>
      <c r="J222" s="3" t="s">
        <v>162</v>
      </c>
      <c r="K222" s="3" t="s">
        <v>95</v>
      </c>
      <c r="L222" s="3" t="s">
        <v>96</v>
      </c>
      <c r="M222" s="4">
        <v>138.26</v>
      </c>
    </row>
    <row r="223">
      <c r="A223" s="2">
        <v>45328</v>
      </c>
      <c r="B2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3" s="3" t="str">
        <f>YEAR(KMART_DATA[[#This Row],[Date]])&amp;"-"&amp;TEXT(MONTH(KMART_DATA[[#This Row],[Date]]),"00")</f>
        <v>2024-02</v>
      </c>
      <c r="D223" s="3" t="s">
        <v>28</v>
      </c>
      <c r="E223" s="3" t="s">
        <v>219</v>
      </c>
      <c r="F223" s="3" t="s">
        <v>11</v>
      </c>
      <c r="G2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3" s="3" t="s">
        <v>220</v>
      </c>
      <c r="I223" s="3" t="s">
        <v>31</v>
      </c>
      <c r="J223" s="3" t="s">
        <v>56</v>
      </c>
      <c r="K223" s="3" t="s">
        <v>43</v>
      </c>
      <c r="L223" s="3" t="s">
        <v>44</v>
      </c>
      <c r="M223" s="4">
        <v>749.56</v>
      </c>
    </row>
    <row r="224">
      <c r="A224" s="2">
        <v>45328</v>
      </c>
      <c r="B2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4" s="3" t="str">
        <f>YEAR(KMART_DATA[[#This Row],[Date]])&amp;"-"&amp;TEXT(MONTH(KMART_DATA[[#This Row],[Date]]),"00")</f>
        <v>2024-02</v>
      </c>
      <c r="D224" s="3" t="s">
        <v>28</v>
      </c>
      <c r="E224" s="3" t="s">
        <v>143</v>
      </c>
      <c r="F224" s="3" t="s">
        <v>14</v>
      </c>
      <c r="G2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24" s="3" t="s">
        <v>144</v>
      </c>
      <c r="I224" s="3" t="s">
        <v>31</v>
      </c>
      <c r="J224" s="3" t="s">
        <v>145</v>
      </c>
      <c r="K224" s="3" t="s">
        <v>71</v>
      </c>
      <c r="L224" s="3" t="s">
        <v>72</v>
      </c>
      <c r="M224" s="4">
        <v>1956.58</v>
      </c>
    </row>
    <row r="225">
      <c r="A225" s="2">
        <v>45329</v>
      </c>
      <c r="B2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5" s="3" t="str">
        <f>YEAR(KMART_DATA[[#This Row],[Date]])&amp;"-"&amp;TEXT(MONTH(KMART_DATA[[#This Row],[Date]]),"00")</f>
        <v>2024-02</v>
      </c>
      <c r="D225" s="3" t="s">
        <v>28</v>
      </c>
      <c r="E225" s="3" t="s">
        <v>129</v>
      </c>
      <c r="F225" s="3" t="s">
        <v>10</v>
      </c>
      <c r="G2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5" s="3" t="s">
        <v>130</v>
      </c>
      <c r="I225" s="3" t="s">
        <v>31</v>
      </c>
      <c r="J225" s="3" t="s">
        <v>120</v>
      </c>
      <c r="K225" s="3" t="s">
        <v>38</v>
      </c>
      <c r="L225" s="3" t="s">
        <v>39</v>
      </c>
      <c r="M225" s="4">
        <v>4.79</v>
      </c>
    </row>
    <row r="226">
      <c r="A226" s="2">
        <v>45329</v>
      </c>
      <c r="B2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6" s="3" t="str">
        <f>YEAR(KMART_DATA[[#This Row],[Date]])&amp;"-"&amp;TEXT(MONTH(KMART_DATA[[#This Row],[Date]]),"00")</f>
        <v>2024-02</v>
      </c>
      <c r="D226" s="3" t="s">
        <v>45</v>
      </c>
      <c r="E226" s="3" t="s">
        <v>35</v>
      </c>
      <c r="F226" s="3" t="s">
        <v>10</v>
      </c>
      <c r="G2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6" s="3" t="s">
        <v>36</v>
      </c>
      <c r="I226" s="3" t="s">
        <v>31</v>
      </c>
      <c r="J226" s="3" t="s">
        <v>37</v>
      </c>
      <c r="K226" s="3" t="s">
        <v>38</v>
      </c>
      <c r="L226" s="3" t="s">
        <v>39</v>
      </c>
      <c r="M226" s="4">
        <v>157.74</v>
      </c>
    </row>
    <row r="227">
      <c r="A227" s="2">
        <v>45329</v>
      </c>
      <c r="B2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7" s="3" t="str">
        <f>YEAR(KMART_DATA[[#This Row],[Date]])&amp;"-"&amp;TEXT(MONTH(KMART_DATA[[#This Row],[Date]]),"00")</f>
        <v>2024-02</v>
      </c>
      <c r="D227" s="3" t="s">
        <v>45</v>
      </c>
      <c r="E227" s="3" t="s">
        <v>35</v>
      </c>
      <c r="F227" s="3" t="s">
        <v>10</v>
      </c>
      <c r="G2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7" s="3" t="s">
        <v>36</v>
      </c>
      <c r="I227" s="3" t="s">
        <v>31</v>
      </c>
      <c r="J227" s="3" t="s">
        <v>37</v>
      </c>
      <c r="K227" s="3" t="s">
        <v>43</v>
      </c>
      <c r="L227" s="3" t="s">
        <v>44</v>
      </c>
      <c r="M227" s="4">
        <v>201.92</v>
      </c>
    </row>
    <row r="228">
      <c r="A228" s="2">
        <v>45329</v>
      </c>
      <c r="B2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8" s="3" t="str">
        <f>YEAR(KMART_DATA[[#This Row],[Date]])&amp;"-"&amp;TEXT(MONTH(KMART_DATA[[#This Row],[Date]]),"00")</f>
        <v>2024-02</v>
      </c>
      <c r="D228" s="3" t="s">
        <v>28</v>
      </c>
      <c r="E228" s="3" t="s">
        <v>35</v>
      </c>
      <c r="F228" s="3" t="s">
        <v>10</v>
      </c>
      <c r="G2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8" s="3" t="s">
        <v>36</v>
      </c>
      <c r="I228" s="3" t="s">
        <v>31</v>
      </c>
      <c r="J228" s="3" t="s">
        <v>37</v>
      </c>
      <c r="K228" s="3" t="s">
        <v>33</v>
      </c>
      <c r="L228" s="3" t="s">
        <v>34</v>
      </c>
      <c r="M228" s="4">
        <v>427.52</v>
      </c>
    </row>
    <row r="229">
      <c r="A229" s="2">
        <v>45329</v>
      </c>
      <c r="B2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29" s="3" t="str">
        <f>YEAR(KMART_DATA[[#This Row],[Date]])&amp;"-"&amp;TEXT(MONTH(KMART_DATA[[#This Row],[Date]]),"00")</f>
        <v>2024-02</v>
      </c>
      <c r="D229" s="3" t="s">
        <v>28</v>
      </c>
      <c r="E229" s="3" t="s">
        <v>137</v>
      </c>
      <c r="F229" s="3" t="s">
        <v>10</v>
      </c>
      <c r="G2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9" s="3" t="s">
        <v>138</v>
      </c>
      <c r="I229" s="3" t="s">
        <v>31</v>
      </c>
      <c r="J229" s="3" t="s">
        <v>89</v>
      </c>
      <c r="K229" s="3" t="s">
        <v>46</v>
      </c>
      <c r="L229" s="3" t="s">
        <v>47</v>
      </c>
      <c r="M229" s="4">
        <v>1058.18</v>
      </c>
    </row>
    <row r="230">
      <c r="A230" s="2">
        <v>45329</v>
      </c>
      <c r="B2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0" s="3" t="str">
        <f>YEAR(KMART_DATA[[#This Row],[Date]])&amp;"-"&amp;TEXT(MONTH(KMART_DATA[[#This Row],[Date]]),"00")</f>
        <v>2024-02</v>
      </c>
      <c r="D230" s="3" t="s">
        <v>28</v>
      </c>
      <c r="E230" s="3" t="s">
        <v>105</v>
      </c>
      <c r="F230" s="3" t="s">
        <v>9</v>
      </c>
      <c r="G2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0" s="3" t="s">
        <v>106</v>
      </c>
      <c r="I230" s="3" t="s">
        <v>31</v>
      </c>
      <c r="J230" s="3" t="s">
        <v>107</v>
      </c>
      <c r="K230" s="3" t="s">
        <v>66</v>
      </c>
      <c r="L230" s="3" t="s">
        <v>67</v>
      </c>
      <c r="M230" s="4">
        <v>3134.88</v>
      </c>
    </row>
    <row r="231">
      <c r="A231" s="2">
        <v>45329</v>
      </c>
      <c r="B2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1" s="3" t="str">
        <f>YEAR(KMART_DATA[[#This Row],[Date]])&amp;"-"&amp;TEXT(MONTH(KMART_DATA[[#This Row],[Date]]),"00")</f>
        <v>2024-02</v>
      </c>
      <c r="D231" s="3" t="s">
        <v>28</v>
      </c>
      <c r="E231" s="3" t="s">
        <v>139</v>
      </c>
      <c r="F231" s="3" t="s">
        <v>10</v>
      </c>
      <c r="G2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1" s="3" t="s">
        <v>140</v>
      </c>
      <c r="I231" s="3" t="s">
        <v>31</v>
      </c>
      <c r="J231" s="3" t="s">
        <v>89</v>
      </c>
      <c r="K231" s="3" t="s">
        <v>71</v>
      </c>
      <c r="L231" s="3" t="s">
        <v>72</v>
      </c>
      <c r="M231" s="4">
        <v>6446.12</v>
      </c>
    </row>
    <row r="232">
      <c r="A232" s="2">
        <v>45330</v>
      </c>
      <c r="B2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2" s="3" t="str">
        <f>YEAR(KMART_DATA[[#This Row],[Date]])&amp;"-"&amp;TEXT(MONTH(KMART_DATA[[#This Row],[Date]]),"00")</f>
        <v>2024-02</v>
      </c>
      <c r="D232" s="3" t="s">
        <v>28</v>
      </c>
      <c r="E232" s="3" t="s">
        <v>143</v>
      </c>
      <c r="F232" s="3" t="s">
        <v>14</v>
      </c>
      <c r="G2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32" s="3" t="s">
        <v>144</v>
      </c>
      <c r="I232" s="3" t="s">
        <v>31</v>
      </c>
      <c r="J232" s="3" t="s">
        <v>145</v>
      </c>
      <c r="K232" s="3" t="s">
        <v>43</v>
      </c>
      <c r="L232" s="3" t="s">
        <v>44</v>
      </c>
      <c r="M232" s="4">
        <v>12.99</v>
      </c>
    </row>
    <row r="233">
      <c r="A233" s="2">
        <v>45330</v>
      </c>
      <c r="B2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3" s="3" t="str">
        <f>YEAR(KMART_DATA[[#This Row],[Date]])&amp;"-"&amp;TEXT(MONTH(KMART_DATA[[#This Row],[Date]]),"00")</f>
        <v>2024-02</v>
      </c>
      <c r="D233" s="3" t="s">
        <v>28</v>
      </c>
      <c r="E233" s="3" t="s">
        <v>240</v>
      </c>
      <c r="F233" s="3" t="s">
        <v>15</v>
      </c>
      <c r="G2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33" s="3" t="s">
        <v>241</v>
      </c>
      <c r="I233" s="3" t="s">
        <v>31</v>
      </c>
      <c r="J233" s="3" t="s">
        <v>53</v>
      </c>
      <c r="K233" s="3" t="s">
        <v>43</v>
      </c>
      <c r="L233" s="3" t="s">
        <v>44</v>
      </c>
      <c r="M233" s="4">
        <v>20.98</v>
      </c>
    </row>
    <row r="234">
      <c r="A234" s="2">
        <v>45330</v>
      </c>
      <c r="B2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4" s="3" t="str">
        <f>YEAR(KMART_DATA[[#This Row],[Date]])&amp;"-"&amp;TEXT(MONTH(KMART_DATA[[#This Row],[Date]]),"00")</f>
        <v>2024-02</v>
      </c>
      <c r="D234" s="3" t="s">
        <v>28</v>
      </c>
      <c r="E234" s="3" t="s">
        <v>165</v>
      </c>
      <c r="F234" s="3" t="s">
        <v>9</v>
      </c>
      <c r="G2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4" s="3" t="s">
        <v>166</v>
      </c>
      <c r="I234" s="3" t="s">
        <v>31</v>
      </c>
      <c r="J234" s="3" t="s">
        <v>99</v>
      </c>
      <c r="K234" s="3" t="s">
        <v>46</v>
      </c>
      <c r="L234" s="3" t="s">
        <v>47</v>
      </c>
      <c r="M234" s="4">
        <v>25.98</v>
      </c>
    </row>
    <row r="235">
      <c r="A235" s="2">
        <v>45330</v>
      </c>
      <c r="B2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5" s="3" t="str">
        <f>YEAR(KMART_DATA[[#This Row],[Date]])&amp;"-"&amp;TEXT(MONTH(KMART_DATA[[#This Row],[Date]]),"00")</f>
        <v>2024-02</v>
      </c>
      <c r="D235" s="3" t="s">
        <v>28</v>
      </c>
      <c r="E235" s="3" t="s">
        <v>242</v>
      </c>
      <c r="F235" s="3" t="s">
        <v>10</v>
      </c>
      <c r="G2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5" s="3" t="s">
        <v>243</v>
      </c>
      <c r="I235" s="3" t="s">
        <v>31</v>
      </c>
      <c r="J235" s="3" t="s">
        <v>94</v>
      </c>
      <c r="K235" s="3" t="s">
        <v>71</v>
      </c>
      <c r="L235" s="3" t="s">
        <v>72</v>
      </c>
      <c r="M235" s="4">
        <v>33.98</v>
      </c>
    </row>
    <row r="236">
      <c r="A236" s="2">
        <v>45330</v>
      </c>
      <c r="B2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6" s="3" t="str">
        <f>YEAR(KMART_DATA[[#This Row],[Date]])&amp;"-"&amp;TEXT(MONTH(KMART_DATA[[#This Row],[Date]]),"00")</f>
        <v>2024-02</v>
      </c>
      <c r="D236" s="3" t="s">
        <v>28</v>
      </c>
      <c r="E236" s="3" t="s">
        <v>244</v>
      </c>
      <c r="F236" s="3" t="s">
        <v>13</v>
      </c>
      <c r="G2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6" s="3" t="s">
        <v>245</v>
      </c>
      <c r="I236" s="3" t="s">
        <v>31</v>
      </c>
      <c r="J236" s="3" t="s">
        <v>42</v>
      </c>
      <c r="K236" s="3" t="s">
        <v>57</v>
      </c>
      <c r="L236" s="3" t="s">
        <v>58</v>
      </c>
      <c r="M236" s="4">
        <v>105.91</v>
      </c>
    </row>
    <row r="237">
      <c r="A237" s="2">
        <v>45330</v>
      </c>
      <c r="B2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7" s="3" t="str">
        <f>YEAR(KMART_DATA[[#This Row],[Date]])&amp;"-"&amp;TEXT(MONTH(KMART_DATA[[#This Row],[Date]]),"00")</f>
        <v>2024-02</v>
      </c>
      <c r="D237" s="3" t="s">
        <v>28</v>
      </c>
      <c r="E237" s="3" t="s">
        <v>246</v>
      </c>
      <c r="F237" s="3" t="s">
        <v>10</v>
      </c>
      <c r="G2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7" s="3" t="s">
        <v>247</v>
      </c>
      <c r="I237" s="3" t="s">
        <v>31</v>
      </c>
      <c r="J237" s="3" t="s">
        <v>37</v>
      </c>
      <c r="K237" s="3" t="s">
        <v>112</v>
      </c>
      <c r="L237" s="3" t="s">
        <v>113</v>
      </c>
      <c r="M237" s="4">
        <v>154.87</v>
      </c>
    </row>
    <row r="238">
      <c r="A238" s="2">
        <v>45330</v>
      </c>
      <c r="B2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8" s="3" t="str">
        <f>YEAR(KMART_DATA[[#This Row],[Date]])&amp;"-"&amp;TEXT(MONTH(KMART_DATA[[#This Row],[Date]]),"00")</f>
        <v>2024-02</v>
      </c>
      <c r="D238" s="3" t="s">
        <v>28</v>
      </c>
      <c r="E238" s="3" t="s">
        <v>82</v>
      </c>
      <c r="F238" s="3" t="s">
        <v>11</v>
      </c>
      <c r="G2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8" s="3" t="s">
        <v>83</v>
      </c>
      <c r="I238" s="3" t="s">
        <v>31</v>
      </c>
      <c r="J238" s="3" t="s">
        <v>84</v>
      </c>
      <c r="K238" s="3" t="s">
        <v>95</v>
      </c>
      <c r="L238" s="3" t="s">
        <v>96</v>
      </c>
      <c r="M238" s="4">
        <v>274.45</v>
      </c>
    </row>
    <row r="239">
      <c r="A239" s="2">
        <v>45330</v>
      </c>
      <c r="B2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39" s="3" t="str">
        <f>YEAR(KMART_DATA[[#This Row],[Date]])&amp;"-"&amp;TEXT(MONTH(KMART_DATA[[#This Row],[Date]]),"00")</f>
        <v>2024-02</v>
      </c>
      <c r="D239" s="3" t="s">
        <v>28</v>
      </c>
      <c r="E239" s="3" t="s">
        <v>73</v>
      </c>
      <c r="F239" s="3" t="s">
        <v>9</v>
      </c>
      <c r="G2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9" s="3" t="s">
        <v>74</v>
      </c>
      <c r="I239" s="3" t="s">
        <v>31</v>
      </c>
      <c r="J239" s="3" t="s">
        <v>75</v>
      </c>
      <c r="K239" s="3" t="s">
        <v>57</v>
      </c>
      <c r="L239" s="3" t="s">
        <v>58</v>
      </c>
      <c r="M239" s="4">
        <v>598.93</v>
      </c>
    </row>
    <row r="240">
      <c r="A240" s="2">
        <v>45330</v>
      </c>
      <c r="B2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0" s="3" t="str">
        <f>YEAR(KMART_DATA[[#This Row],[Date]])&amp;"-"&amp;TEXT(MONTH(KMART_DATA[[#This Row],[Date]]),"00")</f>
        <v>2024-02</v>
      </c>
      <c r="D240" s="3" t="s">
        <v>28</v>
      </c>
      <c r="E240" s="3" t="s">
        <v>48</v>
      </c>
      <c r="F240" s="3" t="s">
        <v>12</v>
      </c>
      <c r="G2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0" s="3" t="s">
        <v>49</v>
      </c>
      <c r="I240" s="3" t="s">
        <v>31</v>
      </c>
      <c r="J240" s="3" t="s">
        <v>50</v>
      </c>
      <c r="K240" s="3" t="s">
        <v>95</v>
      </c>
      <c r="L240" s="3" t="s">
        <v>96</v>
      </c>
      <c r="M240" s="4">
        <v>652.07</v>
      </c>
    </row>
    <row r="241">
      <c r="A241" s="2">
        <v>45331</v>
      </c>
      <c r="B2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1" s="3" t="str">
        <f>YEAR(KMART_DATA[[#This Row],[Date]])&amp;"-"&amp;TEXT(MONTH(KMART_DATA[[#This Row],[Date]]),"00")</f>
        <v>2024-02</v>
      </c>
      <c r="D241" s="3" t="s">
        <v>28</v>
      </c>
      <c r="E241" s="3" t="s">
        <v>221</v>
      </c>
      <c r="F241" s="3" t="s">
        <v>11</v>
      </c>
      <c r="G2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1" s="3" t="s">
        <v>222</v>
      </c>
      <c r="I241" s="3" t="s">
        <v>31</v>
      </c>
      <c r="J241" s="3" t="s">
        <v>56</v>
      </c>
      <c r="K241" s="3" t="s">
        <v>71</v>
      </c>
      <c r="L241" s="3" t="s">
        <v>72</v>
      </c>
      <c r="M241" s="4">
        <v>3.0</v>
      </c>
    </row>
    <row r="242">
      <c r="A242" s="2">
        <v>45331</v>
      </c>
      <c r="B2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2" s="3" t="str">
        <f>YEAR(KMART_DATA[[#This Row],[Date]])&amp;"-"&amp;TEXT(MONTH(KMART_DATA[[#This Row],[Date]]),"00")</f>
        <v>2024-02</v>
      </c>
      <c r="D242" s="3" t="s">
        <v>28</v>
      </c>
      <c r="E242" s="3" t="s">
        <v>203</v>
      </c>
      <c r="F242" s="3" t="s">
        <v>10</v>
      </c>
      <c r="G2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2" s="3" t="s">
        <v>204</v>
      </c>
      <c r="I242" s="3" t="s">
        <v>31</v>
      </c>
      <c r="J242" s="3" t="s">
        <v>89</v>
      </c>
      <c r="K242" s="3" t="s">
        <v>46</v>
      </c>
      <c r="L242" s="3" t="s">
        <v>47</v>
      </c>
      <c r="M242" s="4">
        <v>10.0</v>
      </c>
    </row>
    <row r="243">
      <c r="A243" s="2">
        <v>45331</v>
      </c>
      <c r="B2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3" s="3" t="str">
        <f>YEAR(KMART_DATA[[#This Row],[Date]])&amp;"-"&amp;TEXT(MONTH(KMART_DATA[[#This Row],[Date]]),"00")</f>
        <v>2024-02</v>
      </c>
      <c r="D243" s="3" t="s">
        <v>28</v>
      </c>
      <c r="E243" s="3" t="s">
        <v>152</v>
      </c>
      <c r="F243" s="3" t="s">
        <v>11</v>
      </c>
      <c r="G2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3" s="3" t="s">
        <v>153</v>
      </c>
      <c r="I243" s="3" t="s">
        <v>31</v>
      </c>
      <c r="J243" s="3" t="s">
        <v>61</v>
      </c>
      <c r="K243" s="3" t="s">
        <v>46</v>
      </c>
      <c r="L243" s="3" t="s">
        <v>47</v>
      </c>
      <c r="M243" s="4">
        <v>51.96</v>
      </c>
    </row>
    <row r="244">
      <c r="A244" s="2">
        <v>45331</v>
      </c>
      <c r="B2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4" s="3" t="str">
        <f>YEAR(KMART_DATA[[#This Row],[Date]])&amp;"-"&amp;TEXT(MONTH(KMART_DATA[[#This Row],[Date]]),"00")</f>
        <v>2024-02</v>
      </c>
      <c r="D244" s="3" t="s">
        <v>28</v>
      </c>
      <c r="E244" s="3" t="s">
        <v>193</v>
      </c>
      <c r="F244" s="3" t="s">
        <v>9</v>
      </c>
      <c r="G2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4" s="3" t="s">
        <v>194</v>
      </c>
      <c r="I244" s="3" t="s">
        <v>31</v>
      </c>
      <c r="J244" s="3" t="s">
        <v>99</v>
      </c>
      <c r="K244" s="3" t="s">
        <v>123</v>
      </c>
      <c r="L244" s="3" t="s">
        <v>124</v>
      </c>
      <c r="M244" s="4">
        <v>584.04</v>
      </c>
    </row>
    <row r="245">
      <c r="A245" s="2">
        <v>45331</v>
      </c>
      <c r="B2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5" s="3" t="str">
        <f>YEAR(KMART_DATA[[#This Row],[Date]])&amp;"-"&amp;TEXT(MONTH(KMART_DATA[[#This Row],[Date]]),"00")</f>
        <v>2024-02</v>
      </c>
      <c r="D245" s="3" t="s">
        <v>28</v>
      </c>
      <c r="E245" s="3" t="s">
        <v>242</v>
      </c>
      <c r="F245" s="3" t="s">
        <v>10</v>
      </c>
      <c r="G2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5" s="3" t="s">
        <v>243</v>
      </c>
      <c r="I245" s="3" t="s">
        <v>31</v>
      </c>
      <c r="J245" s="3" t="s">
        <v>94</v>
      </c>
      <c r="K245" s="3" t="s">
        <v>43</v>
      </c>
      <c r="L245" s="3" t="s">
        <v>44</v>
      </c>
      <c r="M245" s="4">
        <v>673.73</v>
      </c>
    </row>
    <row r="246">
      <c r="A246" s="2">
        <v>45331</v>
      </c>
      <c r="B2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6" s="3" t="str">
        <f>YEAR(KMART_DATA[[#This Row],[Date]])&amp;"-"&amp;TEXT(MONTH(KMART_DATA[[#This Row],[Date]]),"00")</f>
        <v>2024-02</v>
      </c>
      <c r="D246" s="3" t="s">
        <v>28</v>
      </c>
      <c r="E246" s="3" t="s">
        <v>197</v>
      </c>
      <c r="F246" s="3" t="s">
        <v>9</v>
      </c>
      <c r="G2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6" s="3" t="s">
        <v>198</v>
      </c>
      <c r="I246" s="3" t="s">
        <v>31</v>
      </c>
      <c r="J246" s="3" t="s">
        <v>107</v>
      </c>
      <c r="K246" s="3" t="s">
        <v>57</v>
      </c>
      <c r="L246" s="3" t="s">
        <v>58</v>
      </c>
      <c r="M246" s="4">
        <v>6008.17</v>
      </c>
    </row>
    <row r="247">
      <c r="A247" s="2">
        <v>45332</v>
      </c>
      <c r="B2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7" s="3" t="str">
        <f>YEAR(KMART_DATA[[#This Row],[Date]])&amp;"-"&amp;TEXT(MONTH(KMART_DATA[[#This Row],[Date]]),"00")</f>
        <v>2024-02</v>
      </c>
      <c r="D247" s="3" t="s">
        <v>28</v>
      </c>
      <c r="E247" s="3" t="s">
        <v>133</v>
      </c>
      <c r="F247" s="3" t="s">
        <v>10</v>
      </c>
      <c r="G2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7" s="3" t="s">
        <v>134</v>
      </c>
      <c r="I247" s="3" t="s">
        <v>31</v>
      </c>
      <c r="J247" s="3" t="s">
        <v>37</v>
      </c>
      <c r="K247" s="3" t="s">
        <v>43</v>
      </c>
      <c r="L247" s="3" t="s">
        <v>44</v>
      </c>
      <c r="M247" s="4">
        <v>1.8</v>
      </c>
    </row>
    <row r="248">
      <c r="A248" s="2">
        <v>45332</v>
      </c>
      <c r="B2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8" s="3" t="str">
        <f>YEAR(KMART_DATA[[#This Row],[Date]])&amp;"-"&amp;TEXT(MONTH(KMART_DATA[[#This Row],[Date]]),"00")</f>
        <v>2024-02</v>
      </c>
      <c r="D248" s="3" t="s">
        <v>28</v>
      </c>
      <c r="E248" s="3" t="s">
        <v>163</v>
      </c>
      <c r="F248" s="3" t="s">
        <v>9</v>
      </c>
      <c r="G2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8" s="3" t="s">
        <v>164</v>
      </c>
      <c r="I248" s="3" t="s">
        <v>31</v>
      </c>
      <c r="J248" s="3" t="s">
        <v>81</v>
      </c>
      <c r="K248" s="3" t="s">
        <v>71</v>
      </c>
      <c r="L248" s="3" t="s">
        <v>72</v>
      </c>
      <c r="M248" s="4">
        <v>9.99</v>
      </c>
    </row>
    <row r="249">
      <c r="A249" s="2">
        <v>45332</v>
      </c>
      <c r="B2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49" s="3" t="str">
        <f>YEAR(KMART_DATA[[#This Row],[Date]])&amp;"-"&amp;TEXT(MONTH(KMART_DATA[[#This Row],[Date]]),"00")</f>
        <v>2024-02</v>
      </c>
      <c r="D249" s="3" t="s">
        <v>28</v>
      </c>
      <c r="E249" s="3" t="s">
        <v>97</v>
      </c>
      <c r="F249" s="3" t="s">
        <v>9</v>
      </c>
      <c r="G2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9" s="3" t="s">
        <v>98</v>
      </c>
      <c r="I249" s="3" t="s">
        <v>31</v>
      </c>
      <c r="J249" s="3" t="s">
        <v>99</v>
      </c>
      <c r="K249" s="3" t="s">
        <v>57</v>
      </c>
      <c r="L249" s="3" t="s">
        <v>58</v>
      </c>
      <c r="M249" s="4">
        <v>25.98</v>
      </c>
    </row>
    <row r="250">
      <c r="A250" s="2">
        <v>45332</v>
      </c>
      <c r="B2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0" s="3" t="str">
        <f>YEAR(KMART_DATA[[#This Row],[Date]])&amp;"-"&amp;TEXT(MONTH(KMART_DATA[[#This Row],[Date]]),"00")</f>
        <v>2024-02</v>
      </c>
      <c r="D250" s="3" t="s">
        <v>28</v>
      </c>
      <c r="E250" s="3" t="s">
        <v>173</v>
      </c>
      <c r="F250" s="3" t="s">
        <v>11</v>
      </c>
      <c r="G2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0" s="3" t="s">
        <v>174</v>
      </c>
      <c r="I250" s="3" t="s">
        <v>31</v>
      </c>
      <c r="J250" s="3" t="s">
        <v>61</v>
      </c>
      <c r="K250" s="3" t="s">
        <v>33</v>
      </c>
      <c r="L250" s="3" t="s">
        <v>34</v>
      </c>
      <c r="M250" s="4">
        <v>31.12</v>
      </c>
    </row>
    <row r="251">
      <c r="A251" s="2">
        <v>45332</v>
      </c>
      <c r="B2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1" s="3" t="str">
        <f>YEAR(KMART_DATA[[#This Row],[Date]])&amp;"-"&amp;TEXT(MONTH(KMART_DATA[[#This Row],[Date]]),"00")</f>
        <v>2024-02</v>
      </c>
      <c r="D251" s="3" t="s">
        <v>28</v>
      </c>
      <c r="E251" s="3" t="s">
        <v>79</v>
      </c>
      <c r="F251" s="3" t="s">
        <v>9</v>
      </c>
      <c r="G2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1" s="3" t="s">
        <v>80</v>
      </c>
      <c r="I251" s="3" t="s">
        <v>31</v>
      </c>
      <c r="J251" s="3" t="s">
        <v>81</v>
      </c>
      <c r="K251" s="3" t="s">
        <v>43</v>
      </c>
      <c r="L251" s="3" t="s">
        <v>44</v>
      </c>
      <c r="M251" s="4">
        <v>58.97</v>
      </c>
    </row>
    <row r="252">
      <c r="A252" s="2">
        <v>45332</v>
      </c>
      <c r="B2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2" s="3" t="str">
        <f>YEAR(KMART_DATA[[#This Row],[Date]])&amp;"-"&amp;TEXT(MONTH(KMART_DATA[[#This Row],[Date]]),"00")</f>
        <v>2024-02</v>
      </c>
      <c r="D252" s="3" t="s">
        <v>45</v>
      </c>
      <c r="E252" s="3" t="s">
        <v>205</v>
      </c>
      <c r="F252" s="3" t="s">
        <v>10</v>
      </c>
      <c r="G2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2" s="3" t="s">
        <v>206</v>
      </c>
      <c r="I252" s="3" t="s">
        <v>31</v>
      </c>
      <c r="J252" s="3" t="s">
        <v>37</v>
      </c>
      <c r="K252" s="3" t="s">
        <v>46</v>
      </c>
      <c r="L252" s="3" t="s">
        <v>47</v>
      </c>
      <c r="M252" s="4">
        <v>207.84</v>
      </c>
    </row>
    <row r="253">
      <c r="A253" s="2">
        <v>45332</v>
      </c>
      <c r="B2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3" s="3" t="str">
        <f>YEAR(KMART_DATA[[#This Row],[Date]])&amp;"-"&amp;TEXT(MONTH(KMART_DATA[[#This Row],[Date]]),"00")</f>
        <v>2024-02</v>
      </c>
      <c r="D253" s="3" t="s">
        <v>28</v>
      </c>
      <c r="E253" s="3" t="s">
        <v>154</v>
      </c>
      <c r="F253" s="3" t="s">
        <v>11</v>
      </c>
      <c r="G2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3" s="3" t="s">
        <v>155</v>
      </c>
      <c r="I253" s="3" t="s">
        <v>31</v>
      </c>
      <c r="J253" s="3" t="s">
        <v>84</v>
      </c>
      <c r="K253" s="3" t="s">
        <v>43</v>
      </c>
      <c r="L253" s="3" t="s">
        <v>44</v>
      </c>
      <c r="M253" s="4">
        <v>2026.49</v>
      </c>
    </row>
    <row r="254">
      <c r="A254" s="2">
        <v>45333</v>
      </c>
      <c r="B2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4" s="3" t="str">
        <f>YEAR(KMART_DATA[[#This Row],[Date]])&amp;"-"&amp;TEXT(MONTH(KMART_DATA[[#This Row],[Date]]),"00")</f>
        <v>2024-02</v>
      </c>
      <c r="D254" s="3" t="s">
        <v>28</v>
      </c>
      <c r="E254" s="3" t="s">
        <v>100</v>
      </c>
      <c r="F254" s="3" t="s">
        <v>12</v>
      </c>
      <c r="G2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54" s="3" t="s">
        <v>101</v>
      </c>
      <c r="I254" s="3" t="s">
        <v>31</v>
      </c>
      <c r="J254" s="3" t="s">
        <v>102</v>
      </c>
      <c r="K254" s="3" t="s">
        <v>71</v>
      </c>
      <c r="L254" s="3" t="s">
        <v>72</v>
      </c>
      <c r="M254" s="4">
        <v>1.0</v>
      </c>
    </row>
    <row r="255">
      <c r="A255" s="2">
        <v>45333</v>
      </c>
      <c r="B2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5" s="3" t="str">
        <f>YEAR(KMART_DATA[[#This Row],[Date]])&amp;"-"&amp;TEXT(MONTH(KMART_DATA[[#This Row],[Date]]),"00")</f>
        <v>2024-02</v>
      </c>
      <c r="D255" s="3" t="s">
        <v>28</v>
      </c>
      <c r="E255" s="3" t="s">
        <v>62</v>
      </c>
      <c r="F255" s="3" t="s">
        <v>12</v>
      </c>
      <c r="G2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55" s="3" t="s">
        <v>63</v>
      </c>
      <c r="I255" s="3" t="s">
        <v>31</v>
      </c>
      <c r="J255" s="3" t="s">
        <v>50</v>
      </c>
      <c r="K255" s="3" t="s">
        <v>57</v>
      </c>
      <c r="L255" s="3" t="s">
        <v>58</v>
      </c>
      <c r="M255" s="4">
        <v>10.99</v>
      </c>
    </row>
    <row r="256">
      <c r="A256" s="2">
        <v>45333</v>
      </c>
      <c r="B2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6" s="3" t="str">
        <f>YEAR(KMART_DATA[[#This Row],[Date]])&amp;"-"&amp;TEXT(MONTH(KMART_DATA[[#This Row],[Date]]),"00")</f>
        <v>2024-02</v>
      </c>
      <c r="D256" s="3" t="s">
        <v>45</v>
      </c>
      <c r="E256" s="3" t="s">
        <v>193</v>
      </c>
      <c r="F256" s="3" t="s">
        <v>9</v>
      </c>
      <c r="G2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6" s="3" t="s">
        <v>194</v>
      </c>
      <c r="I256" s="3" t="s">
        <v>31</v>
      </c>
      <c r="J256" s="3" t="s">
        <v>99</v>
      </c>
      <c r="K256" s="3" t="s">
        <v>46</v>
      </c>
      <c r="L256" s="3" t="s">
        <v>47</v>
      </c>
      <c r="M256" s="4">
        <v>14.99</v>
      </c>
    </row>
    <row r="257">
      <c r="A257" s="2">
        <v>45333</v>
      </c>
      <c r="B2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7" s="3" t="str">
        <f>YEAR(KMART_DATA[[#This Row],[Date]])&amp;"-"&amp;TEXT(MONTH(KMART_DATA[[#This Row],[Date]]),"00")</f>
        <v>2024-02</v>
      </c>
      <c r="D257" s="3" t="s">
        <v>28</v>
      </c>
      <c r="E257" s="3" t="s">
        <v>191</v>
      </c>
      <c r="F257" s="3" t="s">
        <v>10</v>
      </c>
      <c r="G2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7" s="3" t="s">
        <v>192</v>
      </c>
      <c r="I257" s="3" t="s">
        <v>31</v>
      </c>
      <c r="J257" s="3" t="s">
        <v>120</v>
      </c>
      <c r="K257" s="3" t="s">
        <v>43</v>
      </c>
      <c r="L257" s="3" t="s">
        <v>44</v>
      </c>
      <c r="M257" s="4">
        <v>15.99</v>
      </c>
    </row>
    <row r="258">
      <c r="A258" s="2">
        <v>45333</v>
      </c>
      <c r="B2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8" s="3" t="str">
        <f>YEAR(KMART_DATA[[#This Row],[Date]])&amp;"-"&amp;TEXT(MONTH(KMART_DATA[[#This Row],[Date]]),"00")</f>
        <v>2024-02</v>
      </c>
      <c r="D258" s="3" t="s">
        <v>28</v>
      </c>
      <c r="E258" s="3" t="s">
        <v>82</v>
      </c>
      <c r="F258" s="3" t="s">
        <v>11</v>
      </c>
      <c r="G2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8" s="3" t="s">
        <v>83</v>
      </c>
      <c r="I258" s="3" t="s">
        <v>31</v>
      </c>
      <c r="J258" s="3" t="s">
        <v>84</v>
      </c>
      <c r="K258" s="3" t="s">
        <v>95</v>
      </c>
      <c r="L258" s="3" t="s">
        <v>96</v>
      </c>
      <c r="M258" s="4">
        <v>27.27</v>
      </c>
    </row>
    <row r="259">
      <c r="A259" s="2">
        <v>45333</v>
      </c>
      <c r="B2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59" s="3" t="str">
        <f>YEAR(KMART_DATA[[#This Row],[Date]])&amp;"-"&amp;TEXT(MONTH(KMART_DATA[[#This Row],[Date]]),"00")</f>
        <v>2024-02</v>
      </c>
      <c r="D259" s="3" t="s">
        <v>28</v>
      </c>
      <c r="E259" s="3" t="s">
        <v>199</v>
      </c>
      <c r="F259" s="3" t="s">
        <v>13</v>
      </c>
      <c r="G2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9" s="3" t="s">
        <v>200</v>
      </c>
      <c r="I259" s="3" t="s">
        <v>31</v>
      </c>
      <c r="J259" s="3" t="s">
        <v>42</v>
      </c>
      <c r="K259" s="3" t="s">
        <v>46</v>
      </c>
      <c r="L259" s="3" t="s">
        <v>47</v>
      </c>
      <c r="M259" s="4">
        <v>53.91</v>
      </c>
    </row>
    <row r="260">
      <c r="A260" s="2">
        <v>45333</v>
      </c>
      <c r="B2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0" s="3" t="str">
        <f>YEAR(KMART_DATA[[#This Row],[Date]])&amp;"-"&amp;TEXT(MONTH(KMART_DATA[[#This Row],[Date]]),"00")</f>
        <v>2024-02</v>
      </c>
      <c r="D260" s="3" t="s">
        <v>45</v>
      </c>
      <c r="E260" s="3" t="s">
        <v>213</v>
      </c>
      <c r="F260" s="3" t="s">
        <v>11</v>
      </c>
      <c r="G2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0" s="3" t="s">
        <v>214</v>
      </c>
      <c r="I260" s="3" t="s">
        <v>31</v>
      </c>
      <c r="J260" s="3" t="s">
        <v>32</v>
      </c>
      <c r="K260" s="3" t="s">
        <v>71</v>
      </c>
      <c r="L260" s="3" t="s">
        <v>72</v>
      </c>
      <c r="M260" s="4">
        <v>81.95</v>
      </c>
    </row>
    <row r="261">
      <c r="A261" s="2">
        <v>45333</v>
      </c>
      <c r="B2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1" s="3" t="str">
        <f>YEAR(KMART_DATA[[#This Row],[Date]])&amp;"-"&amp;TEXT(MONTH(KMART_DATA[[#This Row],[Date]]),"00")</f>
        <v>2024-02</v>
      </c>
      <c r="D261" s="3" t="s">
        <v>28</v>
      </c>
      <c r="E261" s="3" t="s">
        <v>183</v>
      </c>
      <c r="F261" s="3" t="s">
        <v>9</v>
      </c>
      <c r="G2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1" s="3" t="s">
        <v>184</v>
      </c>
      <c r="I261" s="3" t="s">
        <v>31</v>
      </c>
      <c r="J261" s="3" t="s">
        <v>70</v>
      </c>
      <c r="K261" s="3" t="s">
        <v>123</v>
      </c>
      <c r="L261" s="3" t="s">
        <v>124</v>
      </c>
      <c r="M261" s="4">
        <v>701.67</v>
      </c>
    </row>
    <row r="262">
      <c r="A262" s="2">
        <v>45333</v>
      </c>
      <c r="B2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2" s="3" t="str">
        <f>YEAR(KMART_DATA[[#This Row],[Date]])&amp;"-"&amp;TEXT(MONTH(KMART_DATA[[#This Row],[Date]]),"00")</f>
        <v>2024-02</v>
      </c>
      <c r="D262" s="3" t="s">
        <v>28</v>
      </c>
      <c r="E262" s="3" t="s">
        <v>79</v>
      </c>
      <c r="F262" s="3" t="s">
        <v>9</v>
      </c>
      <c r="G2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2" s="3" t="s">
        <v>80</v>
      </c>
      <c r="I262" s="3" t="s">
        <v>31</v>
      </c>
      <c r="J262" s="3" t="s">
        <v>81</v>
      </c>
      <c r="K262" s="3" t="s">
        <v>46</v>
      </c>
      <c r="L262" s="3" t="s">
        <v>47</v>
      </c>
      <c r="M262" s="4">
        <v>2088.89</v>
      </c>
    </row>
    <row r="263">
      <c r="A263" s="2">
        <v>45333</v>
      </c>
      <c r="B2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3" s="3" t="str">
        <f>YEAR(KMART_DATA[[#This Row],[Date]])&amp;"-"&amp;TEXT(MONTH(KMART_DATA[[#This Row],[Date]]),"00")</f>
        <v>2024-02</v>
      </c>
      <c r="D263" s="3" t="s">
        <v>28</v>
      </c>
      <c r="E263" s="3" t="s">
        <v>143</v>
      </c>
      <c r="F263" s="3" t="s">
        <v>14</v>
      </c>
      <c r="G2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63" s="3" t="s">
        <v>144</v>
      </c>
      <c r="I263" s="3" t="s">
        <v>31</v>
      </c>
      <c r="J263" s="3" t="s">
        <v>145</v>
      </c>
      <c r="K263" s="3" t="s">
        <v>57</v>
      </c>
      <c r="L263" s="3" t="s">
        <v>58</v>
      </c>
      <c r="M263" s="4">
        <v>4345.06</v>
      </c>
    </row>
    <row r="264">
      <c r="A264" s="2">
        <v>45334</v>
      </c>
      <c r="B2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4" s="3" t="str">
        <f>YEAR(KMART_DATA[[#This Row],[Date]])&amp;"-"&amp;TEXT(MONTH(KMART_DATA[[#This Row],[Date]]),"00")</f>
        <v>2024-02</v>
      </c>
      <c r="D264" s="3" t="s">
        <v>28</v>
      </c>
      <c r="E264" s="3" t="s">
        <v>148</v>
      </c>
      <c r="F264" s="3" t="s">
        <v>12</v>
      </c>
      <c r="G2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4" s="3" t="s">
        <v>149</v>
      </c>
      <c r="I264" s="3" t="s">
        <v>31</v>
      </c>
      <c r="J264" s="3" t="s">
        <v>50</v>
      </c>
      <c r="K264" s="3" t="s">
        <v>112</v>
      </c>
      <c r="L264" s="3" t="s">
        <v>113</v>
      </c>
      <c r="M264" s="4">
        <v>63.89</v>
      </c>
    </row>
    <row r="265">
      <c r="A265" s="2">
        <v>45334</v>
      </c>
      <c r="B2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5" s="3" t="str">
        <f>YEAR(KMART_DATA[[#This Row],[Date]])&amp;"-"&amp;TEXT(MONTH(KMART_DATA[[#This Row],[Date]]),"00")</f>
        <v>2024-02</v>
      </c>
      <c r="D265" s="3" t="s">
        <v>28</v>
      </c>
      <c r="E265" s="3" t="s">
        <v>73</v>
      </c>
      <c r="F265" s="3" t="s">
        <v>9</v>
      </c>
      <c r="G2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5" s="3" t="s">
        <v>74</v>
      </c>
      <c r="I265" s="3" t="s">
        <v>31</v>
      </c>
      <c r="J265" s="3" t="s">
        <v>75</v>
      </c>
      <c r="K265" s="3" t="s">
        <v>38</v>
      </c>
      <c r="L265" s="3" t="s">
        <v>39</v>
      </c>
      <c r="M265" s="4">
        <v>183.67</v>
      </c>
    </row>
    <row r="266">
      <c r="A266" s="2">
        <v>45334</v>
      </c>
      <c r="B2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6" s="3" t="str">
        <f>YEAR(KMART_DATA[[#This Row],[Date]])&amp;"-"&amp;TEXT(MONTH(KMART_DATA[[#This Row],[Date]]),"00")</f>
        <v>2024-02</v>
      </c>
      <c r="D266" s="3" t="s">
        <v>28</v>
      </c>
      <c r="E266" s="3" t="s">
        <v>160</v>
      </c>
      <c r="F266" s="3" t="s">
        <v>12</v>
      </c>
      <c r="G2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6" s="3" t="s">
        <v>161</v>
      </c>
      <c r="I266" s="3" t="s">
        <v>31</v>
      </c>
      <c r="J266" s="3" t="s">
        <v>162</v>
      </c>
      <c r="K266" s="3" t="s">
        <v>123</v>
      </c>
      <c r="L266" s="3" t="s">
        <v>124</v>
      </c>
      <c r="M266" s="4">
        <v>2951.13</v>
      </c>
    </row>
    <row r="267">
      <c r="A267" s="2">
        <v>45335</v>
      </c>
      <c r="B2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7" s="3" t="str">
        <f>YEAR(KMART_DATA[[#This Row],[Date]])&amp;"-"&amp;TEXT(MONTH(KMART_DATA[[#This Row],[Date]]),"00")</f>
        <v>2024-02</v>
      </c>
      <c r="D267" s="3" t="s">
        <v>28</v>
      </c>
      <c r="E267" s="3" t="s">
        <v>185</v>
      </c>
      <c r="F267" s="3" t="s">
        <v>12</v>
      </c>
      <c r="G2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7" s="3" t="s">
        <v>186</v>
      </c>
      <c r="I267" s="3" t="s">
        <v>31</v>
      </c>
      <c r="J267" s="3" t="s">
        <v>162</v>
      </c>
      <c r="K267" s="3" t="s">
        <v>43</v>
      </c>
      <c r="L267" s="3" t="s">
        <v>44</v>
      </c>
      <c r="M267" s="4">
        <v>8.0</v>
      </c>
    </row>
    <row r="268">
      <c r="A268" s="2">
        <v>45335</v>
      </c>
      <c r="B2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8" s="3" t="str">
        <f>YEAR(KMART_DATA[[#This Row],[Date]])&amp;"-"&amp;TEXT(MONTH(KMART_DATA[[#This Row],[Date]]),"00")</f>
        <v>2024-02</v>
      </c>
      <c r="D268" s="3" t="s">
        <v>45</v>
      </c>
      <c r="E268" s="3" t="s">
        <v>221</v>
      </c>
      <c r="F268" s="3" t="s">
        <v>11</v>
      </c>
      <c r="G2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8" s="3" t="s">
        <v>222</v>
      </c>
      <c r="I268" s="3" t="s">
        <v>31</v>
      </c>
      <c r="J268" s="3" t="s">
        <v>56</v>
      </c>
      <c r="K268" s="3" t="s">
        <v>66</v>
      </c>
      <c r="L268" s="3" t="s">
        <v>67</v>
      </c>
      <c r="M268" s="4">
        <v>44.38</v>
      </c>
    </row>
    <row r="269">
      <c r="A269" s="2">
        <v>45335</v>
      </c>
      <c r="B2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69" s="3" t="str">
        <f>YEAR(KMART_DATA[[#This Row],[Date]])&amp;"-"&amp;TEXT(MONTH(KMART_DATA[[#This Row],[Date]]),"00")</f>
        <v>2024-02</v>
      </c>
      <c r="D269" s="3" t="s">
        <v>28</v>
      </c>
      <c r="E269" s="3" t="s">
        <v>246</v>
      </c>
      <c r="F269" s="3" t="s">
        <v>10</v>
      </c>
      <c r="G2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9" s="3" t="s">
        <v>247</v>
      </c>
      <c r="I269" s="3" t="s">
        <v>31</v>
      </c>
      <c r="J269" s="3" t="s">
        <v>37</v>
      </c>
      <c r="K269" s="3" t="s">
        <v>43</v>
      </c>
      <c r="L269" s="3" t="s">
        <v>44</v>
      </c>
      <c r="M269" s="4">
        <v>91.95</v>
      </c>
    </row>
    <row r="270">
      <c r="A270" s="2">
        <v>45335</v>
      </c>
      <c r="B2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0" s="3" t="str">
        <f>YEAR(KMART_DATA[[#This Row],[Date]])&amp;"-"&amp;TEXT(MONTH(KMART_DATA[[#This Row],[Date]]),"00")</f>
        <v>2024-02</v>
      </c>
      <c r="D270" s="3" t="s">
        <v>45</v>
      </c>
      <c r="E270" s="3" t="s">
        <v>163</v>
      </c>
      <c r="F270" s="3" t="s">
        <v>9</v>
      </c>
      <c r="G2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0" s="3" t="s">
        <v>164</v>
      </c>
      <c r="I270" s="3" t="s">
        <v>31</v>
      </c>
      <c r="J270" s="3" t="s">
        <v>81</v>
      </c>
      <c r="K270" s="3" t="s">
        <v>38</v>
      </c>
      <c r="L270" s="3" t="s">
        <v>39</v>
      </c>
      <c r="M270" s="4">
        <v>114.78</v>
      </c>
    </row>
    <row r="271">
      <c r="A271" s="2">
        <v>45335</v>
      </c>
      <c r="B2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1" s="3" t="str">
        <f>YEAR(KMART_DATA[[#This Row],[Date]])&amp;"-"&amp;TEXT(MONTH(KMART_DATA[[#This Row],[Date]]),"00")</f>
        <v>2024-02</v>
      </c>
      <c r="D271" s="3" t="s">
        <v>28</v>
      </c>
      <c r="E271" s="3" t="s">
        <v>114</v>
      </c>
      <c r="F271" s="3" t="s">
        <v>9</v>
      </c>
      <c r="G2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1" s="3" t="s">
        <v>115</v>
      </c>
      <c r="I271" s="3" t="s">
        <v>31</v>
      </c>
      <c r="J271" s="3" t="s">
        <v>99</v>
      </c>
      <c r="K271" s="3" t="s">
        <v>38</v>
      </c>
      <c r="L271" s="3" t="s">
        <v>39</v>
      </c>
      <c r="M271" s="4">
        <v>209.8</v>
      </c>
    </row>
    <row r="272">
      <c r="A272" s="2">
        <v>45335</v>
      </c>
      <c r="B2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2" s="3" t="str">
        <f>YEAR(KMART_DATA[[#This Row],[Date]])&amp;"-"&amp;TEXT(MONTH(KMART_DATA[[#This Row],[Date]]),"00")</f>
        <v>2024-02</v>
      </c>
      <c r="D272" s="3" t="s">
        <v>28</v>
      </c>
      <c r="E272" s="3" t="s">
        <v>100</v>
      </c>
      <c r="F272" s="3" t="s">
        <v>12</v>
      </c>
      <c r="G2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2" s="3" t="s">
        <v>101</v>
      </c>
      <c r="I272" s="3" t="s">
        <v>31</v>
      </c>
      <c r="J272" s="3" t="s">
        <v>102</v>
      </c>
      <c r="K272" s="3" t="s">
        <v>33</v>
      </c>
      <c r="L272" s="3" t="s">
        <v>34</v>
      </c>
      <c r="M272" s="4">
        <v>537.05</v>
      </c>
    </row>
    <row r="273">
      <c r="A273" s="2">
        <v>45335</v>
      </c>
      <c r="B2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3" s="3" t="str">
        <f>YEAR(KMART_DATA[[#This Row],[Date]])&amp;"-"&amp;TEXT(MONTH(KMART_DATA[[#This Row],[Date]]),"00")</f>
        <v>2024-02</v>
      </c>
      <c r="D273" s="3" t="s">
        <v>28</v>
      </c>
      <c r="E273" s="3" t="s">
        <v>131</v>
      </c>
      <c r="F273" s="3" t="s">
        <v>11</v>
      </c>
      <c r="G2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3" s="3" t="s">
        <v>132</v>
      </c>
      <c r="I273" s="3" t="s">
        <v>31</v>
      </c>
      <c r="J273" s="3" t="s">
        <v>32</v>
      </c>
      <c r="K273" s="3" t="s">
        <v>46</v>
      </c>
      <c r="L273" s="3" t="s">
        <v>47</v>
      </c>
      <c r="M273" s="4">
        <v>983.98</v>
      </c>
    </row>
    <row r="274">
      <c r="A274" s="2">
        <v>45336</v>
      </c>
      <c r="B2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4" s="3" t="str">
        <f>YEAR(KMART_DATA[[#This Row],[Date]])&amp;"-"&amp;TEXT(MONTH(KMART_DATA[[#This Row],[Date]]),"00")</f>
        <v>2024-02</v>
      </c>
      <c r="D274" s="3" t="s">
        <v>28</v>
      </c>
      <c r="E274" s="3" t="s">
        <v>248</v>
      </c>
      <c r="F274" s="3" t="s">
        <v>12</v>
      </c>
      <c r="G2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4" s="3" t="s">
        <v>249</v>
      </c>
      <c r="I274" s="3" t="s">
        <v>31</v>
      </c>
      <c r="J274" s="3" t="s">
        <v>162</v>
      </c>
      <c r="K274" s="3" t="s">
        <v>33</v>
      </c>
      <c r="L274" s="3" t="s">
        <v>34</v>
      </c>
      <c r="M274" s="4">
        <v>2.99</v>
      </c>
    </row>
    <row r="275">
      <c r="A275" s="2">
        <v>45336</v>
      </c>
      <c r="B2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5" s="3" t="str">
        <f>YEAR(KMART_DATA[[#This Row],[Date]])&amp;"-"&amp;TEXT(MONTH(KMART_DATA[[#This Row],[Date]]),"00")</f>
        <v>2024-02</v>
      </c>
      <c r="D275" s="3" t="s">
        <v>45</v>
      </c>
      <c r="E275" s="3" t="s">
        <v>125</v>
      </c>
      <c r="F275" s="3" t="s">
        <v>10</v>
      </c>
      <c r="G2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5" s="3" t="s">
        <v>126</v>
      </c>
      <c r="I275" s="3" t="s">
        <v>31</v>
      </c>
      <c r="J275" s="3" t="s">
        <v>94</v>
      </c>
      <c r="K275" s="3" t="s">
        <v>46</v>
      </c>
      <c r="L275" s="3" t="s">
        <v>47</v>
      </c>
      <c r="M275" s="4">
        <v>12.99</v>
      </c>
    </row>
    <row r="276">
      <c r="A276" s="2">
        <v>45336</v>
      </c>
      <c r="B2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6" s="3" t="str">
        <f>YEAR(KMART_DATA[[#This Row],[Date]])&amp;"-"&amp;TEXT(MONTH(KMART_DATA[[#This Row],[Date]]),"00")</f>
        <v>2024-02</v>
      </c>
      <c r="D276" s="3" t="s">
        <v>45</v>
      </c>
      <c r="E276" s="3" t="s">
        <v>110</v>
      </c>
      <c r="F276" s="3" t="s">
        <v>9</v>
      </c>
      <c r="G2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6" s="3" t="s">
        <v>111</v>
      </c>
      <c r="I276" s="3" t="s">
        <v>31</v>
      </c>
      <c r="J276" s="3" t="s">
        <v>81</v>
      </c>
      <c r="K276" s="3" t="s">
        <v>43</v>
      </c>
      <c r="L276" s="3" t="s">
        <v>44</v>
      </c>
      <c r="M276" s="4">
        <v>17.96</v>
      </c>
    </row>
    <row r="277">
      <c r="A277" s="2">
        <v>45336</v>
      </c>
      <c r="B2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7" s="3" t="str">
        <f>YEAR(KMART_DATA[[#This Row],[Date]])&amp;"-"&amp;TEXT(MONTH(KMART_DATA[[#This Row],[Date]]),"00")</f>
        <v>2024-02</v>
      </c>
      <c r="D277" s="3" t="s">
        <v>28</v>
      </c>
      <c r="E277" s="3" t="s">
        <v>195</v>
      </c>
      <c r="F277" s="3" t="s">
        <v>11</v>
      </c>
      <c r="G2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7" s="3" t="s">
        <v>196</v>
      </c>
      <c r="I277" s="3" t="s">
        <v>31</v>
      </c>
      <c r="J277" s="3" t="s">
        <v>32</v>
      </c>
      <c r="K277" s="3" t="s">
        <v>43</v>
      </c>
      <c r="L277" s="3" t="s">
        <v>44</v>
      </c>
      <c r="M277" s="4">
        <v>23.99</v>
      </c>
    </row>
    <row r="278">
      <c r="A278" s="2">
        <v>45336</v>
      </c>
      <c r="B2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8" s="3" t="str">
        <f>YEAR(KMART_DATA[[#This Row],[Date]])&amp;"-"&amp;TEXT(MONTH(KMART_DATA[[#This Row],[Date]]),"00")</f>
        <v>2024-02</v>
      </c>
      <c r="D278" s="3" t="s">
        <v>28</v>
      </c>
      <c r="E278" s="3" t="s">
        <v>191</v>
      </c>
      <c r="F278" s="3" t="s">
        <v>10</v>
      </c>
      <c r="G2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8" s="3" t="s">
        <v>192</v>
      </c>
      <c r="I278" s="3" t="s">
        <v>31</v>
      </c>
      <c r="J278" s="3" t="s">
        <v>120</v>
      </c>
      <c r="K278" s="3" t="s">
        <v>71</v>
      </c>
      <c r="L278" s="3" t="s">
        <v>72</v>
      </c>
      <c r="M278" s="4">
        <v>24.45</v>
      </c>
    </row>
    <row r="279">
      <c r="A279" s="2">
        <v>45336</v>
      </c>
      <c r="B2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79" s="3" t="str">
        <f>YEAR(KMART_DATA[[#This Row],[Date]])&amp;"-"&amp;TEXT(MONTH(KMART_DATA[[#This Row],[Date]]),"00")</f>
        <v>2024-02</v>
      </c>
      <c r="D279" s="3" t="s">
        <v>28</v>
      </c>
      <c r="E279" s="3" t="s">
        <v>59</v>
      </c>
      <c r="F279" s="3" t="s">
        <v>11</v>
      </c>
      <c r="G2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9" s="3" t="s">
        <v>60</v>
      </c>
      <c r="I279" s="3" t="s">
        <v>31</v>
      </c>
      <c r="J279" s="3" t="s">
        <v>61</v>
      </c>
      <c r="K279" s="3" t="s">
        <v>95</v>
      </c>
      <c r="L279" s="3" t="s">
        <v>96</v>
      </c>
      <c r="M279" s="4">
        <v>103.0</v>
      </c>
    </row>
    <row r="280">
      <c r="A280" s="2">
        <v>45336</v>
      </c>
      <c r="B2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0" s="3" t="str">
        <f>YEAR(KMART_DATA[[#This Row],[Date]])&amp;"-"&amp;TEXT(MONTH(KMART_DATA[[#This Row],[Date]]),"00")</f>
        <v>2024-02</v>
      </c>
      <c r="D280" s="3" t="s">
        <v>45</v>
      </c>
      <c r="E280" s="3" t="s">
        <v>163</v>
      </c>
      <c r="F280" s="3" t="s">
        <v>9</v>
      </c>
      <c r="G2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0" s="3" t="s">
        <v>164</v>
      </c>
      <c r="I280" s="3" t="s">
        <v>31</v>
      </c>
      <c r="J280" s="3" t="s">
        <v>81</v>
      </c>
      <c r="K280" s="3" t="s">
        <v>33</v>
      </c>
      <c r="L280" s="3" t="s">
        <v>34</v>
      </c>
      <c r="M280" s="4">
        <v>258.35</v>
      </c>
    </row>
    <row r="281">
      <c r="A281" s="2">
        <v>45336</v>
      </c>
      <c r="B2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1" s="3" t="str">
        <f>YEAR(KMART_DATA[[#This Row],[Date]])&amp;"-"&amp;TEXT(MONTH(KMART_DATA[[#This Row],[Date]]),"00")</f>
        <v>2024-02</v>
      </c>
      <c r="D281" s="3" t="s">
        <v>28</v>
      </c>
      <c r="E281" s="3" t="s">
        <v>215</v>
      </c>
      <c r="F281" s="3" t="s">
        <v>15</v>
      </c>
      <c r="G2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81" s="3" t="s">
        <v>216</v>
      </c>
      <c r="I281" s="3" t="s">
        <v>31</v>
      </c>
      <c r="J281" s="3" t="s">
        <v>53</v>
      </c>
      <c r="K281" s="3" t="s">
        <v>38</v>
      </c>
      <c r="L281" s="3" t="s">
        <v>39</v>
      </c>
      <c r="M281" s="4">
        <v>308.04</v>
      </c>
    </row>
    <row r="282">
      <c r="A282" s="2">
        <v>45336</v>
      </c>
      <c r="B2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2" s="3" t="str">
        <f>YEAR(KMART_DATA[[#This Row],[Date]])&amp;"-"&amp;TEXT(MONTH(KMART_DATA[[#This Row],[Date]]),"00")</f>
        <v>2024-02</v>
      </c>
      <c r="D282" s="3" t="s">
        <v>45</v>
      </c>
      <c r="E282" s="3" t="s">
        <v>143</v>
      </c>
      <c r="F282" s="3" t="s">
        <v>14</v>
      </c>
      <c r="G2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82" s="3" t="s">
        <v>144</v>
      </c>
      <c r="I282" s="3" t="s">
        <v>31</v>
      </c>
      <c r="J282" s="3" t="s">
        <v>145</v>
      </c>
      <c r="K282" s="3" t="s">
        <v>43</v>
      </c>
      <c r="L282" s="3" t="s">
        <v>44</v>
      </c>
      <c r="M282" s="4">
        <v>484.4</v>
      </c>
    </row>
    <row r="283">
      <c r="A283" s="2">
        <v>45336</v>
      </c>
      <c r="B2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3" s="3" t="str">
        <f>YEAR(KMART_DATA[[#This Row],[Date]])&amp;"-"&amp;TEXT(MONTH(KMART_DATA[[#This Row],[Date]]),"00")</f>
        <v>2024-02</v>
      </c>
      <c r="D283" s="3" t="s">
        <v>28</v>
      </c>
      <c r="E283" s="3" t="s">
        <v>232</v>
      </c>
      <c r="F283" s="3" t="s">
        <v>9</v>
      </c>
      <c r="G2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3" s="3" t="s">
        <v>233</v>
      </c>
      <c r="I283" s="3" t="s">
        <v>31</v>
      </c>
      <c r="J283" s="3" t="s">
        <v>75</v>
      </c>
      <c r="K283" s="3" t="s">
        <v>46</v>
      </c>
      <c r="L283" s="3" t="s">
        <v>47</v>
      </c>
      <c r="M283" s="4">
        <v>569.67</v>
      </c>
    </row>
    <row r="284">
      <c r="A284" s="2">
        <v>45336</v>
      </c>
      <c r="B2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4" s="3" t="str">
        <f>YEAR(KMART_DATA[[#This Row],[Date]])&amp;"-"&amp;TEXT(MONTH(KMART_DATA[[#This Row],[Date]]),"00")</f>
        <v>2024-02</v>
      </c>
      <c r="D284" s="3" t="s">
        <v>28</v>
      </c>
      <c r="E284" s="3" t="s">
        <v>213</v>
      </c>
      <c r="F284" s="3" t="s">
        <v>11</v>
      </c>
      <c r="G2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4" s="3" t="s">
        <v>214</v>
      </c>
      <c r="I284" s="3" t="s">
        <v>31</v>
      </c>
      <c r="J284" s="3" t="s">
        <v>32</v>
      </c>
      <c r="K284" s="3" t="s">
        <v>43</v>
      </c>
      <c r="L284" s="3" t="s">
        <v>44</v>
      </c>
      <c r="M284" s="4">
        <v>811.31</v>
      </c>
    </row>
    <row r="285">
      <c r="A285" s="2">
        <v>45336</v>
      </c>
      <c r="B2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5" s="3" t="str">
        <f>YEAR(KMART_DATA[[#This Row],[Date]])&amp;"-"&amp;TEXT(MONTH(KMART_DATA[[#This Row],[Date]]),"00")</f>
        <v>2024-02</v>
      </c>
      <c r="D285" s="3" t="s">
        <v>28</v>
      </c>
      <c r="E285" s="3" t="s">
        <v>156</v>
      </c>
      <c r="F285" s="3" t="s">
        <v>9</v>
      </c>
      <c r="G2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5" s="3" t="s">
        <v>157</v>
      </c>
      <c r="I285" s="3" t="s">
        <v>31</v>
      </c>
      <c r="J285" s="3" t="s">
        <v>75</v>
      </c>
      <c r="K285" s="3" t="s">
        <v>112</v>
      </c>
      <c r="L285" s="3" t="s">
        <v>113</v>
      </c>
      <c r="M285" s="4">
        <v>946.79</v>
      </c>
    </row>
    <row r="286">
      <c r="A286" s="2">
        <v>45336</v>
      </c>
      <c r="B2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6" s="3" t="str">
        <f>YEAR(KMART_DATA[[#This Row],[Date]])&amp;"-"&amp;TEXT(MONTH(KMART_DATA[[#This Row],[Date]]),"00")</f>
        <v>2024-02</v>
      </c>
      <c r="D286" s="3" t="s">
        <v>28</v>
      </c>
      <c r="E286" s="3" t="s">
        <v>116</v>
      </c>
      <c r="F286" s="3" t="s">
        <v>9</v>
      </c>
      <c r="G2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6" s="3" t="s">
        <v>117</v>
      </c>
      <c r="I286" s="3" t="s">
        <v>31</v>
      </c>
      <c r="J286" s="3" t="s">
        <v>70</v>
      </c>
      <c r="K286" s="3" t="s">
        <v>57</v>
      </c>
      <c r="L286" s="3" t="s">
        <v>58</v>
      </c>
      <c r="M286" s="4">
        <v>1369.4</v>
      </c>
    </row>
    <row r="287">
      <c r="A287" s="2">
        <v>45337</v>
      </c>
      <c r="B2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7" s="3" t="str">
        <f>YEAR(KMART_DATA[[#This Row],[Date]])&amp;"-"&amp;TEXT(MONTH(KMART_DATA[[#This Row],[Date]]),"00")</f>
        <v>2024-02</v>
      </c>
      <c r="D287" s="3" t="s">
        <v>28</v>
      </c>
      <c r="E287" s="3" t="s">
        <v>219</v>
      </c>
      <c r="F287" s="3" t="s">
        <v>11</v>
      </c>
      <c r="G2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7" s="3" t="s">
        <v>220</v>
      </c>
      <c r="I287" s="3" t="s">
        <v>31</v>
      </c>
      <c r="J287" s="3" t="s">
        <v>56</v>
      </c>
      <c r="K287" s="3" t="s">
        <v>43</v>
      </c>
      <c r="L287" s="3" t="s">
        <v>44</v>
      </c>
      <c r="M287" s="4">
        <v>1.5</v>
      </c>
    </row>
    <row r="288">
      <c r="A288" s="2">
        <v>45337</v>
      </c>
      <c r="B2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8" s="3" t="str">
        <f>YEAR(KMART_DATA[[#This Row],[Date]])&amp;"-"&amp;TEXT(MONTH(KMART_DATA[[#This Row],[Date]]),"00")</f>
        <v>2024-02</v>
      </c>
      <c r="D288" s="3" t="s">
        <v>28</v>
      </c>
      <c r="E288" s="3" t="s">
        <v>203</v>
      </c>
      <c r="F288" s="3" t="s">
        <v>10</v>
      </c>
      <c r="G2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8" s="3" t="s">
        <v>204</v>
      </c>
      <c r="I288" s="3" t="s">
        <v>31</v>
      </c>
      <c r="J288" s="3" t="s">
        <v>89</v>
      </c>
      <c r="K288" s="3" t="s">
        <v>43</v>
      </c>
      <c r="L288" s="3" t="s">
        <v>44</v>
      </c>
      <c r="M288" s="4">
        <v>22.0</v>
      </c>
    </row>
    <row r="289">
      <c r="A289" s="2">
        <v>45337</v>
      </c>
      <c r="B2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89" s="3" t="str">
        <f>YEAR(KMART_DATA[[#This Row],[Date]])&amp;"-"&amp;TEXT(MONTH(KMART_DATA[[#This Row],[Date]]),"00")</f>
        <v>2024-02</v>
      </c>
      <c r="D289" s="3" t="s">
        <v>45</v>
      </c>
      <c r="E289" s="3" t="s">
        <v>248</v>
      </c>
      <c r="F289" s="3" t="s">
        <v>12</v>
      </c>
      <c r="G2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89" s="3" t="s">
        <v>249</v>
      </c>
      <c r="I289" s="3" t="s">
        <v>31</v>
      </c>
      <c r="J289" s="3" t="s">
        <v>162</v>
      </c>
      <c r="K289" s="3" t="s">
        <v>112</v>
      </c>
      <c r="L289" s="3" t="s">
        <v>113</v>
      </c>
      <c r="M289" s="4">
        <v>28.95</v>
      </c>
    </row>
    <row r="290">
      <c r="A290" s="2">
        <v>45337</v>
      </c>
      <c r="B2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0" s="3" t="str">
        <f>YEAR(KMART_DATA[[#This Row],[Date]])&amp;"-"&amp;TEXT(MONTH(KMART_DATA[[#This Row],[Date]]),"00")</f>
        <v>2024-02</v>
      </c>
      <c r="D290" s="3" t="s">
        <v>28</v>
      </c>
      <c r="E290" s="3" t="s">
        <v>250</v>
      </c>
      <c r="F290" s="3" t="s">
        <v>10</v>
      </c>
      <c r="G2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0" s="3" t="s">
        <v>251</v>
      </c>
      <c r="I290" s="3" t="s">
        <v>31</v>
      </c>
      <c r="J290" s="3" t="s">
        <v>37</v>
      </c>
      <c r="K290" s="3" t="s">
        <v>57</v>
      </c>
      <c r="L290" s="3" t="s">
        <v>58</v>
      </c>
      <c r="M290" s="4">
        <v>32.85</v>
      </c>
    </row>
    <row r="291">
      <c r="A291" s="2">
        <v>45337</v>
      </c>
      <c r="B2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1" s="3" t="str">
        <f>YEAR(KMART_DATA[[#This Row],[Date]])&amp;"-"&amp;TEXT(MONTH(KMART_DATA[[#This Row],[Date]]),"00")</f>
        <v>2024-02</v>
      </c>
      <c r="D291" s="3" t="s">
        <v>28</v>
      </c>
      <c r="E291" s="3" t="s">
        <v>228</v>
      </c>
      <c r="F291" s="3" t="s">
        <v>11</v>
      </c>
      <c r="G2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1" s="3" t="s">
        <v>229</v>
      </c>
      <c r="I291" s="3" t="s">
        <v>31</v>
      </c>
      <c r="J291" s="3" t="s">
        <v>32</v>
      </c>
      <c r="K291" s="3" t="s">
        <v>46</v>
      </c>
      <c r="L291" s="3" t="s">
        <v>47</v>
      </c>
      <c r="M291" s="4">
        <v>49.94</v>
      </c>
    </row>
    <row r="292">
      <c r="A292" s="2">
        <v>45337</v>
      </c>
      <c r="B2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2" s="3" t="str">
        <f>YEAR(KMART_DATA[[#This Row],[Date]])&amp;"-"&amp;TEXT(MONTH(KMART_DATA[[#This Row],[Date]]),"00")</f>
        <v>2024-02</v>
      </c>
      <c r="D292" s="3" t="s">
        <v>28</v>
      </c>
      <c r="E292" s="3" t="s">
        <v>105</v>
      </c>
      <c r="F292" s="3" t="s">
        <v>9</v>
      </c>
      <c r="G2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2" s="3" t="s">
        <v>106</v>
      </c>
      <c r="I292" s="3" t="s">
        <v>31</v>
      </c>
      <c r="J292" s="3" t="s">
        <v>107</v>
      </c>
      <c r="K292" s="3" t="s">
        <v>112</v>
      </c>
      <c r="L292" s="3" t="s">
        <v>113</v>
      </c>
      <c r="M292" s="4">
        <v>51.0</v>
      </c>
    </row>
    <row r="293">
      <c r="A293" s="2">
        <v>45337</v>
      </c>
      <c r="B2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3" s="3" t="str">
        <f>YEAR(KMART_DATA[[#This Row],[Date]])&amp;"-"&amp;TEXT(MONTH(KMART_DATA[[#This Row],[Date]]),"00")</f>
        <v>2024-02</v>
      </c>
      <c r="D293" s="3" t="s">
        <v>28</v>
      </c>
      <c r="E293" s="3" t="s">
        <v>246</v>
      </c>
      <c r="F293" s="3" t="s">
        <v>10</v>
      </c>
      <c r="G2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3" s="3" t="s">
        <v>247</v>
      </c>
      <c r="I293" s="3" t="s">
        <v>31</v>
      </c>
      <c r="J293" s="3" t="s">
        <v>37</v>
      </c>
      <c r="K293" s="3" t="s">
        <v>71</v>
      </c>
      <c r="L293" s="3" t="s">
        <v>72</v>
      </c>
      <c r="M293" s="4">
        <v>740.32</v>
      </c>
    </row>
    <row r="294">
      <c r="A294" s="2">
        <v>45337</v>
      </c>
      <c r="B2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4" s="3" t="str">
        <f>YEAR(KMART_DATA[[#This Row],[Date]])&amp;"-"&amp;TEXT(MONTH(KMART_DATA[[#This Row],[Date]]),"00")</f>
        <v>2024-02</v>
      </c>
      <c r="D294" s="3" t="s">
        <v>28</v>
      </c>
      <c r="E294" s="3" t="s">
        <v>29</v>
      </c>
      <c r="F294" s="3" t="s">
        <v>11</v>
      </c>
      <c r="G2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4" s="3" t="s">
        <v>30</v>
      </c>
      <c r="I294" s="3" t="s">
        <v>31</v>
      </c>
      <c r="J294" s="3" t="s">
        <v>32</v>
      </c>
      <c r="K294" s="3" t="s">
        <v>71</v>
      </c>
      <c r="L294" s="3" t="s">
        <v>72</v>
      </c>
      <c r="M294" s="4">
        <v>2078.84</v>
      </c>
    </row>
    <row r="295">
      <c r="A295" s="2">
        <v>45337</v>
      </c>
      <c r="B2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5" s="3" t="str">
        <f>YEAR(KMART_DATA[[#This Row],[Date]])&amp;"-"&amp;TEXT(MONTH(KMART_DATA[[#This Row],[Date]]),"00")</f>
        <v>2024-02</v>
      </c>
      <c r="D295" s="3" t="s">
        <v>28</v>
      </c>
      <c r="E295" s="3" t="s">
        <v>87</v>
      </c>
      <c r="F295" s="3" t="s">
        <v>10</v>
      </c>
      <c r="G2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5" s="3" t="s">
        <v>88</v>
      </c>
      <c r="I295" s="3" t="s">
        <v>31</v>
      </c>
      <c r="J295" s="3" t="s">
        <v>89</v>
      </c>
      <c r="K295" s="3" t="s">
        <v>57</v>
      </c>
      <c r="L295" s="3" t="s">
        <v>58</v>
      </c>
      <c r="M295" s="4">
        <v>3753.87</v>
      </c>
    </row>
    <row r="296">
      <c r="A296" s="2">
        <v>45338</v>
      </c>
      <c r="B2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6" s="3" t="str">
        <f>YEAR(KMART_DATA[[#This Row],[Date]])&amp;"-"&amp;TEXT(MONTH(KMART_DATA[[#This Row],[Date]]),"00")</f>
        <v>2024-02</v>
      </c>
      <c r="D296" s="3" t="s">
        <v>28</v>
      </c>
      <c r="E296" s="3" t="s">
        <v>177</v>
      </c>
      <c r="F296" s="3" t="s">
        <v>12</v>
      </c>
      <c r="G2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6" s="3" t="s">
        <v>178</v>
      </c>
      <c r="I296" s="3" t="s">
        <v>31</v>
      </c>
      <c r="J296" s="3" t="s">
        <v>162</v>
      </c>
      <c r="K296" s="3" t="s">
        <v>112</v>
      </c>
      <c r="L296" s="3" t="s">
        <v>113</v>
      </c>
      <c r="M296" s="4">
        <v>11.97</v>
      </c>
    </row>
    <row r="297">
      <c r="A297" s="2">
        <v>45338</v>
      </c>
      <c r="B2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7" s="3" t="str">
        <f>YEAR(KMART_DATA[[#This Row],[Date]])&amp;"-"&amp;TEXT(MONTH(KMART_DATA[[#This Row],[Date]]),"00")</f>
        <v>2024-02</v>
      </c>
      <c r="D297" s="3" t="s">
        <v>28</v>
      </c>
      <c r="E297" s="3" t="s">
        <v>252</v>
      </c>
      <c r="F297" s="3" t="s">
        <v>10</v>
      </c>
      <c r="G2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7" s="3" t="s">
        <v>253</v>
      </c>
      <c r="I297" s="3" t="s">
        <v>31</v>
      </c>
      <c r="J297" s="3" t="s">
        <v>94</v>
      </c>
      <c r="K297" s="3" t="s">
        <v>33</v>
      </c>
      <c r="L297" s="3" t="s">
        <v>34</v>
      </c>
      <c r="M297" s="4">
        <v>25.95</v>
      </c>
    </row>
    <row r="298">
      <c r="A298" s="2">
        <v>45338</v>
      </c>
      <c r="B2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8" s="3" t="str">
        <f>YEAR(KMART_DATA[[#This Row],[Date]])&amp;"-"&amp;TEXT(MONTH(KMART_DATA[[#This Row],[Date]]),"00")</f>
        <v>2024-02</v>
      </c>
      <c r="D298" s="3" t="s">
        <v>45</v>
      </c>
      <c r="E298" s="3" t="s">
        <v>230</v>
      </c>
      <c r="F298" s="3" t="s">
        <v>13</v>
      </c>
      <c r="G2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98" s="3" t="s">
        <v>231</v>
      </c>
      <c r="I298" s="3" t="s">
        <v>31</v>
      </c>
      <c r="J298" s="3" t="s">
        <v>227</v>
      </c>
      <c r="K298" s="3" t="s">
        <v>33</v>
      </c>
      <c r="L298" s="3" t="s">
        <v>34</v>
      </c>
      <c r="M298" s="4">
        <v>45.65</v>
      </c>
    </row>
    <row r="299">
      <c r="A299" s="2">
        <v>45338</v>
      </c>
      <c r="B2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299" s="3" t="str">
        <f>YEAR(KMART_DATA[[#This Row],[Date]])&amp;"-"&amp;TEXT(MONTH(KMART_DATA[[#This Row],[Date]]),"00")</f>
        <v>2024-02</v>
      </c>
      <c r="D299" s="3" t="s">
        <v>28</v>
      </c>
      <c r="E299" s="3" t="s">
        <v>85</v>
      </c>
      <c r="F299" s="3" t="s">
        <v>9</v>
      </c>
      <c r="G2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9" s="3" t="s">
        <v>86</v>
      </c>
      <c r="I299" s="3" t="s">
        <v>31</v>
      </c>
      <c r="J299" s="3" t="s">
        <v>81</v>
      </c>
      <c r="K299" s="3" t="s">
        <v>43</v>
      </c>
      <c r="L299" s="3" t="s">
        <v>44</v>
      </c>
      <c r="M299" s="4">
        <v>68.0</v>
      </c>
    </row>
    <row r="300">
      <c r="A300" s="2">
        <v>45338</v>
      </c>
      <c r="B3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0" s="3" t="str">
        <f>YEAR(KMART_DATA[[#This Row],[Date]])&amp;"-"&amp;TEXT(MONTH(KMART_DATA[[#This Row],[Date]]),"00")</f>
        <v>2024-02</v>
      </c>
      <c r="D300" s="3" t="s">
        <v>28</v>
      </c>
      <c r="E300" s="3" t="s">
        <v>54</v>
      </c>
      <c r="F300" s="3" t="s">
        <v>11</v>
      </c>
      <c r="G3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0" s="3" t="s">
        <v>55</v>
      </c>
      <c r="I300" s="3" t="s">
        <v>31</v>
      </c>
      <c r="J300" s="3" t="s">
        <v>56</v>
      </c>
      <c r="K300" s="3" t="s">
        <v>43</v>
      </c>
      <c r="L300" s="3" t="s">
        <v>44</v>
      </c>
      <c r="M300" s="4">
        <v>198.84</v>
      </c>
    </row>
    <row r="301">
      <c r="A301" s="2">
        <v>45338</v>
      </c>
      <c r="B3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1" s="3" t="str">
        <f>YEAR(KMART_DATA[[#This Row],[Date]])&amp;"-"&amp;TEXT(MONTH(KMART_DATA[[#This Row],[Date]]),"00")</f>
        <v>2024-02</v>
      </c>
      <c r="D301" s="3" t="s">
        <v>45</v>
      </c>
      <c r="E301" s="3" t="s">
        <v>205</v>
      </c>
      <c r="F301" s="3" t="s">
        <v>10</v>
      </c>
      <c r="G3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1" s="3" t="s">
        <v>206</v>
      </c>
      <c r="I301" s="3" t="s">
        <v>31</v>
      </c>
      <c r="J301" s="3" t="s">
        <v>37</v>
      </c>
      <c r="K301" s="3" t="s">
        <v>123</v>
      </c>
      <c r="L301" s="3" t="s">
        <v>124</v>
      </c>
      <c r="M301" s="4">
        <v>242.72</v>
      </c>
    </row>
    <row r="302">
      <c r="A302" s="2">
        <v>45338</v>
      </c>
      <c r="B3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2" s="3" t="str">
        <f>YEAR(KMART_DATA[[#This Row],[Date]])&amp;"-"&amp;TEXT(MONTH(KMART_DATA[[#This Row],[Date]]),"00")</f>
        <v>2024-02</v>
      </c>
      <c r="D302" s="3" t="s">
        <v>28</v>
      </c>
      <c r="E302" s="3" t="s">
        <v>29</v>
      </c>
      <c r="F302" s="3" t="s">
        <v>11</v>
      </c>
      <c r="G3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2" s="3" t="s">
        <v>30</v>
      </c>
      <c r="I302" s="3" t="s">
        <v>31</v>
      </c>
      <c r="J302" s="3" t="s">
        <v>32</v>
      </c>
      <c r="K302" s="3" t="s">
        <v>46</v>
      </c>
      <c r="L302" s="3" t="s">
        <v>47</v>
      </c>
      <c r="M302" s="4">
        <v>716.45</v>
      </c>
    </row>
    <row r="303">
      <c r="A303" s="2">
        <v>45338</v>
      </c>
      <c r="B3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3" s="3" t="str">
        <f>YEAR(KMART_DATA[[#This Row],[Date]])&amp;"-"&amp;TEXT(MONTH(KMART_DATA[[#This Row],[Date]]),"00")</f>
        <v>2024-02</v>
      </c>
      <c r="D303" s="3" t="s">
        <v>28</v>
      </c>
      <c r="E303" s="3" t="s">
        <v>219</v>
      </c>
      <c r="F303" s="3" t="s">
        <v>11</v>
      </c>
      <c r="G3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3" s="3" t="s">
        <v>220</v>
      </c>
      <c r="I303" s="3" t="s">
        <v>31</v>
      </c>
      <c r="J303" s="3" t="s">
        <v>56</v>
      </c>
      <c r="K303" s="3" t="s">
        <v>95</v>
      </c>
      <c r="L303" s="3" t="s">
        <v>96</v>
      </c>
      <c r="M303" s="4">
        <v>4192.79</v>
      </c>
    </row>
    <row r="304">
      <c r="A304" s="2">
        <v>45339</v>
      </c>
      <c r="B3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4" s="3" t="str">
        <f>YEAR(KMART_DATA[[#This Row],[Date]])&amp;"-"&amp;TEXT(MONTH(KMART_DATA[[#This Row],[Date]]),"00")</f>
        <v>2024-02</v>
      </c>
      <c r="D304" s="3" t="s">
        <v>28</v>
      </c>
      <c r="E304" s="3" t="s">
        <v>248</v>
      </c>
      <c r="F304" s="3" t="s">
        <v>12</v>
      </c>
      <c r="G3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4" s="3" t="s">
        <v>249</v>
      </c>
      <c r="I304" s="3" t="s">
        <v>31</v>
      </c>
      <c r="J304" s="3" t="s">
        <v>162</v>
      </c>
      <c r="K304" s="3" t="s">
        <v>43</v>
      </c>
      <c r="L304" s="3" t="s">
        <v>44</v>
      </c>
      <c r="M304" s="4">
        <v>29.0</v>
      </c>
    </row>
    <row r="305">
      <c r="A305" s="2">
        <v>45339</v>
      </c>
      <c r="B3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5" s="3" t="str">
        <f>YEAR(KMART_DATA[[#This Row],[Date]])&amp;"-"&amp;TEXT(MONTH(KMART_DATA[[#This Row],[Date]]),"00")</f>
        <v>2024-02</v>
      </c>
      <c r="D305" s="3" t="s">
        <v>45</v>
      </c>
      <c r="E305" s="3" t="s">
        <v>141</v>
      </c>
      <c r="F305" s="3" t="s">
        <v>9</v>
      </c>
      <c r="G3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5" s="3" t="s">
        <v>142</v>
      </c>
      <c r="I305" s="3" t="s">
        <v>31</v>
      </c>
      <c r="J305" s="3" t="s">
        <v>107</v>
      </c>
      <c r="K305" s="3" t="s">
        <v>43</v>
      </c>
      <c r="L305" s="3" t="s">
        <v>44</v>
      </c>
      <c r="M305" s="4">
        <v>115.93</v>
      </c>
    </row>
    <row r="306">
      <c r="A306" s="2">
        <v>45339</v>
      </c>
      <c r="B3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6" s="3" t="str">
        <f>YEAR(KMART_DATA[[#This Row],[Date]])&amp;"-"&amp;TEXT(MONTH(KMART_DATA[[#This Row],[Date]]),"00")</f>
        <v>2024-02</v>
      </c>
      <c r="D306" s="3" t="s">
        <v>28</v>
      </c>
      <c r="E306" s="3" t="s">
        <v>64</v>
      </c>
      <c r="F306" s="3" t="s">
        <v>11</v>
      </c>
      <c r="G3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6" s="3" t="s">
        <v>65</v>
      </c>
      <c r="I306" s="3" t="s">
        <v>31</v>
      </c>
      <c r="J306" s="3" t="s">
        <v>61</v>
      </c>
      <c r="K306" s="3" t="s">
        <v>71</v>
      </c>
      <c r="L306" s="3" t="s">
        <v>72</v>
      </c>
      <c r="M306" s="4">
        <v>229.63</v>
      </c>
    </row>
    <row r="307">
      <c r="A307" s="2">
        <v>45339</v>
      </c>
      <c r="B3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7" s="3" t="str">
        <f>YEAR(KMART_DATA[[#This Row],[Date]])&amp;"-"&amp;TEXT(MONTH(KMART_DATA[[#This Row],[Date]]),"00")</f>
        <v>2024-02</v>
      </c>
      <c r="D307" s="3" t="s">
        <v>28</v>
      </c>
      <c r="E307" s="3" t="s">
        <v>232</v>
      </c>
      <c r="F307" s="3" t="s">
        <v>9</v>
      </c>
      <c r="G3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7" s="3" t="s">
        <v>233</v>
      </c>
      <c r="I307" s="3" t="s">
        <v>31</v>
      </c>
      <c r="J307" s="3" t="s">
        <v>75</v>
      </c>
      <c r="K307" s="3" t="s">
        <v>46</v>
      </c>
      <c r="L307" s="3" t="s">
        <v>47</v>
      </c>
      <c r="M307" s="4">
        <v>451.41</v>
      </c>
    </row>
    <row r="308">
      <c r="A308" s="2">
        <v>45339</v>
      </c>
      <c r="B3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8" s="3" t="str">
        <f>YEAR(KMART_DATA[[#This Row],[Date]])&amp;"-"&amp;TEXT(MONTH(KMART_DATA[[#This Row],[Date]]),"00")</f>
        <v>2024-02</v>
      </c>
      <c r="D308" s="3" t="s">
        <v>28</v>
      </c>
      <c r="E308" s="3" t="s">
        <v>250</v>
      </c>
      <c r="F308" s="3" t="s">
        <v>10</v>
      </c>
      <c r="G3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8" s="3" t="s">
        <v>251</v>
      </c>
      <c r="I308" s="3" t="s">
        <v>31</v>
      </c>
      <c r="J308" s="3" t="s">
        <v>37</v>
      </c>
      <c r="K308" s="3" t="s">
        <v>95</v>
      </c>
      <c r="L308" s="3" t="s">
        <v>96</v>
      </c>
      <c r="M308" s="4">
        <v>577.17</v>
      </c>
    </row>
    <row r="309">
      <c r="A309" s="2">
        <v>45339</v>
      </c>
      <c r="B3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09" s="3" t="str">
        <f>YEAR(KMART_DATA[[#This Row],[Date]])&amp;"-"&amp;TEXT(MONTH(KMART_DATA[[#This Row],[Date]]),"00")</f>
        <v>2024-02</v>
      </c>
      <c r="D309" s="3" t="s">
        <v>45</v>
      </c>
      <c r="E309" s="3" t="s">
        <v>141</v>
      </c>
      <c r="F309" s="3" t="s">
        <v>9</v>
      </c>
      <c r="G3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9" s="3" t="s">
        <v>142</v>
      </c>
      <c r="I309" s="3" t="s">
        <v>31</v>
      </c>
      <c r="J309" s="3" t="s">
        <v>107</v>
      </c>
      <c r="K309" s="3" t="s">
        <v>71</v>
      </c>
      <c r="L309" s="3" t="s">
        <v>72</v>
      </c>
      <c r="M309" s="4">
        <v>674.38</v>
      </c>
    </row>
    <row r="310">
      <c r="A310" s="2">
        <v>45339</v>
      </c>
      <c r="B3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0" s="3" t="str">
        <f>YEAR(KMART_DATA[[#This Row],[Date]])&amp;"-"&amp;TEXT(MONTH(KMART_DATA[[#This Row],[Date]]),"00")</f>
        <v>2024-02</v>
      </c>
      <c r="D310" s="3" t="s">
        <v>28</v>
      </c>
      <c r="E310" s="3" t="s">
        <v>35</v>
      </c>
      <c r="F310" s="3" t="s">
        <v>10</v>
      </c>
      <c r="G3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0" s="3" t="s">
        <v>36</v>
      </c>
      <c r="I310" s="3" t="s">
        <v>31</v>
      </c>
      <c r="J310" s="3" t="s">
        <v>37</v>
      </c>
      <c r="K310" s="3" t="s">
        <v>33</v>
      </c>
      <c r="L310" s="3" t="s">
        <v>34</v>
      </c>
      <c r="M310" s="4">
        <v>1175.09</v>
      </c>
    </row>
    <row r="311">
      <c r="A311" s="2">
        <v>45340</v>
      </c>
      <c r="B3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1" s="3" t="str">
        <f>YEAR(KMART_DATA[[#This Row],[Date]])&amp;"-"&amp;TEXT(MONTH(KMART_DATA[[#This Row],[Date]]),"00")</f>
        <v>2024-02</v>
      </c>
      <c r="D311" s="3" t="s">
        <v>28</v>
      </c>
      <c r="E311" s="3" t="s">
        <v>152</v>
      </c>
      <c r="F311" s="3" t="s">
        <v>11</v>
      </c>
      <c r="G3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1" s="3" t="s">
        <v>153</v>
      </c>
      <c r="I311" s="3" t="s">
        <v>31</v>
      </c>
      <c r="J311" s="3" t="s">
        <v>61</v>
      </c>
      <c r="K311" s="3" t="s">
        <v>123</v>
      </c>
      <c r="L311" s="3" t="s">
        <v>124</v>
      </c>
      <c r="M311" s="4">
        <v>11.98</v>
      </c>
    </row>
    <row r="312">
      <c r="A312" s="2">
        <v>45340</v>
      </c>
      <c r="B3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2" s="3" t="str">
        <f>YEAR(KMART_DATA[[#This Row],[Date]])&amp;"-"&amp;TEXT(MONTH(KMART_DATA[[#This Row],[Date]]),"00")</f>
        <v>2024-02</v>
      </c>
      <c r="D312" s="3" t="s">
        <v>45</v>
      </c>
      <c r="E312" s="3" t="s">
        <v>87</v>
      </c>
      <c r="F312" s="3" t="s">
        <v>10</v>
      </c>
      <c r="G3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2" s="3" t="s">
        <v>88</v>
      </c>
      <c r="I312" s="3" t="s">
        <v>31</v>
      </c>
      <c r="J312" s="3" t="s">
        <v>89</v>
      </c>
      <c r="K312" s="3" t="s">
        <v>123</v>
      </c>
      <c r="L312" s="3" t="s">
        <v>124</v>
      </c>
      <c r="M312" s="4">
        <v>15.96</v>
      </c>
    </row>
    <row r="313">
      <c r="A313" s="2">
        <v>45340</v>
      </c>
      <c r="B3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3" s="3" t="str">
        <f>YEAR(KMART_DATA[[#This Row],[Date]])&amp;"-"&amp;TEXT(MONTH(KMART_DATA[[#This Row],[Date]]),"00")</f>
        <v>2024-02</v>
      </c>
      <c r="D313" s="3" t="s">
        <v>45</v>
      </c>
      <c r="E313" s="3" t="s">
        <v>118</v>
      </c>
      <c r="F313" s="3" t="s">
        <v>10</v>
      </c>
      <c r="G3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3" s="3" t="s">
        <v>119</v>
      </c>
      <c r="I313" s="3" t="s">
        <v>31</v>
      </c>
      <c r="J313" s="3" t="s">
        <v>120</v>
      </c>
      <c r="K313" s="3" t="s">
        <v>95</v>
      </c>
      <c r="L313" s="3" t="s">
        <v>96</v>
      </c>
      <c r="M313" s="4">
        <v>31.96</v>
      </c>
    </row>
    <row r="314">
      <c r="A314" s="2">
        <v>45340</v>
      </c>
      <c r="B3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4" s="3" t="str">
        <f>YEAR(KMART_DATA[[#This Row],[Date]])&amp;"-"&amp;TEXT(MONTH(KMART_DATA[[#This Row],[Date]]),"00")</f>
        <v>2024-02</v>
      </c>
      <c r="D314" s="3" t="s">
        <v>28</v>
      </c>
      <c r="E314" s="3" t="s">
        <v>238</v>
      </c>
      <c r="F314" s="3" t="s">
        <v>13</v>
      </c>
      <c r="G3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14" s="3" t="s">
        <v>239</v>
      </c>
      <c r="I314" s="3" t="s">
        <v>31</v>
      </c>
      <c r="J314" s="3" t="s">
        <v>42</v>
      </c>
      <c r="K314" s="3" t="s">
        <v>38</v>
      </c>
      <c r="L314" s="3" t="s">
        <v>39</v>
      </c>
      <c r="M314" s="4">
        <v>38.96</v>
      </c>
    </row>
    <row r="315">
      <c r="A315" s="2">
        <v>45340</v>
      </c>
      <c r="B3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5" s="3" t="str">
        <f>YEAR(KMART_DATA[[#This Row],[Date]])&amp;"-"&amp;TEXT(MONTH(KMART_DATA[[#This Row],[Date]]),"00")</f>
        <v>2024-02</v>
      </c>
      <c r="D315" s="3" t="s">
        <v>45</v>
      </c>
      <c r="E315" s="3" t="s">
        <v>121</v>
      </c>
      <c r="F315" s="3" t="s">
        <v>11</v>
      </c>
      <c r="G3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5" s="3" t="s">
        <v>122</v>
      </c>
      <c r="I315" s="3" t="s">
        <v>31</v>
      </c>
      <c r="J315" s="3" t="s">
        <v>84</v>
      </c>
      <c r="K315" s="3" t="s">
        <v>112</v>
      </c>
      <c r="L315" s="3" t="s">
        <v>113</v>
      </c>
      <c r="M315" s="4">
        <v>103.77</v>
      </c>
    </row>
    <row r="316">
      <c r="A316" s="2">
        <v>45340</v>
      </c>
      <c r="B3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6" s="3" t="str">
        <f>YEAR(KMART_DATA[[#This Row],[Date]])&amp;"-"&amp;TEXT(MONTH(KMART_DATA[[#This Row],[Date]]),"00")</f>
        <v>2024-02</v>
      </c>
      <c r="D316" s="3" t="s">
        <v>45</v>
      </c>
      <c r="E316" s="3" t="s">
        <v>40</v>
      </c>
      <c r="F316" s="3" t="s">
        <v>13</v>
      </c>
      <c r="G3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16" s="3" t="s">
        <v>41</v>
      </c>
      <c r="I316" s="3" t="s">
        <v>31</v>
      </c>
      <c r="J316" s="3" t="s">
        <v>42</v>
      </c>
      <c r="K316" s="3" t="s">
        <v>46</v>
      </c>
      <c r="L316" s="3" t="s">
        <v>47</v>
      </c>
      <c r="M316" s="4">
        <v>405.68</v>
      </c>
    </row>
    <row r="317">
      <c r="A317" s="2">
        <v>45340</v>
      </c>
      <c r="B3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7" s="3" t="str">
        <f>YEAR(KMART_DATA[[#This Row],[Date]])&amp;"-"&amp;TEXT(MONTH(KMART_DATA[[#This Row],[Date]]),"00")</f>
        <v>2024-02</v>
      </c>
      <c r="D317" s="3" t="s">
        <v>28</v>
      </c>
      <c r="E317" s="3" t="s">
        <v>100</v>
      </c>
      <c r="F317" s="3" t="s">
        <v>12</v>
      </c>
      <c r="G3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17" s="3" t="s">
        <v>101</v>
      </c>
      <c r="I317" s="3" t="s">
        <v>31</v>
      </c>
      <c r="J317" s="3" t="s">
        <v>102</v>
      </c>
      <c r="K317" s="3" t="s">
        <v>57</v>
      </c>
      <c r="L317" s="3" t="s">
        <v>58</v>
      </c>
      <c r="M317" s="4">
        <v>1722.97</v>
      </c>
    </row>
    <row r="318">
      <c r="A318" s="2">
        <v>45341</v>
      </c>
      <c r="B3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8" s="3" t="str">
        <f>YEAR(KMART_DATA[[#This Row],[Date]])&amp;"-"&amp;TEXT(MONTH(KMART_DATA[[#This Row],[Date]]),"00")</f>
        <v>2024-02</v>
      </c>
      <c r="D318" s="3" t="s">
        <v>45</v>
      </c>
      <c r="E318" s="3" t="s">
        <v>236</v>
      </c>
      <c r="F318" s="3" t="s">
        <v>12</v>
      </c>
      <c r="G3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18" s="3" t="s">
        <v>237</v>
      </c>
      <c r="I318" s="3" t="s">
        <v>31</v>
      </c>
      <c r="J318" s="3" t="s">
        <v>102</v>
      </c>
      <c r="K318" s="3" t="s">
        <v>43</v>
      </c>
      <c r="L318" s="3" t="s">
        <v>44</v>
      </c>
      <c r="M318" s="4">
        <v>5.0</v>
      </c>
    </row>
    <row r="319">
      <c r="A319" s="2">
        <v>45341</v>
      </c>
      <c r="B3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19" s="3" t="str">
        <f>YEAR(KMART_DATA[[#This Row],[Date]])&amp;"-"&amp;TEXT(MONTH(KMART_DATA[[#This Row],[Date]]),"00")</f>
        <v>2024-02</v>
      </c>
      <c r="D319" s="3" t="s">
        <v>45</v>
      </c>
      <c r="E319" s="3" t="s">
        <v>141</v>
      </c>
      <c r="F319" s="3" t="s">
        <v>9</v>
      </c>
      <c r="G3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9" s="3" t="s">
        <v>142</v>
      </c>
      <c r="I319" s="3" t="s">
        <v>31</v>
      </c>
      <c r="J319" s="3" t="s">
        <v>107</v>
      </c>
      <c r="K319" s="3" t="s">
        <v>123</v>
      </c>
      <c r="L319" s="3" t="s">
        <v>124</v>
      </c>
      <c r="M319" s="4">
        <v>207.73</v>
      </c>
    </row>
    <row r="320">
      <c r="A320" s="2">
        <v>45341</v>
      </c>
      <c r="B3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0" s="3" t="str">
        <f>YEAR(KMART_DATA[[#This Row],[Date]])&amp;"-"&amp;TEXT(MONTH(KMART_DATA[[#This Row],[Date]]),"00")</f>
        <v>2024-02</v>
      </c>
      <c r="D320" s="3" t="s">
        <v>28</v>
      </c>
      <c r="E320" s="3" t="s">
        <v>230</v>
      </c>
      <c r="F320" s="3" t="s">
        <v>13</v>
      </c>
      <c r="G3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20" s="3" t="s">
        <v>231</v>
      </c>
      <c r="I320" s="3" t="s">
        <v>31</v>
      </c>
      <c r="J320" s="3" t="s">
        <v>227</v>
      </c>
      <c r="K320" s="3" t="s">
        <v>95</v>
      </c>
      <c r="L320" s="3" t="s">
        <v>96</v>
      </c>
      <c r="M320" s="4">
        <v>438.21</v>
      </c>
    </row>
    <row r="321">
      <c r="A321" s="2">
        <v>45341</v>
      </c>
      <c r="B3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1" s="3" t="str">
        <f>YEAR(KMART_DATA[[#This Row],[Date]])&amp;"-"&amp;TEXT(MONTH(KMART_DATA[[#This Row],[Date]]),"00")</f>
        <v>2024-02</v>
      </c>
      <c r="D321" s="3" t="s">
        <v>28</v>
      </c>
      <c r="E321" s="3" t="s">
        <v>181</v>
      </c>
      <c r="F321" s="3" t="s">
        <v>11</v>
      </c>
      <c r="G3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1" s="3" t="s">
        <v>182</v>
      </c>
      <c r="I321" s="3" t="s">
        <v>31</v>
      </c>
      <c r="J321" s="3" t="s">
        <v>56</v>
      </c>
      <c r="K321" s="3" t="s">
        <v>123</v>
      </c>
      <c r="L321" s="3" t="s">
        <v>124</v>
      </c>
      <c r="M321" s="4">
        <v>807.67</v>
      </c>
    </row>
    <row r="322">
      <c r="A322" s="2">
        <v>45341</v>
      </c>
      <c r="B3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2" s="3" t="str">
        <f>YEAR(KMART_DATA[[#This Row],[Date]])&amp;"-"&amp;TEXT(MONTH(KMART_DATA[[#This Row],[Date]]),"00")</f>
        <v>2024-02</v>
      </c>
      <c r="D322" s="3" t="s">
        <v>28</v>
      </c>
      <c r="E322" s="3" t="s">
        <v>139</v>
      </c>
      <c r="F322" s="3" t="s">
        <v>10</v>
      </c>
      <c r="G3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2" s="3" t="s">
        <v>140</v>
      </c>
      <c r="I322" s="3" t="s">
        <v>31</v>
      </c>
      <c r="J322" s="3" t="s">
        <v>89</v>
      </c>
      <c r="K322" s="3" t="s">
        <v>112</v>
      </c>
      <c r="L322" s="3" t="s">
        <v>113</v>
      </c>
      <c r="M322" s="4">
        <v>1159.49</v>
      </c>
    </row>
    <row r="323">
      <c r="A323" s="2">
        <v>45341</v>
      </c>
      <c r="B3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3" s="3" t="str">
        <f>YEAR(KMART_DATA[[#This Row],[Date]])&amp;"-"&amp;TEXT(MONTH(KMART_DATA[[#This Row],[Date]]),"00")</f>
        <v>2024-02</v>
      </c>
      <c r="D323" s="3" t="s">
        <v>45</v>
      </c>
      <c r="E323" s="3" t="s">
        <v>127</v>
      </c>
      <c r="F323" s="3" t="s">
        <v>11</v>
      </c>
      <c r="G3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3" s="3" t="s">
        <v>128</v>
      </c>
      <c r="I323" s="3" t="s">
        <v>31</v>
      </c>
      <c r="J323" s="3" t="s">
        <v>78</v>
      </c>
      <c r="K323" s="3" t="s">
        <v>95</v>
      </c>
      <c r="L323" s="3" t="s">
        <v>96</v>
      </c>
      <c r="M323" s="4">
        <v>1191.32</v>
      </c>
    </row>
    <row r="324">
      <c r="A324" s="2">
        <v>45342</v>
      </c>
      <c r="B3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4" s="3" t="str">
        <f>YEAR(KMART_DATA[[#This Row],[Date]])&amp;"-"&amp;TEXT(MONTH(KMART_DATA[[#This Row],[Date]]),"00")</f>
        <v>2024-02</v>
      </c>
      <c r="D324" s="3" t="s">
        <v>45</v>
      </c>
      <c r="E324" s="3" t="s">
        <v>187</v>
      </c>
      <c r="F324" s="3" t="s">
        <v>11</v>
      </c>
      <c r="G3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4" s="3" t="s">
        <v>188</v>
      </c>
      <c r="I324" s="3" t="s">
        <v>31</v>
      </c>
      <c r="J324" s="3" t="s">
        <v>78</v>
      </c>
      <c r="K324" s="3" t="s">
        <v>123</v>
      </c>
      <c r="L324" s="3" t="s">
        <v>124</v>
      </c>
      <c r="M324" s="4">
        <v>58.89</v>
      </c>
    </row>
    <row r="325">
      <c r="A325" s="2">
        <v>45342</v>
      </c>
      <c r="B3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5" s="3" t="str">
        <f>YEAR(KMART_DATA[[#This Row],[Date]])&amp;"-"&amp;TEXT(MONTH(KMART_DATA[[#This Row],[Date]]),"00")</f>
        <v>2024-02</v>
      </c>
      <c r="D325" s="3" t="s">
        <v>28</v>
      </c>
      <c r="E325" s="3" t="s">
        <v>90</v>
      </c>
      <c r="F325" s="3" t="s">
        <v>10</v>
      </c>
      <c r="G3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5" s="3" t="s">
        <v>91</v>
      </c>
      <c r="I325" s="3" t="s">
        <v>31</v>
      </c>
      <c r="J325" s="3" t="s">
        <v>37</v>
      </c>
      <c r="K325" s="3" t="s">
        <v>112</v>
      </c>
      <c r="L325" s="3" t="s">
        <v>113</v>
      </c>
      <c r="M325" s="4">
        <v>79.72</v>
      </c>
    </row>
    <row r="326">
      <c r="A326" s="2">
        <v>45342</v>
      </c>
      <c r="B3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6" s="3" t="str">
        <f>YEAR(KMART_DATA[[#This Row],[Date]])&amp;"-"&amp;TEXT(MONTH(KMART_DATA[[#This Row],[Date]]),"00")</f>
        <v>2024-02</v>
      </c>
      <c r="D326" s="3" t="s">
        <v>28</v>
      </c>
      <c r="E326" s="3" t="s">
        <v>246</v>
      </c>
      <c r="F326" s="3" t="s">
        <v>10</v>
      </c>
      <c r="G3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6" s="3" t="s">
        <v>247</v>
      </c>
      <c r="I326" s="3" t="s">
        <v>31</v>
      </c>
      <c r="J326" s="3" t="s">
        <v>37</v>
      </c>
      <c r="K326" s="3" t="s">
        <v>43</v>
      </c>
      <c r="L326" s="3" t="s">
        <v>44</v>
      </c>
      <c r="M326" s="4">
        <v>521.39</v>
      </c>
    </row>
    <row r="327">
      <c r="A327" s="2">
        <v>45342</v>
      </c>
      <c r="B3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7" s="3" t="str">
        <f>YEAR(KMART_DATA[[#This Row],[Date]])&amp;"-"&amp;TEXT(MONTH(KMART_DATA[[#This Row],[Date]]),"00")</f>
        <v>2024-02</v>
      </c>
      <c r="D327" s="3" t="s">
        <v>28</v>
      </c>
      <c r="E327" s="3" t="s">
        <v>195</v>
      </c>
      <c r="F327" s="3" t="s">
        <v>11</v>
      </c>
      <c r="G3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7" s="3" t="s">
        <v>196</v>
      </c>
      <c r="I327" s="3" t="s">
        <v>31</v>
      </c>
      <c r="J327" s="3" t="s">
        <v>32</v>
      </c>
      <c r="K327" s="3" t="s">
        <v>33</v>
      </c>
      <c r="L327" s="3" t="s">
        <v>34</v>
      </c>
      <c r="M327" s="4">
        <v>858.96</v>
      </c>
    </row>
    <row r="328">
      <c r="A328" s="2">
        <v>45342</v>
      </c>
      <c r="B3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8" s="3" t="str">
        <f>YEAR(KMART_DATA[[#This Row],[Date]])&amp;"-"&amp;TEXT(MONTH(KMART_DATA[[#This Row],[Date]]),"00")</f>
        <v>2024-02</v>
      </c>
      <c r="D328" s="3" t="s">
        <v>45</v>
      </c>
      <c r="E328" s="3" t="s">
        <v>85</v>
      </c>
      <c r="F328" s="3" t="s">
        <v>9</v>
      </c>
      <c r="G3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8" s="3" t="s">
        <v>86</v>
      </c>
      <c r="I328" s="3" t="s">
        <v>31</v>
      </c>
      <c r="J328" s="3" t="s">
        <v>81</v>
      </c>
      <c r="K328" s="3" t="s">
        <v>57</v>
      </c>
      <c r="L328" s="3" t="s">
        <v>58</v>
      </c>
      <c r="M328" s="4">
        <v>1254.73</v>
      </c>
    </row>
    <row r="329">
      <c r="A329" s="2">
        <v>45342</v>
      </c>
      <c r="B3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29" s="3" t="str">
        <f>YEAR(KMART_DATA[[#This Row],[Date]])&amp;"-"&amp;TEXT(MONTH(KMART_DATA[[#This Row],[Date]]),"00")</f>
        <v>2024-02</v>
      </c>
      <c r="D329" s="3" t="s">
        <v>45</v>
      </c>
      <c r="E329" s="3" t="s">
        <v>177</v>
      </c>
      <c r="F329" s="3" t="s">
        <v>12</v>
      </c>
      <c r="G3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9" s="3" t="s">
        <v>178</v>
      </c>
      <c r="I329" s="3" t="s">
        <v>31</v>
      </c>
      <c r="J329" s="3" t="s">
        <v>162</v>
      </c>
      <c r="K329" s="3" t="s">
        <v>71</v>
      </c>
      <c r="L329" s="3" t="s">
        <v>72</v>
      </c>
      <c r="M329" s="4">
        <v>4750.72</v>
      </c>
    </row>
    <row r="330">
      <c r="A330" s="2">
        <v>45342</v>
      </c>
      <c r="B3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0" s="3" t="str">
        <f>YEAR(KMART_DATA[[#This Row],[Date]])&amp;"-"&amp;TEXT(MONTH(KMART_DATA[[#This Row],[Date]]),"00")</f>
        <v>2024-02</v>
      </c>
      <c r="D330" s="3" t="s">
        <v>28</v>
      </c>
      <c r="E330" s="3" t="s">
        <v>139</v>
      </c>
      <c r="F330" s="3" t="s">
        <v>10</v>
      </c>
      <c r="G3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0" s="3" t="s">
        <v>140</v>
      </c>
      <c r="I330" s="3" t="s">
        <v>31</v>
      </c>
      <c r="J330" s="3" t="s">
        <v>89</v>
      </c>
      <c r="K330" s="3" t="s">
        <v>123</v>
      </c>
      <c r="L330" s="3" t="s">
        <v>124</v>
      </c>
      <c r="M330" s="4">
        <v>5804.51</v>
      </c>
    </row>
    <row r="331">
      <c r="A331" s="2">
        <v>45343</v>
      </c>
      <c r="B3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1" s="3" t="str">
        <f>YEAR(KMART_DATA[[#This Row],[Date]])&amp;"-"&amp;TEXT(MONTH(KMART_DATA[[#This Row],[Date]]),"00")</f>
        <v>2024-02</v>
      </c>
      <c r="D331" s="3" t="s">
        <v>28</v>
      </c>
      <c r="E331" s="3" t="s">
        <v>163</v>
      </c>
      <c r="F331" s="3" t="s">
        <v>9</v>
      </c>
      <c r="G3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1" s="3" t="s">
        <v>164</v>
      </c>
      <c r="I331" s="3" t="s">
        <v>31</v>
      </c>
      <c r="J331" s="3" t="s">
        <v>81</v>
      </c>
      <c r="K331" s="3" t="s">
        <v>71</v>
      </c>
      <c r="L331" s="3" t="s">
        <v>72</v>
      </c>
      <c r="M331" s="4">
        <v>21.49</v>
      </c>
    </row>
    <row r="332">
      <c r="A332" s="2">
        <v>45343</v>
      </c>
      <c r="B3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2" s="3" t="str">
        <f>YEAR(KMART_DATA[[#This Row],[Date]])&amp;"-"&amp;TEXT(MONTH(KMART_DATA[[#This Row],[Date]]),"00")</f>
        <v>2024-02</v>
      </c>
      <c r="D332" s="3" t="s">
        <v>28</v>
      </c>
      <c r="E332" s="3" t="s">
        <v>143</v>
      </c>
      <c r="F332" s="3" t="s">
        <v>14</v>
      </c>
      <c r="G3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32" s="3" t="s">
        <v>144</v>
      </c>
      <c r="I332" s="3" t="s">
        <v>31</v>
      </c>
      <c r="J332" s="3" t="s">
        <v>145</v>
      </c>
      <c r="K332" s="3" t="s">
        <v>57</v>
      </c>
      <c r="L332" s="3" t="s">
        <v>58</v>
      </c>
      <c r="M332" s="4">
        <v>61.0</v>
      </c>
    </row>
    <row r="333">
      <c r="A333" s="2">
        <v>45343</v>
      </c>
      <c r="B3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3" s="3" t="str">
        <f>YEAR(KMART_DATA[[#This Row],[Date]])&amp;"-"&amp;TEXT(MONTH(KMART_DATA[[#This Row],[Date]]),"00")</f>
        <v>2024-02</v>
      </c>
      <c r="D333" s="3" t="s">
        <v>28</v>
      </c>
      <c r="E333" s="3" t="s">
        <v>201</v>
      </c>
      <c r="F333" s="3" t="s">
        <v>10</v>
      </c>
      <c r="G3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3" s="3" t="s">
        <v>202</v>
      </c>
      <c r="I333" s="3" t="s">
        <v>31</v>
      </c>
      <c r="J333" s="3" t="s">
        <v>89</v>
      </c>
      <c r="K333" s="3" t="s">
        <v>33</v>
      </c>
      <c r="L333" s="3" t="s">
        <v>34</v>
      </c>
      <c r="M333" s="4">
        <v>948.54</v>
      </c>
    </row>
    <row r="334">
      <c r="A334" s="2">
        <v>45343</v>
      </c>
      <c r="B3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4" s="3" t="str">
        <f>YEAR(KMART_DATA[[#This Row],[Date]])&amp;"-"&amp;TEXT(MONTH(KMART_DATA[[#This Row],[Date]]),"00")</f>
        <v>2024-02</v>
      </c>
      <c r="D334" s="3" t="s">
        <v>28</v>
      </c>
      <c r="E334" s="3" t="s">
        <v>154</v>
      </c>
      <c r="F334" s="3" t="s">
        <v>11</v>
      </c>
      <c r="G3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4" s="3" t="s">
        <v>155</v>
      </c>
      <c r="I334" s="3" t="s">
        <v>31</v>
      </c>
      <c r="J334" s="3" t="s">
        <v>84</v>
      </c>
      <c r="K334" s="3" t="s">
        <v>46</v>
      </c>
      <c r="L334" s="3" t="s">
        <v>47</v>
      </c>
      <c r="M334" s="4">
        <v>1653.39</v>
      </c>
    </row>
    <row r="335">
      <c r="A335" s="2">
        <v>45343</v>
      </c>
      <c r="B3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5" s="3" t="str">
        <f>YEAR(KMART_DATA[[#This Row],[Date]])&amp;"-"&amp;TEXT(MONTH(KMART_DATA[[#This Row],[Date]]),"00")</f>
        <v>2024-02</v>
      </c>
      <c r="D335" s="3" t="s">
        <v>28</v>
      </c>
      <c r="E335" s="3" t="s">
        <v>219</v>
      </c>
      <c r="F335" s="3" t="s">
        <v>11</v>
      </c>
      <c r="G3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5" s="3" t="s">
        <v>220</v>
      </c>
      <c r="I335" s="3" t="s">
        <v>31</v>
      </c>
      <c r="J335" s="3" t="s">
        <v>56</v>
      </c>
      <c r="K335" s="3" t="s">
        <v>33</v>
      </c>
      <c r="L335" s="3" t="s">
        <v>34</v>
      </c>
      <c r="M335" s="4">
        <v>2547.41</v>
      </c>
    </row>
    <row r="336">
      <c r="A336" s="2">
        <v>45344</v>
      </c>
      <c r="B3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6" s="3" t="str">
        <f>YEAR(KMART_DATA[[#This Row],[Date]])&amp;"-"&amp;TEXT(MONTH(KMART_DATA[[#This Row],[Date]]),"00")</f>
        <v>2024-02</v>
      </c>
      <c r="D336" s="3" t="s">
        <v>28</v>
      </c>
      <c r="E336" s="3" t="s">
        <v>254</v>
      </c>
      <c r="F336" s="3" t="s">
        <v>13</v>
      </c>
      <c r="G3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6" s="3" t="s">
        <v>255</v>
      </c>
      <c r="I336" s="3" t="s">
        <v>31</v>
      </c>
      <c r="J336" s="3" t="s">
        <v>227</v>
      </c>
      <c r="K336" s="3" t="s">
        <v>33</v>
      </c>
      <c r="L336" s="3" t="s">
        <v>34</v>
      </c>
      <c r="M336" s="4">
        <v>5.97</v>
      </c>
    </row>
    <row r="337">
      <c r="A337" s="2">
        <v>45344</v>
      </c>
      <c r="B3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7" s="3" t="str">
        <f>YEAR(KMART_DATA[[#This Row],[Date]])&amp;"-"&amp;TEXT(MONTH(KMART_DATA[[#This Row],[Date]]),"00")</f>
        <v>2024-02</v>
      </c>
      <c r="D337" s="3" t="s">
        <v>28</v>
      </c>
      <c r="E337" s="3" t="s">
        <v>256</v>
      </c>
      <c r="F337" s="3" t="s">
        <v>9</v>
      </c>
      <c r="G3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7" s="3" t="s">
        <v>257</v>
      </c>
      <c r="I337" s="3" t="s">
        <v>31</v>
      </c>
      <c r="J337" s="3" t="s">
        <v>70</v>
      </c>
      <c r="K337" s="3" t="s">
        <v>43</v>
      </c>
      <c r="L337" s="3" t="s">
        <v>44</v>
      </c>
      <c r="M337" s="4">
        <v>23.16</v>
      </c>
    </row>
    <row r="338">
      <c r="A338" s="2">
        <v>45344</v>
      </c>
      <c r="B3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8" s="3" t="str">
        <f>YEAR(KMART_DATA[[#This Row],[Date]])&amp;"-"&amp;TEXT(MONTH(KMART_DATA[[#This Row],[Date]]),"00")</f>
        <v>2024-02</v>
      </c>
      <c r="D338" s="3" t="s">
        <v>28</v>
      </c>
      <c r="E338" s="3" t="s">
        <v>114</v>
      </c>
      <c r="F338" s="3" t="s">
        <v>9</v>
      </c>
      <c r="G3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8" s="3" t="s">
        <v>115</v>
      </c>
      <c r="I338" s="3" t="s">
        <v>31</v>
      </c>
      <c r="J338" s="3" t="s">
        <v>99</v>
      </c>
      <c r="K338" s="3" t="s">
        <v>123</v>
      </c>
      <c r="L338" s="3" t="s">
        <v>124</v>
      </c>
      <c r="M338" s="4">
        <v>428.14</v>
      </c>
    </row>
    <row r="339">
      <c r="A339" s="2">
        <v>45344</v>
      </c>
      <c r="B3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39" s="3" t="str">
        <f>YEAR(KMART_DATA[[#This Row],[Date]])&amp;"-"&amp;TEXT(MONTH(KMART_DATA[[#This Row],[Date]]),"00")</f>
        <v>2024-02</v>
      </c>
      <c r="D339" s="3" t="s">
        <v>28</v>
      </c>
      <c r="E339" s="3" t="s">
        <v>62</v>
      </c>
      <c r="F339" s="3" t="s">
        <v>12</v>
      </c>
      <c r="G3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9" s="3" t="s">
        <v>63</v>
      </c>
      <c r="I339" s="3" t="s">
        <v>31</v>
      </c>
      <c r="J339" s="3" t="s">
        <v>50</v>
      </c>
      <c r="K339" s="3" t="s">
        <v>38</v>
      </c>
      <c r="L339" s="3" t="s">
        <v>39</v>
      </c>
      <c r="M339" s="4">
        <v>1849.15</v>
      </c>
    </row>
    <row r="340">
      <c r="A340" s="2">
        <v>45345</v>
      </c>
      <c r="B3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0" s="3" t="str">
        <f>YEAR(KMART_DATA[[#This Row],[Date]])&amp;"-"&amp;TEXT(MONTH(KMART_DATA[[#This Row],[Date]]),"00")</f>
        <v>2024-02</v>
      </c>
      <c r="D340" s="3" t="s">
        <v>45</v>
      </c>
      <c r="E340" s="3" t="s">
        <v>187</v>
      </c>
      <c r="F340" s="3" t="s">
        <v>11</v>
      </c>
      <c r="G3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0" s="3" t="s">
        <v>188</v>
      </c>
      <c r="I340" s="3" t="s">
        <v>31</v>
      </c>
      <c r="J340" s="3" t="s">
        <v>78</v>
      </c>
      <c r="K340" s="3" t="s">
        <v>71</v>
      </c>
      <c r="L340" s="3" t="s">
        <v>72</v>
      </c>
      <c r="M340" s="4">
        <v>14.99</v>
      </c>
    </row>
    <row r="341">
      <c r="A341" s="2">
        <v>45345</v>
      </c>
      <c r="B3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1" s="3" t="str">
        <f>YEAR(KMART_DATA[[#This Row],[Date]])&amp;"-"&amp;TEXT(MONTH(KMART_DATA[[#This Row],[Date]]),"00")</f>
        <v>2024-02</v>
      </c>
      <c r="D341" s="3" t="s">
        <v>45</v>
      </c>
      <c r="E341" s="3" t="s">
        <v>59</v>
      </c>
      <c r="F341" s="3" t="s">
        <v>11</v>
      </c>
      <c r="G3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1" s="3" t="s">
        <v>60</v>
      </c>
      <c r="I341" s="3" t="s">
        <v>31</v>
      </c>
      <c r="J341" s="3" t="s">
        <v>61</v>
      </c>
      <c r="K341" s="3" t="s">
        <v>95</v>
      </c>
      <c r="L341" s="3" t="s">
        <v>96</v>
      </c>
      <c r="M341" s="4">
        <v>17.54</v>
      </c>
    </row>
    <row r="342">
      <c r="A342" s="2">
        <v>45345</v>
      </c>
      <c r="B3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2" s="3" t="str">
        <f>YEAR(KMART_DATA[[#This Row],[Date]])&amp;"-"&amp;TEXT(MONTH(KMART_DATA[[#This Row],[Date]]),"00")</f>
        <v>2024-02</v>
      </c>
      <c r="D342" s="3" t="s">
        <v>28</v>
      </c>
      <c r="E342" s="3" t="s">
        <v>158</v>
      </c>
      <c r="F342" s="3" t="s">
        <v>11</v>
      </c>
      <c r="G3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2" s="3" t="s">
        <v>159</v>
      </c>
      <c r="I342" s="3" t="s">
        <v>31</v>
      </c>
      <c r="J342" s="3" t="s">
        <v>84</v>
      </c>
      <c r="K342" s="3" t="s">
        <v>38</v>
      </c>
      <c r="L342" s="3" t="s">
        <v>39</v>
      </c>
      <c r="M342" s="4">
        <v>28.47</v>
      </c>
    </row>
    <row r="343">
      <c r="A343" s="2">
        <v>45345</v>
      </c>
      <c r="B3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3" s="3" t="str">
        <f>YEAR(KMART_DATA[[#This Row],[Date]])&amp;"-"&amp;TEXT(MONTH(KMART_DATA[[#This Row],[Date]]),"00")</f>
        <v>2024-02</v>
      </c>
      <c r="D343" s="3" t="s">
        <v>45</v>
      </c>
      <c r="E343" s="3" t="s">
        <v>201</v>
      </c>
      <c r="F343" s="3" t="s">
        <v>10</v>
      </c>
      <c r="G3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3" s="3" t="s">
        <v>202</v>
      </c>
      <c r="I343" s="3" t="s">
        <v>31</v>
      </c>
      <c r="J343" s="3" t="s">
        <v>89</v>
      </c>
      <c r="K343" s="3" t="s">
        <v>57</v>
      </c>
      <c r="L343" s="3" t="s">
        <v>58</v>
      </c>
      <c r="M343" s="4">
        <v>47.92</v>
      </c>
    </row>
    <row r="344">
      <c r="A344" s="2">
        <v>45345</v>
      </c>
      <c r="B3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4" s="3" t="str">
        <f>YEAR(KMART_DATA[[#This Row],[Date]])&amp;"-"&amp;TEXT(MONTH(KMART_DATA[[#This Row],[Date]]),"00")</f>
        <v>2024-02</v>
      </c>
      <c r="D344" s="3" t="s">
        <v>28</v>
      </c>
      <c r="E344" s="3" t="s">
        <v>129</v>
      </c>
      <c r="F344" s="3" t="s">
        <v>10</v>
      </c>
      <c r="G3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4" s="3" t="s">
        <v>130</v>
      </c>
      <c r="I344" s="3" t="s">
        <v>31</v>
      </c>
      <c r="J344" s="3" t="s">
        <v>120</v>
      </c>
      <c r="K344" s="3" t="s">
        <v>66</v>
      </c>
      <c r="L344" s="3" t="s">
        <v>67</v>
      </c>
      <c r="M344" s="4">
        <v>64.96</v>
      </c>
    </row>
    <row r="345">
      <c r="A345" s="2">
        <v>45345</v>
      </c>
      <c r="B3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5" s="3" t="str">
        <f>YEAR(KMART_DATA[[#This Row],[Date]])&amp;"-"&amp;TEXT(MONTH(KMART_DATA[[#This Row],[Date]]),"00")</f>
        <v>2024-02</v>
      </c>
      <c r="D345" s="3" t="s">
        <v>28</v>
      </c>
      <c r="E345" s="3" t="s">
        <v>246</v>
      </c>
      <c r="F345" s="3" t="s">
        <v>10</v>
      </c>
      <c r="G3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5" s="3" t="s">
        <v>247</v>
      </c>
      <c r="I345" s="3" t="s">
        <v>31</v>
      </c>
      <c r="J345" s="3" t="s">
        <v>37</v>
      </c>
      <c r="K345" s="3" t="s">
        <v>112</v>
      </c>
      <c r="L345" s="3" t="s">
        <v>113</v>
      </c>
      <c r="M345" s="4">
        <v>571.46</v>
      </c>
    </row>
    <row r="346">
      <c r="A346" s="2">
        <v>45345</v>
      </c>
      <c r="B3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6" s="3" t="str">
        <f>YEAR(KMART_DATA[[#This Row],[Date]])&amp;"-"&amp;TEXT(MONTH(KMART_DATA[[#This Row],[Date]]),"00")</f>
        <v>2024-02</v>
      </c>
      <c r="D346" s="3" t="s">
        <v>28</v>
      </c>
      <c r="E346" s="3" t="s">
        <v>105</v>
      </c>
      <c r="F346" s="3" t="s">
        <v>9</v>
      </c>
      <c r="G3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6" s="3" t="s">
        <v>106</v>
      </c>
      <c r="I346" s="3" t="s">
        <v>31</v>
      </c>
      <c r="J346" s="3" t="s">
        <v>107</v>
      </c>
      <c r="K346" s="3" t="s">
        <v>46</v>
      </c>
      <c r="L346" s="3" t="s">
        <v>47</v>
      </c>
      <c r="M346" s="4">
        <v>573.83</v>
      </c>
    </row>
    <row r="347">
      <c r="A347" s="2">
        <v>45346</v>
      </c>
      <c r="B3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7" s="3" t="str">
        <f>YEAR(KMART_DATA[[#This Row],[Date]])&amp;"-"&amp;TEXT(MONTH(KMART_DATA[[#This Row],[Date]]),"00")</f>
        <v>2024-02</v>
      </c>
      <c r="D347" s="3" t="s">
        <v>28</v>
      </c>
      <c r="E347" s="3" t="s">
        <v>240</v>
      </c>
      <c r="F347" s="3" t="s">
        <v>15</v>
      </c>
      <c r="G3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47" s="3" t="s">
        <v>241</v>
      </c>
      <c r="I347" s="3" t="s">
        <v>31</v>
      </c>
      <c r="J347" s="3" t="s">
        <v>53</v>
      </c>
      <c r="K347" s="3" t="s">
        <v>38</v>
      </c>
      <c r="L347" s="3" t="s">
        <v>39</v>
      </c>
      <c r="M347" s="4">
        <v>29.95</v>
      </c>
    </row>
    <row r="348">
      <c r="A348" s="2">
        <v>45346</v>
      </c>
      <c r="B3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8" s="3" t="str">
        <f>YEAR(KMART_DATA[[#This Row],[Date]])&amp;"-"&amp;TEXT(MONTH(KMART_DATA[[#This Row],[Date]]),"00")</f>
        <v>2024-02</v>
      </c>
      <c r="D348" s="3" t="s">
        <v>28</v>
      </c>
      <c r="E348" s="3" t="s">
        <v>177</v>
      </c>
      <c r="F348" s="3" t="s">
        <v>12</v>
      </c>
      <c r="G3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8" s="3" t="s">
        <v>178</v>
      </c>
      <c r="I348" s="3" t="s">
        <v>31</v>
      </c>
      <c r="J348" s="3" t="s">
        <v>162</v>
      </c>
      <c r="K348" s="3" t="s">
        <v>123</v>
      </c>
      <c r="L348" s="3" t="s">
        <v>124</v>
      </c>
      <c r="M348" s="4">
        <v>34.93</v>
      </c>
    </row>
    <row r="349">
      <c r="A349" s="2">
        <v>45346</v>
      </c>
      <c r="B3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49" s="3" t="str">
        <f>YEAR(KMART_DATA[[#This Row],[Date]])&amp;"-"&amp;TEXT(MONTH(KMART_DATA[[#This Row],[Date]]),"00")</f>
        <v>2024-02</v>
      </c>
      <c r="D349" s="3" t="s">
        <v>28</v>
      </c>
      <c r="E349" s="3" t="s">
        <v>199</v>
      </c>
      <c r="F349" s="3" t="s">
        <v>13</v>
      </c>
      <c r="G3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49" s="3" t="s">
        <v>200</v>
      </c>
      <c r="I349" s="3" t="s">
        <v>31</v>
      </c>
      <c r="J349" s="3" t="s">
        <v>42</v>
      </c>
      <c r="K349" s="3" t="s">
        <v>43</v>
      </c>
      <c r="L349" s="3" t="s">
        <v>44</v>
      </c>
      <c r="M349" s="4">
        <v>59.0</v>
      </c>
    </row>
    <row r="350">
      <c r="A350" s="2">
        <v>45346</v>
      </c>
      <c r="B3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0" s="3" t="str">
        <f>YEAR(KMART_DATA[[#This Row],[Date]])&amp;"-"&amp;TEXT(MONTH(KMART_DATA[[#This Row],[Date]]),"00")</f>
        <v>2024-02</v>
      </c>
      <c r="D350" s="3" t="s">
        <v>28</v>
      </c>
      <c r="E350" s="3" t="s">
        <v>133</v>
      </c>
      <c r="F350" s="3" t="s">
        <v>10</v>
      </c>
      <c r="G3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0" s="3" t="s">
        <v>134</v>
      </c>
      <c r="I350" s="3" t="s">
        <v>31</v>
      </c>
      <c r="J350" s="3" t="s">
        <v>37</v>
      </c>
      <c r="K350" s="3" t="s">
        <v>46</v>
      </c>
      <c r="L350" s="3" t="s">
        <v>47</v>
      </c>
      <c r="M350" s="4">
        <v>504.95</v>
      </c>
    </row>
    <row r="351">
      <c r="A351" s="2">
        <v>45346</v>
      </c>
      <c r="B3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1" s="3" t="str">
        <f>YEAR(KMART_DATA[[#This Row],[Date]])&amp;"-"&amp;TEXT(MONTH(KMART_DATA[[#This Row],[Date]]),"00")</f>
        <v>2024-02</v>
      </c>
      <c r="D351" s="3" t="s">
        <v>28</v>
      </c>
      <c r="E351" s="3" t="s">
        <v>209</v>
      </c>
      <c r="F351" s="3" t="s">
        <v>9</v>
      </c>
      <c r="G3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1" s="3" t="s">
        <v>210</v>
      </c>
      <c r="I351" s="3" t="s">
        <v>31</v>
      </c>
      <c r="J351" s="3" t="s">
        <v>81</v>
      </c>
      <c r="K351" s="3" t="s">
        <v>123</v>
      </c>
      <c r="L351" s="3" t="s">
        <v>124</v>
      </c>
      <c r="M351" s="4">
        <v>715.62</v>
      </c>
    </row>
    <row r="352">
      <c r="A352" s="2">
        <v>45346</v>
      </c>
      <c r="B3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2" s="3" t="str">
        <f>YEAR(KMART_DATA[[#This Row],[Date]])&amp;"-"&amp;TEXT(MONTH(KMART_DATA[[#This Row],[Date]]),"00")</f>
        <v>2024-02</v>
      </c>
      <c r="D352" s="3" t="s">
        <v>28</v>
      </c>
      <c r="E352" s="3" t="s">
        <v>181</v>
      </c>
      <c r="F352" s="3" t="s">
        <v>11</v>
      </c>
      <c r="G3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2" s="3" t="s">
        <v>182</v>
      </c>
      <c r="I352" s="3" t="s">
        <v>31</v>
      </c>
      <c r="J352" s="3" t="s">
        <v>56</v>
      </c>
      <c r="K352" s="3" t="s">
        <v>57</v>
      </c>
      <c r="L352" s="3" t="s">
        <v>58</v>
      </c>
      <c r="M352" s="4">
        <v>747.11</v>
      </c>
    </row>
    <row r="353">
      <c r="A353" s="2">
        <v>45347</v>
      </c>
      <c r="B3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3" s="3" t="str">
        <f>YEAR(KMART_DATA[[#This Row],[Date]])&amp;"-"&amp;TEXT(MONTH(KMART_DATA[[#This Row],[Date]]),"00")</f>
        <v>2024-02</v>
      </c>
      <c r="D353" s="3" t="s">
        <v>28</v>
      </c>
      <c r="E353" s="3" t="s">
        <v>219</v>
      </c>
      <c r="F353" s="3" t="s">
        <v>11</v>
      </c>
      <c r="G3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3" s="3" t="s">
        <v>220</v>
      </c>
      <c r="I353" s="3" t="s">
        <v>31</v>
      </c>
      <c r="J353" s="3" t="s">
        <v>56</v>
      </c>
      <c r="K353" s="3" t="s">
        <v>71</v>
      </c>
      <c r="L353" s="3" t="s">
        <v>72</v>
      </c>
      <c r="M353" s="4">
        <v>7.0</v>
      </c>
    </row>
    <row r="354">
      <c r="A354" s="2">
        <v>45347</v>
      </c>
      <c r="B3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4" s="3" t="str">
        <f>YEAR(KMART_DATA[[#This Row],[Date]])&amp;"-"&amp;TEXT(MONTH(KMART_DATA[[#This Row],[Date]]),"00")</f>
        <v>2024-02</v>
      </c>
      <c r="D354" s="3" t="s">
        <v>28</v>
      </c>
      <c r="E354" s="3" t="s">
        <v>203</v>
      </c>
      <c r="F354" s="3" t="s">
        <v>10</v>
      </c>
      <c r="G3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4" s="3" t="s">
        <v>204</v>
      </c>
      <c r="I354" s="3" t="s">
        <v>31</v>
      </c>
      <c r="J354" s="3" t="s">
        <v>89</v>
      </c>
      <c r="K354" s="3" t="s">
        <v>57</v>
      </c>
      <c r="L354" s="3" t="s">
        <v>58</v>
      </c>
      <c r="M354" s="4">
        <v>15.98</v>
      </c>
    </row>
    <row r="355">
      <c r="A355" s="2">
        <v>45347</v>
      </c>
      <c r="B3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5" s="3" t="str">
        <f>YEAR(KMART_DATA[[#This Row],[Date]])&amp;"-"&amp;TEXT(MONTH(KMART_DATA[[#This Row],[Date]]),"00")</f>
        <v>2024-02</v>
      </c>
      <c r="D355" s="3" t="s">
        <v>45</v>
      </c>
      <c r="E355" s="3" t="s">
        <v>197</v>
      </c>
      <c r="F355" s="3" t="s">
        <v>9</v>
      </c>
      <c r="G3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5" s="3" t="s">
        <v>198</v>
      </c>
      <c r="I355" s="3" t="s">
        <v>31</v>
      </c>
      <c r="J355" s="3" t="s">
        <v>107</v>
      </c>
      <c r="K355" s="3" t="s">
        <v>66</v>
      </c>
      <c r="L355" s="3" t="s">
        <v>67</v>
      </c>
      <c r="M355" s="4">
        <v>127.73</v>
      </c>
    </row>
    <row r="356">
      <c r="A356" s="2">
        <v>45347</v>
      </c>
      <c r="B3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6" s="3" t="str">
        <f>YEAR(KMART_DATA[[#This Row],[Date]])&amp;"-"&amp;TEXT(MONTH(KMART_DATA[[#This Row],[Date]]),"00")</f>
        <v>2024-02</v>
      </c>
      <c r="D356" s="3" t="s">
        <v>28</v>
      </c>
      <c r="E356" s="3" t="s">
        <v>62</v>
      </c>
      <c r="F356" s="3" t="s">
        <v>12</v>
      </c>
      <c r="G3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6" s="3" t="s">
        <v>63</v>
      </c>
      <c r="I356" s="3" t="s">
        <v>31</v>
      </c>
      <c r="J356" s="3" t="s">
        <v>50</v>
      </c>
      <c r="K356" s="3" t="s">
        <v>66</v>
      </c>
      <c r="L356" s="3" t="s">
        <v>67</v>
      </c>
      <c r="M356" s="4">
        <v>179.13</v>
      </c>
    </row>
    <row r="357">
      <c r="A357" s="2">
        <v>45347</v>
      </c>
      <c r="B3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7" s="3" t="str">
        <f>YEAR(KMART_DATA[[#This Row],[Date]])&amp;"-"&amp;TEXT(MONTH(KMART_DATA[[#This Row],[Date]]),"00")</f>
        <v>2024-02</v>
      </c>
      <c r="D357" s="3" t="s">
        <v>28</v>
      </c>
      <c r="E357" s="3" t="s">
        <v>221</v>
      </c>
      <c r="F357" s="3" t="s">
        <v>11</v>
      </c>
      <c r="G3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7" s="3" t="s">
        <v>222</v>
      </c>
      <c r="I357" s="3" t="s">
        <v>31</v>
      </c>
      <c r="J357" s="3" t="s">
        <v>56</v>
      </c>
      <c r="K357" s="3" t="s">
        <v>57</v>
      </c>
      <c r="L357" s="3" t="s">
        <v>58</v>
      </c>
      <c r="M357" s="4">
        <v>525.38</v>
      </c>
    </row>
    <row r="358">
      <c r="A358" s="2">
        <v>45348</v>
      </c>
      <c r="B3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8" s="3" t="str">
        <f>YEAR(KMART_DATA[[#This Row],[Date]])&amp;"-"&amp;TEXT(MONTH(KMART_DATA[[#This Row],[Date]]),"00")</f>
        <v>2024-02</v>
      </c>
      <c r="D358" s="3" t="s">
        <v>28</v>
      </c>
      <c r="E358" s="3" t="s">
        <v>209</v>
      </c>
      <c r="F358" s="3" t="s">
        <v>9</v>
      </c>
      <c r="G3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8" s="3" t="s">
        <v>210</v>
      </c>
      <c r="I358" s="3" t="s">
        <v>31</v>
      </c>
      <c r="J358" s="3" t="s">
        <v>81</v>
      </c>
      <c r="K358" s="3" t="s">
        <v>71</v>
      </c>
      <c r="L358" s="3" t="s">
        <v>72</v>
      </c>
      <c r="M358" s="4">
        <v>2.0</v>
      </c>
    </row>
    <row r="359">
      <c r="A359" s="2">
        <v>45348</v>
      </c>
      <c r="B3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59" s="3" t="str">
        <f>YEAR(KMART_DATA[[#This Row],[Date]])&amp;"-"&amp;TEXT(MONTH(KMART_DATA[[#This Row],[Date]]),"00")</f>
        <v>2024-02</v>
      </c>
      <c r="D359" s="3" t="s">
        <v>45</v>
      </c>
      <c r="E359" s="3" t="s">
        <v>59</v>
      </c>
      <c r="F359" s="3" t="s">
        <v>11</v>
      </c>
      <c r="G3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9" s="3" t="s">
        <v>60</v>
      </c>
      <c r="I359" s="3" t="s">
        <v>31</v>
      </c>
      <c r="J359" s="3" t="s">
        <v>61</v>
      </c>
      <c r="K359" s="3" t="s">
        <v>46</v>
      </c>
      <c r="L359" s="3" t="s">
        <v>47</v>
      </c>
      <c r="M359" s="4">
        <v>3.0</v>
      </c>
    </row>
    <row r="360">
      <c r="A360" s="2">
        <v>45348</v>
      </c>
      <c r="B3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0" s="3" t="str">
        <f>YEAR(KMART_DATA[[#This Row],[Date]])&amp;"-"&amp;TEXT(MONTH(KMART_DATA[[#This Row],[Date]]),"00")</f>
        <v>2024-02</v>
      </c>
      <c r="D360" s="3" t="s">
        <v>45</v>
      </c>
      <c r="E360" s="3" t="s">
        <v>163</v>
      </c>
      <c r="F360" s="3" t="s">
        <v>9</v>
      </c>
      <c r="G3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0" s="3" t="s">
        <v>164</v>
      </c>
      <c r="I360" s="3" t="s">
        <v>31</v>
      </c>
      <c r="J360" s="3" t="s">
        <v>81</v>
      </c>
      <c r="K360" s="3" t="s">
        <v>123</v>
      </c>
      <c r="L360" s="3" t="s">
        <v>124</v>
      </c>
      <c r="M360" s="4">
        <v>40.23</v>
      </c>
    </row>
    <row r="361">
      <c r="A361" s="2">
        <v>45348</v>
      </c>
      <c r="B3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1" s="3" t="str">
        <f>YEAR(KMART_DATA[[#This Row],[Date]])&amp;"-"&amp;TEXT(MONTH(KMART_DATA[[#This Row],[Date]]),"00")</f>
        <v>2024-02</v>
      </c>
      <c r="D361" s="3" t="s">
        <v>28</v>
      </c>
      <c r="E361" s="3" t="s">
        <v>232</v>
      </c>
      <c r="F361" s="3" t="s">
        <v>9</v>
      </c>
      <c r="G3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1" s="3" t="s">
        <v>233</v>
      </c>
      <c r="I361" s="3" t="s">
        <v>31</v>
      </c>
      <c r="J361" s="3" t="s">
        <v>75</v>
      </c>
      <c r="K361" s="3" t="s">
        <v>38</v>
      </c>
      <c r="L361" s="3" t="s">
        <v>39</v>
      </c>
      <c r="M361" s="4">
        <v>536.42</v>
      </c>
    </row>
    <row r="362">
      <c r="A362" s="2">
        <v>45349</v>
      </c>
      <c r="B3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2" s="3" t="str">
        <f>YEAR(KMART_DATA[[#This Row],[Date]])&amp;"-"&amp;TEXT(MONTH(KMART_DATA[[#This Row],[Date]]),"00")</f>
        <v>2024-02</v>
      </c>
      <c r="D362" s="3" t="s">
        <v>28</v>
      </c>
      <c r="E362" s="3" t="s">
        <v>177</v>
      </c>
      <c r="F362" s="3" t="s">
        <v>12</v>
      </c>
      <c r="G3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2" s="3" t="s">
        <v>178</v>
      </c>
      <c r="I362" s="3" t="s">
        <v>31</v>
      </c>
      <c r="J362" s="3" t="s">
        <v>162</v>
      </c>
      <c r="K362" s="3" t="s">
        <v>112</v>
      </c>
      <c r="L362" s="3" t="s">
        <v>113</v>
      </c>
      <c r="M362" s="4">
        <v>45.54</v>
      </c>
    </row>
    <row r="363">
      <c r="A363" s="2">
        <v>45349</v>
      </c>
      <c r="B3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3" s="3" t="str">
        <f>YEAR(KMART_DATA[[#This Row],[Date]])&amp;"-"&amp;TEXT(MONTH(KMART_DATA[[#This Row],[Date]]),"00")</f>
        <v>2024-02</v>
      </c>
      <c r="D363" s="3" t="s">
        <v>28</v>
      </c>
      <c r="E363" s="3" t="s">
        <v>179</v>
      </c>
      <c r="F363" s="3" t="s">
        <v>9</v>
      </c>
      <c r="G3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3" s="3" t="s">
        <v>180</v>
      </c>
      <c r="I363" s="3" t="s">
        <v>31</v>
      </c>
      <c r="J363" s="3" t="s">
        <v>99</v>
      </c>
      <c r="K363" s="3" t="s">
        <v>46</v>
      </c>
      <c r="L363" s="3" t="s">
        <v>47</v>
      </c>
      <c r="M363" s="4">
        <v>87.85</v>
      </c>
    </row>
    <row r="364">
      <c r="A364" s="2">
        <v>45349</v>
      </c>
      <c r="B3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4" s="3" t="str">
        <f>YEAR(KMART_DATA[[#This Row],[Date]])&amp;"-"&amp;TEXT(MONTH(KMART_DATA[[#This Row],[Date]]),"00")</f>
        <v>2024-02</v>
      </c>
      <c r="D364" s="3" t="s">
        <v>28</v>
      </c>
      <c r="E364" s="3" t="s">
        <v>137</v>
      </c>
      <c r="F364" s="3" t="s">
        <v>10</v>
      </c>
      <c r="G3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4" s="3" t="s">
        <v>138</v>
      </c>
      <c r="I364" s="3" t="s">
        <v>31</v>
      </c>
      <c r="J364" s="3" t="s">
        <v>89</v>
      </c>
      <c r="K364" s="3" t="s">
        <v>57</v>
      </c>
      <c r="L364" s="3" t="s">
        <v>58</v>
      </c>
      <c r="M364" s="4">
        <v>137.77</v>
      </c>
    </row>
    <row r="365">
      <c r="A365" s="2">
        <v>45349</v>
      </c>
      <c r="B3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5" s="3" t="str">
        <f>YEAR(KMART_DATA[[#This Row],[Date]])&amp;"-"&amp;TEXT(MONTH(KMART_DATA[[#This Row],[Date]]),"00")</f>
        <v>2024-02</v>
      </c>
      <c r="D365" s="3" t="s">
        <v>28</v>
      </c>
      <c r="E365" s="3" t="s">
        <v>256</v>
      </c>
      <c r="F365" s="3" t="s">
        <v>9</v>
      </c>
      <c r="G3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5" s="3" t="s">
        <v>257</v>
      </c>
      <c r="I365" s="3" t="s">
        <v>31</v>
      </c>
      <c r="J365" s="3" t="s">
        <v>70</v>
      </c>
      <c r="K365" s="3" t="s">
        <v>95</v>
      </c>
      <c r="L365" s="3" t="s">
        <v>96</v>
      </c>
      <c r="M365" s="4">
        <v>330.32</v>
      </c>
    </row>
    <row r="366">
      <c r="A366" s="2">
        <v>45349</v>
      </c>
      <c r="B3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6" s="3" t="str">
        <f>YEAR(KMART_DATA[[#This Row],[Date]])&amp;"-"&amp;TEXT(MONTH(KMART_DATA[[#This Row],[Date]]),"00")</f>
        <v>2024-02</v>
      </c>
      <c r="D366" s="3" t="s">
        <v>45</v>
      </c>
      <c r="E366" s="3" t="s">
        <v>76</v>
      </c>
      <c r="F366" s="3" t="s">
        <v>11</v>
      </c>
      <c r="G3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6" s="3" t="s">
        <v>77</v>
      </c>
      <c r="I366" s="3" t="s">
        <v>31</v>
      </c>
      <c r="J366" s="3" t="s">
        <v>78</v>
      </c>
      <c r="K366" s="3" t="s">
        <v>43</v>
      </c>
      <c r="L366" s="3" t="s">
        <v>44</v>
      </c>
      <c r="M366" s="4">
        <v>664.64</v>
      </c>
    </row>
    <row r="367">
      <c r="A367" s="2">
        <v>45349</v>
      </c>
      <c r="B3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7" s="3" t="str">
        <f>YEAR(KMART_DATA[[#This Row],[Date]])&amp;"-"&amp;TEXT(MONTH(KMART_DATA[[#This Row],[Date]]),"00")</f>
        <v>2024-02</v>
      </c>
      <c r="D367" s="3" t="s">
        <v>28</v>
      </c>
      <c r="E367" s="3" t="s">
        <v>215</v>
      </c>
      <c r="F367" s="3" t="s">
        <v>15</v>
      </c>
      <c r="G3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67" s="3" t="s">
        <v>216</v>
      </c>
      <c r="I367" s="3" t="s">
        <v>31</v>
      </c>
      <c r="J367" s="3" t="s">
        <v>53</v>
      </c>
      <c r="K367" s="3" t="s">
        <v>71</v>
      </c>
      <c r="L367" s="3" t="s">
        <v>72</v>
      </c>
      <c r="M367" s="4">
        <v>2156.94</v>
      </c>
    </row>
    <row r="368">
      <c r="A368" s="2">
        <v>45350</v>
      </c>
      <c r="B3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8" s="3" t="str">
        <f>YEAR(KMART_DATA[[#This Row],[Date]])&amp;"-"&amp;TEXT(MONTH(KMART_DATA[[#This Row],[Date]]),"00")</f>
        <v>2024-02</v>
      </c>
      <c r="D368" s="3" t="s">
        <v>28</v>
      </c>
      <c r="E368" s="3" t="s">
        <v>250</v>
      </c>
      <c r="F368" s="3" t="s">
        <v>10</v>
      </c>
      <c r="G3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8" s="3" t="s">
        <v>251</v>
      </c>
      <c r="I368" s="3" t="s">
        <v>31</v>
      </c>
      <c r="J368" s="3" t="s">
        <v>37</v>
      </c>
      <c r="K368" s="3" t="s">
        <v>43</v>
      </c>
      <c r="L368" s="3" t="s">
        <v>44</v>
      </c>
      <c r="M368" s="4">
        <v>7.99</v>
      </c>
    </row>
    <row r="369">
      <c r="A369" s="2">
        <v>45350</v>
      </c>
      <c r="B3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69" s="3" t="str">
        <f>YEAR(KMART_DATA[[#This Row],[Date]])&amp;"-"&amp;TEXT(MONTH(KMART_DATA[[#This Row],[Date]]),"00")</f>
        <v>2024-02</v>
      </c>
      <c r="D369" s="3" t="s">
        <v>28</v>
      </c>
      <c r="E369" s="3" t="s">
        <v>203</v>
      </c>
      <c r="F369" s="3" t="s">
        <v>10</v>
      </c>
      <c r="G3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9" s="3" t="s">
        <v>204</v>
      </c>
      <c r="I369" s="3" t="s">
        <v>31</v>
      </c>
      <c r="J369" s="3" t="s">
        <v>89</v>
      </c>
      <c r="K369" s="3" t="s">
        <v>95</v>
      </c>
      <c r="L369" s="3" t="s">
        <v>96</v>
      </c>
      <c r="M369" s="4">
        <v>21.97</v>
      </c>
    </row>
    <row r="370">
      <c r="A370" s="2">
        <v>45350</v>
      </c>
      <c r="B3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0" s="3" t="str">
        <f>YEAR(KMART_DATA[[#This Row],[Date]])&amp;"-"&amp;TEXT(MONTH(KMART_DATA[[#This Row],[Date]]),"00")</f>
        <v>2024-02</v>
      </c>
      <c r="D370" s="3" t="s">
        <v>45</v>
      </c>
      <c r="E370" s="3" t="s">
        <v>211</v>
      </c>
      <c r="F370" s="3" t="s">
        <v>9</v>
      </c>
      <c r="G3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0" s="3" t="s">
        <v>212</v>
      </c>
      <c r="I370" s="3" t="s">
        <v>31</v>
      </c>
      <c r="J370" s="3" t="s">
        <v>75</v>
      </c>
      <c r="K370" s="3" t="s">
        <v>95</v>
      </c>
      <c r="L370" s="3" t="s">
        <v>96</v>
      </c>
      <c r="M370" s="4">
        <v>110.41</v>
      </c>
    </row>
    <row r="371">
      <c r="A371" s="2">
        <v>45350</v>
      </c>
      <c r="B3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1" s="3" t="str">
        <f>YEAR(KMART_DATA[[#This Row],[Date]])&amp;"-"&amp;TEXT(MONTH(KMART_DATA[[#This Row],[Date]]),"00")</f>
        <v>2024-02</v>
      </c>
      <c r="D371" s="3" t="s">
        <v>28</v>
      </c>
      <c r="E371" s="3" t="s">
        <v>244</v>
      </c>
      <c r="F371" s="3" t="s">
        <v>13</v>
      </c>
      <c r="G3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71" s="3" t="s">
        <v>245</v>
      </c>
      <c r="I371" s="3" t="s">
        <v>31</v>
      </c>
      <c r="J371" s="3" t="s">
        <v>42</v>
      </c>
      <c r="K371" s="3" t="s">
        <v>57</v>
      </c>
      <c r="L371" s="3" t="s">
        <v>58</v>
      </c>
      <c r="M371" s="4">
        <v>786.86</v>
      </c>
    </row>
    <row r="372">
      <c r="A372" s="2">
        <v>45350</v>
      </c>
      <c r="B3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2" s="3" t="str">
        <f>YEAR(KMART_DATA[[#This Row],[Date]])&amp;"-"&amp;TEXT(MONTH(KMART_DATA[[#This Row],[Date]]),"00")</f>
        <v>2024-02</v>
      </c>
      <c r="D372" s="3" t="s">
        <v>28</v>
      </c>
      <c r="E372" s="3" t="s">
        <v>173</v>
      </c>
      <c r="F372" s="3" t="s">
        <v>11</v>
      </c>
      <c r="G3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2" s="3" t="s">
        <v>174</v>
      </c>
      <c r="I372" s="3" t="s">
        <v>31</v>
      </c>
      <c r="J372" s="3" t="s">
        <v>61</v>
      </c>
      <c r="K372" s="3" t="s">
        <v>123</v>
      </c>
      <c r="L372" s="3" t="s">
        <v>124</v>
      </c>
      <c r="M372" s="4">
        <v>915.32</v>
      </c>
    </row>
    <row r="373">
      <c r="A373" s="2">
        <v>45350</v>
      </c>
      <c r="B3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3" s="3" t="str">
        <f>YEAR(KMART_DATA[[#This Row],[Date]])&amp;"-"&amp;TEXT(MONTH(KMART_DATA[[#This Row],[Date]]),"00")</f>
        <v>2024-02</v>
      </c>
      <c r="D373" s="3" t="s">
        <v>28</v>
      </c>
      <c r="E373" s="3" t="s">
        <v>97</v>
      </c>
      <c r="F373" s="3" t="s">
        <v>9</v>
      </c>
      <c r="G3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3" s="3" t="s">
        <v>98</v>
      </c>
      <c r="I373" s="3" t="s">
        <v>31</v>
      </c>
      <c r="J373" s="3" t="s">
        <v>99</v>
      </c>
      <c r="K373" s="3" t="s">
        <v>71</v>
      </c>
      <c r="L373" s="3" t="s">
        <v>72</v>
      </c>
      <c r="M373" s="4">
        <v>2741.97</v>
      </c>
    </row>
    <row r="374">
      <c r="A374" s="2">
        <v>45352</v>
      </c>
      <c r="B3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4" s="3" t="str">
        <f>YEAR(KMART_DATA[[#This Row],[Date]])&amp;"-"&amp;TEXT(MONTH(KMART_DATA[[#This Row],[Date]]),"00")</f>
        <v>2024-03</v>
      </c>
      <c r="D374" s="3" t="s">
        <v>28</v>
      </c>
      <c r="E374" s="3" t="s">
        <v>189</v>
      </c>
      <c r="F374" s="3" t="s">
        <v>9</v>
      </c>
      <c r="G3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4" s="3" t="s">
        <v>190</v>
      </c>
      <c r="I374" s="3" t="s">
        <v>31</v>
      </c>
      <c r="J374" s="3" t="s">
        <v>81</v>
      </c>
      <c r="K374" s="3" t="s">
        <v>43</v>
      </c>
      <c r="L374" s="3" t="s">
        <v>44</v>
      </c>
      <c r="M374" s="4">
        <v>3.0</v>
      </c>
    </row>
    <row r="375">
      <c r="A375" s="2">
        <v>45352</v>
      </c>
      <c r="B3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5" s="3" t="str">
        <f>YEAR(KMART_DATA[[#This Row],[Date]])&amp;"-"&amp;TEXT(MONTH(KMART_DATA[[#This Row],[Date]]),"00")</f>
        <v>2024-03</v>
      </c>
      <c r="D375" s="3" t="s">
        <v>28</v>
      </c>
      <c r="E375" s="3" t="s">
        <v>152</v>
      </c>
      <c r="F375" s="3" t="s">
        <v>11</v>
      </c>
      <c r="G3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5" s="3" t="s">
        <v>153</v>
      </c>
      <c r="I375" s="3" t="s">
        <v>31</v>
      </c>
      <c r="J375" s="3" t="s">
        <v>61</v>
      </c>
      <c r="K375" s="3" t="s">
        <v>43</v>
      </c>
      <c r="L375" s="3" t="s">
        <v>44</v>
      </c>
      <c r="M375" s="4">
        <v>15.98</v>
      </c>
    </row>
    <row r="376">
      <c r="A376" s="2">
        <v>45352</v>
      </c>
      <c r="B3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6" s="3" t="str">
        <f>YEAR(KMART_DATA[[#This Row],[Date]])&amp;"-"&amp;TEXT(MONTH(KMART_DATA[[#This Row],[Date]]),"00")</f>
        <v>2024-03</v>
      </c>
      <c r="D376" s="3" t="s">
        <v>28</v>
      </c>
      <c r="E376" s="3" t="s">
        <v>258</v>
      </c>
      <c r="F376" s="3" t="s">
        <v>14</v>
      </c>
      <c r="G3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76" s="3" t="s">
        <v>259</v>
      </c>
      <c r="I376" s="3" t="s">
        <v>31</v>
      </c>
      <c r="J376" s="3" t="s">
        <v>145</v>
      </c>
      <c r="K376" s="3" t="s">
        <v>71</v>
      </c>
      <c r="L376" s="3" t="s">
        <v>72</v>
      </c>
      <c r="M376" s="4">
        <v>29.97</v>
      </c>
    </row>
    <row r="377">
      <c r="A377" s="2">
        <v>45352</v>
      </c>
      <c r="B3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7" s="3" t="str">
        <f>YEAR(KMART_DATA[[#This Row],[Date]])&amp;"-"&amp;TEXT(MONTH(KMART_DATA[[#This Row],[Date]]),"00")</f>
        <v>2024-03</v>
      </c>
      <c r="D377" s="3" t="s">
        <v>45</v>
      </c>
      <c r="E377" s="3" t="s">
        <v>163</v>
      </c>
      <c r="F377" s="3" t="s">
        <v>9</v>
      </c>
      <c r="G3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7" s="3" t="s">
        <v>164</v>
      </c>
      <c r="I377" s="3" t="s">
        <v>31</v>
      </c>
      <c r="J377" s="3" t="s">
        <v>81</v>
      </c>
      <c r="K377" s="3" t="s">
        <v>38</v>
      </c>
      <c r="L377" s="3" t="s">
        <v>39</v>
      </c>
      <c r="M377" s="4">
        <v>121.32</v>
      </c>
    </row>
    <row r="378">
      <c r="A378" s="2">
        <v>45352</v>
      </c>
      <c r="B3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8" s="3" t="str">
        <f>YEAR(KMART_DATA[[#This Row],[Date]])&amp;"-"&amp;TEXT(MONTH(KMART_DATA[[#This Row],[Date]]),"00")</f>
        <v>2024-03</v>
      </c>
      <c r="D378" s="3" t="s">
        <v>45</v>
      </c>
      <c r="E378" s="3" t="s">
        <v>197</v>
      </c>
      <c r="F378" s="3" t="s">
        <v>9</v>
      </c>
      <c r="G3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8" s="3" t="s">
        <v>198</v>
      </c>
      <c r="I378" s="3" t="s">
        <v>31</v>
      </c>
      <c r="J378" s="3" t="s">
        <v>107</v>
      </c>
      <c r="K378" s="3" t="s">
        <v>112</v>
      </c>
      <c r="L378" s="3" t="s">
        <v>113</v>
      </c>
      <c r="M378" s="4">
        <v>134.18</v>
      </c>
    </row>
    <row r="379">
      <c r="A379" s="2">
        <v>45352</v>
      </c>
      <c r="B3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79" s="3" t="str">
        <f>YEAR(KMART_DATA[[#This Row],[Date]])&amp;"-"&amp;TEXT(MONTH(KMART_DATA[[#This Row],[Date]]),"00")</f>
        <v>2024-03</v>
      </c>
      <c r="D379" s="3" t="s">
        <v>28</v>
      </c>
      <c r="E379" s="3" t="s">
        <v>177</v>
      </c>
      <c r="F379" s="3" t="s">
        <v>12</v>
      </c>
      <c r="G3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9" s="3" t="s">
        <v>178</v>
      </c>
      <c r="I379" s="3" t="s">
        <v>31</v>
      </c>
      <c r="J379" s="3" t="s">
        <v>162</v>
      </c>
      <c r="K379" s="3" t="s">
        <v>33</v>
      </c>
      <c r="L379" s="3" t="s">
        <v>34</v>
      </c>
      <c r="M379" s="4">
        <v>488.77</v>
      </c>
    </row>
    <row r="380">
      <c r="A380" s="2">
        <v>45352</v>
      </c>
      <c r="B3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0" s="3" t="str">
        <f>YEAR(KMART_DATA[[#This Row],[Date]])&amp;"-"&amp;TEXT(MONTH(KMART_DATA[[#This Row],[Date]]),"00")</f>
        <v>2024-03</v>
      </c>
      <c r="D380" s="3" t="s">
        <v>28</v>
      </c>
      <c r="E380" s="3" t="s">
        <v>173</v>
      </c>
      <c r="F380" s="3" t="s">
        <v>11</v>
      </c>
      <c r="G3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0" s="3" t="s">
        <v>174</v>
      </c>
      <c r="I380" s="3" t="s">
        <v>31</v>
      </c>
      <c r="J380" s="3" t="s">
        <v>61</v>
      </c>
      <c r="K380" s="3" t="s">
        <v>71</v>
      </c>
      <c r="L380" s="3" t="s">
        <v>72</v>
      </c>
      <c r="M380" s="4">
        <v>1047.99</v>
      </c>
    </row>
    <row r="381">
      <c r="A381" s="2">
        <v>45352</v>
      </c>
      <c r="B3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1" s="3" t="str">
        <f>YEAR(KMART_DATA[[#This Row],[Date]])&amp;"-"&amp;TEXT(MONTH(KMART_DATA[[#This Row],[Date]]),"00")</f>
        <v>2024-03</v>
      </c>
      <c r="D381" s="3" t="s">
        <v>28</v>
      </c>
      <c r="E381" s="3" t="s">
        <v>90</v>
      </c>
      <c r="F381" s="3" t="s">
        <v>10</v>
      </c>
      <c r="G3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1" s="3" t="s">
        <v>91</v>
      </c>
      <c r="I381" s="3" t="s">
        <v>31</v>
      </c>
      <c r="J381" s="3" t="s">
        <v>37</v>
      </c>
      <c r="K381" s="3" t="s">
        <v>33</v>
      </c>
      <c r="L381" s="3" t="s">
        <v>34</v>
      </c>
      <c r="M381" s="4">
        <v>2054.2</v>
      </c>
    </row>
    <row r="382">
      <c r="A382" s="2">
        <v>45353</v>
      </c>
      <c r="B3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2" s="3" t="str">
        <f>YEAR(KMART_DATA[[#This Row],[Date]])&amp;"-"&amp;TEXT(MONTH(KMART_DATA[[#This Row],[Date]]),"00")</f>
        <v>2024-03</v>
      </c>
      <c r="D382" s="3" t="s">
        <v>45</v>
      </c>
      <c r="E382" s="3" t="s">
        <v>242</v>
      </c>
      <c r="F382" s="3" t="s">
        <v>10</v>
      </c>
      <c r="G3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2" s="3" t="s">
        <v>243</v>
      </c>
      <c r="I382" s="3" t="s">
        <v>31</v>
      </c>
      <c r="J382" s="3" t="s">
        <v>94</v>
      </c>
      <c r="K382" s="3" t="s">
        <v>123</v>
      </c>
      <c r="L382" s="3" t="s">
        <v>124</v>
      </c>
      <c r="M382" s="4">
        <v>6.0</v>
      </c>
    </row>
    <row r="383">
      <c r="A383" s="2">
        <v>45353</v>
      </c>
      <c r="B3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3" s="3" t="str">
        <f>YEAR(KMART_DATA[[#This Row],[Date]])&amp;"-"&amp;TEXT(MONTH(KMART_DATA[[#This Row],[Date]]),"00")</f>
        <v>2024-03</v>
      </c>
      <c r="D383" s="3" t="s">
        <v>45</v>
      </c>
      <c r="E383" s="3" t="s">
        <v>59</v>
      </c>
      <c r="F383" s="3" t="s">
        <v>11</v>
      </c>
      <c r="G3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3" s="3" t="s">
        <v>60</v>
      </c>
      <c r="I383" s="3" t="s">
        <v>31</v>
      </c>
      <c r="J383" s="3" t="s">
        <v>61</v>
      </c>
      <c r="K383" s="3" t="s">
        <v>33</v>
      </c>
      <c r="L383" s="3" t="s">
        <v>34</v>
      </c>
      <c r="M383" s="4">
        <v>11.96</v>
      </c>
    </row>
    <row r="384">
      <c r="A384" s="2">
        <v>45353</v>
      </c>
      <c r="B3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4" s="3" t="str">
        <f>YEAR(KMART_DATA[[#This Row],[Date]])&amp;"-"&amp;TEXT(MONTH(KMART_DATA[[#This Row],[Date]]),"00")</f>
        <v>2024-03</v>
      </c>
      <c r="D384" s="3" t="s">
        <v>28</v>
      </c>
      <c r="E384" s="3" t="s">
        <v>195</v>
      </c>
      <c r="F384" s="3" t="s">
        <v>11</v>
      </c>
      <c r="G3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4" s="3" t="s">
        <v>196</v>
      </c>
      <c r="I384" s="3" t="s">
        <v>31</v>
      </c>
      <c r="J384" s="3" t="s">
        <v>32</v>
      </c>
      <c r="K384" s="3" t="s">
        <v>38</v>
      </c>
      <c r="L384" s="3" t="s">
        <v>39</v>
      </c>
      <c r="M384" s="4">
        <v>39.96</v>
      </c>
    </row>
    <row r="385">
      <c r="A385" s="2">
        <v>45353</v>
      </c>
      <c r="B3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5" s="3" t="str">
        <f>YEAR(KMART_DATA[[#This Row],[Date]])&amp;"-"&amp;TEXT(MONTH(KMART_DATA[[#This Row],[Date]]),"00")</f>
        <v>2024-03</v>
      </c>
      <c r="D385" s="3" t="s">
        <v>28</v>
      </c>
      <c r="E385" s="3" t="s">
        <v>48</v>
      </c>
      <c r="F385" s="3" t="s">
        <v>12</v>
      </c>
      <c r="G3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5" s="3" t="s">
        <v>49</v>
      </c>
      <c r="I385" s="3" t="s">
        <v>31</v>
      </c>
      <c r="J385" s="3" t="s">
        <v>50</v>
      </c>
      <c r="K385" s="3" t="s">
        <v>43</v>
      </c>
      <c r="L385" s="3" t="s">
        <v>44</v>
      </c>
      <c r="M385" s="4">
        <v>99.39</v>
      </c>
    </row>
    <row r="386">
      <c r="A386" s="2">
        <v>45353</v>
      </c>
      <c r="B3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6" s="3" t="str">
        <f>YEAR(KMART_DATA[[#This Row],[Date]])&amp;"-"&amp;TEXT(MONTH(KMART_DATA[[#This Row],[Date]]),"00")</f>
        <v>2024-03</v>
      </c>
      <c r="D386" s="3" t="s">
        <v>28</v>
      </c>
      <c r="E386" s="3" t="s">
        <v>221</v>
      </c>
      <c r="F386" s="3" t="s">
        <v>11</v>
      </c>
      <c r="G3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6" s="3" t="s">
        <v>222</v>
      </c>
      <c r="I386" s="3" t="s">
        <v>31</v>
      </c>
      <c r="J386" s="3" t="s">
        <v>56</v>
      </c>
      <c r="K386" s="3" t="s">
        <v>66</v>
      </c>
      <c r="L386" s="3" t="s">
        <v>67</v>
      </c>
      <c r="M386" s="4">
        <v>951.94</v>
      </c>
    </row>
    <row r="387">
      <c r="A387" s="2">
        <v>45353</v>
      </c>
      <c r="B3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7" s="3" t="str">
        <f>YEAR(KMART_DATA[[#This Row],[Date]])&amp;"-"&amp;TEXT(MONTH(KMART_DATA[[#This Row],[Date]]),"00")</f>
        <v>2024-03</v>
      </c>
      <c r="D387" s="3" t="s">
        <v>28</v>
      </c>
      <c r="E387" s="3" t="s">
        <v>114</v>
      </c>
      <c r="F387" s="3" t="s">
        <v>9</v>
      </c>
      <c r="G3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7" s="3" t="s">
        <v>115</v>
      </c>
      <c r="I387" s="3" t="s">
        <v>31</v>
      </c>
      <c r="J387" s="3" t="s">
        <v>99</v>
      </c>
      <c r="K387" s="3" t="s">
        <v>71</v>
      </c>
      <c r="L387" s="3" t="s">
        <v>72</v>
      </c>
      <c r="M387" s="4">
        <v>3979.81</v>
      </c>
    </row>
    <row r="388">
      <c r="A388" s="2">
        <v>45354</v>
      </c>
      <c r="B3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8" s="3" t="str">
        <f>YEAR(KMART_DATA[[#This Row],[Date]])&amp;"-"&amp;TEXT(MONTH(KMART_DATA[[#This Row],[Date]]),"00")</f>
        <v>2024-03</v>
      </c>
      <c r="D388" s="3" t="s">
        <v>28</v>
      </c>
      <c r="E388" s="3" t="s">
        <v>87</v>
      </c>
      <c r="F388" s="3" t="s">
        <v>10</v>
      </c>
      <c r="G3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8" s="3" t="s">
        <v>88</v>
      </c>
      <c r="I388" s="3" t="s">
        <v>31</v>
      </c>
      <c r="J388" s="3" t="s">
        <v>89</v>
      </c>
      <c r="K388" s="3" t="s">
        <v>43</v>
      </c>
      <c r="L388" s="3" t="s">
        <v>44</v>
      </c>
      <c r="M388" s="4">
        <v>21.75</v>
      </c>
    </row>
    <row r="389">
      <c r="A389" s="2">
        <v>45354</v>
      </c>
      <c r="B3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89" s="3" t="str">
        <f>YEAR(KMART_DATA[[#This Row],[Date]])&amp;"-"&amp;TEXT(MONTH(KMART_DATA[[#This Row],[Date]]),"00")</f>
        <v>2024-03</v>
      </c>
      <c r="D389" s="3" t="s">
        <v>45</v>
      </c>
      <c r="E389" s="3" t="s">
        <v>213</v>
      </c>
      <c r="F389" s="3" t="s">
        <v>11</v>
      </c>
      <c r="G3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9" s="3" t="s">
        <v>214</v>
      </c>
      <c r="I389" s="3" t="s">
        <v>31</v>
      </c>
      <c r="J389" s="3" t="s">
        <v>32</v>
      </c>
      <c r="K389" s="3" t="s">
        <v>71</v>
      </c>
      <c r="L389" s="3" t="s">
        <v>72</v>
      </c>
      <c r="M389" s="4">
        <v>270.68</v>
      </c>
    </row>
    <row r="390">
      <c r="A390" s="2">
        <v>45354</v>
      </c>
      <c r="B3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0" s="3" t="str">
        <f>YEAR(KMART_DATA[[#This Row],[Date]])&amp;"-"&amp;TEXT(MONTH(KMART_DATA[[#This Row],[Date]]),"00")</f>
        <v>2024-03</v>
      </c>
      <c r="D390" s="3" t="s">
        <v>28</v>
      </c>
      <c r="E390" s="3" t="s">
        <v>108</v>
      </c>
      <c r="F390" s="3" t="s">
        <v>9</v>
      </c>
      <c r="G3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0" s="3" t="s">
        <v>109</v>
      </c>
      <c r="I390" s="3" t="s">
        <v>31</v>
      </c>
      <c r="J390" s="3" t="s">
        <v>75</v>
      </c>
      <c r="K390" s="3" t="s">
        <v>43</v>
      </c>
      <c r="L390" s="3" t="s">
        <v>44</v>
      </c>
      <c r="M390" s="4">
        <v>1191.03</v>
      </c>
    </row>
    <row r="391">
      <c r="A391" s="2">
        <v>45354</v>
      </c>
      <c r="B3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1" s="3" t="str">
        <f>YEAR(KMART_DATA[[#This Row],[Date]])&amp;"-"&amp;TEXT(MONTH(KMART_DATA[[#This Row],[Date]]),"00")</f>
        <v>2024-03</v>
      </c>
      <c r="D391" s="3" t="s">
        <v>45</v>
      </c>
      <c r="E391" s="3" t="s">
        <v>209</v>
      </c>
      <c r="F391" s="3" t="s">
        <v>9</v>
      </c>
      <c r="G3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1" s="3" t="s">
        <v>210</v>
      </c>
      <c r="I391" s="3" t="s">
        <v>31</v>
      </c>
      <c r="J391" s="3" t="s">
        <v>81</v>
      </c>
      <c r="K391" s="3" t="s">
        <v>123</v>
      </c>
      <c r="L391" s="3" t="s">
        <v>124</v>
      </c>
      <c r="M391" s="4">
        <v>2342.46</v>
      </c>
    </row>
    <row r="392">
      <c r="A392" s="2">
        <v>45355</v>
      </c>
      <c r="B3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2" s="3" t="str">
        <f>YEAR(KMART_DATA[[#This Row],[Date]])&amp;"-"&amp;TEXT(MONTH(KMART_DATA[[#This Row],[Date]]),"00")</f>
        <v>2024-03</v>
      </c>
      <c r="D392" s="3" t="s">
        <v>28</v>
      </c>
      <c r="E392" s="3" t="s">
        <v>87</v>
      </c>
      <c r="F392" s="3" t="s">
        <v>10</v>
      </c>
      <c r="G3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2" s="3" t="s">
        <v>88</v>
      </c>
      <c r="I392" s="3" t="s">
        <v>31</v>
      </c>
      <c r="J392" s="3" t="s">
        <v>89</v>
      </c>
      <c r="K392" s="3" t="s">
        <v>43</v>
      </c>
      <c r="L392" s="3" t="s">
        <v>44</v>
      </c>
      <c r="M392" s="4">
        <v>8.1</v>
      </c>
    </row>
    <row r="393">
      <c r="A393" s="2">
        <v>45355</v>
      </c>
      <c r="B3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3" s="3" t="str">
        <f>YEAR(KMART_DATA[[#This Row],[Date]])&amp;"-"&amp;TEXT(MONTH(KMART_DATA[[#This Row],[Date]]),"00")</f>
        <v>2024-03</v>
      </c>
      <c r="D393" s="3" t="s">
        <v>28</v>
      </c>
      <c r="E393" s="3" t="s">
        <v>79</v>
      </c>
      <c r="F393" s="3" t="s">
        <v>9</v>
      </c>
      <c r="G3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3" s="3" t="s">
        <v>80</v>
      </c>
      <c r="I393" s="3" t="s">
        <v>31</v>
      </c>
      <c r="J393" s="3" t="s">
        <v>81</v>
      </c>
      <c r="K393" s="3" t="s">
        <v>43</v>
      </c>
      <c r="L393" s="3" t="s">
        <v>44</v>
      </c>
      <c r="M393" s="4">
        <v>10.0</v>
      </c>
    </row>
    <row r="394">
      <c r="A394" s="2">
        <v>45355</v>
      </c>
      <c r="B3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4" s="3" t="str">
        <f>YEAR(KMART_DATA[[#This Row],[Date]])&amp;"-"&amp;TEXT(MONTH(KMART_DATA[[#This Row],[Date]]),"00")</f>
        <v>2024-03</v>
      </c>
      <c r="D394" s="3" t="s">
        <v>28</v>
      </c>
      <c r="E394" s="3" t="s">
        <v>179</v>
      </c>
      <c r="F394" s="3" t="s">
        <v>9</v>
      </c>
      <c r="G3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4" s="3" t="s">
        <v>180</v>
      </c>
      <c r="I394" s="3" t="s">
        <v>31</v>
      </c>
      <c r="J394" s="3" t="s">
        <v>99</v>
      </c>
      <c r="K394" s="3" t="s">
        <v>57</v>
      </c>
      <c r="L394" s="3" t="s">
        <v>58</v>
      </c>
      <c r="M394" s="4">
        <v>37.62</v>
      </c>
    </row>
    <row r="395">
      <c r="A395" s="2">
        <v>45355</v>
      </c>
      <c r="B3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5" s="3" t="str">
        <f>YEAR(KMART_DATA[[#This Row],[Date]])&amp;"-"&amp;TEXT(MONTH(KMART_DATA[[#This Row],[Date]]),"00")</f>
        <v>2024-03</v>
      </c>
      <c r="D395" s="3" t="s">
        <v>28</v>
      </c>
      <c r="E395" s="3" t="s">
        <v>193</v>
      </c>
      <c r="F395" s="3" t="s">
        <v>9</v>
      </c>
      <c r="G3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5" s="3" t="s">
        <v>194</v>
      </c>
      <c r="I395" s="3" t="s">
        <v>31</v>
      </c>
      <c r="J395" s="3" t="s">
        <v>99</v>
      </c>
      <c r="K395" s="3" t="s">
        <v>43</v>
      </c>
      <c r="L395" s="3" t="s">
        <v>44</v>
      </c>
      <c r="M395" s="4">
        <v>163.38</v>
      </c>
    </row>
    <row r="396">
      <c r="A396" s="2">
        <v>45355</v>
      </c>
      <c r="B3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6" s="3" t="str">
        <f>YEAR(KMART_DATA[[#This Row],[Date]])&amp;"-"&amp;TEXT(MONTH(KMART_DATA[[#This Row],[Date]]),"00")</f>
        <v>2024-03</v>
      </c>
      <c r="D396" s="3" t="s">
        <v>28</v>
      </c>
      <c r="E396" s="3" t="s">
        <v>59</v>
      </c>
      <c r="F396" s="3" t="s">
        <v>11</v>
      </c>
      <c r="G3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6" s="3" t="s">
        <v>60</v>
      </c>
      <c r="I396" s="3" t="s">
        <v>31</v>
      </c>
      <c r="J396" s="3" t="s">
        <v>61</v>
      </c>
      <c r="K396" s="3" t="s">
        <v>112</v>
      </c>
      <c r="L396" s="3" t="s">
        <v>113</v>
      </c>
      <c r="M396" s="4">
        <v>260.73</v>
      </c>
    </row>
    <row r="397">
      <c r="A397" s="2">
        <v>45355</v>
      </c>
      <c r="B3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7" s="3" t="str">
        <f>YEAR(KMART_DATA[[#This Row],[Date]])&amp;"-"&amp;TEXT(MONTH(KMART_DATA[[#This Row],[Date]]),"00")</f>
        <v>2024-03</v>
      </c>
      <c r="D397" s="3" t="s">
        <v>28</v>
      </c>
      <c r="E397" s="3" t="s">
        <v>260</v>
      </c>
      <c r="F397" s="3" t="s">
        <v>10</v>
      </c>
      <c r="G3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7" s="3" t="s">
        <v>261</v>
      </c>
      <c r="I397" s="3" t="s">
        <v>31</v>
      </c>
      <c r="J397" s="3" t="s">
        <v>89</v>
      </c>
      <c r="K397" s="3" t="s">
        <v>95</v>
      </c>
      <c r="L397" s="3" t="s">
        <v>96</v>
      </c>
      <c r="M397" s="4">
        <v>411.6</v>
      </c>
    </row>
    <row r="398">
      <c r="A398" s="2">
        <v>45355</v>
      </c>
      <c r="B3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8" s="3" t="str">
        <f>YEAR(KMART_DATA[[#This Row],[Date]])&amp;"-"&amp;TEXT(MONTH(KMART_DATA[[#This Row],[Date]]),"00")</f>
        <v>2024-03</v>
      </c>
      <c r="D398" s="3" t="s">
        <v>28</v>
      </c>
      <c r="E398" s="3" t="s">
        <v>156</v>
      </c>
      <c r="F398" s="3" t="s">
        <v>9</v>
      </c>
      <c r="G3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8" s="3" t="s">
        <v>157</v>
      </c>
      <c r="I398" s="3" t="s">
        <v>31</v>
      </c>
      <c r="J398" s="3" t="s">
        <v>75</v>
      </c>
      <c r="K398" s="3" t="s">
        <v>71</v>
      </c>
      <c r="L398" s="3" t="s">
        <v>72</v>
      </c>
      <c r="M398" s="4">
        <v>728.16</v>
      </c>
    </row>
    <row r="399">
      <c r="A399" s="2">
        <v>45355</v>
      </c>
      <c r="B3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399" s="3" t="str">
        <f>YEAR(KMART_DATA[[#This Row],[Date]])&amp;"-"&amp;TEXT(MONTH(KMART_DATA[[#This Row],[Date]]),"00")</f>
        <v>2024-03</v>
      </c>
      <c r="D399" s="3" t="s">
        <v>28</v>
      </c>
      <c r="E399" s="3" t="s">
        <v>203</v>
      </c>
      <c r="F399" s="3" t="s">
        <v>10</v>
      </c>
      <c r="G3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9" s="3" t="s">
        <v>204</v>
      </c>
      <c r="I399" s="3" t="s">
        <v>31</v>
      </c>
      <c r="J399" s="3" t="s">
        <v>89</v>
      </c>
      <c r="K399" s="3" t="s">
        <v>46</v>
      </c>
      <c r="L399" s="3" t="s">
        <v>47</v>
      </c>
      <c r="M399" s="4">
        <v>4474.44</v>
      </c>
    </row>
    <row r="400">
      <c r="A400" s="2">
        <v>45356</v>
      </c>
      <c r="B4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0" s="3" t="str">
        <f>YEAR(KMART_DATA[[#This Row],[Date]])&amp;"-"&amp;TEXT(MONTH(KMART_DATA[[#This Row],[Date]]),"00")</f>
        <v>2024-03</v>
      </c>
      <c r="D400" s="3" t="s">
        <v>45</v>
      </c>
      <c r="E400" s="3" t="s">
        <v>181</v>
      </c>
      <c r="F400" s="3" t="s">
        <v>11</v>
      </c>
      <c r="G4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0" s="3" t="s">
        <v>182</v>
      </c>
      <c r="I400" s="3" t="s">
        <v>31</v>
      </c>
      <c r="J400" s="3" t="s">
        <v>56</v>
      </c>
      <c r="K400" s="3" t="s">
        <v>43</v>
      </c>
      <c r="L400" s="3" t="s">
        <v>44</v>
      </c>
      <c r="M400" s="4">
        <v>7.98</v>
      </c>
    </row>
    <row r="401">
      <c r="A401" s="2">
        <v>45356</v>
      </c>
      <c r="B4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1" s="3" t="str">
        <f>YEAR(KMART_DATA[[#This Row],[Date]])&amp;"-"&amp;TEXT(MONTH(KMART_DATA[[#This Row],[Date]]),"00")</f>
        <v>2024-03</v>
      </c>
      <c r="D401" s="3" t="s">
        <v>28</v>
      </c>
      <c r="E401" s="3" t="s">
        <v>228</v>
      </c>
      <c r="F401" s="3" t="s">
        <v>11</v>
      </c>
      <c r="G4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1" s="3" t="s">
        <v>229</v>
      </c>
      <c r="I401" s="3" t="s">
        <v>31</v>
      </c>
      <c r="J401" s="3" t="s">
        <v>32</v>
      </c>
      <c r="K401" s="3" t="s">
        <v>38</v>
      </c>
      <c r="L401" s="3" t="s">
        <v>39</v>
      </c>
      <c r="M401" s="4">
        <v>51.5</v>
      </c>
    </row>
    <row r="402">
      <c r="A402" s="2">
        <v>45356</v>
      </c>
      <c r="B4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2" s="3" t="str">
        <f>YEAR(KMART_DATA[[#This Row],[Date]])&amp;"-"&amp;TEXT(MONTH(KMART_DATA[[#This Row],[Date]]),"00")</f>
        <v>2024-03</v>
      </c>
      <c r="D402" s="3" t="s">
        <v>28</v>
      </c>
      <c r="E402" s="3" t="s">
        <v>90</v>
      </c>
      <c r="F402" s="3" t="s">
        <v>10</v>
      </c>
      <c r="G4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2" s="3" t="s">
        <v>91</v>
      </c>
      <c r="I402" s="3" t="s">
        <v>31</v>
      </c>
      <c r="J402" s="3" t="s">
        <v>37</v>
      </c>
      <c r="K402" s="3" t="s">
        <v>95</v>
      </c>
      <c r="L402" s="3" t="s">
        <v>96</v>
      </c>
      <c r="M402" s="4">
        <v>381.49</v>
      </c>
    </row>
    <row r="403">
      <c r="A403" s="2">
        <v>45356</v>
      </c>
      <c r="B4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3" s="3" t="str">
        <f>YEAR(KMART_DATA[[#This Row],[Date]])&amp;"-"&amp;TEXT(MONTH(KMART_DATA[[#This Row],[Date]]),"00")</f>
        <v>2024-03</v>
      </c>
      <c r="D403" s="3" t="s">
        <v>28</v>
      </c>
      <c r="E403" s="3" t="s">
        <v>156</v>
      </c>
      <c r="F403" s="3" t="s">
        <v>9</v>
      </c>
      <c r="G4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3" s="3" t="s">
        <v>157</v>
      </c>
      <c r="I403" s="3" t="s">
        <v>31</v>
      </c>
      <c r="J403" s="3" t="s">
        <v>75</v>
      </c>
      <c r="K403" s="3" t="s">
        <v>57</v>
      </c>
      <c r="L403" s="3" t="s">
        <v>58</v>
      </c>
      <c r="M403" s="4">
        <v>479.32</v>
      </c>
    </row>
    <row r="404">
      <c r="A404" s="2">
        <v>45356</v>
      </c>
      <c r="B4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4" s="3" t="str">
        <f>YEAR(KMART_DATA[[#This Row],[Date]])&amp;"-"&amp;TEXT(MONTH(KMART_DATA[[#This Row],[Date]]),"00")</f>
        <v>2024-03</v>
      </c>
      <c r="D404" s="3" t="s">
        <v>28</v>
      </c>
      <c r="E404" s="3" t="s">
        <v>64</v>
      </c>
      <c r="F404" s="3" t="s">
        <v>11</v>
      </c>
      <c r="G4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4" s="3" t="s">
        <v>65</v>
      </c>
      <c r="I404" s="3" t="s">
        <v>31</v>
      </c>
      <c r="J404" s="3" t="s">
        <v>61</v>
      </c>
      <c r="K404" s="3" t="s">
        <v>57</v>
      </c>
      <c r="L404" s="3" t="s">
        <v>58</v>
      </c>
      <c r="M404" s="4">
        <v>3350.8</v>
      </c>
    </row>
    <row r="405">
      <c r="A405" s="2">
        <v>45357</v>
      </c>
      <c r="B4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5" s="3" t="str">
        <f>YEAR(KMART_DATA[[#This Row],[Date]])&amp;"-"&amp;TEXT(MONTH(KMART_DATA[[#This Row],[Date]]),"00")</f>
        <v>2024-03</v>
      </c>
      <c r="D405" s="3" t="s">
        <v>28</v>
      </c>
      <c r="E405" s="3" t="s">
        <v>230</v>
      </c>
      <c r="F405" s="3" t="s">
        <v>13</v>
      </c>
      <c r="G4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05" s="3" t="s">
        <v>231</v>
      </c>
      <c r="I405" s="3" t="s">
        <v>31</v>
      </c>
      <c r="J405" s="3" t="s">
        <v>227</v>
      </c>
      <c r="K405" s="3" t="s">
        <v>38</v>
      </c>
      <c r="L405" s="3" t="s">
        <v>39</v>
      </c>
      <c r="M405" s="4">
        <v>165.67</v>
      </c>
    </row>
    <row r="406">
      <c r="A406" s="2">
        <v>45357</v>
      </c>
      <c r="B4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6" s="3" t="str">
        <f>YEAR(KMART_DATA[[#This Row],[Date]])&amp;"-"&amp;TEXT(MONTH(KMART_DATA[[#This Row],[Date]]),"00")</f>
        <v>2024-03</v>
      </c>
      <c r="D406" s="3" t="s">
        <v>28</v>
      </c>
      <c r="E406" s="3" t="s">
        <v>79</v>
      </c>
      <c r="F406" s="3" t="s">
        <v>9</v>
      </c>
      <c r="G4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6" s="3" t="s">
        <v>80</v>
      </c>
      <c r="I406" s="3" t="s">
        <v>31</v>
      </c>
      <c r="J406" s="3" t="s">
        <v>81</v>
      </c>
      <c r="K406" s="3" t="s">
        <v>123</v>
      </c>
      <c r="L406" s="3" t="s">
        <v>124</v>
      </c>
      <c r="M406" s="4">
        <v>335.48</v>
      </c>
    </row>
    <row r="407">
      <c r="A407" s="2">
        <v>45357</v>
      </c>
      <c r="B4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7" s="3" t="str">
        <f>YEAR(KMART_DATA[[#This Row],[Date]])&amp;"-"&amp;TEXT(MONTH(KMART_DATA[[#This Row],[Date]]),"00")</f>
        <v>2024-03</v>
      </c>
      <c r="D407" s="3" t="s">
        <v>28</v>
      </c>
      <c r="E407" s="3" t="s">
        <v>133</v>
      </c>
      <c r="F407" s="3" t="s">
        <v>10</v>
      </c>
      <c r="G4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7" s="3" t="s">
        <v>134</v>
      </c>
      <c r="I407" s="3" t="s">
        <v>31</v>
      </c>
      <c r="J407" s="3" t="s">
        <v>37</v>
      </c>
      <c r="K407" s="3" t="s">
        <v>33</v>
      </c>
      <c r="L407" s="3" t="s">
        <v>34</v>
      </c>
      <c r="M407" s="4">
        <v>801.68</v>
      </c>
    </row>
    <row r="408">
      <c r="A408" s="2">
        <v>45357</v>
      </c>
      <c r="B4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8" s="3" t="str">
        <f>YEAR(KMART_DATA[[#This Row],[Date]])&amp;"-"&amp;TEXT(MONTH(KMART_DATA[[#This Row],[Date]]),"00")</f>
        <v>2024-03</v>
      </c>
      <c r="D408" s="3" t="s">
        <v>28</v>
      </c>
      <c r="E408" s="3" t="s">
        <v>221</v>
      </c>
      <c r="F408" s="3" t="s">
        <v>11</v>
      </c>
      <c r="G4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8" s="3" t="s">
        <v>222</v>
      </c>
      <c r="I408" s="3" t="s">
        <v>31</v>
      </c>
      <c r="J408" s="3" t="s">
        <v>56</v>
      </c>
      <c r="K408" s="3" t="s">
        <v>43</v>
      </c>
      <c r="L408" s="3" t="s">
        <v>44</v>
      </c>
      <c r="M408" s="4">
        <v>818.34</v>
      </c>
    </row>
    <row r="409">
      <c r="A409" s="2">
        <v>45357</v>
      </c>
      <c r="B4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09" s="3" t="str">
        <f>YEAR(KMART_DATA[[#This Row],[Date]])&amp;"-"&amp;TEXT(MONTH(KMART_DATA[[#This Row],[Date]]),"00")</f>
        <v>2024-03</v>
      </c>
      <c r="D409" s="3" t="s">
        <v>28</v>
      </c>
      <c r="E409" s="3" t="s">
        <v>114</v>
      </c>
      <c r="F409" s="3" t="s">
        <v>9</v>
      </c>
      <c r="G4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9" s="3" t="s">
        <v>115</v>
      </c>
      <c r="I409" s="3" t="s">
        <v>31</v>
      </c>
      <c r="J409" s="3" t="s">
        <v>99</v>
      </c>
      <c r="K409" s="3" t="s">
        <v>112</v>
      </c>
      <c r="L409" s="3" t="s">
        <v>113</v>
      </c>
      <c r="M409" s="4">
        <v>1308.19</v>
      </c>
    </row>
    <row r="410">
      <c r="A410" s="2">
        <v>45357</v>
      </c>
      <c r="B4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0" s="3" t="str">
        <f>YEAR(KMART_DATA[[#This Row],[Date]])&amp;"-"&amp;TEXT(MONTH(KMART_DATA[[#This Row],[Date]]),"00")</f>
        <v>2024-03</v>
      </c>
      <c r="D410" s="3" t="s">
        <v>45</v>
      </c>
      <c r="E410" s="3" t="s">
        <v>262</v>
      </c>
      <c r="F410" s="3" t="s">
        <v>10</v>
      </c>
      <c r="G4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0" s="3" t="s">
        <v>263</v>
      </c>
      <c r="I410" s="3" t="s">
        <v>31</v>
      </c>
      <c r="J410" s="3" t="s">
        <v>120</v>
      </c>
      <c r="K410" s="3" t="s">
        <v>46</v>
      </c>
      <c r="L410" s="3" t="s">
        <v>47</v>
      </c>
      <c r="M410" s="4">
        <v>3326.51</v>
      </c>
    </row>
    <row r="411">
      <c r="A411" s="2">
        <v>45358</v>
      </c>
      <c r="B4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1" s="3" t="str">
        <f>YEAR(KMART_DATA[[#This Row],[Date]])&amp;"-"&amp;TEXT(MONTH(KMART_DATA[[#This Row],[Date]]),"00")</f>
        <v>2024-03</v>
      </c>
      <c r="D411" s="3" t="s">
        <v>45</v>
      </c>
      <c r="E411" s="3" t="s">
        <v>118</v>
      </c>
      <c r="F411" s="3" t="s">
        <v>10</v>
      </c>
      <c r="G4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1" s="3" t="s">
        <v>119</v>
      </c>
      <c r="I411" s="3" t="s">
        <v>31</v>
      </c>
      <c r="J411" s="3" t="s">
        <v>120</v>
      </c>
      <c r="K411" s="3" t="s">
        <v>46</v>
      </c>
      <c r="L411" s="3" t="s">
        <v>47</v>
      </c>
      <c r="M411" s="4">
        <v>29.95</v>
      </c>
    </row>
    <row r="412">
      <c r="A412" s="2">
        <v>45358</v>
      </c>
      <c r="B4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2" s="3" t="str">
        <f>YEAR(KMART_DATA[[#This Row],[Date]])&amp;"-"&amp;TEXT(MONTH(KMART_DATA[[#This Row],[Date]]),"00")</f>
        <v>2024-03</v>
      </c>
      <c r="D412" s="3" t="s">
        <v>45</v>
      </c>
      <c r="E412" s="3" t="s">
        <v>125</v>
      </c>
      <c r="F412" s="3" t="s">
        <v>10</v>
      </c>
      <c r="G4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2" s="3" t="s">
        <v>126</v>
      </c>
      <c r="I412" s="3" t="s">
        <v>31</v>
      </c>
      <c r="J412" s="3" t="s">
        <v>94</v>
      </c>
      <c r="K412" s="3" t="s">
        <v>71</v>
      </c>
      <c r="L412" s="3" t="s">
        <v>72</v>
      </c>
      <c r="M412" s="4">
        <v>213.8</v>
      </c>
    </row>
    <row r="413">
      <c r="A413" s="2">
        <v>45358</v>
      </c>
      <c r="B4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3" s="3" t="str">
        <f>YEAR(KMART_DATA[[#This Row],[Date]])&amp;"-"&amp;TEXT(MONTH(KMART_DATA[[#This Row],[Date]]),"00")</f>
        <v>2024-03</v>
      </c>
      <c r="D413" s="3" t="s">
        <v>28</v>
      </c>
      <c r="E413" s="3" t="s">
        <v>108</v>
      </c>
      <c r="F413" s="3" t="s">
        <v>9</v>
      </c>
      <c r="G4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3" s="3" t="s">
        <v>109</v>
      </c>
      <c r="I413" s="3" t="s">
        <v>31</v>
      </c>
      <c r="J413" s="3" t="s">
        <v>75</v>
      </c>
      <c r="K413" s="3" t="s">
        <v>71</v>
      </c>
      <c r="L413" s="3" t="s">
        <v>72</v>
      </c>
      <c r="M413" s="4">
        <v>600.72</v>
      </c>
    </row>
    <row r="414">
      <c r="A414" s="2">
        <v>45359</v>
      </c>
      <c r="B4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4" s="3" t="str">
        <f>YEAR(KMART_DATA[[#This Row],[Date]])&amp;"-"&amp;TEXT(MONTH(KMART_DATA[[#This Row],[Date]]),"00")</f>
        <v>2024-03</v>
      </c>
      <c r="D414" s="3" t="s">
        <v>45</v>
      </c>
      <c r="E414" s="3" t="s">
        <v>97</v>
      </c>
      <c r="F414" s="3" t="s">
        <v>9</v>
      </c>
      <c r="G4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4" s="3" t="s">
        <v>98</v>
      </c>
      <c r="I414" s="3" t="s">
        <v>31</v>
      </c>
      <c r="J414" s="3" t="s">
        <v>99</v>
      </c>
      <c r="K414" s="3" t="s">
        <v>95</v>
      </c>
      <c r="L414" s="3" t="s">
        <v>96</v>
      </c>
      <c r="M414" s="4">
        <v>2.98</v>
      </c>
    </row>
    <row r="415">
      <c r="A415" s="2">
        <v>45359</v>
      </c>
      <c r="B4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5" s="3" t="str">
        <f>YEAR(KMART_DATA[[#This Row],[Date]])&amp;"-"&amp;TEXT(MONTH(KMART_DATA[[#This Row],[Date]]),"00")</f>
        <v>2024-03</v>
      </c>
      <c r="D415" s="3" t="s">
        <v>28</v>
      </c>
      <c r="E415" s="3" t="s">
        <v>82</v>
      </c>
      <c r="F415" s="3" t="s">
        <v>11</v>
      </c>
      <c r="G4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5" s="3" t="s">
        <v>83</v>
      </c>
      <c r="I415" s="3" t="s">
        <v>31</v>
      </c>
      <c r="J415" s="3" t="s">
        <v>84</v>
      </c>
      <c r="K415" s="3" t="s">
        <v>71</v>
      </c>
      <c r="L415" s="3" t="s">
        <v>72</v>
      </c>
      <c r="M415" s="4">
        <v>4.99</v>
      </c>
    </row>
    <row r="416">
      <c r="A416" s="2">
        <v>45359</v>
      </c>
      <c r="B4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6" s="3" t="str">
        <f>YEAR(KMART_DATA[[#This Row],[Date]])&amp;"-"&amp;TEXT(MONTH(KMART_DATA[[#This Row],[Date]]),"00")</f>
        <v>2024-03</v>
      </c>
      <c r="D416" s="3" t="s">
        <v>45</v>
      </c>
      <c r="E416" s="3" t="s">
        <v>183</v>
      </c>
      <c r="F416" s="3" t="s">
        <v>9</v>
      </c>
      <c r="G4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6" s="3" t="s">
        <v>184</v>
      </c>
      <c r="I416" s="3" t="s">
        <v>31</v>
      </c>
      <c r="J416" s="3" t="s">
        <v>70</v>
      </c>
      <c r="K416" s="3" t="s">
        <v>95</v>
      </c>
      <c r="L416" s="3" t="s">
        <v>96</v>
      </c>
      <c r="M416" s="4">
        <v>43.75</v>
      </c>
    </row>
    <row r="417">
      <c r="A417" s="2">
        <v>45359</v>
      </c>
      <c r="B4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7" s="3" t="str">
        <f>YEAR(KMART_DATA[[#This Row],[Date]])&amp;"-"&amp;TEXT(MONTH(KMART_DATA[[#This Row],[Date]]),"00")</f>
        <v>2024-03</v>
      </c>
      <c r="D417" s="3" t="s">
        <v>45</v>
      </c>
      <c r="E417" s="3" t="s">
        <v>230</v>
      </c>
      <c r="F417" s="3" t="s">
        <v>13</v>
      </c>
      <c r="G4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17" s="3" t="s">
        <v>231</v>
      </c>
      <c r="I417" s="3" t="s">
        <v>31</v>
      </c>
      <c r="J417" s="3" t="s">
        <v>227</v>
      </c>
      <c r="K417" s="3" t="s">
        <v>38</v>
      </c>
      <c r="L417" s="3" t="s">
        <v>39</v>
      </c>
      <c r="M417" s="4">
        <v>92.82</v>
      </c>
    </row>
    <row r="418">
      <c r="A418" s="2">
        <v>45359</v>
      </c>
      <c r="B4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8" s="3" t="str">
        <f>YEAR(KMART_DATA[[#This Row],[Date]])&amp;"-"&amp;TEXT(MONTH(KMART_DATA[[#This Row],[Date]]),"00")</f>
        <v>2024-03</v>
      </c>
      <c r="D418" s="3" t="s">
        <v>28</v>
      </c>
      <c r="E418" s="3" t="s">
        <v>242</v>
      </c>
      <c r="F418" s="3" t="s">
        <v>10</v>
      </c>
      <c r="G4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8" s="3" t="s">
        <v>243</v>
      </c>
      <c r="I418" s="3" t="s">
        <v>31</v>
      </c>
      <c r="J418" s="3" t="s">
        <v>94</v>
      </c>
      <c r="K418" s="3" t="s">
        <v>123</v>
      </c>
      <c r="L418" s="3" t="s">
        <v>124</v>
      </c>
      <c r="M418" s="4">
        <v>146.63</v>
      </c>
    </row>
    <row r="419">
      <c r="A419" s="2">
        <v>45359</v>
      </c>
      <c r="B4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19" s="3" t="str">
        <f>YEAR(KMART_DATA[[#This Row],[Date]])&amp;"-"&amp;TEXT(MONTH(KMART_DATA[[#This Row],[Date]]),"00")</f>
        <v>2024-03</v>
      </c>
      <c r="D419" s="3" t="s">
        <v>28</v>
      </c>
      <c r="E419" s="3" t="s">
        <v>177</v>
      </c>
      <c r="F419" s="3" t="s">
        <v>12</v>
      </c>
      <c r="G4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9" s="3" t="s">
        <v>178</v>
      </c>
      <c r="I419" s="3" t="s">
        <v>31</v>
      </c>
      <c r="J419" s="3" t="s">
        <v>162</v>
      </c>
      <c r="K419" s="3" t="s">
        <v>43</v>
      </c>
      <c r="L419" s="3" t="s">
        <v>44</v>
      </c>
      <c r="M419" s="4">
        <v>147.89</v>
      </c>
    </row>
    <row r="420">
      <c r="A420" s="2">
        <v>45359</v>
      </c>
      <c r="B4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0" s="3" t="str">
        <f>YEAR(KMART_DATA[[#This Row],[Date]])&amp;"-"&amp;TEXT(MONTH(KMART_DATA[[#This Row],[Date]]),"00")</f>
        <v>2024-03</v>
      </c>
      <c r="D420" s="3" t="s">
        <v>28</v>
      </c>
      <c r="E420" s="3" t="s">
        <v>97</v>
      </c>
      <c r="F420" s="3" t="s">
        <v>9</v>
      </c>
      <c r="G4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0" s="3" t="s">
        <v>98</v>
      </c>
      <c r="I420" s="3" t="s">
        <v>31</v>
      </c>
      <c r="J420" s="3" t="s">
        <v>99</v>
      </c>
      <c r="K420" s="3" t="s">
        <v>71</v>
      </c>
      <c r="L420" s="3" t="s">
        <v>72</v>
      </c>
      <c r="M420" s="4">
        <v>210.75</v>
      </c>
    </row>
    <row r="421">
      <c r="A421" s="2">
        <v>45359</v>
      </c>
      <c r="B4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1" s="3" t="str">
        <f>YEAR(KMART_DATA[[#This Row],[Date]])&amp;"-"&amp;TEXT(MONTH(KMART_DATA[[#This Row],[Date]]),"00")</f>
        <v>2024-03</v>
      </c>
      <c r="D421" s="3" t="s">
        <v>28</v>
      </c>
      <c r="E421" s="3" t="s">
        <v>127</v>
      </c>
      <c r="F421" s="3" t="s">
        <v>11</v>
      </c>
      <c r="G4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1" s="3" t="s">
        <v>128</v>
      </c>
      <c r="I421" s="3" t="s">
        <v>31</v>
      </c>
      <c r="J421" s="3" t="s">
        <v>78</v>
      </c>
      <c r="K421" s="3" t="s">
        <v>43</v>
      </c>
      <c r="L421" s="3" t="s">
        <v>44</v>
      </c>
      <c r="M421" s="4">
        <v>243.83</v>
      </c>
    </row>
    <row r="422">
      <c r="A422" s="2">
        <v>45359</v>
      </c>
      <c r="B4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2" s="3" t="str">
        <f>YEAR(KMART_DATA[[#This Row],[Date]])&amp;"-"&amp;TEXT(MONTH(KMART_DATA[[#This Row],[Date]]),"00")</f>
        <v>2024-03</v>
      </c>
      <c r="D422" s="3" t="s">
        <v>28</v>
      </c>
      <c r="E422" s="3" t="s">
        <v>68</v>
      </c>
      <c r="F422" s="3" t="s">
        <v>9</v>
      </c>
      <c r="G4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2" s="3" t="s">
        <v>69</v>
      </c>
      <c r="I422" s="3" t="s">
        <v>31</v>
      </c>
      <c r="J422" s="3" t="s">
        <v>70</v>
      </c>
      <c r="K422" s="3" t="s">
        <v>123</v>
      </c>
      <c r="L422" s="3" t="s">
        <v>124</v>
      </c>
      <c r="M422" s="4">
        <v>539.91</v>
      </c>
    </row>
    <row r="423">
      <c r="A423" s="2">
        <v>45359</v>
      </c>
      <c r="B4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3" s="3" t="str">
        <f>YEAR(KMART_DATA[[#This Row],[Date]])&amp;"-"&amp;TEXT(MONTH(KMART_DATA[[#This Row],[Date]]),"00")</f>
        <v>2024-03</v>
      </c>
      <c r="D423" s="3" t="s">
        <v>28</v>
      </c>
      <c r="E423" s="3" t="s">
        <v>121</v>
      </c>
      <c r="F423" s="3" t="s">
        <v>11</v>
      </c>
      <c r="G4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3" s="3" t="s">
        <v>122</v>
      </c>
      <c r="I423" s="3" t="s">
        <v>31</v>
      </c>
      <c r="J423" s="3" t="s">
        <v>84</v>
      </c>
      <c r="K423" s="3" t="s">
        <v>46</v>
      </c>
      <c r="L423" s="3" t="s">
        <v>47</v>
      </c>
      <c r="M423" s="4">
        <v>632.79</v>
      </c>
    </row>
    <row r="424">
      <c r="A424" s="2">
        <v>45360</v>
      </c>
      <c r="B4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4" s="3" t="str">
        <f>YEAR(KMART_DATA[[#This Row],[Date]])&amp;"-"&amp;TEXT(MONTH(KMART_DATA[[#This Row],[Date]]),"00")</f>
        <v>2024-03</v>
      </c>
      <c r="D424" s="3" t="s">
        <v>45</v>
      </c>
      <c r="E424" s="3" t="s">
        <v>87</v>
      </c>
      <c r="F424" s="3" t="s">
        <v>10</v>
      </c>
      <c r="G4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4" s="3" t="s">
        <v>88</v>
      </c>
      <c r="I424" s="3" t="s">
        <v>31</v>
      </c>
      <c r="J424" s="3" t="s">
        <v>89</v>
      </c>
      <c r="K424" s="3" t="s">
        <v>38</v>
      </c>
      <c r="L424" s="3" t="s">
        <v>39</v>
      </c>
      <c r="M424" s="4">
        <v>15.53</v>
      </c>
    </row>
    <row r="425">
      <c r="A425" s="2">
        <v>45360</v>
      </c>
      <c r="B4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5" s="3" t="str">
        <f>YEAR(KMART_DATA[[#This Row],[Date]])&amp;"-"&amp;TEXT(MONTH(KMART_DATA[[#This Row],[Date]]),"00")</f>
        <v>2024-03</v>
      </c>
      <c r="D425" s="3" t="s">
        <v>28</v>
      </c>
      <c r="E425" s="3" t="s">
        <v>129</v>
      </c>
      <c r="F425" s="3" t="s">
        <v>10</v>
      </c>
      <c r="G4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5" s="3" t="s">
        <v>130</v>
      </c>
      <c r="I425" s="3" t="s">
        <v>31</v>
      </c>
      <c r="J425" s="3" t="s">
        <v>120</v>
      </c>
      <c r="K425" s="3" t="s">
        <v>33</v>
      </c>
      <c r="L425" s="3" t="s">
        <v>34</v>
      </c>
      <c r="M425" s="4">
        <v>39.95</v>
      </c>
    </row>
    <row r="426">
      <c r="A426" s="2">
        <v>45360</v>
      </c>
      <c r="B4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6" s="3" t="str">
        <f>YEAR(KMART_DATA[[#This Row],[Date]])&amp;"-"&amp;TEXT(MONTH(KMART_DATA[[#This Row],[Date]]),"00")</f>
        <v>2024-03</v>
      </c>
      <c r="D426" s="3" t="s">
        <v>45</v>
      </c>
      <c r="E426" s="3" t="s">
        <v>131</v>
      </c>
      <c r="F426" s="3" t="s">
        <v>11</v>
      </c>
      <c r="G4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6" s="3" t="s">
        <v>132</v>
      </c>
      <c r="I426" s="3" t="s">
        <v>31</v>
      </c>
      <c r="J426" s="3" t="s">
        <v>32</v>
      </c>
      <c r="K426" s="3" t="s">
        <v>46</v>
      </c>
      <c r="L426" s="3" t="s">
        <v>47</v>
      </c>
      <c r="M426" s="4">
        <v>65.89</v>
      </c>
    </row>
    <row r="427">
      <c r="A427" s="2">
        <v>45360</v>
      </c>
      <c r="B4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7" s="3" t="str">
        <f>YEAR(KMART_DATA[[#This Row],[Date]])&amp;"-"&amp;TEXT(MONTH(KMART_DATA[[#This Row],[Date]]),"00")</f>
        <v>2024-03</v>
      </c>
      <c r="D427" s="3" t="s">
        <v>45</v>
      </c>
      <c r="E427" s="3" t="s">
        <v>148</v>
      </c>
      <c r="F427" s="3" t="s">
        <v>12</v>
      </c>
      <c r="G4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27" s="3" t="s">
        <v>149</v>
      </c>
      <c r="I427" s="3" t="s">
        <v>31</v>
      </c>
      <c r="J427" s="3" t="s">
        <v>50</v>
      </c>
      <c r="K427" s="3" t="s">
        <v>71</v>
      </c>
      <c r="L427" s="3" t="s">
        <v>72</v>
      </c>
      <c r="M427" s="4">
        <v>307.73</v>
      </c>
    </row>
    <row r="428">
      <c r="A428" s="2">
        <v>45360</v>
      </c>
      <c r="B4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8" s="3" t="str">
        <f>YEAR(KMART_DATA[[#This Row],[Date]])&amp;"-"&amp;TEXT(MONTH(KMART_DATA[[#This Row],[Date]]),"00")</f>
        <v>2024-03</v>
      </c>
      <c r="D428" s="3" t="s">
        <v>28</v>
      </c>
      <c r="E428" s="3" t="s">
        <v>167</v>
      </c>
      <c r="F428" s="3" t="s">
        <v>12</v>
      </c>
      <c r="G4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28" s="3" t="s">
        <v>168</v>
      </c>
      <c r="I428" s="3" t="s">
        <v>31</v>
      </c>
      <c r="J428" s="3" t="s">
        <v>102</v>
      </c>
      <c r="K428" s="3" t="s">
        <v>33</v>
      </c>
      <c r="L428" s="3" t="s">
        <v>34</v>
      </c>
      <c r="M428" s="4">
        <v>310.93</v>
      </c>
    </row>
    <row r="429">
      <c r="A429" s="2">
        <v>45360</v>
      </c>
      <c r="B4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29" s="3" t="str">
        <f>YEAR(KMART_DATA[[#This Row],[Date]])&amp;"-"&amp;TEXT(MONTH(KMART_DATA[[#This Row],[Date]]),"00")</f>
        <v>2024-03</v>
      </c>
      <c r="D429" s="3" t="s">
        <v>28</v>
      </c>
      <c r="E429" s="3" t="s">
        <v>110</v>
      </c>
      <c r="F429" s="3" t="s">
        <v>9</v>
      </c>
      <c r="G4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9" s="3" t="s">
        <v>111</v>
      </c>
      <c r="I429" s="3" t="s">
        <v>31</v>
      </c>
      <c r="J429" s="3" t="s">
        <v>81</v>
      </c>
      <c r="K429" s="3" t="s">
        <v>33</v>
      </c>
      <c r="L429" s="3" t="s">
        <v>34</v>
      </c>
      <c r="M429" s="4">
        <v>317.45</v>
      </c>
    </row>
    <row r="430">
      <c r="A430" s="2">
        <v>45360</v>
      </c>
      <c r="B4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0" s="3" t="str">
        <f>YEAR(KMART_DATA[[#This Row],[Date]])&amp;"-"&amp;TEXT(MONTH(KMART_DATA[[#This Row],[Date]]),"00")</f>
        <v>2024-03</v>
      </c>
      <c r="D430" s="3" t="s">
        <v>45</v>
      </c>
      <c r="E430" s="3" t="s">
        <v>35</v>
      </c>
      <c r="F430" s="3" t="s">
        <v>10</v>
      </c>
      <c r="G4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0" s="3" t="s">
        <v>36</v>
      </c>
      <c r="I430" s="3" t="s">
        <v>31</v>
      </c>
      <c r="J430" s="3" t="s">
        <v>37</v>
      </c>
      <c r="K430" s="3" t="s">
        <v>112</v>
      </c>
      <c r="L430" s="3" t="s">
        <v>113</v>
      </c>
      <c r="M430" s="4">
        <v>335.35</v>
      </c>
    </row>
    <row r="431">
      <c r="A431" s="2">
        <v>45360</v>
      </c>
      <c r="B4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1" s="3" t="str">
        <f>YEAR(KMART_DATA[[#This Row],[Date]])&amp;"-"&amp;TEXT(MONTH(KMART_DATA[[#This Row],[Date]]),"00")</f>
        <v>2024-03</v>
      </c>
      <c r="D431" s="3" t="s">
        <v>28</v>
      </c>
      <c r="E431" s="3" t="s">
        <v>152</v>
      </c>
      <c r="F431" s="3" t="s">
        <v>11</v>
      </c>
      <c r="G4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1" s="3" t="s">
        <v>153</v>
      </c>
      <c r="I431" s="3" t="s">
        <v>31</v>
      </c>
      <c r="J431" s="3" t="s">
        <v>61</v>
      </c>
      <c r="K431" s="3" t="s">
        <v>33</v>
      </c>
      <c r="L431" s="3" t="s">
        <v>34</v>
      </c>
      <c r="M431" s="4">
        <v>428.84</v>
      </c>
    </row>
    <row r="432">
      <c r="A432" s="2">
        <v>45360</v>
      </c>
      <c r="B4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2" s="3" t="str">
        <f>YEAR(KMART_DATA[[#This Row],[Date]])&amp;"-"&amp;TEXT(MONTH(KMART_DATA[[#This Row],[Date]]),"00")</f>
        <v>2024-03</v>
      </c>
      <c r="D432" s="3" t="s">
        <v>45</v>
      </c>
      <c r="E432" s="3" t="s">
        <v>240</v>
      </c>
      <c r="F432" s="3" t="s">
        <v>15</v>
      </c>
      <c r="G4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32" s="3" t="s">
        <v>241</v>
      </c>
      <c r="I432" s="3" t="s">
        <v>31</v>
      </c>
      <c r="J432" s="3" t="s">
        <v>53</v>
      </c>
      <c r="K432" s="3" t="s">
        <v>71</v>
      </c>
      <c r="L432" s="3" t="s">
        <v>72</v>
      </c>
      <c r="M432" s="4">
        <v>510.4</v>
      </c>
    </row>
    <row r="433">
      <c r="A433" s="2">
        <v>45360</v>
      </c>
      <c r="B4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3" s="3" t="str">
        <f>YEAR(KMART_DATA[[#This Row],[Date]])&amp;"-"&amp;TEXT(MONTH(KMART_DATA[[#This Row],[Date]]),"00")</f>
        <v>2024-03</v>
      </c>
      <c r="D433" s="3" t="s">
        <v>45</v>
      </c>
      <c r="E433" s="3" t="s">
        <v>179</v>
      </c>
      <c r="F433" s="3" t="s">
        <v>9</v>
      </c>
      <c r="G4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3" s="3" t="s">
        <v>180</v>
      </c>
      <c r="I433" s="3" t="s">
        <v>31</v>
      </c>
      <c r="J433" s="3" t="s">
        <v>99</v>
      </c>
      <c r="K433" s="3" t="s">
        <v>95</v>
      </c>
      <c r="L433" s="3" t="s">
        <v>96</v>
      </c>
      <c r="M433" s="4">
        <v>7676.07</v>
      </c>
    </row>
    <row r="434">
      <c r="A434" s="2">
        <v>45361</v>
      </c>
      <c r="B4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4" s="3" t="str">
        <f>YEAR(KMART_DATA[[#This Row],[Date]])&amp;"-"&amp;TEXT(MONTH(KMART_DATA[[#This Row],[Date]]),"00")</f>
        <v>2024-03</v>
      </c>
      <c r="D434" s="3" t="s">
        <v>45</v>
      </c>
      <c r="E434" s="3" t="s">
        <v>154</v>
      </c>
      <c r="F434" s="3" t="s">
        <v>11</v>
      </c>
      <c r="G4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4" s="3" t="s">
        <v>155</v>
      </c>
      <c r="I434" s="3" t="s">
        <v>31</v>
      </c>
      <c r="J434" s="3" t="s">
        <v>84</v>
      </c>
      <c r="K434" s="3" t="s">
        <v>112</v>
      </c>
      <c r="L434" s="3" t="s">
        <v>113</v>
      </c>
      <c r="M434" s="4">
        <v>23.94</v>
      </c>
    </row>
    <row r="435">
      <c r="A435" s="2">
        <v>45361</v>
      </c>
      <c r="B4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5" s="3" t="str">
        <f>YEAR(KMART_DATA[[#This Row],[Date]])&amp;"-"&amp;TEXT(MONTH(KMART_DATA[[#This Row],[Date]]),"00")</f>
        <v>2024-03</v>
      </c>
      <c r="D435" s="3" t="s">
        <v>28</v>
      </c>
      <c r="E435" s="3" t="s">
        <v>175</v>
      </c>
      <c r="F435" s="3" t="s">
        <v>16</v>
      </c>
      <c r="G4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35" s="3" t="s">
        <v>176</v>
      </c>
      <c r="I435" s="3" t="s">
        <v>31</v>
      </c>
      <c r="J435" s="3" t="s">
        <v>107</v>
      </c>
      <c r="K435" s="3" t="s">
        <v>57</v>
      </c>
      <c r="L435" s="3" t="s">
        <v>58</v>
      </c>
      <c r="M435" s="4">
        <v>218.43</v>
      </c>
    </row>
    <row r="436">
      <c r="A436" s="2">
        <v>45362</v>
      </c>
      <c r="B4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6" s="3" t="str">
        <f>YEAR(KMART_DATA[[#This Row],[Date]])&amp;"-"&amp;TEXT(MONTH(KMART_DATA[[#This Row],[Date]]),"00")</f>
        <v>2024-03</v>
      </c>
      <c r="D436" s="3" t="s">
        <v>45</v>
      </c>
      <c r="E436" s="3" t="s">
        <v>64</v>
      </c>
      <c r="F436" s="3" t="s">
        <v>11</v>
      </c>
      <c r="G4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6" s="3" t="s">
        <v>65</v>
      </c>
      <c r="I436" s="3" t="s">
        <v>31</v>
      </c>
      <c r="J436" s="3" t="s">
        <v>61</v>
      </c>
      <c r="K436" s="3" t="s">
        <v>38</v>
      </c>
      <c r="L436" s="3" t="s">
        <v>39</v>
      </c>
      <c r="M436" s="4">
        <v>5.99</v>
      </c>
    </row>
    <row r="437">
      <c r="A437" s="2">
        <v>45362</v>
      </c>
      <c r="B4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7" s="3" t="str">
        <f>YEAR(KMART_DATA[[#This Row],[Date]])&amp;"-"&amp;TEXT(MONTH(KMART_DATA[[#This Row],[Date]]),"00")</f>
        <v>2024-03</v>
      </c>
      <c r="D437" s="3" t="s">
        <v>28</v>
      </c>
      <c r="E437" s="3" t="s">
        <v>110</v>
      </c>
      <c r="F437" s="3" t="s">
        <v>9</v>
      </c>
      <c r="G4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7" s="3" t="s">
        <v>111</v>
      </c>
      <c r="I437" s="3" t="s">
        <v>31</v>
      </c>
      <c r="J437" s="3" t="s">
        <v>81</v>
      </c>
      <c r="K437" s="3" t="s">
        <v>46</v>
      </c>
      <c r="L437" s="3" t="s">
        <v>47</v>
      </c>
      <c r="M437" s="4">
        <v>7.99</v>
      </c>
    </row>
    <row r="438">
      <c r="A438" s="2">
        <v>45362</v>
      </c>
      <c r="B4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8" s="3" t="str">
        <f>YEAR(KMART_DATA[[#This Row],[Date]])&amp;"-"&amp;TEXT(MONTH(KMART_DATA[[#This Row],[Date]]),"00")</f>
        <v>2024-03</v>
      </c>
      <c r="D438" s="3" t="s">
        <v>45</v>
      </c>
      <c r="E438" s="3" t="s">
        <v>105</v>
      </c>
      <c r="F438" s="3" t="s">
        <v>9</v>
      </c>
      <c r="G4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8" s="3" t="s">
        <v>106</v>
      </c>
      <c r="I438" s="3" t="s">
        <v>31</v>
      </c>
      <c r="J438" s="3" t="s">
        <v>107</v>
      </c>
      <c r="K438" s="3" t="s">
        <v>43</v>
      </c>
      <c r="L438" s="3" t="s">
        <v>44</v>
      </c>
      <c r="M438" s="4">
        <v>28.97</v>
      </c>
    </row>
    <row r="439">
      <c r="A439" s="2">
        <v>45362</v>
      </c>
      <c r="B4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39" s="3" t="str">
        <f>YEAR(KMART_DATA[[#This Row],[Date]])&amp;"-"&amp;TEXT(MONTH(KMART_DATA[[#This Row],[Date]]),"00")</f>
        <v>2024-03</v>
      </c>
      <c r="D439" s="3" t="s">
        <v>28</v>
      </c>
      <c r="E439" s="3" t="s">
        <v>189</v>
      </c>
      <c r="F439" s="3" t="s">
        <v>9</v>
      </c>
      <c r="G4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9" s="3" t="s">
        <v>190</v>
      </c>
      <c r="I439" s="3" t="s">
        <v>31</v>
      </c>
      <c r="J439" s="3" t="s">
        <v>81</v>
      </c>
      <c r="K439" s="3" t="s">
        <v>43</v>
      </c>
      <c r="L439" s="3" t="s">
        <v>44</v>
      </c>
      <c r="M439" s="4">
        <v>194.06</v>
      </c>
    </row>
    <row r="440">
      <c r="A440" s="2">
        <v>45362</v>
      </c>
      <c r="B4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0" s="3" t="str">
        <f>YEAR(KMART_DATA[[#This Row],[Date]])&amp;"-"&amp;TEXT(MONTH(KMART_DATA[[#This Row],[Date]]),"00")</f>
        <v>2024-03</v>
      </c>
      <c r="D440" s="3" t="s">
        <v>28</v>
      </c>
      <c r="E440" s="3" t="s">
        <v>64</v>
      </c>
      <c r="F440" s="3" t="s">
        <v>11</v>
      </c>
      <c r="G4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0" s="3" t="s">
        <v>65</v>
      </c>
      <c r="I440" s="3" t="s">
        <v>31</v>
      </c>
      <c r="J440" s="3" t="s">
        <v>61</v>
      </c>
      <c r="K440" s="3" t="s">
        <v>38</v>
      </c>
      <c r="L440" s="3" t="s">
        <v>39</v>
      </c>
      <c r="M440" s="4">
        <v>747.07</v>
      </c>
    </row>
    <row r="441">
      <c r="A441" s="2">
        <v>45362</v>
      </c>
      <c r="B4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1" s="3" t="str">
        <f>YEAR(KMART_DATA[[#This Row],[Date]])&amp;"-"&amp;TEXT(MONTH(KMART_DATA[[#This Row],[Date]]),"00")</f>
        <v>2024-03</v>
      </c>
      <c r="D441" s="3" t="s">
        <v>28</v>
      </c>
      <c r="E441" s="3" t="s">
        <v>213</v>
      </c>
      <c r="F441" s="3" t="s">
        <v>11</v>
      </c>
      <c r="G4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1" s="3" t="s">
        <v>214</v>
      </c>
      <c r="I441" s="3" t="s">
        <v>31</v>
      </c>
      <c r="J441" s="3" t="s">
        <v>32</v>
      </c>
      <c r="K441" s="3" t="s">
        <v>33</v>
      </c>
      <c r="L441" s="3" t="s">
        <v>34</v>
      </c>
      <c r="M441" s="4">
        <v>749.75</v>
      </c>
    </row>
    <row r="442">
      <c r="A442" s="2">
        <v>45362</v>
      </c>
      <c r="B4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2" s="3" t="str">
        <f>YEAR(KMART_DATA[[#This Row],[Date]])&amp;"-"&amp;TEXT(MONTH(KMART_DATA[[#This Row],[Date]]),"00")</f>
        <v>2024-03</v>
      </c>
      <c r="D442" s="3" t="s">
        <v>28</v>
      </c>
      <c r="E442" s="3" t="s">
        <v>203</v>
      </c>
      <c r="F442" s="3" t="s">
        <v>10</v>
      </c>
      <c r="G4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2" s="3" t="s">
        <v>204</v>
      </c>
      <c r="I442" s="3" t="s">
        <v>31</v>
      </c>
      <c r="J442" s="3" t="s">
        <v>89</v>
      </c>
      <c r="K442" s="3" t="s">
        <v>123</v>
      </c>
      <c r="L442" s="3" t="s">
        <v>124</v>
      </c>
      <c r="M442" s="4">
        <v>4015.23</v>
      </c>
    </row>
    <row r="443">
      <c r="A443" s="2">
        <v>45363</v>
      </c>
      <c r="B4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3" s="3" t="str">
        <f>YEAR(KMART_DATA[[#This Row],[Date]])&amp;"-"&amp;TEXT(MONTH(KMART_DATA[[#This Row],[Date]]),"00")</f>
        <v>2024-03</v>
      </c>
      <c r="D443" s="3" t="s">
        <v>28</v>
      </c>
      <c r="E443" s="3" t="s">
        <v>121</v>
      </c>
      <c r="F443" s="3" t="s">
        <v>11</v>
      </c>
      <c r="G4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3" s="3" t="s">
        <v>122</v>
      </c>
      <c r="I443" s="3" t="s">
        <v>31</v>
      </c>
      <c r="J443" s="3" t="s">
        <v>84</v>
      </c>
      <c r="K443" s="3" t="s">
        <v>38</v>
      </c>
      <c r="L443" s="3" t="s">
        <v>39</v>
      </c>
      <c r="M443" s="4">
        <v>2.0</v>
      </c>
    </row>
    <row r="444">
      <c r="A444" s="2">
        <v>45363</v>
      </c>
      <c r="B4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4" s="3" t="str">
        <f>YEAR(KMART_DATA[[#This Row],[Date]])&amp;"-"&amp;TEXT(MONTH(KMART_DATA[[#This Row],[Date]]),"00")</f>
        <v>2024-03</v>
      </c>
      <c r="D444" s="3" t="s">
        <v>28</v>
      </c>
      <c r="E444" s="3" t="s">
        <v>139</v>
      </c>
      <c r="F444" s="3" t="s">
        <v>10</v>
      </c>
      <c r="G4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4" s="3" t="s">
        <v>140</v>
      </c>
      <c r="I444" s="3" t="s">
        <v>31</v>
      </c>
      <c r="J444" s="3" t="s">
        <v>89</v>
      </c>
      <c r="K444" s="3" t="s">
        <v>46</v>
      </c>
      <c r="L444" s="3" t="s">
        <v>47</v>
      </c>
      <c r="M444" s="4">
        <v>13.99</v>
      </c>
    </row>
    <row r="445">
      <c r="A445" s="2">
        <v>45363</v>
      </c>
      <c r="B4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5" s="3" t="str">
        <f>YEAR(KMART_DATA[[#This Row],[Date]])&amp;"-"&amp;TEXT(MONTH(KMART_DATA[[#This Row],[Date]]),"00")</f>
        <v>2024-03</v>
      </c>
      <c r="D445" s="3" t="s">
        <v>28</v>
      </c>
      <c r="E445" s="3" t="s">
        <v>252</v>
      </c>
      <c r="F445" s="3" t="s">
        <v>10</v>
      </c>
      <c r="G4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5" s="3" t="s">
        <v>253</v>
      </c>
      <c r="I445" s="3" t="s">
        <v>31</v>
      </c>
      <c r="J445" s="3" t="s">
        <v>94</v>
      </c>
      <c r="K445" s="3" t="s">
        <v>123</v>
      </c>
      <c r="L445" s="3" t="s">
        <v>124</v>
      </c>
      <c r="M445" s="4">
        <v>51.98</v>
      </c>
    </row>
    <row r="446">
      <c r="A446" s="2">
        <v>45363</v>
      </c>
      <c r="B4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6" s="3" t="str">
        <f>YEAR(KMART_DATA[[#This Row],[Date]])&amp;"-"&amp;TEXT(MONTH(KMART_DATA[[#This Row],[Date]]),"00")</f>
        <v>2024-03</v>
      </c>
      <c r="D446" s="3" t="s">
        <v>28</v>
      </c>
      <c r="E446" s="3" t="s">
        <v>234</v>
      </c>
      <c r="F446" s="3" t="s">
        <v>9</v>
      </c>
      <c r="G4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6" s="3" t="s">
        <v>235</v>
      </c>
      <c r="I446" s="3" t="s">
        <v>31</v>
      </c>
      <c r="J446" s="3" t="s">
        <v>81</v>
      </c>
      <c r="K446" s="3" t="s">
        <v>71</v>
      </c>
      <c r="L446" s="3" t="s">
        <v>72</v>
      </c>
      <c r="M446" s="4">
        <v>243.72</v>
      </c>
    </row>
    <row r="447">
      <c r="A447" s="2">
        <v>45363</v>
      </c>
      <c r="B4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7" s="3" t="str">
        <f>YEAR(KMART_DATA[[#This Row],[Date]])&amp;"-"&amp;TEXT(MONTH(KMART_DATA[[#This Row],[Date]]),"00")</f>
        <v>2024-03</v>
      </c>
      <c r="D447" s="3" t="s">
        <v>28</v>
      </c>
      <c r="E447" s="3" t="s">
        <v>185</v>
      </c>
      <c r="F447" s="3" t="s">
        <v>12</v>
      </c>
      <c r="G4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7" s="3" t="s">
        <v>186</v>
      </c>
      <c r="I447" s="3" t="s">
        <v>31</v>
      </c>
      <c r="J447" s="3" t="s">
        <v>162</v>
      </c>
      <c r="K447" s="3" t="s">
        <v>38</v>
      </c>
      <c r="L447" s="3" t="s">
        <v>39</v>
      </c>
      <c r="M447" s="4">
        <v>540.04</v>
      </c>
    </row>
    <row r="448">
      <c r="A448" s="2">
        <v>45363</v>
      </c>
      <c r="B4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8" s="3" t="str">
        <f>YEAR(KMART_DATA[[#This Row],[Date]])&amp;"-"&amp;TEXT(MONTH(KMART_DATA[[#This Row],[Date]]),"00")</f>
        <v>2024-03</v>
      </c>
      <c r="D448" s="3" t="s">
        <v>45</v>
      </c>
      <c r="E448" s="3" t="s">
        <v>262</v>
      </c>
      <c r="F448" s="3" t="s">
        <v>10</v>
      </c>
      <c r="G4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8" s="3" t="s">
        <v>263</v>
      </c>
      <c r="I448" s="3" t="s">
        <v>31</v>
      </c>
      <c r="J448" s="3" t="s">
        <v>120</v>
      </c>
      <c r="K448" s="3" t="s">
        <v>57</v>
      </c>
      <c r="L448" s="3" t="s">
        <v>58</v>
      </c>
      <c r="M448" s="4">
        <v>817.7</v>
      </c>
    </row>
    <row r="449">
      <c r="A449" s="2">
        <v>45363</v>
      </c>
      <c r="B4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49" s="3" t="str">
        <f>YEAR(KMART_DATA[[#This Row],[Date]])&amp;"-"&amp;TEXT(MONTH(KMART_DATA[[#This Row],[Date]]),"00")</f>
        <v>2024-03</v>
      </c>
      <c r="D449" s="3" t="s">
        <v>28</v>
      </c>
      <c r="E449" s="3" t="s">
        <v>219</v>
      </c>
      <c r="F449" s="3" t="s">
        <v>11</v>
      </c>
      <c r="G4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9" s="3" t="s">
        <v>220</v>
      </c>
      <c r="I449" s="3" t="s">
        <v>31</v>
      </c>
      <c r="J449" s="3" t="s">
        <v>56</v>
      </c>
      <c r="K449" s="3" t="s">
        <v>43</v>
      </c>
      <c r="L449" s="3" t="s">
        <v>44</v>
      </c>
      <c r="M449" s="4">
        <v>1207.94</v>
      </c>
    </row>
    <row r="450">
      <c r="A450" s="2">
        <v>45363</v>
      </c>
      <c r="B4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0" s="3" t="str">
        <f>YEAR(KMART_DATA[[#This Row],[Date]])&amp;"-"&amp;TEXT(MONTH(KMART_DATA[[#This Row],[Date]]),"00")</f>
        <v>2024-03</v>
      </c>
      <c r="D450" s="3" t="s">
        <v>28</v>
      </c>
      <c r="E450" s="3" t="s">
        <v>181</v>
      </c>
      <c r="F450" s="3" t="s">
        <v>11</v>
      </c>
      <c r="G4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50" s="3" t="s">
        <v>182</v>
      </c>
      <c r="I450" s="3" t="s">
        <v>31</v>
      </c>
      <c r="J450" s="3" t="s">
        <v>56</v>
      </c>
      <c r="K450" s="3" t="s">
        <v>71</v>
      </c>
      <c r="L450" s="3" t="s">
        <v>72</v>
      </c>
      <c r="M450" s="4">
        <v>2631.58</v>
      </c>
    </row>
    <row r="451">
      <c r="A451" s="2">
        <v>45364</v>
      </c>
      <c r="B4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1" s="3" t="str">
        <f>YEAR(KMART_DATA[[#This Row],[Date]])&amp;"-"&amp;TEXT(MONTH(KMART_DATA[[#This Row],[Date]]),"00")</f>
        <v>2024-03</v>
      </c>
      <c r="D451" s="3" t="s">
        <v>28</v>
      </c>
      <c r="E451" s="3" t="s">
        <v>199</v>
      </c>
      <c r="F451" s="3" t="s">
        <v>13</v>
      </c>
      <c r="G4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51" s="3" t="s">
        <v>200</v>
      </c>
      <c r="I451" s="3" t="s">
        <v>31</v>
      </c>
      <c r="J451" s="3" t="s">
        <v>42</v>
      </c>
      <c r="K451" s="3" t="s">
        <v>46</v>
      </c>
      <c r="L451" s="3" t="s">
        <v>47</v>
      </c>
      <c r="M451" s="4">
        <v>7.0</v>
      </c>
    </row>
    <row r="452">
      <c r="A452" s="2">
        <v>45364</v>
      </c>
      <c r="B4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2" s="3" t="str">
        <f>YEAR(KMART_DATA[[#This Row],[Date]])&amp;"-"&amp;TEXT(MONTH(KMART_DATA[[#This Row],[Date]]),"00")</f>
        <v>2024-03</v>
      </c>
      <c r="D452" s="3" t="s">
        <v>45</v>
      </c>
      <c r="E452" s="3" t="s">
        <v>110</v>
      </c>
      <c r="F452" s="3" t="s">
        <v>9</v>
      </c>
      <c r="G4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52" s="3" t="s">
        <v>111</v>
      </c>
      <c r="I452" s="3" t="s">
        <v>31</v>
      </c>
      <c r="J452" s="3" t="s">
        <v>81</v>
      </c>
      <c r="K452" s="3" t="s">
        <v>33</v>
      </c>
      <c r="L452" s="3" t="s">
        <v>34</v>
      </c>
      <c r="M452" s="4">
        <v>19.96</v>
      </c>
    </row>
    <row r="453">
      <c r="A453" s="2">
        <v>45364</v>
      </c>
      <c r="B4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3" s="3" t="str">
        <f>YEAR(KMART_DATA[[#This Row],[Date]])&amp;"-"&amp;TEXT(MONTH(KMART_DATA[[#This Row],[Date]]),"00")</f>
        <v>2024-03</v>
      </c>
      <c r="D453" s="3" t="s">
        <v>45</v>
      </c>
      <c r="E453" s="3" t="s">
        <v>137</v>
      </c>
      <c r="F453" s="3" t="s">
        <v>10</v>
      </c>
      <c r="G4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53" s="3" t="s">
        <v>138</v>
      </c>
      <c r="I453" s="3" t="s">
        <v>31</v>
      </c>
      <c r="J453" s="3" t="s">
        <v>89</v>
      </c>
      <c r="K453" s="3" t="s">
        <v>46</v>
      </c>
      <c r="L453" s="3" t="s">
        <v>47</v>
      </c>
      <c r="M453" s="4">
        <v>38.97</v>
      </c>
    </row>
    <row r="454">
      <c r="A454" s="2">
        <v>45364</v>
      </c>
      <c r="B4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4" s="3" t="str">
        <f>YEAR(KMART_DATA[[#This Row],[Date]])&amp;"-"&amp;TEXT(MONTH(KMART_DATA[[#This Row],[Date]]),"00")</f>
        <v>2024-03</v>
      </c>
      <c r="D454" s="3" t="s">
        <v>45</v>
      </c>
      <c r="E454" s="3" t="s">
        <v>108</v>
      </c>
      <c r="F454" s="3" t="s">
        <v>9</v>
      </c>
      <c r="G4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54" s="3" t="s">
        <v>109</v>
      </c>
      <c r="I454" s="3" t="s">
        <v>31</v>
      </c>
      <c r="J454" s="3" t="s">
        <v>75</v>
      </c>
      <c r="K454" s="3" t="s">
        <v>95</v>
      </c>
      <c r="L454" s="3" t="s">
        <v>96</v>
      </c>
      <c r="M454" s="4">
        <v>49.9</v>
      </c>
    </row>
    <row r="455">
      <c r="A455" s="2">
        <v>45365</v>
      </c>
      <c r="B4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5" s="3" t="str">
        <f>YEAR(KMART_DATA[[#This Row],[Date]])&amp;"-"&amp;TEXT(MONTH(KMART_DATA[[#This Row],[Date]]),"00")</f>
        <v>2024-03</v>
      </c>
      <c r="D455" s="3" t="s">
        <v>45</v>
      </c>
      <c r="E455" s="3" t="s">
        <v>185</v>
      </c>
      <c r="F455" s="3" t="s">
        <v>12</v>
      </c>
      <c r="G4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55" s="3" t="s">
        <v>186</v>
      </c>
      <c r="I455" s="3" t="s">
        <v>31</v>
      </c>
      <c r="J455" s="3" t="s">
        <v>162</v>
      </c>
      <c r="K455" s="3" t="s">
        <v>43</v>
      </c>
      <c r="L455" s="3" t="s">
        <v>44</v>
      </c>
      <c r="M455" s="4">
        <v>138.38</v>
      </c>
    </row>
    <row r="456">
      <c r="A456" s="2">
        <v>45365</v>
      </c>
      <c r="B4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6" s="3" t="str">
        <f>YEAR(KMART_DATA[[#This Row],[Date]])&amp;"-"&amp;TEXT(MONTH(KMART_DATA[[#This Row],[Date]]),"00")</f>
        <v>2024-03</v>
      </c>
      <c r="D456" s="3" t="s">
        <v>28</v>
      </c>
      <c r="E456" s="3" t="s">
        <v>110</v>
      </c>
      <c r="F456" s="3" t="s">
        <v>9</v>
      </c>
      <c r="G4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56" s="3" t="s">
        <v>111</v>
      </c>
      <c r="I456" s="3" t="s">
        <v>31</v>
      </c>
      <c r="J456" s="3" t="s">
        <v>81</v>
      </c>
      <c r="K456" s="3" t="s">
        <v>95</v>
      </c>
      <c r="L456" s="3" t="s">
        <v>96</v>
      </c>
      <c r="M456" s="4">
        <v>203.68</v>
      </c>
    </row>
    <row r="457">
      <c r="A457" s="2">
        <v>45365</v>
      </c>
      <c r="B4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7" s="3" t="str">
        <f>YEAR(KMART_DATA[[#This Row],[Date]])&amp;"-"&amp;TEXT(MONTH(KMART_DATA[[#This Row],[Date]]),"00")</f>
        <v>2024-03</v>
      </c>
      <c r="D457" s="3" t="s">
        <v>28</v>
      </c>
      <c r="E457" s="3" t="s">
        <v>195</v>
      </c>
      <c r="F457" s="3" t="s">
        <v>11</v>
      </c>
      <c r="G4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57" s="3" t="s">
        <v>196</v>
      </c>
      <c r="I457" s="3" t="s">
        <v>31</v>
      </c>
      <c r="J457" s="3" t="s">
        <v>32</v>
      </c>
      <c r="K457" s="3" t="s">
        <v>43</v>
      </c>
      <c r="L457" s="3" t="s">
        <v>44</v>
      </c>
      <c r="M457" s="4">
        <v>385.87</v>
      </c>
    </row>
    <row r="458">
      <c r="A458" s="2">
        <v>45365</v>
      </c>
      <c r="B4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8" s="3" t="str">
        <f>YEAR(KMART_DATA[[#This Row],[Date]])&amp;"-"&amp;TEXT(MONTH(KMART_DATA[[#This Row],[Date]]),"00")</f>
        <v>2024-03</v>
      </c>
      <c r="D458" s="3" t="s">
        <v>28</v>
      </c>
      <c r="E458" s="3" t="s">
        <v>133</v>
      </c>
      <c r="F458" s="3" t="s">
        <v>10</v>
      </c>
      <c r="G4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58" s="3" t="s">
        <v>134</v>
      </c>
      <c r="I458" s="3" t="s">
        <v>31</v>
      </c>
      <c r="J458" s="3" t="s">
        <v>37</v>
      </c>
      <c r="K458" s="3" t="s">
        <v>57</v>
      </c>
      <c r="L458" s="3" t="s">
        <v>58</v>
      </c>
      <c r="M458" s="4">
        <v>1285.48</v>
      </c>
    </row>
    <row r="459">
      <c r="A459" s="2">
        <v>45365</v>
      </c>
      <c r="B4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59" s="3" t="str">
        <f>YEAR(KMART_DATA[[#This Row],[Date]])&amp;"-"&amp;TEXT(MONTH(KMART_DATA[[#This Row],[Date]]),"00")</f>
        <v>2024-03</v>
      </c>
      <c r="D459" s="3" t="s">
        <v>28</v>
      </c>
      <c r="E459" s="3" t="s">
        <v>114</v>
      </c>
      <c r="F459" s="3" t="s">
        <v>9</v>
      </c>
      <c r="G4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59" s="3" t="s">
        <v>115</v>
      </c>
      <c r="I459" s="3" t="s">
        <v>31</v>
      </c>
      <c r="J459" s="3" t="s">
        <v>99</v>
      </c>
      <c r="K459" s="3" t="s">
        <v>33</v>
      </c>
      <c r="L459" s="3" t="s">
        <v>34</v>
      </c>
      <c r="M459" s="4">
        <v>1513.38</v>
      </c>
    </row>
    <row r="460">
      <c r="A460" s="2">
        <v>45366</v>
      </c>
      <c r="B4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0" s="3" t="str">
        <f>YEAR(KMART_DATA[[#This Row],[Date]])&amp;"-"&amp;TEXT(MONTH(KMART_DATA[[#This Row],[Date]]),"00")</f>
        <v>2024-03</v>
      </c>
      <c r="D460" s="3" t="s">
        <v>28</v>
      </c>
      <c r="E460" s="3" t="s">
        <v>103</v>
      </c>
      <c r="F460" s="3" t="s">
        <v>12</v>
      </c>
      <c r="G4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60" s="3" t="s">
        <v>104</v>
      </c>
      <c r="I460" s="3" t="s">
        <v>31</v>
      </c>
      <c r="J460" s="3" t="s">
        <v>102</v>
      </c>
      <c r="K460" s="3" t="s">
        <v>43</v>
      </c>
      <c r="L460" s="3" t="s">
        <v>44</v>
      </c>
      <c r="M460" s="4">
        <v>9.0</v>
      </c>
    </row>
    <row r="461">
      <c r="A461" s="2">
        <v>45366</v>
      </c>
      <c r="B4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1" s="3" t="str">
        <f>YEAR(KMART_DATA[[#This Row],[Date]])&amp;"-"&amp;TEXT(MONTH(KMART_DATA[[#This Row],[Date]]),"00")</f>
        <v>2024-03</v>
      </c>
      <c r="D461" s="3" t="s">
        <v>28</v>
      </c>
      <c r="E461" s="3" t="s">
        <v>238</v>
      </c>
      <c r="F461" s="3" t="s">
        <v>13</v>
      </c>
      <c r="G4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61" s="3" t="s">
        <v>239</v>
      </c>
      <c r="I461" s="3" t="s">
        <v>31</v>
      </c>
      <c r="J461" s="3" t="s">
        <v>42</v>
      </c>
      <c r="K461" s="3" t="s">
        <v>33</v>
      </c>
      <c r="L461" s="3" t="s">
        <v>34</v>
      </c>
      <c r="M461" s="4">
        <v>35.98</v>
      </c>
    </row>
    <row r="462">
      <c r="A462" s="2">
        <v>45366</v>
      </c>
      <c r="B4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2" s="3" t="str">
        <f>YEAR(KMART_DATA[[#This Row],[Date]])&amp;"-"&amp;TEXT(MONTH(KMART_DATA[[#This Row],[Date]]),"00")</f>
        <v>2024-03</v>
      </c>
      <c r="D462" s="3" t="s">
        <v>45</v>
      </c>
      <c r="E462" s="3" t="s">
        <v>82</v>
      </c>
      <c r="F462" s="3" t="s">
        <v>11</v>
      </c>
      <c r="G4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62" s="3" t="s">
        <v>83</v>
      </c>
      <c r="I462" s="3" t="s">
        <v>31</v>
      </c>
      <c r="J462" s="3" t="s">
        <v>84</v>
      </c>
      <c r="K462" s="3" t="s">
        <v>112</v>
      </c>
      <c r="L462" s="3" t="s">
        <v>113</v>
      </c>
      <c r="M462" s="4">
        <v>95.84</v>
      </c>
    </row>
    <row r="463">
      <c r="A463" s="2">
        <v>45366</v>
      </c>
      <c r="B4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3" s="3" t="str">
        <f>YEAR(KMART_DATA[[#This Row],[Date]])&amp;"-"&amp;TEXT(MONTH(KMART_DATA[[#This Row],[Date]]),"00")</f>
        <v>2024-03</v>
      </c>
      <c r="D463" s="3" t="s">
        <v>28</v>
      </c>
      <c r="E463" s="3" t="s">
        <v>230</v>
      </c>
      <c r="F463" s="3" t="s">
        <v>13</v>
      </c>
      <c r="G4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63" s="3" t="s">
        <v>231</v>
      </c>
      <c r="I463" s="3" t="s">
        <v>31</v>
      </c>
      <c r="J463" s="3" t="s">
        <v>227</v>
      </c>
      <c r="K463" s="3" t="s">
        <v>123</v>
      </c>
      <c r="L463" s="3" t="s">
        <v>124</v>
      </c>
      <c r="M463" s="4">
        <v>176.19</v>
      </c>
    </row>
    <row r="464">
      <c r="A464" s="2">
        <v>45367</v>
      </c>
      <c r="B4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4" s="3" t="str">
        <f>YEAR(KMART_DATA[[#This Row],[Date]])&amp;"-"&amp;TEXT(MONTH(KMART_DATA[[#This Row],[Date]]),"00")</f>
        <v>2024-03</v>
      </c>
      <c r="D464" s="3" t="s">
        <v>28</v>
      </c>
      <c r="E464" s="3" t="s">
        <v>103</v>
      </c>
      <c r="F464" s="3" t="s">
        <v>12</v>
      </c>
      <c r="G4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64" s="3" t="s">
        <v>104</v>
      </c>
      <c r="I464" s="3" t="s">
        <v>31</v>
      </c>
      <c r="J464" s="3" t="s">
        <v>102</v>
      </c>
      <c r="K464" s="3" t="s">
        <v>71</v>
      </c>
      <c r="L464" s="3" t="s">
        <v>72</v>
      </c>
      <c r="M464" s="4">
        <v>10.0</v>
      </c>
    </row>
    <row r="465">
      <c r="A465" s="2">
        <v>45367</v>
      </c>
      <c r="B4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5" s="3" t="str">
        <f>YEAR(KMART_DATA[[#This Row],[Date]])&amp;"-"&amp;TEXT(MONTH(KMART_DATA[[#This Row],[Date]]),"00")</f>
        <v>2024-03</v>
      </c>
      <c r="D465" s="3" t="s">
        <v>28</v>
      </c>
      <c r="E465" s="3" t="s">
        <v>219</v>
      </c>
      <c r="F465" s="3" t="s">
        <v>11</v>
      </c>
      <c r="G4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65" s="3" t="s">
        <v>220</v>
      </c>
      <c r="I465" s="3" t="s">
        <v>31</v>
      </c>
      <c r="J465" s="3" t="s">
        <v>56</v>
      </c>
      <c r="K465" s="3" t="s">
        <v>43</v>
      </c>
      <c r="L465" s="3" t="s">
        <v>44</v>
      </c>
      <c r="M465" s="4">
        <v>11.98</v>
      </c>
    </row>
    <row r="466">
      <c r="A466" s="2">
        <v>45367</v>
      </c>
      <c r="B4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6" s="3" t="str">
        <f>YEAR(KMART_DATA[[#This Row],[Date]])&amp;"-"&amp;TEXT(MONTH(KMART_DATA[[#This Row],[Date]]),"00")</f>
        <v>2024-03</v>
      </c>
      <c r="D466" s="3" t="s">
        <v>28</v>
      </c>
      <c r="E466" s="3" t="s">
        <v>175</v>
      </c>
      <c r="F466" s="3" t="s">
        <v>16</v>
      </c>
      <c r="G4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66" s="3" t="s">
        <v>176</v>
      </c>
      <c r="I466" s="3" t="s">
        <v>31</v>
      </c>
      <c r="J466" s="3" t="s">
        <v>107</v>
      </c>
      <c r="K466" s="3" t="s">
        <v>71</v>
      </c>
      <c r="L466" s="3" t="s">
        <v>72</v>
      </c>
      <c r="M466" s="4">
        <v>35.96</v>
      </c>
    </row>
    <row r="467">
      <c r="A467" s="2">
        <v>45367</v>
      </c>
      <c r="B4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7" s="3" t="str">
        <f>YEAR(KMART_DATA[[#This Row],[Date]])&amp;"-"&amp;TEXT(MONTH(KMART_DATA[[#This Row],[Date]]),"00")</f>
        <v>2024-03</v>
      </c>
      <c r="D467" s="3" t="s">
        <v>28</v>
      </c>
      <c r="E467" s="3" t="s">
        <v>118</v>
      </c>
      <c r="F467" s="3" t="s">
        <v>10</v>
      </c>
      <c r="G4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67" s="3" t="s">
        <v>119</v>
      </c>
      <c r="I467" s="3" t="s">
        <v>31</v>
      </c>
      <c r="J467" s="3" t="s">
        <v>120</v>
      </c>
      <c r="K467" s="3" t="s">
        <v>57</v>
      </c>
      <c r="L467" s="3" t="s">
        <v>58</v>
      </c>
      <c r="M467" s="4">
        <v>97.74</v>
      </c>
    </row>
    <row r="468">
      <c r="A468" s="2">
        <v>45367</v>
      </c>
      <c r="B4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8" s="3" t="str">
        <f>YEAR(KMART_DATA[[#This Row],[Date]])&amp;"-"&amp;TEXT(MONTH(KMART_DATA[[#This Row],[Date]]),"00")</f>
        <v>2024-03</v>
      </c>
      <c r="D468" s="3" t="s">
        <v>28</v>
      </c>
      <c r="E468" s="3" t="s">
        <v>203</v>
      </c>
      <c r="F468" s="3" t="s">
        <v>10</v>
      </c>
      <c r="G4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68" s="3" t="s">
        <v>204</v>
      </c>
      <c r="I468" s="3" t="s">
        <v>31</v>
      </c>
      <c r="J468" s="3" t="s">
        <v>89</v>
      </c>
      <c r="K468" s="3" t="s">
        <v>38</v>
      </c>
      <c r="L468" s="3" t="s">
        <v>39</v>
      </c>
      <c r="M468" s="4">
        <v>194.65</v>
      </c>
    </row>
    <row r="469">
      <c r="A469" s="2">
        <v>45367</v>
      </c>
      <c r="B4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69" s="3" t="str">
        <f>YEAR(KMART_DATA[[#This Row],[Date]])&amp;"-"&amp;TEXT(MONTH(KMART_DATA[[#This Row],[Date]]),"00")</f>
        <v>2024-03</v>
      </c>
      <c r="D469" s="3" t="s">
        <v>45</v>
      </c>
      <c r="E469" s="3" t="s">
        <v>62</v>
      </c>
      <c r="F469" s="3" t="s">
        <v>12</v>
      </c>
      <c r="G4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69" s="3" t="s">
        <v>63</v>
      </c>
      <c r="I469" s="3" t="s">
        <v>31</v>
      </c>
      <c r="J469" s="3" t="s">
        <v>50</v>
      </c>
      <c r="K469" s="3" t="s">
        <v>112</v>
      </c>
      <c r="L469" s="3" t="s">
        <v>113</v>
      </c>
      <c r="M469" s="4">
        <v>218.63</v>
      </c>
    </row>
    <row r="470">
      <c r="A470" s="2">
        <v>45367</v>
      </c>
      <c r="B4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0" s="3" t="str">
        <f>YEAR(KMART_DATA[[#This Row],[Date]])&amp;"-"&amp;TEXT(MONTH(KMART_DATA[[#This Row],[Date]]),"00")</f>
        <v>2024-03</v>
      </c>
      <c r="D470" s="3" t="s">
        <v>28</v>
      </c>
      <c r="E470" s="3" t="s">
        <v>244</v>
      </c>
      <c r="F470" s="3" t="s">
        <v>13</v>
      </c>
      <c r="G4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70" s="3" t="s">
        <v>245</v>
      </c>
      <c r="I470" s="3" t="s">
        <v>31</v>
      </c>
      <c r="J470" s="3" t="s">
        <v>42</v>
      </c>
      <c r="K470" s="3" t="s">
        <v>123</v>
      </c>
      <c r="L470" s="3" t="s">
        <v>124</v>
      </c>
      <c r="M470" s="4">
        <v>306.46</v>
      </c>
    </row>
    <row r="471">
      <c r="A471" s="2">
        <v>45367</v>
      </c>
      <c r="B4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1" s="3" t="str">
        <f>YEAR(KMART_DATA[[#This Row],[Date]])&amp;"-"&amp;TEXT(MONTH(KMART_DATA[[#This Row],[Date]]),"00")</f>
        <v>2024-03</v>
      </c>
      <c r="D471" s="3" t="s">
        <v>28</v>
      </c>
      <c r="E471" s="3" t="s">
        <v>118</v>
      </c>
      <c r="F471" s="3" t="s">
        <v>10</v>
      </c>
      <c r="G4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71" s="3" t="s">
        <v>119</v>
      </c>
      <c r="I471" s="3" t="s">
        <v>31</v>
      </c>
      <c r="J471" s="3" t="s">
        <v>120</v>
      </c>
      <c r="K471" s="3" t="s">
        <v>43</v>
      </c>
      <c r="L471" s="3" t="s">
        <v>44</v>
      </c>
      <c r="M471" s="4">
        <v>945.3</v>
      </c>
    </row>
    <row r="472">
      <c r="A472" s="2">
        <v>45367</v>
      </c>
      <c r="B4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2" s="3" t="str">
        <f>YEAR(KMART_DATA[[#This Row],[Date]])&amp;"-"&amp;TEXT(MONTH(KMART_DATA[[#This Row],[Date]]),"00")</f>
        <v>2024-03</v>
      </c>
      <c r="D472" s="3" t="s">
        <v>28</v>
      </c>
      <c r="E472" s="3" t="s">
        <v>133</v>
      </c>
      <c r="F472" s="3" t="s">
        <v>10</v>
      </c>
      <c r="G4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72" s="3" t="s">
        <v>134</v>
      </c>
      <c r="I472" s="3" t="s">
        <v>31</v>
      </c>
      <c r="J472" s="3" t="s">
        <v>37</v>
      </c>
      <c r="K472" s="3" t="s">
        <v>46</v>
      </c>
      <c r="L472" s="3" t="s">
        <v>47</v>
      </c>
      <c r="M472" s="4">
        <v>1318.03</v>
      </c>
    </row>
    <row r="473">
      <c r="A473" s="2">
        <v>45368</v>
      </c>
      <c r="B4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3" s="3" t="str">
        <f>YEAR(KMART_DATA[[#This Row],[Date]])&amp;"-"&amp;TEXT(MONTH(KMART_DATA[[#This Row],[Date]]),"00")</f>
        <v>2024-03</v>
      </c>
      <c r="D473" s="3" t="s">
        <v>28</v>
      </c>
      <c r="E473" s="3" t="s">
        <v>258</v>
      </c>
      <c r="F473" s="3" t="s">
        <v>14</v>
      </c>
      <c r="G4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73" s="3" t="s">
        <v>259</v>
      </c>
      <c r="I473" s="3" t="s">
        <v>31</v>
      </c>
      <c r="J473" s="3" t="s">
        <v>145</v>
      </c>
      <c r="K473" s="3" t="s">
        <v>57</v>
      </c>
      <c r="L473" s="3" t="s">
        <v>58</v>
      </c>
      <c r="M473" s="4">
        <v>208.22</v>
      </c>
    </row>
    <row r="474">
      <c r="A474" s="2">
        <v>45368</v>
      </c>
      <c r="B4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4" s="3" t="str">
        <f>YEAR(KMART_DATA[[#This Row],[Date]])&amp;"-"&amp;TEXT(MONTH(KMART_DATA[[#This Row],[Date]]),"00")</f>
        <v>2024-03</v>
      </c>
      <c r="D474" s="3" t="s">
        <v>28</v>
      </c>
      <c r="E474" s="3" t="s">
        <v>246</v>
      </c>
      <c r="F474" s="3" t="s">
        <v>10</v>
      </c>
      <c r="G4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74" s="3" t="s">
        <v>247</v>
      </c>
      <c r="I474" s="3" t="s">
        <v>31</v>
      </c>
      <c r="J474" s="3" t="s">
        <v>37</v>
      </c>
      <c r="K474" s="3" t="s">
        <v>38</v>
      </c>
      <c r="L474" s="3" t="s">
        <v>39</v>
      </c>
      <c r="M474" s="4">
        <v>896.08</v>
      </c>
    </row>
    <row r="475">
      <c r="A475" s="2">
        <v>45368</v>
      </c>
      <c r="B4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5" s="3" t="str">
        <f>YEAR(KMART_DATA[[#This Row],[Date]])&amp;"-"&amp;TEXT(MONTH(KMART_DATA[[#This Row],[Date]]),"00")</f>
        <v>2024-03</v>
      </c>
      <c r="D475" s="3" t="s">
        <v>28</v>
      </c>
      <c r="E475" s="3" t="s">
        <v>118</v>
      </c>
      <c r="F475" s="3" t="s">
        <v>10</v>
      </c>
      <c r="G4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75" s="3" t="s">
        <v>119</v>
      </c>
      <c r="I475" s="3" t="s">
        <v>31</v>
      </c>
      <c r="J475" s="3" t="s">
        <v>120</v>
      </c>
      <c r="K475" s="3" t="s">
        <v>71</v>
      </c>
      <c r="L475" s="3" t="s">
        <v>72</v>
      </c>
      <c r="M475" s="4">
        <v>3579.12</v>
      </c>
    </row>
    <row r="476">
      <c r="A476" s="2">
        <v>45368</v>
      </c>
      <c r="B4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6" s="3" t="str">
        <f>YEAR(KMART_DATA[[#This Row],[Date]])&amp;"-"&amp;TEXT(MONTH(KMART_DATA[[#This Row],[Date]]),"00")</f>
        <v>2024-03</v>
      </c>
      <c r="D476" s="3" t="s">
        <v>28</v>
      </c>
      <c r="E476" s="3" t="s">
        <v>82</v>
      </c>
      <c r="F476" s="3" t="s">
        <v>11</v>
      </c>
      <c r="G4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76" s="3" t="s">
        <v>83</v>
      </c>
      <c r="I476" s="3" t="s">
        <v>31</v>
      </c>
      <c r="J476" s="3" t="s">
        <v>84</v>
      </c>
      <c r="K476" s="3" t="s">
        <v>46</v>
      </c>
      <c r="L476" s="3" t="s">
        <v>47</v>
      </c>
      <c r="M476" s="4">
        <v>5564.14</v>
      </c>
    </row>
    <row r="477">
      <c r="A477" s="2">
        <v>45369</v>
      </c>
      <c r="B4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7" s="3" t="str">
        <f>YEAR(KMART_DATA[[#This Row],[Date]])&amp;"-"&amp;TEXT(MONTH(KMART_DATA[[#This Row],[Date]]),"00")</f>
        <v>2024-03</v>
      </c>
      <c r="D477" s="3" t="s">
        <v>45</v>
      </c>
      <c r="E477" s="3" t="s">
        <v>211</v>
      </c>
      <c r="F477" s="3" t="s">
        <v>9</v>
      </c>
      <c r="G4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77" s="3" t="s">
        <v>212</v>
      </c>
      <c r="I477" s="3" t="s">
        <v>31</v>
      </c>
      <c r="J477" s="3" t="s">
        <v>75</v>
      </c>
      <c r="K477" s="3" t="s">
        <v>71</v>
      </c>
      <c r="L477" s="3" t="s">
        <v>72</v>
      </c>
      <c r="M477" s="4">
        <v>1.0</v>
      </c>
    </row>
    <row r="478">
      <c r="A478" s="2">
        <v>45369</v>
      </c>
      <c r="B4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8" s="3" t="str">
        <f>YEAR(KMART_DATA[[#This Row],[Date]])&amp;"-"&amp;TEXT(MONTH(KMART_DATA[[#This Row],[Date]]),"00")</f>
        <v>2024-03</v>
      </c>
      <c r="D478" s="3" t="s">
        <v>28</v>
      </c>
      <c r="E478" s="3" t="s">
        <v>201</v>
      </c>
      <c r="F478" s="3" t="s">
        <v>10</v>
      </c>
      <c r="G4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78" s="3" t="s">
        <v>202</v>
      </c>
      <c r="I478" s="3" t="s">
        <v>31</v>
      </c>
      <c r="J478" s="3" t="s">
        <v>89</v>
      </c>
      <c r="K478" s="3" t="s">
        <v>43</v>
      </c>
      <c r="L478" s="3" t="s">
        <v>44</v>
      </c>
      <c r="M478" s="4">
        <v>80.5</v>
      </c>
    </row>
    <row r="479">
      <c r="A479" s="2">
        <v>45369</v>
      </c>
      <c r="B4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79" s="3" t="str">
        <f>YEAR(KMART_DATA[[#This Row],[Date]])&amp;"-"&amp;TEXT(MONTH(KMART_DATA[[#This Row],[Date]]),"00")</f>
        <v>2024-03</v>
      </c>
      <c r="D479" s="3" t="s">
        <v>45</v>
      </c>
      <c r="E479" s="3" t="s">
        <v>92</v>
      </c>
      <c r="F479" s="3" t="s">
        <v>10</v>
      </c>
      <c r="G4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79" s="3" t="s">
        <v>93</v>
      </c>
      <c r="I479" s="3" t="s">
        <v>31</v>
      </c>
      <c r="J479" s="3" t="s">
        <v>94</v>
      </c>
      <c r="K479" s="3" t="s">
        <v>123</v>
      </c>
      <c r="L479" s="3" t="s">
        <v>124</v>
      </c>
      <c r="M479" s="4">
        <v>653.3</v>
      </c>
    </row>
    <row r="480">
      <c r="A480" s="2">
        <v>45369</v>
      </c>
      <c r="B4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0" s="3" t="str">
        <f>YEAR(KMART_DATA[[#This Row],[Date]])&amp;"-"&amp;TEXT(MONTH(KMART_DATA[[#This Row],[Date]]),"00")</f>
        <v>2024-03</v>
      </c>
      <c r="D480" s="3" t="s">
        <v>28</v>
      </c>
      <c r="E480" s="3" t="s">
        <v>183</v>
      </c>
      <c r="F480" s="3" t="s">
        <v>9</v>
      </c>
      <c r="G4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80" s="3" t="s">
        <v>184</v>
      </c>
      <c r="I480" s="3" t="s">
        <v>31</v>
      </c>
      <c r="J480" s="3" t="s">
        <v>70</v>
      </c>
      <c r="K480" s="3" t="s">
        <v>57</v>
      </c>
      <c r="L480" s="3" t="s">
        <v>58</v>
      </c>
      <c r="M480" s="4">
        <v>3460.91</v>
      </c>
    </row>
    <row r="481">
      <c r="A481" s="2">
        <v>45370</v>
      </c>
      <c r="B4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1" s="3" t="str">
        <f>YEAR(KMART_DATA[[#This Row],[Date]])&amp;"-"&amp;TEXT(MONTH(KMART_DATA[[#This Row],[Date]]),"00")</f>
        <v>2024-03</v>
      </c>
      <c r="D481" s="3" t="s">
        <v>28</v>
      </c>
      <c r="E481" s="3" t="s">
        <v>73</v>
      </c>
      <c r="F481" s="3" t="s">
        <v>9</v>
      </c>
      <c r="G4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81" s="3" t="s">
        <v>74</v>
      </c>
      <c r="I481" s="3" t="s">
        <v>31</v>
      </c>
      <c r="J481" s="3" t="s">
        <v>75</v>
      </c>
      <c r="K481" s="3" t="s">
        <v>43</v>
      </c>
      <c r="L481" s="3" t="s">
        <v>44</v>
      </c>
      <c r="M481" s="4">
        <v>6.0</v>
      </c>
    </row>
    <row r="482">
      <c r="A482" s="2">
        <v>45370</v>
      </c>
      <c r="B4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2" s="3" t="str">
        <f>YEAR(KMART_DATA[[#This Row],[Date]])&amp;"-"&amp;TEXT(MONTH(KMART_DATA[[#This Row],[Date]]),"00")</f>
        <v>2024-03</v>
      </c>
      <c r="D482" s="3" t="s">
        <v>28</v>
      </c>
      <c r="E482" s="3" t="s">
        <v>135</v>
      </c>
      <c r="F482" s="3" t="s">
        <v>16</v>
      </c>
      <c r="G4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82" s="3" t="s">
        <v>136</v>
      </c>
      <c r="I482" s="3" t="s">
        <v>31</v>
      </c>
      <c r="J482" s="3" t="s">
        <v>107</v>
      </c>
      <c r="K482" s="3" t="s">
        <v>43</v>
      </c>
      <c r="L482" s="3" t="s">
        <v>44</v>
      </c>
      <c r="M482" s="4">
        <v>25.98</v>
      </c>
    </row>
    <row r="483">
      <c r="A483" s="2">
        <v>45370</v>
      </c>
      <c r="B4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3" s="3" t="str">
        <f>YEAR(KMART_DATA[[#This Row],[Date]])&amp;"-"&amp;TEXT(MONTH(KMART_DATA[[#This Row],[Date]]),"00")</f>
        <v>2024-03</v>
      </c>
      <c r="D483" s="3" t="s">
        <v>28</v>
      </c>
      <c r="E483" s="3" t="s">
        <v>156</v>
      </c>
      <c r="F483" s="3" t="s">
        <v>9</v>
      </c>
      <c r="G4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83" s="3" t="s">
        <v>157</v>
      </c>
      <c r="I483" s="3" t="s">
        <v>31</v>
      </c>
      <c r="J483" s="3" t="s">
        <v>75</v>
      </c>
      <c r="K483" s="3" t="s">
        <v>66</v>
      </c>
      <c r="L483" s="3" t="s">
        <v>67</v>
      </c>
      <c r="M483" s="4">
        <v>66.93</v>
      </c>
    </row>
    <row r="484">
      <c r="A484" s="2">
        <v>45370</v>
      </c>
      <c r="B4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4" s="3" t="str">
        <f>YEAR(KMART_DATA[[#This Row],[Date]])&amp;"-"&amp;TEXT(MONTH(KMART_DATA[[#This Row],[Date]]),"00")</f>
        <v>2024-03</v>
      </c>
      <c r="D484" s="3" t="s">
        <v>28</v>
      </c>
      <c r="E484" s="3" t="s">
        <v>221</v>
      </c>
      <c r="F484" s="3" t="s">
        <v>11</v>
      </c>
      <c r="G4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84" s="3" t="s">
        <v>222</v>
      </c>
      <c r="I484" s="3" t="s">
        <v>31</v>
      </c>
      <c r="J484" s="3" t="s">
        <v>56</v>
      </c>
      <c r="K484" s="3" t="s">
        <v>46</v>
      </c>
      <c r="L484" s="3" t="s">
        <v>47</v>
      </c>
      <c r="M484" s="4">
        <v>97.0</v>
      </c>
    </row>
    <row r="485">
      <c r="A485" s="2">
        <v>45370</v>
      </c>
      <c r="B4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5" s="3" t="str">
        <f>YEAR(KMART_DATA[[#This Row],[Date]])&amp;"-"&amp;TEXT(MONTH(KMART_DATA[[#This Row],[Date]]),"00")</f>
        <v>2024-03</v>
      </c>
      <c r="D485" s="3" t="s">
        <v>28</v>
      </c>
      <c r="E485" s="3" t="s">
        <v>254</v>
      </c>
      <c r="F485" s="3" t="s">
        <v>13</v>
      </c>
      <c r="G4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85" s="3" t="s">
        <v>255</v>
      </c>
      <c r="I485" s="3" t="s">
        <v>31</v>
      </c>
      <c r="J485" s="3" t="s">
        <v>227</v>
      </c>
      <c r="K485" s="3" t="s">
        <v>71</v>
      </c>
      <c r="L485" s="3" t="s">
        <v>72</v>
      </c>
      <c r="M485" s="4">
        <v>163.77</v>
      </c>
    </row>
    <row r="486">
      <c r="A486" s="2">
        <v>45370</v>
      </c>
      <c r="B4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6" s="3" t="str">
        <f>YEAR(KMART_DATA[[#This Row],[Date]])&amp;"-"&amp;TEXT(MONTH(KMART_DATA[[#This Row],[Date]]),"00")</f>
        <v>2024-03</v>
      </c>
      <c r="D486" s="3" t="s">
        <v>45</v>
      </c>
      <c r="E486" s="3" t="s">
        <v>103</v>
      </c>
      <c r="F486" s="3" t="s">
        <v>12</v>
      </c>
      <c r="G4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86" s="3" t="s">
        <v>104</v>
      </c>
      <c r="I486" s="3" t="s">
        <v>31</v>
      </c>
      <c r="J486" s="3" t="s">
        <v>102</v>
      </c>
      <c r="K486" s="3" t="s">
        <v>95</v>
      </c>
      <c r="L486" s="3" t="s">
        <v>96</v>
      </c>
      <c r="M486" s="4">
        <v>188.94</v>
      </c>
    </row>
    <row r="487">
      <c r="A487" s="2">
        <v>45370</v>
      </c>
      <c r="B4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7" s="3" t="str">
        <f>YEAR(KMART_DATA[[#This Row],[Date]])&amp;"-"&amp;TEXT(MONTH(KMART_DATA[[#This Row],[Date]]),"00")</f>
        <v>2024-03</v>
      </c>
      <c r="D487" s="3" t="s">
        <v>28</v>
      </c>
      <c r="E487" s="3" t="s">
        <v>211</v>
      </c>
      <c r="F487" s="3" t="s">
        <v>9</v>
      </c>
      <c r="G4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87" s="3" t="s">
        <v>212</v>
      </c>
      <c r="I487" s="3" t="s">
        <v>31</v>
      </c>
      <c r="J487" s="3" t="s">
        <v>75</v>
      </c>
      <c r="K487" s="3" t="s">
        <v>95</v>
      </c>
      <c r="L487" s="3" t="s">
        <v>96</v>
      </c>
      <c r="M487" s="4">
        <v>209.62</v>
      </c>
    </row>
    <row r="488">
      <c r="A488" s="2">
        <v>45370</v>
      </c>
      <c r="B4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8" s="3" t="str">
        <f>YEAR(KMART_DATA[[#This Row],[Date]])&amp;"-"&amp;TEXT(MONTH(KMART_DATA[[#This Row],[Date]]),"00")</f>
        <v>2024-03</v>
      </c>
      <c r="D488" s="3" t="s">
        <v>28</v>
      </c>
      <c r="E488" s="3" t="s">
        <v>156</v>
      </c>
      <c r="F488" s="3" t="s">
        <v>9</v>
      </c>
      <c r="G4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88" s="3" t="s">
        <v>157</v>
      </c>
      <c r="I488" s="3" t="s">
        <v>31</v>
      </c>
      <c r="J488" s="3" t="s">
        <v>75</v>
      </c>
      <c r="K488" s="3" t="s">
        <v>95</v>
      </c>
      <c r="L488" s="3" t="s">
        <v>96</v>
      </c>
      <c r="M488" s="4">
        <v>471.99</v>
      </c>
    </row>
    <row r="489">
      <c r="A489" s="2">
        <v>45370</v>
      </c>
      <c r="B4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89" s="3" t="str">
        <f>YEAR(KMART_DATA[[#This Row],[Date]])&amp;"-"&amp;TEXT(MONTH(KMART_DATA[[#This Row],[Date]]),"00")</f>
        <v>2024-03</v>
      </c>
      <c r="D489" s="3" t="s">
        <v>28</v>
      </c>
      <c r="E489" s="3" t="s">
        <v>139</v>
      </c>
      <c r="F489" s="3" t="s">
        <v>10</v>
      </c>
      <c r="G4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89" s="3" t="s">
        <v>140</v>
      </c>
      <c r="I489" s="3" t="s">
        <v>31</v>
      </c>
      <c r="J489" s="3" t="s">
        <v>89</v>
      </c>
      <c r="K489" s="3" t="s">
        <v>57</v>
      </c>
      <c r="L489" s="3" t="s">
        <v>58</v>
      </c>
      <c r="M489" s="4">
        <v>472.0</v>
      </c>
    </row>
    <row r="490">
      <c r="A490" s="2">
        <v>45370</v>
      </c>
      <c r="B4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0" s="3" t="str">
        <f>YEAR(KMART_DATA[[#This Row],[Date]])&amp;"-"&amp;TEXT(MONTH(KMART_DATA[[#This Row],[Date]]),"00")</f>
        <v>2024-03</v>
      </c>
      <c r="D490" s="3" t="s">
        <v>28</v>
      </c>
      <c r="E490" s="3" t="s">
        <v>197</v>
      </c>
      <c r="F490" s="3" t="s">
        <v>9</v>
      </c>
      <c r="G4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90" s="3" t="s">
        <v>198</v>
      </c>
      <c r="I490" s="3" t="s">
        <v>31</v>
      </c>
      <c r="J490" s="3" t="s">
        <v>107</v>
      </c>
      <c r="K490" s="3" t="s">
        <v>71</v>
      </c>
      <c r="L490" s="3" t="s">
        <v>72</v>
      </c>
      <c r="M490" s="4">
        <v>2156.38</v>
      </c>
    </row>
    <row r="491">
      <c r="A491" s="2">
        <v>45371</v>
      </c>
      <c r="B4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1" s="3" t="str">
        <f>YEAR(KMART_DATA[[#This Row],[Date]])&amp;"-"&amp;TEXT(MONTH(KMART_DATA[[#This Row],[Date]]),"00")</f>
        <v>2024-03</v>
      </c>
      <c r="D491" s="3" t="s">
        <v>28</v>
      </c>
      <c r="E491" s="3" t="s">
        <v>177</v>
      </c>
      <c r="F491" s="3" t="s">
        <v>12</v>
      </c>
      <c r="G4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91" s="3" t="s">
        <v>178</v>
      </c>
      <c r="I491" s="3" t="s">
        <v>31</v>
      </c>
      <c r="J491" s="3" t="s">
        <v>162</v>
      </c>
      <c r="K491" s="3" t="s">
        <v>33</v>
      </c>
      <c r="L491" s="3" t="s">
        <v>34</v>
      </c>
      <c r="M491" s="4">
        <v>6.98</v>
      </c>
    </row>
    <row r="492">
      <c r="A492" s="2">
        <v>45371</v>
      </c>
      <c r="B4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2" s="3" t="str">
        <f>YEAR(KMART_DATA[[#This Row],[Date]])&amp;"-"&amp;TEXT(MONTH(KMART_DATA[[#This Row],[Date]]),"00")</f>
        <v>2024-03</v>
      </c>
      <c r="D492" s="3" t="s">
        <v>28</v>
      </c>
      <c r="E492" s="3" t="s">
        <v>127</v>
      </c>
      <c r="F492" s="3" t="s">
        <v>11</v>
      </c>
      <c r="G4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92" s="3" t="s">
        <v>128</v>
      </c>
      <c r="I492" s="3" t="s">
        <v>31</v>
      </c>
      <c r="J492" s="3" t="s">
        <v>78</v>
      </c>
      <c r="K492" s="3" t="s">
        <v>43</v>
      </c>
      <c r="L492" s="3" t="s">
        <v>44</v>
      </c>
      <c r="M492" s="4">
        <v>19.99</v>
      </c>
    </row>
    <row r="493">
      <c r="A493" s="2">
        <v>45371</v>
      </c>
      <c r="B4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3" s="3" t="str">
        <f>YEAR(KMART_DATA[[#This Row],[Date]])&amp;"-"&amp;TEXT(MONTH(KMART_DATA[[#This Row],[Date]]),"00")</f>
        <v>2024-03</v>
      </c>
      <c r="D493" s="3" t="s">
        <v>28</v>
      </c>
      <c r="E493" s="3" t="s">
        <v>238</v>
      </c>
      <c r="F493" s="3" t="s">
        <v>13</v>
      </c>
      <c r="G4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93" s="3" t="s">
        <v>239</v>
      </c>
      <c r="I493" s="3" t="s">
        <v>31</v>
      </c>
      <c r="J493" s="3" t="s">
        <v>42</v>
      </c>
      <c r="K493" s="3" t="s">
        <v>57</v>
      </c>
      <c r="L493" s="3" t="s">
        <v>58</v>
      </c>
      <c r="M493" s="4">
        <v>531.43</v>
      </c>
    </row>
    <row r="494">
      <c r="A494" s="2">
        <v>45371</v>
      </c>
      <c r="B4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4" s="3" t="str">
        <f>YEAR(KMART_DATA[[#This Row],[Date]])&amp;"-"&amp;TEXT(MONTH(KMART_DATA[[#This Row],[Date]]),"00")</f>
        <v>2024-03</v>
      </c>
      <c r="D494" s="3" t="s">
        <v>28</v>
      </c>
      <c r="E494" s="3" t="s">
        <v>158</v>
      </c>
      <c r="F494" s="3" t="s">
        <v>11</v>
      </c>
      <c r="G4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94" s="3" t="s">
        <v>159</v>
      </c>
      <c r="I494" s="3" t="s">
        <v>31</v>
      </c>
      <c r="J494" s="3" t="s">
        <v>84</v>
      </c>
      <c r="K494" s="3" t="s">
        <v>57</v>
      </c>
      <c r="L494" s="3" t="s">
        <v>58</v>
      </c>
      <c r="M494" s="4">
        <v>627.51</v>
      </c>
    </row>
    <row r="495">
      <c r="A495" s="2">
        <v>45371</v>
      </c>
      <c r="B4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5" s="3" t="str">
        <f>YEAR(KMART_DATA[[#This Row],[Date]])&amp;"-"&amp;TEXT(MONTH(KMART_DATA[[#This Row],[Date]]),"00")</f>
        <v>2024-03</v>
      </c>
      <c r="D495" s="3" t="s">
        <v>28</v>
      </c>
      <c r="E495" s="3" t="s">
        <v>234</v>
      </c>
      <c r="F495" s="3" t="s">
        <v>9</v>
      </c>
      <c r="G4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95" s="3" t="s">
        <v>235</v>
      </c>
      <c r="I495" s="3" t="s">
        <v>31</v>
      </c>
      <c r="J495" s="3" t="s">
        <v>81</v>
      </c>
      <c r="K495" s="3" t="s">
        <v>57</v>
      </c>
      <c r="L495" s="3" t="s">
        <v>58</v>
      </c>
      <c r="M495" s="4">
        <v>2013.69</v>
      </c>
    </row>
    <row r="496">
      <c r="A496" s="2">
        <v>45372</v>
      </c>
      <c r="B4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6" s="3" t="str">
        <f>YEAR(KMART_DATA[[#This Row],[Date]])&amp;"-"&amp;TEXT(MONTH(KMART_DATA[[#This Row],[Date]]),"00")</f>
        <v>2024-03</v>
      </c>
      <c r="D496" s="3" t="s">
        <v>28</v>
      </c>
      <c r="E496" s="3" t="s">
        <v>223</v>
      </c>
      <c r="F496" s="3" t="s">
        <v>10</v>
      </c>
      <c r="G4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96" s="3" t="s">
        <v>224</v>
      </c>
      <c r="I496" s="3" t="s">
        <v>31</v>
      </c>
      <c r="J496" s="3" t="s">
        <v>94</v>
      </c>
      <c r="K496" s="3" t="s">
        <v>95</v>
      </c>
      <c r="L496" s="3" t="s">
        <v>96</v>
      </c>
      <c r="M496" s="4">
        <v>25.84</v>
      </c>
    </row>
    <row r="497">
      <c r="A497" s="2">
        <v>45372</v>
      </c>
      <c r="B4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7" s="3" t="str">
        <f>YEAR(KMART_DATA[[#This Row],[Date]])&amp;"-"&amp;TEXT(MONTH(KMART_DATA[[#This Row],[Date]]),"00")</f>
        <v>2024-03</v>
      </c>
      <c r="D497" s="3" t="s">
        <v>28</v>
      </c>
      <c r="E497" s="3" t="s">
        <v>171</v>
      </c>
      <c r="F497" s="3" t="s">
        <v>10</v>
      </c>
      <c r="G4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97" s="3" t="s">
        <v>172</v>
      </c>
      <c r="I497" s="3" t="s">
        <v>31</v>
      </c>
      <c r="J497" s="3" t="s">
        <v>37</v>
      </c>
      <c r="K497" s="3" t="s">
        <v>33</v>
      </c>
      <c r="L497" s="3" t="s">
        <v>34</v>
      </c>
      <c r="M497" s="4">
        <v>42.92</v>
      </c>
    </row>
    <row r="498">
      <c r="A498" s="2">
        <v>45372</v>
      </c>
      <c r="B4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8" s="3" t="str">
        <f>YEAR(KMART_DATA[[#This Row],[Date]])&amp;"-"&amp;TEXT(MONTH(KMART_DATA[[#This Row],[Date]]),"00")</f>
        <v>2024-03</v>
      </c>
      <c r="D498" s="3" t="s">
        <v>45</v>
      </c>
      <c r="E498" s="3" t="s">
        <v>108</v>
      </c>
      <c r="F498" s="3" t="s">
        <v>9</v>
      </c>
      <c r="G4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98" s="3" t="s">
        <v>109</v>
      </c>
      <c r="I498" s="3" t="s">
        <v>31</v>
      </c>
      <c r="J498" s="3" t="s">
        <v>75</v>
      </c>
      <c r="K498" s="3" t="s">
        <v>43</v>
      </c>
      <c r="L498" s="3" t="s">
        <v>44</v>
      </c>
      <c r="M498" s="4">
        <v>59.96</v>
      </c>
    </row>
    <row r="499">
      <c r="A499" s="2">
        <v>45372</v>
      </c>
      <c r="B4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499" s="3" t="str">
        <f>YEAR(KMART_DATA[[#This Row],[Date]])&amp;"-"&amp;TEXT(MONTH(KMART_DATA[[#This Row],[Date]]),"00")</f>
        <v>2024-03</v>
      </c>
      <c r="D499" s="3" t="s">
        <v>45</v>
      </c>
      <c r="E499" s="3" t="s">
        <v>260</v>
      </c>
      <c r="F499" s="3" t="s">
        <v>10</v>
      </c>
      <c r="G4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99" s="3" t="s">
        <v>261</v>
      </c>
      <c r="I499" s="3" t="s">
        <v>31</v>
      </c>
      <c r="J499" s="3" t="s">
        <v>89</v>
      </c>
      <c r="K499" s="3" t="s">
        <v>43</v>
      </c>
      <c r="L499" s="3" t="s">
        <v>44</v>
      </c>
      <c r="M499" s="4">
        <v>97.92</v>
      </c>
    </row>
    <row r="500">
      <c r="A500" s="2">
        <v>45372</v>
      </c>
      <c r="B5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0" s="3" t="str">
        <f>YEAR(KMART_DATA[[#This Row],[Date]])&amp;"-"&amp;TEXT(MONTH(KMART_DATA[[#This Row],[Date]]),"00")</f>
        <v>2024-03</v>
      </c>
      <c r="D500" s="3" t="s">
        <v>28</v>
      </c>
      <c r="E500" s="3" t="s">
        <v>238</v>
      </c>
      <c r="F500" s="3" t="s">
        <v>13</v>
      </c>
      <c r="G5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500" s="3" t="s">
        <v>239</v>
      </c>
      <c r="I500" s="3" t="s">
        <v>31</v>
      </c>
      <c r="J500" s="3" t="s">
        <v>42</v>
      </c>
      <c r="K500" s="3" t="s">
        <v>43</v>
      </c>
      <c r="L500" s="3" t="s">
        <v>44</v>
      </c>
      <c r="M500" s="4">
        <v>102.9</v>
      </c>
    </row>
    <row r="501">
      <c r="A501" s="2">
        <v>45372</v>
      </c>
      <c r="B5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1" s="3" t="str">
        <f>YEAR(KMART_DATA[[#This Row],[Date]])&amp;"-"&amp;TEXT(MONTH(KMART_DATA[[#This Row],[Date]]),"00")</f>
        <v>2024-03</v>
      </c>
      <c r="D501" s="3" t="s">
        <v>45</v>
      </c>
      <c r="E501" s="3" t="s">
        <v>105</v>
      </c>
      <c r="F501" s="3" t="s">
        <v>9</v>
      </c>
      <c r="G5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01" s="3" t="s">
        <v>106</v>
      </c>
      <c r="I501" s="3" t="s">
        <v>31</v>
      </c>
      <c r="J501" s="3" t="s">
        <v>107</v>
      </c>
      <c r="K501" s="3" t="s">
        <v>95</v>
      </c>
      <c r="L501" s="3" t="s">
        <v>96</v>
      </c>
      <c r="M501" s="4">
        <v>154.47</v>
      </c>
    </row>
    <row r="502">
      <c r="A502" s="2">
        <v>45372</v>
      </c>
      <c r="B5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2" s="3" t="str">
        <f>YEAR(KMART_DATA[[#This Row],[Date]])&amp;"-"&amp;TEXT(MONTH(KMART_DATA[[#This Row],[Date]]),"00")</f>
        <v>2024-03</v>
      </c>
      <c r="D502" s="3" t="s">
        <v>45</v>
      </c>
      <c r="E502" s="3" t="s">
        <v>85</v>
      </c>
      <c r="F502" s="3" t="s">
        <v>9</v>
      </c>
      <c r="G5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02" s="3" t="s">
        <v>86</v>
      </c>
      <c r="I502" s="3" t="s">
        <v>31</v>
      </c>
      <c r="J502" s="3" t="s">
        <v>81</v>
      </c>
      <c r="K502" s="3" t="s">
        <v>71</v>
      </c>
      <c r="L502" s="3" t="s">
        <v>72</v>
      </c>
      <c r="M502" s="4">
        <v>164.89</v>
      </c>
    </row>
    <row r="503">
      <c r="A503" s="2">
        <v>45372</v>
      </c>
      <c r="B5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3" s="3" t="str">
        <f>YEAR(KMART_DATA[[#This Row],[Date]])&amp;"-"&amp;TEXT(MONTH(KMART_DATA[[#This Row],[Date]]),"00")</f>
        <v>2024-03</v>
      </c>
      <c r="D503" s="3" t="s">
        <v>45</v>
      </c>
      <c r="E503" s="3" t="s">
        <v>163</v>
      </c>
      <c r="F503" s="3" t="s">
        <v>9</v>
      </c>
      <c r="G5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03" s="3" t="s">
        <v>164</v>
      </c>
      <c r="I503" s="3" t="s">
        <v>31</v>
      </c>
      <c r="J503" s="3" t="s">
        <v>81</v>
      </c>
      <c r="K503" s="3" t="s">
        <v>38</v>
      </c>
      <c r="L503" s="3" t="s">
        <v>39</v>
      </c>
      <c r="M503" s="4">
        <v>367.59</v>
      </c>
    </row>
    <row r="504">
      <c r="A504" s="2">
        <v>45372</v>
      </c>
      <c r="B5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4" s="3" t="str">
        <f>YEAR(KMART_DATA[[#This Row],[Date]])&amp;"-"&amp;TEXT(MONTH(KMART_DATA[[#This Row],[Date]]),"00")</f>
        <v>2024-03</v>
      </c>
      <c r="D504" s="3" t="s">
        <v>28</v>
      </c>
      <c r="E504" s="3" t="s">
        <v>209</v>
      </c>
      <c r="F504" s="3" t="s">
        <v>9</v>
      </c>
      <c r="G5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04" s="3" t="s">
        <v>210</v>
      </c>
      <c r="I504" s="3" t="s">
        <v>31</v>
      </c>
      <c r="J504" s="3" t="s">
        <v>81</v>
      </c>
      <c r="K504" s="3" t="s">
        <v>46</v>
      </c>
      <c r="L504" s="3" t="s">
        <v>47</v>
      </c>
      <c r="M504" s="4">
        <v>433.04</v>
      </c>
    </row>
    <row r="505">
      <c r="A505" s="2">
        <v>45372</v>
      </c>
      <c r="B5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5" s="3" t="str">
        <f>YEAR(KMART_DATA[[#This Row],[Date]])&amp;"-"&amp;TEXT(MONTH(KMART_DATA[[#This Row],[Date]]),"00")</f>
        <v>2024-03</v>
      </c>
      <c r="D505" s="3" t="s">
        <v>28</v>
      </c>
      <c r="E505" s="3" t="s">
        <v>62</v>
      </c>
      <c r="F505" s="3" t="s">
        <v>12</v>
      </c>
      <c r="G5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05" s="3" t="s">
        <v>63</v>
      </c>
      <c r="I505" s="3" t="s">
        <v>31</v>
      </c>
      <c r="J505" s="3" t="s">
        <v>50</v>
      </c>
      <c r="K505" s="3" t="s">
        <v>71</v>
      </c>
      <c r="L505" s="3" t="s">
        <v>72</v>
      </c>
      <c r="M505" s="4">
        <v>1487.17</v>
      </c>
    </row>
    <row r="506">
      <c r="A506" s="2">
        <v>45373</v>
      </c>
      <c r="B5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6" s="3" t="str">
        <f>YEAR(KMART_DATA[[#This Row],[Date]])&amp;"-"&amp;TEXT(MONTH(KMART_DATA[[#This Row],[Date]]),"00")</f>
        <v>2024-03</v>
      </c>
      <c r="D506" s="3" t="s">
        <v>45</v>
      </c>
      <c r="E506" s="3" t="s">
        <v>121</v>
      </c>
      <c r="F506" s="3" t="s">
        <v>11</v>
      </c>
      <c r="G5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06" s="3" t="s">
        <v>122</v>
      </c>
      <c r="I506" s="3" t="s">
        <v>31</v>
      </c>
      <c r="J506" s="3" t="s">
        <v>84</v>
      </c>
      <c r="K506" s="3" t="s">
        <v>33</v>
      </c>
      <c r="L506" s="3" t="s">
        <v>34</v>
      </c>
      <c r="M506" s="4">
        <v>25.95</v>
      </c>
    </row>
    <row r="507">
      <c r="A507" s="2">
        <v>45373</v>
      </c>
      <c r="B5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7" s="3" t="str">
        <f>YEAR(KMART_DATA[[#This Row],[Date]])&amp;"-"&amp;TEXT(MONTH(KMART_DATA[[#This Row],[Date]]),"00")</f>
        <v>2024-03</v>
      </c>
      <c r="D507" s="3" t="s">
        <v>28</v>
      </c>
      <c r="E507" s="3" t="s">
        <v>141</v>
      </c>
      <c r="F507" s="3" t="s">
        <v>9</v>
      </c>
      <c r="G5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07" s="3" t="s">
        <v>142</v>
      </c>
      <c r="I507" s="3" t="s">
        <v>31</v>
      </c>
      <c r="J507" s="3" t="s">
        <v>107</v>
      </c>
      <c r="K507" s="3" t="s">
        <v>95</v>
      </c>
      <c r="L507" s="3" t="s">
        <v>96</v>
      </c>
      <c r="M507" s="4">
        <v>33.93</v>
      </c>
    </row>
    <row r="508">
      <c r="A508" s="2">
        <v>45373</v>
      </c>
      <c r="B5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8" s="3" t="str">
        <f>YEAR(KMART_DATA[[#This Row],[Date]])&amp;"-"&amp;TEXT(MONTH(KMART_DATA[[#This Row],[Date]]),"00")</f>
        <v>2024-03</v>
      </c>
      <c r="D508" s="3" t="s">
        <v>45</v>
      </c>
      <c r="E508" s="3" t="s">
        <v>213</v>
      </c>
      <c r="F508" s="3" t="s">
        <v>11</v>
      </c>
      <c r="G5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08" s="3" t="s">
        <v>214</v>
      </c>
      <c r="I508" s="3" t="s">
        <v>31</v>
      </c>
      <c r="J508" s="3" t="s">
        <v>32</v>
      </c>
      <c r="K508" s="3" t="s">
        <v>123</v>
      </c>
      <c r="L508" s="3" t="s">
        <v>124</v>
      </c>
      <c r="M508" s="4">
        <v>37.42</v>
      </c>
    </row>
    <row r="509">
      <c r="A509" s="2">
        <v>45373</v>
      </c>
      <c r="B5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09" s="3" t="str">
        <f>YEAR(KMART_DATA[[#This Row],[Date]])&amp;"-"&amp;TEXT(MONTH(KMART_DATA[[#This Row],[Date]]),"00")</f>
        <v>2024-03</v>
      </c>
      <c r="D509" s="3" t="s">
        <v>45</v>
      </c>
      <c r="E509" s="3" t="s">
        <v>187</v>
      </c>
      <c r="F509" s="3" t="s">
        <v>11</v>
      </c>
      <c r="G5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09" s="3" t="s">
        <v>188</v>
      </c>
      <c r="I509" s="3" t="s">
        <v>31</v>
      </c>
      <c r="J509" s="3" t="s">
        <v>78</v>
      </c>
      <c r="K509" s="3" t="s">
        <v>43</v>
      </c>
      <c r="L509" s="3" t="s">
        <v>44</v>
      </c>
      <c r="M509" s="4">
        <v>80.45</v>
      </c>
    </row>
    <row r="510">
      <c r="A510" s="2">
        <v>45373</v>
      </c>
      <c r="B5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0" s="3" t="str">
        <f>YEAR(KMART_DATA[[#This Row],[Date]])&amp;"-"&amp;TEXT(MONTH(KMART_DATA[[#This Row],[Date]]),"00")</f>
        <v>2024-03</v>
      </c>
      <c r="D510" s="3" t="s">
        <v>28</v>
      </c>
      <c r="E510" s="3" t="s">
        <v>250</v>
      </c>
      <c r="F510" s="3" t="s">
        <v>10</v>
      </c>
      <c r="G5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10" s="3" t="s">
        <v>251</v>
      </c>
      <c r="I510" s="3" t="s">
        <v>31</v>
      </c>
      <c r="J510" s="3" t="s">
        <v>37</v>
      </c>
      <c r="K510" s="3" t="s">
        <v>43</v>
      </c>
      <c r="L510" s="3" t="s">
        <v>44</v>
      </c>
      <c r="M510" s="4">
        <v>124.08</v>
      </c>
    </row>
    <row r="511">
      <c r="A511" s="2">
        <v>45373</v>
      </c>
      <c r="B5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1" s="3" t="str">
        <f>YEAR(KMART_DATA[[#This Row],[Date]])&amp;"-"&amp;TEXT(MONTH(KMART_DATA[[#This Row],[Date]]),"00")</f>
        <v>2024-03</v>
      </c>
      <c r="D511" s="3" t="s">
        <v>28</v>
      </c>
      <c r="E511" s="3" t="s">
        <v>139</v>
      </c>
      <c r="F511" s="3" t="s">
        <v>10</v>
      </c>
      <c r="G5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11" s="3" t="s">
        <v>140</v>
      </c>
      <c r="I511" s="3" t="s">
        <v>31</v>
      </c>
      <c r="J511" s="3" t="s">
        <v>89</v>
      </c>
      <c r="K511" s="3" t="s">
        <v>43</v>
      </c>
      <c r="L511" s="3" t="s">
        <v>44</v>
      </c>
      <c r="M511" s="4">
        <v>981.79</v>
      </c>
    </row>
    <row r="512">
      <c r="A512" s="2">
        <v>45374</v>
      </c>
      <c r="B5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2" s="3" t="str">
        <f>YEAR(KMART_DATA[[#This Row],[Date]])&amp;"-"&amp;TEXT(MONTH(KMART_DATA[[#This Row],[Date]]),"00")</f>
        <v>2024-03</v>
      </c>
      <c r="D512" s="3" t="s">
        <v>28</v>
      </c>
      <c r="E512" s="3" t="s">
        <v>105</v>
      </c>
      <c r="F512" s="3" t="s">
        <v>9</v>
      </c>
      <c r="G5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12" s="3" t="s">
        <v>106</v>
      </c>
      <c r="I512" s="3" t="s">
        <v>31</v>
      </c>
      <c r="J512" s="3" t="s">
        <v>107</v>
      </c>
      <c r="K512" s="3" t="s">
        <v>71</v>
      </c>
      <c r="L512" s="3" t="s">
        <v>72</v>
      </c>
      <c r="M512" s="4">
        <v>5.0</v>
      </c>
    </row>
    <row r="513">
      <c r="A513" s="2">
        <v>45374</v>
      </c>
      <c r="B5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3" s="3" t="str">
        <f>YEAR(KMART_DATA[[#This Row],[Date]])&amp;"-"&amp;TEXT(MONTH(KMART_DATA[[#This Row],[Date]]),"00")</f>
        <v>2024-03</v>
      </c>
      <c r="D513" s="3" t="s">
        <v>28</v>
      </c>
      <c r="E513" s="3" t="s">
        <v>85</v>
      </c>
      <c r="F513" s="3" t="s">
        <v>9</v>
      </c>
      <c r="G5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13" s="3" t="s">
        <v>86</v>
      </c>
      <c r="I513" s="3" t="s">
        <v>31</v>
      </c>
      <c r="J513" s="3" t="s">
        <v>81</v>
      </c>
      <c r="K513" s="3" t="s">
        <v>112</v>
      </c>
      <c r="L513" s="3" t="s">
        <v>113</v>
      </c>
      <c r="M513" s="4">
        <v>23.92</v>
      </c>
    </row>
    <row r="514">
      <c r="A514" s="2">
        <v>45374</v>
      </c>
      <c r="B5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4" s="3" t="str">
        <f>YEAR(KMART_DATA[[#This Row],[Date]])&amp;"-"&amp;TEXT(MONTH(KMART_DATA[[#This Row],[Date]]),"00")</f>
        <v>2024-03</v>
      </c>
      <c r="D514" s="3" t="s">
        <v>28</v>
      </c>
      <c r="E514" s="3" t="s">
        <v>131</v>
      </c>
      <c r="F514" s="3" t="s">
        <v>11</v>
      </c>
      <c r="G5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14" s="3" t="s">
        <v>132</v>
      </c>
      <c r="I514" s="3" t="s">
        <v>31</v>
      </c>
      <c r="J514" s="3" t="s">
        <v>32</v>
      </c>
      <c r="K514" s="3" t="s">
        <v>123</v>
      </c>
      <c r="L514" s="3" t="s">
        <v>124</v>
      </c>
      <c r="M514" s="4">
        <v>29.97</v>
      </c>
    </row>
    <row r="515">
      <c r="A515" s="2">
        <v>45374</v>
      </c>
      <c r="B5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5" s="3" t="str">
        <f>YEAR(KMART_DATA[[#This Row],[Date]])&amp;"-"&amp;TEXT(MONTH(KMART_DATA[[#This Row],[Date]]),"00")</f>
        <v>2024-03</v>
      </c>
      <c r="D515" s="3" t="s">
        <v>28</v>
      </c>
      <c r="E515" s="3" t="s">
        <v>181</v>
      </c>
      <c r="F515" s="3" t="s">
        <v>11</v>
      </c>
      <c r="G5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15" s="3" t="s">
        <v>182</v>
      </c>
      <c r="I515" s="3" t="s">
        <v>31</v>
      </c>
      <c r="J515" s="3" t="s">
        <v>56</v>
      </c>
      <c r="K515" s="3" t="s">
        <v>43</v>
      </c>
      <c r="L515" s="3" t="s">
        <v>44</v>
      </c>
      <c r="M515" s="4">
        <v>31.88</v>
      </c>
    </row>
    <row r="516">
      <c r="A516" s="2">
        <v>45374</v>
      </c>
      <c r="B5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6" s="3" t="str">
        <f>YEAR(KMART_DATA[[#This Row],[Date]])&amp;"-"&amp;TEXT(MONTH(KMART_DATA[[#This Row],[Date]]),"00")</f>
        <v>2024-03</v>
      </c>
      <c r="D516" s="3" t="s">
        <v>45</v>
      </c>
      <c r="E516" s="3" t="s">
        <v>68</v>
      </c>
      <c r="F516" s="3" t="s">
        <v>9</v>
      </c>
      <c r="G5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16" s="3" t="s">
        <v>69</v>
      </c>
      <c r="I516" s="3" t="s">
        <v>31</v>
      </c>
      <c r="J516" s="3" t="s">
        <v>70</v>
      </c>
      <c r="K516" s="3" t="s">
        <v>46</v>
      </c>
      <c r="L516" s="3" t="s">
        <v>47</v>
      </c>
      <c r="M516" s="4">
        <v>36.97</v>
      </c>
    </row>
    <row r="517">
      <c r="A517" s="2">
        <v>45374</v>
      </c>
      <c r="B5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7" s="3" t="str">
        <f>YEAR(KMART_DATA[[#This Row],[Date]])&amp;"-"&amp;TEXT(MONTH(KMART_DATA[[#This Row],[Date]]),"00")</f>
        <v>2024-03</v>
      </c>
      <c r="D517" s="3" t="s">
        <v>45</v>
      </c>
      <c r="E517" s="3" t="s">
        <v>82</v>
      </c>
      <c r="F517" s="3" t="s">
        <v>11</v>
      </c>
      <c r="G5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17" s="3" t="s">
        <v>83</v>
      </c>
      <c r="I517" s="3" t="s">
        <v>31</v>
      </c>
      <c r="J517" s="3" t="s">
        <v>84</v>
      </c>
      <c r="K517" s="3" t="s">
        <v>95</v>
      </c>
      <c r="L517" s="3" t="s">
        <v>96</v>
      </c>
      <c r="M517" s="4">
        <v>55.13</v>
      </c>
    </row>
    <row r="518">
      <c r="A518" s="2">
        <v>45374</v>
      </c>
      <c r="B5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8" s="3" t="str">
        <f>YEAR(KMART_DATA[[#This Row],[Date]])&amp;"-"&amp;TEXT(MONTH(KMART_DATA[[#This Row],[Date]]),"00")</f>
        <v>2024-03</v>
      </c>
      <c r="D518" s="3" t="s">
        <v>45</v>
      </c>
      <c r="E518" s="3" t="s">
        <v>171</v>
      </c>
      <c r="F518" s="3" t="s">
        <v>10</v>
      </c>
      <c r="G5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18" s="3" t="s">
        <v>172</v>
      </c>
      <c r="I518" s="3" t="s">
        <v>31</v>
      </c>
      <c r="J518" s="3" t="s">
        <v>37</v>
      </c>
      <c r="K518" s="3" t="s">
        <v>38</v>
      </c>
      <c r="L518" s="3" t="s">
        <v>39</v>
      </c>
      <c r="M518" s="4">
        <v>89.93</v>
      </c>
    </row>
    <row r="519">
      <c r="A519" s="2">
        <v>45374</v>
      </c>
      <c r="B5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19" s="3" t="str">
        <f>YEAR(KMART_DATA[[#This Row],[Date]])&amp;"-"&amp;TEXT(MONTH(KMART_DATA[[#This Row],[Date]]),"00")</f>
        <v>2024-03</v>
      </c>
      <c r="D519" s="3" t="s">
        <v>28</v>
      </c>
      <c r="E519" s="3" t="s">
        <v>217</v>
      </c>
      <c r="F519" s="3" t="s">
        <v>10</v>
      </c>
      <c r="G5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19" s="3" t="s">
        <v>218</v>
      </c>
      <c r="I519" s="3" t="s">
        <v>31</v>
      </c>
      <c r="J519" s="3" t="s">
        <v>89</v>
      </c>
      <c r="K519" s="3" t="s">
        <v>95</v>
      </c>
      <c r="L519" s="3" t="s">
        <v>96</v>
      </c>
      <c r="M519" s="4">
        <v>344.23</v>
      </c>
    </row>
    <row r="520">
      <c r="A520" s="2">
        <v>45374</v>
      </c>
      <c r="B5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0" s="3" t="str">
        <f>YEAR(KMART_DATA[[#This Row],[Date]])&amp;"-"&amp;TEXT(MONTH(KMART_DATA[[#This Row],[Date]]),"00")</f>
        <v>2024-03</v>
      </c>
      <c r="D520" s="3" t="s">
        <v>28</v>
      </c>
      <c r="E520" s="3" t="s">
        <v>139</v>
      </c>
      <c r="F520" s="3" t="s">
        <v>10</v>
      </c>
      <c r="G5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20" s="3" t="s">
        <v>140</v>
      </c>
      <c r="I520" s="3" t="s">
        <v>31</v>
      </c>
      <c r="J520" s="3" t="s">
        <v>89</v>
      </c>
      <c r="K520" s="3" t="s">
        <v>38</v>
      </c>
      <c r="L520" s="3" t="s">
        <v>39</v>
      </c>
      <c r="M520" s="4">
        <v>1717.09</v>
      </c>
    </row>
    <row r="521">
      <c r="A521" s="2">
        <v>45375</v>
      </c>
      <c r="B5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1" s="3" t="str">
        <f>YEAR(KMART_DATA[[#This Row],[Date]])&amp;"-"&amp;TEXT(MONTH(KMART_DATA[[#This Row],[Date]]),"00")</f>
        <v>2024-03</v>
      </c>
      <c r="D521" s="3" t="s">
        <v>28</v>
      </c>
      <c r="E521" s="3" t="s">
        <v>181</v>
      </c>
      <c r="F521" s="3" t="s">
        <v>11</v>
      </c>
      <c r="G5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21" s="3" t="s">
        <v>182</v>
      </c>
      <c r="I521" s="3" t="s">
        <v>31</v>
      </c>
      <c r="J521" s="3" t="s">
        <v>56</v>
      </c>
      <c r="K521" s="3" t="s">
        <v>43</v>
      </c>
      <c r="L521" s="3" t="s">
        <v>44</v>
      </c>
      <c r="M521" s="4">
        <v>17.83</v>
      </c>
    </row>
    <row r="522">
      <c r="A522" s="2">
        <v>45375</v>
      </c>
      <c r="B5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2" s="3" t="str">
        <f>YEAR(KMART_DATA[[#This Row],[Date]])&amp;"-"&amp;TEXT(MONTH(KMART_DATA[[#This Row],[Date]]),"00")</f>
        <v>2024-03</v>
      </c>
      <c r="D522" s="3" t="s">
        <v>28</v>
      </c>
      <c r="E522" s="3" t="s">
        <v>51</v>
      </c>
      <c r="F522" s="3" t="s">
        <v>15</v>
      </c>
      <c r="G5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522" s="3" t="s">
        <v>52</v>
      </c>
      <c r="I522" s="3" t="s">
        <v>31</v>
      </c>
      <c r="J522" s="3" t="s">
        <v>53</v>
      </c>
      <c r="K522" s="3" t="s">
        <v>71</v>
      </c>
      <c r="L522" s="3" t="s">
        <v>72</v>
      </c>
      <c r="M522" s="4">
        <v>41.92</v>
      </c>
    </row>
    <row r="523">
      <c r="A523" s="2">
        <v>45375</v>
      </c>
      <c r="B5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3" s="3" t="str">
        <f>YEAR(KMART_DATA[[#This Row],[Date]])&amp;"-"&amp;TEXT(MONTH(KMART_DATA[[#This Row],[Date]]),"00")</f>
        <v>2024-03</v>
      </c>
      <c r="D523" s="3" t="s">
        <v>28</v>
      </c>
      <c r="E523" s="3" t="s">
        <v>90</v>
      </c>
      <c r="F523" s="3" t="s">
        <v>10</v>
      </c>
      <c r="G5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23" s="3" t="s">
        <v>91</v>
      </c>
      <c r="I523" s="3" t="s">
        <v>31</v>
      </c>
      <c r="J523" s="3" t="s">
        <v>37</v>
      </c>
      <c r="K523" s="3" t="s">
        <v>123</v>
      </c>
      <c r="L523" s="3" t="s">
        <v>124</v>
      </c>
      <c r="M523" s="4">
        <v>69.27</v>
      </c>
    </row>
    <row r="524">
      <c r="A524" s="2">
        <v>45375</v>
      </c>
      <c r="B5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4" s="3" t="str">
        <f>YEAR(KMART_DATA[[#This Row],[Date]])&amp;"-"&amp;TEXT(MONTH(KMART_DATA[[#This Row],[Date]]),"00")</f>
        <v>2024-03</v>
      </c>
      <c r="D524" s="3" t="s">
        <v>28</v>
      </c>
      <c r="E524" s="3" t="s">
        <v>250</v>
      </c>
      <c r="F524" s="3" t="s">
        <v>10</v>
      </c>
      <c r="G5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24" s="3" t="s">
        <v>251</v>
      </c>
      <c r="I524" s="3" t="s">
        <v>31</v>
      </c>
      <c r="J524" s="3" t="s">
        <v>37</v>
      </c>
      <c r="K524" s="3" t="s">
        <v>123</v>
      </c>
      <c r="L524" s="3" t="s">
        <v>124</v>
      </c>
      <c r="M524" s="4">
        <v>78.62</v>
      </c>
    </row>
    <row r="525">
      <c r="A525" s="2">
        <v>45375</v>
      </c>
      <c r="B5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5" s="3" t="str">
        <f>YEAR(KMART_DATA[[#This Row],[Date]])&amp;"-"&amp;TEXT(MONTH(KMART_DATA[[#This Row],[Date]]),"00")</f>
        <v>2024-03</v>
      </c>
      <c r="D525" s="3" t="s">
        <v>45</v>
      </c>
      <c r="E525" s="3" t="s">
        <v>213</v>
      </c>
      <c r="F525" s="3" t="s">
        <v>11</v>
      </c>
      <c r="G5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25" s="3" t="s">
        <v>214</v>
      </c>
      <c r="I525" s="3" t="s">
        <v>31</v>
      </c>
      <c r="J525" s="3" t="s">
        <v>32</v>
      </c>
      <c r="K525" s="3" t="s">
        <v>43</v>
      </c>
      <c r="L525" s="3" t="s">
        <v>44</v>
      </c>
      <c r="M525" s="4">
        <v>254.87</v>
      </c>
    </row>
    <row r="526">
      <c r="A526" s="2">
        <v>45375</v>
      </c>
      <c r="B5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6" s="3" t="str">
        <f>YEAR(KMART_DATA[[#This Row],[Date]])&amp;"-"&amp;TEXT(MONTH(KMART_DATA[[#This Row],[Date]]),"00")</f>
        <v>2024-03</v>
      </c>
      <c r="D526" s="3" t="s">
        <v>45</v>
      </c>
      <c r="E526" s="3" t="s">
        <v>146</v>
      </c>
      <c r="F526" s="3" t="s">
        <v>9</v>
      </c>
      <c r="G5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26" s="3" t="s">
        <v>147</v>
      </c>
      <c r="I526" s="3" t="s">
        <v>31</v>
      </c>
      <c r="J526" s="3" t="s">
        <v>75</v>
      </c>
      <c r="K526" s="3" t="s">
        <v>71</v>
      </c>
      <c r="L526" s="3" t="s">
        <v>72</v>
      </c>
      <c r="M526" s="4">
        <v>450.03</v>
      </c>
    </row>
    <row r="527">
      <c r="A527" s="2">
        <v>45375</v>
      </c>
      <c r="B5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7" s="3" t="str">
        <f>YEAR(KMART_DATA[[#This Row],[Date]])&amp;"-"&amp;TEXT(MONTH(KMART_DATA[[#This Row],[Date]]),"00")</f>
        <v>2024-03</v>
      </c>
      <c r="D527" s="3" t="s">
        <v>28</v>
      </c>
      <c r="E527" s="3" t="s">
        <v>173</v>
      </c>
      <c r="F527" s="3" t="s">
        <v>11</v>
      </c>
      <c r="G5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27" s="3" t="s">
        <v>174</v>
      </c>
      <c r="I527" s="3" t="s">
        <v>31</v>
      </c>
      <c r="J527" s="3" t="s">
        <v>61</v>
      </c>
      <c r="K527" s="3" t="s">
        <v>123</v>
      </c>
      <c r="L527" s="3" t="s">
        <v>124</v>
      </c>
      <c r="M527" s="4">
        <v>625.77</v>
      </c>
    </row>
    <row r="528">
      <c r="A528" s="2">
        <v>45375</v>
      </c>
      <c r="B5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8" s="3" t="str">
        <f>YEAR(KMART_DATA[[#This Row],[Date]])&amp;"-"&amp;TEXT(MONTH(KMART_DATA[[#This Row],[Date]]),"00")</f>
        <v>2024-03</v>
      </c>
      <c r="D528" s="3" t="s">
        <v>28</v>
      </c>
      <c r="E528" s="3" t="s">
        <v>221</v>
      </c>
      <c r="F528" s="3" t="s">
        <v>11</v>
      </c>
      <c r="G5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28" s="3" t="s">
        <v>222</v>
      </c>
      <c r="I528" s="3" t="s">
        <v>31</v>
      </c>
      <c r="J528" s="3" t="s">
        <v>56</v>
      </c>
      <c r="K528" s="3" t="s">
        <v>71</v>
      </c>
      <c r="L528" s="3" t="s">
        <v>72</v>
      </c>
      <c r="M528" s="4">
        <v>1519.16</v>
      </c>
    </row>
    <row r="529">
      <c r="A529" s="2">
        <v>45376</v>
      </c>
      <c r="B5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29" s="3" t="str">
        <f>YEAR(KMART_DATA[[#This Row],[Date]])&amp;"-"&amp;TEXT(MONTH(KMART_DATA[[#This Row],[Date]]),"00")</f>
        <v>2024-03</v>
      </c>
      <c r="D529" s="3" t="s">
        <v>28</v>
      </c>
      <c r="E529" s="3" t="s">
        <v>221</v>
      </c>
      <c r="F529" s="3" t="s">
        <v>11</v>
      </c>
      <c r="G5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29" s="3" t="s">
        <v>222</v>
      </c>
      <c r="I529" s="3" t="s">
        <v>31</v>
      </c>
      <c r="J529" s="3" t="s">
        <v>56</v>
      </c>
      <c r="K529" s="3" t="s">
        <v>43</v>
      </c>
      <c r="L529" s="3" t="s">
        <v>44</v>
      </c>
      <c r="M529" s="4">
        <v>5.99</v>
      </c>
    </row>
    <row r="530">
      <c r="A530" s="2">
        <v>45376</v>
      </c>
      <c r="B5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0" s="3" t="str">
        <f>YEAR(KMART_DATA[[#This Row],[Date]])&amp;"-"&amp;TEXT(MONTH(KMART_DATA[[#This Row],[Date]]),"00")</f>
        <v>2024-03</v>
      </c>
      <c r="D530" s="3" t="s">
        <v>28</v>
      </c>
      <c r="E530" s="3" t="s">
        <v>127</v>
      </c>
      <c r="F530" s="3" t="s">
        <v>11</v>
      </c>
      <c r="G5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30" s="3" t="s">
        <v>128</v>
      </c>
      <c r="I530" s="3" t="s">
        <v>31</v>
      </c>
      <c r="J530" s="3" t="s">
        <v>78</v>
      </c>
      <c r="K530" s="3" t="s">
        <v>112</v>
      </c>
      <c r="L530" s="3" t="s">
        <v>113</v>
      </c>
      <c r="M530" s="4">
        <v>19.9</v>
      </c>
    </row>
    <row r="531">
      <c r="A531" s="2">
        <v>45376</v>
      </c>
      <c r="B5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1" s="3" t="str">
        <f>YEAR(KMART_DATA[[#This Row],[Date]])&amp;"-"&amp;TEXT(MONTH(KMART_DATA[[#This Row],[Date]]),"00")</f>
        <v>2024-03</v>
      </c>
      <c r="D531" s="3" t="s">
        <v>28</v>
      </c>
      <c r="E531" s="3" t="s">
        <v>85</v>
      </c>
      <c r="F531" s="3" t="s">
        <v>9</v>
      </c>
      <c r="G5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31" s="3" t="s">
        <v>86</v>
      </c>
      <c r="I531" s="3" t="s">
        <v>31</v>
      </c>
      <c r="J531" s="3" t="s">
        <v>81</v>
      </c>
      <c r="K531" s="3" t="s">
        <v>123</v>
      </c>
      <c r="L531" s="3" t="s">
        <v>124</v>
      </c>
      <c r="M531" s="4">
        <v>26.98</v>
      </c>
    </row>
    <row r="532">
      <c r="A532" s="2">
        <v>45376</v>
      </c>
      <c r="B5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2" s="3" t="str">
        <f>YEAR(KMART_DATA[[#This Row],[Date]])&amp;"-"&amp;TEXT(MONTH(KMART_DATA[[#This Row],[Date]]),"00")</f>
        <v>2024-03</v>
      </c>
      <c r="D532" s="3" t="s">
        <v>28</v>
      </c>
      <c r="E532" s="3" t="s">
        <v>195</v>
      </c>
      <c r="F532" s="3" t="s">
        <v>11</v>
      </c>
      <c r="G5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32" s="3" t="s">
        <v>196</v>
      </c>
      <c r="I532" s="3" t="s">
        <v>31</v>
      </c>
      <c r="J532" s="3" t="s">
        <v>32</v>
      </c>
      <c r="K532" s="3" t="s">
        <v>112</v>
      </c>
      <c r="L532" s="3" t="s">
        <v>113</v>
      </c>
      <c r="M532" s="4">
        <v>74.34</v>
      </c>
    </row>
    <row r="533">
      <c r="A533" s="2">
        <v>45376</v>
      </c>
      <c r="B5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3" s="3" t="str">
        <f>YEAR(KMART_DATA[[#This Row],[Date]])&amp;"-"&amp;TEXT(MONTH(KMART_DATA[[#This Row],[Date]]),"00")</f>
        <v>2024-03</v>
      </c>
      <c r="D533" s="3" t="s">
        <v>28</v>
      </c>
      <c r="E533" s="3" t="s">
        <v>234</v>
      </c>
      <c r="F533" s="3" t="s">
        <v>9</v>
      </c>
      <c r="G5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33" s="3" t="s">
        <v>235</v>
      </c>
      <c r="I533" s="3" t="s">
        <v>31</v>
      </c>
      <c r="J533" s="3" t="s">
        <v>81</v>
      </c>
      <c r="K533" s="3" t="s">
        <v>123</v>
      </c>
      <c r="L533" s="3" t="s">
        <v>124</v>
      </c>
      <c r="M533" s="4">
        <v>88.86</v>
      </c>
    </row>
    <row r="534">
      <c r="A534" s="2">
        <v>45377</v>
      </c>
      <c r="B5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4" s="3" t="str">
        <f>YEAR(KMART_DATA[[#This Row],[Date]])&amp;"-"&amp;TEXT(MONTH(KMART_DATA[[#This Row],[Date]]),"00")</f>
        <v>2024-03</v>
      </c>
      <c r="D534" s="3" t="s">
        <v>45</v>
      </c>
      <c r="E534" s="3" t="s">
        <v>105</v>
      </c>
      <c r="F534" s="3" t="s">
        <v>9</v>
      </c>
      <c r="G5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34" s="3" t="s">
        <v>106</v>
      </c>
      <c r="I534" s="3" t="s">
        <v>31</v>
      </c>
      <c r="J534" s="3" t="s">
        <v>107</v>
      </c>
      <c r="K534" s="3" t="s">
        <v>95</v>
      </c>
      <c r="L534" s="3" t="s">
        <v>96</v>
      </c>
      <c r="M534" s="4">
        <v>39.58</v>
      </c>
    </row>
    <row r="535">
      <c r="A535" s="2">
        <v>45377</v>
      </c>
      <c r="B5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5" s="3" t="str">
        <f>YEAR(KMART_DATA[[#This Row],[Date]])&amp;"-"&amp;TEXT(MONTH(KMART_DATA[[#This Row],[Date]]),"00")</f>
        <v>2024-03</v>
      </c>
      <c r="D535" s="3" t="s">
        <v>45</v>
      </c>
      <c r="E535" s="3" t="s">
        <v>167</v>
      </c>
      <c r="F535" s="3" t="s">
        <v>12</v>
      </c>
      <c r="G5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35" s="3" t="s">
        <v>168</v>
      </c>
      <c r="I535" s="3" t="s">
        <v>31</v>
      </c>
      <c r="J535" s="3" t="s">
        <v>102</v>
      </c>
      <c r="K535" s="3" t="s">
        <v>46</v>
      </c>
      <c r="L535" s="3" t="s">
        <v>47</v>
      </c>
      <c r="M535" s="4">
        <v>44.97</v>
      </c>
    </row>
    <row r="536">
      <c r="A536" s="2">
        <v>45377</v>
      </c>
      <c r="B5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6" s="3" t="str">
        <f>YEAR(KMART_DATA[[#This Row],[Date]])&amp;"-"&amp;TEXT(MONTH(KMART_DATA[[#This Row],[Date]]),"00")</f>
        <v>2024-03</v>
      </c>
      <c r="D536" s="3" t="s">
        <v>45</v>
      </c>
      <c r="E536" s="3" t="s">
        <v>167</v>
      </c>
      <c r="F536" s="3" t="s">
        <v>12</v>
      </c>
      <c r="G5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36" s="3" t="s">
        <v>168</v>
      </c>
      <c r="I536" s="3" t="s">
        <v>31</v>
      </c>
      <c r="J536" s="3" t="s">
        <v>102</v>
      </c>
      <c r="K536" s="3" t="s">
        <v>38</v>
      </c>
      <c r="L536" s="3" t="s">
        <v>39</v>
      </c>
      <c r="M536" s="4">
        <v>104.98</v>
      </c>
    </row>
    <row r="537">
      <c r="A537" s="2">
        <v>45377</v>
      </c>
      <c r="B5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7" s="3" t="str">
        <f>YEAR(KMART_DATA[[#This Row],[Date]])&amp;"-"&amp;TEXT(MONTH(KMART_DATA[[#This Row],[Date]]),"00")</f>
        <v>2024-03</v>
      </c>
      <c r="D537" s="3" t="s">
        <v>45</v>
      </c>
      <c r="E537" s="3" t="s">
        <v>35</v>
      </c>
      <c r="F537" s="3" t="s">
        <v>10</v>
      </c>
      <c r="G5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37" s="3" t="s">
        <v>36</v>
      </c>
      <c r="I537" s="3" t="s">
        <v>31</v>
      </c>
      <c r="J537" s="3" t="s">
        <v>37</v>
      </c>
      <c r="K537" s="3" t="s">
        <v>112</v>
      </c>
      <c r="L537" s="3" t="s">
        <v>113</v>
      </c>
      <c r="M537" s="4">
        <v>266.9</v>
      </c>
    </row>
    <row r="538">
      <c r="A538" s="2">
        <v>45377</v>
      </c>
      <c r="B5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8" s="3" t="str">
        <f>YEAR(KMART_DATA[[#This Row],[Date]])&amp;"-"&amp;TEXT(MONTH(KMART_DATA[[#This Row],[Date]]),"00")</f>
        <v>2024-03</v>
      </c>
      <c r="D538" s="3" t="s">
        <v>28</v>
      </c>
      <c r="E538" s="3" t="s">
        <v>129</v>
      </c>
      <c r="F538" s="3" t="s">
        <v>10</v>
      </c>
      <c r="G5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38" s="3" t="s">
        <v>130</v>
      </c>
      <c r="I538" s="3" t="s">
        <v>31</v>
      </c>
      <c r="J538" s="3" t="s">
        <v>120</v>
      </c>
      <c r="K538" s="3" t="s">
        <v>57</v>
      </c>
      <c r="L538" s="3" t="s">
        <v>58</v>
      </c>
      <c r="M538" s="4">
        <v>3137.04</v>
      </c>
    </row>
    <row r="539">
      <c r="A539" s="2">
        <v>45377</v>
      </c>
      <c r="B5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39" s="3" t="str">
        <f>YEAR(KMART_DATA[[#This Row],[Date]])&amp;"-"&amp;TEXT(MONTH(KMART_DATA[[#This Row],[Date]]),"00")</f>
        <v>2024-03</v>
      </c>
      <c r="D539" s="3" t="s">
        <v>28</v>
      </c>
      <c r="E539" s="3" t="s">
        <v>114</v>
      </c>
      <c r="F539" s="3" t="s">
        <v>9</v>
      </c>
      <c r="G5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39" s="3" t="s">
        <v>115</v>
      </c>
      <c r="I539" s="3" t="s">
        <v>31</v>
      </c>
      <c r="J539" s="3" t="s">
        <v>99</v>
      </c>
      <c r="K539" s="3" t="s">
        <v>46</v>
      </c>
      <c r="L539" s="3" t="s">
        <v>47</v>
      </c>
      <c r="M539" s="4">
        <v>3188.12</v>
      </c>
    </row>
    <row r="540">
      <c r="A540" s="2">
        <v>45377</v>
      </c>
      <c r="B5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0" s="3" t="str">
        <f>YEAR(KMART_DATA[[#This Row],[Date]])&amp;"-"&amp;TEXT(MONTH(KMART_DATA[[#This Row],[Date]]),"00")</f>
        <v>2024-03</v>
      </c>
      <c r="D540" s="3" t="s">
        <v>45</v>
      </c>
      <c r="E540" s="3" t="s">
        <v>189</v>
      </c>
      <c r="F540" s="3" t="s">
        <v>9</v>
      </c>
      <c r="G5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40" s="3" t="s">
        <v>190</v>
      </c>
      <c r="I540" s="3" t="s">
        <v>31</v>
      </c>
      <c r="J540" s="3" t="s">
        <v>81</v>
      </c>
      <c r="K540" s="3" t="s">
        <v>71</v>
      </c>
      <c r="L540" s="3" t="s">
        <v>72</v>
      </c>
      <c r="M540" s="4">
        <v>4650.51</v>
      </c>
    </row>
    <row r="541">
      <c r="A541" s="2">
        <v>45378</v>
      </c>
      <c r="B5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1" s="3" t="str">
        <f>YEAR(KMART_DATA[[#This Row],[Date]])&amp;"-"&amp;TEXT(MONTH(KMART_DATA[[#This Row],[Date]]),"00")</f>
        <v>2024-03</v>
      </c>
      <c r="D541" s="3" t="s">
        <v>28</v>
      </c>
      <c r="E541" s="3" t="s">
        <v>76</v>
      </c>
      <c r="F541" s="3" t="s">
        <v>11</v>
      </c>
      <c r="G5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41" s="3" t="s">
        <v>77</v>
      </c>
      <c r="I541" s="3" t="s">
        <v>31</v>
      </c>
      <c r="J541" s="3" t="s">
        <v>78</v>
      </c>
      <c r="K541" s="3" t="s">
        <v>33</v>
      </c>
      <c r="L541" s="3" t="s">
        <v>34</v>
      </c>
      <c r="M541" s="4">
        <v>204.61</v>
      </c>
    </row>
    <row r="542">
      <c r="A542" s="2">
        <v>45378</v>
      </c>
      <c r="B5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2" s="3" t="str">
        <f>YEAR(KMART_DATA[[#This Row],[Date]])&amp;"-"&amp;TEXT(MONTH(KMART_DATA[[#This Row],[Date]]),"00")</f>
        <v>2024-03</v>
      </c>
      <c r="D542" s="3" t="s">
        <v>28</v>
      </c>
      <c r="E542" s="3" t="s">
        <v>110</v>
      </c>
      <c r="F542" s="3" t="s">
        <v>9</v>
      </c>
      <c r="G5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42" s="3" t="s">
        <v>111</v>
      </c>
      <c r="I542" s="3" t="s">
        <v>31</v>
      </c>
      <c r="J542" s="3" t="s">
        <v>81</v>
      </c>
      <c r="K542" s="3" t="s">
        <v>33</v>
      </c>
      <c r="L542" s="3" t="s">
        <v>34</v>
      </c>
      <c r="M542" s="4">
        <v>310.82</v>
      </c>
    </row>
    <row r="543">
      <c r="A543" s="2">
        <v>45378</v>
      </c>
      <c r="B5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3" s="3" t="str">
        <f>YEAR(KMART_DATA[[#This Row],[Date]])&amp;"-"&amp;TEXT(MONTH(KMART_DATA[[#This Row],[Date]]),"00")</f>
        <v>2024-03</v>
      </c>
      <c r="D543" s="3" t="s">
        <v>45</v>
      </c>
      <c r="E543" s="3" t="s">
        <v>262</v>
      </c>
      <c r="F543" s="3" t="s">
        <v>10</v>
      </c>
      <c r="G5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43" s="3" t="s">
        <v>263</v>
      </c>
      <c r="I543" s="3" t="s">
        <v>31</v>
      </c>
      <c r="J543" s="3" t="s">
        <v>120</v>
      </c>
      <c r="K543" s="3" t="s">
        <v>33</v>
      </c>
      <c r="L543" s="3" t="s">
        <v>34</v>
      </c>
      <c r="M543" s="4">
        <v>2052.53</v>
      </c>
    </row>
    <row r="544">
      <c r="A544" s="2">
        <v>45379</v>
      </c>
      <c r="B5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4" s="3" t="str">
        <f>YEAR(KMART_DATA[[#This Row],[Date]])&amp;"-"&amp;TEXT(MONTH(KMART_DATA[[#This Row],[Date]]),"00")</f>
        <v>2024-03</v>
      </c>
      <c r="D544" s="3" t="s">
        <v>28</v>
      </c>
      <c r="E544" s="3" t="s">
        <v>223</v>
      </c>
      <c r="F544" s="3" t="s">
        <v>10</v>
      </c>
      <c r="G5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44" s="3" t="s">
        <v>224</v>
      </c>
      <c r="I544" s="3" t="s">
        <v>31</v>
      </c>
      <c r="J544" s="3" t="s">
        <v>94</v>
      </c>
      <c r="K544" s="3" t="s">
        <v>38</v>
      </c>
      <c r="L544" s="3" t="s">
        <v>39</v>
      </c>
      <c r="M544" s="4">
        <v>10.5</v>
      </c>
    </row>
    <row r="545">
      <c r="A545" s="2">
        <v>45379</v>
      </c>
      <c r="B5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5" s="3" t="str">
        <f>YEAR(KMART_DATA[[#This Row],[Date]])&amp;"-"&amp;TEXT(MONTH(KMART_DATA[[#This Row],[Date]]),"00")</f>
        <v>2024-03</v>
      </c>
      <c r="D545" s="3" t="s">
        <v>28</v>
      </c>
      <c r="E545" s="3" t="s">
        <v>29</v>
      </c>
      <c r="F545" s="3" t="s">
        <v>11</v>
      </c>
      <c r="G5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45" s="3" t="s">
        <v>30</v>
      </c>
      <c r="I545" s="3" t="s">
        <v>31</v>
      </c>
      <c r="J545" s="3" t="s">
        <v>32</v>
      </c>
      <c r="K545" s="3" t="s">
        <v>33</v>
      </c>
      <c r="L545" s="3" t="s">
        <v>34</v>
      </c>
      <c r="M545" s="4">
        <v>11.97</v>
      </c>
    </row>
    <row r="546">
      <c r="A546" s="2">
        <v>45379</v>
      </c>
      <c r="B5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6" s="3" t="str">
        <f>YEAR(KMART_DATA[[#This Row],[Date]])&amp;"-"&amp;TEXT(MONTH(KMART_DATA[[#This Row],[Date]]),"00")</f>
        <v>2024-03</v>
      </c>
      <c r="D546" s="3" t="s">
        <v>28</v>
      </c>
      <c r="E546" s="3" t="s">
        <v>40</v>
      </c>
      <c r="F546" s="3" t="s">
        <v>13</v>
      </c>
      <c r="G5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546" s="3" t="s">
        <v>41</v>
      </c>
      <c r="I546" s="3" t="s">
        <v>31</v>
      </c>
      <c r="J546" s="3" t="s">
        <v>42</v>
      </c>
      <c r="K546" s="3" t="s">
        <v>33</v>
      </c>
      <c r="L546" s="3" t="s">
        <v>34</v>
      </c>
      <c r="M546" s="4">
        <v>14.0</v>
      </c>
    </row>
    <row r="547">
      <c r="A547" s="2">
        <v>45379</v>
      </c>
      <c r="B5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7" s="3" t="str">
        <f>YEAR(KMART_DATA[[#This Row],[Date]])&amp;"-"&amp;TEXT(MONTH(KMART_DATA[[#This Row],[Date]]),"00")</f>
        <v>2024-03</v>
      </c>
      <c r="D547" s="3" t="s">
        <v>45</v>
      </c>
      <c r="E547" s="3" t="s">
        <v>221</v>
      </c>
      <c r="F547" s="3" t="s">
        <v>11</v>
      </c>
      <c r="G5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47" s="3" t="s">
        <v>222</v>
      </c>
      <c r="I547" s="3" t="s">
        <v>31</v>
      </c>
      <c r="J547" s="3" t="s">
        <v>56</v>
      </c>
      <c r="K547" s="3" t="s">
        <v>57</v>
      </c>
      <c r="L547" s="3" t="s">
        <v>58</v>
      </c>
      <c r="M547" s="4">
        <v>179.94</v>
      </c>
    </row>
    <row r="548">
      <c r="A548" s="2">
        <v>45379</v>
      </c>
      <c r="B5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8" s="3" t="str">
        <f>YEAR(KMART_DATA[[#This Row],[Date]])&amp;"-"&amp;TEXT(MONTH(KMART_DATA[[#This Row],[Date]]),"00")</f>
        <v>2024-03</v>
      </c>
      <c r="D548" s="3" t="s">
        <v>45</v>
      </c>
      <c r="E548" s="3" t="s">
        <v>103</v>
      </c>
      <c r="F548" s="3" t="s">
        <v>12</v>
      </c>
      <c r="G5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48" s="3" t="s">
        <v>104</v>
      </c>
      <c r="I548" s="3" t="s">
        <v>31</v>
      </c>
      <c r="J548" s="3" t="s">
        <v>102</v>
      </c>
      <c r="K548" s="3" t="s">
        <v>46</v>
      </c>
      <c r="L548" s="3" t="s">
        <v>47</v>
      </c>
      <c r="M548" s="4">
        <v>213.83</v>
      </c>
    </row>
    <row r="549">
      <c r="A549" s="2">
        <v>45379</v>
      </c>
      <c r="B5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49" s="3" t="str">
        <f>YEAR(KMART_DATA[[#This Row],[Date]])&amp;"-"&amp;TEXT(MONTH(KMART_DATA[[#This Row],[Date]]),"00")</f>
        <v>2024-03</v>
      </c>
      <c r="D549" s="3" t="s">
        <v>28</v>
      </c>
      <c r="E549" s="3" t="s">
        <v>160</v>
      </c>
      <c r="F549" s="3" t="s">
        <v>12</v>
      </c>
      <c r="G5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49" s="3" t="s">
        <v>161</v>
      </c>
      <c r="I549" s="3" t="s">
        <v>31</v>
      </c>
      <c r="J549" s="3" t="s">
        <v>162</v>
      </c>
      <c r="K549" s="3" t="s">
        <v>38</v>
      </c>
      <c r="L549" s="3" t="s">
        <v>39</v>
      </c>
      <c r="M549" s="4">
        <v>295.34</v>
      </c>
    </row>
    <row r="550">
      <c r="A550" s="2">
        <v>45379</v>
      </c>
      <c r="B5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0" s="3" t="str">
        <f>YEAR(KMART_DATA[[#This Row],[Date]])&amp;"-"&amp;TEXT(MONTH(KMART_DATA[[#This Row],[Date]]),"00")</f>
        <v>2024-03</v>
      </c>
      <c r="D550" s="3" t="s">
        <v>28</v>
      </c>
      <c r="E550" s="3" t="s">
        <v>35</v>
      </c>
      <c r="F550" s="3" t="s">
        <v>10</v>
      </c>
      <c r="G5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50" s="3" t="s">
        <v>36</v>
      </c>
      <c r="I550" s="3" t="s">
        <v>31</v>
      </c>
      <c r="J550" s="3" t="s">
        <v>37</v>
      </c>
      <c r="K550" s="3" t="s">
        <v>38</v>
      </c>
      <c r="L550" s="3" t="s">
        <v>39</v>
      </c>
      <c r="M550" s="4">
        <v>507.42</v>
      </c>
    </row>
    <row r="551">
      <c r="A551" s="2">
        <v>45379</v>
      </c>
      <c r="B5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1" s="3" t="str">
        <f>YEAR(KMART_DATA[[#This Row],[Date]])&amp;"-"&amp;TEXT(MONTH(KMART_DATA[[#This Row],[Date]]),"00")</f>
        <v>2024-03</v>
      </c>
      <c r="D551" s="3" t="s">
        <v>45</v>
      </c>
      <c r="E551" s="3" t="s">
        <v>177</v>
      </c>
      <c r="F551" s="3" t="s">
        <v>12</v>
      </c>
      <c r="G5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51" s="3" t="s">
        <v>178</v>
      </c>
      <c r="I551" s="3" t="s">
        <v>31</v>
      </c>
      <c r="J551" s="3" t="s">
        <v>162</v>
      </c>
      <c r="K551" s="3" t="s">
        <v>123</v>
      </c>
      <c r="L551" s="3" t="s">
        <v>124</v>
      </c>
      <c r="M551" s="4">
        <v>1618.07</v>
      </c>
    </row>
    <row r="552">
      <c r="A552" s="2">
        <v>45380</v>
      </c>
      <c r="B5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2" s="3" t="str">
        <f>YEAR(KMART_DATA[[#This Row],[Date]])&amp;"-"&amp;TEXT(MONTH(KMART_DATA[[#This Row],[Date]]),"00")</f>
        <v>2024-03</v>
      </c>
      <c r="D552" s="3" t="s">
        <v>28</v>
      </c>
      <c r="E552" s="3" t="s">
        <v>264</v>
      </c>
      <c r="F552" s="3" t="s">
        <v>13</v>
      </c>
      <c r="G5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552" s="3" t="s">
        <v>265</v>
      </c>
      <c r="I552" s="3" t="s">
        <v>31</v>
      </c>
      <c r="J552" s="3" t="s">
        <v>42</v>
      </c>
      <c r="K552" s="3" t="s">
        <v>43</v>
      </c>
      <c r="L552" s="3" t="s">
        <v>44</v>
      </c>
      <c r="M552" s="4">
        <v>43.0</v>
      </c>
    </row>
    <row r="553">
      <c r="A553" s="2">
        <v>45380</v>
      </c>
      <c r="B5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3" s="3" t="str">
        <f>YEAR(KMART_DATA[[#This Row],[Date]])&amp;"-"&amp;TEXT(MONTH(KMART_DATA[[#This Row],[Date]]),"00")</f>
        <v>2024-03</v>
      </c>
      <c r="D553" s="3" t="s">
        <v>28</v>
      </c>
      <c r="E553" s="3" t="s">
        <v>62</v>
      </c>
      <c r="F553" s="3" t="s">
        <v>12</v>
      </c>
      <c r="G5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53" s="3" t="s">
        <v>63</v>
      </c>
      <c r="I553" s="3" t="s">
        <v>31</v>
      </c>
      <c r="J553" s="3" t="s">
        <v>50</v>
      </c>
      <c r="K553" s="3" t="s">
        <v>95</v>
      </c>
      <c r="L553" s="3" t="s">
        <v>96</v>
      </c>
      <c r="M553" s="4">
        <v>152.71</v>
      </c>
    </row>
    <row r="554">
      <c r="A554" s="2">
        <v>45380</v>
      </c>
      <c r="B5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4" s="3" t="str">
        <f>YEAR(KMART_DATA[[#This Row],[Date]])&amp;"-"&amp;TEXT(MONTH(KMART_DATA[[#This Row],[Date]]),"00")</f>
        <v>2024-03</v>
      </c>
      <c r="D554" s="3" t="s">
        <v>45</v>
      </c>
      <c r="E554" s="3" t="s">
        <v>92</v>
      </c>
      <c r="F554" s="3" t="s">
        <v>10</v>
      </c>
      <c r="G5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54" s="3" t="s">
        <v>93</v>
      </c>
      <c r="I554" s="3" t="s">
        <v>31</v>
      </c>
      <c r="J554" s="3" t="s">
        <v>94</v>
      </c>
      <c r="K554" s="3" t="s">
        <v>38</v>
      </c>
      <c r="L554" s="3" t="s">
        <v>39</v>
      </c>
      <c r="M554" s="4">
        <v>288.49</v>
      </c>
    </row>
    <row r="555">
      <c r="A555" s="2">
        <v>45380</v>
      </c>
      <c r="B5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5" s="3" t="str">
        <f>YEAR(KMART_DATA[[#This Row],[Date]])&amp;"-"&amp;TEXT(MONTH(KMART_DATA[[#This Row],[Date]]),"00")</f>
        <v>2024-03</v>
      </c>
      <c r="D555" s="3" t="s">
        <v>28</v>
      </c>
      <c r="E555" s="3" t="s">
        <v>211</v>
      </c>
      <c r="F555" s="3" t="s">
        <v>9</v>
      </c>
      <c r="G5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55" s="3" t="s">
        <v>212</v>
      </c>
      <c r="I555" s="3" t="s">
        <v>31</v>
      </c>
      <c r="J555" s="3" t="s">
        <v>75</v>
      </c>
      <c r="K555" s="3" t="s">
        <v>33</v>
      </c>
      <c r="L555" s="3" t="s">
        <v>34</v>
      </c>
      <c r="M555" s="4">
        <v>462.55</v>
      </c>
    </row>
    <row r="556">
      <c r="A556" s="2">
        <v>45380</v>
      </c>
      <c r="B5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6" s="3" t="str">
        <f>YEAR(KMART_DATA[[#This Row],[Date]])&amp;"-"&amp;TEXT(MONTH(KMART_DATA[[#This Row],[Date]]),"00")</f>
        <v>2024-03</v>
      </c>
      <c r="D556" s="3" t="s">
        <v>28</v>
      </c>
      <c r="E556" s="3" t="s">
        <v>129</v>
      </c>
      <c r="F556" s="3" t="s">
        <v>10</v>
      </c>
      <c r="G5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56" s="3" t="s">
        <v>130</v>
      </c>
      <c r="I556" s="3" t="s">
        <v>31</v>
      </c>
      <c r="J556" s="3" t="s">
        <v>120</v>
      </c>
      <c r="K556" s="3" t="s">
        <v>57</v>
      </c>
      <c r="L556" s="3" t="s">
        <v>58</v>
      </c>
      <c r="M556" s="4">
        <v>1461.26</v>
      </c>
    </row>
    <row r="557">
      <c r="A557" s="2">
        <v>45381</v>
      </c>
      <c r="B5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7" s="3" t="str">
        <f>YEAR(KMART_DATA[[#This Row],[Date]])&amp;"-"&amp;TEXT(MONTH(KMART_DATA[[#This Row],[Date]]),"00")</f>
        <v>2024-03</v>
      </c>
      <c r="D557" s="3" t="s">
        <v>28</v>
      </c>
      <c r="E557" s="3" t="s">
        <v>160</v>
      </c>
      <c r="F557" s="3" t="s">
        <v>12</v>
      </c>
      <c r="G5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57" s="3" t="s">
        <v>161</v>
      </c>
      <c r="I557" s="3" t="s">
        <v>31</v>
      </c>
      <c r="J557" s="3" t="s">
        <v>162</v>
      </c>
      <c r="K557" s="3" t="s">
        <v>43</v>
      </c>
      <c r="L557" s="3" t="s">
        <v>44</v>
      </c>
      <c r="M557" s="4">
        <v>3.0</v>
      </c>
    </row>
    <row r="558">
      <c r="A558" s="2">
        <v>45381</v>
      </c>
      <c r="B5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8" s="3" t="str">
        <f>YEAR(KMART_DATA[[#This Row],[Date]])&amp;"-"&amp;TEXT(MONTH(KMART_DATA[[#This Row],[Date]]),"00")</f>
        <v>2024-03</v>
      </c>
      <c r="D558" s="3" t="s">
        <v>28</v>
      </c>
      <c r="E558" s="3" t="s">
        <v>195</v>
      </c>
      <c r="F558" s="3" t="s">
        <v>11</v>
      </c>
      <c r="G5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58" s="3" t="s">
        <v>196</v>
      </c>
      <c r="I558" s="3" t="s">
        <v>31</v>
      </c>
      <c r="J558" s="3" t="s">
        <v>32</v>
      </c>
      <c r="K558" s="3" t="s">
        <v>95</v>
      </c>
      <c r="L558" s="3" t="s">
        <v>96</v>
      </c>
      <c r="M558" s="4">
        <v>19.99</v>
      </c>
    </row>
    <row r="559">
      <c r="A559" s="2">
        <v>45381</v>
      </c>
      <c r="B5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59" s="3" t="str">
        <f>YEAR(KMART_DATA[[#This Row],[Date]])&amp;"-"&amp;TEXT(MONTH(KMART_DATA[[#This Row],[Date]]),"00")</f>
        <v>2024-03</v>
      </c>
      <c r="D559" s="3" t="s">
        <v>45</v>
      </c>
      <c r="E559" s="3" t="s">
        <v>246</v>
      </c>
      <c r="F559" s="3" t="s">
        <v>10</v>
      </c>
      <c r="G5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59" s="3" t="s">
        <v>247</v>
      </c>
      <c r="I559" s="3" t="s">
        <v>31</v>
      </c>
      <c r="J559" s="3" t="s">
        <v>37</v>
      </c>
      <c r="K559" s="3" t="s">
        <v>95</v>
      </c>
      <c r="L559" s="3" t="s">
        <v>96</v>
      </c>
      <c r="M559" s="4">
        <v>192.46</v>
      </c>
    </row>
    <row r="560">
      <c r="A560" s="2">
        <v>45381</v>
      </c>
      <c r="B5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0" s="3" t="str">
        <f>YEAR(KMART_DATA[[#This Row],[Date]])&amp;"-"&amp;TEXT(MONTH(KMART_DATA[[#This Row],[Date]]),"00")</f>
        <v>2024-03</v>
      </c>
      <c r="D560" s="3" t="s">
        <v>28</v>
      </c>
      <c r="E560" s="3" t="s">
        <v>221</v>
      </c>
      <c r="F560" s="3" t="s">
        <v>11</v>
      </c>
      <c r="G5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60" s="3" t="s">
        <v>222</v>
      </c>
      <c r="I560" s="3" t="s">
        <v>31</v>
      </c>
      <c r="J560" s="3" t="s">
        <v>56</v>
      </c>
      <c r="K560" s="3" t="s">
        <v>112</v>
      </c>
      <c r="L560" s="3" t="s">
        <v>113</v>
      </c>
      <c r="M560" s="4">
        <v>659.71</v>
      </c>
    </row>
    <row r="561">
      <c r="A561" s="2">
        <v>45381</v>
      </c>
      <c r="B5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1" s="3" t="str">
        <f>YEAR(KMART_DATA[[#This Row],[Date]])&amp;"-"&amp;TEXT(MONTH(KMART_DATA[[#This Row],[Date]]),"00")</f>
        <v>2024-03</v>
      </c>
      <c r="D561" s="3" t="s">
        <v>45</v>
      </c>
      <c r="E561" s="3" t="s">
        <v>90</v>
      </c>
      <c r="F561" s="3" t="s">
        <v>10</v>
      </c>
      <c r="G5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61" s="3" t="s">
        <v>91</v>
      </c>
      <c r="I561" s="3" t="s">
        <v>31</v>
      </c>
      <c r="J561" s="3" t="s">
        <v>37</v>
      </c>
      <c r="K561" s="3" t="s">
        <v>66</v>
      </c>
      <c r="L561" s="3" t="s">
        <v>67</v>
      </c>
      <c r="M561" s="4">
        <v>1413.93</v>
      </c>
    </row>
    <row r="562">
      <c r="A562" s="2">
        <v>45381</v>
      </c>
      <c r="B5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2" s="3" t="str">
        <f>YEAR(KMART_DATA[[#This Row],[Date]])&amp;"-"&amp;TEXT(MONTH(KMART_DATA[[#This Row],[Date]]),"00")</f>
        <v>2024-03</v>
      </c>
      <c r="D562" s="3" t="s">
        <v>28</v>
      </c>
      <c r="E562" s="3" t="s">
        <v>108</v>
      </c>
      <c r="F562" s="3" t="s">
        <v>9</v>
      </c>
      <c r="G5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62" s="3" t="s">
        <v>109</v>
      </c>
      <c r="I562" s="3" t="s">
        <v>31</v>
      </c>
      <c r="J562" s="3" t="s">
        <v>75</v>
      </c>
      <c r="K562" s="3" t="s">
        <v>33</v>
      </c>
      <c r="L562" s="3" t="s">
        <v>34</v>
      </c>
      <c r="M562" s="4">
        <v>1601.73</v>
      </c>
    </row>
    <row r="563">
      <c r="A563" s="2">
        <v>45381</v>
      </c>
      <c r="B5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3" s="3" t="str">
        <f>YEAR(KMART_DATA[[#This Row],[Date]])&amp;"-"&amp;TEXT(MONTH(KMART_DATA[[#This Row],[Date]]),"00")</f>
        <v>2024-03</v>
      </c>
      <c r="D563" s="3" t="s">
        <v>28</v>
      </c>
      <c r="E563" s="3" t="s">
        <v>156</v>
      </c>
      <c r="F563" s="3" t="s">
        <v>9</v>
      </c>
      <c r="G5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63" s="3" t="s">
        <v>157</v>
      </c>
      <c r="I563" s="3" t="s">
        <v>31</v>
      </c>
      <c r="J563" s="3" t="s">
        <v>75</v>
      </c>
      <c r="K563" s="3" t="s">
        <v>57</v>
      </c>
      <c r="L563" s="3" t="s">
        <v>58</v>
      </c>
      <c r="M563" s="4">
        <v>4082.2</v>
      </c>
    </row>
    <row r="564">
      <c r="A564" s="2">
        <v>45382</v>
      </c>
      <c r="B5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4" s="3" t="str">
        <f>YEAR(KMART_DATA[[#This Row],[Date]])&amp;"-"&amp;TEXT(MONTH(KMART_DATA[[#This Row],[Date]]),"00")</f>
        <v>2024-03</v>
      </c>
      <c r="D564" s="3" t="s">
        <v>28</v>
      </c>
      <c r="E564" s="3" t="s">
        <v>139</v>
      </c>
      <c r="F564" s="3" t="s">
        <v>10</v>
      </c>
      <c r="G5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64" s="3" t="s">
        <v>140</v>
      </c>
      <c r="I564" s="3" t="s">
        <v>31</v>
      </c>
      <c r="J564" s="3" t="s">
        <v>89</v>
      </c>
      <c r="K564" s="3" t="s">
        <v>71</v>
      </c>
      <c r="L564" s="3" t="s">
        <v>72</v>
      </c>
      <c r="M564" s="4">
        <v>26.95</v>
      </c>
    </row>
    <row r="565">
      <c r="A565" s="2">
        <v>45382</v>
      </c>
      <c r="B5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5" s="3" t="str">
        <f>YEAR(KMART_DATA[[#This Row],[Date]])&amp;"-"&amp;TEXT(MONTH(KMART_DATA[[#This Row],[Date]]),"00")</f>
        <v>2024-03</v>
      </c>
      <c r="D565" s="3" t="s">
        <v>45</v>
      </c>
      <c r="E565" s="3" t="s">
        <v>160</v>
      </c>
      <c r="F565" s="3" t="s">
        <v>12</v>
      </c>
      <c r="G5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65" s="3" t="s">
        <v>161</v>
      </c>
      <c r="I565" s="3" t="s">
        <v>31</v>
      </c>
      <c r="J565" s="3" t="s">
        <v>162</v>
      </c>
      <c r="K565" s="3" t="s">
        <v>46</v>
      </c>
      <c r="L565" s="3" t="s">
        <v>47</v>
      </c>
      <c r="M565" s="4">
        <v>28.04</v>
      </c>
    </row>
    <row r="566">
      <c r="A566" s="2">
        <v>45382</v>
      </c>
      <c r="B5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6" s="3" t="str">
        <f>YEAR(KMART_DATA[[#This Row],[Date]])&amp;"-"&amp;TEXT(MONTH(KMART_DATA[[#This Row],[Date]]),"00")</f>
        <v>2024-03</v>
      </c>
      <c r="D566" s="3" t="s">
        <v>28</v>
      </c>
      <c r="E566" s="3" t="s">
        <v>223</v>
      </c>
      <c r="F566" s="3" t="s">
        <v>10</v>
      </c>
      <c r="G5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66" s="3" t="s">
        <v>224</v>
      </c>
      <c r="I566" s="3" t="s">
        <v>31</v>
      </c>
      <c r="J566" s="3" t="s">
        <v>94</v>
      </c>
      <c r="K566" s="3" t="s">
        <v>123</v>
      </c>
      <c r="L566" s="3" t="s">
        <v>124</v>
      </c>
      <c r="M566" s="4">
        <v>32.95</v>
      </c>
    </row>
    <row r="567">
      <c r="A567" s="2">
        <v>45382</v>
      </c>
      <c r="B5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7" s="3" t="str">
        <f>YEAR(KMART_DATA[[#This Row],[Date]])&amp;"-"&amp;TEXT(MONTH(KMART_DATA[[#This Row],[Date]]),"00")</f>
        <v>2024-03</v>
      </c>
      <c r="D567" s="3" t="s">
        <v>28</v>
      </c>
      <c r="E567" s="3" t="s">
        <v>143</v>
      </c>
      <c r="F567" s="3" t="s">
        <v>14</v>
      </c>
      <c r="G5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567" s="3" t="s">
        <v>144</v>
      </c>
      <c r="I567" s="3" t="s">
        <v>31</v>
      </c>
      <c r="J567" s="3" t="s">
        <v>145</v>
      </c>
      <c r="K567" s="3" t="s">
        <v>66</v>
      </c>
      <c r="L567" s="3" t="s">
        <v>67</v>
      </c>
      <c r="M567" s="4">
        <v>44.82</v>
      </c>
    </row>
    <row r="568">
      <c r="A568" s="2">
        <v>45382</v>
      </c>
      <c r="B5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8" s="3" t="str">
        <f>YEAR(KMART_DATA[[#This Row],[Date]])&amp;"-"&amp;TEXT(MONTH(KMART_DATA[[#This Row],[Date]]),"00")</f>
        <v>2024-03</v>
      </c>
      <c r="D568" s="3" t="s">
        <v>28</v>
      </c>
      <c r="E568" s="3" t="s">
        <v>175</v>
      </c>
      <c r="F568" s="3" t="s">
        <v>16</v>
      </c>
      <c r="G5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568" s="3" t="s">
        <v>176</v>
      </c>
      <c r="I568" s="3" t="s">
        <v>31</v>
      </c>
      <c r="J568" s="3" t="s">
        <v>107</v>
      </c>
      <c r="K568" s="3" t="s">
        <v>43</v>
      </c>
      <c r="L568" s="3" t="s">
        <v>44</v>
      </c>
      <c r="M568" s="4">
        <v>241.85</v>
      </c>
    </row>
    <row r="569">
      <c r="A569" s="2">
        <v>45382</v>
      </c>
      <c r="B5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69" s="3" t="str">
        <f>YEAR(KMART_DATA[[#This Row],[Date]])&amp;"-"&amp;TEXT(MONTH(KMART_DATA[[#This Row],[Date]]),"00")</f>
        <v>2024-03</v>
      </c>
      <c r="D569" s="3" t="s">
        <v>28</v>
      </c>
      <c r="E569" s="3" t="s">
        <v>248</v>
      </c>
      <c r="F569" s="3" t="s">
        <v>12</v>
      </c>
      <c r="G5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69" s="3" t="s">
        <v>249</v>
      </c>
      <c r="I569" s="3" t="s">
        <v>31</v>
      </c>
      <c r="J569" s="3" t="s">
        <v>162</v>
      </c>
      <c r="K569" s="3" t="s">
        <v>46</v>
      </c>
      <c r="L569" s="3" t="s">
        <v>47</v>
      </c>
      <c r="M569" s="4">
        <v>402.07</v>
      </c>
    </row>
    <row r="570">
      <c r="A570" s="2">
        <v>45383</v>
      </c>
      <c r="B5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0" s="3" t="str">
        <f>YEAR(KMART_DATA[[#This Row],[Date]])&amp;"-"&amp;TEXT(MONTH(KMART_DATA[[#This Row],[Date]]),"00")</f>
        <v>2024-04</v>
      </c>
      <c r="D570" s="3" t="s">
        <v>28</v>
      </c>
      <c r="E570" s="3" t="s">
        <v>248</v>
      </c>
      <c r="F570" s="3" t="s">
        <v>12</v>
      </c>
      <c r="G5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570" s="3" t="s">
        <v>249</v>
      </c>
      <c r="I570" s="3" t="s">
        <v>31</v>
      </c>
      <c r="J570" s="3" t="s">
        <v>162</v>
      </c>
      <c r="K570" s="3" t="s">
        <v>43</v>
      </c>
      <c r="L570" s="3" t="s">
        <v>44</v>
      </c>
      <c r="M570" s="4">
        <v>136.47</v>
      </c>
    </row>
    <row r="571">
      <c r="A571" s="2">
        <v>45383</v>
      </c>
      <c r="B5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1" s="3" t="str">
        <f>YEAR(KMART_DATA[[#This Row],[Date]])&amp;"-"&amp;TEXT(MONTH(KMART_DATA[[#This Row],[Date]]),"00")</f>
        <v>2024-04</v>
      </c>
      <c r="D571" s="3" t="s">
        <v>28</v>
      </c>
      <c r="E571" s="3" t="s">
        <v>90</v>
      </c>
      <c r="F571" s="3" t="s">
        <v>10</v>
      </c>
      <c r="G5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71" s="3" t="s">
        <v>91</v>
      </c>
      <c r="I571" s="3" t="s">
        <v>31</v>
      </c>
      <c r="J571" s="3" t="s">
        <v>37</v>
      </c>
      <c r="K571" s="3" t="s">
        <v>43</v>
      </c>
      <c r="L571" s="3" t="s">
        <v>44</v>
      </c>
      <c r="M571" s="4">
        <v>192.47</v>
      </c>
    </row>
    <row r="572">
      <c r="A572" s="2">
        <v>45383</v>
      </c>
      <c r="B5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2" s="3" t="str">
        <f>YEAR(KMART_DATA[[#This Row],[Date]])&amp;"-"&amp;TEXT(MONTH(KMART_DATA[[#This Row],[Date]]),"00")</f>
        <v>2024-04</v>
      </c>
      <c r="D572" s="3" t="s">
        <v>28</v>
      </c>
      <c r="E572" s="3" t="s">
        <v>244</v>
      </c>
      <c r="F572" s="3" t="s">
        <v>13</v>
      </c>
      <c r="G5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572" s="3" t="s">
        <v>245</v>
      </c>
      <c r="I572" s="3" t="s">
        <v>31</v>
      </c>
      <c r="J572" s="3" t="s">
        <v>42</v>
      </c>
      <c r="K572" s="3" t="s">
        <v>46</v>
      </c>
      <c r="L572" s="3" t="s">
        <v>47</v>
      </c>
      <c r="M572" s="4">
        <v>447.43</v>
      </c>
    </row>
    <row r="573">
      <c r="A573" s="2">
        <v>45383</v>
      </c>
      <c r="B5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3" s="3" t="str">
        <f>YEAR(KMART_DATA[[#This Row],[Date]])&amp;"-"&amp;TEXT(MONTH(KMART_DATA[[#This Row],[Date]]),"00")</f>
        <v>2024-04</v>
      </c>
      <c r="D573" s="3" t="s">
        <v>28</v>
      </c>
      <c r="E573" s="3" t="s">
        <v>234</v>
      </c>
      <c r="F573" s="3" t="s">
        <v>9</v>
      </c>
      <c r="G5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73" s="3" t="s">
        <v>235</v>
      </c>
      <c r="I573" s="3" t="s">
        <v>31</v>
      </c>
      <c r="J573" s="3" t="s">
        <v>81</v>
      </c>
      <c r="K573" s="3" t="s">
        <v>33</v>
      </c>
      <c r="L573" s="3" t="s">
        <v>34</v>
      </c>
      <c r="M573" s="4">
        <v>984.48</v>
      </c>
    </row>
    <row r="574">
      <c r="A574" s="2">
        <v>45383</v>
      </c>
      <c r="B5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4" s="3" t="str">
        <f>YEAR(KMART_DATA[[#This Row],[Date]])&amp;"-"&amp;TEXT(MONTH(KMART_DATA[[#This Row],[Date]]),"00")</f>
        <v>2024-04</v>
      </c>
      <c r="D574" s="3" t="s">
        <v>28</v>
      </c>
      <c r="E574" s="3" t="s">
        <v>223</v>
      </c>
      <c r="F574" s="3" t="s">
        <v>10</v>
      </c>
      <c r="G5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74" s="3" t="s">
        <v>224</v>
      </c>
      <c r="I574" s="3" t="s">
        <v>31</v>
      </c>
      <c r="J574" s="3" t="s">
        <v>94</v>
      </c>
      <c r="K574" s="3" t="s">
        <v>71</v>
      </c>
      <c r="L574" s="3" t="s">
        <v>72</v>
      </c>
      <c r="M574" s="4">
        <v>2625.18</v>
      </c>
    </row>
    <row r="575">
      <c r="A575" s="2">
        <v>45384</v>
      </c>
      <c r="B5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5" s="3" t="str">
        <f>YEAR(KMART_DATA[[#This Row],[Date]])&amp;"-"&amp;TEXT(MONTH(KMART_DATA[[#This Row],[Date]]),"00")</f>
        <v>2024-04</v>
      </c>
      <c r="D575" s="3" t="s">
        <v>28</v>
      </c>
      <c r="E575" s="3" t="s">
        <v>205</v>
      </c>
      <c r="F575" s="3" t="s">
        <v>10</v>
      </c>
      <c r="G5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75" s="3" t="s">
        <v>206</v>
      </c>
      <c r="I575" s="3" t="s">
        <v>31</v>
      </c>
      <c r="J575" s="3" t="s">
        <v>37</v>
      </c>
      <c r="K575" s="3" t="s">
        <v>38</v>
      </c>
      <c r="L575" s="3" t="s">
        <v>39</v>
      </c>
      <c r="M575" s="4">
        <v>3.0</v>
      </c>
    </row>
    <row r="576">
      <c r="A576" s="2">
        <v>45384</v>
      </c>
      <c r="B5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6" s="3" t="str">
        <f>YEAR(KMART_DATA[[#This Row],[Date]])&amp;"-"&amp;TEXT(MONTH(KMART_DATA[[#This Row],[Date]]),"00")</f>
        <v>2024-04</v>
      </c>
      <c r="D576" s="3" t="s">
        <v>28</v>
      </c>
      <c r="E576" s="3" t="s">
        <v>258</v>
      </c>
      <c r="F576" s="3" t="s">
        <v>14</v>
      </c>
      <c r="G5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576" s="3" t="s">
        <v>259</v>
      </c>
      <c r="I576" s="3" t="s">
        <v>31</v>
      </c>
      <c r="J576" s="3" t="s">
        <v>145</v>
      </c>
      <c r="K576" s="3" t="s">
        <v>33</v>
      </c>
      <c r="L576" s="3" t="s">
        <v>34</v>
      </c>
      <c r="M576" s="4">
        <v>15.96</v>
      </c>
    </row>
    <row r="577">
      <c r="A577" s="2">
        <v>45384</v>
      </c>
      <c r="B5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7" s="3" t="str">
        <f>YEAR(KMART_DATA[[#This Row],[Date]])&amp;"-"&amp;TEXT(MONTH(KMART_DATA[[#This Row],[Date]]),"00")</f>
        <v>2024-04</v>
      </c>
      <c r="D577" s="3" t="s">
        <v>45</v>
      </c>
      <c r="E577" s="3" t="s">
        <v>219</v>
      </c>
      <c r="F577" s="3" t="s">
        <v>11</v>
      </c>
      <c r="G5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77" s="3" t="s">
        <v>220</v>
      </c>
      <c r="I577" s="3" t="s">
        <v>31</v>
      </c>
      <c r="J577" s="3" t="s">
        <v>56</v>
      </c>
      <c r="K577" s="3" t="s">
        <v>66</v>
      </c>
      <c r="L577" s="3" t="s">
        <v>67</v>
      </c>
      <c r="M577" s="4">
        <v>67.86</v>
      </c>
    </row>
    <row r="578">
      <c r="A578" s="2">
        <v>45384</v>
      </c>
      <c r="B5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8" s="3" t="str">
        <f>YEAR(KMART_DATA[[#This Row],[Date]])&amp;"-"&amp;TEXT(MONTH(KMART_DATA[[#This Row],[Date]]),"00")</f>
        <v>2024-04</v>
      </c>
      <c r="D578" s="3" t="s">
        <v>28</v>
      </c>
      <c r="E578" s="3" t="s">
        <v>73</v>
      </c>
      <c r="F578" s="3" t="s">
        <v>9</v>
      </c>
      <c r="G5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78" s="3" t="s">
        <v>74</v>
      </c>
      <c r="I578" s="3" t="s">
        <v>31</v>
      </c>
      <c r="J578" s="3" t="s">
        <v>75</v>
      </c>
      <c r="K578" s="3" t="s">
        <v>38</v>
      </c>
      <c r="L578" s="3" t="s">
        <v>39</v>
      </c>
      <c r="M578" s="4">
        <v>112.78</v>
      </c>
    </row>
    <row r="579">
      <c r="A579" s="2">
        <v>45384</v>
      </c>
      <c r="B5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79" s="3" t="str">
        <f>YEAR(KMART_DATA[[#This Row],[Date]])&amp;"-"&amp;TEXT(MONTH(KMART_DATA[[#This Row],[Date]]),"00")</f>
        <v>2024-04</v>
      </c>
      <c r="D579" s="3" t="s">
        <v>28</v>
      </c>
      <c r="E579" s="3" t="s">
        <v>29</v>
      </c>
      <c r="F579" s="3" t="s">
        <v>11</v>
      </c>
      <c r="G5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79" s="3" t="s">
        <v>30</v>
      </c>
      <c r="I579" s="3" t="s">
        <v>31</v>
      </c>
      <c r="J579" s="3" t="s">
        <v>32</v>
      </c>
      <c r="K579" s="3" t="s">
        <v>33</v>
      </c>
      <c r="L579" s="3" t="s">
        <v>34</v>
      </c>
      <c r="M579" s="4">
        <v>175.13</v>
      </c>
    </row>
    <row r="580">
      <c r="A580" s="2">
        <v>45384</v>
      </c>
      <c r="B5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0" s="3" t="str">
        <f>YEAR(KMART_DATA[[#This Row],[Date]])&amp;"-"&amp;TEXT(MONTH(KMART_DATA[[#This Row],[Date]]),"00")</f>
        <v>2024-04</v>
      </c>
      <c r="D580" s="3" t="s">
        <v>45</v>
      </c>
      <c r="E580" s="3" t="s">
        <v>217</v>
      </c>
      <c r="F580" s="3" t="s">
        <v>10</v>
      </c>
      <c r="G5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80" s="3" t="s">
        <v>218</v>
      </c>
      <c r="I580" s="3" t="s">
        <v>31</v>
      </c>
      <c r="J580" s="3" t="s">
        <v>89</v>
      </c>
      <c r="K580" s="3" t="s">
        <v>43</v>
      </c>
      <c r="L580" s="3" t="s">
        <v>44</v>
      </c>
      <c r="M580" s="4">
        <v>593.6</v>
      </c>
    </row>
    <row r="581">
      <c r="A581" s="2">
        <v>45384</v>
      </c>
      <c r="B5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1" s="3" t="str">
        <f>YEAR(KMART_DATA[[#This Row],[Date]])&amp;"-"&amp;TEXT(MONTH(KMART_DATA[[#This Row],[Date]]),"00")</f>
        <v>2024-04</v>
      </c>
      <c r="D581" s="3" t="s">
        <v>28</v>
      </c>
      <c r="E581" s="3" t="s">
        <v>232</v>
      </c>
      <c r="F581" s="3" t="s">
        <v>9</v>
      </c>
      <c r="G5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81" s="3" t="s">
        <v>233</v>
      </c>
      <c r="I581" s="3" t="s">
        <v>31</v>
      </c>
      <c r="J581" s="3" t="s">
        <v>75</v>
      </c>
      <c r="K581" s="3" t="s">
        <v>71</v>
      </c>
      <c r="L581" s="3" t="s">
        <v>72</v>
      </c>
      <c r="M581" s="4">
        <v>1945.35</v>
      </c>
    </row>
    <row r="582">
      <c r="A582" s="2">
        <v>45385</v>
      </c>
      <c r="B5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2" s="3" t="str">
        <f>YEAR(KMART_DATA[[#This Row],[Date]])&amp;"-"&amp;TEXT(MONTH(KMART_DATA[[#This Row],[Date]]),"00")</f>
        <v>2024-04</v>
      </c>
      <c r="D582" s="3" t="s">
        <v>28</v>
      </c>
      <c r="E582" s="3" t="s">
        <v>225</v>
      </c>
      <c r="F582" s="3" t="s">
        <v>13</v>
      </c>
      <c r="G5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582" s="3" t="s">
        <v>226</v>
      </c>
      <c r="I582" s="3" t="s">
        <v>31</v>
      </c>
      <c r="J582" s="3" t="s">
        <v>227</v>
      </c>
      <c r="K582" s="3" t="s">
        <v>95</v>
      </c>
      <c r="L582" s="3" t="s">
        <v>96</v>
      </c>
      <c r="M582" s="4">
        <v>17.98</v>
      </c>
    </row>
    <row r="583">
      <c r="A583" s="2">
        <v>45385</v>
      </c>
      <c r="B5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3" s="3" t="str">
        <f>YEAR(KMART_DATA[[#This Row],[Date]])&amp;"-"&amp;TEXT(MONTH(KMART_DATA[[#This Row],[Date]]),"00")</f>
        <v>2024-04</v>
      </c>
      <c r="D583" s="3" t="s">
        <v>28</v>
      </c>
      <c r="E583" s="3" t="s">
        <v>40</v>
      </c>
      <c r="F583" s="3" t="s">
        <v>13</v>
      </c>
      <c r="G5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583" s="3" t="s">
        <v>41</v>
      </c>
      <c r="I583" s="3" t="s">
        <v>31</v>
      </c>
      <c r="J583" s="3" t="s">
        <v>42</v>
      </c>
      <c r="K583" s="3" t="s">
        <v>112</v>
      </c>
      <c r="L583" s="3" t="s">
        <v>113</v>
      </c>
      <c r="M583" s="4">
        <v>53.91</v>
      </c>
    </row>
    <row r="584">
      <c r="A584" s="2">
        <v>45385</v>
      </c>
      <c r="B5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4" s="3" t="str">
        <f>YEAR(KMART_DATA[[#This Row],[Date]])&amp;"-"&amp;TEXT(MONTH(KMART_DATA[[#This Row],[Date]]),"00")</f>
        <v>2024-04</v>
      </c>
      <c r="D584" s="3" t="s">
        <v>45</v>
      </c>
      <c r="E584" s="3" t="s">
        <v>230</v>
      </c>
      <c r="F584" s="3" t="s">
        <v>13</v>
      </c>
      <c r="G5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584" s="3" t="s">
        <v>231</v>
      </c>
      <c r="I584" s="3" t="s">
        <v>31</v>
      </c>
      <c r="J584" s="3" t="s">
        <v>227</v>
      </c>
      <c r="K584" s="3" t="s">
        <v>38</v>
      </c>
      <c r="L584" s="3" t="s">
        <v>39</v>
      </c>
      <c r="M584" s="4">
        <v>56.46</v>
      </c>
    </row>
    <row r="585">
      <c r="A585" s="2">
        <v>45385</v>
      </c>
      <c r="B5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5" s="3" t="str">
        <f>YEAR(KMART_DATA[[#This Row],[Date]])&amp;"-"&amp;TEXT(MONTH(KMART_DATA[[#This Row],[Date]]),"00")</f>
        <v>2024-04</v>
      </c>
      <c r="D585" s="3" t="s">
        <v>28</v>
      </c>
      <c r="E585" s="3" t="s">
        <v>64</v>
      </c>
      <c r="F585" s="3" t="s">
        <v>11</v>
      </c>
      <c r="G5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85" s="3" t="s">
        <v>65</v>
      </c>
      <c r="I585" s="3" t="s">
        <v>31</v>
      </c>
      <c r="J585" s="3" t="s">
        <v>61</v>
      </c>
      <c r="K585" s="3" t="s">
        <v>95</v>
      </c>
      <c r="L585" s="3" t="s">
        <v>96</v>
      </c>
      <c r="M585" s="4">
        <v>97.86</v>
      </c>
    </row>
    <row r="586">
      <c r="A586" s="2">
        <v>45385</v>
      </c>
      <c r="B5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6" s="3" t="str">
        <f>YEAR(KMART_DATA[[#This Row],[Date]])&amp;"-"&amp;TEXT(MONTH(KMART_DATA[[#This Row],[Date]]),"00")</f>
        <v>2024-04</v>
      </c>
      <c r="D586" s="3" t="s">
        <v>28</v>
      </c>
      <c r="E586" s="3" t="s">
        <v>59</v>
      </c>
      <c r="F586" s="3" t="s">
        <v>11</v>
      </c>
      <c r="G5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86" s="3" t="s">
        <v>60</v>
      </c>
      <c r="I586" s="3" t="s">
        <v>31</v>
      </c>
      <c r="J586" s="3" t="s">
        <v>61</v>
      </c>
      <c r="K586" s="3" t="s">
        <v>46</v>
      </c>
      <c r="L586" s="3" t="s">
        <v>47</v>
      </c>
      <c r="M586" s="4">
        <v>411.78</v>
      </c>
    </row>
    <row r="587">
      <c r="A587" s="2">
        <v>45385</v>
      </c>
      <c r="B5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7" s="3" t="str">
        <f>YEAR(KMART_DATA[[#This Row],[Date]])&amp;"-"&amp;TEXT(MONTH(KMART_DATA[[#This Row],[Date]]),"00")</f>
        <v>2024-04</v>
      </c>
      <c r="D587" s="3" t="s">
        <v>28</v>
      </c>
      <c r="E587" s="3" t="s">
        <v>197</v>
      </c>
      <c r="F587" s="3" t="s">
        <v>9</v>
      </c>
      <c r="G5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87" s="3" t="s">
        <v>198</v>
      </c>
      <c r="I587" s="3" t="s">
        <v>31</v>
      </c>
      <c r="J587" s="3" t="s">
        <v>107</v>
      </c>
      <c r="K587" s="3" t="s">
        <v>43</v>
      </c>
      <c r="L587" s="3" t="s">
        <v>44</v>
      </c>
      <c r="M587" s="4">
        <v>729.09</v>
      </c>
    </row>
    <row r="588">
      <c r="A588" s="2">
        <v>45386</v>
      </c>
      <c r="B5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8" s="3" t="str">
        <f>YEAR(KMART_DATA[[#This Row],[Date]])&amp;"-"&amp;TEXT(MONTH(KMART_DATA[[#This Row],[Date]]),"00")</f>
        <v>2024-04</v>
      </c>
      <c r="D588" s="3" t="s">
        <v>28</v>
      </c>
      <c r="E588" s="3" t="s">
        <v>252</v>
      </c>
      <c r="F588" s="3" t="s">
        <v>10</v>
      </c>
      <c r="G5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88" s="3" t="s">
        <v>253</v>
      </c>
      <c r="I588" s="3" t="s">
        <v>31</v>
      </c>
      <c r="J588" s="3" t="s">
        <v>94</v>
      </c>
      <c r="K588" s="3" t="s">
        <v>95</v>
      </c>
      <c r="L588" s="3" t="s">
        <v>96</v>
      </c>
      <c r="M588" s="4">
        <v>1564.75</v>
      </c>
    </row>
    <row r="589">
      <c r="A589" s="2">
        <v>45386</v>
      </c>
      <c r="B5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89" s="3" t="str">
        <f>YEAR(KMART_DATA[[#This Row],[Date]])&amp;"-"&amp;TEXT(MONTH(KMART_DATA[[#This Row],[Date]]),"00")</f>
        <v>2024-04</v>
      </c>
      <c r="D589" s="3" t="s">
        <v>28</v>
      </c>
      <c r="E589" s="3" t="s">
        <v>110</v>
      </c>
      <c r="F589" s="3" t="s">
        <v>9</v>
      </c>
      <c r="G5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89" s="3" t="s">
        <v>111</v>
      </c>
      <c r="I589" s="3" t="s">
        <v>31</v>
      </c>
      <c r="J589" s="3" t="s">
        <v>81</v>
      </c>
      <c r="K589" s="3" t="s">
        <v>71</v>
      </c>
      <c r="L589" s="3" t="s">
        <v>72</v>
      </c>
      <c r="M589" s="4">
        <v>2121.4</v>
      </c>
    </row>
    <row r="590">
      <c r="A590" s="2">
        <v>45386</v>
      </c>
      <c r="B5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0" s="3" t="str">
        <f>YEAR(KMART_DATA[[#This Row],[Date]])&amp;"-"&amp;TEXT(MONTH(KMART_DATA[[#This Row],[Date]]),"00")</f>
        <v>2024-04</v>
      </c>
      <c r="D590" s="3" t="s">
        <v>28</v>
      </c>
      <c r="E590" s="3" t="s">
        <v>154</v>
      </c>
      <c r="F590" s="3" t="s">
        <v>11</v>
      </c>
      <c r="G5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90" s="3" t="s">
        <v>155</v>
      </c>
      <c r="I590" s="3" t="s">
        <v>31</v>
      </c>
      <c r="J590" s="3" t="s">
        <v>84</v>
      </c>
      <c r="K590" s="3" t="s">
        <v>123</v>
      </c>
      <c r="L590" s="3" t="s">
        <v>124</v>
      </c>
      <c r="M590" s="4">
        <v>4197.76</v>
      </c>
    </row>
    <row r="591">
      <c r="A591" s="2">
        <v>45387</v>
      </c>
      <c r="B5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1" s="3" t="str">
        <f>YEAR(KMART_DATA[[#This Row],[Date]])&amp;"-"&amp;TEXT(MONTH(KMART_DATA[[#This Row],[Date]]),"00")</f>
        <v>2024-04</v>
      </c>
      <c r="D591" s="3" t="s">
        <v>45</v>
      </c>
      <c r="E591" s="3" t="s">
        <v>242</v>
      </c>
      <c r="F591" s="3" t="s">
        <v>10</v>
      </c>
      <c r="G5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591" s="3" t="s">
        <v>243</v>
      </c>
      <c r="I591" s="3" t="s">
        <v>31</v>
      </c>
      <c r="J591" s="3" t="s">
        <v>94</v>
      </c>
      <c r="K591" s="3" t="s">
        <v>43</v>
      </c>
      <c r="L591" s="3" t="s">
        <v>44</v>
      </c>
      <c r="M591" s="4">
        <v>7.5</v>
      </c>
    </row>
    <row r="592">
      <c r="A592" s="2">
        <v>45387</v>
      </c>
      <c r="B5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2" s="3" t="str">
        <f>YEAR(KMART_DATA[[#This Row],[Date]])&amp;"-"&amp;TEXT(MONTH(KMART_DATA[[#This Row],[Date]]),"00")</f>
        <v>2024-04</v>
      </c>
      <c r="D592" s="3" t="s">
        <v>45</v>
      </c>
      <c r="E592" s="3" t="s">
        <v>181</v>
      </c>
      <c r="F592" s="3" t="s">
        <v>11</v>
      </c>
      <c r="G5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92" s="3" t="s">
        <v>182</v>
      </c>
      <c r="I592" s="3" t="s">
        <v>31</v>
      </c>
      <c r="J592" s="3" t="s">
        <v>56</v>
      </c>
      <c r="K592" s="3" t="s">
        <v>38</v>
      </c>
      <c r="L592" s="3" t="s">
        <v>39</v>
      </c>
      <c r="M592" s="4">
        <v>55.93</v>
      </c>
    </row>
    <row r="593">
      <c r="A593" s="2">
        <v>45387</v>
      </c>
      <c r="B5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3" s="3" t="str">
        <f>YEAR(KMART_DATA[[#This Row],[Date]])&amp;"-"&amp;TEXT(MONTH(KMART_DATA[[#This Row],[Date]]),"00")</f>
        <v>2024-04</v>
      </c>
      <c r="D593" s="3" t="s">
        <v>28</v>
      </c>
      <c r="E593" s="3" t="s">
        <v>209</v>
      </c>
      <c r="F593" s="3" t="s">
        <v>9</v>
      </c>
      <c r="G5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93" s="3" t="s">
        <v>210</v>
      </c>
      <c r="I593" s="3" t="s">
        <v>31</v>
      </c>
      <c r="J593" s="3" t="s">
        <v>81</v>
      </c>
      <c r="K593" s="3" t="s">
        <v>66</v>
      </c>
      <c r="L593" s="3" t="s">
        <v>67</v>
      </c>
      <c r="M593" s="4">
        <v>83.02</v>
      </c>
    </row>
    <row r="594">
      <c r="A594" s="2">
        <v>45387</v>
      </c>
      <c r="B5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4" s="3" t="str">
        <f>YEAR(KMART_DATA[[#This Row],[Date]])&amp;"-"&amp;TEXT(MONTH(KMART_DATA[[#This Row],[Date]]),"00")</f>
        <v>2024-04</v>
      </c>
      <c r="D594" s="3" t="s">
        <v>28</v>
      </c>
      <c r="E594" s="3" t="s">
        <v>219</v>
      </c>
      <c r="F594" s="3" t="s">
        <v>11</v>
      </c>
      <c r="G5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594" s="3" t="s">
        <v>220</v>
      </c>
      <c r="I594" s="3" t="s">
        <v>31</v>
      </c>
      <c r="J594" s="3" t="s">
        <v>56</v>
      </c>
      <c r="K594" s="3" t="s">
        <v>112</v>
      </c>
      <c r="L594" s="3" t="s">
        <v>113</v>
      </c>
      <c r="M594" s="4">
        <v>86.77</v>
      </c>
    </row>
    <row r="595">
      <c r="A595" s="2">
        <v>45387</v>
      </c>
      <c r="B5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5" s="3" t="str">
        <f>YEAR(KMART_DATA[[#This Row],[Date]])&amp;"-"&amp;TEXT(MONTH(KMART_DATA[[#This Row],[Date]]),"00")</f>
        <v>2024-04</v>
      </c>
      <c r="D595" s="3" t="s">
        <v>28</v>
      </c>
      <c r="E595" s="3" t="s">
        <v>51</v>
      </c>
      <c r="F595" s="3" t="s">
        <v>15</v>
      </c>
      <c r="G5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595" s="3" t="s">
        <v>52</v>
      </c>
      <c r="I595" s="3" t="s">
        <v>31</v>
      </c>
      <c r="J595" s="3" t="s">
        <v>53</v>
      </c>
      <c r="K595" s="3" t="s">
        <v>33</v>
      </c>
      <c r="L595" s="3" t="s">
        <v>34</v>
      </c>
      <c r="M595" s="4">
        <v>411.59</v>
      </c>
    </row>
    <row r="596">
      <c r="A596" s="2">
        <v>45387</v>
      </c>
      <c r="B5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6" s="3" t="str">
        <f>YEAR(KMART_DATA[[#This Row],[Date]])&amp;"-"&amp;TEXT(MONTH(KMART_DATA[[#This Row],[Date]]),"00")</f>
        <v>2024-04</v>
      </c>
      <c r="D596" s="3" t="s">
        <v>28</v>
      </c>
      <c r="E596" s="3" t="s">
        <v>143</v>
      </c>
      <c r="F596" s="3" t="s">
        <v>14</v>
      </c>
      <c r="G5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596" s="3" t="s">
        <v>144</v>
      </c>
      <c r="I596" s="3" t="s">
        <v>31</v>
      </c>
      <c r="J596" s="3" t="s">
        <v>145</v>
      </c>
      <c r="K596" s="3" t="s">
        <v>43</v>
      </c>
      <c r="L596" s="3" t="s">
        <v>44</v>
      </c>
      <c r="M596" s="4">
        <v>2004.58</v>
      </c>
    </row>
    <row r="597">
      <c r="A597" s="2">
        <v>45387</v>
      </c>
      <c r="B5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7" s="3" t="str">
        <f>YEAR(KMART_DATA[[#This Row],[Date]])&amp;"-"&amp;TEXT(MONTH(KMART_DATA[[#This Row],[Date]]),"00")</f>
        <v>2024-04</v>
      </c>
      <c r="D597" s="3" t="s">
        <v>28</v>
      </c>
      <c r="E597" s="3" t="s">
        <v>197</v>
      </c>
      <c r="F597" s="3" t="s">
        <v>9</v>
      </c>
      <c r="G5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97" s="3" t="s">
        <v>198</v>
      </c>
      <c r="I597" s="3" t="s">
        <v>31</v>
      </c>
      <c r="J597" s="3" t="s">
        <v>107</v>
      </c>
      <c r="K597" s="3" t="s">
        <v>123</v>
      </c>
      <c r="L597" s="3" t="s">
        <v>124</v>
      </c>
      <c r="M597" s="4">
        <v>4329.04</v>
      </c>
    </row>
    <row r="598">
      <c r="A598" s="2">
        <v>45388</v>
      </c>
      <c r="B5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8" s="3" t="str">
        <f>YEAR(KMART_DATA[[#This Row],[Date]])&amp;"-"&amp;TEXT(MONTH(KMART_DATA[[#This Row],[Date]]),"00")</f>
        <v>2024-04</v>
      </c>
      <c r="D598" s="3" t="s">
        <v>28</v>
      </c>
      <c r="E598" s="3" t="s">
        <v>179</v>
      </c>
      <c r="F598" s="3" t="s">
        <v>9</v>
      </c>
      <c r="G5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98" s="3" t="s">
        <v>180</v>
      </c>
      <c r="I598" s="3" t="s">
        <v>31</v>
      </c>
      <c r="J598" s="3" t="s">
        <v>99</v>
      </c>
      <c r="K598" s="3" t="s">
        <v>95</v>
      </c>
      <c r="L598" s="3" t="s">
        <v>96</v>
      </c>
      <c r="M598" s="4">
        <v>4.65</v>
      </c>
    </row>
    <row r="599">
      <c r="A599" s="2">
        <v>45388</v>
      </c>
      <c r="B5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599" s="3" t="str">
        <f>YEAR(KMART_DATA[[#This Row],[Date]])&amp;"-"&amp;TEXT(MONTH(KMART_DATA[[#This Row],[Date]]),"00")</f>
        <v>2024-04</v>
      </c>
      <c r="D599" s="3" t="s">
        <v>45</v>
      </c>
      <c r="E599" s="3" t="s">
        <v>114</v>
      </c>
      <c r="F599" s="3" t="s">
        <v>9</v>
      </c>
      <c r="G5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599" s="3" t="s">
        <v>115</v>
      </c>
      <c r="I599" s="3" t="s">
        <v>31</v>
      </c>
      <c r="J599" s="3" t="s">
        <v>99</v>
      </c>
      <c r="K599" s="3" t="s">
        <v>46</v>
      </c>
      <c r="L599" s="3" t="s">
        <v>47</v>
      </c>
      <c r="M599" s="4">
        <v>12.99</v>
      </c>
    </row>
    <row r="600">
      <c r="A600" s="2">
        <v>45388</v>
      </c>
      <c r="B6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0" s="3" t="str">
        <f>YEAR(KMART_DATA[[#This Row],[Date]])&amp;"-"&amp;TEXT(MONTH(KMART_DATA[[#This Row],[Date]]),"00")</f>
        <v>2024-04</v>
      </c>
      <c r="D600" s="3" t="s">
        <v>28</v>
      </c>
      <c r="E600" s="3" t="s">
        <v>185</v>
      </c>
      <c r="F600" s="3" t="s">
        <v>12</v>
      </c>
      <c r="G6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00" s="3" t="s">
        <v>186</v>
      </c>
      <c r="I600" s="3" t="s">
        <v>31</v>
      </c>
      <c r="J600" s="3" t="s">
        <v>162</v>
      </c>
      <c r="K600" s="3" t="s">
        <v>123</v>
      </c>
      <c r="L600" s="3" t="s">
        <v>124</v>
      </c>
      <c r="M600" s="4">
        <v>30.63</v>
      </c>
    </row>
    <row r="601">
      <c r="A601" s="2">
        <v>45388</v>
      </c>
      <c r="B6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1" s="3" t="str">
        <f>YEAR(KMART_DATA[[#This Row],[Date]])&amp;"-"&amp;TEXT(MONTH(KMART_DATA[[#This Row],[Date]]),"00")</f>
        <v>2024-04</v>
      </c>
      <c r="D601" s="3" t="s">
        <v>45</v>
      </c>
      <c r="E601" s="3" t="s">
        <v>68</v>
      </c>
      <c r="F601" s="3" t="s">
        <v>9</v>
      </c>
      <c r="G6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01" s="3" t="s">
        <v>69</v>
      </c>
      <c r="I601" s="3" t="s">
        <v>31</v>
      </c>
      <c r="J601" s="3" t="s">
        <v>70</v>
      </c>
      <c r="K601" s="3" t="s">
        <v>71</v>
      </c>
      <c r="L601" s="3" t="s">
        <v>72</v>
      </c>
      <c r="M601" s="4">
        <v>34.93</v>
      </c>
    </row>
    <row r="602">
      <c r="A602" s="2">
        <v>45388</v>
      </c>
      <c r="B6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2" s="3" t="str">
        <f>YEAR(KMART_DATA[[#This Row],[Date]])&amp;"-"&amp;TEXT(MONTH(KMART_DATA[[#This Row],[Date]]),"00")</f>
        <v>2024-04</v>
      </c>
      <c r="D602" s="3" t="s">
        <v>28</v>
      </c>
      <c r="E602" s="3" t="s">
        <v>203</v>
      </c>
      <c r="F602" s="3" t="s">
        <v>10</v>
      </c>
      <c r="G6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02" s="3" t="s">
        <v>204</v>
      </c>
      <c r="I602" s="3" t="s">
        <v>31</v>
      </c>
      <c r="J602" s="3" t="s">
        <v>89</v>
      </c>
      <c r="K602" s="3" t="s">
        <v>66</v>
      </c>
      <c r="L602" s="3" t="s">
        <v>67</v>
      </c>
      <c r="M602" s="4">
        <v>43.56</v>
      </c>
    </row>
    <row r="603">
      <c r="A603" s="2">
        <v>45388</v>
      </c>
      <c r="B6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3" s="3" t="str">
        <f>YEAR(KMART_DATA[[#This Row],[Date]])&amp;"-"&amp;TEXT(MONTH(KMART_DATA[[#This Row],[Date]]),"00")</f>
        <v>2024-04</v>
      </c>
      <c r="D603" s="3" t="s">
        <v>28</v>
      </c>
      <c r="E603" s="3" t="s">
        <v>209</v>
      </c>
      <c r="F603" s="3" t="s">
        <v>9</v>
      </c>
      <c r="G6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03" s="3" t="s">
        <v>210</v>
      </c>
      <c r="I603" s="3" t="s">
        <v>31</v>
      </c>
      <c r="J603" s="3" t="s">
        <v>81</v>
      </c>
      <c r="K603" s="3" t="s">
        <v>95</v>
      </c>
      <c r="L603" s="3" t="s">
        <v>96</v>
      </c>
      <c r="M603" s="4">
        <v>69.4</v>
      </c>
    </row>
    <row r="604">
      <c r="A604" s="2">
        <v>45388</v>
      </c>
      <c r="B6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4" s="3" t="str">
        <f>YEAR(KMART_DATA[[#This Row],[Date]])&amp;"-"&amp;TEXT(MONTH(KMART_DATA[[#This Row],[Date]]),"00")</f>
        <v>2024-04</v>
      </c>
      <c r="D604" s="3" t="s">
        <v>45</v>
      </c>
      <c r="E604" s="3" t="s">
        <v>260</v>
      </c>
      <c r="F604" s="3" t="s">
        <v>10</v>
      </c>
      <c r="G6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04" s="3" t="s">
        <v>261</v>
      </c>
      <c r="I604" s="3" t="s">
        <v>31</v>
      </c>
      <c r="J604" s="3" t="s">
        <v>89</v>
      </c>
      <c r="K604" s="3" t="s">
        <v>46</v>
      </c>
      <c r="L604" s="3" t="s">
        <v>47</v>
      </c>
      <c r="M604" s="4">
        <v>79.29</v>
      </c>
    </row>
    <row r="605">
      <c r="A605" s="2">
        <v>45388</v>
      </c>
      <c r="B6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5" s="3" t="str">
        <f>YEAR(KMART_DATA[[#This Row],[Date]])&amp;"-"&amp;TEXT(MONTH(KMART_DATA[[#This Row],[Date]]),"00")</f>
        <v>2024-04</v>
      </c>
      <c r="D605" s="3" t="s">
        <v>28</v>
      </c>
      <c r="E605" s="3" t="s">
        <v>169</v>
      </c>
      <c r="F605" s="3" t="s">
        <v>12</v>
      </c>
      <c r="G6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05" s="3" t="s">
        <v>170</v>
      </c>
      <c r="I605" s="3" t="s">
        <v>31</v>
      </c>
      <c r="J605" s="3" t="s">
        <v>102</v>
      </c>
      <c r="K605" s="3" t="s">
        <v>123</v>
      </c>
      <c r="L605" s="3" t="s">
        <v>124</v>
      </c>
      <c r="M605" s="4">
        <v>204.69</v>
      </c>
    </row>
    <row r="606">
      <c r="A606" s="2">
        <v>45388</v>
      </c>
      <c r="B6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6" s="3" t="str">
        <f>YEAR(KMART_DATA[[#This Row],[Date]])&amp;"-"&amp;TEXT(MONTH(KMART_DATA[[#This Row],[Date]]),"00")</f>
        <v>2024-04</v>
      </c>
      <c r="D606" s="3" t="s">
        <v>28</v>
      </c>
      <c r="E606" s="3" t="s">
        <v>221</v>
      </c>
      <c r="F606" s="3" t="s">
        <v>11</v>
      </c>
      <c r="G6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06" s="3" t="s">
        <v>222</v>
      </c>
      <c r="I606" s="3" t="s">
        <v>31</v>
      </c>
      <c r="J606" s="3" t="s">
        <v>56</v>
      </c>
      <c r="K606" s="3" t="s">
        <v>33</v>
      </c>
      <c r="L606" s="3" t="s">
        <v>34</v>
      </c>
      <c r="M606" s="4">
        <v>281.91</v>
      </c>
    </row>
    <row r="607">
      <c r="A607" s="2">
        <v>45389</v>
      </c>
      <c r="B6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7" s="3" t="str">
        <f>YEAR(KMART_DATA[[#This Row],[Date]])&amp;"-"&amp;TEXT(MONTH(KMART_DATA[[#This Row],[Date]]),"00")</f>
        <v>2024-04</v>
      </c>
      <c r="D607" s="3" t="s">
        <v>28</v>
      </c>
      <c r="E607" s="3" t="s">
        <v>135</v>
      </c>
      <c r="F607" s="3" t="s">
        <v>16</v>
      </c>
      <c r="G6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607" s="3" t="s">
        <v>136</v>
      </c>
      <c r="I607" s="3" t="s">
        <v>31</v>
      </c>
      <c r="J607" s="3" t="s">
        <v>107</v>
      </c>
      <c r="K607" s="3" t="s">
        <v>43</v>
      </c>
      <c r="L607" s="3" t="s">
        <v>44</v>
      </c>
      <c r="M607" s="4">
        <v>20.0</v>
      </c>
    </row>
    <row r="608">
      <c r="A608" s="2">
        <v>45389</v>
      </c>
      <c r="B6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8" s="3" t="str">
        <f>YEAR(KMART_DATA[[#This Row],[Date]])&amp;"-"&amp;TEXT(MONTH(KMART_DATA[[#This Row],[Date]]),"00")</f>
        <v>2024-04</v>
      </c>
      <c r="D608" s="3" t="s">
        <v>28</v>
      </c>
      <c r="E608" s="3" t="s">
        <v>163</v>
      </c>
      <c r="F608" s="3" t="s">
        <v>9</v>
      </c>
      <c r="G6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08" s="3" t="s">
        <v>164</v>
      </c>
      <c r="I608" s="3" t="s">
        <v>31</v>
      </c>
      <c r="J608" s="3" t="s">
        <v>81</v>
      </c>
      <c r="K608" s="3" t="s">
        <v>66</v>
      </c>
      <c r="L608" s="3" t="s">
        <v>67</v>
      </c>
      <c r="M608" s="4">
        <v>29.65</v>
      </c>
    </row>
    <row r="609">
      <c r="A609" s="2">
        <v>45389</v>
      </c>
      <c r="B6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09" s="3" t="str">
        <f>YEAR(KMART_DATA[[#This Row],[Date]])&amp;"-"&amp;TEXT(MONTH(KMART_DATA[[#This Row],[Date]]),"00")</f>
        <v>2024-04</v>
      </c>
      <c r="D609" s="3" t="s">
        <v>28</v>
      </c>
      <c r="E609" s="3" t="s">
        <v>179</v>
      </c>
      <c r="F609" s="3" t="s">
        <v>9</v>
      </c>
      <c r="G6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09" s="3" t="s">
        <v>180</v>
      </c>
      <c r="I609" s="3" t="s">
        <v>31</v>
      </c>
      <c r="J609" s="3" t="s">
        <v>99</v>
      </c>
      <c r="K609" s="3" t="s">
        <v>33</v>
      </c>
      <c r="L609" s="3" t="s">
        <v>34</v>
      </c>
      <c r="M609" s="4">
        <v>214.48</v>
      </c>
    </row>
    <row r="610">
      <c r="A610" s="2">
        <v>45389</v>
      </c>
      <c r="B6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0" s="3" t="str">
        <f>YEAR(KMART_DATA[[#This Row],[Date]])&amp;"-"&amp;TEXT(MONTH(KMART_DATA[[#This Row],[Date]]),"00")</f>
        <v>2024-04</v>
      </c>
      <c r="D610" s="3" t="s">
        <v>28</v>
      </c>
      <c r="E610" s="3" t="s">
        <v>137</v>
      </c>
      <c r="F610" s="3" t="s">
        <v>10</v>
      </c>
      <c r="G6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10" s="3" t="s">
        <v>138</v>
      </c>
      <c r="I610" s="3" t="s">
        <v>31</v>
      </c>
      <c r="J610" s="3" t="s">
        <v>89</v>
      </c>
      <c r="K610" s="3" t="s">
        <v>43</v>
      </c>
      <c r="L610" s="3" t="s">
        <v>44</v>
      </c>
      <c r="M610" s="4">
        <v>462.74</v>
      </c>
    </row>
    <row r="611">
      <c r="A611" s="2">
        <v>45389</v>
      </c>
      <c r="B6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1" s="3" t="str">
        <f>YEAR(KMART_DATA[[#This Row],[Date]])&amp;"-"&amp;TEXT(MONTH(KMART_DATA[[#This Row],[Date]]),"00")</f>
        <v>2024-04</v>
      </c>
      <c r="D611" s="3" t="s">
        <v>28</v>
      </c>
      <c r="E611" s="3" t="s">
        <v>76</v>
      </c>
      <c r="F611" s="3" t="s">
        <v>11</v>
      </c>
      <c r="G6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11" s="3" t="s">
        <v>77</v>
      </c>
      <c r="I611" s="3" t="s">
        <v>31</v>
      </c>
      <c r="J611" s="3" t="s">
        <v>78</v>
      </c>
      <c r="K611" s="3" t="s">
        <v>46</v>
      </c>
      <c r="L611" s="3" t="s">
        <v>47</v>
      </c>
      <c r="M611" s="4">
        <v>643.77</v>
      </c>
    </row>
    <row r="612">
      <c r="A612" s="2">
        <v>45389</v>
      </c>
      <c r="B6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2" s="3" t="str">
        <f>YEAR(KMART_DATA[[#This Row],[Date]])&amp;"-"&amp;TEXT(MONTH(KMART_DATA[[#This Row],[Date]]),"00")</f>
        <v>2024-04</v>
      </c>
      <c r="D612" s="3" t="s">
        <v>28</v>
      </c>
      <c r="E612" s="3" t="s">
        <v>87</v>
      </c>
      <c r="F612" s="3" t="s">
        <v>10</v>
      </c>
      <c r="G6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12" s="3" t="s">
        <v>88</v>
      </c>
      <c r="I612" s="3" t="s">
        <v>31</v>
      </c>
      <c r="J612" s="3" t="s">
        <v>89</v>
      </c>
      <c r="K612" s="3" t="s">
        <v>33</v>
      </c>
      <c r="L612" s="3" t="s">
        <v>34</v>
      </c>
      <c r="M612" s="4">
        <v>2327.43</v>
      </c>
    </row>
    <row r="613">
      <c r="A613" s="2">
        <v>45389</v>
      </c>
      <c r="B6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3" s="3" t="str">
        <f>YEAR(KMART_DATA[[#This Row],[Date]])&amp;"-"&amp;TEXT(MONTH(KMART_DATA[[#This Row],[Date]]),"00")</f>
        <v>2024-04</v>
      </c>
      <c r="D613" s="3" t="s">
        <v>28</v>
      </c>
      <c r="E613" s="3" t="s">
        <v>114</v>
      </c>
      <c r="F613" s="3" t="s">
        <v>9</v>
      </c>
      <c r="G6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13" s="3" t="s">
        <v>115</v>
      </c>
      <c r="I613" s="3" t="s">
        <v>31</v>
      </c>
      <c r="J613" s="3" t="s">
        <v>99</v>
      </c>
      <c r="K613" s="3" t="s">
        <v>95</v>
      </c>
      <c r="L613" s="3" t="s">
        <v>96</v>
      </c>
      <c r="M613" s="4">
        <v>5111.37</v>
      </c>
    </row>
    <row r="614">
      <c r="A614" s="2">
        <v>45389</v>
      </c>
      <c r="B6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4" s="3" t="str">
        <f>YEAR(KMART_DATA[[#This Row],[Date]])&amp;"-"&amp;TEXT(MONTH(KMART_DATA[[#This Row],[Date]]),"00")</f>
        <v>2024-04</v>
      </c>
      <c r="D614" s="3" t="s">
        <v>28</v>
      </c>
      <c r="E614" s="3" t="s">
        <v>139</v>
      </c>
      <c r="F614" s="3" t="s">
        <v>10</v>
      </c>
      <c r="G6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14" s="3" t="s">
        <v>140</v>
      </c>
      <c r="I614" s="3" t="s">
        <v>31</v>
      </c>
      <c r="J614" s="3" t="s">
        <v>89</v>
      </c>
      <c r="K614" s="3" t="s">
        <v>95</v>
      </c>
      <c r="L614" s="3" t="s">
        <v>96</v>
      </c>
      <c r="M614" s="4">
        <v>12583.42</v>
      </c>
    </row>
    <row r="615">
      <c r="A615" s="2">
        <v>45390</v>
      </c>
      <c r="B6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5" s="3" t="str">
        <f>YEAR(KMART_DATA[[#This Row],[Date]])&amp;"-"&amp;TEXT(MONTH(KMART_DATA[[#This Row],[Date]]),"00")</f>
        <v>2024-04</v>
      </c>
      <c r="D615" s="3" t="s">
        <v>45</v>
      </c>
      <c r="E615" s="3" t="s">
        <v>175</v>
      </c>
      <c r="F615" s="3" t="s">
        <v>16</v>
      </c>
      <c r="G6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615" s="3" t="s">
        <v>176</v>
      </c>
      <c r="I615" s="3" t="s">
        <v>31</v>
      </c>
      <c r="J615" s="3" t="s">
        <v>107</v>
      </c>
      <c r="K615" s="3" t="s">
        <v>46</v>
      </c>
      <c r="L615" s="3" t="s">
        <v>47</v>
      </c>
      <c r="M615" s="4">
        <v>6.56</v>
      </c>
    </row>
    <row r="616">
      <c r="A616" s="2">
        <v>45390</v>
      </c>
      <c r="B6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6" s="3" t="str">
        <f>YEAR(KMART_DATA[[#This Row],[Date]])&amp;"-"&amp;TEXT(MONTH(KMART_DATA[[#This Row],[Date]]),"00")</f>
        <v>2024-04</v>
      </c>
      <c r="D616" s="3" t="s">
        <v>28</v>
      </c>
      <c r="E616" s="3" t="s">
        <v>250</v>
      </c>
      <c r="F616" s="3" t="s">
        <v>10</v>
      </c>
      <c r="G6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16" s="3" t="s">
        <v>251</v>
      </c>
      <c r="I616" s="3" t="s">
        <v>31</v>
      </c>
      <c r="J616" s="3" t="s">
        <v>37</v>
      </c>
      <c r="K616" s="3" t="s">
        <v>33</v>
      </c>
      <c r="L616" s="3" t="s">
        <v>34</v>
      </c>
      <c r="M616" s="4">
        <v>9.98</v>
      </c>
    </row>
    <row r="617">
      <c r="A617" s="2">
        <v>45390</v>
      </c>
      <c r="B6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7" s="3" t="str">
        <f>YEAR(KMART_DATA[[#This Row],[Date]])&amp;"-"&amp;TEXT(MONTH(KMART_DATA[[#This Row],[Date]]),"00")</f>
        <v>2024-04</v>
      </c>
      <c r="D617" s="3" t="s">
        <v>45</v>
      </c>
      <c r="E617" s="3" t="s">
        <v>125</v>
      </c>
      <c r="F617" s="3" t="s">
        <v>10</v>
      </c>
      <c r="G6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17" s="3" t="s">
        <v>126</v>
      </c>
      <c r="I617" s="3" t="s">
        <v>31</v>
      </c>
      <c r="J617" s="3" t="s">
        <v>94</v>
      </c>
      <c r="K617" s="3" t="s">
        <v>33</v>
      </c>
      <c r="L617" s="3" t="s">
        <v>34</v>
      </c>
      <c r="M617" s="4">
        <v>41.88</v>
      </c>
    </row>
    <row r="618">
      <c r="A618" s="2">
        <v>45390</v>
      </c>
      <c r="B6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8" s="3" t="str">
        <f>YEAR(KMART_DATA[[#This Row],[Date]])&amp;"-"&amp;TEXT(MONTH(KMART_DATA[[#This Row],[Date]]),"00")</f>
        <v>2024-04</v>
      </c>
      <c r="D618" s="3" t="s">
        <v>45</v>
      </c>
      <c r="E618" s="3" t="s">
        <v>234</v>
      </c>
      <c r="F618" s="3" t="s">
        <v>9</v>
      </c>
      <c r="G6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18" s="3" t="s">
        <v>235</v>
      </c>
      <c r="I618" s="3" t="s">
        <v>31</v>
      </c>
      <c r="J618" s="3" t="s">
        <v>81</v>
      </c>
      <c r="K618" s="3" t="s">
        <v>33</v>
      </c>
      <c r="L618" s="3" t="s">
        <v>34</v>
      </c>
      <c r="M618" s="4">
        <v>498.38</v>
      </c>
    </row>
    <row r="619">
      <c r="A619" s="2">
        <v>45390</v>
      </c>
      <c r="B6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19" s="3" t="str">
        <f>YEAR(KMART_DATA[[#This Row],[Date]])&amp;"-"&amp;TEXT(MONTH(KMART_DATA[[#This Row],[Date]]),"00")</f>
        <v>2024-04</v>
      </c>
      <c r="D619" s="3" t="s">
        <v>28</v>
      </c>
      <c r="E619" s="3" t="s">
        <v>262</v>
      </c>
      <c r="F619" s="3" t="s">
        <v>10</v>
      </c>
      <c r="G6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19" s="3" t="s">
        <v>263</v>
      </c>
      <c r="I619" s="3" t="s">
        <v>31</v>
      </c>
      <c r="J619" s="3" t="s">
        <v>120</v>
      </c>
      <c r="K619" s="3" t="s">
        <v>33</v>
      </c>
      <c r="L619" s="3" t="s">
        <v>34</v>
      </c>
      <c r="M619" s="4">
        <v>628.27</v>
      </c>
    </row>
    <row r="620">
      <c r="A620" s="2">
        <v>45390</v>
      </c>
      <c r="B6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0" s="3" t="str">
        <f>YEAR(KMART_DATA[[#This Row],[Date]])&amp;"-"&amp;TEXT(MONTH(KMART_DATA[[#This Row],[Date]]),"00")</f>
        <v>2024-04</v>
      </c>
      <c r="D620" s="3" t="s">
        <v>28</v>
      </c>
      <c r="E620" s="3" t="s">
        <v>62</v>
      </c>
      <c r="F620" s="3" t="s">
        <v>12</v>
      </c>
      <c r="G6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20" s="3" t="s">
        <v>63</v>
      </c>
      <c r="I620" s="3" t="s">
        <v>31</v>
      </c>
      <c r="J620" s="3" t="s">
        <v>50</v>
      </c>
      <c r="K620" s="3" t="s">
        <v>33</v>
      </c>
      <c r="L620" s="3" t="s">
        <v>34</v>
      </c>
      <c r="M620" s="4">
        <v>2416.16</v>
      </c>
    </row>
    <row r="621">
      <c r="A621" s="2">
        <v>45391</v>
      </c>
      <c r="B6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1" s="3" t="str">
        <f>YEAR(KMART_DATA[[#This Row],[Date]])&amp;"-"&amp;TEXT(MONTH(KMART_DATA[[#This Row],[Date]]),"00")</f>
        <v>2024-04</v>
      </c>
      <c r="D621" s="3" t="s">
        <v>28</v>
      </c>
      <c r="E621" s="3" t="s">
        <v>131</v>
      </c>
      <c r="F621" s="3" t="s">
        <v>11</v>
      </c>
      <c r="G6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21" s="3" t="s">
        <v>132</v>
      </c>
      <c r="I621" s="3" t="s">
        <v>31</v>
      </c>
      <c r="J621" s="3" t="s">
        <v>32</v>
      </c>
      <c r="K621" s="3" t="s">
        <v>43</v>
      </c>
      <c r="L621" s="3" t="s">
        <v>44</v>
      </c>
      <c r="M621" s="4">
        <v>7.5</v>
      </c>
    </row>
    <row r="622">
      <c r="A622" s="2">
        <v>45391</v>
      </c>
      <c r="B6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2" s="3" t="str">
        <f>YEAR(KMART_DATA[[#This Row],[Date]])&amp;"-"&amp;TEXT(MONTH(KMART_DATA[[#This Row],[Date]]),"00")</f>
        <v>2024-04</v>
      </c>
      <c r="D622" s="3" t="s">
        <v>28</v>
      </c>
      <c r="E622" s="3" t="s">
        <v>215</v>
      </c>
      <c r="F622" s="3" t="s">
        <v>15</v>
      </c>
      <c r="G6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622" s="3" t="s">
        <v>216</v>
      </c>
      <c r="I622" s="3" t="s">
        <v>31</v>
      </c>
      <c r="J622" s="3" t="s">
        <v>53</v>
      </c>
      <c r="K622" s="3" t="s">
        <v>33</v>
      </c>
      <c r="L622" s="3" t="s">
        <v>34</v>
      </c>
      <c r="M622" s="4">
        <v>7.99</v>
      </c>
    </row>
    <row r="623">
      <c r="A623" s="2">
        <v>45391</v>
      </c>
      <c r="B6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3" s="3" t="str">
        <f>YEAR(KMART_DATA[[#This Row],[Date]])&amp;"-"&amp;TEXT(MONTH(KMART_DATA[[#This Row],[Date]]),"00")</f>
        <v>2024-04</v>
      </c>
      <c r="D623" s="3" t="s">
        <v>28</v>
      </c>
      <c r="E623" s="3" t="s">
        <v>62</v>
      </c>
      <c r="F623" s="3" t="s">
        <v>12</v>
      </c>
      <c r="G6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23" s="3" t="s">
        <v>63</v>
      </c>
      <c r="I623" s="3" t="s">
        <v>31</v>
      </c>
      <c r="J623" s="3" t="s">
        <v>50</v>
      </c>
      <c r="K623" s="3" t="s">
        <v>123</v>
      </c>
      <c r="L623" s="3" t="s">
        <v>124</v>
      </c>
      <c r="M623" s="4">
        <v>62.21</v>
      </c>
    </row>
    <row r="624">
      <c r="A624" s="2">
        <v>45391</v>
      </c>
      <c r="B6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4" s="3" t="str">
        <f>YEAR(KMART_DATA[[#This Row],[Date]])&amp;"-"&amp;TEXT(MONTH(KMART_DATA[[#This Row],[Date]]),"00")</f>
        <v>2024-04</v>
      </c>
      <c r="D624" s="3" t="s">
        <v>45</v>
      </c>
      <c r="E624" s="3" t="s">
        <v>87</v>
      </c>
      <c r="F624" s="3" t="s">
        <v>10</v>
      </c>
      <c r="G6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24" s="3" t="s">
        <v>88</v>
      </c>
      <c r="I624" s="3" t="s">
        <v>31</v>
      </c>
      <c r="J624" s="3" t="s">
        <v>89</v>
      </c>
      <c r="K624" s="3" t="s">
        <v>66</v>
      </c>
      <c r="L624" s="3" t="s">
        <v>67</v>
      </c>
      <c r="M624" s="4">
        <v>237.69</v>
      </c>
    </row>
    <row r="625">
      <c r="A625" s="2">
        <v>45391</v>
      </c>
      <c r="B6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5" s="3" t="str">
        <f>YEAR(KMART_DATA[[#This Row],[Date]])&amp;"-"&amp;TEXT(MONTH(KMART_DATA[[#This Row],[Date]]),"00")</f>
        <v>2024-04</v>
      </c>
      <c r="D625" s="3" t="s">
        <v>45</v>
      </c>
      <c r="E625" s="3" t="s">
        <v>118</v>
      </c>
      <c r="F625" s="3" t="s">
        <v>10</v>
      </c>
      <c r="G6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25" s="3" t="s">
        <v>119</v>
      </c>
      <c r="I625" s="3" t="s">
        <v>31</v>
      </c>
      <c r="J625" s="3" t="s">
        <v>120</v>
      </c>
      <c r="K625" s="3" t="s">
        <v>112</v>
      </c>
      <c r="L625" s="3" t="s">
        <v>113</v>
      </c>
      <c r="M625" s="4">
        <v>247.39</v>
      </c>
    </row>
    <row r="626">
      <c r="A626" s="2">
        <v>45391</v>
      </c>
      <c r="B6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6" s="3" t="str">
        <f>YEAR(KMART_DATA[[#This Row],[Date]])&amp;"-"&amp;TEXT(MONTH(KMART_DATA[[#This Row],[Date]]),"00")</f>
        <v>2024-04</v>
      </c>
      <c r="D626" s="3" t="s">
        <v>28</v>
      </c>
      <c r="E626" s="3" t="s">
        <v>209</v>
      </c>
      <c r="F626" s="3" t="s">
        <v>9</v>
      </c>
      <c r="G6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26" s="3" t="s">
        <v>210</v>
      </c>
      <c r="I626" s="3" t="s">
        <v>31</v>
      </c>
      <c r="J626" s="3" t="s">
        <v>81</v>
      </c>
      <c r="K626" s="3" t="s">
        <v>43</v>
      </c>
      <c r="L626" s="3" t="s">
        <v>44</v>
      </c>
      <c r="M626" s="4">
        <v>688.07</v>
      </c>
    </row>
    <row r="627">
      <c r="A627" s="2">
        <v>45391</v>
      </c>
      <c r="B6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7" s="3" t="str">
        <f>YEAR(KMART_DATA[[#This Row],[Date]])&amp;"-"&amp;TEXT(MONTH(KMART_DATA[[#This Row],[Date]]),"00")</f>
        <v>2024-04</v>
      </c>
      <c r="D627" s="3" t="s">
        <v>45</v>
      </c>
      <c r="E627" s="3" t="s">
        <v>127</v>
      </c>
      <c r="F627" s="3" t="s">
        <v>11</v>
      </c>
      <c r="G6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27" s="3" t="s">
        <v>128</v>
      </c>
      <c r="I627" s="3" t="s">
        <v>31</v>
      </c>
      <c r="J627" s="3" t="s">
        <v>78</v>
      </c>
      <c r="K627" s="3" t="s">
        <v>33</v>
      </c>
      <c r="L627" s="3" t="s">
        <v>34</v>
      </c>
      <c r="M627" s="4">
        <v>870.45</v>
      </c>
    </row>
    <row r="628">
      <c r="A628" s="2">
        <v>45392</v>
      </c>
      <c r="B6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8" s="3" t="str">
        <f>YEAR(KMART_DATA[[#This Row],[Date]])&amp;"-"&amp;TEXT(MONTH(KMART_DATA[[#This Row],[Date]]),"00")</f>
        <v>2024-04</v>
      </c>
      <c r="D628" s="3" t="s">
        <v>28</v>
      </c>
      <c r="E628" s="3" t="s">
        <v>240</v>
      </c>
      <c r="F628" s="3" t="s">
        <v>15</v>
      </c>
      <c r="G6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628" s="3" t="s">
        <v>241</v>
      </c>
      <c r="I628" s="3" t="s">
        <v>31</v>
      </c>
      <c r="J628" s="3" t="s">
        <v>53</v>
      </c>
      <c r="K628" s="3" t="s">
        <v>43</v>
      </c>
      <c r="L628" s="3" t="s">
        <v>44</v>
      </c>
      <c r="M628" s="4">
        <v>10.0</v>
      </c>
    </row>
    <row r="629">
      <c r="A629" s="2">
        <v>45392</v>
      </c>
      <c r="B6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29" s="3" t="str">
        <f>YEAR(KMART_DATA[[#This Row],[Date]])&amp;"-"&amp;TEXT(MONTH(KMART_DATA[[#This Row],[Date]]),"00")</f>
        <v>2024-04</v>
      </c>
      <c r="D629" s="3" t="s">
        <v>28</v>
      </c>
      <c r="E629" s="3" t="s">
        <v>246</v>
      </c>
      <c r="F629" s="3" t="s">
        <v>10</v>
      </c>
      <c r="G6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29" s="3" t="s">
        <v>247</v>
      </c>
      <c r="I629" s="3" t="s">
        <v>31</v>
      </c>
      <c r="J629" s="3" t="s">
        <v>37</v>
      </c>
      <c r="K629" s="3" t="s">
        <v>33</v>
      </c>
      <c r="L629" s="3" t="s">
        <v>34</v>
      </c>
      <c r="M629" s="4">
        <v>57.18</v>
      </c>
    </row>
    <row r="630">
      <c r="A630" s="2">
        <v>45392</v>
      </c>
      <c r="B6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0" s="3" t="str">
        <f>YEAR(KMART_DATA[[#This Row],[Date]])&amp;"-"&amp;TEXT(MONTH(KMART_DATA[[#This Row],[Date]]),"00")</f>
        <v>2024-04</v>
      </c>
      <c r="D630" s="3" t="s">
        <v>28</v>
      </c>
      <c r="E630" s="3" t="s">
        <v>100</v>
      </c>
      <c r="F630" s="3" t="s">
        <v>12</v>
      </c>
      <c r="G6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30" s="3" t="s">
        <v>101</v>
      </c>
      <c r="I630" s="3" t="s">
        <v>31</v>
      </c>
      <c r="J630" s="3" t="s">
        <v>102</v>
      </c>
      <c r="K630" s="3" t="s">
        <v>33</v>
      </c>
      <c r="L630" s="3" t="s">
        <v>34</v>
      </c>
      <c r="M630" s="4">
        <v>281.53</v>
      </c>
    </row>
    <row r="631">
      <c r="A631" s="2">
        <v>45392</v>
      </c>
      <c r="B6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1" s="3" t="str">
        <f>YEAR(KMART_DATA[[#This Row],[Date]])&amp;"-"&amp;TEXT(MONTH(KMART_DATA[[#This Row],[Date]]),"00")</f>
        <v>2024-04</v>
      </c>
      <c r="D631" s="3" t="s">
        <v>45</v>
      </c>
      <c r="E631" s="3" t="s">
        <v>242</v>
      </c>
      <c r="F631" s="3" t="s">
        <v>10</v>
      </c>
      <c r="G6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31" s="3" t="s">
        <v>243</v>
      </c>
      <c r="I631" s="3" t="s">
        <v>31</v>
      </c>
      <c r="J631" s="3" t="s">
        <v>94</v>
      </c>
      <c r="K631" s="3" t="s">
        <v>43</v>
      </c>
      <c r="L631" s="3" t="s">
        <v>44</v>
      </c>
      <c r="M631" s="4">
        <v>516.3</v>
      </c>
    </row>
    <row r="632">
      <c r="A632" s="2">
        <v>45392</v>
      </c>
      <c r="B6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2" s="3" t="str">
        <f>YEAR(KMART_DATA[[#This Row],[Date]])&amp;"-"&amp;TEXT(MONTH(KMART_DATA[[#This Row],[Date]]),"00")</f>
        <v>2024-04</v>
      </c>
      <c r="D632" s="3" t="s">
        <v>28</v>
      </c>
      <c r="E632" s="3" t="s">
        <v>97</v>
      </c>
      <c r="F632" s="3" t="s">
        <v>9</v>
      </c>
      <c r="G6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32" s="3" t="s">
        <v>98</v>
      </c>
      <c r="I632" s="3" t="s">
        <v>31</v>
      </c>
      <c r="J632" s="3" t="s">
        <v>99</v>
      </c>
      <c r="K632" s="3" t="s">
        <v>112</v>
      </c>
      <c r="L632" s="3" t="s">
        <v>113</v>
      </c>
      <c r="M632" s="4">
        <v>797.75</v>
      </c>
    </row>
    <row r="633">
      <c r="A633" s="2">
        <v>45392</v>
      </c>
      <c r="B6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3" s="3" t="str">
        <f>YEAR(KMART_DATA[[#This Row],[Date]])&amp;"-"&amp;TEXT(MONTH(KMART_DATA[[#This Row],[Date]]),"00")</f>
        <v>2024-04</v>
      </c>
      <c r="D633" s="3" t="s">
        <v>28</v>
      </c>
      <c r="E633" s="3" t="s">
        <v>133</v>
      </c>
      <c r="F633" s="3" t="s">
        <v>10</v>
      </c>
      <c r="G6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33" s="3" t="s">
        <v>134</v>
      </c>
      <c r="I633" s="3" t="s">
        <v>31</v>
      </c>
      <c r="J633" s="3" t="s">
        <v>37</v>
      </c>
      <c r="K633" s="3" t="s">
        <v>95</v>
      </c>
      <c r="L633" s="3" t="s">
        <v>96</v>
      </c>
      <c r="M633" s="4">
        <v>977.03</v>
      </c>
    </row>
    <row r="634">
      <c r="A634" s="2">
        <v>45392</v>
      </c>
      <c r="B6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4" s="3" t="str">
        <f>YEAR(KMART_DATA[[#This Row],[Date]])&amp;"-"&amp;TEXT(MONTH(KMART_DATA[[#This Row],[Date]]),"00")</f>
        <v>2024-04</v>
      </c>
      <c r="D634" s="3" t="s">
        <v>28</v>
      </c>
      <c r="E634" s="3" t="s">
        <v>181</v>
      </c>
      <c r="F634" s="3" t="s">
        <v>11</v>
      </c>
      <c r="G6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34" s="3" t="s">
        <v>182</v>
      </c>
      <c r="I634" s="3" t="s">
        <v>31</v>
      </c>
      <c r="J634" s="3" t="s">
        <v>56</v>
      </c>
      <c r="K634" s="3" t="s">
        <v>57</v>
      </c>
      <c r="L634" s="3" t="s">
        <v>58</v>
      </c>
      <c r="M634" s="4">
        <v>5809.87</v>
      </c>
    </row>
    <row r="635">
      <c r="A635" s="2">
        <v>45393</v>
      </c>
      <c r="B6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5" s="3" t="str">
        <f>YEAR(KMART_DATA[[#This Row],[Date]])&amp;"-"&amp;TEXT(MONTH(KMART_DATA[[#This Row],[Date]]),"00")</f>
        <v>2024-04</v>
      </c>
      <c r="D635" s="3" t="s">
        <v>28</v>
      </c>
      <c r="E635" s="3" t="s">
        <v>215</v>
      </c>
      <c r="F635" s="3" t="s">
        <v>15</v>
      </c>
      <c r="G6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635" s="3" t="s">
        <v>216</v>
      </c>
      <c r="I635" s="3" t="s">
        <v>31</v>
      </c>
      <c r="J635" s="3" t="s">
        <v>53</v>
      </c>
      <c r="K635" s="3" t="s">
        <v>46</v>
      </c>
      <c r="L635" s="3" t="s">
        <v>47</v>
      </c>
      <c r="M635" s="4">
        <v>12.99</v>
      </c>
    </row>
    <row r="636">
      <c r="A636" s="2">
        <v>45393</v>
      </c>
      <c r="B6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6" s="3" t="str">
        <f>YEAR(KMART_DATA[[#This Row],[Date]])&amp;"-"&amp;TEXT(MONTH(KMART_DATA[[#This Row],[Date]]),"00")</f>
        <v>2024-04</v>
      </c>
      <c r="D636" s="3" t="s">
        <v>28</v>
      </c>
      <c r="E636" s="3" t="s">
        <v>135</v>
      </c>
      <c r="F636" s="3" t="s">
        <v>16</v>
      </c>
      <c r="G6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636" s="3" t="s">
        <v>136</v>
      </c>
      <c r="I636" s="3" t="s">
        <v>31</v>
      </c>
      <c r="J636" s="3" t="s">
        <v>107</v>
      </c>
      <c r="K636" s="3" t="s">
        <v>95</v>
      </c>
      <c r="L636" s="3" t="s">
        <v>96</v>
      </c>
      <c r="M636" s="4">
        <v>19.96</v>
      </c>
    </row>
    <row r="637">
      <c r="A637" s="2">
        <v>45393</v>
      </c>
      <c r="B6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7" s="3" t="str">
        <f>YEAR(KMART_DATA[[#This Row],[Date]])&amp;"-"&amp;TEXT(MONTH(KMART_DATA[[#This Row],[Date]]),"00")</f>
        <v>2024-04</v>
      </c>
      <c r="D637" s="3" t="s">
        <v>28</v>
      </c>
      <c r="E637" s="3" t="s">
        <v>238</v>
      </c>
      <c r="F637" s="3" t="s">
        <v>13</v>
      </c>
      <c r="G6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637" s="3" t="s">
        <v>239</v>
      </c>
      <c r="I637" s="3" t="s">
        <v>31</v>
      </c>
      <c r="J637" s="3" t="s">
        <v>42</v>
      </c>
      <c r="K637" s="3" t="s">
        <v>123</v>
      </c>
      <c r="L637" s="3" t="s">
        <v>124</v>
      </c>
      <c r="M637" s="4">
        <v>49.94</v>
      </c>
    </row>
    <row r="638">
      <c r="A638" s="2">
        <v>45393</v>
      </c>
      <c r="B6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8" s="3" t="str">
        <f>YEAR(KMART_DATA[[#This Row],[Date]])&amp;"-"&amp;TEXT(MONTH(KMART_DATA[[#This Row],[Date]]),"00")</f>
        <v>2024-04</v>
      </c>
      <c r="D638" s="3" t="s">
        <v>28</v>
      </c>
      <c r="E638" s="3" t="s">
        <v>167</v>
      </c>
      <c r="F638" s="3" t="s">
        <v>12</v>
      </c>
      <c r="G6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38" s="3" t="s">
        <v>168</v>
      </c>
      <c r="I638" s="3" t="s">
        <v>31</v>
      </c>
      <c r="J638" s="3" t="s">
        <v>102</v>
      </c>
      <c r="K638" s="3" t="s">
        <v>57</v>
      </c>
      <c r="L638" s="3" t="s">
        <v>58</v>
      </c>
      <c r="M638" s="4">
        <v>833.92</v>
      </c>
    </row>
    <row r="639">
      <c r="A639" s="2">
        <v>45393</v>
      </c>
      <c r="B6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39" s="3" t="str">
        <f>YEAR(KMART_DATA[[#This Row],[Date]])&amp;"-"&amp;TEXT(MONTH(KMART_DATA[[#This Row],[Date]]),"00")</f>
        <v>2024-04</v>
      </c>
      <c r="D639" s="3" t="s">
        <v>45</v>
      </c>
      <c r="E639" s="3" t="s">
        <v>256</v>
      </c>
      <c r="F639" s="3" t="s">
        <v>9</v>
      </c>
      <c r="G6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39" s="3" t="s">
        <v>257</v>
      </c>
      <c r="I639" s="3" t="s">
        <v>31</v>
      </c>
      <c r="J639" s="3" t="s">
        <v>70</v>
      </c>
      <c r="K639" s="3" t="s">
        <v>43</v>
      </c>
      <c r="L639" s="3" t="s">
        <v>44</v>
      </c>
      <c r="M639" s="4">
        <v>1063.39</v>
      </c>
    </row>
    <row r="640">
      <c r="A640" s="2">
        <v>45393</v>
      </c>
      <c r="B6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0" s="3" t="str">
        <f>YEAR(KMART_DATA[[#This Row],[Date]])&amp;"-"&amp;TEXT(MONTH(KMART_DATA[[#This Row],[Date]]),"00")</f>
        <v>2024-04</v>
      </c>
      <c r="D640" s="3" t="s">
        <v>28</v>
      </c>
      <c r="E640" s="3" t="s">
        <v>221</v>
      </c>
      <c r="F640" s="3" t="s">
        <v>11</v>
      </c>
      <c r="G6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40" s="3" t="s">
        <v>222</v>
      </c>
      <c r="I640" s="3" t="s">
        <v>31</v>
      </c>
      <c r="J640" s="3" t="s">
        <v>56</v>
      </c>
      <c r="K640" s="3" t="s">
        <v>57</v>
      </c>
      <c r="L640" s="3" t="s">
        <v>58</v>
      </c>
      <c r="M640" s="4">
        <v>2950.46</v>
      </c>
    </row>
    <row r="641">
      <c r="A641" s="2">
        <v>45393</v>
      </c>
      <c r="B6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1" s="3" t="str">
        <f>YEAR(KMART_DATA[[#This Row],[Date]])&amp;"-"&amp;TEXT(MONTH(KMART_DATA[[#This Row],[Date]]),"00")</f>
        <v>2024-04</v>
      </c>
      <c r="D641" s="3" t="s">
        <v>28</v>
      </c>
      <c r="E641" s="3" t="s">
        <v>87</v>
      </c>
      <c r="F641" s="3" t="s">
        <v>10</v>
      </c>
      <c r="G6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41" s="3" t="s">
        <v>88</v>
      </c>
      <c r="I641" s="3" t="s">
        <v>31</v>
      </c>
      <c r="J641" s="3" t="s">
        <v>89</v>
      </c>
      <c r="K641" s="3" t="s">
        <v>123</v>
      </c>
      <c r="L641" s="3" t="s">
        <v>124</v>
      </c>
      <c r="M641" s="4">
        <v>4040.88</v>
      </c>
    </row>
    <row r="642">
      <c r="A642" s="2">
        <v>45394</v>
      </c>
      <c r="B6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2" s="3" t="str">
        <f>YEAR(KMART_DATA[[#This Row],[Date]])&amp;"-"&amp;TEXT(MONTH(KMART_DATA[[#This Row],[Date]]),"00")</f>
        <v>2024-04</v>
      </c>
      <c r="D642" s="3" t="s">
        <v>28</v>
      </c>
      <c r="E642" s="3" t="s">
        <v>105</v>
      </c>
      <c r="F642" s="3" t="s">
        <v>9</v>
      </c>
      <c r="G6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42" s="3" t="s">
        <v>106</v>
      </c>
      <c r="I642" s="3" t="s">
        <v>31</v>
      </c>
      <c r="J642" s="3" t="s">
        <v>107</v>
      </c>
      <c r="K642" s="3" t="s">
        <v>71</v>
      </c>
      <c r="L642" s="3" t="s">
        <v>72</v>
      </c>
      <c r="M642" s="4">
        <v>6.0</v>
      </c>
    </row>
    <row r="643">
      <c r="A643" s="2">
        <v>45394</v>
      </c>
      <c r="B6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3" s="3" t="str">
        <f>YEAR(KMART_DATA[[#This Row],[Date]])&amp;"-"&amp;TEXT(MONTH(KMART_DATA[[#This Row],[Date]]),"00")</f>
        <v>2024-04</v>
      </c>
      <c r="D643" s="3" t="s">
        <v>28</v>
      </c>
      <c r="E643" s="3" t="s">
        <v>177</v>
      </c>
      <c r="F643" s="3" t="s">
        <v>12</v>
      </c>
      <c r="G6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43" s="3" t="s">
        <v>178</v>
      </c>
      <c r="I643" s="3" t="s">
        <v>31</v>
      </c>
      <c r="J643" s="3" t="s">
        <v>162</v>
      </c>
      <c r="K643" s="3" t="s">
        <v>43</v>
      </c>
      <c r="L643" s="3" t="s">
        <v>44</v>
      </c>
      <c r="M643" s="4">
        <v>16.0</v>
      </c>
    </row>
    <row r="644">
      <c r="A644" s="2">
        <v>45394</v>
      </c>
      <c r="B6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4" s="3" t="str">
        <f>YEAR(KMART_DATA[[#This Row],[Date]])&amp;"-"&amp;TEXT(MONTH(KMART_DATA[[#This Row],[Date]]),"00")</f>
        <v>2024-04</v>
      </c>
      <c r="D644" s="3" t="s">
        <v>28</v>
      </c>
      <c r="E644" s="3" t="s">
        <v>141</v>
      </c>
      <c r="F644" s="3" t="s">
        <v>9</v>
      </c>
      <c r="G6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44" s="3" t="s">
        <v>142</v>
      </c>
      <c r="I644" s="3" t="s">
        <v>31</v>
      </c>
      <c r="J644" s="3" t="s">
        <v>107</v>
      </c>
      <c r="K644" s="3" t="s">
        <v>33</v>
      </c>
      <c r="L644" s="3" t="s">
        <v>34</v>
      </c>
      <c r="M644" s="4">
        <v>21.95</v>
      </c>
    </row>
    <row r="645">
      <c r="A645" s="2">
        <v>45394</v>
      </c>
      <c r="B6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5" s="3" t="str">
        <f>YEAR(KMART_DATA[[#This Row],[Date]])&amp;"-"&amp;TEXT(MONTH(KMART_DATA[[#This Row],[Date]]),"00")</f>
        <v>2024-04</v>
      </c>
      <c r="D645" s="3" t="s">
        <v>45</v>
      </c>
      <c r="E645" s="3" t="s">
        <v>110</v>
      </c>
      <c r="F645" s="3" t="s">
        <v>9</v>
      </c>
      <c r="G6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45" s="3" t="s">
        <v>111</v>
      </c>
      <c r="I645" s="3" t="s">
        <v>31</v>
      </c>
      <c r="J645" s="3" t="s">
        <v>81</v>
      </c>
      <c r="K645" s="3" t="s">
        <v>71</v>
      </c>
      <c r="L645" s="3" t="s">
        <v>72</v>
      </c>
      <c r="M645" s="4">
        <v>23.39</v>
      </c>
    </row>
    <row r="646">
      <c r="A646" s="2">
        <v>45394</v>
      </c>
      <c r="B6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6" s="3" t="str">
        <f>YEAR(KMART_DATA[[#This Row],[Date]])&amp;"-"&amp;TEXT(MONTH(KMART_DATA[[#This Row],[Date]]),"00")</f>
        <v>2024-04</v>
      </c>
      <c r="D646" s="3" t="s">
        <v>28</v>
      </c>
      <c r="E646" s="3" t="s">
        <v>146</v>
      </c>
      <c r="F646" s="3" t="s">
        <v>9</v>
      </c>
      <c r="G6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46" s="3" t="s">
        <v>147</v>
      </c>
      <c r="I646" s="3" t="s">
        <v>31</v>
      </c>
      <c r="J646" s="3" t="s">
        <v>75</v>
      </c>
      <c r="K646" s="3" t="s">
        <v>33</v>
      </c>
      <c r="L646" s="3" t="s">
        <v>34</v>
      </c>
      <c r="M646" s="4">
        <v>43.89</v>
      </c>
    </row>
    <row r="647">
      <c r="A647" s="2">
        <v>45394</v>
      </c>
      <c r="B6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7" s="3" t="str">
        <f>YEAR(KMART_DATA[[#This Row],[Date]])&amp;"-"&amp;TEXT(MONTH(KMART_DATA[[#This Row],[Date]]),"00")</f>
        <v>2024-04</v>
      </c>
      <c r="D647" s="3" t="s">
        <v>28</v>
      </c>
      <c r="E647" s="3" t="s">
        <v>40</v>
      </c>
      <c r="F647" s="3" t="s">
        <v>13</v>
      </c>
      <c r="G6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647" s="3" t="s">
        <v>41</v>
      </c>
      <c r="I647" s="3" t="s">
        <v>31</v>
      </c>
      <c r="J647" s="3" t="s">
        <v>42</v>
      </c>
      <c r="K647" s="3" t="s">
        <v>95</v>
      </c>
      <c r="L647" s="3" t="s">
        <v>96</v>
      </c>
      <c r="M647" s="4">
        <v>91.77</v>
      </c>
    </row>
    <row r="648">
      <c r="A648" s="2">
        <v>45394</v>
      </c>
      <c r="B6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8" s="3" t="str">
        <f>YEAR(KMART_DATA[[#This Row],[Date]])&amp;"-"&amp;TEXT(MONTH(KMART_DATA[[#This Row],[Date]]),"00")</f>
        <v>2024-04</v>
      </c>
      <c r="D648" s="3" t="s">
        <v>28</v>
      </c>
      <c r="E648" s="3" t="s">
        <v>154</v>
      </c>
      <c r="F648" s="3" t="s">
        <v>11</v>
      </c>
      <c r="G6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48" s="3" t="s">
        <v>155</v>
      </c>
      <c r="I648" s="3" t="s">
        <v>31</v>
      </c>
      <c r="J648" s="3" t="s">
        <v>84</v>
      </c>
      <c r="K648" s="3" t="s">
        <v>95</v>
      </c>
      <c r="L648" s="3" t="s">
        <v>96</v>
      </c>
      <c r="M648" s="4">
        <v>148.82</v>
      </c>
    </row>
    <row r="649">
      <c r="A649" s="2">
        <v>45394</v>
      </c>
      <c r="B6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49" s="3" t="str">
        <f>YEAR(KMART_DATA[[#This Row],[Date]])&amp;"-"&amp;TEXT(MONTH(KMART_DATA[[#This Row],[Date]]),"00")</f>
        <v>2024-04</v>
      </c>
      <c r="D649" s="3" t="s">
        <v>45</v>
      </c>
      <c r="E649" s="3" t="s">
        <v>156</v>
      </c>
      <c r="F649" s="3" t="s">
        <v>9</v>
      </c>
      <c r="G6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49" s="3" t="s">
        <v>157</v>
      </c>
      <c r="I649" s="3" t="s">
        <v>31</v>
      </c>
      <c r="J649" s="3" t="s">
        <v>75</v>
      </c>
      <c r="K649" s="3" t="s">
        <v>43</v>
      </c>
      <c r="L649" s="3" t="s">
        <v>44</v>
      </c>
      <c r="M649" s="4">
        <v>189.82</v>
      </c>
    </row>
    <row r="650">
      <c r="A650" s="2">
        <v>45394</v>
      </c>
      <c r="B6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0" s="3" t="str">
        <f>YEAR(KMART_DATA[[#This Row],[Date]])&amp;"-"&amp;TEXT(MONTH(KMART_DATA[[#This Row],[Date]]),"00")</f>
        <v>2024-04</v>
      </c>
      <c r="D650" s="3" t="s">
        <v>28</v>
      </c>
      <c r="E650" s="3" t="s">
        <v>244</v>
      </c>
      <c r="F650" s="3" t="s">
        <v>13</v>
      </c>
      <c r="G6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650" s="3" t="s">
        <v>245</v>
      </c>
      <c r="I650" s="3" t="s">
        <v>31</v>
      </c>
      <c r="J650" s="3" t="s">
        <v>42</v>
      </c>
      <c r="K650" s="3" t="s">
        <v>43</v>
      </c>
      <c r="L650" s="3" t="s">
        <v>44</v>
      </c>
      <c r="M650" s="4">
        <v>300.36</v>
      </c>
    </row>
    <row r="651">
      <c r="A651" s="2">
        <v>45394</v>
      </c>
      <c r="B6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1" s="3" t="str">
        <f>YEAR(KMART_DATA[[#This Row],[Date]])&amp;"-"&amp;TEXT(MONTH(KMART_DATA[[#This Row],[Date]]),"00")</f>
        <v>2024-04</v>
      </c>
      <c r="D651" s="3" t="s">
        <v>28</v>
      </c>
      <c r="E651" s="3" t="s">
        <v>68</v>
      </c>
      <c r="F651" s="3" t="s">
        <v>9</v>
      </c>
      <c r="G6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51" s="3" t="s">
        <v>69</v>
      </c>
      <c r="I651" s="3" t="s">
        <v>31</v>
      </c>
      <c r="J651" s="3" t="s">
        <v>70</v>
      </c>
      <c r="K651" s="3" t="s">
        <v>43</v>
      </c>
      <c r="L651" s="3" t="s">
        <v>44</v>
      </c>
      <c r="M651" s="4">
        <v>443.18</v>
      </c>
    </row>
    <row r="652">
      <c r="A652" s="2">
        <v>45394</v>
      </c>
      <c r="B6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2" s="3" t="str">
        <f>YEAR(KMART_DATA[[#This Row],[Date]])&amp;"-"&amp;TEXT(MONTH(KMART_DATA[[#This Row],[Date]]),"00")</f>
        <v>2024-04</v>
      </c>
      <c r="D652" s="3" t="s">
        <v>45</v>
      </c>
      <c r="E652" s="3" t="s">
        <v>139</v>
      </c>
      <c r="F652" s="3" t="s">
        <v>10</v>
      </c>
      <c r="G6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52" s="3" t="s">
        <v>140</v>
      </c>
      <c r="I652" s="3" t="s">
        <v>31</v>
      </c>
      <c r="J652" s="3" t="s">
        <v>89</v>
      </c>
      <c r="K652" s="3" t="s">
        <v>123</v>
      </c>
      <c r="L652" s="3" t="s">
        <v>124</v>
      </c>
      <c r="M652" s="4">
        <v>1261.94</v>
      </c>
    </row>
    <row r="653">
      <c r="A653" s="2">
        <v>45394</v>
      </c>
      <c r="B6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3" s="3" t="str">
        <f>YEAR(KMART_DATA[[#This Row],[Date]])&amp;"-"&amp;TEXT(MONTH(KMART_DATA[[#This Row],[Date]]),"00")</f>
        <v>2024-04</v>
      </c>
      <c r="D653" s="3" t="s">
        <v>28</v>
      </c>
      <c r="E653" s="3" t="s">
        <v>234</v>
      </c>
      <c r="F653" s="3" t="s">
        <v>9</v>
      </c>
      <c r="G6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53" s="3" t="s">
        <v>235</v>
      </c>
      <c r="I653" s="3" t="s">
        <v>31</v>
      </c>
      <c r="J653" s="3" t="s">
        <v>81</v>
      </c>
      <c r="K653" s="3" t="s">
        <v>95</v>
      </c>
      <c r="L653" s="3" t="s">
        <v>96</v>
      </c>
      <c r="M653" s="4">
        <v>1316.53</v>
      </c>
    </row>
    <row r="654">
      <c r="A654" s="2">
        <v>45394</v>
      </c>
      <c r="B6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4" s="3" t="str">
        <f>YEAR(KMART_DATA[[#This Row],[Date]])&amp;"-"&amp;TEXT(MONTH(KMART_DATA[[#This Row],[Date]]),"00")</f>
        <v>2024-04</v>
      </c>
      <c r="D654" s="3" t="s">
        <v>28</v>
      </c>
      <c r="E654" s="3" t="s">
        <v>248</v>
      </c>
      <c r="F654" s="3" t="s">
        <v>12</v>
      </c>
      <c r="G6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54" s="3" t="s">
        <v>249</v>
      </c>
      <c r="I654" s="3" t="s">
        <v>31</v>
      </c>
      <c r="J654" s="3" t="s">
        <v>162</v>
      </c>
      <c r="K654" s="3" t="s">
        <v>71</v>
      </c>
      <c r="L654" s="3" t="s">
        <v>72</v>
      </c>
      <c r="M654" s="4">
        <v>1472.92</v>
      </c>
    </row>
    <row r="655">
      <c r="A655" s="2">
        <v>45394</v>
      </c>
      <c r="B6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5" s="3" t="str">
        <f>YEAR(KMART_DATA[[#This Row],[Date]])&amp;"-"&amp;TEXT(MONTH(KMART_DATA[[#This Row],[Date]]),"00")</f>
        <v>2024-04</v>
      </c>
      <c r="D655" s="3" t="s">
        <v>28</v>
      </c>
      <c r="E655" s="3" t="s">
        <v>118</v>
      </c>
      <c r="F655" s="3" t="s">
        <v>10</v>
      </c>
      <c r="G6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55" s="3" t="s">
        <v>119</v>
      </c>
      <c r="I655" s="3" t="s">
        <v>31</v>
      </c>
      <c r="J655" s="3" t="s">
        <v>120</v>
      </c>
      <c r="K655" s="3" t="s">
        <v>46</v>
      </c>
      <c r="L655" s="3" t="s">
        <v>47</v>
      </c>
      <c r="M655" s="4">
        <v>1612.65</v>
      </c>
    </row>
    <row r="656">
      <c r="A656" s="2">
        <v>45394</v>
      </c>
      <c r="B6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6" s="3" t="str">
        <f>YEAR(KMART_DATA[[#This Row],[Date]])&amp;"-"&amp;TEXT(MONTH(KMART_DATA[[#This Row],[Date]]),"00")</f>
        <v>2024-04</v>
      </c>
      <c r="D656" s="3" t="s">
        <v>45</v>
      </c>
      <c r="E656" s="3" t="s">
        <v>141</v>
      </c>
      <c r="F656" s="3" t="s">
        <v>9</v>
      </c>
      <c r="G6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56" s="3" t="s">
        <v>142</v>
      </c>
      <c r="I656" s="3" t="s">
        <v>31</v>
      </c>
      <c r="J656" s="3" t="s">
        <v>107</v>
      </c>
      <c r="K656" s="3" t="s">
        <v>57</v>
      </c>
      <c r="L656" s="3" t="s">
        <v>58</v>
      </c>
      <c r="M656" s="4">
        <v>1933.56</v>
      </c>
    </row>
    <row r="657">
      <c r="A657" s="2">
        <v>45395</v>
      </c>
      <c r="B6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7" s="3" t="str">
        <f>YEAR(KMART_DATA[[#This Row],[Date]])&amp;"-"&amp;TEXT(MONTH(KMART_DATA[[#This Row],[Date]]),"00")</f>
        <v>2024-04</v>
      </c>
      <c r="D657" s="3" t="s">
        <v>28</v>
      </c>
      <c r="E657" s="3" t="s">
        <v>260</v>
      </c>
      <c r="F657" s="3" t="s">
        <v>10</v>
      </c>
      <c r="G6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57" s="3" t="s">
        <v>261</v>
      </c>
      <c r="I657" s="3" t="s">
        <v>31</v>
      </c>
      <c r="J657" s="3" t="s">
        <v>89</v>
      </c>
      <c r="K657" s="3" t="s">
        <v>95</v>
      </c>
      <c r="L657" s="3" t="s">
        <v>96</v>
      </c>
      <c r="M657" s="4">
        <v>10.0</v>
      </c>
    </row>
    <row r="658">
      <c r="A658" s="2">
        <v>45395</v>
      </c>
      <c r="B6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8" s="3" t="str">
        <f>YEAR(KMART_DATA[[#This Row],[Date]])&amp;"-"&amp;TEXT(MONTH(KMART_DATA[[#This Row],[Date]]),"00")</f>
        <v>2024-04</v>
      </c>
      <c r="D658" s="3" t="s">
        <v>45</v>
      </c>
      <c r="E658" s="3" t="s">
        <v>221</v>
      </c>
      <c r="F658" s="3" t="s">
        <v>11</v>
      </c>
      <c r="G6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58" s="3" t="s">
        <v>222</v>
      </c>
      <c r="I658" s="3" t="s">
        <v>31</v>
      </c>
      <c r="J658" s="3" t="s">
        <v>56</v>
      </c>
      <c r="K658" s="3" t="s">
        <v>46</v>
      </c>
      <c r="L658" s="3" t="s">
        <v>47</v>
      </c>
      <c r="M658" s="4">
        <v>16.99</v>
      </c>
    </row>
    <row r="659">
      <c r="A659" s="2">
        <v>45395</v>
      </c>
      <c r="B6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59" s="3" t="str">
        <f>YEAR(KMART_DATA[[#This Row],[Date]])&amp;"-"&amp;TEXT(MONTH(KMART_DATA[[#This Row],[Date]]),"00")</f>
        <v>2024-04</v>
      </c>
      <c r="D659" s="3" t="s">
        <v>28</v>
      </c>
      <c r="E659" s="3" t="s">
        <v>169</v>
      </c>
      <c r="F659" s="3" t="s">
        <v>12</v>
      </c>
      <c r="G6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59" s="3" t="s">
        <v>170</v>
      </c>
      <c r="I659" s="3" t="s">
        <v>31</v>
      </c>
      <c r="J659" s="3" t="s">
        <v>102</v>
      </c>
      <c r="K659" s="3" t="s">
        <v>112</v>
      </c>
      <c r="L659" s="3" t="s">
        <v>113</v>
      </c>
      <c r="M659" s="4">
        <v>41.93</v>
      </c>
    </row>
    <row r="660">
      <c r="A660" s="2">
        <v>45395</v>
      </c>
      <c r="B6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0" s="3" t="str">
        <f>YEAR(KMART_DATA[[#This Row],[Date]])&amp;"-"&amp;TEXT(MONTH(KMART_DATA[[#This Row],[Date]]),"00")</f>
        <v>2024-04</v>
      </c>
      <c r="D660" s="3" t="s">
        <v>45</v>
      </c>
      <c r="E660" s="3" t="s">
        <v>135</v>
      </c>
      <c r="F660" s="3" t="s">
        <v>16</v>
      </c>
      <c r="G6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660" s="3" t="s">
        <v>136</v>
      </c>
      <c r="I660" s="3" t="s">
        <v>31</v>
      </c>
      <c r="J660" s="3" t="s">
        <v>107</v>
      </c>
      <c r="K660" s="3" t="s">
        <v>71</v>
      </c>
      <c r="L660" s="3" t="s">
        <v>72</v>
      </c>
      <c r="M660" s="4">
        <v>253.81</v>
      </c>
    </row>
    <row r="661">
      <c r="A661" s="2">
        <v>45395</v>
      </c>
      <c r="B6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1" s="3" t="str">
        <f>YEAR(KMART_DATA[[#This Row],[Date]])&amp;"-"&amp;TEXT(MONTH(KMART_DATA[[#This Row],[Date]]),"00")</f>
        <v>2024-04</v>
      </c>
      <c r="D661" s="3" t="s">
        <v>28</v>
      </c>
      <c r="E661" s="3" t="s">
        <v>129</v>
      </c>
      <c r="F661" s="3" t="s">
        <v>10</v>
      </c>
      <c r="G6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61" s="3" t="s">
        <v>130</v>
      </c>
      <c r="I661" s="3" t="s">
        <v>31</v>
      </c>
      <c r="J661" s="3" t="s">
        <v>120</v>
      </c>
      <c r="K661" s="3" t="s">
        <v>66</v>
      </c>
      <c r="L661" s="3" t="s">
        <v>67</v>
      </c>
      <c r="M661" s="4">
        <v>428.31</v>
      </c>
    </row>
    <row r="662">
      <c r="A662" s="2">
        <v>45395</v>
      </c>
      <c r="B6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2" s="3" t="str">
        <f>YEAR(KMART_DATA[[#This Row],[Date]])&amp;"-"&amp;TEXT(MONTH(KMART_DATA[[#This Row],[Date]]),"00")</f>
        <v>2024-04</v>
      </c>
      <c r="D662" s="3" t="s">
        <v>28</v>
      </c>
      <c r="E662" s="3" t="s">
        <v>68</v>
      </c>
      <c r="F662" s="3" t="s">
        <v>9</v>
      </c>
      <c r="G6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62" s="3" t="s">
        <v>69</v>
      </c>
      <c r="I662" s="3" t="s">
        <v>31</v>
      </c>
      <c r="J662" s="3" t="s">
        <v>70</v>
      </c>
      <c r="K662" s="3" t="s">
        <v>57</v>
      </c>
      <c r="L662" s="3" t="s">
        <v>58</v>
      </c>
      <c r="M662" s="4">
        <v>837.27</v>
      </c>
    </row>
    <row r="663">
      <c r="A663" s="2">
        <v>45396</v>
      </c>
      <c r="B6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3" s="3" t="str">
        <f>YEAR(KMART_DATA[[#This Row],[Date]])&amp;"-"&amp;TEXT(MONTH(KMART_DATA[[#This Row],[Date]]),"00")</f>
        <v>2024-04</v>
      </c>
      <c r="D663" s="3" t="s">
        <v>28</v>
      </c>
      <c r="E663" s="3" t="s">
        <v>264</v>
      </c>
      <c r="F663" s="3" t="s">
        <v>13</v>
      </c>
      <c r="G6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663" s="3" t="s">
        <v>265</v>
      </c>
      <c r="I663" s="3" t="s">
        <v>31</v>
      </c>
      <c r="J663" s="3" t="s">
        <v>42</v>
      </c>
      <c r="K663" s="3" t="s">
        <v>71</v>
      </c>
      <c r="L663" s="3" t="s">
        <v>72</v>
      </c>
      <c r="M663" s="4">
        <v>3.0</v>
      </c>
    </row>
    <row r="664">
      <c r="A664" s="2">
        <v>45396</v>
      </c>
      <c r="B6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4" s="3" t="str">
        <f>YEAR(KMART_DATA[[#This Row],[Date]])&amp;"-"&amp;TEXT(MONTH(KMART_DATA[[#This Row],[Date]]),"00")</f>
        <v>2024-04</v>
      </c>
      <c r="D664" s="3" t="s">
        <v>28</v>
      </c>
      <c r="E664" s="3" t="s">
        <v>191</v>
      </c>
      <c r="F664" s="3" t="s">
        <v>10</v>
      </c>
      <c r="G6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64" s="3" t="s">
        <v>192</v>
      </c>
      <c r="I664" s="3" t="s">
        <v>31</v>
      </c>
      <c r="J664" s="3" t="s">
        <v>120</v>
      </c>
      <c r="K664" s="3" t="s">
        <v>71</v>
      </c>
      <c r="L664" s="3" t="s">
        <v>72</v>
      </c>
      <c r="M664" s="4">
        <v>570.93</v>
      </c>
    </row>
    <row r="665">
      <c r="A665" s="2">
        <v>45396</v>
      </c>
      <c r="B6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5" s="3" t="str">
        <f>YEAR(KMART_DATA[[#This Row],[Date]])&amp;"-"&amp;TEXT(MONTH(KMART_DATA[[#This Row],[Date]]),"00")</f>
        <v>2024-04</v>
      </c>
      <c r="D665" s="3" t="s">
        <v>45</v>
      </c>
      <c r="E665" s="3" t="s">
        <v>146</v>
      </c>
      <c r="F665" s="3" t="s">
        <v>9</v>
      </c>
      <c r="G6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65" s="3" t="s">
        <v>147</v>
      </c>
      <c r="I665" s="3" t="s">
        <v>31</v>
      </c>
      <c r="J665" s="3" t="s">
        <v>75</v>
      </c>
      <c r="K665" s="3" t="s">
        <v>123</v>
      </c>
      <c r="L665" s="3" t="s">
        <v>124</v>
      </c>
      <c r="M665" s="4">
        <v>685.08</v>
      </c>
    </row>
    <row r="666">
      <c r="A666" s="2">
        <v>45396</v>
      </c>
      <c r="B6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6" s="3" t="str">
        <f>YEAR(KMART_DATA[[#This Row],[Date]])&amp;"-"&amp;TEXT(MONTH(KMART_DATA[[#This Row],[Date]]),"00")</f>
        <v>2024-04</v>
      </c>
      <c r="D666" s="3" t="s">
        <v>28</v>
      </c>
      <c r="E666" s="3" t="s">
        <v>181</v>
      </c>
      <c r="F666" s="3" t="s">
        <v>11</v>
      </c>
      <c r="G6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66" s="3" t="s">
        <v>182</v>
      </c>
      <c r="I666" s="3" t="s">
        <v>31</v>
      </c>
      <c r="J666" s="3" t="s">
        <v>56</v>
      </c>
      <c r="K666" s="3" t="s">
        <v>71</v>
      </c>
      <c r="L666" s="3" t="s">
        <v>72</v>
      </c>
      <c r="M666" s="4">
        <v>1925.47</v>
      </c>
    </row>
    <row r="667">
      <c r="A667" s="2">
        <v>45397</v>
      </c>
      <c r="B6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7" s="3" t="str">
        <f>YEAR(KMART_DATA[[#This Row],[Date]])&amp;"-"&amp;TEXT(MONTH(KMART_DATA[[#This Row],[Date]]),"00")</f>
        <v>2024-04</v>
      </c>
      <c r="D667" s="3" t="s">
        <v>28</v>
      </c>
      <c r="E667" s="3" t="s">
        <v>79</v>
      </c>
      <c r="F667" s="3" t="s">
        <v>9</v>
      </c>
      <c r="G6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67" s="3" t="s">
        <v>80</v>
      </c>
      <c r="I667" s="3" t="s">
        <v>31</v>
      </c>
      <c r="J667" s="3" t="s">
        <v>81</v>
      </c>
      <c r="K667" s="3" t="s">
        <v>46</v>
      </c>
      <c r="L667" s="3" t="s">
        <v>47</v>
      </c>
      <c r="M667" s="4">
        <v>38.97</v>
      </c>
    </row>
    <row r="668">
      <c r="A668" s="2">
        <v>45397</v>
      </c>
      <c r="B6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8" s="3" t="str">
        <f>YEAR(KMART_DATA[[#This Row],[Date]])&amp;"-"&amp;TEXT(MONTH(KMART_DATA[[#This Row],[Date]]),"00")</f>
        <v>2024-04</v>
      </c>
      <c r="D668" s="3" t="s">
        <v>45</v>
      </c>
      <c r="E668" s="3" t="s">
        <v>82</v>
      </c>
      <c r="F668" s="3" t="s">
        <v>11</v>
      </c>
      <c r="G6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68" s="3" t="s">
        <v>83</v>
      </c>
      <c r="I668" s="3" t="s">
        <v>31</v>
      </c>
      <c r="J668" s="3" t="s">
        <v>84</v>
      </c>
      <c r="K668" s="3" t="s">
        <v>66</v>
      </c>
      <c r="L668" s="3" t="s">
        <v>67</v>
      </c>
      <c r="M668" s="4">
        <v>73.89</v>
      </c>
    </row>
    <row r="669">
      <c r="A669" s="2">
        <v>45397</v>
      </c>
      <c r="B6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69" s="3" t="str">
        <f>YEAR(KMART_DATA[[#This Row],[Date]])&amp;"-"&amp;TEXT(MONTH(KMART_DATA[[#This Row],[Date]]),"00")</f>
        <v>2024-04</v>
      </c>
      <c r="D669" s="3" t="s">
        <v>28</v>
      </c>
      <c r="E669" s="3" t="s">
        <v>183</v>
      </c>
      <c r="F669" s="3" t="s">
        <v>9</v>
      </c>
      <c r="G6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69" s="3" t="s">
        <v>184</v>
      </c>
      <c r="I669" s="3" t="s">
        <v>31</v>
      </c>
      <c r="J669" s="3" t="s">
        <v>70</v>
      </c>
      <c r="K669" s="3" t="s">
        <v>46</v>
      </c>
      <c r="L669" s="3" t="s">
        <v>47</v>
      </c>
      <c r="M669" s="4">
        <v>532.92</v>
      </c>
    </row>
    <row r="670">
      <c r="A670" s="2">
        <v>45397</v>
      </c>
      <c r="B6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0" s="3" t="str">
        <f>YEAR(KMART_DATA[[#This Row],[Date]])&amp;"-"&amp;TEXT(MONTH(KMART_DATA[[#This Row],[Date]]),"00")</f>
        <v>2024-04</v>
      </c>
      <c r="D670" s="3" t="s">
        <v>28</v>
      </c>
      <c r="E670" s="3" t="s">
        <v>242</v>
      </c>
      <c r="F670" s="3" t="s">
        <v>10</v>
      </c>
      <c r="G6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70" s="3" t="s">
        <v>243</v>
      </c>
      <c r="I670" s="3" t="s">
        <v>31</v>
      </c>
      <c r="J670" s="3" t="s">
        <v>94</v>
      </c>
      <c r="K670" s="3" t="s">
        <v>57</v>
      </c>
      <c r="L670" s="3" t="s">
        <v>58</v>
      </c>
      <c r="M670" s="4">
        <v>655.78</v>
      </c>
    </row>
    <row r="671">
      <c r="A671" s="2">
        <v>45397</v>
      </c>
      <c r="B6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1" s="3" t="str">
        <f>YEAR(KMART_DATA[[#This Row],[Date]])&amp;"-"&amp;TEXT(MONTH(KMART_DATA[[#This Row],[Date]]),"00")</f>
        <v>2024-04</v>
      </c>
      <c r="D671" s="3" t="s">
        <v>28</v>
      </c>
      <c r="E671" s="3" t="s">
        <v>79</v>
      </c>
      <c r="F671" s="3" t="s">
        <v>9</v>
      </c>
      <c r="G6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71" s="3" t="s">
        <v>80</v>
      </c>
      <c r="I671" s="3" t="s">
        <v>31</v>
      </c>
      <c r="J671" s="3" t="s">
        <v>81</v>
      </c>
      <c r="K671" s="3" t="s">
        <v>71</v>
      </c>
      <c r="L671" s="3" t="s">
        <v>72</v>
      </c>
      <c r="M671" s="4">
        <v>685.12</v>
      </c>
    </row>
    <row r="672">
      <c r="A672" s="2">
        <v>45397</v>
      </c>
      <c r="B6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2" s="3" t="str">
        <f>YEAR(KMART_DATA[[#This Row],[Date]])&amp;"-"&amp;TEXT(MONTH(KMART_DATA[[#This Row],[Date]]),"00")</f>
        <v>2024-04</v>
      </c>
      <c r="D672" s="3" t="s">
        <v>28</v>
      </c>
      <c r="E672" s="3" t="s">
        <v>59</v>
      </c>
      <c r="F672" s="3" t="s">
        <v>11</v>
      </c>
      <c r="G6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72" s="3" t="s">
        <v>60</v>
      </c>
      <c r="I672" s="3" t="s">
        <v>31</v>
      </c>
      <c r="J672" s="3" t="s">
        <v>61</v>
      </c>
      <c r="K672" s="3" t="s">
        <v>71</v>
      </c>
      <c r="L672" s="3" t="s">
        <v>72</v>
      </c>
      <c r="M672" s="4">
        <v>1316.6</v>
      </c>
    </row>
    <row r="673">
      <c r="A673" s="2">
        <v>45398</v>
      </c>
      <c r="B6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3" s="3" t="str">
        <f>YEAR(KMART_DATA[[#This Row],[Date]])&amp;"-"&amp;TEXT(MONTH(KMART_DATA[[#This Row],[Date]]),"00")</f>
        <v>2024-04</v>
      </c>
      <c r="D673" s="3" t="s">
        <v>28</v>
      </c>
      <c r="E673" s="3" t="s">
        <v>135</v>
      </c>
      <c r="F673" s="3" t="s">
        <v>16</v>
      </c>
      <c r="G6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673" s="3" t="s">
        <v>136</v>
      </c>
      <c r="I673" s="3" t="s">
        <v>31</v>
      </c>
      <c r="J673" s="3" t="s">
        <v>107</v>
      </c>
      <c r="K673" s="3" t="s">
        <v>123</v>
      </c>
      <c r="L673" s="3" t="s">
        <v>124</v>
      </c>
      <c r="M673" s="4">
        <v>6.0</v>
      </c>
    </row>
    <row r="674">
      <c r="A674" s="2">
        <v>45398</v>
      </c>
      <c r="B6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4" s="3" t="str">
        <f>YEAR(KMART_DATA[[#This Row],[Date]])&amp;"-"&amp;TEXT(MONTH(KMART_DATA[[#This Row],[Date]]),"00")</f>
        <v>2024-04</v>
      </c>
      <c r="D674" s="3" t="s">
        <v>28</v>
      </c>
      <c r="E674" s="3" t="s">
        <v>262</v>
      </c>
      <c r="F674" s="3" t="s">
        <v>10</v>
      </c>
      <c r="G6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74" s="3" t="s">
        <v>263</v>
      </c>
      <c r="I674" s="3" t="s">
        <v>31</v>
      </c>
      <c r="J674" s="3" t="s">
        <v>120</v>
      </c>
      <c r="K674" s="3" t="s">
        <v>71</v>
      </c>
      <c r="L674" s="3" t="s">
        <v>72</v>
      </c>
      <c r="M674" s="4">
        <v>14.97</v>
      </c>
    </row>
    <row r="675">
      <c r="A675" s="2">
        <v>45398</v>
      </c>
      <c r="B6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5" s="3" t="str">
        <f>YEAR(KMART_DATA[[#This Row],[Date]])&amp;"-"&amp;TEXT(MONTH(KMART_DATA[[#This Row],[Date]]),"00")</f>
        <v>2024-04</v>
      </c>
      <c r="D675" s="3" t="s">
        <v>45</v>
      </c>
      <c r="E675" s="3" t="s">
        <v>193</v>
      </c>
      <c r="F675" s="3" t="s">
        <v>9</v>
      </c>
      <c r="G6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75" s="3" t="s">
        <v>194</v>
      </c>
      <c r="I675" s="3" t="s">
        <v>31</v>
      </c>
      <c r="J675" s="3" t="s">
        <v>99</v>
      </c>
      <c r="K675" s="3" t="s">
        <v>33</v>
      </c>
      <c r="L675" s="3" t="s">
        <v>34</v>
      </c>
      <c r="M675" s="4">
        <v>37.62</v>
      </c>
    </row>
    <row r="676">
      <c r="A676" s="2">
        <v>45398</v>
      </c>
      <c r="B6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6" s="3" t="str">
        <f>YEAR(KMART_DATA[[#This Row],[Date]])&amp;"-"&amp;TEXT(MONTH(KMART_DATA[[#This Row],[Date]]),"00")</f>
        <v>2024-04</v>
      </c>
      <c r="D676" s="3" t="s">
        <v>28</v>
      </c>
      <c r="E676" s="3" t="s">
        <v>137</v>
      </c>
      <c r="F676" s="3" t="s">
        <v>10</v>
      </c>
      <c r="G6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76" s="3" t="s">
        <v>138</v>
      </c>
      <c r="I676" s="3" t="s">
        <v>31</v>
      </c>
      <c r="J676" s="3" t="s">
        <v>89</v>
      </c>
      <c r="K676" s="3" t="s">
        <v>57</v>
      </c>
      <c r="L676" s="3" t="s">
        <v>58</v>
      </c>
      <c r="M676" s="4">
        <v>248.02</v>
      </c>
    </row>
    <row r="677">
      <c r="A677" s="2">
        <v>45398</v>
      </c>
      <c r="B6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7" s="3" t="str">
        <f>YEAR(KMART_DATA[[#This Row],[Date]])&amp;"-"&amp;TEXT(MONTH(KMART_DATA[[#This Row],[Date]]),"00")</f>
        <v>2024-04</v>
      </c>
      <c r="D677" s="3" t="s">
        <v>28</v>
      </c>
      <c r="E677" s="3" t="s">
        <v>64</v>
      </c>
      <c r="F677" s="3" t="s">
        <v>11</v>
      </c>
      <c r="G6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77" s="3" t="s">
        <v>65</v>
      </c>
      <c r="I677" s="3" t="s">
        <v>31</v>
      </c>
      <c r="J677" s="3" t="s">
        <v>61</v>
      </c>
      <c r="K677" s="3" t="s">
        <v>33</v>
      </c>
      <c r="L677" s="3" t="s">
        <v>34</v>
      </c>
      <c r="M677" s="4">
        <v>2139.31</v>
      </c>
    </row>
    <row r="678">
      <c r="A678" s="2">
        <v>45399</v>
      </c>
      <c r="B6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8" s="3" t="str">
        <f>YEAR(KMART_DATA[[#This Row],[Date]])&amp;"-"&amp;TEXT(MONTH(KMART_DATA[[#This Row],[Date]]),"00")</f>
        <v>2024-04</v>
      </c>
      <c r="D678" s="3" t="s">
        <v>45</v>
      </c>
      <c r="E678" s="3" t="s">
        <v>246</v>
      </c>
      <c r="F678" s="3" t="s">
        <v>10</v>
      </c>
      <c r="G6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78" s="3" t="s">
        <v>247</v>
      </c>
      <c r="I678" s="3" t="s">
        <v>31</v>
      </c>
      <c r="J678" s="3" t="s">
        <v>37</v>
      </c>
      <c r="K678" s="3" t="s">
        <v>38</v>
      </c>
      <c r="L678" s="3" t="s">
        <v>39</v>
      </c>
      <c r="M678" s="4">
        <v>4.0</v>
      </c>
    </row>
    <row r="679">
      <c r="A679" s="2">
        <v>45399</v>
      </c>
      <c r="B6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79" s="3" t="str">
        <f>YEAR(KMART_DATA[[#This Row],[Date]])&amp;"-"&amp;TEXT(MONTH(KMART_DATA[[#This Row],[Date]]),"00")</f>
        <v>2024-04</v>
      </c>
      <c r="D679" s="3" t="s">
        <v>45</v>
      </c>
      <c r="E679" s="3" t="s">
        <v>108</v>
      </c>
      <c r="F679" s="3" t="s">
        <v>9</v>
      </c>
      <c r="G6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79" s="3" t="s">
        <v>109</v>
      </c>
      <c r="I679" s="3" t="s">
        <v>31</v>
      </c>
      <c r="J679" s="3" t="s">
        <v>75</v>
      </c>
      <c r="K679" s="3" t="s">
        <v>123</v>
      </c>
      <c r="L679" s="3" t="s">
        <v>124</v>
      </c>
      <c r="M679" s="4">
        <v>24.88</v>
      </c>
    </row>
    <row r="680">
      <c r="A680" s="2">
        <v>45399</v>
      </c>
      <c r="B6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0" s="3" t="str">
        <f>YEAR(KMART_DATA[[#This Row],[Date]])&amp;"-"&amp;TEXT(MONTH(KMART_DATA[[#This Row],[Date]]),"00")</f>
        <v>2024-04</v>
      </c>
      <c r="D680" s="3" t="s">
        <v>28</v>
      </c>
      <c r="E680" s="3" t="s">
        <v>175</v>
      </c>
      <c r="F680" s="3" t="s">
        <v>16</v>
      </c>
      <c r="G6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680" s="3" t="s">
        <v>176</v>
      </c>
      <c r="I680" s="3" t="s">
        <v>31</v>
      </c>
      <c r="J680" s="3" t="s">
        <v>107</v>
      </c>
      <c r="K680" s="3" t="s">
        <v>57</v>
      </c>
      <c r="L680" s="3" t="s">
        <v>58</v>
      </c>
      <c r="M680" s="4">
        <v>1905.38</v>
      </c>
    </row>
    <row r="681">
      <c r="A681" s="2">
        <v>45399</v>
      </c>
      <c r="B6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1" s="3" t="str">
        <f>YEAR(KMART_DATA[[#This Row],[Date]])&amp;"-"&amp;TEXT(MONTH(KMART_DATA[[#This Row],[Date]]),"00")</f>
        <v>2024-04</v>
      </c>
      <c r="D681" s="3" t="s">
        <v>45</v>
      </c>
      <c r="E681" s="3" t="s">
        <v>262</v>
      </c>
      <c r="F681" s="3" t="s">
        <v>10</v>
      </c>
      <c r="G6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81" s="3" t="s">
        <v>263</v>
      </c>
      <c r="I681" s="3" t="s">
        <v>31</v>
      </c>
      <c r="J681" s="3" t="s">
        <v>120</v>
      </c>
      <c r="K681" s="3" t="s">
        <v>95</v>
      </c>
      <c r="L681" s="3" t="s">
        <v>96</v>
      </c>
      <c r="M681" s="4">
        <v>4557.68</v>
      </c>
    </row>
    <row r="682">
      <c r="A682" s="2">
        <v>45399</v>
      </c>
      <c r="B6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2" s="3" t="str">
        <f>YEAR(KMART_DATA[[#This Row],[Date]])&amp;"-"&amp;TEXT(MONTH(KMART_DATA[[#This Row],[Date]]),"00")</f>
        <v>2024-04</v>
      </c>
      <c r="D682" s="3" t="s">
        <v>28</v>
      </c>
      <c r="E682" s="3" t="s">
        <v>197</v>
      </c>
      <c r="F682" s="3" t="s">
        <v>9</v>
      </c>
      <c r="G6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82" s="3" t="s">
        <v>198</v>
      </c>
      <c r="I682" s="3" t="s">
        <v>31</v>
      </c>
      <c r="J682" s="3" t="s">
        <v>107</v>
      </c>
      <c r="K682" s="3" t="s">
        <v>71</v>
      </c>
      <c r="L682" s="3" t="s">
        <v>72</v>
      </c>
      <c r="M682" s="4">
        <v>4624.0</v>
      </c>
    </row>
    <row r="683">
      <c r="A683" s="2">
        <v>45400</v>
      </c>
      <c r="B6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3" s="3" t="str">
        <f>YEAR(KMART_DATA[[#This Row],[Date]])&amp;"-"&amp;TEXT(MONTH(KMART_DATA[[#This Row],[Date]]),"00")</f>
        <v>2024-04</v>
      </c>
      <c r="D683" s="3" t="s">
        <v>45</v>
      </c>
      <c r="E683" s="3" t="s">
        <v>195</v>
      </c>
      <c r="F683" s="3" t="s">
        <v>11</v>
      </c>
      <c r="G6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83" s="3" t="s">
        <v>196</v>
      </c>
      <c r="I683" s="3" t="s">
        <v>31</v>
      </c>
      <c r="J683" s="3" t="s">
        <v>32</v>
      </c>
      <c r="K683" s="3" t="s">
        <v>57</v>
      </c>
      <c r="L683" s="3" t="s">
        <v>58</v>
      </c>
      <c r="M683" s="4">
        <v>59.97</v>
      </c>
    </row>
    <row r="684">
      <c r="A684" s="2">
        <v>45400</v>
      </c>
      <c r="B6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4" s="3" t="str">
        <f>YEAR(KMART_DATA[[#This Row],[Date]])&amp;"-"&amp;TEXT(MONTH(KMART_DATA[[#This Row],[Date]]),"00")</f>
        <v>2024-04</v>
      </c>
      <c r="D684" s="3" t="s">
        <v>45</v>
      </c>
      <c r="E684" s="3" t="s">
        <v>173</v>
      </c>
      <c r="F684" s="3" t="s">
        <v>11</v>
      </c>
      <c r="G6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684" s="3" t="s">
        <v>174</v>
      </c>
      <c r="I684" s="3" t="s">
        <v>31</v>
      </c>
      <c r="J684" s="3" t="s">
        <v>61</v>
      </c>
      <c r="K684" s="3" t="s">
        <v>123</v>
      </c>
      <c r="L684" s="3" t="s">
        <v>124</v>
      </c>
      <c r="M684" s="4">
        <v>121.8</v>
      </c>
    </row>
    <row r="685">
      <c r="A685" s="2">
        <v>45400</v>
      </c>
      <c r="B6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5" s="3" t="str">
        <f>YEAR(KMART_DATA[[#This Row],[Date]])&amp;"-"&amp;TEXT(MONTH(KMART_DATA[[#This Row],[Date]]),"00")</f>
        <v>2024-04</v>
      </c>
      <c r="D685" s="3" t="s">
        <v>45</v>
      </c>
      <c r="E685" s="3" t="s">
        <v>240</v>
      </c>
      <c r="F685" s="3" t="s">
        <v>15</v>
      </c>
      <c r="G6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685" s="3" t="s">
        <v>241</v>
      </c>
      <c r="I685" s="3" t="s">
        <v>31</v>
      </c>
      <c r="J685" s="3" t="s">
        <v>53</v>
      </c>
      <c r="K685" s="3" t="s">
        <v>33</v>
      </c>
      <c r="L685" s="3" t="s">
        <v>34</v>
      </c>
      <c r="M685" s="4">
        <v>580.65</v>
      </c>
    </row>
    <row r="686">
      <c r="A686" s="2">
        <v>45400</v>
      </c>
      <c r="B6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6" s="3" t="str">
        <f>YEAR(KMART_DATA[[#This Row],[Date]])&amp;"-"&amp;TEXT(MONTH(KMART_DATA[[#This Row],[Date]]),"00")</f>
        <v>2024-04</v>
      </c>
      <c r="D686" s="3" t="s">
        <v>28</v>
      </c>
      <c r="E686" s="3" t="s">
        <v>234</v>
      </c>
      <c r="F686" s="3" t="s">
        <v>9</v>
      </c>
      <c r="G6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86" s="3" t="s">
        <v>235</v>
      </c>
      <c r="I686" s="3" t="s">
        <v>31</v>
      </c>
      <c r="J686" s="3" t="s">
        <v>81</v>
      </c>
      <c r="K686" s="3" t="s">
        <v>43</v>
      </c>
      <c r="L686" s="3" t="s">
        <v>44</v>
      </c>
      <c r="M686" s="4">
        <v>660.34</v>
      </c>
    </row>
    <row r="687">
      <c r="A687" s="2">
        <v>45400</v>
      </c>
      <c r="B6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7" s="3" t="str">
        <f>YEAR(KMART_DATA[[#This Row],[Date]])&amp;"-"&amp;TEXT(MONTH(KMART_DATA[[#This Row],[Date]]),"00")</f>
        <v>2024-04</v>
      </c>
      <c r="D687" s="3" t="s">
        <v>28</v>
      </c>
      <c r="E687" s="3" t="s">
        <v>35</v>
      </c>
      <c r="F687" s="3" t="s">
        <v>10</v>
      </c>
      <c r="G6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87" s="3" t="s">
        <v>36</v>
      </c>
      <c r="I687" s="3" t="s">
        <v>31</v>
      </c>
      <c r="J687" s="3" t="s">
        <v>37</v>
      </c>
      <c r="K687" s="3" t="s">
        <v>46</v>
      </c>
      <c r="L687" s="3" t="s">
        <v>47</v>
      </c>
      <c r="M687" s="4">
        <v>733.47</v>
      </c>
    </row>
    <row r="688">
      <c r="A688" s="2">
        <v>45400</v>
      </c>
      <c r="B6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8" s="3" t="str">
        <f>YEAR(KMART_DATA[[#This Row],[Date]])&amp;"-"&amp;TEXT(MONTH(KMART_DATA[[#This Row],[Date]]),"00")</f>
        <v>2024-04</v>
      </c>
      <c r="D688" s="3" t="s">
        <v>45</v>
      </c>
      <c r="E688" s="3" t="s">
        <v>242</v>
      </c>
      <c r="F688" s="3" t="s">
        <v>10</v>
      </c>
      <c r="G6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88" s="3" t="s">
        <v>243</v>
      </c>
      <c r="I688" s="3" t="s">
        <v>31</v>
      </c>
      <c r="J688" s="3" t="s">
        <v>94</v>
      </c>
      <c r="K688" s="3" t="s">
        <v>71</v>
      </c>
      <c r="L688" s="3" t="s">
        <v>72</v>
      </c>
      <c r="M688" s="4">
        <v>895.24</v>
      </c>
    </row>
    <row r="689">
      <c r="A689" s="2">
        <v>45400</v>
      </c>
      <c r="B6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89" s="3" t="str">
        <f>YEAR(KMART_DATA[[#This Row],[Date]])&amp;"-"&amp;TEXT(MONTH(KMART_DATA[[#This Row],[Date]]),"00")</f>
        <v>2024-04</v>
      </c>
      <c r="D689" s="3" t="s">
        <v>28</v>
      </c>
      <c r="E689" s="3" t="s">
        <v>118</v>
      </c>
      <c r="F689" s="3" t="s">
        <v>10</v>
      </c>
      <c r="G6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89" s="3" t="s">
        <v>119</v>
      </c>
      <c r="I689" s="3" t="s">
        <v>31</v>
      </c>
      <c r="J689" s="3" t="s">
        <v>120</v>
      </c>
      <c r="K689" s="3" t="s">
        <v>95</v>
      </c>
      <c r="L689" s="3" t="s">
        <v>96</v>
      </c>
      <c r="M689" s="4">
        <v>6065.88</v>
      </c>
    </row>
    <row r="690">
      <c r="A690" s="2">
        <v>45401</v>
      </c>
      <c r="B6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0" s="3" t="str">
        <f>YEAR(KMART_DATA[[#This Row],[Date]])&amp;"-"&amp;TEXT(MONTH(KMART_DATA[[#This Row],[Date]]),"00")</f>
        <v>2024-04</v>
      </c>
      <c r="D690" s="3" t="s">
        <v>28</v>
      </c>
      <c r="E690" s="3" t="s">
        <v>197</v>
      </c>
      <c r="F690" s="3" t="s">
        <v>9</v>
      </c>
      <c r="G6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90" s="3" t="s">
        <v>198</v>
      </c>
      <c r="I690" s="3" t="s">
        <v>31</v>
      </c>
      <c r="J690" s="3" t="s">
        <v>107</v>
      </c>
      <c r="K690" s="3" t="s">
        <v>95</v>
      </c>
      <c r="L690" s="3" t="s">
        <v>96</v>
      </c>
      <c r="M690" s="4">
        <v>6.99</v>
      </c>
    </row>
    <row r="691">
      <c r="A691" s="2">
        <v>45401</v>
      </c>
      <c r="B6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1" s="3" t="str">
        <f>YEAR(KMART_DATA[[#This Row],[Date]])&amp;"-"&amp;TEXT(MONTH(KMART_DATA[[#This Row],[Date]]),"00")</f>
        <v>2024-04</v>
      </c>
      <c r="D691" s="3" t="s">
        <v>28</v>
      </c>
      <c r="E691" s="3" t="s">
        <v>183</v>
      </c>
      <c r="F691" s="3" t="s">
        <v>9</v>
      </c>
      <c r="G6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91" s="3" t="s">
        <v>184</v>
      </c>
      <c r="I691" s="3" t="s">
        <v>31</v>
      </c>
      <c r="J691" s="3" t="s">
        <v>70</v>
      </c>
      <c r="K691" s="3" t="s">
        <v>95</v>
      </c>
      <c r="L691" s="3" t="s">
        <v>96</v>
      </c>
      <c r="M691" s="4">
        <v>69.86</v>
      </c>
    </row>
    <row r="692">
      <c r="A692" s="2">
        <v>45401</v>
      </c>
      <c r="B6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2" s="3" t="str">
        <f>YEAR(KMART_DATA[[#This Row],[Date]])&amp;"-"&amp;TEXT(MONTH(KMART_DATA[[#This Row],[Date]]),"00")</f>
        <v>2024-04</v>
      </c>
      <c r="D692" s="3" t="s">
        <v>28</v>
      </c>
      <c r="E692" s="3" t="s">
        <v>193</v>
      </c>
      <c r="F692" s="3" t="s">
        <v>9</v>
      </c>
      <c r="G6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92" s="3" t="s">
        <v>194</v>
      </c>
      <c r="I692" s="3" t="s">
        <v>31</v>
      </c>
      <c r="J692" s="3" t="s">
        <v>99</v>
      </c>
      <c r="K692" s="3" t="s">
        <v>95</v>
      </c>
      <c r="L692" s="3" t="s">
        <v>96</v>
      </c>
      <c r="M692" s="4">
        <v>104.79</v>
      </c>
    </row>
    <row r="693">
      <c r="A693" s="2">
        <v>45401</v>
      </c>
      <c r="B6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3" s="3" t="str">
        <f>YEAR(KMART_DATA[[#This Row],[Date]])&amp;"-"&amp;TEXT(MONTH(KMART_DATA[[#This Row],[Date]]),"00")</f>
        <v>2024-04</v>
      </c>
      <c r="D693" s="3" t="s">
        <v>28</v>
      </c>
      <c r="E693" s="3" t="s">
        <v>234</v>
      </c>
      <c r="F693" s="3" t="s">
        <v>9</v>
      </c>
      <c r="G6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93" s="3" t="s">
        <v>235</v>
      </c>
      <c r="I693" s="3" t="s">
        <v>31</v>
      </c>
      <c r="J693" s="3" t="s">
        <v>81</v>
      </c>
      <c r="K693" s="3" t="s">
        <v>43</v>
      </c>
      <c r="L693" s="3" t="s">
        <v>44</v>
      </c>
      <c r="M693" s="4">
        <v>121.92</v>
      </c>
    </row>
    <row r="694">
      <c r="A694" s="2">
        <v>45401</v>
      </c>
      <c r="B6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4" s="3" t="str">
        <f>YEAR(KMART_DATA[[#This Row],[Date]])&amp;"-"&amp;TEXT(MONTH(KMART_DATA[[#This Row],[Date]]),"00")</f>
        <v>2024-04</v>
      </c>
      <c r="D694" s="3" t="s">
        <v>45</v>
      </c>
      <c r="E694" s="3" t="s">
        <v>156</v>
      </c>
      <c r="F694" s="3" t="s">
        <v>9</v>
      </c>
      <c r="G6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94" s="3" t="s">
        <v>157</v>
      </c>
      <c r="I694" s="3" t="s">
        <v>31</v>
      </c>
      <c r="J694" s="3" t="s">
        <v>75</v>
      </c>
      <c r="K694" s="3" t="s">
        <v>123</v>
      </c>
      <c r="L694" s="3" t="s">
        <v>124</v>
      </c>
      <c r="M694" s="4">
        <v>459.51</v>
      </c>
    </row>
    <row r="695">
      <c r="A695" s="2">
        <v>45401</v>
      </c>
      <c r="B6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5" s="3" t="str">
        <f>YEAR(KMART_DATA[[#This Row],[Date]])&amp;"-"&amp;TEXT(MONTH(KMART_DATA[[#This Row],[Date]]),"00")</f>
        <v>2024-04</v>
      </c>
      <c r="D695" s="3" t="s">
        <v>28</v>
      </c>
      <c r="E695" s="3" t="s">
        <v>150</v>
      </c>
      <c r="F695" s="3" t="s">
        <v>15</v>
      </c>
      <c r="G6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695" s="3" t="s">
        <v>151</v>
      </c>
      <c r="I695" s="3" t="s">
        <v>31</v>
      </c>
      <c r="J695" s="3" t="s">
        <v>53</v>
      </c>
      <c r="K695" s="3" t="s">
        <v>123</v>
      </c>
      <c r="L695" s="3" t="s">
        <v>124</v>
      </c>
      <c r="M695" s="4">
        <v>768.2</v>
      </c>
    </row>
    <row r="696">
      <c r="A696" s="2">
        <v>45401</v>
      </c>
      <c r="B6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6" s="3" t="str">
        <f>YEAR(KMART_DATA[[#This Row],[Date]])&amp;"-"&amp;TEXT(MONTH(KMART_DATA[[#This Row],[Date]]),"00")</f>
        <v>2024-04</v>
      </c>
      <c r="D696" s="3" t="s">
        <v>28</v>
      </c>
      <c r="E696" s="3" t="s">
        <v>110</v>
      </c>
      <c r="F696" s="3" t="s">
        <v>9</v>
      </c>
      <c r="G6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696" s="3" t="s">
        <v>111</v>
      </c>
      <c r="I696" s="3" t="s">
        <v>31</v>
      </c>
      <c r="J696" s="3" t="s">
        <v>81</v>
      </c>
      <c r="K696" s="3" t="s">
        <v>43</v>
      </c>
      <c r="L696" s="3" t="s">
        <v>44</v>
      </c>
      <c r="M696" s="4">
        <v>1137.77</v>
      </c>
    </row>
    <row r="697">
      <c r="A697" s="2">
        <v>45401</v>
      </c>
      <c r="B6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7" s="3" t="str">
        <f>YEAR(KMART_DATA[[#This Row],[Date]])&amp;"-"&amp;TEXT(MONTH(KMART_DATA[[#This Row],[Date]]),"00")</f>
        <v>2024-04</v>
      </c>
      <c r="D697" s="3" t="s">
        <v>45</v>
      </c>
      <c r="E697" s="3" t="s">
        <v>100</v>
      </c>
      <c r="F697" s="3" t="s">
        <v>12</v>
      </c>
      <c r="G6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97" s="3" t="s">
        <v>101</v>
      </c>
      <c r="I697" s="3" t="s">
        <v>31</v>
      </c>
      <c r="J697" s="3" t="s">
        <v>102</v>
      </c>
      <c r="K697" s="3" t="s">
        <v>57</v>
      </c>
      <c r="L697" s="3" t="s">
        <v>58</v>
      </c>
      <c r="M697" s="4">
        <v>1695.33</v>
      </c>
    </row>
    <row r="698">
      <c r="A698" s="2">
        <v>45401</v>
      </c>
      <c r="B6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8" s="3" t="str">
        <f>YEAR(KMART_DATA[[#This Row],[Date]])&amp;"-"&amp;TEXT(MONTH(KMART_DATA[[#This Row],[Date]]),"00")</f>
        <v>2024-04</v>
      </c>
      <c r="D698" s="3" t="s">
        <v>45</v>
      </c>
      <c r="E698" s="3" t="s">
        <v>129</v>
      </c>
      <c r="F698" s="3" t="s">
        <v>10</v>
      </c>
      <c r="G6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698" s="3" t="s">
        <v>130</v>
      </c>
      <c r="I698" s="3" t="s">
        <v>31</v>
      </c>
      <c r="J698" s="3" t="s">
        <v>120</v>
      </c>
      <c r="K698" s="3" t="s">
        <v>46</v>
      </c>
      <c r="L698" s="3" t="s">
        <v>47</v>
      </c>
      <c r="M698" s="4">
        <v>5220.72</v>
      </c>
    </row>
    <row r="699">
      <c r="A699" s="2">
        <v>45402</v>
      </c>
      <c r="B6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699" s="3" t="str">
        <f>YEAR(KMART_DATA[[#This Row],[Date]])&amp;"-"&amp;TEXT(MONTH(KMART_DATA[[#This Row],[Date]]),"00")</f>
        <v>2024-04</v>
      </c>
      <c r="D699" s="3" t="s">
        <v>28</v>
      </c>
      <c r="E699" s="3" t="s">
        <v>148</v>
      </c>
      <c r="F699" s="3" t="s">
        <v>12</v>
      </c>
      <c r="G6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699" s="3" t="s">
        <v>149</v>
      </c>
      <c r="I699" s="3" t="s">
        <v>31</v>
      </c>
      <c r="J699" s="3" t="s">
        <v>50</v>
      </c>
      <c r="K699" s="3" t="s">
        <v>43</v>
      </c>
      <c r="L699" s="3" t="s">
        <v>44</v>
      </c>
      <c r="M699" s="4">
        <v>8.5</v>
      </c>
    </row>
    <row r="700">
      <c r="A700" s="2">
        <v>45402</v>
      </c>
      <c r="B7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0" s="3" t="str">
        <f>YEAR(KMART_DATA[[#This Row],[Date]])&amp;"-"&amp;TEXT(MONTH(KMART_DATA[[#This Row],[Date]]),"00")</f>
        <v>2024-04</v>
      </c>
      <c r="D700" s="3" t="s">
        <v>45</v>
      </c>
      <c r="E700" s="3" t="s">
        <v>246</v>
      </c>
      <c r="F700" s="3" t="s">
        <v>10</v>
      </c>
      <c r="G7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00" s="3" t="s">
        <v>247</v>
      </c>
      <c r="I700" s="3" t="s">
        <v>31</v>
      </c>
      <c r="J700" s="3" t="s">
        <v>37</v>
      </c>
      <c r="K700" s="3" t="s">
        <v>95</v>
      </c>
      <c r="L700" s="3" t="s">
        <v>96</v>
      </c>
      <c r="M700" s="4">
        <v>15.96</v>
      </c>
    </row>
    <row r="701">
      <c r="A701" s="2">
        <v>45402</v>
      </c>
      <c r="B7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1" s="3" t="str">
        <f>YEAR(KMART_DATA[[#This Row],[Date]])&amp;"-"&amp;TEXT(MONTH(KMART_DATA[[#This Row],[Date]]),"00")</f>
        <v>2024-04</v>
      </c>
      <c r="D701" s="3" t="s">
        <v>28</v>
      </c>
      <c r="E701" s="3" t="s">
        <v>40</v>
      </c>
      <c r="F701" s="3" t="s">
        <v>13</v>
      </c>
      <c r="G7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701" s="3" t="s">
        <v>41</v>
      </c>
      <c r="I701" s="3" t="s">
        <v>31</v>
      </c>
      <c r="J701" s="3" t="s">
        <v>42</v>
      </c>
      <c r="K701" s="3" t="s">
        <v>33</v>
      </c>
      <c r="L701" s="3" t="s">
        <v>34</v>
      </c>
      <c r="M701" s="4">
        <v>172.73</v>
      </c>
    </row>
    <row r="702">
      <c r="A702" s="2">
        <v>45402</v>
      </c>
      <c r="B7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2" s="3" t="str">
        <f>YEAR(KMART_DATA[[#This Row],[Date]])&amp;"-"&amp;TEXT(MONTH(KMART_DATA[[#This Row],[Date]]),"00")</f>
        <v>2024-04</v>
      </c>
      <c r="D702" s="3" t="s">
        <v>28</v>
      </c>
      <c r="E702" s="3" t="s">
        <v>195</v>
      </c>
      <c r="F702" s="3" t="s">
        <v>11</v>
      </c>
      <c r="G7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02" s="3" t="s">
        <v>196</v>
      </c>
      <c r="I702" s="3" t="s">
        <v>31</v>
      </c>
      <c r="J702" s="3" t="s">
        <v>32</v>
      </c>
      <c r="K702" s="3" t="s">
        <v>43</v>
      </c>
      <c r="L702" s="3" t="s">
        <v>44</v>
      </c>
      <c r="M702" s="4">
        <v>196.88</v>
      </c>
    </row>
    <row r="703">
      <c r="A703" s="2">
        <v>45402</v>
      </c>
      <c r="B7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3" s="3" t="str">
        <f>YEAR(KMART_DATA[[#This Row],[Date]])&amp;"-"&amp;TEXT(MONTH(KMART_DATA[[#This Row],[Date]]),"00")</f>
        <v>2024-04</v>
      </c>
      <c r="D703" s="3" t="s">
        <v>28</v>
      </c>
      <c r="E703" s="3" t="s">
        <v>177</v>
      </c>
      <c r="F703" s="3" t="s">
        <v>12</v>
      </c>
      <c r="G7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03" s="3" t="s">
        <v>178</v>
      </c>
      <c r="I703" s="3" t="s">
        <v>31</v>
      </c>
      <c r="J703" s="3" t="s">
        <v>162</v>
      </c>
      <c r="K703" s="3" t="s">
        <v>71</v>
      </c>
      <c r="L703" s="3" t="s">
        <v>72</v>
      </c>
      <c r="M703" s="4">
        <v>260.73</v>
      </c>
    </row>
    <row r="704">
      <c r="A704" s="2">
        <v>45402</v>
      </c>
      <c r="B7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4" s="3" t="str">
        <f>YEAR(KMART_DATA[[#This Row],[Date]])&amp;"-"&amp;TEXT(MONTH(KMART_DATA[[#This Row],[Date]]),"00")</f>
        <v>2024-04</v>
      </c>
      <c r="D704" s="3" t="s">
        <v>45</v>
      </c>
      <c r="E704" s="3" t="s">
        <v>258</v>
      </c>
      <c r="F704" s="3" t="s">
        <v>14</v>
      </c>
      <c r="G7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704" s="3" t="s">
        <v>259</v>
      </c>
      <c r="I704" s="3" t="s">
        <v>31</v>
      </c>
      <c r="J704" s="3" t="s">
        <v>145</v>
      </c>
      <c r="K704" s="3" t="s">
        <v>57</v>
      </c>
      <c r="L704" s="3" t="s">
        <v>58</v>
      </c>
      <c r="M704" s="4">
        <v>858.9</v>
      </c>
    </row>
    <row r="705">
      <c r="A705" s="2">
        <v>45403</v>
      </c>
      <c r="B7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5" s="3" t="str">
        <f>YEAR(KMART_DATA[[#This Row],[Date]])&amp;"-"&amp;TEXT(MONTH(KMART_DATA[[#This Row],[Date]]),"00")</f>
        <v>2024-04</v>
      </c>
      <c r="D705" s="3" t="s">
        <v>28</v>
      </c>
      <c r="E705" s="3" t="s">
        <v>242</v>
      </c>
      <c r="F705" s="3" t="s">
        <v>10</v>
      </c>
      <c r="G7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05" s="3" t="s">
        <v>243</v>
      </c>
      <c r="I705" s="3" t="s">
        <v>31</v>
      </c>
      <c r="J705" s="3" t="s">
        <v>94</v>
      </c>
      <c r="K705" s="3" t="s">
        <v>46</v>
      </c>
      <c r="L705" s="3" t="s">
        <v>47</v>
      </c>
      <c r="M705" s="4">
        <v>25.98</v>
      </c>
    </row>
    <row r="706">
      <c r="A706" s="2">
        <v>45403</v>
      </c>
      <c r="B7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6" s="3" t="str">
        <f>YEAR(KMART_DATA[[#This Row],[Date]])&amp;"-"&amp;TEXT(MONTH(KMART_DATA[[#This Row],[Date]]),"00")</f>
        <v>2024-04</v>
      </c>
      <c r="D706" s="3" t="s">
        <v>28</v>
      </c>
      <c r="E706" s="3" t="s">
        <v>209</v>
      </c>
      <c r="F706" s="3" t="s">
        <v>9</v>
      </c>
      <c r="G7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06" s="3" t="s">
        <v>210</v>
      </c>
      <c r="I706" s="3" t="s">
        <v>31</v>
      </c>
      <c r="J706" s="3" t="s">
        <v>81</v>
      </c>
      <c r="K706" s="3" t="s">
        <v>112</v>
      </c>
      <c r="L706" s="3" t="s">
        <v>113</v>
      </c>
      <c r="M706" s="4">
        <v>262.82</v>
      </c>
    </row>
    <row r="707">
      <c r="A707" s="2">
        <v>45403</v>
      </c>
      <c r="B7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7" s="3" t="str">
        <f>YEAR(KMART_DATA[[#This Row],[Date]])&amp;"-"&amp;TEXT(MONTH(KMART_DATA[[#This Row],[Date]]),"00")</f>
        <v>2024-04</v>
      </c>
      <c r="D707" s="3" t="s">
        <v>28</v>
      </c>
      <c r="E707" s="3" t="s">
        <v>242</v>
      </c>
      <c r="F707" s="3" t="s">
        <v>10</v>
      </c>
      <c r="G7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07" s="3" t="s">
        <v>243</v>
      </c>
      <c r="I707" s="3" t="s">
        <v>31</v>
      </c>
      <c r="J707" s="3" t="s">
        <v>94</v>
      </c>
      <c r="K707" s="3" t="s">
        <v>57</v>
      </c>
      <c r="L707" s="3" t="s">
        <v>58</v>
      </c>
      <c r="M707" s="4">
        <v>481.89</v>
      </c>
    </row>
    <row r="708">
      <c r="A708" s="2">
        <v>45403</v>
      </c>
      <c r="B7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8" s="3" t="str">
        <f>YEAR(KMART_DATA[[#This Row],[Date]])&amp;"-"&amp;TEXT(MONTH(KMART_DATA[[#This Row],[Date]]),"00")</f>
        <v>2024-04</v>
      </c>
      <c r="D708" s="3" t="s">
        <v>28</v>
      </c>
      <c r="E708" s="3" t="s">
        <v>97</v>
      </c>
      <c r="F708" s="3" t="s">
        <v>9</v>
      </c>
      <c r="G7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08" s="3" t="s">
        <v>98</v>
      </c>
      <c r="I708" s="3" t="s">
        <v>31</v>
      </c>
      <c r="J708" s="3" t="s">
        <v>99</v>
      </c>
      <c r="K708" s="3" t="s">
        <v>43</v>
      </c>
      <c r="L708" s="3" t="s">
        <v>44</v>
      </c>
      <c r="M708" s="4">
        <v>1105.97</v>
      </c>
    </row>
    <row r="709">
      <c r="A709" s="2">
        <v>45403</v>
      </c>
      <c r="B7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09" s="3" t="str">
        <f>YEAR(KMART_DATA[[#This Row],[Date]])&amp;"-"&amp;TEXT(MONTH(KMART_DATA[[#This Row],[Date]]),"00")</f>
        <v>2024-04</v>
      </c>
      <c r="D709" s="3" t="s">
        <v>28</v>
      </c>
      <c r="E709" s="3" t="s">
        <v>234</v>
      </c>
      <c r="F709" s="3" t="s">
        <v>9</v>
      </c>
      <c r="G7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09" s="3" t="s">
        <v>235</v>
      </c>
      <c r="I709" s="3" t="s">
        <v>31</v>
      </c>
      <c r="J709" s="3" t="s">
        <v>81</v>
      </c>
      <c r="K709" s="3" t="s">
        <v>95</v>
      </c>
      <c r="L709" s="3" t="s">
        <v>96</v>
      </c>
      <c r="M709" s="4">
        <v>2283.95</v>
      </c>
    </row>
    <row r="710">
      <c r="A710" s="2">
        <v>45404</v>
      </c>
      <c r="B7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0" s="3" t="str">
        <f>YEAR(KMART_DATA[[#This Row],[Date]])&amp;"-"&amp;TEXT(MONTH(KMART_DATA[[#This Row],[Date]]),"00")</f>
        <v>2024-04</v>
      </c>
      <c r="D710" s="3" t="s">
        <v>28</v>
      </c>
      <c r="E710" s="3" t="s">
        <v>156</v>
      </c>
      <c r="F710" s="3" t="s">
        <v>9</v>
      </c>
      <c r="G7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10" s="3" t="s">
        <v>157</v>
      </c>
      <c r="I710" s="3" t="s">
        <v>31</v>
      </c>
      <c r="J710" s="3" t="s">
        <v>75</v>
      </c>
      <c r="K710" s="3" t="s">
        <v>33</v>
      </c>
      <c r="L710" s="3" t="s">
        <v>34</v>
      </c>
      <c r="M710" s="4">
        <v>4.99</v>
      </c>
    </row>
    <row r="711">
      <c r="A711" s="2">
        <v>45404</v>
      </c>
      <c r="B7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1" s="3" t="str">
        <f>YEAR(KMART_DATA[[#This Row],[Date]])&amp;"-"&amp;TEXT(MONTH(KMART_DATA[[#This Row],[Date]]),"00")</f>
        <v>2024-04</v>
      </c>
      <c r="D711" s="3" t="s">
        <v>45</v>
      </c>
      <c r="E711" s="3" t="s">
        <v>105</v>
      </c>
      <c r="F711" s="3" t="s">
        <v>9</v>
      </c>
      <c r="G7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11" s="3" t="s">
        <v>106</v>
      </c>
      <c r="I711" s="3" t="s">
        <v>31</v>
      </c>
      <c r="J711" s="3" t="s">
        <v>107</v>
      </c>
      <c r="K711" s="3" t="s">
        <v>38</v>
      </c>
      <c r="L711" s="3" t="s">
        <v>39</v>
      </c>
      <c r="M711" s="4">
        <v>5.99</v>
      </c>
    </row>
    <row r="712">
      <c r="A712" s="2">
        <v>45404</v>
      </c>
      <c r="B7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2" s="3" t="str">
        <f>YEAR(KMART_DATA[[#This Row],[Date]])&amp;"-"&amp;TEXT(MONTH(KMART_DATA[[#This Row],[Date]]),"00")</f>
        <v>2024-04</v>
      </c>
      <c r="D712" s="3" t="s">
        <v>45</v>
      </c>
      <c r="E712" s="3" t="s">
        <v>248</v>
      </c>
      <c r="F712" s="3" t="s">
        <v>12</v>
      </c>
      <c r="G7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12" s="3" t="s">
        <v>249</v>
      </c>
      <c r="I712" s="3" t="s">
        <v>31</v>
      </c>
      <c r="J712" s="3" t="s">
        <v>162</v>
      </c>
      <c r="K712" s="3" t="s">
        <v>46</v>
      </c>
      <c r="L712" s="3" t="s">
        <v>47</v>
      </c>
      <c r="M712" s="4">
        <v>25.98</v>
      </c>
    </row>
    <row r="713">
      <c r="A713" s="2">
        <v>45404</v>
      </c>
      <c r="B7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3" s="3" t="str">
        <f>YEAR(KMART_DATA[[#This Row],[Date]])&amp;"-"&amp;TEXT(MONTH(KMART_DATA[[#This Row],[Date]]),"00")</f>
        <v>2024-04</v>
      </c>
      <c r="D713" s="3" t="s">
        <v>45</v>
      </c>
      <c r="E713" s="3" t="s">
        <v>125</v>
      </c>
      <c r="F713" s="3" t="s">
        <v>10</v>
      </c>
      <c r="G7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13" s="3" t="s">
        <v>126</v>
      </c>
      <c r="I713" s="3" t="s">
        <v>31</v>
      </c>
      <c r="J713" s="3" t="s">
        <v>94</v>
      </c>
      <c r="K713" s="3" t="s">
        <v>43</v>
      </c>
      <c r="L713" s="3" t="s">
        <v>44</v>
      </c>
      <c r="M713" s="4">
        <v>79.95</v>
      </c>
    </row>
    <row r="714">
      <c r="A714" s="2">
        <v>45404</v>
      </c>
      <c r="B7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4" s="3" t="str">
        <f>YEAR(KMART_DATA[[#This Row],[Date]])&amp;"-"&amp;TEXT(MONTH(KMART_DATA[[#This Row],[Date]]),"00")</f>
        <v>2024-04</v>
      </c>
      <c r="D714" s="3" t="s">
        <v>45</v>
      </c>
      <c r="E714" s="3" t="s">
        <v>187</v>
      </c>
      <c r="F714" s="3" t="s">
        <v>11</v>
      </c>
      <c r="G7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14" s="3" t="s">
        <v>188</v>
      </c>
      <c r="I714" s="3" t="s">
        <v>31</v>
      </c>
      <c r="J714" s="3" t="s">
        <v>78</v>
      </c>
      <c r="K714" s="3" t="s">
        <v>71</v>
      </c>
      <c r="L714" s="3" t="s">
        <v>72</v>
      </c>
      <c r="M714" s="4">
        <v>89.91</v>
      </c>
    </row>
    <row r="715">
      <c r="A715" s="2">
        <v>45404</v>
      </c>
      <c r="B7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5" s="3" t="str">
        <f>YEAR(KMART_DATA[[#This Row],[Date]])&amp;"-"&amp;TEXT(MONTH(KMART_DATA[[#This Row],[Date]]),"00")</f>
        <v>2024-04</v>
      </c>
      <c r="D715" s="3" t="s">
        <v>28</v>
      </c>
      <c r="E715" s="3" t="s">
        <v>121</v>
      </c>
      <c r="F715" s="3" t="s">
        <v>11</v>
      </c>
      <c r="G7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15" s="3" t="s">
        <v>122</v>
      </c>
      <c r="I715" s="3" t="s">
        <v>31</v>
      </c>
      <c r="J715" s="3" t="s">
        <v>84</v>
      </c>
      <c r="K715" s="3" t="s">
        <v>57</v>
      </c>
      <c r="L715" s="3" t="s">
        <v>58</v>
      </c>
      <c r="M715" s="4">
        <v>451.26</v>
      </c>
    </row>
    <row r="716">
      <c r="A716" s="2">
        <v>45404</v>
      </c>
      <c r="B7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6" s="3" t="str">
        <f>YEAR(KMART_DATA[[#This Row],[Date]])&amp;"-"&amp;TEXT(MONTH(KMART_DATA[[#This Row],[Date]]),"00")</f>
        <v>2024-04</v>
      </c>
      <c r="D716" s="3" t="s">
        <v>45</v>
      </c>
      <c r="E716" s="3" t="s">
        <v>228</v>
      </c>
      <c r="F716" s="3" t="s">
        <v>11</v>
      </c>
      <c r="G7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16" s="3" t="s">
        <v>229</v>
      </c>
      <c r="I716" s="3" t="s">
        <v>31</v>
      </c>
      <c r="J716" s="3" t="s">
        <v>32</v>
      </c>
      <c r="K716" s="3" t="s">
        <v>112</v>
      </c>
      <c r="L716" s="3" t="s">
        <v>113</v>
      </c>
      <c r="M716" s="4">
        <v>454.93</v>
      </c>
    </row>
    <row r="717">
      <c r="A717" s="2">
        <v>45404</v>
      </c>
      <c r="B7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7" s="3" t="str">
        <f>YEAR(KMART_DATA[[#This Row],[Date]])&amp;"-"&amp;TEXT(MONTH(KMART_DATA[[#This Row],[Date]]),"00")</f>
        <v>2024-04</v>
      </c>
      <c r="D717" s="3" t="s">
        <v>45</v>
      </c>
      <c r="E717" s="3" t="s">
        <v>103</v>
      </c>
      <c r="F717" s="3" t="s">
        <v>12</v>
      </c>
      <c r="G7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17" s="3" t="s">
        <v>104</v>
      </c>
      <c r="I717" s="3" t="s">
        <v>31</v>
      </c>
      <c r="J717" s="3" t="s">
        <v>102</v>
      </c>
      <c r="K717" s="3" t="s">
        <v>57</v>
      </c>
      <c r="L717" s="3" t="s">
        <v>58</v>
      </c>
      <c r="M717" s="4">
        <v>898.84</v>
      </c>
    </row>
    <row r="718">
      <c r="A718" s="2">
        <v>45404</v>
      </c>
      <c r="B7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8" s="3" t="str">
        <f>YEAR(KMART_DATA[[#This Row],[Date]])&amp;"-"&amp;TEXT(MONTH(KMART_DATA[[#This Row],[Date]]),"00")</f>
        <v>2024-04</v>
      </c>
      <c r="D718" s="3" t="s">
        <v>28</v>
      </c>
      <c r="E718" s="3" t="s">
        <v>197</v>
      </c>
      <c r="F718" s="3" t="s">
        <v>9</v>
      </c>
      <c r="G7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18" s="3" t="s">
        <v>198</v>
      </c>
      <c r="I718" s="3" t="s">
        <v>31</v>
      </c>
      <c r="J718" s="3" t="s">
        <v>107</v>
      </c>
      <c r="K718" s="3" t="s">
        <v>95</v>
      </c>
      <c r="L718" s="3" t="s">
        <v>96</v>
      </c>
      <c r="M718" s="4">
        <v>9101.49</v>
      </c>
    </row>
    <row r="719">
      <c r="A719" s="2">
        <v>45405</v>
      </c>
      <c r="B7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19" s="3" t="str">
        <f>YEAR(KMART_DATA[[#This Row],[Date]])&amp;"-"&amp;TEXT(MONTH(KMART_DATA[[#This Row],[Date]]),"00")</f>
        <v>2024-04</v>
      </c>
      <c r="D719" s="3" t="s">
        <v>28</v>
      </c>
      <c r="E719" s="3" t="s">
        <v>133</v>
      </c>
      <c r="F719" s="3" t="s">
        <v>10</v>
      </c>
      <c r="G7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19" s="3" t="s">
        <v>134</v>
      </c>
      <c r="I719" s="3" t="s">
        <v>31</v>
      </c>
      <c r="J719" s="3" t="s">
        <v>37</v>
      </c>
      <c r="K719" s="3" t="s">
        <v>46</v>
      </c>
      <c r="L719" s="3" t="s">
        <v>47</v>
      </c>
      <c r="M719" s="4">
        <v>29.98</v>
      </c>
    </row>
    <row r="720">
      <c r="A720" s="2">
        <v>45405</v>
      </c>
      <c r="B7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0" s="3" t="str">
        <f>YEAR(KMART_DATA[[#This Row],[Date]])&amp;"-"&amp;TEXT(MONTH(KMART_DATA[[#This Row],[Date]]),"00")</f>
        <v>2024-04</v>
      </c>
      <c r="D720" s="3" t="s">
        <v>28</v>
      </c>
      <c r="E720" s="3" t="s">
        <v>79</v>
      </c>
      <c r="F720" s="3" t="s">
        <v>9</v>
      </c>
      <c r="G7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20" s="3" t="s">
        <v>80</v>
      </c>
      <c r="I720" s="3" t="s">
        <v>31</v>
      </c>
      <c r="J720" s="3" t="s">
        <v>81</v>
      </c>
      <c r="K720" s="3" t="s">
        <v>33</v>
      </c>
      <c r="L720" s="3" t="s">
        <v>34</v>
      </c>
      <c r="M720" s="4">
        <v>431.38</v>
      </c>
    </row>
    <row r="721">
      <c r="A721" s="2">
        <v>45405</v>
      </c>
      <c r="B7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1" s="3" t="str">
        <f>YEAR(KMART_DATA[[#This Row],[Date]])&amp;"-"&amp;TEXT(MONTH(KMART_DATA[[#This Row],[Date]]),"00")</f>
        <v>2024-04</v>
      </c>
      <c r="D721" s="3" t="s">
        <v>28</v>
      </c>
      <c r="E721" s="3" t="s">
        <v>139</v>
      </c>
      <c r="F721" s="3" t="s">
        <v>10</v>
      </c>
      <c r="G7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21" s="3" t="s">
        <v>140</v>
      </c>
      <c r="I721" s="3" t="s">
        <v>31</v>
      </c>
      <c r="J721" s="3" t="s">
        <v>89</v>
      </c>
      <c r="K721" s="3" t="s">
        <v>43</v>
      </c>
      <c r="L721" s="3" t="s">
        <v>44</v>
      </c>
      <c r="M721" s="4">
        <v>1315.84</v>
      </c>
    </row>
    <row r="722">
      <c r="A722" s="2">
        <v>45405</v>
      </c>
      <c r="B7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2" s="3" t="str">
        <f>YEAR(KMART_DATA[[#This Row],[Date]])&amp;"-"&amp;TEXT(MONTH(KMART_DATA[[#This Row],[Date]]),"00")</f>
        <v>2024-04</v>
      </c>
      <c r="D722" s="3" t="s">
        <v>28</v>
      </c>
      <c r="E722" s="3" t="s">
        <v>203</v>
      </c>
      <c r="F722" s="3" t="s">
        <v>10</v>
      </c>
      <c r="G7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22" s="3" t="s">
        <v>204</v>
      </c>
      <c r="I722" s="3" t="s">
        <v>31</v>
      </c>
      <c r="J722" s="3" t="s">
        <v>89</v>
      </c>
      <c r="K722" s="3" t="s">
        <v>43</v>
      </c>
      <c r="L722" s="3" t="s">
        <v>44</v>
      </c>
      <c r="M722" s="4">
        <v>1485.79</v>
      </c>
    </row>
    <row r="723">
      <c r="A723" s="2">
        <v>45405</v>
      </c>
      <c r="B7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3" s="3" t="str">
        <f>YEAR(KMART_DATA[[#This Row],[Date]])&amp;"-"&amp;TEXT(MONTH(KMART_DATA[[#This Row],[Date]]),"00")</f>
        <v>2024-04</v>
      </c>
      <c r="D723" s="3" t="s">
        <v>28</v>
      </c>
      <c r="E723" s="3" t="s">
        <v>64</v>
      </c>
      <c r="F723" s="3" t="s">
        <v>11</v>
      </c>
      <c r="G7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23" s="3" t="s">
        <v>65</v>
      </c>
      <c r="I723" s="3" t="s">
        <v>31</v>
      </c>
      <c r="J723" s="3" t="s">
        <v>61</v>
      </c>
      <c r="K723" s="3" t="s">
        <v>71</v>
      </c>
      <c r="L723" s="3" t="s">
        <v>72</v>
      </c>
      <c r="M723" s="4">
        <v>2400.23</v>
      </c>
    </row>
    <row r="724">
      <c r="A724" s="2">
        <v>45406</v>
      </c>
      <c r="B7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4" s="3" t="str">
        <f>YEAR(KMART_DATA[[#This Row],[Date]])&amp;"-"&amp;TEXT(MONTH(KMART_DATA[[#This Row],[Date]]),"00")</f>
        <v>2024-04</v>
      </c>
      <c r="D724" s="3" t="s">
        <v>28</v>
      </c>
      <c r="E724" s="3" t="s">
        <v>127</v>
      </c>
      <c r="F724" s="3" t="s">
        <v>11</v>
      </c>
      <c r="G7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24" s="3" t="s">
        <v>128</v>
      </c>
      <c r="I724" s="3" t="s">
        <v>31</v>
      </c>
      <c r="J724" s="3" t="s">
        <v>78</v>
      </c>
      <c r="K724" s="3" t="s">
        <v>123</v>
      </c>
      <c r="L724" s="3" t="s">
        <v>124</v>
      </c>
      <c r="M724" s="4">
        <v>38.92</v>
      </c>
    </row>
    <row r="725">
      <c r="A725" s="2">
        <v>45406</v>
      </c>
      <c r="B7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5" s="3" t="str">
        <f>YEAR(KMART_DATA[[#This Row],[Date]])&amp;"-"&amp;TEXT(MONTH(KMART_DATA[[#This Row],[Date]]),"00")</f>
        <v>2024-04</v>
      </c>
      <c r="D725" s="3" t="s">
        <v>45</v>
      </c>
      <c r="E725" s="3" t="s">
        <v>29</v>
      </c>
      <c r="F725" s="3" t="s">
        <v>11</v>
      </c>
      <c r="G7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25" s="3" t="s">
        <v>30</v>
      </c>
      <c r="I725" s="3" t="s">
        <v>31</v>
      </c>
      <c r="J725" s="3" t="s">
        <v>32</v>
      </c>
      <c r="K725" s="3" t="s">
        <v>71</v>
      </c>
      <c r="L725" s="3" t="s">
        <v>72</v>
      </c>
      <c r="M725" s="4">
        <v>80.94</v>
      </c>
    </row>
    <row r="726">
      <c r="A726" s="2">
        <v>45406</v>
      </c>
      <c r="B7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6" s="3" t="str">
        <f>YEAR(KMART_DATA[[#This Row],[Date]])&amp;"-"&amp;TEXT(MONTH(KMART_DATA[[#This Row],[Date]]),"00")</f>
        <v>2024-04</v>
      </c>
      <c r="D726" s="3" t="s">
        <v>28</v>
      </c>
      <c r="E726" s="3" t="s">
        <v>160</v>
      </c>
      <c r="F726" s="3" t="s">
        <v>12</v>
      </c>
      <c r="G7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26" s="3" t="s">
        <v>161</v>
      </c>
      <c r="I726" s="3" t="s">
        <v>31</v>
      </c>
      <c r="J726" s="3" t="s">
        <v>162</v>
      </c>
      <c r="K726" s="3" t="s">
        <v>38</v>
      </c>
      <c r="L726" s="3" t="s">
        <v>39</v>
      </c>
      <c r="M726" s="4">
        <v>240.71</v>
      </c>
    </row>
    <row r="727">
      <c r="A727" s="2">
        <v>45406</v>
      </c>
      <c r="B7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7" s="3" t="str">
        <f>YEAR(KMART_DATA[[#This Row],[Date]])&amp;"-"&amp;TEXT(MONTH(KMART_DATA[[#This Row],[Date]]),"00")</f>
        <v>2024-04</v>
      </c>
      <c r="D727" s="3" t="s">
        <v>28</v>
      </c>
      <c r="E727" s="3" t="s">
        <v>219</v>
      </c>
      <c r="F727" s="3" t="s">
        <v>11</v>
      </c>
      <c r="G7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27" s="3" t="s">
        <v>220</v>
      </c>
      <c r="I727" s="3" t="s">
        <v>31</v>
      </c>
      <c r="J727" s="3" t="s">
        <v>56</v>
      </c>
      <c r="K727" s="3" t="s">
        <v>57</v>
      </c>
      <c r="L727" s="3" t="s">
        <v>58</v>
      </c>
      <c r="M727" s="4">
        <v>321.53</v>
      </c>
    </row>
    <row r="728">
      <c r="A728" s="2">
        <v>45406</v>
      </c>
      <c r="B7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8" s="3" t="str">
        <f>YEAR(KMART_DATA[[#This Row],[Date]])&amp;"-"&amp;TEXT(MONTH(KMART_DATA[[#This Row],[Date]]),"00")</f>
        <v>2024-04</v>
      </c>
      <c r="D728" s="3" t="s">
        <v>28</v>
      </c>
      <c r="E728" s="3" t="s">
        <v>225</v>
      </c>
      <c r="F728" s="3" t="s">
        <v>13</v>
      </c>
      <c r="G7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728" s="3" t="s">
        <v>226</v>
      </c>
      <c r="I728" s="3" t="s">
        <v>31</v>
      </c>
      <c r="J728" s="3" t="s">
        <v>227</v>
      </c>
      <c r="K728" s="3" t="s">
        <v>123</v>
      </c>
      <c r="L728" s="3" t="s">
        <v>124</v>
      </c>
      <c r="M728" s="4">
        <v>514.5</v>
      </c>
    </row>
    <row r="729">
      <c r="A729" s="2">
        <v>45406</v>
      </c>
      <c r="B7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29" s="3" t="str">
        <f>YEAR(KMART_DATA[[#This Row],[Date]])&amp;"-"&amp;TEXT(MONTH(KMART_DATA[[#This Row],[Date]]),"00")</f>
        <v>2024-04</v>
      </c>
      <c r="D729" s="3" t="s">
        <v>28</v>
      </c>
      <c r="E729" s="3" t="s">
        <v>79</v>
      </c>
      <c r="F729" s="3" t="s">
        <v>9</v>
      </c>
      <c r="G7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29" s="3" t="s">
        <v>80</v>
      </c>
      <c r="I729" s="3" t="s">
        <v>31</v>
      </c>
      <c r="J729" s="3" t="s">
        <v>81</v>
      </c>
      <c r="K729" s="3" t="s">
        <v>71</v>
      </c>
      <c r="L729" s="3" t="s">
        <v>72</v>
      </c>
      <c r="M729" s="4">
        <v>1141.28</v>
      </c>
    </row>
    <row r="730">
      <c r="A730" s="2">
        <v>45407</v>
      </c>
      <c r="B7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0" s="3" t="str">
        <f>YEAR(KMART_DATA[[#This Row],[Date]])&amp;"-"&amp;TEXT(MONTH(KMART_DATA[[#This Row],[Date]]),"00")</f>
        <v>2024-04</v>
      </c>
      <c r="D730" s="3" t="s">
        <v>28</v>
      </c>
      <c r="E730" s="3" t="s">
        <v>223</v>
      </c>
      <c r="F730" s="3" t="s">
        <v>10</v>
      </c>
      <c r="G7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30" s="3" t="s">
        <v>224</v>
      </c>
      <c r="I730" s="3" t="s">
        <v>31</v>
      </c>
      <c r="J730" s="3" t="s">
        <v>94</v>
      </c>
      <c r="K730" s="3" t="s">
        <v>43</v>
      </c>
      <c r="L730" s="3" t="s">
        <v>44</v>
      </c>
      <c r="M730" s="4">
        <v>7.0</v>
      </c>
    </row>
    <row r="731">
      <c r="A731" s="2">
        <v>45407</v>
      </c>
      <c r="B7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1" s="3" t="str">
        <f>YEAR(KMART_DATA[[#This Row],[Date]])&amp;"-"&amp;TEXT(MONTH(KMART_DATA[[#This Row],[Date]]),"00")</f>
        <v>2024-04</v>
      </c>
      <c r="D731" s="3" t="s">
        <v>28</v>
      </c>
      <c r="E731" s="3" t="s">
        <v>177</v>
      </c>
      <c r="F731" s="3" t="s">
        <v>12</v>
      </c>
      <c r="G7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31" s="3" t="s">
        <v>178</v>
      </c>
      <c r="I731" s="3" t="s">
        <v>31</v>
      </c>
      <c r="J731" s="3" t="s">
        <v>162</v>
      </c>
      <c r="K731" s="3" t="s">
        <v>43</v>
      </c>
      <c r="L731" s="3" t="s">
        <v>44</v>
      </c>
      <c r="M731" s="4">
        <v>73.49</v>
      </c>
    </row>
    <row r="732">
      <c r="A732" s="2">
        <v>45407</v>
      </c>
      <c r="B7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2" s="3" t="str">
        <f>YEAR(KMART_DATA[[#This Row],[Date]])&amp;"-"&amp;TEXT(MONTH(KMART_DATA[[#This Row],[Date]]),"00")</f>
        <v>2024-04</v>
      </c>
      <c r="D732" s="3" t="s">
        <v>45</v>
      </c>
      <c r="E732" s="3" t="s">
        <v>163</v>
      </c>
      <c r="F732" s="3" t="s">
        <v>9</v>
      </c>
      <c r="G7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32" s="3" t="s">
        <v>164</v>
      </c>
      <c r="I732" s="3" t="s">
        <v>31</v>
      </c>
      <c r="J732" s="3" t="s">
        <v>81</v>
      </c>
      <c r="K732" s="3" t="s">
        <v>112</v>
      </c>
      <c r="L732" s="3" t="s">
        <v>113</v>
      </c>
      <c r="M732" s="4">
        <v>109.7</v>
      </c>
    </row>
    <row r="733">
      <c r="A733" s="2">
        <v>45407</v>
      </c>
      <c r="B7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3" s="3" t="str">
        <f>YEAR(KMART_DATA[[#This Row],[Date]])&amp;"-"&amp;TEXT(MONTH(KMART_DATA[[#This Row],[Date]]),"00")</f>
        <v>2024-04</v>
      </c>
      <c r="D733" s="3" t="s">
        <v>28</v>
      </c>
      <c r="E733" s="3" t="s">
        <v>114</v>
      </c>
      <c r="F733" s="3" t="s">
        <v>9</v>
      </c>
      <c r="G7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33" s="3" t="s">
        <v>115</v>
      </c>
      <c r="I733" s="3" t="s">
        <v>31</v>
      </c>
      <c r="J733" s="3" t="s">
        <v>99</v>
      </c>
      <c r="K733" s="3" t="s">
        <v>95</v>
      </c>
      <c r="L733" s="3" t="s">
        <v>96</v>
      </c>
      <c r="M733" s="4">
        <v>242.06</v>
      </c>
    </row>
    <row r="734">
      <c r="A734" s="2">
        <v>45407</v>
      </c>
      <c r="B7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4" s="3" t="str">
        <f>YEAR(KMART_DATA[[#This Row],[Date]])&amp;"-"&amp;TEXT(MONTH(KMART_DATA[[#This Row],[Date]]),"00")</f>
        <v>2024-04</v>
      </c>
      <c r="D734" s="3" t="s">
        <v>28</v>
      </c>
      <c r="E734" s="3" t="s">
        <v>246</v>
      </c>
      <c r="F734" s="3" t="s">
        <v>10</v>
      </c>
      <c r="G7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34" s="3" t="s">
        <v>247</v>
      </c>
      <c r="I734" s="3" t="s">
        <v>31</v>
      </c>
      <c r="J734" s="3" t="s">
        <v>37</v>
      </c>
      <c r="K734" s="3" t="s">
        <v>123</v>
      </c>
      <c r="L734" s="3" t="s">
        <v>124</v>
      </c>
      <c r="M734" s="4">
        <v>404.72</v>
      </c>
    </row>
    <row r="735">
      <c r="A735" s="2">
        <v>45407</v>
      </c>
      <c r="B7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5" s="3" t="str">
        <f>YEAR(KMART_DATA[[#This Row],[Date]])&amp;"-"&amp;TEXT(MONTH(KMART_DATA[[#This Row],[Date]]),"00")</f>
        <v>2024-04</v>
      </c>
      <c r="D735" s="3" t="s">
        <v>28</v>
      </c>
      <c r="E735" s="3" t="s">
        <v>163</v>
      </c>
      <c r="F735" s="3" t="s">
        <v>9</v>
      </c>
      <c r="G7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35" s="3" t="s">
        <v>164</v>
      </c>
      <c r="I735" s="3" t="s">
        <v>31</v>
      </c>
      <c r="J735" s="3" t="s">
        <v>81</v>
      </c>
      <c r="K735" s="3" t="s">
        <v>95</v>
      </c>
      <c r="L735" s="3" t="s">
        <v>96</v>
      </c>
      <c r="M735" s="4">
        <v>504.9</v>
      </c>
    </row>
    <row r="736">
      <c r="A736" s="2">
        <v>45407</v>
      </c>
      <c r="B7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6" s="3" t="str">
        <f>YEAR(KMART_DATA[[#This Row],[Date]])&amp;"-"&amp;TEXT(MONTH(KMART_DATA[[#This Row],[Date]]),"00")</f>
        <v>2024-04</v>
      </c>
      <c r="D736" s="3" t="s">
        <v>28</v>
      </c>
      <c r="E736" s="3" t="s">
        <v>118</v>
      </c>
      <c r="F736" s="3" t="s">
        <v>10</v>
      </c>
      <c r="G7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36" s="3" t="s">
        <v>119</v>
      </c>
      <c r="I736" s="3" t="s">
        <v>31</v>
      </c>
      <c r="J736" s="3" t="s">
        <v>120</v>
      </c>
      <c r="K736" s="3" t="s">
        <v>33</v>
      </c>
      <c r="L736" s="3" t="s">
        <v>34</v>
      </c>
      <c r="M736" s="4">
        <v>606.93</v>
      </c>
    </row>
    <row r="737">
      <c r="A737" s="2">
        <v>45407</v>
      </c>
      <c r="B7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7" s="3" t="str">
        <f>YEAR(KMART_DATA[[#This Row],[Date]])&amp;"-"&amp;TEXT(MONTH(KMART_DATA[[#This Row],[Date]]),"00")</f>
        <v>2024-04</v>
      </c>
      <c r="D737" s="3" t="s">
        <v>28</v>
      </c>
      <c r="E737" s="3" t="s">
        <v>156</v>
      </c>
      <c r="F737" s="3" t="s">
        <v>9</v>
      </c>
      <c r="G7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37" s="3" t="s">
        <v>157</v>
      </c>
      <c r="I737" s="3" t="s">
        <v>31</v>
      </c>
      <c r="J737" s="3" t="s">
        <v>75</v>
      </c>
      <c r="K737" s="3" t="s">
        <v>71</v>
      </c>
      <c r="L737" s="3" t="s">
        <v>72</v>
      </c>
      <c r="M737" s="4">
        <v>3180.78</v>
      </c>
    </row>
    <row r="738">
      <c r="A738" s="2">
        <v>45408</v>
      </c>
      <c r="B7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8" s="3" t="str">
        <f>YEAR(KMART_DATA[[#This Row],[Date]])&amp;"-"&amp;TEXT(MONTH(KMART_DATA[[#This Row],[Date]]),"00")</f>
        <v>2024-04</v>
      </c>
      <c r="D738" s="3" t="s">
        <v>28</v>
      </c>
      <c r="E738" s="3" t="s">
        <v>148</v>
      </c>
      <c r="F738" s="3" t="s">
        <v>12</v>
      </c>
      <c r="G7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38" s="3" t="s">
        <v>149</v>
      </c>
      <c r="I738" s="3" t="s">
        <v>31</v>
      </c>
      <c r="J738" s="3" t="s">
        <v>50</v>
      </c>
      <c r="K738" s="3" t="s">
        <v>112</v>
      </c>
      <c r="L738" s="3" t="s">
        <v>113</v>
      </c>
      <c r="M738" s="4">
        <v>3.59</v>
      </c>
    </row>
    <row r="739">
      <c r="A739" s="2">
        <v>45408</v>
      </c>
      <c r="B7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39" s="3" t="str">
        <f>YEAR(KMART_DATA[[#This Row],[Date]])&amp;"-"&amp;TEXT(MONTH(KMART_DATA[[#This Row],[Date]]),"00")</f>
        <v>2024-04</v>
      </c>
      <c r="D739" s="3" t="s">
        <v>28</v>
      </c>
      <c r="E739" s="3" t="s">
        <v>258</v>
      </c>
      <c r="F739" s="3" t="s">
        <v>14</v>
      </c>
      <c r="G7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739" s="3" t="s">
        <v>259</v>
      </c>
      <c r="I739" s="3" t="s">
        <v>31</v>
      </c>
      <c r="J739" s="3" t="s">
        <v>145</v>
      </c>
      <c r="K739" s="3" t="s">
        <v>43</v>
      </c>
      <c r="L739" s="3" t="s">
        <v>44</v>
      </c>
      <c r="M739" s="4">
        <v>9.0</v>
      </c>
    </row>
    <row r="740">
      <c r="A740" s="2">
        <v>45408</v>
      </c>
      <c r="B7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0" s="3" t="str">
        <f>YEAR(KMART_DATA[[#This Row],[Date]])&amp;"-"&amp;TEXT(MONTH(KMART_DATA[[#This Row],[Date]]),"00")</f>
        <v>2024-04</v>
      </c>
      <c r="D740" s="3" t="s">
        <v>45</v>
      </c>
      <c r="E740" s="3" t="s">
        <v>108</v>
      </c>
      <c r="F740" s="3" t="s">
        <v>9</v>
      </c>
      <c r="G7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40" s="3" t="s">
        <v>109</v>
      </c>
      <c r="I740" s="3" t="s">
        <v>31</v>
      </c>
      <c r="J740" s="3" t="s">
        <v>75</v>
      </c>
      <c r="K740" s="3" t="s">
        <v>71</v>
      </c>
      <c r="L740" s="3" t="s">
        <v>72</v>
      </c>
      <c r="M740" s="4">
        <v>21.31</v>
      </c>
    </row>
    <row r="741">
      <c r="A741" s="2">
        <v>45408</v>
      </c>
      <c r="B7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1" s="3" t="str">
        <f>YEAR(KMART_DATA[[#This Row],[Date]])&amp;"-"&amp;TEXT(MONTH(KMART_DATA[[#This Row],[Date]]),"00")</f>
        <v>2024-04</v>
      </c>
      <c r="D741" s="3" t="s">
        <v>45</v>
      </c>
      <c r="E741" s="3" t="s">
        <v>131</v>
      </c>
      <c r="F741" s="3" t="s">
        <v>11</v>
      </c>
      <c r="G7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41" s="3" t="s">
        <v>132</v>
      </c>
      <c r="I741" s="3" t="s">
        <v>31</v>
      </c>
      <c r="J741" s="3" t="s">
        <v>32</v>
      </c>
      <c r="K741" s="3" t="s">
        <v>123</v>
      </c>
      <c r="L741" s="3" t="s">
        <v>124</v>
      </c>
      <c r="M741" s="4">
        <v>425.77</v>
      </c>
    </row>
    <row r="742">
      <c r="A742" s="2">
        <v>45408</v>
      </c>
      <c r="B7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2" s="3" t="str">
        <f>YEAR(KMART_DATA[[#This Row],[Date]])&amp;"-"&amp;TEXT(MONTH(KMART_DATA[[#This Row],[Date]]),"00")</f>
        <v>2024-04</v>
      </c>
      <c r="D742" s="3" t="s">
        <v>45</v>
      </c>
      <c r="E742" s="3" t="s">
        <v>100</v>
      </c>
      <c r="F742" s="3" t="s">
        <v>12</v>
      </c>
      <c r="G7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42" s="3" t="s">
        <v>101</v>
      </c>
      <c r="I742" s="3" t="s">
        <v>31</v>
      </c>
      <c r="J742" s="3" t="s">
        <v>102</v>
      </c>
      <c r="K742" s="3" t="s">
        <v>71</v>
      </c>
      <c r="L742" s="3" t="s">
        <v>72</v>
      </c>
      <c r="M742" s="4">
        <v>802.75</v>
      </c>
    </row>
    <row r="743">
      <c r="A743" s="2">
        <v>45408</v>
      </c>
      <c r="B7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3" s="3" t="str">
        <f>YEAR(KMART_DATA[[#This Row],[Date]])&amp;"-"&amp;TEXT(MONTH(KMART_DATA[[#This Row],[Date]]),"00")</f>
        <v>2024-04</v>
      </c>
      <c r="D743" s="3" t="s">
        <v>28</v>
      </c>
      <c r="E743" s="3" t="s">
        <v>59</v>
      </c>
      <c r="F743" s="3" t="s">
        <v>11</v>
      </c>
      <c r="G7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43" s="3" t="s">
        <v>60</v>
      </c>
      <c r="I743" s="3" t="s">
        <v>31</v>
      </c>
      <c r="J743" s="3" t="s">
        <v>61</v>
      </c>
      <c r="K743" s="3" t="s">
        <v>71</v>
      </c>
      <c r="L743" s="3" t="s">
        <v>72</v>
      </c>
      <c r="M743" s="4">
        <v>813.89</v>
      </c>
    </row>
    <row r="744">
      <c r="A744" s="2">
        <v>45409</v>
      </c>
      <c r="B7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4" s="3" t="str">
        <f>YEAR(KMART_DATA[[#This Row],[Date]])&amp;"-"&amp;TEXT(MONTH(KMART_DATA[[#This Row],[Date]]),"00")</f>
        <v>2024-04</v>
      </c>
      <c r="D744" s="3" t="s">
        <v>28</v>
      </c>
      <c r="E744" s="3" t="s">
        <v>246</v>
      </c>
      <c r="F744" s="3" t="s">
        <v>10</v>
      </c>
      <c r="G7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44" s="3" t="s">
        <v>247</v>
      </c>
      <c r="I744" s="3" t="s">
        <v>31</v>
      </c>
      <c r="J744" s="3" t="s">
        <v>37</v>
      </c>
      <c r="K744" s="3" t="s">
        <v>95</v>
      </c>
      <c r="L744" s="3" t="s">
        <v>96</v>
      </c>
      <c r="M744" s="4">
        <v>2.25</v>
      </c>
    </row>
    <row r="745">
      <c r="A745" s="2">
        <v>45409</v>
      </c>
      <c r="B7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5" s="3" t="str">
        <f>YEAR(KMART_DATA[[#This Row],[Date]])&amp;"-"&amp;TEXT(MONTH(KMART_DATA[[#This Row],[Date]]),"00")</f>
        <v>2024-04</v>
      </c>
      <c r="D745" s="3" t="s">
        <v>28</v>
      </c>
      <c r="E745" s="3" t="s">
        <v>262</v>
      </c>
      <c r="F745" s="3" t="s">
        <v>10</v>
      </c>
      <c r="G7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45" s="3" t="s">
        <v>263</v>
      </c>
      <c r="I745" s="3" t="s">
        <v>31</v>
      </c>
      <c r="J745" s="3" t="s">
        <v>120</v>
      </c>
      <c r="K745" s="3" t="s">
        <v>95</v>
      </c>
      <c r="L745" s="3" t="s">
        <v>96</v>
      </c>
      <c r="M745" s="4">
        <v>33.0</v>
      </c>
    </row>
    <row r="746">
      <c r="A746" s="2">
        <v>45409</v>
      </c>
      <c r="B7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6" s="3" t="str">
        <f>YEAR(KMART_DATA[[#This Row],[Date]])&amp;"-"&amp;TEXT(MONTH(KMART_DATA[[#This Row],[Date]]),"00")</f>
        <v>2024-04</v>
      </c>
      <c r="D746" s="3" t="s">
        <v>28</v>
      </c>
      <c r="E746" s="3" t="s">
        <v>54</v>
      </c>
      <c r="F746" s="3" t="s">
        <v>11</v>
      </c>
      <c r="G7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46" s="3" t="s">
        <v>55</v>
      </c>
      <c r="I746" s="3" t="s">
        <v>31</v>
      </c>
      <c r="J746" s="3" t="s">
        <v>56</v>
      </c>
      <c r="K746" s="3" t="s">
        <v>112</v>
      </c>
      <c r="L746" s="3" t="s">
        <v>113</v>
      </c>
      <c r="M746" s="4">
        <v>47.92</v>
      </c>
    </row>
    <row r="747">
      <c r="A747" s="2">
        <v>45409</v>
      </c>
      <c r="B7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7" s="3" t="str">
        <f>YEAR(KMART_DATA[[#This Row],[Date]])&amp;"-"&amp;TEXT(MONTH(KMART_DATA[[#This Row],[Date]]),"00")</f>
        <v>2024-04</v>
      </c>
      <c r="D747" s="3" t="s">
        <v>28</v>
      </c>
      <c r="E747" s="3" t="s">
        <v>175</v>
      </c>
      <c r="F747" s="3" t="s">
        <v>16</v>
      </c>
      <c r="G7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747" s="3" t="s">
        <v>176</v>
      </c>
      <c r="I747" s="3" t="s">
        <v>31</v>
      </c>
      <c r="J747" s="3" t="s">
        <v>107</v>
      </c>
      <c r="K747" s="3" t="s">
        <v>43</v>
      </c>
      <c r="L747" s="3" t="s">
        <v>44</v>
      </c>
      <c r="M747" s="4">
        <v>305.88</v>
      </c>
    </row>
    <row r="748">
      <c r="A748" s="2">
        <v>45409</v>
      </c>
      <c r="B7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8" s="3" t="str">
        <f>YEAR(KMART_DATA[[#This Row],[Date]])&amp;"-"&amp;TEXT(MONTH(KMART_DATA[[#This Row],[Date]]),"00")</f>
        <v>2024-04</v>
      </c>
      <c r="D748" s="3" t="s">
        <v>28</v>
      </c>
      <c r="E748" s="3" t="s">
        <v>209</v>
      </c>
      <c r="F748" s="3" t="s">
        <v>9</v>
      </c>
      <c r="G7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48" s="3" t="s">
        <v>210</v>
      </c>
      <c r="I748" s="3" t="s">
        <v>31</v>
      </c>
      <c r="J748" s="3" t="s">
        <v>81</v>
      </c>
      <c r="K748" s="3" t="s">
        <v>43</v>
      </c>
      <c r="L748" s="3" t="s">
        <v>44</v>
      </c>
      <c r="M748" s="4">
        <v>606.08</v>
      </c>
    </row>
    <row r="749">
      <c r="A749" s="2">
        <v>45409</v>
      </c>
      <c r="B7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49" s="3" t="str">
        <f>YEAR(KMART_DATA[[#This Row],[Date]])&amp;"-"&amp;TEXT(MONTH(KMART_DATA[[#This Row],[Date]]),"00")</f>
        <v>2024-04</v>
      </c>
      <c r="D749" s="3" t="s">
        <v>28</v>
      </c>
      <c r="E749" s="3" t="s">
        <v>264</v>
      </c>
      <c r="F749" s="3" t="s">
        <v>13</v>
      </c>
      <c r="G7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749" s="3" t="s">
        <v>265</v>
      </c>
      <c r="I749" s="3" t="s">
        <v>31</v>
      </c>
      <c r="J749" s="3" t="s">
        <v>42</v>
      </c>
      <c r="K749" s="3" t="s">
        <v>95</v>
      </c>
      <c r="L749" s="3" t="s">
        <v>96</v>
      </c>
      <c r="M749" s="4">
        <v>609.69</v>
      </c>
    </row>
    <row r="750">
      <c r="A750" s="2">
        <v>45409</v>
      </c>
      <c r="B7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0" s="3" t="str">
        <f>YEAR(KMART_DATA[[#This Row],[Date]])&amp;"-"&amp;TEXT(MONTH(KMART_DATA[[#This Row],[Date]]),"00")</f>
        <v>2024-04</v>
      </c>
      <c r="D750" s="3" t="s">
        <v>45</v>
      </c>
      <c r="E750" s="3" t="s">
        <v>118</v>
      </c>
      <c r="F750" s="3" t="s">
        <v>10</v>
      </c>
      <c r="G7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50" s="3" t="s">
        <v>119</v>
      </c>
      <c r="I750" s="3" t="s">
        <v>31</v>
      </c>
      <c r="J750" s="3" t="s">
        <v>120</v>
      </c>
      <c r="K750" s="3" t="s">
        <v>123</v>
      </c>
      <c r="L750" s="3" t="s">
        <v>124</v>
      </c>
      <c r="M750" s="4">
        <v>638.17</v>
      </c>
    </row>
    <row r="751">
      <c r="A751" s="2">
        <v>45409</v>
      </c>
      <c r="B7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1" s="3" t="str">
        <f>YEAR(KMART_DATA[[#This Row],[Date]])&amp;"-"&amp;TEXT(MONTH(KMART_DATA[[#This Row],[Date]]),"00")</f>
        <v>2024-04</v>
      </c>
      <c r="D751" s="3" t="s">
        <v>28</v>
      </c>
      <c r="E751" s="3" t="s">
        <v>230</v>
      </c>
      <c r="F751" s="3" t="s">
        <v>13</v>
      </c>
      <c r="G7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751" s="3" t="s">
        <v>231</v>
      </c>
      <c r="I751" s="3" t="s">
        <v>31</v>
      </c>
      <c r="J751" s="3" t="s">
        <v>227</v>
      </c>
      <c r="K751" s="3" t="s">
        <v>71</v>
      </c>
      <c r="L751" s="3" t="s">
        <v>72</v>
      </c>
      <c r="M751" s="4">
        <v>1131.28</v>
      </c>
    </row>
    <row r="752">
      <c r="A752" s="2">
        <v>45409</v>
      </c>
      <c r="B7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2" s="3" t="str">
        <f>YEAR(KMART_DATA[[#This Row],[Date]])&amp;"-"&amp;TEXT(MONTH(KMART_DATA[[#This Row],[Date]]),"00")</f>
        <v>2024-04</v>
      </c>
      <c r="D752" s="3" t="s">
        <v>28</v>
      </c>
      <c r="E752" s="3" t="s">
        <v>209</v>
      </c>
      <c r="F752" s="3" t="s">
        <v>9</v>
      </c>
      <c r="G7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52" s="3" t="s">
        <v>210</v>
      </c>
      <c r="I752" s="3" t="s">
        <v>31</v>
      </c>
      <c r="J752" s="3" t="s">
        <v>81</v>
      </c>
      <c r="K752" s="3" t="s">
        <v>95</v>
      </c>
      <c r="L752" s="3" t="s">
        <v>96</v>
      </c>
      <c r="M752" s="4">
        <v>5062.93</v>
      </c>
    </row>
    <row r="753">
      <c r="A753" s="2">
        <v>45410</v>
      </c>
      <c r="B7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3" s="3" t="str">
        <f>YEAR(KMART_DATA[[#This Row],[Date]])&amp;"-"&amp;TEXT(MONTH(KMART_DATA[[#This Row],[Date]]),"00")</f>
        <v>2024-04</v>
      </c>
      <c r="D753" s="3" t="s">
        <v>28</v>
      </c>
      <c r="E753" s="3" t="s">
        <v>215</v>
      </c>
      <c r="F753" s="3" t="s">
        <v>15</v>
      </c>
      <c r="G7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753" s="3" t="s">
        <v>216</v>
      </c>
      <c r="I753" s="3" t="s">
        <v>31</v>
      </c>
      <c r="J753" s="3" t="s">
        <v>53</v>
      </c>
      <c r="K753" s="3" t="s">
        <v>71</v>
      </c>
      <c r="L753" s="3" t="s">
        <v>72</v>
      </c>
      <c r="M753" s="4">
        <v>7.0</v>
      </c>
    </row>
    <row r="754">
      <c r="A754" s="2">
        <v>45410</v>
      </c>
      <c r="B7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4" s="3" t="str">
        <f>YEAR(KMART_DATA[[#This Row],[Date]])&amp;"-"&amp;TEXT(MONTH(KMART_DATA[[#This Row],[Date]]),"00")</f>
        <v>2024-04</v>
      </c>
      <c r="D754" s="3" t="s">
        <v>28</v>
      </c>
      <c r="E754" s="3" t="s">
        <v>92</v>
      </c>
      <c r="F754" s="3" t="s">
        <v>10</v>
      </c>
      <c r="G7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54" s="3" t="s">
        <v>93</v>
      </c>
      <c r="I754" s="3" t="s">
        <v>31</v>
      </c>
      <c r="J754" s="3" t="s">
        <v>94</v>
      </c>
      <c r="K754" s="3" t="s">
        <v>71</v>
      </c>
      <c r="L754" s="3" t="s">
        <v>72</v>
      </c>
      <c r="M754" s="4">
        <v>27.96</v>
      </c>
    </row>
    <row r="755">
      <c r="A755" s="2">
        <v>45410</v>
      </c>
      <c r="B7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5" s="3" t="str">
        <f>YEAR(KMART_DATA[[#This Row],[Date]])&amp;"-"&amp;TEXT(MONTH(KMART_DATA[[#This Row],[Date]]),"00")</f>
        <v>2024-04</v>
      </c>
      <c r="D755" s="3" t="s">
        <v>28</v>
      </c>
      <c r="E755" s="3" t="s">
        <v>260</v>
      </c>
      <c r="F755" s="3" t="s">
        <v>10</v>
      </c>
      <c r="G7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55" s="3" t="s">
        <v>261</v>
      </c>
      <c r="I755" s="3" t="s">
        <v>31</v>
      </c>
      <c r="J755" s="3" t="s">
        <v>89</v>
      </c>
      <c r="K755" s="3" t="s">
        <v>57</v>
      </c>
      <c r="L755" s="3" t="s">
        <v>58</v>
      </c>
      <c r="M755" s="4">
        <v>466.74</v>
      </c>
    </row>
    <row r="756">
      <c r="A756" s="2">
        <v>45411</v>
      </c>
      <c r="B7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6" s="3" t="str">
        <f>YEAR(KMART_DATA[[#This Row],[Date]])&amp;"-"&amp;TEXT(MONTH(KMART_DATA[[#This Row],[Date]]),"00")</f>
        <v>2024-04</v>
      </c>
      <c r="D756" s="3" t="s">
        <v>45</v>
      </c>
      <c r="E756" s="3" t="s">
        <v>139</v>
      </c>
      <c r="F756" s="3" t="s">
        <v>10</v>
      </c>
      <c r="G7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56" s="3" t="s">
        <v>140</v>
      </c>
      <c r="I756" s="3" t="s">
        <v>31</v>
      </c>
      <c r="J756" s="3" t="s">
        <v>89</v>
      </c>
      <c r="K756" s="3" t="s">
        <v>43</v>
      </c>
      <c r="L756" s="3" t="s">
        <v>44</v>
      </c>
      <c r="M756" s="4">
        <v>33.75</v>
      </c>
    </row>
    <row r="757">
      <c r="A757" s="2">
        <v>45411</v>
      </c>
      <c r="B7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7" s="3" t="str">
        <f>YEAR(KMART_DATA[[#This Row],[Date]])&amp;"-"&amp;TEXT(MONTH(KMART_DATA[[#This Row],[Date]]),"00")</f>
        <v>2024-04</v>
      </c>
      <c r="D757" s="3" t="s">
        <v>45</v>
      </c>
      <c r="E757" s="3" t="s">
        <v>260</v>
      </c>
      <c r="F757" s="3" t="s">
        <v>10</v>
      </c>
      <c r="G7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57" s="3" t="s">
        <v>261</v>
      </c>
      <c r="I757" s="3" t="s">
        <v>31</v>
      </c>
      <c r="J757" s="3" t="s">
        <v>89</v>
      </c>
      <c r="K757" s="3" t="s">
        <v>123</v>
      </c>
      <c r="L757" s="3" t="s">
        <v>124</v>
      </c>
      <c r="M757" s="4">
        <v>85.84</v>
      </c>
    </row>
    <row r="758">
      <c r="A758" s="2">
        <v>45411</v>
      </c>
      <c r="B7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8" s="3" t="str">
        <f>YEAR(KMART_DATA[[#This Row],[Date]])&amp;"-"&amp;TEXT(MONTH(KMART_DATA[[#This Row],[Date]]),"00")</f>
        <v>2024-04</v>
      </c>
      <c r="D758" s="3" t="s">
        <v>28</v>
      </c>
      <c r="E758" s="3" t="s">
        <v>129</v>
      </c>
      <c r="F758" s="3" t="s">
        <v>10</v>
      </c>
      <c r="G7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58" s="3" t="s">
        <v>130</v>
      </c>
      <c r="I758" s="3" t="s">
        <v>31</v>
      </c>
      <c r="J758" s="3" t="s">
        <v>120</v>
      </c>
      <c r="K758" s="3" t="s">
        <v>95</v>
      </c>
      <c r="L758" s="3" t="s">
        <v>96</v>
      </c>
      <c r="M758" s="4">
        <v>120.49</v>
      </c>
    </row>
    <row r="759">
      <c r="A759" s="2">
        <v>45411</v>
      </c>
      <c r="B7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59" s="3" t="str">
        <f>YEAR(KMART_DATA[[#This Row],[Date]])&amp;"-"&amp;TEXT(MONTH(KMART_DATA[[#This Row],[Date]]),"00")</f>
        <v>2024-04</v>
      </c>
      <c r="D759" s="3" t="s">
        <v>28</v>
      </c>
      <c r="E759" s="3" t="s">
        <v>76</v>
      </c>
      <c r="F759" s="3" t="s">
        <v>11</v>
      </c>
      <c r="G7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59" s="3" t="s">
        <v>77</v>
      </c>
      <c r="I759" s="3" t="s">
        <v>31</v>
      </c>
      <c r="J759" s="3" t="s">
        <v>78</v>
      </c>
      <c r="K759" s="3" t="s">
        <v>57</v>
      </c>
      <c r="L759" s="3" t="s">
        <v>58</v>
      </c>
      <c r="M759" s="4">
        <v>209.65</v>
      </c>
    </row>
    <row r="760">
      <c r="A760" s="2">
        <v>45411</v>
      </c>
      <c r="B7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0" s="3" t="str">
        <f>YEAR(KMART_DATA[[#This Row],[Date]])&amp;"-"&amp;TEXT(MONTH(KMART_DATA[[#This Row],[Date]]),"00")</f>
        <v>2024-04</v>
      </c>
      <c r="D760" s="3" t="s">
        <v>45</v>
      </c>
      <c r="E760" s="3" t="s">
        <v>62</v>
      </c>
      <c r="F760" s="3" t="s">
        <v>12</v>
      </c>
      <c r="G7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60" s="3" t="s">
        <v>63</v>
      </c>
      <c r="I760" s="3" t="s">
        <v>31</v>
      </c>
      <c r="J760" s="3" t="s">
        <v>50</v>
      </c>
      <c r="K760" s="3" t="s">
        <v>43</v>
      </c>
      <c r="L760" s="3" t="s">
        <v>44</v>
      </c>
      <c r="M760" s="4">
        <v>304.11</v>
      </c>
    </row>
    <row r="761">
      <c r="A761" s="2">
        <v>45411</v>
      </c>
      <c r="B7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1" s="3" t="str">
        <f>YEAR(KMART_DATA[[#This Row],[Date]])&amp;"-"&amp;TEXT(MONTH(KMART_DATA[[#This Row],[Date]]),"00")</f>
        <v>2024-04</v>
      </c>
      <c r="D761" s="3" t="s">
        <v>45</v>
      </c>
      <c r="E761" s="3" t="s">
        <v>240</v>
      </c>
      <c r="F761" s="3" t="s">
        <v>15</v>
      </c>
      <c r="G7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761" s="3" t="s">
        <v>241</v>
      </c>
      <c r="I761" s="3" t="s">
        <v>31</v>
      </c>
      <c r="J761" s="3" t="s">
        <v>53</v>
      </c>
      <c r="K761" s="3" t="s">
        <v>71</v>
      </c>
      <c r="L761" s="3" t="s">
        <v>72</v>
      </c>
      <c r="M761" s="4">
        <v>386.58</v>
      </c>
    </row>
    <row r="762">
      <c r="A762" s="2">
        <v>45411</v>
      </c>
      <c r="B7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2" s="3" t="str">
        <f>YEAR(KMART_DATA[[#This Row],[Date]])&amp;"-"&amp;TEXT(MONTH(KMART_DATA[[#This Row],[Date]]),"00")</f>
        <v>2024-04</v>
      </c>
      <c r="D762" s="3" t="s">
        <v>28</v>
      </c>
      <c r="E762" s="3" t="s">
        <v>262</v>
      </c>
      <c r="F762" s="3" t="s">
        <v>10</v>
      </c>
      <c r="G7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62" s="3" t="s">
        <v>263</v>
      </c>
      <c r="I762" s="3" t="s">
        <v>31</v>
      </c>
      <c r="J762" s="3" t="s">
        <v>120</v>
      </c>
      <c r="K762" s="3" t="s">
        <v>123</v>
      </c>
      <c r="L762" s="3" t="s">
        <v>124</v>
      </c>
      <c r="M762" s="4">
        <v>412.16</v>
      </c>
    </row>
    <row r="763">
      <c r="A763" s="2">
        <v>45411</v>
      </c>
      <c r="B7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3" s="3" t="str">
        <f>YEAR(KMART_DATA[[#This Row],[Date]])&amp;"-"&amp;TEXT(MONTH(KMART_DATA[[#This Row],[Date]]),"00")</f>
        <v>2024-04</v>
      </c>
      <c r="D763" s="3" t="s">
        <v>28</v>
      </c>
      <c r="E763" s="3" t="s">
        <v>246</v>
      </c>
      <c r="F763" s="3" t="s">
        <v>10</v>
      </c>
      <c r="G7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63" s="3" t="s">
        <v>247</v>
      </c>
      <c r="I763" s="3" t="s">
        <v>31</v>
      </c>
      <c r="J763" s="3" t="s">
        <v>37</v>
      </c>
      <c r="K763" s="3" t="s">
        <v>71</v>
      </c>
      <c r="L763" s="3" t="s">
        <v>72</v>
      </c>
      <c r="M763" s="4">
        <v>422.3</v>
      </c>
    </row>
    <row r="764">
      <c r="A764" s="2">
        <v>45411</v>
      </c>
      <c r="B7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4" s="3" t="str">
        <f>YEAR(KMART_DATA[[#This Row],[Date]])&amp;"-"&amp;TEXT(MONTH(KMART_DATA[[#This Row],[Date]]),"00")</f>
        <v>2024-04</v>
      </c>
      <c r="D764" s="3" t="s">
        <v>28</v>
      </c>
      <c r="E764" s="3" t="s">
        <v>125</v>
      </c>
      <c r="F764" s="3" t="s">
        <v>10</v>
      </c>
      <c r="G7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64" s="3" t="s">
        <v>126</v>
      </c>
      <c r="I764" s="3" t="s">
        <v>31</v>
      </c>
      <c r="J764" s="3" t="s">
        <v>94</v>
      </c>
      <c r="K764" s="3" t="s">
        <v>46</v>
      </c>
      <c r="L764" s="3" t="s">
        <v>47</v>
      </c>
      <c r="M764" s="4">
        <v>665.34</v>
      </c>
    </row>
    <row r="765">
      <c r="A765" s="2">
        <v>45412</v>
      </c>
      <c r="B7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5" s="3" t="str">
        <f>YEAR(KMART_DATA[[#This Row],[Date]])&amp;"-"&amp;TEXT(MONTH(KMART_DATA[[#This Row],[Date]]),"00")</f>
        <v>2024-04</v>
      </c>
      <c r="D765" s="3" t="s">
        <v>28</v>
      </c>
      <c r="E765" s="3" t="s">
        <v>205</v>
      </c>
      <c r="F765" s="3" t="s">
        <v>10</v>
      </c>
      <c r="G7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65" s="3" t="s">
        <v>206</v>
      </c>
      <c r="I765" s="3" t="s">
        <v>31</v>
      </c>
      <c r="J765" s="3" t="s">
        <v>37</v>
      </c>
      <c r="K765" s="3" t="s">
        <v>43</v>
      </c>
      <c r="L765" s="3" t="s">
        <v>44</v>
      </c>
      <c r="M765" s="4">
        <v>11.0</v>
      </c>
    </row>
    <row r="766">
      <c r="A766" s="2">
        <v>45412</v>
      </c>
      <c r="B7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6" s="3" t="str">
        <f>YEAR(KMART_DATA[[#This Row],[Date]])&amp;"-"&amp;TEXT(MONTH(KMART_DATA[[#This Row],[Date]]),"00")</f>
        <v>2024-04</v>
      </c>
      <c r="D766" s="3" t="s">
        <v>45</v>
      </c>
      <c r="E766" s="3" t="s">
        <v>260</v>
      </c>
      <c r="F766" s="3" t="s">
        <v>10</v>
      </c>
      <c r="G7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66" s="3" t="s">
        <v>261</v>
      </c>
      <c r="I766" s="3" t="s">
        <v>31</v>
      </c>
      <c r="J766" s="3" t="s">
        <v>89</v>
      </c>
      <c r="K766" s="3" t="s">
        <v>46</v>
      </c>
      <c r="L766" s="3" t="s">
        <v>47</v>
      </c>
      <c r="M766" s="4">
        <v>25.98</v>
      </c>
    </row>
    <row r="767">
      <c r="A767" s="2">
        <v>45412</v>
      </c>
      <c r="B7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7" s="3" t="str">
        <f>YEAR(KMART_DATA[[#This Row],[Date]])&amp;"-"&amp;TEXT(MONTH(KMART_DATA[[#This Row],[Date]]),"00")</f>
        <v>2024-04</v>
      </c>
      <c r="D767" s="3" t="s">
        <v>28</v>
      </c>
      <c r="E767" s="3" t="s">
        <v>62</v>
      </c>
      <c r="F767" s="3" t="s">
        <v>12</v>
      </c>
      <c r="G7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67" s="3" t="s">
        <v>63</v>
      </c>
      <c r="I767" s="3" t="s">
        <v>31</v>
      </c>
      <c r="J767" s="3" t="s">
        <v>50</v>
      </c>
      <c r="K767" s="3" t="s">
        <v>38</v>
      </c>
      <c r="L767" s="3" t="s">
        <v>39</v>
      </c>
      <c r="M767" s="4">
        <v>32.56</v>
      </c>
    </row>
    <row r="768">
      <c r="A768" s="2">
        <v>45412</v>
      </c>
      <c r="B7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8" s="3" t="str">
        <f>YEAR(KMART_DATA[[#This Row],[Date]])&amp;"-"&amp;TEXT(MONTH(KMART_DATA[[#This Row],[Date]]),"00")</f>
        <v>2024-04</v>
      </c>
      <c r="D768" s="3" t="s">
        <v>28</v>
      </c>
      <c r="E768" s="3" t="s">
        <v>100</v>
      </c>
      <c r="F768" s="3" t="s">
        <v>12</v>
      </c>
      <c r="G7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68" s="3" t="s">
        <v>101</v>
      </c>
      <c r="I768" s="3" t="s">
        <v>31</v>
      </c>
      <c r="J768" s="3" t="s">
        <v>102</v>
      </c>
      <c r="K768" s="3" t="s">
        <v>43</v>
      </c>
      <c r="L768" s="3" t="s">
        <v>44</v>
      </c>
      <c r="M768" s="4">
        <v>44.97</v>
      </c>
    </row>
    <row r="769">
      <c r="A769" s="2">
        <v>45412</v>
      </c>
      <c r="B7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69" s="3" t="str">
        <f>YEAR(KMART_DATA[[#This Row],[Date]])&amp;"-"&amp;TEXT(MONTH(KMART_DATA[[#This Row],[Date]]),"00")</f>
        <v>2024-04</v>
      </c>
      <c r="D769" s="3" t="s">
        <v>45</v>
      </c>
      <c r="E769" s="3" t="s">
        <v>221</v>
      </c>
      <c r="F769" s="3" t="s">
        <v>11</v>
      </c>
      <c r="G7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69" s="3" t="s">
        <v>222</v>
      </c>
      <c r="I769" s="3" t="s">
        <v>31</v>
      </c>
      <c r="J769" s="3" t="s">
        <v>56</v>
      </c>
      <c r="K769" s="3" t="s">
        <v>123</v>
      </c>
      <c r="L769" s="3" t="s">
        <v>124</v>
      </c>
      <c r="M769" s="4">
        <v>87.68</v>
      </c>
    </row>
    <row r="770">
      <c r="A770" s="2">
        <v>45412</v>
      </c>
      <c r="B7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0" s="3" t="str">
        <f>YEAR(KMART_DATA[[#This Row],[Date]])&amp;"-"&amp;TEXT(MONTH(KMART_DATA[[#This Row],[Date]]),"00")</f>
        <v>2024-04</v>
      </c>
      <c r="D770" s="3" t="s">
        <v>28</v>
      </c>
      <c r="E770" s="3" t="s">
        <v>92</v>
      </c>
      <c r="F770" s="3" t="s">
        <v>10</v>
      </c>
      <c r="G7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70" s="3" t="s">
        <v>93</v>
      </c>
      <c r="I770" s="3" t="s">
        <v>31</v>
      </c>
      <c r="J770" s="3" t="s">
        <v>94</v>
      </c>
      <c r="K770" s="3" t="s">
        <v>43</v>
      </c>
      <c r="L770" s="3" t="s">
        <v>44</v>
      </c>
      <c r="M770" s="4">
        <v>98.99</v>
      </c>
    </row>
    <row r="771">
      <c r="A771" s="2">
        <v>45412</v>
      </c>
      <c r="B7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1" s="3" t="str">
        <f>YEAR(KMART_DATA[[#This Row],[Date]])&amp;"-"&amp;TEXT(MONTH(KMART_DATA[[#This Row],[Date]]),"00")</f>
        <v>2024-04</v>
      </c>
      <c r="D771" s="3" t="s">
        <v>28</v>
      </c>
      <c r="E771" s="3" t="s">
        <v>173</v>
      </c>
      <c r="F771" s="3" t="s">
        <v>11</v>
      </c>
      <c r="G7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71" s="3" t="s">
        <v>174</v>
      </c>
      <c r="I771" s="3" t="s">
        <v>31</v>
      </c>
      <c r="J771" s="3" t="s">
        <v>61</v>
      </c>
      <c r="K771" s="3" t="s">
        <v>43</v>
      </c>
      <c r="L771" s="3" t="s">
        <v>44</v>
      </c>
      <c r="M771" s="4">
        <v>369.64</v>
      </c>
    </row>
    <row r="772">
      <c r="A772" s="2">
        <v>45412</v>
      </c>
      <c r="B7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2" s="3" t="str">
        <f>YEAR(KMART_DATA[[#This Row],[Date]])&amp;"-"&amp;TEXT(MONTH(KMART_DATA[[#This Row],[Date]]),"00")</f>
        <v>2024-04</v>
      </c>
      <c r="D772" s="3" t="s">
        <v>28</v>
      </c>
      <c r="E772" s="3" t="s">
        <v>163</v>
      </c>
      <c r="F772" s="3" t="s">
        <v>9</v>
      </c>
      <c r="G7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72" s="3" t="s">
        <v>164</v>
      </c>
      <c r="I772" s="3" t="s">
        <v>31</v>
      </c>
      <c r="J772" s="3" t="s">
        <v>81</v>
      </c>
      <c r="K772" s="3" t="s">
        <v>112</v>
      </c>
      <c r="L772" s="3" t="s">
        <v>113</v>
      </c>
      <c r="M772" s="4">
        <v>1239.77</v>
      </c>
    </row>
    <row r="773">
      <c r="A773" s="2">
        <v>45412</v>
      </c>
      <c r="B7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3" s="3" t="str">
        <f>YEAR(KMART_DATA[[#This Row],[Date]])&amp;"-"&amp;TEXT(MONTH(KMART_DATA[[#This Row],[Date]]),"00")</f>
        <v>2024-04</v>
      </c>
      <c r="D773" s="3" t="s">
        <v>28</v>
      </c>
      <c r="E773" s="3" t="s">
        <v>183</v>
      </c>
      <c r="F773" s="3" t="s">
        <v>9</v>
      </c>
      <c r="G7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73" s="3" t="s">
        <v>184</v>
      </c>
      <c r="I773" s="3" t="s">
        <v>31</v>
      </c>
      <c r="J773" s="3" t="s">
        <v>70</v>
      </c>
      <c r="K773" s="3" t="s">
        <v>33</v>
      </c>
      <c r="L773" s="3" t="s">
        <v>34</v>
      </c>
      <c r="M773" s="4">
        <v>2554.57</v>
      </c>
    </row>
    <row r="774">
      <c r="A774" s="2">
        <v>45412</v>
      </c>
      <c r="B7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4" s="3" t="str">
        <f>YEAR(KMART_DATA[[#This Row],[Date]])&amp;"-"&amp;TEXT(MONTH(KMART_DATA[[#This Row],[Date]]),"00")</f>
        <v>2024-04</v>
      </c>
      <c r="D774" s="3" t="s">
        <v>28</v>
      </c>
      <c r="E774" s="3" t="s">
        <v>211</v>
      </c>
      <c r="F774" s="3" t="s">
        <v>9</v>
      </c>
      <c r="G7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74" s="3" t="s">
        <v>212</v>
      </c>
      <c r="I774" s="3" t="s">
        <v>31</v>
      </c>
      <c r="J774" s="3" t="s">
        <v>75</v>
      </c>
      <c r="K774" s="3" t="s">
        <v>57</v>
      </c>
      <c r="L774" s="3" t="s">
        <v>58</v>
      </c>
      <c r="M774" s="4">
        <v>4593.59</v>
      </c>
    </row>
    <row r="775">
      <c r="A775" s="2">
        <v>45413</v>
      </c>
      <c r="B7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5" s="3" t="str">
        <f>YEAR(KMART_DATA[[#This Row],[Date]])&amp;"-"&amp;TEXT(MONTH(KMART_DATA[[#This Row],[Date]]),"00")</f>
        <v>2024-05</v>
      </c>
      <c r="D775" s="3" t="s">
        <v>28</v>
      </c>
      <c r="E775" s="3" t="s">
        <v>209</v>
      </c>
      <c r="F775" s="3" t="s">
        <v>9</v>
      </c>
      <c r="G7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75" s="3" t="s">
        <v>210</v>
      </c>
      <c r="I775" s="3" t="s">
        <v>31</v>
      </c>
      <c r="J775" s="3" t="s">
        <v>81</v>
      </c>
      <c r="K775" s="3" t="s">
        <v>71</v>
      </c>
      <c r="L775" s="3" t="s">
        <v>72</v>
      </c>
      <c r="M775" s="4">
        <v>8.44</v>
      </c>
    </row>
    <row r="776">
      <c r="A776" s="2">
        <v>45413</v>
      </c>
      <c r="B7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6" s="3" t="str">
        <f>YEAR(KMART_DATA[[#This Row],[Date]])&amp;"-"&amp;TEXT(MONTH(KMART_DATA[[#This Row],[Date]]),"00")</f>
        <v>2024-05</v>
      </c>
      <c r="D776" s="3" t="s">
        <v>28</v>
      </c>
      <c r="E776" s="3" t="s">
        <v>40</v>
      </c>
      <c r="F776" s="3" t="s">
        <v>13</v>
      </c>
      <c r="G7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776" s="3" t="s">
        <v>41</v>
      </c>
      <c r="I776" s="3" t="s">
        <v>31</v>
      </c>
      <c r="J776" s="3" t="s">
        <v>42</v>
      </c>
      <c r="K776" s="3" t="s">
        <v>123</v>
      </c>
      <c r="L776" s="3" t="s">
        <v>124</v>
      </c>
      <c r="M776" s="4">
        <v>25.95</v>
      </c>
    </row>
    <row r="777">
      <c r="A777" s="2">
        <v>45413</v>
      </c>
      <c r="B7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7" s="3" t="str">
        <f>YEAR(KMART_DATA[[#This Row],[Date]])&amp;"-"&amp;TEXT(MONTH(KMART_DATA[[#This Row],[Date]]),"00")</f>
        <v>2024-05</v>
      </c>
      <c r="D777" s="3" t="s">
        <v>28</v>
      </c>
      <c r="E777" s="3" t="s">
        <v>173</v>
      </c>
      <c r="F777" s="3" t="s">
        <v>11</v>
      </c>
      <c r="G7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77" s="3" t="s">
        <v>174</v>
      </c>
      <c r="I777" s="3" t="s">
        <v>31</v>
      </c>
      <c r="J777" s="3" t="s">
        <v>61</v>
      </c>
      <c r="K777" s="3" t="s">
        <v>112</v>
      </c>
      <c r="L777" s="3" t="s">
        <v>113</v>
      </c>
      <c r="M777" s="4">
        <v>35.62</v>
      </c>
    </row>
    <row r="778">
      <c r="A778" s="2">
        <v>45413</v>
      </c>
      <c r="B7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8" s="3" t="str">
        <f>YEAR(KMART_DATA[[#This Row],[Date]])&amp;"-"&amp;TEXT(MONTH(KMART_DATA[[#This Row],[Date]]),"00")</f>
        <v>2024-05</v>
      </c>
      <c r="D778" s="3" t="s">
        <v>45</v>
      </c>
      <c r="E778" s="3" t="s">
        <v>213</v>
      </c>
      <c r="F778" s="3" t="s">
        <v>11</v>
      </c>
      <c r="G7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78" s="3" t="s">
        <v>214</v>
      </c>
      <c r="I778" s="3" t="s">
        <v>31</v>
      </c>
      <c r="J778" s="3" t="s">
        <v>32</v>
      </c>
      <c r="K778" s="3" t="s">
        <v>38</v>
      </c>
      <c r="L778" s="3" t="s">
        <v>39</v>
      </c>
      <c r="M778" s="4">
        <v>121.78</v>
      </c>
    </row>
    <row r="779">
      <c r="A779" s="2">
        <v>45413</v>
      </c>
      <c r="B7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79" s="3" t="str">
        <f>YEAR(KMART_DATA[[#This Row],[Date]])&amp;"-"&amp;TEXT(MONTH(KMART_DATA[[#This Row],[Date]]),"00")</f>
        <v>2024-05</v>
      </c>
      <c r="D779" s="3" t="s">
        <v>28</v>
      </c>
      <c r="E779" s="3" t="s">
        <v>205</v>
      </c>
      <c r="F779" s="3" t="s">
        <v>10</v>
      </c>
      <c r="G7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79" s="3" t="s">
        <v>206</v>
      </c>
      <c r="I779" s="3" t="s">
        <v>31</v>
      </c>
      <c r="J779" s="3" t="s">
        <v>37</v>
      </c>
      <c r="K779" s="3" t="s">
        <v>95</v>
      </c>
      <c r="L779" s="3" t="s">
        <v>96</v>
      </c>
      <c r="M779" s="4">
        <v>576.84</v>
      </c>
    </row>
    <row r="780">
      <c r="A780" s="2">
        <v>45413</v>
      </c>
      <c r="B7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0" s="3" t="str">
        <f>YEAR(KMART_DATA[[#This Row],[Date]])&amp;"-"&amp;TEXT(MONTH(KMART_DATA[[#This Row],[Date]]),"00")</f>
        <v>2024-05</v>
      </c>
      <c r="D780" s="3" t="s">
        <v>45</v>
      </c>
      <c r="E780" s="3" t="s">
        <v>189</v>
      </c>
      <c r="F780" s="3" t="s">
        <v>9</v>
      </c>
      <c r="G7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80" s="3" t="s">
        <v>190</v>
      </c>
      <c r="I780" s="3" t="s">
        <v>31</v>
      </c>
      <c r="J780" s="3" t="s">
        <v>81</v>
      </c>
      <c r="K780" s="3" t="s">
        <v>46</v>
      </c>
      <c r="L780" s="3" t="s">
        <v>47</v>
      </c>
      <c r="M780" s="4">
        <v>2075.67</v>
      </c>
    </row>
    <row r="781">
      <c r="A781" s="2">
        <v>45413</v>
      </c>
      <c r="B7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1" s="3" t="str">
        <f>YEAR(KMART_DATA[[#This Row],[Date]])&amp;"-"&amp;TEXT(MONTH(KMART_DATA[[#This Row],[Date]]),"00")</f>
        <v>2024-05</v>
      </c>
      <c r="D781" s="3" t="s">
        <v>28</v>
      </c>
      <c r="E781" s="3" t="s">
        <v>64</v>
      </c>
      <c r="F781" s="3" t="s">
        <v>11</v>
      </c>
      <c r="G7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81" s="3" t="s">
        <v>65</v>
      </c>
      <c r="I781" s="3" t="s">
        <v>31</v>
      </c>
      <c r="J781" s="3" t="s">
        <v>61</v>
      </c>
      <c r="K781" s="3" t="s">
        <v>46</v>
      </c>
      <c r="L781" s="3" t="s">
        <v>47</v>
      </c>
      <c r="M781" s="4">
        <v>2866.54</v>
      </c>
    </row>
    <row r="782">
      <c r="A782" s="2">
        <v>45414</v>
      </c>
      <c r="B7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2" s="3" t="str">
        <f>YEAR(KMART_DATA[[#This Row],[Date]])&amp;"-"&amp;TEXT(MONTH(KMART_DATA[[#This Row],[Date]]),"00")</f>
        <v>2024-05</v>
      </c>
      <c r="D782" s="3" t="s">
        <v>28</v>
      </c>
      <c r="E782" s="3" t="s">
        <v>179</v>
      </c>
      <c r="F782" s="3" t="s">
        <v>9</v>
      </c>
      <c r="G7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82" s="3" t="s">
        <v>180</v>
      </c>
      <c r="I782" s="3" t="s">
        <v>31</v>
      </c>
      <c r="J782" s="3" t="s">
        <v>99</v>
      </c>
      <c r="K782" s="3" t="s">
        <v>46</v>
      </c>
      <c r="L782" s="3" t="s">
        <v>47</v>
      </c>
      <c r="M782" s="4">
        <v>15.98</v>
      </c>
    </row>
    <row r="783">
      <c r="A783" s="2">
        <v>45414</v>
      </c>
      <c r="B7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3" s="3" t="str">
        <f>YEAR(KMART_DATA[[#This Row],[Date]])&amp;"-"&amp;TEXT(MONTH(KMART_DATA[[#This Row],[Date]]),"00")</f>
        <v>2024-05</v>
      </c>
      <c r="D783" s="3" t="s">
        <v>28</v>
      </c>
      <c r="E783" s="3" t="s">
        <v>152</v>
      </c>
      <c r="F783" s="3" t="s">
        <v>11</v>
      </c>
      <c r="G7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83" s="3" t="s">
        <v>153</v>
      </c>
      <c r="I783" s="3" t="s">
        <v>31</v>
      </c>
      <c r="J783" s="3" t="s">
        <v>61</v>
      </c>
      <c r="K783" s="3" t="s">
        <v>43</v>
      </c>
      <c r="L783" s="3" t="s">
        <v>44</v>
      </c>
      <c r="M783" s="4">
        <v>29.97</v>
      </c>
    </row>
    <row r="784">
      <c r="A784" s="2">
        <v>45414</v>
      </c>
      <c r="B7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4" s="3" t="str">
        <f>YEAR(KMART_DATA[[#This Row],[Date]])&amp;"-"&amp;TEXT(MONTH(KMART_DATA[[#This Row],[Date]]),"00")</f>
        <v>2024-05</v>
      </c>
      <c r="D784" s="3" t="s">
        <v>45</v>
      </c>
      <c r="E784" s="3" t="s">
        <v>163</v>
      </c>
      <c r="F784" s="3" t="s">
        <v>9</v>
      </c>
      <c r="G7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84" s="3" t="s">
        <v>164</v>
      </c>
      <c r="I784" s="3" t="s">
        <v>31</v>
      </c>
      <c r="J784" s="3" t="s">
        <v>81</v>
      </c>
      <c r="K784" s="3" t="s">
        <v>46</v>
      </c>
      <c r="L784" s="3" t="s">
        <v>47</v>
      </c>
      <c r="M784" s="4">
        <v>39.5</v>
      </c>
    </row>
    <row r="785">
      <c r="A785" s="2">
        <v>45414</v>
      </c>
      <c r="B7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5" s="3" t="str">
        <f>YEAR(KMART_DATA[[#This Row],[Date]])&amp;"-"&amp;TEXT(MONTH(KMART_DATA[[#This Row],[Date]]),"00")</f>
        <v>2024-05</v>
      </c>
      <c r="D785" s="3" t="s">
        <v>45</v>
      </c>
      <c r="E785" s="3" t="s">
        <v>48</v>
      </c>
      <c r="F785" s="3" t="s">
        <v>12</v>
      </c>
      <c r="G7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85" s="3" t="s">
        <v>49</v>
      </c>
      <c r="I785" s="3" t="s">
        <v>31</v>
      </c>
      <c r="J785" s="3" t="s">
        <v>50</v>
      </c>
      <c r="K785" s="3" t="s">
        <v>112</v>
      </c>
      <c r="L785" s="3" t="s">
        <v>113</v>
      </c>
      <c r="M785" s="4">
        <v>39.92</v>
      </c>
    </row>
    <row r="786">
      <c r="A786" s="2">
        <v>45414</v>
      </c>
      <c r="B7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6" s="3" t="str">
        <f>YEAR(KMART_DATA[[#This Row],[Date]])&amp;"-"&amp;TEXT(MONTH(KMART_DATA[[#This Row],[Date]]),"00")</f>
        <v>2024-05</v>
      </c>
      <c r="D786" s="3" t="s">
        <v>28</v>
      </c>
      <c r="E786" s="3" t="s">
        <v>258</v>
      </c>
      <c r="F786" s="3" t="s">
        <v>14</v>
      </c>
      <c r="G7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786" s="3" t="s">
        <v>259</v>
      </c>
      <c r="I786" s="3" t="s">
        <v>31</v>
      </c>
      <c r="J786" s="3" t="s">
        <v>145</v>
      </c>
      <c r="K786" s="3" t="s">
        <v>38</v>
      </c>
      <c r="L786" s="3" t="s">
        <v>39</v>
      </c>
      <c r="M786" s="4">
        <v>48.93</v>
      </c>
    </row>
    <row r="787">
      <c r="A787" s="2">
        <v>45414</v>
      </c>
      <c r="B7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7" s="3" t="str">
        <f>YEAR(KMART_DATA[[#This Row],[Date]])&amp;"-"&amp;TEXT(MONTH(KMART_DATA[[#This Row],[Date]]),"00")</f>
        <v>2024-05</v>
      </c>
      <c r="D787" s="3" t="s">
        <v>45</v>
      </c>
      <c r="E787" s="3" t="s">
        <v>163</v>
      </c>
      <c r="F787" s="3" t="s">
        <v>9</v>
      </c>
      <c r="G7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87" s="3" t="s">
        <v>164</v>
      </c>
      <c r="I787" s="3" t="s">
        <v>31</v>
      </c>
      <c r="J787" s="3" t="s">
        <v>81</v>
      </c>
      <c r="K787" s="3" t="s">
        <v>57</v>
      </c>
      <c r="L787" s="3" t="s">
        <v>58</v>
      </c>
      <c r="M787" s="4">
        <v>373.36</v>
      </c>
    </row>
    <row r="788">
      <c r="A788" s="2">
        <v>45414</v>
      </c>
      <c r="B7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8" s="3" t="str">
        <f>YEAR(KMART_DATA[[#This Row],[Date]])&amp;"-"&amp;TEXT(MONTH(KMART_DATA[[#This Row],[Date]]),"00")</f>
        <v>2024-05</v>
      </c>
      <c r="D788" s="3" t="s">
        <v>45</v>
      </c>
      <c r="E788" s="3" t="s">
        <v>189</v>
      </c>
      <c r="F788" s="3" t="s">
        <v>9</v>
      </c>
      <c r="G7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88" s="3" t="s">
        <v>190</v>
      </c>
      <c r="I788" s="3" t="s">
        <v>31</v>
      </c>
      <c r="J788" s="3" t="s">
        <v>81</v>
      </c>
      <c r="K788" s="3" t="s">
        <v>123</v>
      </c>
      <c r="L788" s="3" t="s">
        <v>124</v>
      </c>
      <c r="M788" s="4">
        <v>791.39</v>
      </c>
    </row>
    <row r="789">
      <c r="A789" s="2">
        <v>45415</v>
      </c>
      <c r="B7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89" s="3" t="str">
        <f>YEAR(KMART_DATA[[#This Row],[Date]])&amp;"-"&amp;TEXT(MONTH(KMART_DATA[[#This Row],[Date]]),"00")</f>
        <v>2024-05</v>
      </c>
      <c r="D789" s="3" t="s">
        <v>45</v>
      </c>
      <c r="E789" s="3" t="s">
        <v>114</v>
      </c>
      <c r="F789" s="3" t="s">
        <v>9</v>
      </c>
      <c r="G7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789" s="3" t="s">
        <v>115</v>
      </c>
      <c r="I789" s="3" t="s">
        <v>31</v>
      </c>
      <c r="J789" s="3" t="s">
        <v>99</v>
      </c>
      <c r="K789" s="3" t="s">
        <v>95</v>
      </c>
      <c r="L789" s="3" t="s">
        <v>96</v>
      </c>
      <c r="M789" s="4">
        <v>3.75</v>
      </c>
    </row>
    <row r="790">
      <c r="A790" s="2">
        <v>45415</v>
      </c>
      <c r="B7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0" s="3" t="str">
        <f>YEAR(KMART_DATA[[#This Row],[Date]])&amp;"-"&amp;TEXT(MONTH(KMART_DATA[[#This Row],[Date]]),"00")</f>
        <v>2024-05</v>
      </c>
      <c r="D790" s="3" t="s">
        <v>45</v>
      </c>
      <c r="E790" s="3" t="s">
        <v>48</v>
      </c>
      <c r="F790" s="3" t="s">
        <v>12</v>
      </c>
      <c r="G7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90" s="3" t="s">
        <v>49</v>
      </c>
      <c r="I790" s="3" t="s">
        <v>31</v>
      </c>
      <c r="J790" s="3" t="s">
        <v>50</v>
      </c>
      <c r="K790" s="3" t="s">
        <v>95</v>
      </c>
      <c r="L790" s="3" t="s">
        <v>96</v>
      </c>
      <c r="M790" s="4">
        <v>91.37</v>
      </c>
    </row>
    <row r="791">
      <c r="A791" s="2">
        <v>45415</v>
      </c>
      <c r="B7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1" s="3" t="str">
        <f>YEAR(KMART_DATA[[#This Row],[Date]])&amp;"-"&amp;TEXT(MONTH(KMART_DATA[[#This Row],[Date]]),"00")</f>
        <v>2024-05</v>
      </c>
      <c r="D791" s="3" t="s">
        <v>28</v>
      </c>
      <c r="E791" s="3" t="s">
        <v>139</v>
      </c>
      <c r="F791" s="3" t="s">
        <v>10</v>
      </c>
      <c r="G7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91" s="3" t="s">
        <v>140</v>
      </c>
      <c r="I791" s="3" t="s">
        <v>31</v>
      </c>
      <c r="J791" s="3" t="s">
        <v>89</v>
      </c>
      <c r="K791" s="3" t="s">
        <v>66</v>
      </c>
      <c r="L791" s="3" t="s">
        <v>67</v>
      </c>
      <c r="M791" s="4">
        <v>100.77</v>
      </c>
    </row>
    <row r="792">
      <c r="A792" s="2">
        <v>45415</v>
      </c>
      <c r="B7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2" s="3" t="str">
        <f>YEAR(KMART_DATA[[#This Row],[Date]])&amp;"-"&amp;TEXT(MONTH(KMART_DATA[[#This Row],[Date]]),"00")</f>
        <v>2024-05</v>
      </c>
      <c r="D792" s="3" t="s">
        <v>28</v>
      </c>
      <c r="E792" s="3" t="s">
        <v>154</v>
      </c>
      <c r="F792" s="3" t="s">
        <v>11</v>
      </c>
      <c r="G7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92" s="3" t="s">
        <v>155</v>
      </c>
      <c r="I792" s="3" t="s">
        <v>31</v>
      </c>
      <c r="J792" s="3" t="s">
        <v>84</v>
      </c>
      <c r="K792" s="3" t="s">
        <v>43</v>
      </c>
      <c r="L792" s="3" t="s">
        <v>44</v>
      </c>
      <c r="M792" s="4">
        <v>530.37</v>
      </c>
    </row>
    <row r="793">
      <c r="A793" s="2">
        <v>45415</v>
      </c>
      <c r="B7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3" s="3" t="str">
        <f>YEAR(KMART_DATA[[#This Row],[Date]])&amp;"-"&amp;TEXT(MONTH(KMART_DATA[[#This Row],[Date]]),"00")</f>
        <v>2024-05</v>
      </c>
      <c r="D793" s="3" t="s">
        <v>28</v>
      </c>
      <c r="E793" s="3" t="s">
        <v>129</v>
      </c>
      <c r="F793" s="3" t="s">
        <v>10</v>
      </c>
      <c r="G7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793" s="3" t="s">
        <v>130</v>
      </c>
      <c r="I793" s="3" t="s">
        <v>31</v>
      </c>
      <c r="J793" s="3" t="s">
        <v>120</v>
      </c>
      <c r="K793" s="3" t="s">
        <v>38</v>
      </c>
      <c r="L793" s="3" t="s">
        <v>39</v>
      </c>
      <c r="M793" s="4">
        <v>1281.54</v>
      </c>
    </row>
    <row r="794">
      <c r="A794" s="2">
        <v>45415</v>
      </c>
      <c r="B7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4" s="3" t="str">
        <f>YEAR(KMART_DATA[[#This Row],[Date]])&amp;"-"&amp;TEXT(MONTH(KMART_DATA[[#This Row],[Date]]),"00")</f>
        <v>2024-05</v>
      </c>
      <c r="D794" s="3" t="s">
        <v>45</v>
      </c>
      <c r="E794" s="3" t="s">
        <v>148</v>
      </c>
      <c r="F794" s="3" t="s">
        <v>12</v>
      </c>
      <c r="G7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94" s="3" t="s">
        <v>149</v>
      </c>
      <c r="I794" s="3" t="s">
        <v>31</v>
      </c>
      <c r="J794" s="3" t="s">
        <v>50</v>
      </c>
      <c r="K794" s="3" t="s">
        <v>71</v>
      </c>
      <c r="L794" s="3" t="s">
        <v>72</v>
      </c>
      <c r="M794" s="4">
        <v>2916.7</v>
      </c>
    </row>
    <row r="795">
      <c r="A795" s="2">
        <v>45416</v>
      </c>
      <c r="B7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5" s="3" t="str">
        <f>YEAR(KMART_DATA[[#This Row],[Date]])&amp;"-"&amp;TEXT(MONTH(KMART_DATA[[#This Row],[Date]]),"00")</f>
        <v>2024-05</v>
      </c>
      <c r="D795" s="3" t="s">
        <v>45</v>
      </c>
      <c r="E795" s="3" t="s">
        <v>175</v>
      </c>
      <c r="F795" s="3" t="s">
        <v>16</v>
      </c>
      <c r="G7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795" s="3" t="s">
        <v>176</v>
      </c>
      <c r="I795" s="3" t="s">
        <v>31</v>
      </c>
      <c r="J795" s="3" t="s">
        <v>107</v>
      </c>
      <c r="K795" s="3" t="s">
        <v>95</v>
      </c>
      <c r="L795" s="3" t="s">
        <v>96</v>
      </c>
      <c r="M795" s="4">
        <v>1.0</v>
      </c>
    </row>
    <row r="796">
      <c r="A796" s="2">
        <v>45416</v>
      </c>
      <c r="B7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6" s="3" t="str">
        <f>YEAR(KMART_DATA[[#This Row],[Date]])&amp;"-"&amp;TEXT(MONTH(KMART_DATA[[#This Row],[Date]]),"00")</f>
        <v>2024-05</v>
      </c>
      <c r="D796" s="3" t="s">
        <v>45</v>
      </c>
      <c r="E796" s="3" t="s">
        <v>121</v>
      </c>
      <c r="F796" s="3" t="s">
        <v>11</v>
      </c>
      <c r="G7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96" s="3" t="s">
        <v>122</v>
      </c>
      <c r="I796" s="3" t="s">
        <v>31</v>
      </c>
      <c r="J796" s="3" t="s">
        <v>84</v>
      </c>
      <c r="K796" s="3" t="s">
        <v>123</v>
      </c>
      <c r="L796" s="3" t="s">
        <v>124</v>
      </c>
      <c r="M796" s="4">
        <v>69.11</v>
      </c>
    </row>
    <row r="797">
      <c r="A797" s="2">
        <v>45416</v>
      </c>
      <c r="B7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7" s="3" t="str">
        <f>YEAR(KMART_DATA[[#This Row],[Date]])&amp;"-"&amp;TEXT(MONTH(KMART_DATA[[#This Row],[Date]]),"00")</f>
        <v>2024-05</v>
      </c>
      <c r="D797" s="3" t="s">
        <v>45</v>
      </c>
      <c r="E797" s="3" t="s">
        <v>236</v>
      </c>
      <c r="F797" s="3" t="s">
        <v>12</v>
      </c>
      <c r="G7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797" s="3" t="s">
        <v>237</v>
      </c>
      <c r="I797" s="3" t="s">
        <v>31</v>
      </c>
      <c r="J797" s="3" t="s">
        <v>102</v>
      </c>
      <c r="K797" s="3" t="s">
        <v>112</v>
      </c>
      <c r="L797" s="3" t="s">
        <v>113</v>
      </c>
      <c r="M797" s="4">
        <v>85.82</v>
      </c>
    </row>
    <row r="798">
      <c r="A798" s="2">
        <v>45416</v>
      </c>
      <c r="B7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8" s="3" t="str">
        <f>YEAR(KMART_DATA[[#This Row],[Date]])&amp;"-"&amp;TEXT(MONTH(KMART_DATA[[#This Row],[Date]]),"00")</f>
        <v>2024-05</v>
      </c>
      <c r="D798" s="3" t="s">
        <v>45</v>
      </c>
      <c r="E798" s="3" t="s">
        <v>207</v>
      </c>
      <c r="F798" s="3" t="s">
        <v>11</v>
      </c>
      <c r="G7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798" s="3" t="s">
        <v>208</v>
      </c>
      <c r="I798" s="3" t="s">
        <v>31</v>
      </c>
      <c r="J798" s="3" t="s">
        <v>78</v>
      </c>
      <c r="K798" s="3" t="s">
        <v>46</v>
      </c>
      <c r="L798" s="3" t="s">
        <v>47</v>
      </c>
      <c r="M798" s="4">
        <v>94.91</v>
      </c>
    </row>
    <row r="799">
      <c r="A799" s="2">
        <v>45416</v>
      </c>
      <c r="B7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799" s="3" t="str">
        <f>YEAR(KMART_DATA[[#This Row],[Date]])&amp;"-"&amp;TEXT(MONTH(KMART_DATA[[#This Row],[Date]]),"00")</f>
        <v>2024-05</v>
      </c>
      <c r="D799" s="3" t="s">
        <v>45</v>
      </c>
      <c r="E799" s="3" t="s">
        <v>135</v>
      </c>
      <c r="F799" s="3" t="s">
        <v>16</v>
      </c>
      <c r="G7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799" s="3" t="s">
        <v>136</v>
      </c>
      <c r="I799" s="3" t="s">
        <v>31</v>
      </c>
      <c r="J799" s="3" t="s">
        <v>107</v>
      </c>
      <c r="K799" s="3" t="s">
        <v>38</v>
      </c>
      <c r="L799" s="3" t="s">
        <v>39</v>
      </c>
      <c r="M799" s="4">
        <v>111.7</v>
      </c>
    </row>
    <row r="800">
      <c r="A800" s="2">
        <v>45416</v>
      </c>
      <c r="B8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0" s="3" t="str">
        <f>YEAR(KMART_DATA[[#This Row],[Date]])&amp;"-"&amp;TEXT(MONTH(KMART_DATA[[#This Row],[Date]]),"00")</f>
        <v>2024-05</v>
      </c>
      <c r="D800" s="3" t="s">
        <v>28</v>
      </c>
      <c r="E800" s="3" t="s">
        <v>82</v>
      </c>
      <c r="F800" s="3" t="s">
        <v>11</v>
      </c>
      <c r="G8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00" s="3" t="s">
        <v>83</v>
      </c>
      <c r="I800" s="3" t="s">
        <v>31</v>
      </c>
      <c r="J800" s="3" t="s">
        <v>84</v>
      </c>
      <c r="K800" s="3" t="s">
        <v>112</v>
      </c>
      <c r="L800" s="3" t="s">
        <v>113</v>
      </c>
      <c r="M800" s="4">
        <v>185.7</v>
      </c>
    </row>
    <row r="801">
      <c r="A801" s="2">
        <v>45417</v>
      </c>
      <c r="B8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1" s="3" t="str">
        <f>YEAR(KMART_DATA[[#This Row],[Date]])&amp;"-"&amp;TEXT(MONTH(KMART_DATA[[#This Row],[Date]]),"00")</f>
        <v>2024-05</v>
      </c>
      <c r="D801" s="3" t="s">
        <v>28</v>
      </c>
      <c r="E801" s="3" t="s">
        <v>54</v>
      </c>
      <c r="F801" s="3" t="s">
        <v>11</v>
      </c>
      <c r="G8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01" s="3" t="s">
        <v>55</v>
      </c>
      <c r="I801" s="3" t="s">
        <v>31</v>
      </c>
      <c r="J801" s="3" t="s">
        <v>56</v>
      </c>
      <c r="K801" s="3" t="s">
        <v>46</v>
      </c>
      <c r="L801" s="3" t="s">
        <v>47</v>
      </c>
      <c r="M801" s="4">
        <v>7.0</v>
      </c>
    </row>
    <row r="802">
      <c r="A802" s="2">
        <v>45417</v>
      </c>
      <c r="B8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2" s="3" t="str">
        <f>YEAR(KMART_DATA[[#This Row],[Date]])&amp;"-"&amp;TEXT(MONTH(KMART_DATA[[#This Row],[Date]]),"00")</f>
        <v>2024-05</v>
      </c>
      <c r="D802" s="3" t="s">
        <v>45</v>
      </c>
      <c r="E802" s="3" t="s">
        <v>211</v>
      </c>
      <c r="F802" s="3" t="s">
        <v>9</v>
      </c>
      <c r="G8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02" s="3" t="s">
        <v>212</v>
      </c>
      <c r="I802" s="3" t="s">
        <v>31</v>
      </c>
      <c r="J802" s="3" t="s">
        <v>75</v>
      </c>
      <c r="K802" s="3" t="s">
        <v>43</v>
      </c>
      <c r="L802" s="3" t="s">
        <v>44</v>
      </c>
      <c r="M802" s="4">
        <v>59.0</v>
      </c>
    </row>
    <row r="803">
      <c r="A803" s="2">
        <v>45417</v>
      </c>
      <c r="B8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3" s="3" t="str">
        <f>YEAR(KMART_DATA[[#This Row],[Date]])&amp;"-"&amp;TEXT(MONTH(KMART_DATA[[#This Row],[Date]]),"00")</f>
        <v>2024-05</v>
      </c>
      <c r="D803" s="3" t="s">
        <v>45</v>
      </c>
      <c r="E803" s="3" t="s">
        <v>121</v>
      </c>
      <c r="F803" s="3" t="s">
        <v>11</v>
      </c>
      <c r="G8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03" s="3" t="s">
        <v>122</v>
      </c>
      <c r="I803" s="3" t="s">
        <v>31</v>
      </c>
      <c r="J803" s="3" t="s">
        <v>84</v>
      </c>
      <c r="K803" s="3" t="s">
        <v>43</v>
      </c>
      <c r="L803" s="3" t="s">
        <v>44</v>
      </c>
      <c r="M803" s="4">
        <v>121.92</v>
      </c>
    </row>
    <row r="804">
      <c r="A804" s="2">
        <v>45417</v>
      </c>
      <c r="B8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4" s="3" t="str">
        <f>YEAR(KMART_DATA[[#This Row],[Date]])&amp;"-"&amp;TEXT(MONTH(KMART_DATA[[#This Row],[Date]]),"00")</f>
        <v>2024-05</v>
      </c>
      <c r="D804" s="3" t="s">
        <v>28</v>
      </c>
      <c r="E804" s="3" t="s">
        <v>76</v>
      </c>
      <c r="F804" s="3" t="s">
        <v>11</v>
      </c>
      <c r="G8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04" s="3" t="s">
        <v>77</v>
      </c>
      <c r="I804" s="3" t="s">
        <v>31</v>
      </c>
      <c r="J804" s="3" t="s">
        <v>78</v>
      </c>
      <c r="K804" s="3" t="s">
        <v>71</v>
      </c>
      <c r="L804" s="3" t="s">
        <v>72</v>
      </c>
      <c r="M804" s="4">
        <v>253.82</v>
      </c>
    </row>
    <row r="805">
      <c r="A805" s="2">
        <v>45417</v>
      </c>
      <c r="B8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5" s="3" t="str">
        <f>YEAR(KMART_DATA[[#This Row],[Date]])&amp;"-"&amp;TEXT(MONTH(KMART_DATA[[#This Row],[Date]]),"00")</f>
        <v>2024-05</v>
      </c>
      <c r="D805" s="3" t="s">
        <v>28</v>
      </c>
      <c r="E805" s="3" t="s">
        <v>163</v>
      </c>
      <c r="F805" s="3" t="s">
        <v>9</v>
      </c>
      <c r="G8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05" s="3" t="s">
        <v>164</v>
      </c>
      <c r="I805" s="3" t="s">
        <v>31</v>
      </c>
      <c r="J805" s="3" t="s">
        <v>81</v>
      </c>
      <c r="K805" s="3" t="s">
        <v>38</v>
      </c>
      <c r="L805" s="3" t="s">
        <v>39</v>
      </c>
      <c r="M805" s="4">
        <v>631.58</v>
      </c>
    </row>
    <row r="806">
      <c r="A806" s="2">
        <v>45417</v>
      </c>
      <c r="B8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6" s="3" t="str">
        <f>YEAR(KMART_DATA[[#This Row],[Date]])&amp;"-"&amp;TEXT(MONTH(KMART_DATA[[#This Row],[Date]]),"00")</f>
        <v>2024-05</v>
      </c>
      <c r="D806" s="3" t="s">
        <v>28</v>
      </c>
      <c r="E806" s="3" t="s">
        <v>254</v>
      </c>
      <c r="F806" s="3" t="s">
        <v>13</v>
      </c>
      <c r="G8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06" s="3" t="s">
        <v>255</v>
      </c>
      <c r="I806" s="3" t="s">
        <v>31</v>
      </c>
      <c r="J806" s="3" t="s">
        <v>227</v>
      </c>
      <c r="K806" s="3" t="s">
        <v>71</v>
      </c>
      <c r="L806" s="3" t="s">
        <v>72</v>
      </c>
      <c r="M806" s="4">
        <v>1596.64</v>
      </c>
    </row>
    <row r="807">
      <c r="A807" s="2">
        <v>45418</v>
      </c>
      <c r="B8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7" s="3" t="str">
        <f>YEAR(KMART_DATA[[#This Row],[Date]])&amp;"-"&amp;TEXT(MONTH(KMART_DATA[[#This Row],[Date]]),"00")</f>
        <v>2024-05</v>
      </c>
      <c r="D807" s="3" t="s">
        <v>28</v>
      </c>
      <c r="E807" s="3" t="s">
        <v>173</v>
      </c>
      <c r="F807" s="3" t="s">
        <v>11</v>
      </c>
      <c r="G8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07" s="3" t="s">
        <v>174</v>
      </c>
      <c r="I807" s="3" t="s">
        <v>31</v>
      </c>
      <c r="J807" s="3" t="s">
        <v>61</v>
      </c>
      <c r="K807" s="3" t="s">
        <v>38</v>
      </c>
      <c r="L807" s="3" t="s">
        <v>39</v>
      </c>
      <c r="M807" s="4">
        <v>3.0</v>
      </c>
    </row>
    <row r="808">
      <c r="A808" s="2">
        <v>45418</v>
      </c>
      <c r="B8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8" s="3" t="str">
        <f>YEAR(KMART_DATA[[#This Row],[Date]])&amp;"-"&amp;TEXT(MONTH(KMART_DATA[[#This Row],[Date]]),"00")</f>
        <v>2024-05</v>
      </c>
      <c r="D808" s="3" t="s">
        <v>28</v>
      </c>
      <c r="E808" s="3" t="s">
        <v>64</v>
      </c>
      <c r="F808" s="3" t="s">
        <v>11</v>
      </c>
      <c r="G8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08" s="3" t="s">
        <v>65</v>
      </c>
      <c r="I808" s="3" t="s">
        <v>31</v>
      </c>
      <c r="J808" s="3" t="s">
        <v>61</v>
      </c>
      <c r="K808" s="3" t="s">
        <v>95</v>
      </c>
      <c r="L808" s="3" t="s">
        <v>96</v>
      </c>
      <c r="M808" s="4">
        <v>118.5</v>
      </c>
    </row>
    <row r="809">
      <c r="A809" s="2">
        <v>45418</v>
      </c>
      <c r="B8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09" s="3" t="str">
        <f>YEAR(KMART_DATA[[#This Row],[Date]])&amp;"-"&amp;TEXT(MONTH(KMART_DATA[[#This Row],[Date]]),"00")</f>
        <v>2024-05</v>
      </c>
      <c r="D809" s="3" t="s">
        <v>28</v>
      </c>
      <c r="E809" s="3" t="s">
        <v>169</v>
      </c>
      <c r="F809" s="3" t="s">
        <v>12</v>
      </c>
      <c r="G8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09" s="3" t="s">
        <v>170</v>
      </c>
      <c r="I809" s="3" t="s">
        <v>31</v>
      </c>
      <c r="J809" s="3" t="s">
        <v>102</v>
      </c>
      <c r="K809" s="3" t="s">
        <v>43</v>
      </c>
      <c r="L809" s="3" t="s">
        <v>44</v>
      </c>
      <c r="M809" s="4">
        <v>119.92</v>
      </c>
    </row>
    <row r="810">
      <c r="A810" s="2">
        <v>45418</v>
      </c>
      <c r="B8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0" s="3" t="str">
        <f>YEAR(KMART_DATA[[#This Row],[Date]])&amp;"-"&amp;TEXT(MONTH(KMART_DATA[[#This Row],[Date]]),"00")</f>
        <v>2024-05</v>
      </c>
      <c r="D810" s="3" t="s">
        <v>45</v>
      </c>
      <c r="E810" s="3" t="s">
        <v>179</v>
      </c>
      <c r="F810" s="3" t="s">
        <v>9</v>
      </c>
      <c r="G8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10" s="3" t="s">
        <v>180</v>
      </c>
      <c r="I810" s="3" t="s">
        <v>31</v>
      </c>
      <c r="J810" s="3" t="s">
        <v>99</v>
      </c>
      <c r="K810" s="3" t="s">
        <v>66</v>
      </c>
      <c r="L810" s="3" t="s">
        <v>67</v>
      </c>
      <c r="M810" s="4">
        <v>2977.15</v>
      </c>
    </row>
    <row r="811">
      <c r="A811" s="2">
        <v>45419</v>
      </c>
      <c r="B8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1" s="3" t="str">
        <f>YEAR(KMART_DATA[[#This Row],[Date]])&amp;"-"&amp;TEXT(MONTH(KMART_DATA[[#This Row],[Date]]),"00")</f>
        <v>2024-05</v>
      </c>
      <c r="D811" s="3" t="s">
        <v>28</v>
      </c>
      <c r="E811" s="3" t="s">
        <v>85</v>
      </c>
      <c r="F811" s="3" t="s">
        <v>9</v>
      </c>
      <c r="G8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11" s="3" t="s">
        <v>86</v>
      </c>
      <c r="I811" s="3" t="s">
        <v>31</v>
      </c>
      <c r="J811" s="3" t="s">
        <v>81</v>
      </c>
      <c r="K811" s="3" t="s">
        <v>112</v>
      </c>
      <c r="L811" s="3" t="s">
        <v>113</v>
      </c>
      <c r="M811" s="4">
        <v>1.47</v>
      </c>
    </row>
    <row r="812">
      <c r="A812" s="2">
        <v>45419</v>
      </c>
      <c r="B8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2" s="3" t="str">
        <f>YEAR(KMART_DATA[[#This Row],[Date]])&amp;"-"&amp;TEXT(MONTH(KMART_DATA[[#This Row],[Date]]),"00")</f>
        <v>2024-05</v>
      </c>
      <c r="D812" s="3" t="s">
        <v>28</v>
      </c>
      <c r="E812" s="3" t="s">
        <v>215</v>
      </c>
      <c r="F812" s="3" t="s">
        <v>15</v>
      </c>
      <c r="G8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812" s="3" t="s">
        <v>216</v>
      </c>
      <c r="I812" s="3" t="s">
        <v>31</v>
      </c>
      <c r="J812" s="3" t="s">
        <v>53</v>
      </c>
      <c r="K812" s="3" t="s">
        <v>57</v>
      </c>
      <c r="L812" s="3" t="s">
        <v>58</v>
      </c>
      <c r="M812" s="4">
        <v>11.98</v>
      </c>
    </row>
    <row r="813">
      <c r="A813" s="2">
        <v>45419</v>
      </c>
      <c r="B8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3" s="3" t="str">
        <f>YEAR(KMART_DATA[[#This Row],[Date]])&amp;"-"&amp;TEXT(MONTH(KMART_DATA[[#This Row],[Date]]),"00")</f>
        <v>2024-05</v>
      </c>
      <c r="D813" s="3" t="s">
        <v>28</v>
      </c>
      <c r="E813" s="3" t="s">
        <v>238</v>
      </c>
      <c r="F813" s="3" t="s">
        <v>13</v>
      </c>
      <c r="G8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13" s="3" t="s">
        <v>239</v>
      </c>
      <c r="I813" s="3" t="s">
        <v>31</v>
      </c>
      <c r="J813" s="3" t="s">
        <v>42</v>
      </c>
      <c r="K813" s="3" t="s">
        <v>123</v>
      </c>
      <c r="L813" s="3" t="s">
        <v>124</v>
      </c>
      <c r="M813" s="4">
        <v>36.49</v>
      </c>
    </row>
    <row r="814">
      <c r="A814" s="2">
        <v>45419</v>
      </c>
      <c r="B8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4" s="3" t="str">
        <f>YEAR(KMART_DATA[[#This Row],[Date]])&amp;"-"&amp;TEXT(MONTH(KMART_DATA[[#This Row],[Date]]),"00")</f>
        <v>2024-05</v>
      </c>
      <c r="D814" s="3" t="s">
        <v>45</v>
      </c>
      <c r="E814" s="3" t="s">
        <v>185</v>
      </c>
      <c r="F814" s="3" t="s">
        <v>12</v>
      </c>
      <c r="G8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14" s="3" t="s">
        <v>186</v>
      </c>
      <c r="I814" s="3" t="s">
        <v>31</v>
      </c>
      <c r="J814" s="3" t="s">
        <v>162</v>
      </c>
      <c r="K814" s="3" t="s">
        <v>33</v>
      </c>
      <c r="L814" s="3" t="s">
        <v>34</v>
      </c>
      <c r="M814" s="4">
        <v>155.46</v>
      </c>
    </row>
    <row r="815">
      <c r="A815" s="2">
        <v>45419</v>
      </c>
      <c r="B8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5" s="3" t="str">
        <f>YEAR(KMART_DATA[[#This Row],[Date]])&amp;"-"&amp;TEXT(MONTH(KMART_DATA[[#This Row],[Date]]),"00")</f>
        <v>2024-05</v>
      </c>
      <c r="D815" s="3" t="s">
        <v>28</v>
      </c>
      <c r="E815" s="3" t="s">
        <v>183</v>
      </c>
      <c r="F815" s="3" t="s">
        <v>9</v>
      </c>
      <c r="G8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15" s="3" t="s">
        <v>184</v>
      </c>
      <c r="I815" s="3" t="s">
        <v>31</v>
      </c>
      <c r="J815" s="3" t="s">
        <v>70</v>
      </c>
      <c r="K815" s="3" t="s">
        <v>38</v>
      </c>
      <c r="L815" s="3" t="s">
        <v>39</v>
      </c>
      <c r="M815" s="4">
        <v>972.04</v>
      </c>
    </row>
    <row r="816">
      <c r="A816" s="2">
        <v>45419</v>
      </c>
      <c r="B8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6" s="3" t="str">
        <f>YEAR(KMART_DATA[[#This Row],[Date]])&amp;"-"&amp;TEXT(MONTH(KMART_DATA[[#This Row],[Date]]),"00")</f>
        <v>2024-05</v>
      </c>
      <c r="D816" s="3" t="s">
        <v>28</v>
      </c>
      <c r="E816" s="3" t="s">
        <v>179</v>
      </c>
      <c r="F816" s="3" t="s">
        <v>9</v>
      </c>
      <c r="G8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16" s="3" t="s">
        <v>180</v>
      </c>
      <c r="I816" s="3" t="s">
        <v>31</v>
      </c>
      <c r="J816" s="3" t="s">
        <v>99</v>
      </c>
      <c r="K816" s="3" t="s">
        <v>38</v>
      </c>
      <c r="L816" s="3" t="s">
        <v>39</v>
      </c>
      <c r="M816" s="4">
        <v>1115.99</v>
      </c>
    </row>
    <row r="817">
      <c r="A817" s="2">
        <v>45419</v>
      </c>
      <c r="B8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7" s="3" t="str">
        <f>YEAR(KMART_DATA[[#This Row],[Date]])&amp;"-"&amp;TEXT(MONTH(KMART_DATA[[#This Row],[Date]]),"00")</f>
        <v>2024-05</v>
      </c>
      <c r="D817" s="3" t="s">
        <v>45</v>
      </c>
      <c r="E817" s="3" t="s">
        <v>228</v>
      </c>
      <c r="F817" s="3" t="s">
        <v>11</v>
      </c>
      <c r="G8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17" s="3" t="s">
        <v>229</v>
      </c>
      <c r="I817" s="3" t="s">
        <v>31</v>
      </c>
      <c r="J817" s="3" t="s">
        <v>32</v>
      </c>
      <c r="K817" s="3" t="s">
        <v>57</v>
      </c>
      <c r="L817" s="3" t="s">
        <v>58</v>
      </c>
      <c r="M817" s="4">
        <v>1452.26</v>
      </c>
    </row>
    <row r="818">
      <c r="A818" s="2">
        <v>45419</v>
      </c>
      <c r="B8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8" s="3" t="str">
        <f>YEAR(KMART_DATA[[#This Row],[Date]])&amp;"-"&amp;TEXT(MONTH(KMART_DATA[[#This Row],[Date]]),"00")</f>
        <v>2024-05</v>
      </c>
      <c r="D818" s="3" t="s">
        <v>28</v>
      </c>
      <c r="E818" s="3" t="s">
        <v>97</v>
      </c>
      <c r="F818" s="3" t="s">
        <v>9</v>
      </c>
      <c r="G8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18" s="3" t="s">
        <v>98</v>
      </c>
      <c r="I818" s="3" t="s">
        <v>31</v>
      </c>
      <c r="J818" s="3" t="s">
        <v>99</v>
      </c>
      <c r="K818" s="3" t="s">
        <v>57</v>
      </c>
      <c r="L818" s="3" t="s">
        <v>58</v>
      </c>
      <c r="M818" s="4">
        <v>3248.45</v>
      </c>
    </row>
    <row r="819">
      <c r="A819" s="2">
        <v>45419</v>
      </c>
      <c r="B8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19" s="3" t="str">
        <f>YEAR(KMART_DATA[[#This Row],[Date]])&amp;"-"&amp;TEXT(MONTH(KMART_DATA[[#This Row],[Date]]),"00")</f>
        <v>2024-05</v>
      </c>
      <c r="D819" s="3" t="s">
        <v>28</v>
      </c>
      <c r="E819" s="3" t="s">
        <v>183</v>
      </c>
      <c r="F819" s="3" t="s">
        <v>9</v>
      </c>
      <c r="G8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19" s="3" t="s">
        <v>184</v>
      </c>
      <c r="I819" s="3" t="s">
        <v>31</v>
      </c>
      <c r="J819" s="3" t="s">
        <v>70</v>
      </c>
      <c r="K819" s="3" t="s">
        <v>95</v>
      </c>
      <c r="L819" s="3" t="s">
        <v>96</v>
      </c>
      <c r="M819" s="4">
        <v>6442.17</v>
      </c>
    </row>
    <row r="820">
      <c r="A820" s="2">
        <v>45420</v>
      </c>
      <c r="B8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0" s="3" t="str">
        <f>YEAR(KMART_DATA[[#This Row],[Date]])&amp;"-"&amp;TEXT(MONTH(KMART_DATA[[#This Row],[Date]]),"00")</f>
        <v>2024-05</v>
      </c>
      <c r="D820" s="3" t="s">
        <v>28</v>
      </c>
      <c r="E820" s="3" t="s">
        <v>225</v>
      </c>
      <c r="F820" s="3" t="s">
        <v>13</v>
      </c>
      <c r="G8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20" s="3" t="s">
        <v>226</v>
      </c>
      <c r="I820" s="3" t="s">
        <v>31</v>
      </c>
      <c r="J820" s="3" t="s">
        <v>227</v>
      </c>
      <c r="K820" s="3" t="s">
        <v>43</v>
      </c>
      <c r="L820" s="3" t="s">
        <v>44</v>
      </c>
      <c r="M820" s="4">
        <v>70.5</v>
      </c>
    </row>
    <row r="821">
      <c r="A821" s="2">
        <v>45420</v>
      </c>
      <c r="B8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1" s="3" t="str">
        <f>YEAR(KMART_DATA[[#This Row],[Date]])&amp;"-"&amp;TEXT(MONTH(KMART_DATA[[#This Row],[Date]]),"00")</f>
        <v>2024-05</v>
      </c>
      <c r="D821" s="3" t="s">
        <v>28</v>
      </c>
      <c r="E821" s="3" t="s">
        <v>230</v>
      </c>
      <c r="F821" s="3" t="s">
        <v>13</v>
      </c>
      <c r="G8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21" s="3" t="s">
        <v>231</v>
      </c>
      <c r="I821" s="3" t="s">
        <v>31</v>
      </c>
      <c r="J821" s="3" t="s">
        <v>227</v>
      </c>
      <c r="K821" s="3" t="s">
        <v>33</v>
      </c>
      <c r="L821" s="3" t="s">
        <v>34</v>
      </c>
      <c r="M821" s="4">
        <v>261.36</v>
      </c>
    </row>
    <row r="822">
      <c r="A822" s="2">
        <v>45420</v>
      </c>
      <c r="B8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2" s="3" t="str">
        <f>YEAR(KMART_DATA[[#This Row],[Date]])&amp;"-"&amp;TEXT(MONTH(KMART_DATA[[#This Row],[Date]]),"00")</f>
        <v>2024-05</v>
      </c>
      <c r="D822" s="3" t="s">
        <v>28</v>
      </c>
      <c r="E822" s="3" t="s">
        <v>248</v>
      </c>
      <c r="F822" s="3" t="s">
        <v>12</v>
      </c>
      <c r="G8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22" s="3" t="s">
        <v>249</v>
      </c>
      <c r="I822" s="3" t="s">
        <v>31</v>
      </c>
      <c r="J822" s="3" t="s">
        <v>162</v>
      </c>
      <c r="K822" s="3" t="s">
        <v>123</v>
      </c>
      <c r="L822" s="3" t="s">
        <v>124</v>
      </c>
      <c r="M822" s="4">
        <v>414.84</v>
      </c>
    </row>
    <row r="823">
      <c r="A823" s="2">
        <v>45420</v>
      </c>
      <c r="B8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3" s="3" t="str">
        <f>YEAR(KMART_DATA[[#This Row],[Date]])&amp;"-"&amp;TEXT(MONTH(KMART_DATA[[#This Row],[Date]]),"00")</f>
        <v>2024-05</v>
      </c>
      <c r="D823" s="3" t="s">
        <v>28</v>
      </c>
      <c r="E823" s="3" t="s">
        <v>183</v>
      </c>
      <c r="F823" s="3" t="s">
        <v>9</v>
      </c>
      <c r="G8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23" s="3" t="s">
        <v>184</v>
      </c>
      <c r="I823" s="3" t="s">
        <v>31</v>
      </c>
      <c r="J823" s="3" t="s">
        <v>70</v>
      </c>
      <c r="K823" s="3" t="s">
        <v>43</v>
      </c>
      <c r="L823" s="3" t="s">
        <v>44</v>
      </c>
      <c r="M823" s="4">
        <v>506.49</v>
      </c>
    </row>
    <row r="824">
      <c r="A824" s="2">
        <v>45420</v>
      </c>
      <c r="B8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4" s="3" t="str">
        <f>YEAR(KMART_DATA[[#This Row],[Date]])&amp;"-"&amp;TEXT(MONTH(KMART_DATA[[#This Row],[Date]]),"00")</f>
        <v>2024-05</v>
      </c>
      <c r="D824" s="3" t="s">
        <v>28</v>
      </c>
      <c r="E824" s="3" t="s">
        <v>248</v>
      </c>
      <c r="F824" s="3" t="s">
        <v>12</v>
      </c>
      <c r="G8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24" s="3" t="s">
        <v>249</v>
      </c>
      <c r="I824" s="3" t="s">
        <v>31</v>
      </c>
      <c r="J824" s="3" t="s">
        <v>162</v>
      </c>
      <c r="K824" s="3" t="s">
        <v>71</v>
      </c>
      <c r="L824" s="3" t="s">
        <v>72</v>
      </c>
      <c r="M824" s="4">
        <v>525.14</v>
      </c>
    </row>
    <row r="825">
      <c r="A825" s="2">
        <v>45420</v>
      </c>
      <c r="B8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5" s="3" t="str">
        <f>YEAR(KMART_DATA[[#This Row],[Date]])&amp;"-"&amp;TEXT(MONTH(KMART_DATA[[#This Row],[Date]]),"00")</f>
        <v>2024-05</v>
      </c>
      <c r="D825" s="3" t="s">
        <v>45</v>
      </c>
      <c r="E825" s="3" t="s">
        <v>143</v>
      </c>
      <c r="F825" s="3" t="s">
        <v>14</v>
      </c>
      <c r="G8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825" s="3" t="s">
        <v>144</v>
      </c>
      <c r="I825" s="3" t="s">
        <v>31</v>
      </c>
      <c r="J825" s="3" t="s">
        <v>145</v>
      </c>
      <c r="K825" s="3" t="s">
        <v>38</v>
      </c>
      <c r="L825" s="3" t="s">
        <v>39</v>
      </c>
      <c r="M825" s="4">
        <v>650.32</v>
      </c>
    </row>
    <row r="826">
      <c r="A826" s="2">
        <v>45420</v>
      </c>
      <c r="B8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6" s="3" t="str">
        <f>YEAR(KMART_DATA[[#This Row],[Date]])&amp;"-"&amp;TEXT(MONTH(KMART_DATA[[#This Row],[Date]]),"00")</f>
        <v>2024-05</v>
      </c>
      <c r="D826" s="3" t="s">
        <v>28</v>
      </c>
      <c r="E826" s="3" t="s">
        <v>215</v>
      </c>
      <c r="F826" s="3" t="s">
        <v>15</v>
      </c>
      <c r="G8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826" s="3" t="s">
        <v>216</v>
      </c>
      <c r="I826" s="3" t="s">
        <v>31</v>
      </c>
      <c r="J826" s="3" t="s">
        <v>53</v>
      </c>
      <c r="K826" s="3" t="s">
        <v>95</v>
      </c>
      <c r="L826" s="3" t="s">
        <v>96</v>
      </c>
      <c r="M826" s="4">
        <v>1136.53</v>
      </c>
    </row>
    <row r="827">
      <c r="A827" s="2">
        <v>45420</v>
      </c>
      <c r="B8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7" s="3" t="str">
        <f>YEAR(KMART_DATA[[#This Row],[Date]])&amp;"-"&amp;TEXT(MONTH(KMART_DATA[[#This Row],[Date]]),"00")</f>
        <v>2024-05</v>
      </c>
      <c r="D827" s="3" t="s">
        <v>28</v>
      </c>
      <c r="E827" s="3" t="s">
        <v>143</v>
      </c>
      <c r="F827" s="3" t="s">
        <v>14</v>
      </c>
      <c r="G8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827" s="3" t="s">
        <v>144</v>
      </c>
      <c r="I827" s="3" t="s">
        <v>31</v>
      </c>
      <c r="J827" s="3" t="s">
        <v>145</v>
      </c>
      <c r="K827" s="3" t="s">
        <v>33</v>
      </c>
      <c r="L827" s="3" t="s">
        <v>34</v>
      </c>
      <c r="M827" s="4">
        <v>1571.03</v>
      </c>
    </row>
    <row r="828">
      <c r="A828" s="2">
        <v>45420</v>
      </c>
      <c r="B8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8" s="3" t="str">
        <f>YEAR(KMART_DATA[[#This Row],[Date]])&amp;"-"&amp;TEXT(MONTH(KMART_DATA[[#This Row],[Date]]),"00")</f>
        <v>2024-05</v>
      </c>
      <c r="D828" s="3" t="s">
        <v>45</v>
      </c>
      <c r="E828" s="3" t="s">
        <v>82</v>
      </c>
      <c r="F828" s="3" t="s">
        <v>11</v>
      </c>
      <c r="G8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28" s="3" t="s">
        <v>83</v>
      </c>
      <c r="I828" s="3" t="s">
        <v>31</v>
      </c>
      <c r="J828" s="3" t="s">
        <v>84</v>
      </c>
      <c r="K828" s="3" t="s">
        <v>71</v>
      </c>
      <c r="L828" s="3" t="s">
        <v>72</v>
      </c>
      <c r="M828" s="4">
        <v>2414.86</v>
      </c>
    </row>
    <row r="829">
      <c r="A829" s="2">
        <v>45420</v>
      </c>
      <c r="B8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29" s="3" t="str">
        <f>YEAR(KMART_DATA[[#This Row],[Date]])&amp;"-"&amp;TEXT(MONTH(KMART_DATA[[#This Row],[Date]]),"00")</f>
        <v>2024-05</v>
      </c>
      <c r="D829" s="3" t="s">
        <v>28</v>
      </c>
      <c r="E829" s="3" t="s">
        <v>236</v>
      </c>
      <c r="F829" s="3" t="s">
        <v>12</v>
      </c>
      <c r="G8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29" s="3" t="s">
        <v>237</v>
      </c>
      <c r="I829" s="3" t="s">
        <v>31</v>
      </c>
      <c r="J829" s="3" t="s">
        <v>102</v>
      </c>
      <c r="K829" s="3" t="s">
        <v>71</v>
      </c>
      <c r="L829" s="3" t="s">
        <v>72</v>
      </c>
      <c r="M829" s="4">
        <v>3048.11</v>
      </c>
    </row>
    <row r="830">
      <c r="A830" s="2">
        <v>45421</v>
      </c>
      <c r="B8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0" s="3" t="str">
        <f>YEAR(KMART_DATA[[#This Row],[Date]])&amp;"-"&amp;TEXT(MONTH(KMART_DATA[[#This Row],[Date]]),"00")</f>
        <v>2024-05</v>
      </c>
      <c r="D830" s="3" t="s">
        <v>45</v>
      </c>
      <c r="E830" s="3" t="s">
        <v>260</v>
      </c>
      <c r="F830" s="3" t="s">
        <v>10</v>
      </c>
      <c r="G8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30" s="3" t="s">
        <v>261</v>
      </c>
      <c r="I830" s="3" t="s">
        <v>31</v>
      </c>
      <c r="J830" s="3" t="s">
        <v>89</v>
      </c>
      <c r="K830" s="3" t="s">
        <v>33</v>
      </c>
      <c r="L830" s="3" t="s">
        <v>34</v>
      </c>
      <c r="M830" s="4">
        <v>14.97</v>
      </c>
    </row>
    <row r="831">
      <c r="A831" s="2">
        <v>45421</v>
      </c>
      <c r="B8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1" s="3" t="str">
        <f>YEAR(KMART_DATA[[#This Row],[Date]])&amp;"-"&amp;TEXT(MONTH(KMART_DATA[[#This Row],[Date]]),"00")</f>
        <v>2024-05</v>
      </c>
      <c r="D831" s="3" t="s">
        <v>45</v>
      </c>
      <c r="E831" s="3" t="s">
        <v>108</v>
      </c>
      <c r="F831" s="3" t="s">
        <v>9</v>
      </c>
      <c r="G8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31" s="3" t="s">
        <v>109</v>
      </c>
      <c r="I831" s="3" t="s">
        <v>31</v>
      </c>
      <c r="J831" s="3" t="s">
        <v>75</v>
      </c>
      <c r="K831" s="3" t="s">
        <v>46</v>
      </c>
      <c r="L831" s="3" t="s">
        <v>47</v>
      </c>
      <c r="M831" s="4">
        <v>86.94</v>
      </c>
    </row>
    <row r="832">
      <c r="A832" s="2">
        <v>45421</v>
      </c>
      <c r="B8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2" s="3" t="str">
        <f>YEAR(KMART_DATA[[#This Row],[Date]])&amp;"-"&amp;TEXT(MONTH(KMART_DATA[[#This Row],[Date]]),"00")</f>
        <v>2024-05</v>
      </c>
      <c r="D832" s="3" t="s">
        <v>45</v>
      </c>
      <c r="E832" s="3" t="s">
        <v>146</v>
      </c>
      <c r="F832" s="3" t="s">
        <v>9</v>
      </c>
      <c r="G8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32" s="3" t="s">
        <v>147</v>
      </c>
      <c r="I832" s="3" t="s">
        <v>31</v>
      </c>
      <c r="J832" s="3" t="s">
        <v>75</v>
      </c>
      <c r="K832" s="3" t="s">
        <v>112</v>
      </c>
      <c r="L832" s="3" t="s">
        <v>113</v>
      </c>
      <c r="M832" s="4">
        <v>95.84</v>
      </c>
    </row>
    <row r="833">
      <c r="A833" s="2">
        <v>45421</v>
      </c>
      <c r="B8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3" s="3" t="str">
        <f>YEAR(KMART_DATA[[#This Row],[Date]])&amp;"-"&amp;TEXT(MONTH(KMART_DATA[[#This Row],[Date]]),"00")</f>
        <v>2024-05</v>
      </c>
      <c r="D833" s="3" t="s">
        <v>45</v>
      </c>
      <c r="E833" s="3" t="s">
        <v>40</v>
      </c>
      <c r="F833" s="3" t="s">
        <v>13</v>
      </c>
      <c r="G8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33" s="3" t="s">
        <v>41</v>
      </c>
      <c r="I833" s="3" t="s">
        <v>31</v>
      </c>
      <c r="J833" s="3" t="s">
        <v>42</v>
      </c>
      <c r="K833" s="3" t="s">
        <v>38</v>
      </c>
      <c r="L833" s="3" t="s">
        <v>39</v>
      </c>
      <c r="M833" s="4">
        <v>296.59</v>
      </c>
    </row>
    <row r="834">
      <c r="A834" s="2">
        <v>45421</v>
      </c>
      <c r="B8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4" s="3" t="str">
        <f>YEAR(KMART_DATA[[#This Row],[Date]])&amp;"-"&amp;TEXT(MONTH(KMART_DATA[[#This Row],[Date]]),"00")</f>
        <v>2024-05</v>
      </c>
      <c r="D834" s="3" t="s">
        <v>28</v>
      </c>
      <c r="E834" s="3" t="s">
        <v>195</v>
      </c>
      <c r="F834" s="3" t="s">
        <v>11</v>
      </c>
      <c r="G8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34" s="3" t="s">
        <v>196</v>
      </c>
      <c r="I834" s="3" t="s">
        <v>31</v>
      </c>
      <c r="J834" s="3" t="s">
        <v>32</v>
      </c>
      <c r="K834" s="3" t="s">
        <v>38</v>
      </c>
      <c r="L834" s="3" t="s">
        <v>39</v>
      </c>
      <c r="M834" s="4">
        <v>297.77</v>
      </c>
    </row>
    <row r="835">
      <c r="A835" s="2">
        <v>45421</v>
      </c>
      <c r="B8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5" s="3" t="str">
        <f>YEAR(KMART_DATA[[#This Row],[Date]])&amp;"-"&amp;TEXT(MONTH(KMART_DATA[[#This Row],[Date]]),"00")</f>
        <v>2024-05</v>
      </c>
      <c r="D835" s="3" t="s">
        <v>28</v>
      </c>
      <c r="E835" s="3" t="s">
        <v>181</v>
      </c>
      <c r="F835" s="3" t="s">
        <v>11</v>
      </c>
      <c r="G8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35" s="3" t="s">
        <v>182</v>
      </c>
      <c r="I835" s="3" t="s">
        <v>31</v>
      </c>
      <c r="J835" s="3" t="s">
        <v>56</v>
      </c>
      <c r="K835" s="3" t="s">
        <v>95</v>
      </c>
      <c r="L835" s="3" t="s">
        <v>96</v>
      </c>
      <c r="M835" s="4">
        <v>10233.57</v>
      </c>
    </row>
    <row r="836">
      <c r="A836" s="2">
        <v>45422</v>
      </c>
      <c r="B8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6" s="3" t="str">
        <f>YEAR(KMART_DATA[[#This Row],[Date]])&amp;"-"&amp;TEXT(MONTH(KMART_DATA[[#This Row],[Date]]),"00")</f>
        <v>2024-05</v>
      </c>
      <c r="D836" s="3" t="s">
        <v>45</v>
      </c>
      <c r="E836" s="3" t="s">
        <v>221</v>
      </c>
      <c r="F836" s="3" t="s">
        <v>11</v>
      </c>
      <c r="G8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36" s="3" t="s">
        <v>222</v>
      </c>
      <c r="I836" s="3" t="s">
        <v>31</v>
      </c>
      <c r="J836" s="3" t="s">
        <v>56</v>
      </c>
      <c r="K836" s="3" t="s">
        <v>66</v>
      </c>
      <c r="L836" s="3" t="s">
        <v>67</v>
      </c>
      <c r="M836" s="4">
        <v>20.58</v>
      </c>
    </row>
    <row r="837">
      <c r="A837" s="2">
        <v>45422</v>
      </c>
      <c r="B8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7" s="3" t="str">
        <f>YEAR(KMART_DATA[[#This Row],[Date]])&amp;"-"&amp;TEXT(MONTH(KMART_DATA[[#This Row],[Date]]),"00")</f>
        <v>2024-05</v>
      </c>
      <c r="D837" s="3" t="s">
        <v>28</v>
      </c>
      <c r="E837" s="3" t="s">
        <v>219</v>
      </c>
      <c r="F837" s="3" t="s">
        <v>11</v>
      </c>
      <c r="G8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37" s="3" t="s">
        <v>220</v>
      </c>
      <c r="I837" s="3" t="s">
        <v>31</v>
      </c>
      <c r="J837" s="3" t="s">
        <v>56</v>
      </c>
      <c r="K837" s="3" t="s">
        <v>38</v>
      </c>
      <c r="L837" s="3" t="s">
        <v>39</v>
      </c>
      <c r="M837" s="4">
        <v>73.22</v>
      </c>
    </row>
    <row r="838">
      <c r="A838" s="2">
        <v>45422</v>
      </c>
      <c r="B8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8" s="3" t="str">
        <f>YEAR(KMART_DATA[[#This Row],[Date]])&amp;"-"&amp;TEXT(MONTH(KMART_DATA[[#This Row],[Date]]),"00")</f>
        <v>2024-05</v>
      </c>
      <c r="D838" s="3" t="s">
        <v>28</v>
      </c>
      <c r="E838" s="3" t="s">
        <v>92</v>
      </c>
      <c r="F838" s="3" t="s">
        <v>10</v>
      </c>
      <c r="G8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38" s="3" t="s">
        <v>93</v>
      </c>
      <c r="I838" s="3" t="s">
        <v>31</v>
      </c>
      <c r="J838" s="3" t="s">
        <v>94</v>
      </c>
      <c r="K838" s="3" t="s">
        <v>46</v>
      </c>
      <c r="L838" s="3" t="s">
        <v>47</v>
      </c>
      <c r="M838" s="4">
        <v>77.94</v>
      </c>
    </row>
    <row r="839">
      <c r="A839" s="2">
        <v>45422</v>
      </c>
      <c r="B8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39" s="3" t="str">
        <f>YEAR(KMART_DATA[[#This Row],[Date]])&amp;"-"&amp;TEXT(MONTH(KMART_DATA[[#This Row],[Date]]),"00")</f>
        <v>2024-05</v>
      </c>
      <c r="D839" s="3" t="s">
        <v>28</v>
      </c>
      <c r="E839" s="3" t="s">
        <v>242</v>
      </c>
      <c r="F839" s="3" t="s">
        <v>10</v>
      </c>
      <c r="G8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39" s="3" t="s">
        <v>243</v>
      </c>
      <c r="I839" s="3" t="s">
        <v>31</v>
      </c>
      <c r="J839" s="3" t="s">
        <v>94</v>
      </c>
      <c r="K839" s="3" t="s">
        <v>43</v>
      </c>
      <c r="L839" s="3" t="s">
        <v>44</v>
      </c>
      <c r="M839" s="4">
        <v>118.5</v>
      </c>
    </row>
    <row r="840">
      <c r="A840" s="2">
        <v>45422</v>
      </c>
      <c r="B8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0" s="3" t="str">
        <f>YEAR(KMART_DATA[[#This Row],[Date]])&amp;"-"&amp;TEXT(MONTH(KMART_DATA[[#This Row],[Date]]),"00")</f>
        <v>2024-05</v>
      </c>
      <c r="D840" s="3" t="s">
        <v>28</v>
      </c>
      <c r="E840" s="3" t="s">
        <v>240</v>
      </c>
      <c r="F840" s="3" t="s">
        <v>15</v>
      </c>
      <c r="G8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840" s="3" t="s">
        <v>241</v>
      </c>
      <c r="I840" s="3" t="s">
        <v>31</v>
      </c>
      <c r="J840" s="3" t="s">
        <v>53</v>
      </c>
      <c r="K840" s="3" t="s">
        <v>33</v>
      </c>
      <c r="L840" s="3" t="s">
        <v>34</v>
      </c>
      <c r="M840" s="4">
        <v>175.07</v>
      </c>
    </row>
    <row r="841">
      <c r="A841" s="2">
        <v>45422</v>
      </c>
      <c r="B8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1" s="3" t="str">
        <f>YEAR(KMART_DATA[[#This Row],[Date]])&amp;"-"&amp;TEXT(MONTH(KMART_DATA[[#This Row],[Date]]),"00")</f>
        <v>2024-05</v>
      </c>
      <c r="D841" s="3" t="s">
        <v>28</v>
      </c>
      <c r="E841" s="3" t="s">
        <v>118</v>
      </c>
      <c r="F841" s="3" t="s">
        <v>10</v>
      </c>
      <c r="G8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41" s="3" t="s">
        <v>119</v>
      </c>
      <c r="I841" s="3" t="s">
        <v>31</v>
      </c>
      <c r="J841" s="3" t="s">
        <v>120</v>
      </c>
      <c r="K841" s="3" t="s">
        <v>95</v>
      </c>
      <c r="L841" s="3" t="s">
        <v>96</v>
      </c>
      <c r="M841" s="4">
        <v>640.4</v>
      </c>
    </row>
    <row r="842">
      <c r="A842" s="2">
        <v>45422</v>
      </c>
      <c r="B8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2" s="3" t="str">
        <f>YEAR(KMART_DATA[[#This Row],[Date]])&amp;"-"&amp;TEXT(MONTH(KMART_DATA[[#This Row],[Date]]),"00")</f>
        <v>2024-05</v>
      </c>
      <c r="D842" s="3" t="s">
        <v>28</v>
      </c>
      <c r="E842" s="3" t="s">
        <v>125</v>
      </c>
      <c r="F842" s="3" t="s">
        <v>10</v>
      </c>
      <c r="G8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42" s="3" t="s">
        <v>126</v>
      </c>
      <c r="I842" s="3" t="s">
        <v>31</v>
      </c>
      <c r="J842" s="3" t="s">
        <v>94</v>
      </c>
      <c r="K842" s="3" t="s">
        <v>57</v>
      </c>
      <c r="L842" s="3" t="s">
        <v>58</v>
      </c>
      <c r="M842" s="4">
        <v>653.88</v>
      </c>
    </row>
    <row r="843">
      <c r="A843" s="2">
        <v>45422</v>
      </c>
      <c r="B8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3" s="3" t="str">
        <f>YEAR(KMART_DATA[[#This Row],[Date]])&amp;"-"&amp;TEXT(MONTH(KMART_DATA[[#This Row],[Date]]),"00")</f>
        <v>2024-05</v>
      </c>
      <c r="D843" s="3" t="s">
        <v>28</v>
      </c>
      <c r="E843" s="3" t="s">
        <v>156</v>
      </c>
      <c r="F843" s="3" t="s">
        <v>9</v>
      </c>
      <c r="G8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43" s="3" t="s">
        <v>157</v>
      </c>
      <c r="I843" s="3" t="s">
        <v>31</v>
      </c>
      <c r="J843" s="3" t="s">
        <v>75</v>
      </c>
      <c r="K843" s="3" t="s">
        <v>38</v>
      </c>
      <c r="L843" s="3" t="s">
        <v>39</v>
      </c>
      <c r="M843" s="4">
        <v>1276.37</v>
      </c>
    </row>
    <row r="844">
      <c r="A844" s="2">
        <v>45423</v>
      </c>
      <c r="B8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4" s="3" t="str">
        <f>YEAR(KMART_DATA[[#This Row],[Date]])&amp;"-"&amp;TEXT(MONTH(KMART_DATA[[#This Row],[Date]]),"00")</f>
        <v>2024-05</v>
      </c>
      <c r="D844" s="3" t="s">
        <v>28</v>
      </c>
      <c r="E844" s="3" t="s">
        <v>234</v>
      </c>
      <c r="F844" s="3" t="s">
        <v>9</v>
      </c>
      <c r="G8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44" s="3" t="s">
        <v>235</v>
      </c>
      <c r="I844" s="3" t="s">
        <v>31</v>
      </c>
      <c r="J844" s="3" t="s">
        <v>81</v>
      </c>
      <c r="K844" s="3" t="s">
        <v>46</v>
      </c>
      <c r="L844" s="3" t="s">
        <v>47</v>
      </c>
      <c r="M844" s="4">
        <v>5.0</v>
      </c>
    </row>
    <row r="845">
      <c r="A845" s="2">
        <v>45423</v>
      </c>
      <c r="B8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5" s="3" t="str">
        <f>YEAR(KMART_DATA[[#This Row],[Date]])&amp;"-"&amp;TEXT(MONTH(KMART_DATA[[#This Row],[Date]]),"00")</f>
        <v>2024-05</v>
      </c>
      <c r="D845" s="3" t="s">
        <v>45</v>
      </c>
      <c r="E845" s="3" t="s">
        <v>103</v>
      </c>
      <c r="F845" s="3" t="s">
        <v>12</v>
      </c>
      <c r="G8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45" s="3" t="s">
        <v>104</v>
      </c>
      <c r="I845" s="3" t="s">
        <v>31</v>
      </c>
      <c r="J845" s="3" t="s">
        <v>102</v>
      </c>
      <c r="K845" s="3" t="s">
        <v>123</v>
      </c>
      <c r="L845" s="3" t="s">
        <v>124</v>
      </c>
      <c r="M845" s="4">
        <v>287.87</v>
      </c>
    </row>
    <row r="846">
      <c r="A846" s="2">
        <v>45423</v>
      </c>
      <c r="B8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6" s="3" t="str">
        <f>YEAR(KMART_DATA[[#This Row],[Date]])&amp;"-"&amp;TEXT(MONTH(KMART_DATA[[#This Row],[Date]]),"00")</f>
        <v>2024-05</v>
      </c>
      <c r="D846" s="3" t="s">
        <v>28</v>
      </c>
      <c r="E846" s="3" t="s">
        <v>232</v>
      </c>
      <c r="F846" s="3" t="s">
        <v>9</v>
      </c>
      <c r="G8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46" s="3" t="s">
        <v>233</v>
      </c>
      <c r="I846" s="3" t="s">
        <v>31</v>
      </c>
      <c r="J846" s="3" t="s">
        <v>75</v>
      </c>
      <c r="K846" s="3" t="s">
        <v>43</v>
      </c>
      <c r="L846" s="3" t="s">
        <v>44</v>
      </c>
      <c r="M846" s="4">
        <v>518.5</v>
      </c>
    </row>
    <row r="847">
      <c r="A847" s="2">
        <v>45423</v>
      </c>
      <c r="B8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7" s="3" t="str">
        <f>YEAR(KMART_DATA[[#This Row],[Date]])&amp;"-"&amp;TEXT(MONTH(KMART_DATA[[#This Row],[Date]]),"00")</f>
        <v>2024-05</v>
      </c>
      <c r="D847" s="3" t="s">
        <v>45</v>
      </c>
      <c r="E847" s="3" t="s">
        <v>165</v>
      </c>
      <c r="F847" s="3" t="s">
        <v>9</v>
      </c>
      <c r="G8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47" s="3" t="s">
        <v>166</v>
      </c>
      <c r="I847" s="3" t="s">
        <v>31</v>
      </c>
      <c r="J847" s="3" t="s">
        <v>99</v>
      </c>
      <c r="K847" s="3" t="s">
        <v>57</v>
      </c>
      <c r="L847" s="3" t="s">
        <v>58</v>
      </c>
      <c r="M847" s="4">
        <v>1340.95</v>
      </c>
    </row>
    <row r="848">
      <c r="A848" s="2">
        <v>45424</v>
      </c>
      <c r="B8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8" s="3" t="str">
        <f>YEAR(KMART_DATA[[#This Row],[Date]])&amp;"-"&amp;TEXT(MONTH(KMART_DATA[[#This Row],[Date]]),"00")</f>
        <v>2024-05</v>
      </c>
      <c r="D848" s="3" t="s">
        <v>45</v>
      </c>
      <c r="E848" s="3" t="s">
        <v>48</v>
      </c>
      <c r="F848" s="3" t="s">
        <v>12</v>
      </c>
      <c r="G8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48" s="3" t="s">
        <v>49</v>
      </c>
      <c r="I848" s="3" t="s">
        <v>31</v>
      </c>
      <c r="J848" s="3" t="s">
        <v>50</v>
      </c>
      <c r="K848" s="3" t="s">
        <v>112</v>
      </c>
      <c r="L848" s="3" t="s">
        <v>113</v>
      </c>
      <c r="M848" s="4">
        <v>11.98</v>
      </c>
    </row>
    <row r="849">
      <c r="A849" s="2">
        <v>45424</v>
      </c>
      <c r="B8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49" s="3" t="str">
        <f>YEAR(KMART_DATA[[#This Row],[Date]])&amp;"-"&amp;TEXT(MONTH(KMART_DATA[[#This Row],[Date]]),"00")</f>
        <v>2024-05</v>
      </c>
      <c r="D849" s="3" t="s">
        <v>28</v>
      </c>
      <c r="E849" s="3" t="s">
        <v>193</v>
      </c>
      <c r="F849" s="3" t="s">
        <v>9</v>
      </c>
      <c r="G8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49" s="3" t="s">
        <v>194</v>
      </c>
      <c r="I849" s="3" t="s">
        <v>31</v>
      </c>
      <c r="J849" s="3" t="s">
        <v>99</v>
      </c>
      <c r="K849" s="3" t="s">
        <v>46</v>
      </c>
      <c r="L849" s="3" t="s">
        <v>47</v>
      </c>
      <c r="M849" s="4">
        <v>1021.88</v>
      </c>
    </row>
    <row r="850">
      <c r="A850" s="2">
        <v>45424</v>
      </c>
      <c r="B8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0" s="3" t="str">
        <f>YEAR(KMART_DATA[[#This Row],[Date]])&amp;"-"&amp;TEXT(MONTH(KMART_DATA[[#This Row],[Date]]),"00")</f>
        <v>2024-05</v>
      </c>
      <c r="D850" s="3" t="s">
        <v>28</v>
      </c>
      <c r="E850" s="3" t="s">
        <v>87</v>
      </c>
      <c r="F850" s="3" t="s">
        <v>10</v>
      </c>
      <c r="G8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50" s="3" t="s">
        <v>88</v>
      </c>
      <c r="I850" s="3" t="s">
        <v>31</v>
      </c>
      <c r="J850" s="3" t="s">
        <v>89</v>
      </c>
      <c r="K850" s="3" t="s">
        <v>123</v>
      </c>
      <c r="L850" s="3" t="s">
        <v>124</v>
      </c>
      <c r="M850" s="4">
        <v>3867.6</v>
      </c>
    </row>
    <row r="851">
      <c r="A851" s="2">
        <v>45425</v>
      </c>
      <c r="B8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1" s="3" t="str">
        <f>YEAR(KMART_DATA[[#This Row],[Date]])&amp;"-"&amp;TEXT(MONTH(KMART_DATA[[#This Row],[Date]]),"00")</f>
        <v>2024-05</v>
      </c>
      <c r="D851" s="3" t="s">
        <v>28</v>
      </c>
      <c r="E851" s="3" t="s">
        <v>238</v>
      </c>
      <c r="F851" s="3" t="s">
        <v>13</v>
      </c>
      <c r="G8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51" s="3" t="s">
        <v>239</v>
      </c>
      <c r="I851" s="3" t="s">
        <v>31</v>
      </c>
      <c r="J851" s="3" t="s">
        <v>42</v>
      </c>
      <c r="K851" s="3" t="s">
        <v>33</v>
      </c>
      <c r="L851" s="3" t="s">
        <v>34</v>
      </c>
      <c r="M851" s="4">
        <v>54.89</v>
      </c>
    </row>
    <row r="852">
      <c r="A852" s="2">
        <v>45425</v>
      </c>
      <c r="B8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2" s="3" t="str">
        <f>YEAR(KMART_DATA[[#This Row],[Date]])&amp;"-"&amp;TEXT(MONTH(KMART_DATA[[#This Row],[Date]]),"00")</f>
        <v>2024-05</v>
      </c>
      <c r="D852" s="3" t="s">
        <v>45</v>
      </c>
      <c r="E852" s="3" t="s">
        <v>248</v>
      </c>
      <c r="F852" s="3" t="s">
        <v>12</v>
      </c>
      <c r="G8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52" s="3" t="s">
        <v>249</v>
      </c>
      <c r="I852" s="3" t="s">
        <v>31</v>
      </c>
      <c r="J852" s="3" t="s">
        <v>162</v>
      </c>
      <c r="K852" s="3" t="s">
        <v>123</v>
      </c>
      <c r="L852" s="3" t="s">
        <v>124</v>
      </c>
      <c r="M852" s="4">
        <v>146.68</v>
      </c>
    </row>
    <row r="853">
      <c r="A853" s="2">
        <v>45425</v>
      </c>
      <c r="B8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3" s="3" t="str">
        <f>YEAR(KMART_DATA[[#This Row],[Date]])&amp;"-"&amp;TEXT(MONTH(KMART_DATA[[#This Row],[Date]]),"00")</f>
        <v>2024-05</v>
      </c>
      <c r="D853" s="3" t="s">
        <v>28</v>
      </c>
      <c r="E853" s="3" t="s">
        <v>254</v>
      </c>
      <c r="F853" s="3" t="s">
        <v>13</v>
      </c>
      <c r="G8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53" s="3" t="s">
        <v>255</v>
      </c>
      <c r="I853" s="3" t="s">
        <v>31</v>
      </c>
      <c r="J853" s="3" t="s">
        <v>227</v>
      </c>
      <c r="K853" s="3" t="s">
        <v>57</v>
      </c>
      <c r="L853" s="3" t="s">
        <v>58</v>
      </c>
      <c r="M853" s="4">
        <v>208.44</v>
      </c>
    </row>
    <row r="854">
      <c r="A854" s="2">
        <v>45426</v>
      </c>
      <c r="B8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4" s="3" t="str">
        <f>YEAR(KMART_DATA[[#This Row],[Date]])&amp;"-"&amp;TEXT(MONTH(KMART_DATA[[#This Row],[Date]]),"00")</f>
        <v>2024-05</v>
      </c>
      <c r="D854" s="3" t="s">
        <v>28</v>
      </c>
      <c r="E854" s="3" t="s">
        <v>240</v>
      </c>
      <c r="F854" s="3" t="s">
        <v>15</v>
      </c>
      <c r="G8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854" s="3" t="s">
        <v>241</v>
      </c>
      <c r="I854" s="3" t="s">
        <v>31</v>
      </c>
      <c r="J854" s="3" t="s">
        <v>53</v>
      </c>
      <c r="K854" s="3" t="s">
        <v>123</v>
      </c>
      <c r="L854" s="3" t="s">
        <v>124</v>
      </c>
      <c r="M854" s="4">
        <v>19.99</v>
      </c>
    </row>
    <row r="855">
      <c r="A855" s="2">
        <v>45426</v>
      </c>
      <c r="B8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5" s="3" t="str">
        <f>YEAR(KMART_DATA[[#This Row],[Date]])&amp;"-"&amp;TEXT(MONTH(KMART_DATA[[#This Row],[Date]]),"00")</f>
        <v>2024-05</v>
      </c>
      <c r="D855" s="3" t="s">
        <v>28</v>
      </c>
      <c r="E855" s="3" t="s">
        <v>143</v>
      </c>
      <c r="F855" s="3" t="s">
        <v>14</v>
      </c>
      <c r="G8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855" s="3" t="s">
        <v>144</v>
      </c>
      <c r="I855" s="3" t="s">
        <v>31</v>
      </c>
      <c r="J855" s="3" t="s">
        <v>145</v>
      </c>
      <c r="K855" s="3" t="s">
        <v>38</v>
      </c>
      <c r="L855" s="3" t="s">
        <v>39</v>
      </c>
      <c r="M855" s="4">
        <v>23.96</v>
      </c>
    </row>
    <row r="856">
      <c r="A856" s="2">
        <v>45426</v>
      </c>
      <c r="B8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6" s="3" t="str">
        <f>YEAR(KMART_DATA[[#This Row],[Date]])&amp;"-"&amp;TEXT(MONTH(KMART_DATA[[#This Row],[Date]]),"00")</f>
        <v>2024-05</v>
      </c>
      <c r="D856" s="3" t="s">
        <v>28</v>
      </c>
      <c r="E856" s="3" t="s">
        <v>40</v>
      </c>
      <c r="F856" s="3" t="s">
        <v>13</v>
      </c>
      <c r="G8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56" s="3" t="s">
        <v>41</v>
      </c>
      <c r="I856" s="3" t="s">
        <v>31</v>
      </c>
      <c r="J856" s="3" t="s">
        <v>42</v>
      </c>
      <c r="K856" s="3" t="s">
        <v>43</v>
      </c>
      <c r="L856" s="3" t="s">
        <v>44</v>
      </c>
      <c r="M856" s="4">
        <v>36.0</v>
      </c>
    </row>
    <row r="857">
      <c r="A857" s="2">
        <v>45426</v>
      </c>
      <c r="B8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7" s="3" t="str">
        <f>YEAR(KMART_DATA[[#This Row],[Date]])&amp;"-"&amp;TEXT(MONTH(KMART_DATA[[#This Row],[Date]]),"00")</f>
        <v>2024-05</v>
      </c>
      <c r="D857" s="3" t="s">
        <v>45</v>
      </c>
      <c r="E857" s="3" t="s">
        <v>158</v>
      </c>
      <c r="F857" s="3" t="s">
        <v>11</v>
      </c>
      <c r="G8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57" s="3" t="s">
        <v>159</v>
      </c>
      <c r="I857" s="3" t="s">
        <v>31</v>
      </c>
      <c r="J857" s="3" t="s">
        <v>84</v>
      </c>
      <c r="K857" s="3" t="s">
        <v>71</v>
      </c>
      <c r="L857" s="3" t="s">
        <v>72</v>
      </c>
      <c r="M857" s="4">
        <v>75.41</v>
      </c>
    </row>
    <row r="858">
      <c r="A858" s="2">
        <v>45426</v>
      </c>
      <c r="B8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8" s="3" t="str">
        <f>YEAR(KMART_DATA[[#This Row],[Date]])&amp;"-"&amp;TEXT(MONTH(KMART_DATA[[#This Row],[Date]]),"00")</f>
        <v>2024-05</v>
      </c>
      <c r="D858" s="3" t="s">
        <v>28</v>
      </c>
      <c r="E858" s="3" t="s">
        <v>177</v>
      </c>
      <c r="F858" s="3" t="s">
        <v>12</v>
      </c>
      <c r="G8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58" s="3" t="s">
        <v>178</v>
      </c>
      <c r="I858" s="3" t="s">
        <v>31</v>
      </c>
      <c r="J858" s="3" t="s">
        <v>162</v>
      </c>
      <c r="K858" s="3" t="s">
        <v>57</v>
      </c>
      <c r="L858" s="3" t="s">
        <v>58</v>
      </c>
      <c r="M858" s="4">
        <v>108.87</v>
      </c>
    </row>
    <row r="859">
      <c r="A859" s="2">
        <v>45426</v>
      </c>
      <c r="B8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59" s="3" t="str">
        <f>YEAR(KMART_DATA[[#This Row],[Date]])&amp;"-"&amp;TEXT(MONTH(KMART_DATA[[#This Row],[Date]]),"00")</f>
        <v>2024-05</v>
      </c>
      <c r="D859" s="3" t="s">
        <v>45</v>
      </c>
      <c r="E859" s="3" t="s">
        <v>135</v>
      </c>
      <c r="F859" s="3" t="s">
        <v>16</v>
      </c>
      <c r="G8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859" s="3" t="s">
        <v>136</v>
      </c>
      <c r="I859" s="3" t="s">
        <v>31</v>
      </c>
      <c r="J859" s="3" t="s">
        <v>107</v>
      </c>
      <c r="K859" s="3" t="s">
        <v>71</v>
      </c>
      <c r="L859" s="3" t="s">
        <v>72</v>
      </c>
      <c r="M859" s="4">
        <v>269.82</v>
      </c>
    </row>
    <row r="860">
      <c r="A860" s="2">
        <v>45426</v>
      </c>
      <c r="B8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0" s="3" t="str">
        <f>YEAR(KMART_DATA[[#This Row],[Date]])&amp;"-"&amp;TEXT(MONTH(KMART_DATA[[#This Row],[Date]]),"00")</f>
        <v>2024-05</v>
      </c>
      <c r="D860" s="3" t="s">
        <v>28</v>
      </c>
      <c r="E860" s="3" t="s">
        <v>211</v>
      </c>
      <c r="F860" s="3" t="s">
        <v>9</v>
      </c>
      <c r="G8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60" s="3" t="s">
        <v>212</v>
      </c>
      <c r="I860" s="3" t="s">
        <v>31</v>
      </c>
      <c r="J860" s="3" t="s">
        <v>75</v>
      </c>
      <c r="K860" s="3" t="s">
        <v>43</v>
      </c>
      <c r="L860" s="3" t="s">
        <v>44</v>
      </c>
      <c r="M860" s="4">
        <v>496.84</v>
      </c>
    </row>
    <row r="861">
      <c r="A861" s="2">
        <v>45426</v>
      </c>
      <c r="B8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1" s="3" t="str">
        <f>YEAR(KMART_DATA[[#This Row],[Date]])&amp;"-"&amp;TEXT(MONTH(KMART_DATA[[#This Row],[Date]]),"00")</f>
        <v>2024-05</v>
      </c>
      <c r="D861" s="3" t="s">
        <v>28</v>
      </c>
      <c r="E861" s="3" t="s">
        <v>219</v>
      </c>
      <c r="F861" s="3" t="s">
        <v>11</v>
      </c>
      <c r="G8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61" s="3" t="s">
        <v>220</v>
      </c>
      <c r="I861" s="3" t="s">
        <v>31</v>
      </c>
      <c r="J861" s="3" t="s">
        <v>56</v>
      </c>
      <c r="K861" s="3" t="s">
        <v>71</v>
      </c>
      <c r="L861" s="3" t="s">
        <v>72</v>
      </c>
      <c r="M861" s="4">
        <v>3061.93</v>
      </c>
    </row>
    <row r="862">
      <c r="A862" s="2">
        <v>45427</v>
      </c>
      <c r="B8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2" s="3" t="str">
        <f>YEAR(KMART_DATA[[#This Row],[Date]])&amp;"-"&amp;TEXT(MONTH(KMART_DATA[[#This Row],[Date]]),"00")</f>
        <v>2024-05</v>
      </c>
      <c r="D862" s="3" t="s">
        <v>28</v>
      </c>
      <c r="E862" s="3" t="s">
        <v>85</v>
      </c>
      <c r="F862" s="3" t="s">
        <v>9</v>
      </c>
      <c r="G8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62" s="3" t="s">
        <v>86</v>
      </c>
      <c r="I862" s="3" t="s">
        <v>31</v>
      </c>
      <c r="J862" s="3" t="s">
        <v>81</v>
      </c>
      <c r="K862" s="3" t="s">
        <v>43</v>
      </c>
      <c r="L862" s="3" t="s">
        <v>44</v>
      </c>
      <c r="M862" s="4">
        <v>4.5</v>
      </c>
    </row>
    <row r="863">
      <c r="A863" s="2">
        <v>45427</v>
      </c>
      <c r="B8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3" s="3" t="str">
        <f>YEAR(KMART_DATA[[#This Row],[Date]])&amp;"-"&amp;TEXT(MONTH(KMART_DATA[[#This Row],[Date]]),"00")</f>
        <v>2024-05</v>
      </c>
      <c r="D863" s="3" t="s">
        <v>45</v>
      </c>
      <c r="E863" s="3" t="s">
        <v>246</v>
      </c>
      <c r="F863" s="3" t="s">
        <v>10</v>
      </c>
      <c r="G8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63" s="3" t="s">
        <v>247</v>
      </c>
      <c r="I863" s="3" t="s">
        <v>31</v>
      </c>
      <c r="J863" s="3" t="s">
        <v>37</v>
      </c>
      <c r="K863" s="3" t="s">
        <v>43</v>
      </c>
      <c r="L863" s="3" t="s">
        <v>44</v>
      </c>
      <c r="M863" s="4">
        <v>49.94</v>
      </c>
    </row>
    <row r="864">
      <c r="A864" s="2">
        <v>45427</v>
      </c>
      <c r="B8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4" s="3" t="str">
        <f>YEAR(KMART_DATA[[#This Row],[Date]])&amp;"-"&amp;TEXT(MONTH(KMART_DATA[[#This Row],[Date]]),"00")</f>
        <v>2024-05</v>
      </c>
      <c r="D864" s="3" t="s">
        <v>45</v>
      </c>
      <c r="E864" s="3" t="s">
        <v>48</v>
      </c>
      <c r="F864" s="3" t="s">
        <v>12</v>
      </c>
      <c r="G8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64" s="3" t="s">
        <v>49</v>
      </c>
      <c r="I864" s="3" t="s">
        <v>31</v>
      </c>
      <c r="J864" s="3" t="s">
        <v>50</v>
      </c>
      <c r="K864" s="3" t="s">
        <v>123</v>
      </c>
      <c r="L864" s="3" t="s">
        <v>124</v>
      </c>
      <c r="M864" s="4">
        <v>57.86</v>
      </c>
    </row>
    <row r="865">
      <c r="A865" s="2">
        <v>45427</v>
      </c>
      <c r="B8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5" s="3" t="str">
        <f>YEAR(KMART_DATA[[#This Row],[Date]])&amp;"-"&amp;TEXT(MONTH(KMART_DATA[[#This Row],[Date]]),"00")</f>
        <v>2024-05</v>
      </c>
      <c r="D865" s="3" t="s">
        <v>28</v>
      </c>
      <c r="E865" s="3" t="s">
        <v>219</v>
      </c>
      <c r="F865" s="3" t="s">
        <v>11</v>
      </c>
      <c r="G8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65" s="3" t="s">
        <v>220</v>
      </c>
      <c r="I865" s="3" t="s">
        <v>31</v>
      </c>
      <c r="J865" s="3" t="s">
        <v>56</v>
      </c>
      <c r="K865" s="3" t="s">
        <v>43</v>
      </c>
      <c r="L865" s="3" t="s">
        <v>44</v>
      </c>
      <c r="M865" s="4">
        <v>185.34</v>
      </c>
    </row>
    <row r="866">
      <c r="A866" s="2">
        <v>45427</v>
      </c>
      <c r="B8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6" s="3" t="str">
        <f>YEAR(KMART_DATA[[#This Row],[Date]])&amp;"-"&amp;TEXT(MONTH(KMART_DATA[[#This Row],[Date]]),"00")</f>
        <v>2024-05</v>
      </c>
      <c r="D866" s="3" t="s">
        <v>28</v>
      </c>
      <c r="E866" s="3" t="s">
        <v>232</v>
      </c>
      <c r="F866" s="3" t="s">
        <v>9</v>
      </c>
      <c r="G8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66" s="3" t="s">
        <v>233</v>
      </c>
      <c r="I866" s="3" t="s">
        <v>31</v>
      </c>
      <c r="J866" s="3" t="s">
        <v>75</v>
      </c>
      <c r="K866" s="3" t="s">
        <v>43</v>
      </c>
      <c r="L866" s="3" t="s">
        <v>44</v>
      </c>
      <c r="M866" s="4">
        <v>381.15</v>
      </c>
    </row>
    <row r="867">
      <c r="A867" s="2">
        <v>45427</v>
      </c>
      <c r="B8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7" s="3" t="str">
        <f>YEAR(KMART_DATA[[#This Row],[Date]])&amp;"-"&amp;TEXT(MONTH(KMART_DATA[[#This Row],[Date]]),"00")</f>
        <v>2024-05</v>
      </c>
      <c r="D867" s="3" t="s">
        <v>45</v>
      </c>
      <c r="E867" s="3" t="s">
        <v>189</v>
      </c>
      <c r="F867" s="3" t="s">
        <v>9</v>
      </c>
      <c r="G8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67" s="3" t="s">
        <v>190</v>
      </c>
      <c r="I867" s="3" t="s">
        <v>31</v>
      </c>
      <c r="J867" s="3" t="s">
        <v>81</v>
      </c>
      <c r="K867" s="3" t="s">
        <v>43</v>
      </c>
      <c r="L867" s="3" t="s">
        <v>44</v>
      </c>
      <c r="M867" s="4">
        <v>389.97</v>
      </c>
    </row>
    <row r="868">
      <c r="A868" s="2">
        <v>45427</v>
      </c>
      <c r="B8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8" s="3" t="str">
        <f>YEAR(KMART_DATA[[#This Row],[Date]])&amp;"-"&amp;TEXT(MONTH(KMART_DATA[[#This Row],[Date]]),"00")</f>
        <v>2024-05</v>
      </c>
      <c r="D868" s="3" t="s">
        <v>28</v>
      </c>
      <c r="E868" s="3" t="s">
        <v>129</v>
      </c>
      <c r="F868" s="3" t="s">
        <v>10</v>
      </c>
      <c r="G8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68" s="3" t="s">
        <v>130</v>
      </c>
      <c r="I868" s="3" t="s">
        <v>31</v>
      </c>
      <c r="J868" s="3" t="s">
        <v>120</v>
      </c>
      <c r="K868" s="3" t="s">
        <v>71</v>
      </c>
      <c r="L868" s="3" t="s">
        <v>72</v>
      </c>
      <c r="M868" s="4">
        <v>1473.94</v>
      </c>
    </row>
    <row r="869">
      <c r="A869" s="2">
        <v>45428</v>
      </c>
      <c r="B8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69" s="3" t="str">
        <f>YEAR(KMART_DATA[[#This Row],[Date]])&amp;"-"&amp;TEXT(MONTH(KMART_DATA[[#This Row],[Date]]),"00")</f>
        <v>2024-05</v>
      </c>
      <c r="D869" s="3" t="s">
        <v>28</v>
      </c>
      <c r="E869" s="3" t="s">
        <v>240</v>
      </c>
      <c r="F869" s="3" t="s">
        <v>15</v>
      </c>
      <c r="G8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869" s="3" t="s">
        <v>241</v>
      </c>
      <c r="I869" s="3" t="s">
        <v>31</v>
      </c>
      <c r="J869" s="3" t="s">
        <v>53</v>
      </c>
      <c r="K869" s="3" t="s">
        <v>46</v>
      </c>
      <c r="L869" s="3" t="s">
        <v>47</v>
      </c>
      <c r="M869" s="4">
        <v>53.91</v>
      </c>
    </row>
    <row r="870">
      <c r="A870" s="2">
        <v>45428</v>
      </c>
      <c r="B8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0" s="3" t="str">
        <f>YEAR(KMART_DATA[[#This Row],[Date]])&amp;"-"&amp;TEXT(MONTH(KMART_DATA[[#This Row],[Date]]),"00")</f>
        <v>2024-05</v>
      </c>
      <c r="D870" s="3" t="s">
        <v>45</v>
      </c>
      <c r="E870" s="3" t="s">
        <v>211</v>
      </c>
      <c r="F870" s="3" t="s">
        <v>9</v>
      </c>
      <c r="G8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70" s="3" t="s">
        <v>212</v>
      </c>
      <c r="I870" s="3" t="s">
        <v>31</v>
      </c>
      <c r="J870" s="3" t="s">
        <v>75</v>
      </c>
      <c r="K870" s="3" t="s">
        <v>123</v>
      </c>
      <c r="L870" s="3" t="s">
        <v>124</v>
      </c>
      <c r="M870" s="4">
        <v>116.57</v>
      </c>
    </row>
    <row r="871">
      <c r="A871" s="2">
        <v>45428</v>
      </c>
      <c r="B8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1" s="3" t="str">
        <f>YEAR(KMART_DATA[[#This Row],[Date]])&amp;"-"&amp;TEXT(MONTH(KMART_DATA[[#This Row],[Date]]),"00")</f>
        <v>2024-05</v>
      </c>
      <c r="D871" s="3" t="s">
        <v>45</v>
      </c>
      <c r="E871" s="3" t="s">
        <v>79</v>
      </c>
      <c r="F871" s="3" t="s">
        <v>9</v>
      </c>
      <c r="G8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71" s="3" t="s">
        <v>80</v>
      </c>
      <c r="I871" s="3" t="s">
        <v>31</v>
      </c>
      <c r="J871" s="3" t="s">
        <v>81</v>
      </c>
      <c r="K871" s="3" t="s">
        <v>43</v>
      </c>
      <c r="L871" s="3" t="s">
        <v>44</v>
      </c>
      <c r="M871" s="4">
        <v>135.92</v>
      </c>
    </row>
    <row r="872">
      <c r="A872" s="2">
        <v>45428</v>
      </c>
      <c r="B8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2" s="3" t="str">
        <f>YEAR(KMART_DATA[[#This Row],[Date]])&amp;"-"&amp;TEXT(MONTH(KMART_DATA[[#This Row],[Date]]),"00")</f>
        <v>2024-05</v>
      </c>
      <c r="D872" s="3" t="s">
        <v>45</v>
      </c>
      <c r="E872" s="3" t="s">
        <v>79</v>
      </c>
      <c r="F872" s="3" t="s">
        <v>9</v>
      </c>
      <c r="G8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72" s="3" t="s">
        <v>80</v>
      </c>
      <c r="I872" s="3" t="s">
        <v>31</v>
      </c>
      <c r="J872" s="3" t="s">
        <v>81</v>
      </c>
      <c r="K872" s="3" t="s">
        <v>57</v>
      </c>
      <c r="L872" s="3" t="s">
        <v>58</v>
      </c>
      <c r="M872" s="4">
        <v>149.79</v>
      </c>
    </row>
    <row r="873">
      <c r="A873" s="2">
        <v>45428</v>
      </c>
      <c r="B8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3" s="3" t="str">
        <f>YEAR(KMART_DATA[[#This Row],[Date]])&amp;"-"&amp;TEXT(MONTH(KMART_DATA[[#This Row],[Date]]),"00")</f>
        <v>2024-05</v>
      </c>
      <c r="D873" s="3" t="s">
        <v>28</v>
      </c>
      <c r="E873" s="3" t="s">
        <v>82</v>
      </c>
      <c r="F873" s="3" t="s">
        <v>11</v>
      </c>
      <c r="G8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73" s="3" t="s">
        <v>83</v>
      </c>
      <c r="I873" s="3" t="s">
        <v>31</v>
      </c>
      <c r="J873" s="3" t="s">
        <v>84</v>
      </c>
      <c r="K873" s="3" t="s">
        <v>71</v>
      </c>
      <c r="L873" s="3" t="s">
        <v>72</v>
      </c>
      <c r="M873" s="4">
        <v>204.48</v>
      </c>
    </row>
    <row r="874">
      <c r="A874" s="2">
        <v>45428</v>
      </c>
      <c r="B8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4" s="3" t="str">
        <f>YEAR(KMART_DATA[[#This Row],[Date]])&amp;"-"&amp;TEXT(MONTH(KMART_DATA[[#This Row],[Date]]),"00")</f>
        <v>2024-05</v>
      </c>
      <c r="D874" s="3" t="s">
        <v>28</v>
      </c>
      <c r="E874" s="3" t="s">
        <v>179</v>
      </c>
      <c r="F874" s="3" t="s">
        <v>9</v>
      </c>
      <c r="G8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74" s="3" t="s">
        <v>180</v>
      </c>
      <c r="I874" s="3" t="s">
        <v>31</v>
      </c>
      <c r="J874" s="3" t="s">
        <v>99</v>
      </c>
      <c r="K874" s="3" t="s">
        <v>112</v>
      </c>
      <c r="L874" s="3" t="s">
        <v>113</v>
      </c>
      <c r="M874" s="4">
        <v>306.1</v>
      </c>
    </row>
    <row r="875">
      <c r="A875" s="2">
        <v>45428</v>
      </c>
      <c r="B8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5" s="3" t="str">
        <f>YEAR(KMART_DATA[[#This Row],[Date]])&amp;"-"&amp;TEXT(MONTH(KMART_DATA[[#This Row],[Date]]),"00")</f>
        <v>2024-05</v>
      </c>
      <c r="D875" s="3" t="s">
        <v>28</v>
      </c>
      <c r="E875" s="3" t="s">
        <v>219</v>
      </c>
      <c r="F875" s="3" t="s">
        <v>11</v>
      </c>
      <c r="G8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75" s="3" t="s">
        <v>220</v>
      </c>
      <c r="I875" s="3" t="s">
        <v>31</v>
      </c>
      <c r="J875" s="3" t="s">
        <v>56</v>
      </c>
      <c r="K875" s="3" t="s">
        <v>95</v>
      </c>
      <c r="L875" s="3" t="s">
        <v>96</v>
      </c>
      <c r="M875" s="4">
        <v>419.45</v>
      </c>
    </row>
    <row r="876">
      <c r="A876" s="2">
        <v>45428</v>
      </c>
      <c r="B8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6" s="3" t="str">
        <f>YEAR(KMART_DATA[[#This Row],[Date]])&amp;"-"&amp;TEXT(MONTH(KMART_DATA[[#This Row],[Date]]),"00")</f>
        <v>2024-05</v>
      </c>
      <c r="D876" s="3" t="s">
        <v>28</v>
      </c>
      <c r="E876" s="3" t="s">
        <v>76</v>
      </c>
      <c r="F876" s="3" t="s">
        <v>11</v>
      </c>
      <c r="G8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76" s="3" t="s">
        <v>77</v>
      </c>
      <c r="I876" s="3" t="s">
        <v>31</v>
      </c>
      <c r="J876" s="3" t="s">
        <v>78</v>
      </c>
      <c r="K876" s="3" t="s">
        <v>71</v>
      </c>
      <c r="L876" s="3" t="s">
        <v>72</v>
      </c>
      <c r="M876" s="4">
        <v>597.24</v>
      </c>
    </row>
    <row r="877">
      <c r="A877" s="2">
        <v>45428</v>
      </c>
      <c r="B8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7" s="3" t="str">
        <f>YEAR(KMART_DATA[[#This Row],[Date]])&amp;"-"&amp;TEXT(MONTH(KMART_DATA[[#This Row],[Date]]),"00")</f>
        <v>2024-05</v>
      </c>
      <c r="D877" s="3" t="s">
        <v>45</v>
      </c>
      <c r="E877" s="3" t="s">
        <v>258</v>
      </c>
      <c r="F877" s="3" t="s">
        <v>14</v>
      </c>
      <c r="G8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877" s="3" t="s">
        <v>259</v>
      </c>
      <c r="I877" s="3" t="s">
        <v>31</v>
      </c>
      <c r="J877" s="3" t="s">
        <v>145</v>
      </c>
      <c r="K877" s="3" t="s">
        <v>46</v>
      </c>
      <c r="L877" s="3" t="s">
        <v>47</v>
      </c>
      <c r="M877" s="4">
        <v>647.31</v>
      </c>
    </row>
    <row r="878">
      <c r="A878" s="2">
        <v>45428</v>
      </c>
      <c r="B8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8" s="3" t="str">
        <f>YEAR(KMART_DATA[[#This Row],[Date]])&amp;"-"&amp;TEXT(MONTH(KMART_DATA[[#This Row],[Date]]),"00")</f>
        <v>2024-05</v>
      </c>
      <c r="D878" s="3" t="s">
        <v>28</v>
      </c>
      <c r="E878" s="3" t="s">
        <v>173</v>
      </c>
      <c r="F878" s="3" t="s">
        <v>11</v>
      </c>
      <c r="G8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78" s="3" t="s">
        <v>174</v>
      </c>
      <c r="I878" s="3" t="s">
        <v>31</v>
      </c>
      <c r="J878" s="3" t="s">
        <v>61</v>
      </c>
      <c r="K878" s="3" t="s">
        <v>33</v>
      </c>
      <c r="L878" s="3" t="s">
        <v>34</v>
      </c>
      <c r="M878" s="4">
        <v>1115.72</v>
      </c>
    </row>
    <row r="879">
      <c r="A879" s="2">
        <v>45429</v>
      </c>
      <c r="B8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79" s="3" t="str">
        <f>YEAR(KMART_DATA[[#This Row],[Date]])&amp;"-"&amp;TEXT(MONTH(KMART_DATA[[#This Row],[Date]]),"00")</f>
        <v>2024-05</v>
      </c>
      <c r="D879" s="3" t="s">
        <v>28</v>
      </c>
      <c r="E879" s="3" t="s">
        <v>252</v>
      </c>
      <c r="F879" s="3" t="s">
        <v>10</v>
      </c>
      <c r="G8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79" s="3" t="s">
        <v>253</v>
      </c>
      <c r="I879" s="3" t="s">
        <v>31</v>
      </c>
      <c r="J879" s="3" t="s">
        <v>94</v>
      </c>
      <c r="K879" s="3" t="s">
        <v>43</v>
      </c>
      <c r="L879" s="3" t="s">
        <v>44</v>
      </c>
      <c r="M879" s="4">
        <v>204.79</v>
      </c>
    </row>
    <row r="880">
      <c r="A880" s="2">
        <v>45429</v>
      </c>
      <c r="B8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0" s="3" t="str">
        <f>YEAR(KMART_DATA[[#This Row],[Date]])&amp;"-"&amp;TEXT(MONTH(KMART_DATA[[#This Row],[Date]]),"00")</f>
        <v>2024-05</v>
      </c>
      <c r="D880" s="3" t="s">
        <v>45</v>
      </c>
      <c r="E880" s="3" t="s">
        <v>85</v>
      </c>
      <c r="F880" s="3" t="s">
        <v>9</v>
      </c>
      <c r="G8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80" s="3" t="s">
        <v>86</v>
      </c>
      <c r="I880" s="3" t="s">
        <v>31</v>
      </c>
      <c r="J880" s="3" t="s">
        <v>81</v>
      </c>
      <c r="K880" s="3" t="s">
        <v>95</v>
      </c>
      <c r="L880" s="3" t="s">
        <v>96</v>
      </c>
      <c r="M880" s="4">
        <v>541.8</v>
      </c>
    </row>
    <row r="881">
      <c r="A881" s="2">
        <v>45429</v>
      </c>
      <c r="B8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1" s="3" t="str">
        <f>YEAR(KMART_DATA[[#This Row],[Date]])&amp;"-"&amp;TEXT(MONTH(KMART_DATA[[#This Row],[Date]]),"00")</f>
        <v>2024-05</v>
      </c>
      <c r="D881" s="3" t="s">
        <v>28</v>
      </c>
      <c r="E881" s="3" t="s">
        <v>232</v>
      </c>
      <c r="F881" s="3" t="s">
        <v>9</v>
      </c>
      <c r="G8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81" s="3" t="s">
        <v>233</v>
      </c>
      <c r="I881" s="3" t="s">
        <v>31</v>
      </c>
      <c r="J881" s="3" t="s">
        <v>75</v>
      </c>
      <c r="K881" s="3" t="s">
        <v>123</v>
      </c>
      <c r="L881" s="3" t="s">
        <v>124</v>
      </c>
      <c r="M881" s="4">
        <v>598.52</v>
      </c>
    </row>
    <row r="882">
      <c r="A882" s="2">
        <v>45429</v>
      </c>
      <c r="B8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2" s="3" t="str">
        <f>YEAR(KMART_DATA[[#This Row],[Date]])&amp;"-"&amp;TEXT(MONTH(KMART_DATA[[#This Row],[Date]]),"00")</f>
        <v>2024-05</v>
      </c>
      <c r="D882" s="3" t="s">
        <v>28</v>
      </c>
      <c r="E882" s="3" t="s">
        <v>203</v>
      </c>
      <c r="F882" s="3" t="s">
        <v>10</v>
      </c>
      <c r="G8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82" s="3" t="s">
        <v>204</v>
      </c>
      <c r="I882" s="3" t="s">
        <v>31</v>
      </c>
      <c r="J882" s="3" t="s">
        <v>89</v>
      </c>
      <c r="K882" s="3" t="s">
        <v>46</v>
      </c>
      <c r="L882" s="3" t="s">
        <v>47</v>
      </c>
      <c r="M882" s="4">
        <v>1905.39</v>
      </c>
    </row>
    <row r="883">
      <c r="A883" s="2">
        <v>45430</v>
      </c>
      <c r="B8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3" s="3" t="str">
        <f>YEAR(KMART_DATA[[#This Row],[Date]])&amp;"-"&amp;TEXT(MONTH(KMART_DATA[[#This Row],[Date]]),"00")</f>
        <v>2024-05</v>
      </c>
      <c r="D883" s="3" t="s">
        <v>28</v>
      </c>
      <c r="E883" s="3" t="s">
        <v>87</v>
      </c>
      <c r="F883" s="3" t="s">
        <v>10</v>
      </c>
      <c r="G8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83" s="3" t="s">
        <v>88</v>
      </c>
      <c r="I883" s="3" t="s">
        <v>31</v>
      </c>
      <c r="J883" s="3" t="s">
        <v>89</v>
      </c>
      <c r="K883" s="3" t="s">
        <v>95</v>
      </c>
      <c r="L883" s="3" t="s">
        <v>96</v>
      </c>
      <c r="M883" s="4">
        <v>7.09</v>
      </c>
    </row>
    <row r="884">
      <c r="A884" s="2">
        <v>45430</v>
      </c>
      <c r="B8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4" s="3" t="str">
        <f>YEAR(KMART_DATA[[#This Row],[Date]])&amp;"-"&amp;TEXT(MONTH(KMART_DATA[[#This Row],[Date]]),"00")</f>
        <v>2024-05</v>
      </c>
      <c r="D884" s="3" t="s">
        <v>28</v>
      </c>
      <c r="E884" s="3" t="s">
        <v>209</v>
      </c>
      <c r="F884" s="3" t="s">
        <v>9</v>
      </c>
      <c r="G8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84" s="3" t="s">
        <v>210</v>
      </c>
      <c r="I884" s="3" t="s">
        <v>31</v>
      </c>
      <c r="J884" s="3" t="s">
        <v>81</v>
      </c>
      <c r="K884" s="3" t="s">
        <v>33</v>
      </c>
      <c r="L884" s="3" t="s">
        <v>34</v>
      </c>
      <c r="M884" s="4">
        <v>9.97</v>
      </c>
    </row>
    <row r="885">
      <c r="A885" s="2">
        <v>45430</v>
      </c>
      <c r="B8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5" s="3" t="str">
        <f>YEAR(KMART_DATA[[#This Row],[Date]])&amp;"-"&amp;TEXT(MONTH(KMART_DATA[[#This Row],[Date]]),"00")</f>
        <v>2024-05</v>
      </c>
      <c r="D885" s="3" t="s">
        <v>28</v>
      </c>
      <c r="E885" s="3" t="s">
        <v>238</v>
      </c>
      <c r="F885" s="3" t="s">
        <v>13</v>
      </c>
      <c r="G8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85" s="3" t="s">
        <v>239</v>
      </c>
      <c r="I885" s="3" t="s">
        <v>31</v>
      </c>
      <c r="J885" s="3" t="s">
        <v>42</v>
      </c>
      <c r="K885" s="3" t="s">
        <v>33</v>
      </c>
      <c r="L885" s="3" t="s">
        <v>34</v>
      </c>
      <c r="M885" s="4">
        <v>27.94</v>
      </c>
    </row>
    <row r="886">
      <c r="A886" s="2">
        <v>45430</v>
      </c>
      <c r="B8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6" s="3" t="str">
        <f>YEAR(KMART_DATA[[#This Row],[Date]])&amp;"-"&amp;TEXT(MONTH(KMART_DATA[[#This Row],[Date]]),"00")</f>
        <v>2024-05</v>
      </c>
      <c r="D886" s="3" t="s">
        <v>45</v>
      </c>
      <c r="E886" s="3" t="s">
        <v>35</v>
      </c>
      <c r="F886" s="3" t="s">
        <v>10</v>
      </c>
      <c r="G8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86" s="3" t="s">
        <v>36</v>
      </c>
      <c r="I886" s="3" t="s">
        <v>31</v>
      </c>
      <c r="J886" s="3" t="s">
        <v>37</v>
      </c>
      <c r="K886" s="3" t="s">
        <v>57</v>
      </c>
      <c r="L886" s="3" t="s">
        <v>58</v>
      </c>
      <c r="M886" s="4">
        <v>89.82</v>
      </c>
    </row>
    <row r="887">
      <c r="A887" s="2">
        <v>45430</v>
      </c>
      <c r="B8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7" s="3" t="str">
        <f>YEAR(KMART_DATA[[#This Row],[Date]])&amp;"-"&amp;TEXT(MONTH(KMART_DATA[[#This Row],[Date]]),"00")</f>
        <v>2024-05</v>
      </c>
      <c r="D887" s="3" t="s">
        <v>28</v>
      </c>
      <c r="E887" s="3" t="s">
        <v>143</v>
      </c>
      <c r="F887" s="3" t="s">
        <v>14</v>
      </c>
      <c r="G8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887" s="3" t="s">
        <v>144</v>
      </c>
      <c r="I887" s="3" t="s">
        <v>31</v>
      </c>
      <c r="J887" s="3" t="s">
        <v>145</v>
      </c>
      <c r="K887" s="3" t="s">
        <v>43</v>
      </c>
      <c r="L887" s="3" t="s">
        <v>44</v>
      </c>
      <c r="M887" s="4">
        <v>91.7</v>
      </c>
    </row>
    <row r="888">
      <c r="A888" s="2">
        <v>45430</v>
      </c>
      <c r="B8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8" s="3" t="str">
        <f>YEAR(KMART_DATA[[#This Row],[Date]])&amp;"-"&amp;TEXT(MONTH(KMART_DATA[[#This Row],[Date]]),"00")</f>
        <v>2024-05</v>
      </c>
      <c r="D888" s="3" t="s">
        <v>28</v>
      </c>
      <c r="E888" s="3" t="s">
        <v>167</v>
      </c>
      <c r="F888" s="3" t="s">
        <v>12</v>
      </c>
      <c r="G8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88" s="3" t="s">
        <v>168</v>
      </c>
      <c r="I888" s="3" t="s">
        <v>31</v>
      </c>
      <c r="J888" s="3" t="s">
        <v>102</v>
      </c>
      <c r="K888" s="3" t="s">
        <v>123</v>
      </c>
      <c r="L888" s="3" t="s">
        <v>124</v>
      </c>
      <c r="M888" s="4">
        <v>295.7</v>
      </c>
    </row>
    <row r="889">
      <c r="A889" s="2">
        <v>45430</v>
      </c>
      <c r="B8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89" s="3" t="str">
        <f>YEAR(KMART_DATA[[#This Row],[Date]])&amp;"-"&amp;TEXT(MONTH(KMART_DATA[[#This Row],[Date]]),"00")</f>
        <v>2024-05</v>
      </c>
      <c r="D889" s="3" t="s">
        <v>28</v>
      </c>
      <c r="E889" s="3" t="s">
        <v>181</v>
      </c>
      <c r="F889" s="3" t="s">
        <v>11</v>
      </c>
      <c r="G8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89" s="3" t="s">
        <v>182</v>
      </c>
      <c r="I889" s="3" t="s">
        <v>31</v>
      </c>
      <c r="J889" s="3" t="s">
        <v>56</v>
      </c>
      <c r="K889" s="3" t="s">
        <v>43</v>
      </c>
      <c r="L889" s="3" t="s">
        <v>44</v>
      </c>
      <c r="M889" s="4">
        <v>592.81</v>
      </c>
    </row>
    <row r="890">
      <c r="A890" s="2">
        <v>45430</v>
      </c>
      <c r="B8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0" s="3" t="str">
        <f>YEAR(KMART_DATA[[#This Row],[Date]])&amp;"-"&amp;TEXT(MONTH(KMART_DATA[[#This Row],[Date]]),"00")</f>
        <v>2024-05</v>
      </c>
      <c r="D890" s="3" t="s">
        <v>28</v>
      </c>
      <c r="E890" s="3" t="s">
        <v>185</v>
      </c>
      <c r="F890" s="3" t="s">
        <v>12</v>
      </c>
      <c r="G8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890" s="3" t="s">
        <v>186</v>
      </c>
      <c r="I890" s="3" t="s">
        <v>31</v>
      </c>
      <c r="J890" s="3" t="s">
        <v>162</v>
      </c>
      <c r="K890" s="3" t="s">
        <v>57</v>
      </c>
      <c r="L890" s="3" t="s">
        <v>58</v>
      </c>
      <c r="M890" s="4">
        <v>877.07</v>
      </c>
    </row>
    <row r="891">
      <c r="A891" s="2">
        <v>45430</v>
      </c>
      <c r="B8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1" s="3" t="str">
        <f>YEAR(KMART_DATA[[#This Row],[Date]])&amp;"-"&amp;TEXT(MONTH(KMART_DATA[[#This Row],[Date]]),"00")</f>
        <v>2024-05</v>
      </c>
      <c r="D891" s="3" t="s">
        <v>28</v>
      </c>
      <c r="E891" s="3" t="s">
        <v>240</v>
      </c>
      <c r="F891" s="3" t="s">
        <v>15</v>
      </c>
      <c r="G8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891" s="3" t="s">
        <v>241</v>
      </c>
      <c r="I891" s="3" t="s">
        <v>31</v>
      </c>
      <c r="J891" s="3" t="s">
        <v>53</v>
      </c>
      <c r="K891" s="3" t="s">
        <v>57</v>
      </c>
      <c r="L891" s="3" t="s">
        <v>58</v>
      </c>
      <c r="M891" s="4">
        <v>1431.45</v>
      </c>
    </row>
    <row r="892">
      <c r="A892" s="2">
        <v>45431</v>
      </c>
      <c r="B8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2" s="3" t="str">
        <f>YEAR(KMART_DATA[[#This Row],[Date]])&amp;"-"&amp;TEXT(MONTH(KMART_DATA[[#This Row],[Date]]),"00")</f>
        <v>2024-05</v>
      </c>
      <c r="D892" s="3" t="s">
        <v>28</v>
      </c>
      <c r="E892" s="3" t="s">
        <v>264</v>
      </c>
      <c r="F892" s="3" t="s">
        <v>13</v>
      </c>
      <c r="G8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892" s="3" t="s">
        <v>265</v>
      </c>
      <c r="I892" s="3" t="s">
        <v>31</v>
      </c>
      <c r="J892" s="3" t="s">
        <v>42</v>
      </c>
      <c r="K892" s="3" t="s">
        <v>43</v>
      </c>
      <c r="L892" s="3" t="s">
        <v>44</v>
      </c>
      <c r="M892" s="4">
        <v>21.0</v>
      </c>
    </row>
    <row r="893">
      <c r="A893" s="2">
        <v>45431</v>
      </c>
      <c r="B8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3" s="3" t="str">
        <f>YEAR(KMART_DATA[[#This Row],[Date]])&amp;"-"&amp;TEXT(MONTH(KMART_DATA[[#This Row],[Date]]),"00")</f>
        <v>2024-05</v>
      </c>
      <c r="D893" s="3" t="s">
        <v>45</v>
      </c>
      <c r="E893" s="3" t="s">
        <v>87</v>
      </c>
      <c r="F893" s="3" t="s">
        <v>10</v>
      </c>
      <c r="G8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93" s="3" t="s">
        <v>88</v>
      </c>
      <c r="I893" s="3" t="s">
        <v>31</v>
      </c>
      <c r="J893" s="3" t="s">
        <v>89</v>
      </c>
      <c r="K893" s="3" t="s">
        <v>95</v>
      </c>
      <c r="L893" s="3" t="s">
        <v>96</v>
      </c>
      <c r="M893" s="4">
        <v>119.8</v>
      </c>
    </row>
    <row r="894">
      <c r="A894" s="2">
        <v>45431</v>
      </c>
      <c r="B8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4" s="3" t="str">
        <f>YEAR(KMART_DATA[[#This Row],[Date]])&amp;"-"&amp;TEXT(MONTH(KMART_DATA[[#This Row],[Date]]),"00")</f>
        <v>2024-05</v>
      </c>
      <c r="D894" s="3" t="s">
        <v>28</v>
      </c>
      <c r="E894" s="3" t="s">
        <v>121</v>
      </c>
      <c r="F894" s="3" t="s">
        <v>11</v>
      </c>
      <c r="G8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94" s="3" t="s">
        <v>122</v>
      </c>
      <c r="I894" s="3" t="s">
        <v>31</v>
      </c>
      <c r="J894" s="3" t="s">
        <v>84</v>
      </c>
      <c r="K894" s="3" t="s">
        <v>57</v>
      </c>
      <c r="L894" s="3" t="s">
        <v>58</v>
      </c>
      <c r="M894" s="4">
        <v>470.95</v>
      </c>
    </row>
    <row r="895">
      <c r="A895" s="2">
        <v>45431</v>
      </c>
      <c r="B8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5" s="3" t="str">
        <f>YEAR(KMART_DATA[[#This Row],[Date]])&amp;"-"&amp;TEXT(MONTH(KMART_DATA[[#This Row],[Date]]),"00")</f>
        <v>2024-05</v>
      </c>
      <c r="D895" s="3" t="s">
        <v>28</v>
      </c>
      <c r="E895" s="3" t="s">
        <v>201</v>
      </c>
      <c r="F895" s="3" t="s">
        <v>10</v>
      </c>
      <c r="G8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895" s="3" t="s">
        <v>202</v>
      </c>
      <c r="I895" s="3" t="s">
        <v>31</v>
      </c>
      <c r="J895" s="3" t="s">
        <v>89</v>
      </c>
      <c r="K895" s="3" t="s">
        <v>71</v>
      </c>
      <c r="L895" s="3" t="s">
        <v>72</v>
      </c>
      <c r="M895" s="4">
        <v>884.32</v>
      </c>
    </row>
    <row r="896">
      <c r="A896" s="2">
        <v>45431</v>
      </c>
      <c r="B8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6" s="3" t="str">
        <f>YEAR(KMART_DATA[[#This Row],[Date]])&amp;"-"&amp;TEXT(MONTH(KMART_DATA[[#This Row],[Date]]),"00")</f>
        <v>2024-05</v>
      </c>
      <c r="D896" s="3" t="s">
        <v>28</v>
      </c>
      <c r="E896" s="3" t="s">
        <v>219</v>
      </c>
      <c r="F896" s="3" t="s">
        <v>11</v>
      </c>
      <c r="G8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96" s="3" t="s">
        <v>220</v>
      </c>
      <c r="I896" s="3" t="s">
        <v>31</v>
      </c>
      <c r="J896" s="3" t="s">
        <v>56</v>
      </c>
      <c r="K896" s="3" t="s">
        <v>95</v>
      </c>
      <c r="L896" s="3" t="s">
        <v>96</v>
      </c>
      <c r="M896" s="4">
        <v>7049.45</v>
      </c>
    </row>
    <row r="897">
      <c r="A897" s="2">
        <v>45432</v>
      </c>
      <c r="B8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7" s="3" t="str">
        <f>YEAR(KMART_DATA[[#This Row],[Date]])&amp;"-"&amp;TEXT(MONTH(KMART_DATA[[#This Row],[Date]]),"00")</f>
        <v>2024-05</v>
      </c>
      <c r="D897" s="3" t="s">
        <v>45</v>
      </c>
      <c r="E897" s="3" t="s">
        <v>181</v>
      </c>
      <c r="F897" s="3" t="s">
        <v>11</v>
      </c>
      <c r="G8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97" s="3" t="s">
        <v>182</v>
      </c>
      <c r="I897" s="3" t="s">
        <v>31</v>
      </c>
      <c r="J897" s="3" t="s">
        <v>56</v>
      </c>
      <c r="K897" s="3" t="s">
        <v>46</v>
      </c>
      <c r="L897" s="3" t="s">
        <v>47</v>
      </c>
      <c r="M897" s="4">
        <v>103.92</v>
      </c>
    </row>
    <row r="898">
      <c r="A898" s="2">
        <v>45432</v>
      </c>
      <c r="B8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8" s="3" t="str">
        <f>YEAR(KMART_DATA[[#This Row],[Date]])&amp;"-"&amp;TEXT(MONTH(KMART_DATA[[#This Row],[Date]]),"00")</f>
        <v>2024-05</v>
      </c>
      <c r="D898" s="3" t="s">
        <v>45</v>
      </c>
      <c r="E898" s="3" t="s">
        <v>127</v>
      </c>
      <c r="F898" s="3" t="s">
        <v>11</v>
      </c>
      <c r="G8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898" s="3" t="s">
        <v>128</v>
      </c>
      <c r="I898" s="3" t="s">
        <v>31</v>
      </c>
      <c r="J898" s="3" t="s">
        <v>78</v>
      </c>
      <c r="K898" s="3" t="s">
        <v>95</v>
      </c>
      <c r="L898" s="3" t="s">
        <v>96</v>
      </c>
      <c r="M898" s="4">
        <v>710.89</v>
      </c>
    </row>
    <row r="899">
      <c r="A899" s="2">
        <v>45432</v>
      </c>
      <c r="B8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899" s="3" t="str">
        <f>YEAR(KMART_DATA[[#This Row],[Date]])&amp;"-"&amp;TEXT(MONTH(KMART_DATA[[#This Row],[Date]]),"00")</f>
        <v>2024-05</v>
      </c>
      <c r="D899" s="3" t="s">
        <v>28</v>
      </c>
      <c r="E899" s="3" t="s">
        <v>183</v>
      </c>
      <c r="F899" s="3" t="s">
        <v>9</v>
      </c>
      <c r="G8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899" s="3" t="s">
        <v>184</v>
      </c>
      <c r="I899" s="3" t="s">
        <v>31</v>
      </c>
      <c r="J899" s="3" t="s">
        <v>70</v>
      </c>
      <c r="K899" s="3" t="s">
        <v>57</v>
      </c>
      <c r="L899" s="3" t="s">
        <v>58</v>
      </c>
      <c r="M899" s="4">
        <v>1068.93</v>
      </c>
    </row>
    <row r="900">
      <c r="A900" s="2">
        <v>45433</v>
      </c>
      <c r="B9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0" s="3" t="str">
        <f>YEAR(KMART_DATA[[#This Row],[Date]])&amp;"-"&amp;TEXT(MONTH(KMART_DATA[[#This Row],[Date]]),"00")</f>
        <v>2024-05</v>
      </c>
      <c r="D900" s="3" t="s">
        <v>28</v>
      </c>
      <c r="E900" s="3" t="s">
        <v>64</v>
      </c>
      <c r="F900" s="3" t="s">
        <v>11</v>
      </c>
      <c r="G9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00" s="3" t="s">
        <v>65</v>
      </c>
      <c r="I900" s="3" t="s">
        <v>31</v>
      </c>
      <c r="J900" s="3" t="s">
        <v>61</v>
      </c>
      <c r="K900" s="3" t="s">
        <v>46</v>
      </c>
      <c r="L900" s="3" t="s">
        <v>47</v>
      </c>
      <c r="M900" s="4">
        <v>25.98</v>
      </c>
    </row>
    <row r="901">
      <c r="A901" s="2">
        <v>45433</v>
      </c>
      <c r="B9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1" s="3" t="str">
        <f>YEAR(KMART_DATA[[#This Row],[Date]])&amp;"-"&amp;TEXT(MONTH(KMART_DATA[[#This Row],[Date]]),"00")</f>
        <v>2024-05</v>
      </c>
      <c r="D901" s="3" t="s">
        <v>28</v>
      </c>
      <c r="E901" s="3" t="s">
        <v>154</v>
      </c>
      <c r="F901" s="3" t="s">
        <v>11</v>
      </c>
      <c r="G9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01" s="3" t="s">
        <v>155</v>
      </c>
      <c r="I901" s="3" t="s">
        <v>31</v>
      </c>
      <c r="J901" s="3" t="s">
        <v>84</v>
      </c>
      <c r="K901" s="3" t="s">
        <v>112</v>
      </c>
      <c r="L901" s="3" t="s">
        <v>113</v>
      </c>
      <c r="M901" s="4">
        <v>43.9</v>
      </c>
    </row>
    <row r="902">
      <c r="A902" s="2">
        <v>45433</v>
      </c>
      <c r="B9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2" s="3" t="str">
        <f>YEAR(KMART_DATA[[#This Row],[Date]])&amp;"-"&amp;TEXT(MONTH(KMART_DATA[[#This Row],[Date]]),"00")</f>
        <v>2024-05</v>
      </c>
      <c r="D902" s="3" t="s">
        <v>28</v>
      </c>
      <c r="E902" s="3" t="s">
        <v>139</v>
      </c>
      <c r="F902" s="3" t="s">
        <v>10</v>
      </c>
      <c r="G9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02" s="3" t="s">
        <v>140</v>
      </c>
      <c r="I902" s="3" t="s">
        <v>31</v>
      </c>
      <c r="J902" s="3" t="s">
        <v>89</v>
      </c>
      <c r="K902" s="3" t="s">
        <v>66</v>
      </c>
      <c r="L902" s="3" t="s">
        <v>67</v>
      </c>
      <c r="M902" s="4">
        <v>164.26</v>
      </c>
    </row>
    <row r="903">
      <c r="A903" s="2">
        <v>45433</v>
      </c>
      <c r="B9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3" s="3" t="str">
        <f>YEAR(KMART_DATA[[#This Row],[Date]])&amp;"-"&amp;TEXT(MONTH(KMART_DATA[[#This Row],[Date]]),"00")</f>
        <v>2024-05</v>
      </c>
      <c r="D903" s="3" t="s">
        <v>28</v>
      </c>
      <c r="E903" s="3" t="s">
        <v>48</v>
      </c>
      <c r="F903" s="3" t="s">
        <v>12</v>
      </c>
      <c r="G9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03" s="3" t="s">
        <v>49</v>
      </c>
      <c r="I903" s="3" t="s">
        <v>31</v>
      </c>
      <c r="J903" s="3" t="s">
        <v>50</v>
      </c>
      <c r="K903" s="3" t="s">
        <v>43</v>
      </c>
      <c r="L903" s="3" t="s">
        <v>44</v>
      </c>
      <c r="M903" s="4">
        <v>239.83</v>
      </c>
    </row>
    <row r="904">
      <c r="A904" s="2">
        <v>45433</v>
      </c>
      <c r="B9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4" s="3" t="str">
        <f>YEAR(KMART_DATA[[#This Row],[Date]])&amp;"-"&amp;TEXT(MONTH(KMART_DATA[[#This Row],[Date]]),"00")</f>
        <v>2024-05</v>
      </c>
      <c r="D904" s="3" t="s">
        <v>28</v>
      </c>
      <c r="E904" s="3" t="s">
        <v>191</v>
      </c>
      <c r="F904" s="3" t="s">
        <v>10</v>
      </c>
      <c r="G9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04" s="3" t="s">
        <v>192</v>
      </c>
      <c r="I904" s="3" t="s">
        <v>31</v>
      </c>
      <c r="J904" s="3" t="s">
        <v>120</v>
      </c>
      <c r="K904" s="3" t="s">
        <v>43</v>
      </c>
      <c r="L904" s="3" t="s">
        <v>44</v>
      </c>
      <c r="M904" s="4">
        <v>257.29</v>
      </c>
    </row>
    <row r="905">
      <c r="A905" s="2">
        <v>45433</v>
      </c>
      <c r="B9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5" s="3" t="str">
        <f>YEAR(KMART_DATA[[#This Row],[Date]])&amp;"-"&amp;TEXT(MONTH(KMART_DATA[[#This Row],[Date]]),"00")</f>
        <v>2024-05</v>
      </c>
      <c r="D905" s="3" t="s">
        <v>28</v>
      </c>
      <c r="E905" s="3" t="s">
        <v>97</v>
      </c>
      <c r="F905" s="3" t="s">
        <v>9</v>
      </c>
      <c r="G9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05" s="3" t="s">
        <v>98</v>
      </c>
      <c r="I905" s="3" t="s">
        <v>31</v>
      </c>
      <c r="J905" s="3" t="s">
        <v>99</v>
      </c>
      <c r="K905" s="3" t="s">
        <v>38</v>
      </c>
      <c r="L905" s="3" t="s">
        <v>39</v>
      </c>
      <c r="M905" s="4">
        <v>299.78</v>
      </c>
    </row>
    <row r="906">
      <c r="A906" s="2">
        <v>45433</v>
      </c>
      <c r="B9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6" s="3" t="str">
        <f>YEAR(KMART_DATA[[#This Row],[Date]])&amp;"-"&amp;TEXT(MONTH(KMART_DATA[[#This Row],[Date]]),"00")</f>
        <v>2024-05</v>
      </c>
      <c r="D906" s="3" t="s">
        <v>28</v>
      </c>
      <c r="E906" s="3" t="s">
        <v>232</v>
      </c>
      <c r="F906" s="3" t="s">
        <v>9</v>
      </c>
      <c r="G9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06" s="3" t="s">
        <v>233</v>
      </c>
      <c r="I906" s="3" t="s">
        <v>31</v>
      </c>
      <c r="J906" s="3" t="s">
        <v>75</v>
      </c>
      <c r="K906" s="3" t="s">
        <v>43</v>
      </c>
      <c r="L906" s="3" t="s">
        <v>44</v>
      </c>
      <c r="M906" s="4">
        <v>452.97</v>
      </c>
    </row>
    <row r="907">
      <c r="A907" s="2">
        <v>45434</v>
      </c>
      <c r="B9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7" s="3" t="str">
        <f>YEAR(KMART_DATA[[#This Row],[Date]])&amp;"-"&amp;TEXT(MONTH(KMART_DATA[[#This Row],[Date]]),"00")</f>
        <v>2024-05</v>
      </c>
      <c r="D907" s="3" t="s">
        <v>28</v>
      </c>
      <c r="E907" s="3" t="s">
        <v>232</v>
      </c>
      <c r="F907" s="3" t="s">
        <v>9</v>
      </c>
      <c r="G9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07" s="3" t="s">
        <v>233</v>
      </c>
      <c r="I907" s="3" t="s">
        <v>31</v>
      </c>
      <c r="J907" s="3" t="s">
        <v>75</v>
      </c>
      <c r="K907" s="3" t="s">
        <v>33</v>
      </c>
      <c r="L907" s="3" t="s">
        <v>34</v>
      </c>
      <c r="M907" s="4">
        <v>1.0</v>
      </c>
    </row>
    <row r="908">
      <c r="A908" s="2">
        <v>45434</v>
      </c>
      <c r="B9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8" s="3" t="str">
        <f>YEAR(KMART_DATA[[#This Row],[Date]])&amp;"-"&amp;TEXT(MONTH(KMART_DATA[[#This Row],[Date]]),"00")</f>
        <v>2024-05</v>
      </c>
      <c r="D908" s="3" t="s">
        <v>28</v>
      </c>
      <c r="E908" s="3" t="s">
        <v>189</v>
      </c>
      <c r="F908" s="3" t="s">
        <v>9</v>
      </c>
      <c r="G9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08" s="3" t="s">
        <v>190</v>
      </c>
      <c r="I908" s="3" t="s">
        <v>31</v>
      </c>
      <c r="J908" s="3" t="s">
        <v>81</v>
      </c>
      <c r="K908" s="3" t="s">
        <v>71</v>
      </c>
      <c r="L908" s="3" t="s">
        <v>72</v>
      </c>
      <c r="M908" s="4">
        <v>285.74</v>
      </c>
    </row>
    <row r="909">
      <c r="A909" s="2">
        <v>45434</v>
      </c>
      <c r="B9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09" s="3" t="str">
        <f>YEAR(KMART_DATA[[#This Row],[Date]])&amp;"-"&amp;TEXT(MONTH(KMART_DATA[[#This Row],[Date]]),"00")</f>
        <v>2024-05</v>
      </c>
      <c r="D909" s="3" t="s">
        <v>28</v>
      </c>
      <c r="E909" s="3" t="s">
        <v>154</v>
      </c>
      <c r="F909" s="3" t="s">
        <v>11</v>
      </c>
      <c r="G9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09" s="3" t="s">
        <v>155</v>
      </c>
      <c r="I909" s="3" t="s">
        <v>31</v>
      </c>
      <c r="J909" s="3" t="s">
        <v>84</v>
      </c>
      <c r="K909" s="3" t="s">
        <v>112</v>
      </c>
      <c r="L909" s="3" t="s">
        <v>113</v>
      </c>
      <c r="M909" s="4">
        <v>299.5</v>
      </c>
    </row>
    <row r="910">
      <c r="A910" s="2">
        <v>45434</v>
      </c>
      <c r="B9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0" s="3" t="str">
        <f>YEAR(KMART_DATA[[#This Row],[Date]])&amp;"-"&amp;TEXT(MONTH(KMART_DATA[[#This Row],[Date]]),"00")</f>
        <v>2024-05</v>
      </c>
      <c r="D910" s="3" t="s">
        <v>28</v>
      </c>
      <c r="E910" s="3" t="s">
        <v>211</v>
      </c>
      <c r="F910" s="3" t="s">
        <v>9</v>
      </c>
      <c r="G9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10" s="3" t="s">
        <v>212</v>
      </c>
      <c r="I910" s="3" t="s">
        <v>31</v>
      </c>
      <c r="J910" s="3" t="s">
        <v>75</v>
      </c>
      <c r="K910" s="3" t="s">
        <v>112</v>
      </c>
      <c r="L910" s="3" t="s">
        <v>113</v>
      </c>
      <c r="M910" s="4">
        <v>382.07</v>
      </c>
    </row>
    <row r="911">
      <c r="A911" s="2">
        <v>45434</v>
      </c>
      <c r="B9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1" s="3" t="str">
        <f>YEAR(KMART_DATA[[#This Row],[Date]])&amp;"-"&amp;TEXT(MONTH(KMART_DATA[[#This Row],[Date]]),"00")</f>
        <v>2024-05</v>
      </c>
      <c r="D911" s="3" t="s">
        <v>28</v>
      </c>
      <c r="E911" s="3" t="s">
        <v>29</v>
      </c>
      <c r="F911" s="3" t="s">
        <v>11</v>
      </c>
      <c r="G9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11" s="3" t="s">
        <v>30</v>
      </c>
      <c r="I911" s="3" t="s">
        <v>31</v>
      </c>
      <c r="J911" s="3" t="s">
        <v>32</v>
      </c>
      <c r="K911" s="3" t="s">
        <v>57</v>
      </c>
      <c r="L911" s="3" t="s">
        <v>58</v>
      </c>
      <c r="M911" s="4">
        <v>390.86</v>
      </c>
    </row>
    <row r="912">
      <c r="A912" s="2">
        <v>45434</v>
      </c>
      <c r="B9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2" s="3" t="str">
        <f>YEAR(KMART_DATA[[#This Row],[Date]])&amp;"-"&amp;TEXT(MONTH(KMART_DATA[[#This Row],[Date]]),"00")</f>
        <v>2024-05</v>
      </c>
      <c r="D912" s="3" t="s">
        <v>28</v>
      </c>
      <c r="E912" s="3" t="s">
        <v>35</v>
      </c>
      <c r="F912" s="3" t="s">
        <v>10</v>
      </c>
      <c r="G9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12" s="3" t="s">
        <v>36</v>
      </c>
      <c r="I912" s="3" t="s">
        <v>31</v>
      </c>
      <c r="J912" s="3" t="s">
        <v>37</v>
      </c>
      <c r="K912" s="3" t="s">
        <v>46</v>
      </c>
      <c r="L912" s="3" t="s">
        <v>47</v>
      </c>
      <c r="M912" s="4">
        <v>544.09</v>
      </c>
    </row>
    <row r="913">
      <c r="A913" s="2">
        <v>45435</v>
      </c>
      <c r="B9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3" s="3" t="str">
        <f>YEAR(KMART_DATA[[#This Row],[Date]])&amp;"-"&amp;TEXT(MONTH(KMART_DATA[[#This Row],[Date]]),"00")</f>
        <v>2024-05</v>
      </c>
      <c r="D913" s="3" t="s">
        <v>28</v>
      </c>
      <c r="E913" s="3" t="s">
        <v>85</v>
      </c>
      <c r="F913" s="3" t="s">
        <v>9</v>
      </c>
      <c r="G9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13" s="3" t="s">
        <v>86</v>
      </c>
      <c r="I913" s="3" t="s">
        <v>31</v>
      </c>
      <c r="J913" s="3" t="s">
        <v>81</v>
      </c>
      <c r="K913" s="3" t="s">
        <v>46</v>
      </c>
      <c r="L913" s="3" t="s">
        <v>47</v>
      </c>
      <c r="M913" s="4">
        <v>20.98</v>
      </c>
    </row>
    <row r="914">
      <c r="A914" s="2">
        <v>45435</v>
      </c>
      <c r="B9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4" s="3" t="str">
        <f>YEAR(KMART_DATA[[#This Row],[Date]])&amp;"-"&amp;TEXT(MONTH(KMART_DATA[[#This Row],[Date]]),"00")</f>
        <v>2024-05</v>
      </c>
      <c r="D914" s="3" t="s">
        <v>28</v>
      </c>
      <c r="E914" s="3" t="s">
        <v>141</v>
      </c>
      <c r="F914" s="3" t="s">
        <v>9</v>
      </c>
      <c r="G9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14" s="3" t="s">
        <v>142</v>
      </c>
      <c r="I914" s="3" t="s">
        <v>31</v>
      </c>
      <c r="J914" s="3" t="s">
        <v>107</v>
      </c>
      <c r="K914" s="3" t="s">
        <v>43</v>
      </c>
      <c r="L914" s="3" t="s">
        <v>44</v>
      </c>
      <c r="M914" s="4">
        <v>25.98</v>
      </c>
    </row>
    <row r="915">
      <c r="A915" s="2">
        <v>45435</v>
      </c>
      <c r="B9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5" s="3" t="str">
        <f>YEAR(KMART_DATA[[#This Row],[Date]])&amp;"-"&amp;TEXT(MONTH(KMART_DATA[[#This Row],[Date]]),"00")</f>
        <v>2024-05</v>
      </c>
      <c r="D915" s="3" t="s">
        <v>28</v>
      </c>
      <c r="E915" s="3" t="s">
        <v>197</v>
      </c>
      <c r="F915" s="3" t="s">
        <v>9</v>
      </c>
      <c r="G9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15" s="3" t="s">
        <v>198</v>
      </c>
      <c r="I915" s="3" t="s">
        <v>31</v>
      </c>
      <c r="J915" s="3" t="s">
        <v>107</v>
      </c>
      <c r="K915" s="3" t="s">
        <v>46</v>
      </c>
      <c r="L915" s="3" t="s">
        <v>47</v>
      </c>
      <c r="M915" s="4">
        <v>33.98</v>
      </c>
    </row>
    <row r="916">
      <c r="A916" s="2">
        <v>45435</v>
      </c>
      <c r="B9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6" s="3" t="str">
        <f>YEAR(KMART_DATA[[#This Row],[Date]])&amp;"-"&amp;TEXT(MONTH(KMART_DATA[[#This Row],[Date]]),"00")</f>
        <v>2024-05</v>
      </c>
      <c r="D916" s="3" t="s">
        <v>28</v>
      </c>
      <c r="E916" s="3" t="s">
        <v>90</v>
      </c>
      <c r="F916" s="3" t="s">
        <v>10</v>
      </c>
      <c r="G9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16" s="3" t="s">
        <v>91</v>
      </c>
      <c r="I916" s="3" t="s">
        <v>31</v>
      </c>
      <c r="J916" s="3" t="s">
        <v>37</v>
      </c>
      <c r="K916" s="3" t="s">
        <v>33</v>
      </c>
      <c r="L916" s="3" t="s">
        <v>34</v>
      </c>
      <c r="M916" s="4">
        <v>41.93</v>
      </c>
    </row>
    <row r="917">
      <c r="A917" s="2">
        <v>45435</v>
      </c>
      <c r="B9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7" s="3" t="str">
        <f>YEAR(KMART_DATA[[#This Row],[Date]])&amp;"-"&amp;TEXT(MONTH(KMART_DATA[[#This Row],[Date]]),"00")</f>
        <v>2024-05</v>
      </c>
      <c r="D917" s="3" t="s">
        <v>28</v>
      </c>
      <c r="E917" s="3" t="s">
        <v>258</v>
      </c>
      <c r="F917" s="3" t="s">
        <v>14</v>
      </c>
      <c r="G9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917" s="3" t="s">
        <v>259</v>
      </c>
      <c r="I917" s="3" t="s">
        <v>31</v>
      </c>
      <c r="J917" s="3" t="s">
        <v>145</v>
      </c>
      <c r="K917" s="3" t="s">
        <v>43</v>
      </c>
      <c r="L917" s="3" t="s">
        <v>44</v>
      </c>
      <c r="M917" s="4">
        <v>61.96</v>
      </c>
    </row>
    <row r="918">
      <c r="A918" s="2">
        <v>45435</v>
      </c>
      <c r="B9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8" s="3" t="str">
        <f>YEAR(KMART_DATA[[#This Row],[Date]])&amp;"-"&amp;TEXT(MONTH(KMART_DATA[[#This Row],[Date]]),"00")</f>
        <v>2024-05</v>
      </c>
      <c r="D918" s="3" t="s">
        <v>28</v>
      </c>
      <c r="E918" s="3" t="s">
        <v>240</v>
      </c>
      <c r="F918" s="3" t="s">
        <v>15</v>
      </c>
      <c r="G9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918" s="3" t="s">
        <v>241</v>
      </c>
      <c r="I918" s="3" t="s">
        <v>31</v>
      </c>
      <c r="J918" s="3" t="s">
        <v>53</v>
      </c>
      <c r="K918" s="3" t="s">
        <v>71</v>
      </c>
      <c r="L918" s="3" t="s">
        <v>72</v>
      </c>
      <c r="M918" s="4">
        <v>102.81</v>
      </c>
    </row>
    <row r="919">
      <c r="A919" s="2">
        <v>45435</v>
      </c>
      <c r="B9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19" s="3" t="str">
        <f>YEAR(KMART_DATA[[#This Row],[Date]])&amp;"-"&amp;TEXT(MONTH(KMART_DATA[[#This Row],[Date]]),"00")</f>
        <v>2024-05</v>
      </c>
      <c r="D919" s="3" t="s">
        <v>45</v>
      </c>
      <c r="E919" s="3" t="s">
        <v>87</v>
      </c>
      <c r="F919" s="3" t="s">
        <v>10</v>
      </c>
      <c r="G9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19" s="3" t="s">
        <v>88</v>
      </c>
      <c r="I919" s="3" t="s">
        <v>31</v>
      </c>
      <c r="J919" s="3" t="s">
        <v>89</v>
      </c>
      <c r="K919" s="3" t="s">
        <v>95</v>
      </c>
      <c r="L919" s="3" t="s">
        <v>96</v>
      </c>
      <c r="M919" s="4">
        <v>205.77</v>
      </c>
    </row>
    <row r="920">
      <c r="A920" s="2">
        <v>45435</v>
      </c>
      <c r="B9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0" s="3" t="str">
        <f>YEAR(KMART_DATA[[#This Row],[Date]])&amp;"-"&amp;TEXT(MONTH(KMART_DATA[[#This Row],[Date]]),"00")</f>
        <v>2024-05</v>
      </c>
      <c r="D920" s="3" t="s">
        <v>28</v>
      </c>
      <c r="E920" s="3" t="s">
        <v>114</v>
      </c>
      <c r="F920" s="3" t="s">
        <v>9</v>
      </c>
      <c r="G9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20" s="3" t="s">
        <v>115</v>
      </c>
      <c r="I920" s="3" t="s">
        <v>31</v>
      </c>
      <c r="J920" s="3" t="s">
        <v>99</v>
      </c>
      <c r="K920" s="3" t="s">
        <v>71</v>
      </c>
      <c r="L920" s="3" t="s">
        <v>72</v>
      </c>
      <c r="M920" s="4">
        <v>898.7</v>
      </c>
    </row>
    <row r="921">
      <c r="A921" s="2">
        <v>45436</v>
      </c>
      <c r="B9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1" s="3" t="str">
        <f>YEAR(KMART_DATA[[#This Row],[Date]])&amp;"-"&amp;TEXT(MONTH(KMART_DATA[[#This Row],[Date]]),"00")</f>
        <v>2024-05</v>
      </c>
      <c r="D921" s="3" t="s">
        <v>28</v>
      </c>
      <c r="E921" s="3" t="s">
        <v>146</v>
      </c>
      <c r="F921" s="3" t="s">
        <v>9</v>
      </c>
      <c r="G9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21" s="3" t="s">
        <v>147</v>
      </c>
      <c r="I921" s="3" t="s">
        <v>31</v>
      </c>
      <c r="J921" s="3" t="s">
        <v>75</v>
      </c>
      <c r="K921" s="3" t="s">
        <v>43</v>
      </c>
      <c r="L921" s="3" t="s">
        <v>44</v>
      </c>
      <c r="M921" s="4">
        <v>8.0</v>
      </c>
    </row>
    <row r="922">
      <c r="A922" s="2">
        <v>45436</v>
      </c>
      <c r="B9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2" s="3" t="str">
        <f>YEAR(KMART_DATA[[#This Row],[Date]])&amp;"-"&amp;TEXT(MONTH(KMART_DATA[[#This Row],[Date]]),"00")</f>
        <v>2024-05</v>
      </c>
      <c r="D922" s="3" t="s">
        <v>45</v>
      </c>
      <c r="E922" s="3" t="s">
        <v>185</v>
      </c>
      <c r="F922" s="3" t="s">
        <v>12</v>
      </c>
      <c r="G9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22" s="3" t="s">
        <v>186</v>
      </c>
      <c r="I922" s="3" t="s">
        <v>31</v>
      </c>
      <c r="J922" s="3" t="s">
        <v>162</v>
      </c>
      <c r="K922" s="3" t="s">
        <v>33</v>
      </c>
      <c r="L922" s="3" t="s">
        <v>34</v>
      </c>
      <c r="M922" s="4">
        <v>23.94</v>
      </c>
    </row>
    <row r="923">
      <c r="A923" s="2">
        <v>45436</v>
      </c>
      <c r="B9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3" s="3" t="str">
        <f>YEAR(KMART_DATA[[#This Row],[Date]])&amp;"-"&amp;TEXT(MONTH(KMART_DATA[[#This Row],[Date]]),"00")</f>
        <v>2024-05</v>
      </c>
      <c r="D923" s="3" t="s">
        <v>45</v>
      </c>
      <c r="E923" s="3" t="s">
        <v>195</v>
      </c>
      <c r="F923" s="3" t="s">
        <v>11</v>
      </c>
      <c r="G9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23" s="3" t="s">
        <v>196</v>
      </c>
      <c r="I923" s="3" t="s">
        <v>31</v>
      </c>
      <c r="J923" s="3" t="s">
        <v>32</v>
      </c>
      <c r="K923" s="3" t="s">
        <v>38</v>
      </c>
      <c r="L923" s="3" t="s">
        <v>39</v>
      </c>
      <c r="M923" s="4">
        <v>86.88</v>
      </c>
    </row>
    <row r="924">
      <c r="A924" s="2">
        <v>45436</v>
      </c>
      <c r="B9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4" s="3" t="str">
        <f>YEAR(KMART_DATA[[#This Row],[Date]])&amp;"-"&amp;TEXT(MONTH(KMART_DATA[[#This Row],[Date]]),"00")</f>
        <v>2024-05</v>
      </c>
      <c r="D924" s="3" t="s">
        <v>28</v>
      </c>
      <c r="E924" s="3" t="s">
        <v>97</v>
      </c>
      <c r="F924" s="3" t="s">
        <v>9</v>
      </c>
      <c r="G9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24" s="3" t="s">
        <v>98</v>
      </c>
      <c r="I924" s="3" t="s">
        <v>31</v>
      </c>
      <c r="J924" s="3" t="s">
        <v>99</v>
      </c>
      <c r="K924" s="3" t="s">
        <v>38</v>
      </c>
      <c r="L924" s="3" t="s">
        <v>39</v>
      </c>
      <c r="M924" s="4">
        <v>120.79</v>
      </c>
    </row>
    <row r="925">
      <c r="A925" s="2">
        <v>45436</v>
      </c>
      <c r="B9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5" s="3" t="str">
        <f>YEAR(KMART_DATA[[#This Row],[Date]])&amp;"-"&amp;TEXT(MONTH(KMART_DATA[[#This Row],[Date]]),"00")</f>
        <v>2024-05</v>
      </c>
      <c r="D925" s="3" t="s">
        <v>45</v>
      </c>
      <c r="E925" s="3" t="s">
        <v>148</v>
      </c>
      <c r="F925" s="3" t="s">
        <v>12</v>
      </c>
      <c r="G9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25" s="3" t="s">
        <v>149</v>
      </c>
      <c r="I925" s="3" t="s">
        <v>31</v>
      </c>
      <c r="J925" s="3" t="s">
        <v>50</v>
      </c>
      <c r="K925" s="3" t="s">
        <v>57</v>
      </c>
      <c r="L925" s="3" t="s">
        <v>58</v>
      </c>
      <c r="M925" s="4">
        <v>1857.12</v>
      </c>
    </row>
    <row r="926">
      <c r="A926" s="2">
        <v>45437</v>
      </c>
      <c r="B9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6" s="3" t="str">
        <f>YEAR(KMART_DATA[[#This Row],[Date]])&amp;"-"&amp;TEXT(MONTH(KMART_DATA[[#This Row],[Date]]),"00")</f>
        <v>2024-05</v>
      </c>
      <c r="D926" s="3" t="s">
        <v>28</v>
      </c>
      <c r="E926" s="3" t="s">
        <v>40</v>
      </c>
      <c r="F926" s="3" t="s">
        <v>13</v>
      </c>
      <c r="G9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926" s="3" t="s">
        <v>41</v>
      </c>
      <c r="I926" s="3" t="s">
        <v>31</v>
      </c>
      <c r="J926" s="3" t="s">
        <v>42</v>
      </c>
      <c r="K926" s="3" t="s">
        <v>112</v>
      </c>
      <c r="L926" s="3" t="s">
        <v>113</v>
      </c>
      <c r="M926" s="4">
        <v>51.96</v>
      </c>
    </row>
    <row r="927">
      <c r="A927" s="2">
        <v>45437</v>
      </c>
      <c r="B9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7" s="3" t="str">
        <f>YEAR(KMART_DATA[[#This Row],[Date]])&amp;"-"&amp;TEXT(MONTH(KMART_DATA[[#This Row],[Date]]),"00")</f>
        <v>2024-05</v>
      </c>
      <c r="D927" s="3" t="s">
        <v>45</v>
      </c>
      <c r="E927" s="3" t="s">
        <v>82</v>
      </c>
      <c r="F927" s="3" t="s">
        <v>11</v>
      </c>
      <c r="G9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27" s="3" t="s">
        <v>83</v>
      </c>
      <c r="I927" s="3" t="s">
        <v>31</v>
      </c>
      <c r="J927" s="3" t="s">
        <v>84</v>
      </c>
      <c r="K927" s="3" t="s">
        <v>43</v>
      </c>
      <c r="L927" s="3" t="s">
        <v>44</v>
      </c>
      <c r="M927" s="4">
        <v>95.56</v>
      </c>
    </row>
    <row r="928">
      <c r="A928" s="2">
        <v>45437</v>
      </c>
      <c r="B9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8" s="3" t="str">
        <f>YEAR(KMART_DATA[[#This Row],[Date]])&amp;"-"&amp;TEXT(MONTH(KMART_DATA[[#This Row],[Date]]),"00")</f>
        <v>2024-05</v>
      </c>
      <c r="D928" s="3" t="s">
        <v>28</v>
      </c>
      <c r="E928" s="3" t="s">
        <v>131</v>
      </c>
      <c r="F928" s="3" t="s">
        <v>11</v>
      </c>
      <c r="G9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28" s="3" t="s">
        <v>132</v>
      </c>
      <c r="I928" s="3" t="s">
        <v>31</v>
      </c>
      <c r="J928" s="3" t="s">
        <v>32</v>
      </c>
      <c r="K928" s="3" t="s">
        <v>38</v>
      </c>
      <c r="L928" s="3" t="s">
        <v>39</v>
      </c>
      <c r="M928" s="4">
        <v>458.36</v>
      </c>
    </row>
    <row r="929">
      <c r="A929" s="2">
        <v>45437</v>
      </c>
      <c r="B9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29" s="3" t="str">
        <f>YEAR(KMART_DATA[[#This Row],[Date]])&amp;"-"&amp;TEXT(MONTH(KMART_DATA[[#This Row],[Date]]),"00")</f>
        <v>2024-05</v>
      </c>
      <c r="D929" s="3" t="s">
        <v>28</v>
      </c>
      <c r="E929" s="3" t="s">
        <v>187</v>
      </c>
      <c r="F929" s="3" t="s">
        <v>11</v>
      </c>
      <c r="G9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29" s="3" t="s">
        <v>188</v>
      </c>
      <c r="I929" s="3" t="s">
        <v>31</v>
      </c>
      <c r="J929" s="3" t="s">
        <v>78</v>
      </c>
      <c r="K929" s="3" t="s">
        <v>71</v>
      </c>
      <c r="L929" s="3" t="s">
        <v>72</v>
      </c>
      <c r="M929" s="4">
        <v>665.93</v>
      </c>
    </row>
    <row r="930">
      <c r="A930" s="2">
        <v>45438</v>
      </c>
      <c r="B9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0" s="3" t="str">
        <f>YEAR(KMART_DATA[[#This Row],[Date]])&amp;"-"&amp;TEXT(MONTH(KMART_DATA[[#This Row],[Date]]),"00")</f>
        <v>2024-05</v>
      </c>
      <c r="D930" s="3" t="s">
        <v>28</v>
      </c>
      <c r="E930" s="3" t="s">
        <v>262</v>
      </c>
      <c r="F930" s="3" t="s">
        <v>10</v>
      </c>
      <c r="G9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30" s="3" t="s">
        <v>263</v>
      </c>
      <c r="I930" s="3" t="s">
        <v>31</v>
      </c>
      <c r="J930" s="3" t="s">
        <v>120</v>
      </c>
      <c r="K930" s="3" t="s">
        <v>95</v>
      </c>
      <c r="L930" s="3" t="s">
        <v>96</v>
      </c>
      <c r="M930" s="4">
        <v>11.99</v>
      </c>
    </row>
    <row r="931">
      <c r="A931" s="2">
        <v>45438</v>
      </c>
      <c r="B9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1" s="3" t="str">
        <f>YEAR(KMART_DATA[[#This Row],[Date]])&amp;"-"&amp;TEXT(MONTH(KMART_DATA[[#This Row],[Date]]),"00")</f>
        <v>2024-05</v>
      </c>
      <c r="D931" s="3" t="s">
        <v>45</v>
      </c>
      <c r="E931" s="3" t="s">
        <v>116</v>
      </c>
      <c r="F931" s="3" t="s">
        <v>9</v>
      </c>
      <c r="G9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31" s="3" t="s">
        <v>117</v>
      </c>
      <c r="I931" s="3" t="s">
        <v>31</v>
      </c>
      <c r="J931" s="3" t="s">
        <v>70</v>
      </c>
      <c r="K931" s="3" t="s">
        <v>43</v>
      </c>
      <c r="L931" s="3" t="s">
        <v>44</v>
      </c>
      <c r="M931" s="4">
        <v>70.25</v>
      </c>
    </row>
    <row r="932">
      <c r="A932" s="2">
        <v>45438</v>
      </c>
      <c r="B9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2" s="3" t="str">
        <f>YEAR(KMART_DATA[[#This Row],[Date]])&amp;"-"&amp;TEXT(MONTH(KMART_DATA[[#This Row],[Date]]),"00")</f>
        <v>2024-05</v>
      </c>
      <c r="D932" s="3" t="s">
        <v>45</v>
      </c>
      <c r="E932" s="3" t="s">
        <v>110</v>
      </c>
      <c r="F932" s="3" t="s">
        <v>9</v>
      </c>
      <c r="G9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32" s="3" t="s">
        <v>111</v>
      </c>
      <c r="I932" s="3" t="s">
        <v>31</v>
      </c>
      <c r="J932" s="3" t="s">
        <v>81</v>
      </c>
      <c r="K932" s="3" t="s">
        <v>57</v>
      </c>
      <c r="L932" s="3" t="s">
        <v>58</v>
      </c>
      <c r="M932" s="4">
        <v>76.95</v>
      </c>
    </row>
    <row r="933">
      <c r="A933" s="2">
        <v>45438</v>
      </c>
      <c r="B9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3" s="3" t="str">
        <f>YEAR(KMART_DATA[[#This Row],[Date]])&amp;"-"&amp;TEXT(MONTH(KMART_DATA[[#This Row],[Date]]),"00")</f>
        <v>2024-05</v>
      </c>
      <c r="D933" s="3" t="s">
        <v>28</v>
      </c>
      <c r="E933" s="3" t="s">
        <v>148</v>
      </c>
      <c r="F933" s="3" t="s">
        <v>12</v>
      </c>
      <c r="G9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33" s="3" t="s">
        <v>149</v>
      </c>
      <c r="I933" s="3" t="s">
        <v>31</v>
      </c>
      <c r="J933" s="3" t="s">
        <v>50</v>
      </c>
      <c r="K933" s="3" t="s">
        <v>57</v>
      </c>
      <c r="L933" s="3" t="s">
        <v>58</v>
      </c>
      <c r="M933" s="4">
        <v>86.43</v>
      </c>
    </row>
    <row r="934">
      <c r="A934" s="2">
        <v>45438</v>
      </c>
      <c r="B9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4" s="3" t="str">
        <f>YEAR(KMART_DATA[[#This Row],[Date]])&amp;"-"&amp;TEXT(MONTH(KMART_DATA[[#This Row],[Date]]),"00")</f>
        <v>2024-05</v>
      </c>
      <c r="D934" s="3" t="s">
        <v>45</v>
      </c>
      <c r="E934" s="3" t="s">
        <v>207</v>
      </c>
      <c r="F934" s="3" t="s">
        <v>11</v>
      </c>
      <c r="G9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34" s="3" t="s">
        <v>208</v>
      </c>
      <c r="I934" s="3" t="s">
        <v>31</v>
      </c>
      <c r="J934" s="3" t="s">
        <v>78</v>
      </c>
      <c r="K934" s="3" t="s">
        <v>123</v>
      </c>
      <c r="L934" s="3" t="s">
        <v>124</v>
      </c>
      <c r="M934" s="4">
        <v>294.5</v>
      </c>
    </row>
    <row r="935">
      <c r="A935" s="2">
        <v>45439</v>
      </c>
      <c r="B9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5" s="3" t="str">
        <f>YEAR(KMART_DATA[[#This Row],[Date]])&amp;"-"&amp;TEXT(MONTH(KMART_DATA[[#This Row],[Date]]),"00")</f>
        <v>2024-05</v>
      </c>
      <c r="D935" s="3" t="s">
        <v>45</v>
      </c>
      <c r="E935" s="3" t="s">
        <v>201</v>
      </c>
      <c r="F935" s="3" t="s">
        <v>10</v>
      </c>
      <c r="G9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35" s="3" t="s">
        <v>202</v>
      </c>
      <c r="I935" s="3" t="s">
        <v>31</v>
      </c>
      <c r="J935" s="3" t="s">
        <v>89</v>
      </c>
      <c r="K935" s="3" t="s">
        <v>46</v>
      </c>
      <c r="L935" s="3" t="s">
        <v>47</v>
      </c>
      <c r="M935" s="4">
        <v>115.62</v>
      </c>
    </row>
    <row r="936">
      <c r="A936" s="2">
        <v>45439</v>
      </c>
      <c r="B9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6" s="3" t="str">
        <f>YEAR(KMART_DATA[[#This Row],[Date]])&amp;"-"&amp;TEXT(MONTH(KMART_DATA[[#This Row],[Date]]),"00")</f>
        <v>2024-05</v>
      </c>
      <c r="D936" s="3" t="s">
        <v>45</v>
      </c>
      <c r="E936" s="3" t="s">
        <v>82</v>
      </c>
      <c r="F936" s="3" t="s">
        <v>11</v>
      </c>
      <c r="G9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36" s="3" t="s">
        <v>83</v>
      </c>
      <c r="I936" s="3" t="s">
        <v>31</v>
      </c>
      <c r="J936" s="3" t="s">
        <v>84</v>
      </c>
      <c r="K936" s="3" t="s">
        <v>38</v>
      </c>
      <c r="L936" s="3" t="s">
        <v>39</v>
      </c>
      <c r="M936" s="4">
        <v>733.96</v>
      </c>
    </row>
    <row r="937">
      <c r="A937" s="2">
        <v>45439</v>
      </c>
      <c r="B9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7" s="3" t="str">
        <f>YEAR(KMART_DATA[[#This Row],[Date]])&amp;"-"&amp;TEXT(MONTH(KMART_DATA[[#This Row],[Date]]),"00")</f>
        <v>2024-05</v>
      </c>
      <c r="D937" s="3" t="s">
        <v>28</v>
      </c>
      <c r="E937" s="3" t="s">
        <v>171</v>
      </c>
      <c r="F937" s="3" t="s">
        <v>10</v>
      </c>
      <c r="G9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37" s="3" t="s">
        <v>172</v>
      </c>
      <c r="I937" s="3" t="s">
        <v>31</v>
      </c>
      <c r="J937" s="3" t="s">
        <v>37</v>
      </c>
      <c r="K937" s="3" t="s">
        <v>95</v>
      </c>
      <c r="L937" s="3" t="s">
        <v>96</v>
      </c>
      <c r="M937" s="4">
        <v>815.31</v>
      </c>
    </row>
    <row r="938">
      <c r="A938" s="2">
        <v>45439</v>
      </c>
      <c r="B9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8" s="3" t="str">
        <f>YEAR(KMART_DATA[[#This Row],[Date]])&amp;"-"&amp;TEXT(MONTH(KMART_DATA[[#This Row],[Date]]),"00")</f>
        <v>2024-05</v>
      </c>
      <c r="D938" s="3" t="s">
        <v>28</v>
      </c>
      <c r="E938" s="3" t="s">
        <v>114</v>
      </c>
      <c r="F938" s="3" t="s">
        <v>9</v>
      </c>
      <c r="G9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38" s="3" t="s">
        <v>115</v>
      </c>
      <c r="I938" s="3" t="s">
        <v>31</v>
      </c>
      <c r="J938" s="3" t="s">
        <v>99</v>
      </c>
      <c r="K938" s="3" t="s">
        <v>43</v>
      </c>
      <c r="L938" s="3" t="s">
        <v>44</v>
      </c>
      <c r="M938" s="4">
        <v>866.43</v>
      </c>
    </row>
    <row r="939">
      <c r="A939" s="2">
        <v>45439</v>
      </c>
      <c r="B9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39" s="3" t="str">
        <f>YEAR(KMART_DATA[[#This Row],[Date]])&amp;"-"&amp;TEXT(MONTH(KMART_DATA[[#This Row],[Date]]),"00")</f>
        <v>2024-05</v>
      </c>
      <c r="D939" s="3" t="s">
        <v>28</v>
      </c>
      <c r="E939" s="3" t="s">
        <v>183</v>
      </c>
      <c r="F939" s="3" t="s">
        <v>9</v>
      </c>
      <c r="G9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39" s="3" t="s">
        <v>184</v>
      </c>
      <c r="I939" s="3" t="s">
        <v>31</v>
      </c>
      <c r="J939" s="3" t="s">
        <v>70</v>
      </c>
      <c r="K939" s="3" t="s">
        <v>71</v>
      </c>
      <c r="L939" s="3" t="s">
        <v>72</v>
      </c>
      <c r="M939" s="4">
        <v>1574.01</v>
      </c>
    </row>
    <row r="940">
      <c r="A940" s="2">
        <v>45439</v>
      </c>
      <c r="B9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0" s="3" t="str">
        <f>YEAR(KMART_DATA[[#This Row],[Date]])&amp;"-"&amp;TEXT(MONTH(KMART_DATA[[#This Row],[Date]]),"00")</f>
        <v>2024-05</v>
      </c>
      <c r="D940" s="3" t="s">
        <v>45</v>
      </c>
      <c r="E940" s="3" t="s">
        <v>129</v>
      </c>
      <c r="F940" s="3" t="s">
        <v>10</v>
      </c>
      <c r="G9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40" s="3" t="s">
        <v>130</v>
      </c>
      <c r="I940" s="3" t="s">
        <v>31</v>
      </c>
      <c r="J940" s="3" t="s">
        <v>120</v>
      </c>
      <c r="K940" s="3" t="s">
        <v>95</v>
      </c>
      <c r="L940" s="3" t="s">
        <v>96</v>
      </c>
      <c r="M940" s="4">
        <v>6701.99</v>
      </c>
    </row>
    <row r="941">
      <c r="A941" s="2">
        <v>45440</v>
      </c>
      <c r="B9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1" s="3" t="str">
        <f>YEAR(KMART_DATA[[#This Row],[Date]])&amp;"-"&amp;TEXT(MONTH(KMART_DATA[[#This Row],[Date]]),"00")</f>
        <v>2024-05</v>
      </c>
      <c r="D941" s="3" t="s">
        <v>45</v>
      </c>
      <c r="E941" s="3" t="s">
        <v>225</v>
      </c>
      <c r="F941" s="3" t="s">
        <v>13</v>
      </c>
      <c r="G9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941" s="3" t="s">
        <v>226</v>
      </c>
      <c r="I941" s="3" t="s">
        <v>31</v>
      </c>
      <c r="J941" s="3" t="s">
        <v>227</v>
      </c>
      <c r="K941" s="3" t="s">
        <v>123</v>
      </c>
      <c r="L941" s="3" t="s">
        <v>124</v>
      </c>
      <c r="M941" s="4">
        <v>3.0</v>
      </c>
    </row>
    <row r="942">
      <c r="A942" s="2">
        <v>45440</v>
      </c>
      <c r="B9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2" s="3" t="str">
        <f>YEAR(KMART_DATA[[#This Row],[Date]])&amp;"-"&amp;TEXT(MONTH(KMART_DATA[[#This Row],[Date]]),"00")</f>
        <v>2024-05</v>
      </c>
      <c r="D942" s="3" t="s">
        <v>28</v>
      </c>
      <c r="E942" s="3" t="s">
        <v>169</v>
      </c>
      <c r="F942" s="3" t="s">
        <v>12</v>
      </c>
      <c r="G9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42" s="3" t="s">
        <v>170</v>
      </c>
      <c r="I942" s="3" t="s">
        <v>31</v>
      </c>
      <c r="J942" s="3" t="s">
        <v>102</v>
      </c>
      <c r="K942" s="3" t="s">
        <v>112</v>
      </c>
      <c r="L942" s="3" t="s">
        <v>113</v>
      </c>
      <c r="M942" s="4">
        <v>28.96</v>
      </c>
    </row>
    <row r="943">
      <c r="A943" s="2">
        <v>45440</v>
      </c>
      <c r="B9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3" s="3" t="str">
        <f>YEAR(KMART_DATA[[#This Row],[Date]])&amp;"-"&amp;TEXT(MONTH(KMART_DATA[[#This Row],[Date]]),"00")</f>
        <v>2024-05</v>
      </c>
      <c r="D943" s="3" t="s">
        <v>28</v>
      </c>
      <c r="E943" s="3" t="s">
        <v>183</v>
      </c>
      <c r="F943" s="3" t="s">
        <v>9</v>
      </c>
      <c r="G9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43" s="3" t="s">
        <v>184</v>
      </c>
      <c r="I943" s="3" t="s">
        <v>31</v>
      </c>
      <c r="J943" s="3" t="s">
        <v>70</v>
      </c>
      <c r="K943" s="3" t="s">
        <v>43</v>
      </c>
      <c r="L943" s="3" t="s">
        <v>44</v>
      </c>
      <c r="M943" s="4">
        <v>34.12</v>
      </c>
    </row>
    <row r="944">
      <c r="A944" s="2">
        <v>45440</v>
      </c>
      <c r="B9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4" s="3" t="str">
        <f>YEAR(KMART_DATA[[#This Row],[Date]])&amp;"-"&amp;TEXT(MONTH(KMART_DATA[[#This Row],[Date]]),"00")</f>
        <v>2024-05</v>
      </c>
      <c r="D944" s="3" t="s">
        <v>28</v>
      </c>
      <c r="E944" s="3" t="s">
        <v>127</v>
      </c>
      <c r="F944" s="3" t="s">
        <v>11</v>
      </c>
      <c r="G9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44" s="3" t="s">
        <v>128</v>
      </c>
      <c r="I944" s="3" t="s">
        <v>31</v>
      </c>
      <c r="J944" s="3" t="s">
        <v>78</v>
      </c>
      <c r="K944" s="3" t="s">
        <v>123</v>
      </c>
      <c r="L944" s="3" t="s">
        <v>124</v>
      </c>
      <c r="M944" s="4">
        <v>151.01</v>
      </c>
    </row>
    <row r="945">
      <c r="A945" s="2">
        <v>45441</v>
      </c>
      <c r="B9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5" s="3" t="str">
        <f>YEAR(KMART_DATA[[#This Row],[Date]])&amp;"-"&amp;TEXT(MONTH(KMART_DATA[[#This Row],[Date]]),"00")</f>
        <v>2024-05</v>
      </c>
      <c r="D945" s="3" t="s">
        <v>28</v>
      </c>
      <c r="E945" s="3" t="s">
        <v>244</v>
      </c>
      <c r="F945" s="3" t="s">
        <v>13</v>
      </c>
      <c r="G9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945" s="3" t="s">
        <v>245</v>
      </c>
      <c r="I945" s="3" t="s">
        <v>31</v>
      </c>
      <c r="J945" s="3" t="s">
        <v>42</v>
      </c>
      <c r="K945" s="3" t="s">
        <v>46</v>
      </c>
      <c r="L945" s="3" t="s">
        <v>47</v>
      </c>
      <c r="M945" s="4">
        <v>2.5</v>
      </c>
    </row>
    <row r="946">
      <c r="A946" s="2">
        <v>45441</v>
      </c>
      <c r="B9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6" s="3" t="str">
        <f>YEAR(KMART_DATA[[#This Row],[Date]])&amp;"-"&amp;TEXT(MONTH(KMART_DATA[[#This Row],[Date]]),"00")</f>
        <v>2024-05</v>
      </c>
      <c r="D946" s="3" t="s">
        <v>28</v>
      </c>
      <c r="E946" s="3" t="s">
        <v>260</v>
      </c>
      <c r="F946" s="3" t="s">
        <v>10</v>
      </c>
      <c r="G9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46" s="3" t="s">
        <v>261</v>
      </c>
      <c r="I946" s="3" t="s">
        <v>31</v>
      </c>
      <c r="J946" s="3" t="s">
        <v>89</v>
      </c>
      <c r="K946" s="3" t="s">
        <v>33</v>
      </c>
      <c r="L946" s="3" t="s">
        <v>34</v>
      </c>
      <c r="M946" s="4">
        <v>9.99</v>
      </c>
    </row>
    <row r="947">
      <c r="A947" s="2">
        <v>45441</v>
      </c>
      <c r="B9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7" s="3" t="str">
        <f>YEAR(KMART_DATA[[#This Row],[Date]])&amp;"-"&amp;TEXT(MONTH(KMART_DATA[[#This Row],[Date]]),"00")</f>
        <v>2024-05</v>
      </c>
      <c r="D947" s="3" t="s">
        <v>28</v>
      </c>
      <c r="E947" s="3" t="s">
        <v>137</v>
      </c>
      <c r="F947" s="3" t="s">
        <v>10</v>
      </c>
      <c r="G9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47" s="3" t="s">
        <v>138</v>
      </c>
      <c r="I947" s="3" t="s">
        <v>31</v>
      </c>
      <c r="J947" s="3" t="s">
        <v>89</v>
      </c>
      <c r="K947" s="3" t="s">
        <v>38</v>
      </c>
      <c r="L947" s="3" t="s">
        <v>39</v>
      </c>
      <c r="M947" s="4">
        <v>19.0</v>
      </c>
    </row>
    <row r="948">
      <c r="A948" s="2">
        <v>45441</v>
      </c>
      <c r="B9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8" s="3" t="str">
        <f>YEAR(KMART_DATA[[#This Row],[Date]])&amp;"-"&amp;TEXT(MONTH(KMART_DATA[[#This Row],[Date]]),"00")</f>
        <v>2024-05</v>
      </c>
      <c r="D948" s="3" t="s">
        <v>28</v>
      </c>
      <c r="E948" s="3" t="s">
        <v>150</v>
      </c>
      <c r="F948" s="3" t="s">
        <v>15</v>
      </c>
      <c r="G9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948" s="3" t="s">
        <v>151</v>
      </c>
      <c r="I948" s="3" t="s">
        <v>31</v>
      </c>
      <c r="J948" s="3" t="s">
        <v>53</v>
      </c>
      <c r="K948" s="3" t="s">
        <v>112</v>
      </c>
      <c r="L948" s="3" t="s">
        <v>113</v>
      </c>
      <c r="M948" s="4">
        <v>440.29</v>
      </c>
    </row>
    <row r="949">
      <c r="A949" s="2">
        <v>45442</v>
      </c>
      <c r="B9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49" s="3" t="str">
        <f>YEAR(KMART_DATA[[#This Row],[Date]])&amp;"-"&amp;TEXT(MONTH(KMART_DATA[[#This Row],[Date]]),"00")</f>
        <v>2024-05</v>
      </c>
      <c r="D949" s="3" t="s">
        <v>28</v>
      </c>
      <c r="E949" s="3" t="s">
        <v>179</v>
      </c>
      <c r="F949" s="3" t="s">
        <v>9</v>
      </c>
      <c r="G9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49" s="3" t="s">
        <v>180</v>
      </c>
      <c r="I949" s="3" t="s">
        <v>31</v>
      </c>
      <c r="J949" s="3" t="s">
        <v>99</v>
      </c>
      <c r="K949" s="3" t="s">
        <v>71</v>
      </c>
      <c r="L949" s="3" t="s">
        <v>72</v>
      </c>
      <c r="M949" s="4">
        <v>45.46</v>
      </c>
    </row>
    <row r="950">
      <c r="A950" s="2">
        <v>45442</v>
      </c>
      <c r="B9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0" s="3" t="str">
        <f>YEAR(KMART_DATA[[#This Row],[Date]])&amp;"-"&amp;TEXT(MONTH(KMART_DATA[[#This Row],[Date]]),"00")</f>
        <v>2024-05</v>
      </c>
      <c r="D950" s="3" t="s">
        <v>28</v>
      </c>
      <c r="E950" s="3" t="s">
        <v>185</v>
      </c>
      <c r="F950" s="3" t="s">
        <v>12</v>
      </c>
      <c r="G9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50" s="3" t="s">
        <v>186</v>
      </c>
      <c r="I950" s="3" t="s">
        <v>31</v>
      </c>
      <c r="J950" s="3" t="s">
        <v>162</v>
      </c>
      <c r="K950" s="3" t="s">
        <v>95</v>
      </c>
      <c r="L950" s="3" t="s">
        <v>96</v>
      </c>
      <c r="M950" s="4">
        <v>431.25</v>
      </c>
    </row>
    <row r="951">
      <c r="A951" s="2">
        <v>45442</v>
      </c>
      <c r="B9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1" s="3" t="str">
        <f>YEAR(KMART_DATA[[#This Row],[Date]])&amp;"-"&amp;TEXT(MONTH(KMART_DATA[[#This Row],[Date]]),"00")</f>
        <v>2024-05</v>
      </c>
      <c r="D951" s="3" t="s">
        <v>28</v>
      </c>
      <c r="E951" s="3" t="s">
        <v>165</v>
      </c>
      <c r="F951" s="3" t="s">
        <v>9</v>
      </c>
      <c r="G9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51" s="3" t="s">
        <v>166</v>
      </c>
      <c r="I951" s="3" t="s">
        <v>31</v>
      </c>
      <c r="J951" s="3" t="s">
        <v>99</v>
      </c>
      <c r="K951" s="3" t="s">
        <v>71</v>
      </c>
      <c r="L951" s="3" t="s">
        <v>72</v>
      </c>
      <c r="M951" s="4">
        <v>671.42</v>
      </c>
    </row>
    <row r="952">
      <c r="A952" s="2">
        <v>45442</v>
      </c>
      <c r="B9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2" s="3" t="str">
        <f>YEAR(KMART_DATA[[#This Row],[Date]])&amp;"-"&amp;TEXT(MONTH(KMART_DATA[[#This Row],[Date]]),"00")</f>
        <v>2024-05</v>
      </c>
      <c r="D952" s="3" t="s">
        <v>28</v>
      </c>
      <c r="E952" s="3" t="s">
        <v>139</v>
      </c>
      <c r="F952" s="3" t="s">
        <v>10</v>
      </c>
      <c r="G9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52" s="3" t="s">
        <v>140</v>
      </c>
      <c r="I952" s="3" t="s">
        <v>31</v>
      </c>
      <c r="J952" s="3" t="s">
        <v>89</v>
      </c>
      <c r="K952" s="3" t="s">
        <v>112</v>
      </c>
      <c r="L952" s="3" t="s">
        <v>113</v>
      </c>
      <c r="M952" s="4">
        <v>695.35</v>
      </c>
    </row>
    <row r="953">
      <c r="A953" s="2">
        <v>45442</v>
      </c>
      <c r="B9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3" s="3" t="str">
        <f>YEAR(KMART_DATA[[#This Row],[Date]])&amp;"-"&amp;TEXT(MONTH(KMART_DATA[[#This Row],[Date]]),"00")</f>
        <v>2024-05</v>
      </c>
      <c r="D953" s="3" t="s">
        <v>28</v>
      </c>
      <c r="E953" s="3" t="s">
        <v>181</v>
      </c>
      <c r="F953" s="3" t="s">
        <v>11</v>
      </c>
      <c r="G9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53" s="3" t="s">
        <v>182</v>
      </c>
      <c r="I953" s="3" t="s">
        <v>31</v>
      </c>
      <c r="J953" s="3" t="s">
        <v>56</v>
      </c>
      <c r="K953" s="3" t="s">
        <v>66</v>
      </c>
      <c r="L953" s="3" t="s">
        <v>67</v>
      </c>
      <c r="M953" s="4">
        <v>1093.68</v>
      </c>
    </row>
    <row r="954">
      <c r="A954" s="2">
        <v>45443</v>
      </c>
      <c r="B9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4" s="3" t="str">
        <f>YEAR(KMART_DATA[[#This Row],[Date]])&amp;"-"&amp;TEXT(MONTH(KMART_DATA[[#This Row],[Date]]),"00")</f>
        <v>2024-05</v>
      </c>
      <c r="D954" s="3" t="s">
        <v>28</v>
      </c>
      <c r="E954" s="3" t="s">
        <v>129</v>
      </c>
      <c r="F954" s="3" t="s">
        <v>10</v>
      </c>
      <c r="G9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54" s="3" t="s">
        <v>130</v>
      </c>
      <c r="I954" s="3" t="s">
        <v>31</v>
      </c>
      <c r="J954" s="3" t="s">
        <v>120</v>
      </c>
      <c r="K954" s="3" t="s">
        <v>43</v>
      </c>
      <c r="L954" s="3" t="s">
        <v>44</v>
      </c>
      <c r="M954" s="4">
        <v>8.97</v>
      </c>
    </row>
    <row r="955">
      <c r="A955" s="2">
        <v>45443</v>
      </c>
      <c r="B9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5" s="3" t="str">
        <f>YEAR(KMART_DATA[[#This Row],[Date]])&amp;"-"&amp;TEXT(MONTH(KMART_DATA[[#This Row],[Date]]),"00")</f>
        <v>2024-05</v>
      </c>
      <c r="D955" s="3" t="s">
        <v>45</v>
      </c>
      <c r="E955" s="3" t="s">
        <v>236</v>
      </c>
      <c r="F955" s="3" t="s">
        <v>12</v>
      </c>
      <c r="G9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55" s="3" t="s">
        <v>237</v>
      </c>
      <c r="I955" s="3" t="s">
        <v>31</v>
      </c>
      <c r="J955" s="3" t="s">
        <v>102</v>
      </c>
      <c r="K955" s="3" t="s">
        <v>38</v>
      </c>
      <c r="L955" s="3" t="s">
        <v>39</v>
      </c>
      <c r="M955" s="4">
        <v>63.92</v>
      </c>
    </row>
    <row r="956">
      <c r="A956" s="2">
        <v>45443</v>
      </c>
      <c r="B9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6" s="3" t="str">
        <f>YEAR(KMART_DATA[[#This Row],[Date]])&amp;"-"&amp;TEXT(MONTH(KMART_DATA[[#This Row],[Date]]),"00")</f>
        <v>2024-05</v>
      </c>
      <c r="D956" s="3" t="s">
        <v>28</v>
      </c>
      <c r="E956" s="3" t="s">
        <v>242</v>
      </c>
      <c r="F956" s="3" t="s">
        <v>10</v>
      </c>
      <c r="G9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56" s="3" t="s">
        <v>243</v>
      </c>
      <c r="I956" s="3" t="s">
        <v>31</v>
      </c>
      <c r="J956" s="3" t="s">
        <v>94</v>
      </c>
      <c r="K956" s="3" t="s">
        <v>38</v>
      </c>
      <c r="L956" s="3" t="s">
        <v>39</v>
      </c>
      <c r="M956" s="4">
        <v>107.78</v>
      </c>
    </row>
    <row r="957">
      <c r="A957" s="2">
        <v>45443</v>
      </c>
      <c r="B9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7" s="3" t="str">
        <f>YEAR(KMART_DATA[[#This Row],[Date]])&amp;"-"&amp;TEXT(MONTH(KMART_DATA[[#This Row],[Date]]),"00")</f>
        <v>2024-05</v>
      </c>
      <c r="D957" s="3" t="s">
        <v>28</v>
      </c>
      <c r="E957" s="3" t="s">
        <v>175</v>
      </c>
      <c r="F957" s="3" t="s">
        <v>16</v>
      </c>
      <c r="G9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957" s="3" t="s">
        <v>176</v>
      </c>
      <c r="I957" s="3" t="s">
        <v>31</v>
      </c>
      <c r="J957" s="3" t="s">
        <v>107</v>
      </c>
      <c r="K957" s="3" t="s">
        <v>123</v>
      </c>
      <c r="L957" s="3" t="s">
        <v>124</v>
      </c>
      <c r="M957" s="4">
        <v>164.96</v>
      </c>
    </row>
    <row r="958">
      <c r="A958" s="2">
        <v>45443</v>
      </c>
      <c r="B9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8" s="3" t="str">
        <f>YEAR(KMART_DATA[[#This Row],[Date]])&amp;"-"&amp;TEXT(MONTH(KMART_DATA[[#This Row],[Date]]),"00")</f>
        <v>2024-05</v>
      </c>
      <c r="D958" s="3" t="s">
        <v>28</v>
      </c>
      <c r="E958" s="3" t="s">
        <v>76</v>
      </c>
      <c r="F958" s="3" t="s">
        <v>11</v>
      </c>
      <c r="G9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58" s="3" t="s">
        <v>77</v>
      </c>
      <c r="I958" s="3" t="s">
        <v>31</v>
      </c>
      <c r="J958" s="3" t="s">
        <v>78</v>
      </c>
      <c r="K958" s="3" t="s">
        <v>71</v>
      </c>
      <c r="L958" s="3" t="s">
        <v>72</v>
      </c>
      <c r="M958" s="4">
        <v>481.2</v>
      </c>
    </row>
    <row r="959">
      <c r="A959" s="2">
        <v>45443</v>
      </c>
      <c r="B9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59" s="3" t="str">
        <f>YEAR(KMART_DATA[[#This Row],[Date]])&amp;"-"&amp;TEXT(MONTH(KMART_DATA[[#This Row],[Date]]),"00")</f>
        <v>2024-05</v>
      </c>
      <c r="D959" s="3" t="s">
        <v>45</v>
      </c>
      <c r="E959" s="3" t="s">
        <v>209</v>
      </c>
      <c r="F959" s="3" t="s">
        <v>9</v>
      </c>
      <c r="G9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59" s="3" t="s">
        <v>210</v>
      </c>
      <c r="I959" s="3" t="s">
        <v>31</v>
      </c>
      <c r="J959" s="3" t="s">
        <v>81</v>
      </c>
      <c r="K959" s="3" t="s">
        <v>71</v>
      </c>
      <c r="L959" s="3" t="s">
        <v>72</v>
      </c>
      <c r="M959" s="4">
        <v>1599.99</v>
      </c>
    </row>
    <row r="960">
      <c r="A960" s="2">
        <v>45443</v>
      </c>
      <c r="B9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0" s="3" t="str">
        <f>YEAR(KMART_DATA[[#This Row],[Date]])&amp;"-"&amp;TEXT(MONTH(KMART_DATA[[#This Row],[Date]]),"00")</f>
        <v>2024-05</v>
      </c>
      <c r="D960" s="3" t="s">
        <v>28</v>
      </c>
      <c r="E960" s="3" t="s">
        <v>197</v>
      </c>
      <c r="F960" s="3" t="s">
        <v>9</v>
      </c>
      <c r="G9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60" s="3" t="s">
        <v>198</v>
      </c>
      <c r="I960" s="3" t="s">
        <v>31</v>
      </c>
      <c r="J960" s="3" t="s">
        <v>107</v>
      </c>
      <c r="K960" s="3" t="s">
        <v>57</v>
      </c>
      <c r="L960" s="3" t="s">
        <v>58</v>
      </c>
      <c r="M960" s="4">
        <v>7520.87</v>
      </c>
    </row>
    <row r="961">
      <c r="A961" s="2">
        <v>45444</v>
      </c>
      <c r="B9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1" s="3" t="str">
        <f>YEAR(KMART_DATA[[#This Row],[Date]])&amp;"-"&amp;TEXT(MONTH(KMART_DATA[[#This Row],[Date]]),"00")</f>
        <v>2024-06</v>
      </c>
      <c r="D961" s="3" t="s">
        <v>28</v>
      </c>
      <c r="E961" s="3" t="s">
        <v>177</v>
      </c>
      <c r="F961" s="3" t="s">
        <v>12</v>
      </c>
      <c r="G9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61" s="3" t="s">
        <v>178</v>
      </c>
      <c r="I961" s="3" t="s">
        <v>31</v>
      </c>
      <c r="J961" s="3" t="s">
        <v>162</v>
      </c>
      <c r="K961" s="3" t="s">
        <v>33</v>
      </c>
      <c r="L961" s="3" t="s">
        <v>34</v>
      </c>
      <c r="M961" s="4">
        <v>6.0</v>
      </c>
    </row>
    <row r="962">
      <c r="A962" s="2">
        <v>45444</v>
      </c>
      <c r="B9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2" s="3" t="str">
        <f>YEAR(KMART_DATA[[#This Row],[Date]])&amp;"-"&amp;TEXT(MONTH(KMART_DATA[[#This Row],[Date]]),"00")</f>
        <v>2024-06</v>
      </c>
      <c r="D962" s="3" t="s">
        <v>28</v>
      </c>
      <c r="E962" s="3" t="s">
        <v>232</v>
      </c>
      <c r="F962" s="3" t="s">
        <v>9</v>
      </c>
      <c r="G9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62" s="3" t="s">
        <v>233</v>
      </c>
      <c r="I962" s="3" t="s">
        <v>31</v>
      </c>
      <c r="J962" s="3" t="s">
        <v>75</v>
      </c>
      <c r="K962" s="3" t="s">
        <v>71</v>
      </c>
      <c r="L962" s="3" t="s">
        <v>72</v>
      </c>
      <c r="M962" s="4">
        <v>11.0</v>
      </c>
    </row>
    <row r="963">
      <c r="A963" s="2">
        <v>45444</v>
      </c>
      <c r="B9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3" s="3" t="str">
        <f>YEAR(KMART_DATA[[#This Row],[Date]])&amp;"-"&amp;TEXT(MONTH(KMART_DATA[[#This Row],[Date]]),"00")</f>
        <v>2024-06</v>
      </c>
      <c r="D963" s="3" t="s">
        <v>45</v>
      </c>
      <c r="E963" s="3" t="s">
        <v>248</v>
      </c>
      <c r="F963" s="3" t="s">
        <v>12</v>
      </c>
      <c r="G9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63" s="3" t="s">
        <v>249</v>
      </c>
      <c r="I963" s="3" t="s">
        <v>31</v>
      </c>
      <c r="J963" s="3" t="s">
        <v>162</v>
      </c>
      <c r="K963" s="3" t="s">
        <v>38</v>
      </c>
      <c r="L963" s="3" t="s">
        <v>39</v>
      </c>
      <c r="M963" s="4">
        <v>11.97</v>
      </c>
    </row>
    <row r="964">
      <c r="A964" s="2">
        <v>45444</v>
      </c>
      <c r="B9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4" s="3" t="str">
        <f>YEAR(KMART_DATA[[#This Row],[Date]])&amp;"-"&amp;TEXT(MONTH(KMART_DATA[[#This Row],[Date]]),"00")</f>
        <v>2024-06</v>
      </c>
      <c r="D964" s="3" t="s">
        <v>45</v>
      </c>
      <c r="E964" s="3" t="s">
        <v>236</v>
      </c>
      <c r="F964" s="3" t="s">
        <v>12</v>
      </c>
      <c r="G9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64" s="3" t="s">
        <v>237</v>
      </c>
      <c r="I964" s="3" t="s">
        <v>31</v>
      </c>
      <c r="J964" s="3" t="s">
        <v>102</v>
      </c>
      <c r="K964" s="3" t="s">
        <v>43</v>
      </c>
      <c r="L964" s="3" t="s">
        <v>44</v>
      </c>
      <c r="M964" s="4">
        <v>54.97</v>
      </c>
    </row>
    <row r="965">
      <c r="A965" s="2">
        <v>45444</v>
      </c>
      <c r="B9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5" s="3" t="str">
        <f>YEAR(KMART_DATA[[#This Row],[Date]])&amp;"-"&amp;TEXT(MONTH(KMART_DATA[[#This Row],[Date]]),"00")</f>
        <v>2024-06</v>
      </c>
      <c r="D965" s="3" t="s">
        <v>45</v>
      </c>
      <c r="E965" s="3" t="s">
        <v>118</v>
      </c>
      <c r="F965" s="3" t="s">
        <v>10</v>
      </c>
      <c r="G9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65" s="3" t="s">
        <v>119</v>
      </c>
      <c r="I965" s="3" t="s">
        <v>31</v>
      </c>
      <c r="J965" s="3" t="s">
        <v>120</v>
      </c>
      <c r="K965" s="3" t="s">
        <v>46</v>
      </c>
      <c r="L965" s="3" t="s">
        <v>47</v>
      </c>
      <c r="M965" s="4">
        <v>108.91</v>
      </c>
    </row>
    <row r="966">
      <c r="A966" s="2">
        <v>45444</v>
      </c>
      <c r="B9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6" s="3" t="str">
        <f>YEAR(KMART_DATA[[#This Row],[Date]])&amp;"-"&amp;TEXT(MONTH(KMART_DATA[[#This Row],[Date]]),"00")</f>
        <v>2024-06</v>
      </c>
      <c r="D966" s="3" t="s">
        <v>45</v>
      </c>
      <c r="E966" s="3" t="s">
        <v>143</v>
      </c>
      <c r="F966" s="3" t="s">
        <v>14</v>
      </c>
      <c r="G9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966" s="3" t="s">
        <v>144</v>
      </c>
      <c r="I966" s="3" t="s">
        <v>31</v>
      </c>
      <c r="J966" s="3" t="s">
        <v>145</v>
      </c>
      <c r="K966" s="3" t="s">
        <v>95</v>
      </c>
      <c r="L966" s="3" t="s">
        <v>96</v>
      </c>
      <c r="M966" s="4">
        <v>429.02</v>
      </c>
    </row>
    <row r="967">
      <c r="A967" s="2">
        <v>45444</v>
      </c>
      <c r="B9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7" s="3" t="str">
        <f>YEAR(KMART_DATA[[#This Row],[Date]])&amp;"-"&amp;TEXT(MONTH(KMART_DATA[[#This Row],[Date]]),"00")</f>
        <v>2024-06</v>
      </c>
      <c r="D967" s="3" t="s">
        <v>28</v>
      </c>
      <c r="E967" s="3" t="s">
        <v>179</v>
      </c>
      <c r="F967" s="3" t="s">
        <v>9</v>
      </c>
      <c r="G9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67" s="3" t="s">
        <v>180</v>
      </c>
      <c r="I967" s="3" t="s">
        <v>31</v>
      </c>
      <c r="J967" s="3" t="s">
        <v>99</v>
      </c>
      <c r="K967" s="3" t="s">
        <v>38</v>
      </c>
      <c r="L967" s="3" t="s">
        <v>39</v>
      </c>
      <c r="M967" s="4">
        <v>450.48</v>
      </c>
    </row>
    <row r="968">
      <c r="A968" s="2">
        <v>45444</v>
      </c>
      <c r="B9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8" s="3" t="str">
        <f>YEAR(KMART_DATA[[#This Row],[Date]])&amp;"-"&amp;TEXT(MONTH(KMART_DATA[[#This Row],[Date]]),"00")</f>
        <v>2024-06</v>
      </c>
      <c r="D968" s="3" t="s">
        <v>28</v>
      </c>
      <c r="E968" s="3" t="s">
        <v>223</v>
      </c>
      <c r="F968" s="3" t="s">
        <v>10</v>
      </c>
      <c r="G9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68" s="3" t="s">
        <v>224</v>
      </c>
      <c r="I968" s="3" t="s">
        <v>31</v>
      </c>
      <c r="J968" s="3" t="s">
        <v>94</v>
      </c>
      <c r="K968" s="3" t="s">
        <v>123</v>
      </c>
      <c r="L968" s="3" t="s">
        <v>124</v>
      </c>
      <c r="M968" s="4">
        <v>602.7</v>
      </c>
    </row>
    <row r="969">
      <c r="A969" s="2">
        <v>45444</v>
      </c>
      <c r="B9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69" s="3" t="str">
        <f>YEAR(KMART_DATA[[#This Row],[Date]])&amp;"-"&amp;TEXT(MONTH(KMART_DATA[[#This Row],[Date]]),"00")</f>
        <v>2024-06</v>
      </c>
      <c r="D969" s="3" t="s">
        <v>28</v>
      </c>
      <c r="E969" s="3" t="s">
        <v>173</v>
      </c>
      <c r="F969" s="3" t="s">
        <v>11</v>
      </c>
      <c r="G9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69" s="3" t="s">
        <v>174</v>
      </c>
      <c r="I969" s="3" t="s">
        <v>31</v>
      </c>
      <c r="J969" s="3" t="s">
        <v>61</v>
      </c>
      <c r="K969" s="3" t="s">
        <v>57</v>
      </c>
      <c r="L969" s="3" t="s">
        <v>58</v>
      </c>
      <c r="M969" s="4">
        <v>630.22</v>
      </c>
    </row>
    <row r="970">
      <c r="A970" s="2">
        <v>45444</v>
      </c>
      <c r="B9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0" s="3" t="str">
        <f>YEAR(KMART_DATA[[#This Row],[Date]])&amp;"-"&amp;TEXT(MONTH(KMART_DATA[[#This Row],[Date]]),"00")</f>
        <v>2024-06</v>
      </c>
      <c r="D970" s="3" t="s">
        <v>28</v>
      </c>
      <c r="E970" s="3" t="s">
        <v>125</v>
      </c>
      <c r="F970" s="3" t="s">
        <v>10</v>
      </c>
      <c r="G9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70" s="3" t="s">
        <v>126</v>
      </c>
      <c r="I970" s="3" t="s">
        <v>31</v>
      </c>
      <c r="J970" s="3" t="s">
        <v>94</v>
      </c>
      <c r="K970" s="3" t="s">
        <v>95</v>
      </c>
      <c r="L970" s="3" t="s">
        <v>96</v>
      </c>
      <c r="M970" s="4">
        <v>643.35</v>
      </c>
    </row>
    <row r="971">
      <c r="A971" s="2">
        <v>45445</v>
      </c>
      <c r="B9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1" s="3" t="str">
        <f>YEAR(KMART_DATA[[#This Row],[Date]])&amp;"-"&amp;TEXT(MONTH(KMART_DATA[[#This Row],[Date]]),"00")</f>
        <v>2024-06</v>
      </c>
      <c r="D971" s="3" t="s">
        <v>28</v>
      </c>
      <c r="E971" s="3" t="s">
        <v>148</v>
      </c>
      <c r="F971" s="3" t="s">
        <v>12</v>
      </c>
      <c r="G9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71" s="3" t="s">
        <v>149</v>
      </c>
      <c r="I971" s="3" t="s">
        <v>31</v>
      </c>
      <c r="J971" s="3" t="s">
        <v>50</v>
      </c>
      <c r="K971" s="3" t="s">
        <v>38</v>
      </c>
      <c r="L971" s="3" t="s">
        <v>39</v>
      </c>
      <c r="M971" s="4">
        <v>62.62</v>
      </c>
    </row>
    <row r="972">
      <c r="A972" s="2">
        <v>45445</v>
      </c>
      <c r="B9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2" s="3" t="str">
        <f>YEAR(KMART_DATA[[#This Row],[Date]])&amp;"-"&amp;TEXT(MONTH(KMART_DATA[[#This Row],[Date]]),"00")</f>
        <v>2024-06</v>
      </c>
      <c r="D972" s="3" t="s">
        <v>28</v>
      </c>
      <c r="E972" s="3" t="s">
        <v>129</v>
      </c>
      <c r="F972" s="3" t="s">
        <v>10</v>
      </c>
      <c r="G9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72" s="3" t="s">
        <v>130</v>
      </c>
      <c r="I972" s="3" t="s">
        <v>31</v>
      </c>
      <c r="J972" s="3" t="s">
        <v>120</v>
      </c>
      <c r="K972" s="3" t="s">
        <v>43</v>
      </c>
      <c r="L972" s="3" t="s">
        <v>44</v>
      </c>
      <c r="M972" s="4">
        <v>131.18</v>
      </c>
    </row>
    <row r="973">
      <c r="A973" s="2">
        <v>45445</v>
      </c>
      <c r="B9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3" s="3" t="str">
        <f>YEAR(KMART_DATA[[#This Row],[Date]])&amp;"-"&amp;TEXT(MONTH(KMART_DATA[[#This Row],[Date]]),"00")</f>
        <v>2024-06</v>
      </c>
      <c r="D973" s="3" t="s">
        <v>45</v>
      </c>
      <c r="E973" s="3" t="s">
        <v>118</v>
      </c>
      <c r="F973" s="3" t="s">
        <v>10</v>
      </c>
      <c r="G9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73" s="3" t="s">
        <v>119</v>
      </c>
      <c r="I973" s="3" t="s">
        <v>31</v>
      </c>
      <c r="J973" s="3" t="s">
        <v>120</v>
      </c>
      <c r="K973" s="3" t="s">
        <v>38</v>
      </c>
      <c r="L973" s="3" t="s">
        <v>39</v>
      </c>
      <c r="M973" s="4">
        <v>165.71</v>
      </c>
    </row>
    <row r="974">
      <c r="A974" s="2">
        <v>45445</v>
      </c>
      <c r="B9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4" s="3" t="str">
        <f>YEAR(KMART_DATA[[#This Row],[Date]])&amp;"-"&amp;TEXT(MONTH(KMART_DATA[[#This Row],[Date]]),"00")</f>
        <v>2024-06</v>
      </c>
      <c r="D974" s="3" t="s">
        <v>28</v>
      </c>
      <c r="E974" s="3" t="s">
        <v>158</v>
      </c>
      <c r="F974" s="3" t="s">
        <v>11</v>
      </c>
      <c r="G9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74" s="3" t="s">
        <v>159</v>
      </c>
      <c r="I974" s="3" t="s">
        <v>31</v>
      </c>
      <c r="J974" s="3" t="s">
        <v>84</v>
      </c>
      <c r="K974" s="3" t="s">
        <v>95</v>
      </c>
      <c r="L974" s="3" t="s">
        <v>96</v>
      </c>
      <c r="M974" s="4">
        <v>561.67</v>
      </c>
    </row>
    <row r="975">
      <c r="A975" s="2">
        <v>45446</v>
      </c>
      <c r="B9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5" s="3" t="str">
        <f>YEAR(KMART_DATA[[#This Row],[Date]])&amp;"-"&amp;TEXT(MONTH(KMART_DATA[[#This Row],[Date]]),"00")</f>
        <v>2024-06</v>
      </c>
      <c r="D975" s="3" t="s">
        <v>28</v>
      </c>
      <c r="E975" s="3" t="s">
        <v>160</v>
      </c>
      <c r="F975" s="3" t="s">
        <v>12</v>
      </c>
      <c r="G9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75" s="3" t="s">
        <v>161</v>
      </c>
      <c r="I975" s="3" t="s">
        <v>31</v>
      </c>
      <c r="J975" s="3" t="s">
        <v>162</v>
      </c>
      <c r="K975" s="3" t="s">
        <v>33</v>
      </c>
      <c r="L975" s="3" t="s">
        <v>34</v>
      </c>
      <c r="M975" s="4">
        <v>4.99</v>
      </c>
    </row>
    <row r="976">
      <c r="A976" s="2">
        <v>45446</v>
      </c>
      <c r="B9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6" s="3" t="str">
        <f>YEAR(KMART_DATA[[#This Row],[Date]])&amp;"-"&amp;TEXT(MONTH(KMART_DATA[[#This Row],[Date]]),"00")</f>
        <v>2024-06</v>
      </c>
      <c r="D976" s="3" t="s">
        <v>28</v>
      </c>
      <c r="E976" s="3" t="s">
        <v>165</v>
      </c>
      <c r="F976" s="3" t="s">
        <v>9</v>
      </c>
      <c r="G9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76" s="3" t="s">
        <v>166</v>
      </c>
      <c r="I976" s="3" t="s">
        <v>31</v>
      </c>
      <c r="J976" s="3" t="s">
        <v>99</v>
      </c>
      <c r="K976" s="3" t="s">
        <v>95</v>
      </c>
      <c r="L976" s="3" t="s">
        <v>96</v>
      </c>
      <c r="M976" s="4">
        <v>13.98</v>
      </c>
    </row>
    <row r="977">
      <c r="A977" s="2">
        <v>45446</v>
      </c>
      <c r="B9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7" s="3" t="str">
        <f>YEAR(KMART_DATA[[#This Row],[Date]])&amp;"-"&amp;TEXT(MONTH(KMART_DATA[[#This Row],[Date]]),"00")</f>
        <v>2024-06</v>
      </c>
      <c r="D977" s="3" t="s">
        <v>45</v>
      </c>
      <c r="E977" s="3" t="s">
        <v>116</v>
      </c>
      <c r="F977" s="3" t="s">
        <v>9</v>
      </c>
      <c r="G9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77" s="3" t="s">
        <v>117</v>
      </c>
      <c r="I977" s="3" t="s">
        <v>31</v>
      </c>
      <c r="J977" s="3" t="s">
        <v>70</v>
      </c>
      <c r="K977" s="3" t="s">
        <v>123</v>
      </c>
      <c r="L977" s="3" t="s">
        <v>124</v>
      </c>
      <c r="M977" s="4">
        <v>327.47</v>
      </c>
    </row>
    <row r="978">
      <c r="A978" s="2">
        <v>45446</v>
      </c>
      <c r="B9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8" s="3" t="str">
        <f>YEAR(KMART_DATA[[#This Row],[Date]])&amp;"-"&amp;TEXT(MONTH(KMART_DATA[[#This Row],[Date]]),"00")</f>
        <v>2024-06</v>
      </c>
      <c r="D978" s="3" t="s">
        <v>28</v>
      </c>
      <c r="E978" s="3" t="s">
        <v>118</v>
      </c>
      <c r="F978" s="3" t="s">
        <v>10</v>
      </c>
      <c r="G9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78" s="3" t="s">
        <v>119</v>
      </c>
      <c r="I978" s="3" t="s">
        <v>31</v>
      </c>
      <c r="J978" s="3" t="s">
        <v>120</v>
      </c>
      <c r="K978" s="3" t="s">
        <v>43</v>
      </c>
      <c r="L978" s="3" t="s">
        <v>44</v>
      </c>
      <c r="M978" s="4">
        <v>595.03</v>
      </c>
    </row>
    <row r="979">
      <c r="A979" s="2">
        <v>45446</v>
      </c>
      <c r="B9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79" s="3" t="str">
        <f>YEAR(KMART_DATA[[#This Row],[Date]])&amp;"-"&amp;TEXT(MONTH(KMART_DATA[[#This Row],[Date]]),"00")</f>
        <v>2024-06</v>
      </c>
      <c r="D979" s="3" t="s">
        <v>28</v>
      </c>
      <c r="E979" s="3" t="s">
        <v>193</v>
      </c>
      <c r="F979" s="3" t="s">
        <v>9</v>
      </c>
      <c r="G9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79" s="3" t="s">
        <v>194</v>
      </c>
      <c r="I979" s="3" t="s">
        <v>31</v>
      </c>
      <c r="J979" s="3" t="s">
        <v>99</v>
      </c>
      <c r="K979" s="3" t="s">
        <v>57</v>
      </c>
      <c r="L979" s="3" t="s">
        <v>58</v>
      </c>
      <c r="M979" s="4">
        <v>3212.56</v>
      </c>
    </row>
    <row r="980">
      <c r="A980" s="2">
        <v>45446</v>
      </c>
      <c r="B9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0" s="3" t="str">
        <f>YEAR(KMART_DATA[[#This Row],[Date]])&amp;"-"&amp;TEXT(MONTH(KMART_DATA[[#This Row],[Date]]),"00")</f>
        <v>2024-06</v>
      </c>
      <c r="D980" s="3" t="s">
        <v>28</v>
      </c>
      <c r="E980" s="3" t="s">
        <v>108</v>
      </c>
      <c r="F980" s="3" t="s">
        <v>9</v>
      </c>
      <c r="G9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80" s="3" t="s">
        <v>109</v>
      </c>
      <c r="I980" s="3" t="s">
        <v>31</v>
      </c>
      <c r="J980" s="3" t="s">
        <v>75</v>
      </c>
      <c r="K980" s="3" t="s">
        <v>57</v>
      </c>
      <c r="L980" s="3" t="s">
        <v>58</v>
      </c>
      <c r="M980" s="4">
        <v>3355.05</v>
      </c>
    </row>
    <row r="981">
      <c r="A981" s="2">
        <v>45447</v>
      </c>
      <c r="B9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1" s="3" t="str">
        <f>YEAR(KMART_DATA[[#This Row],[Date]])&amp;"-"&amp;TEXT(MONTH(KMART_DATA[[#This Row],[Date]]),"00")</f>
        <v>2024-06</v>
      </c>
      <c r="D981" s="3" t="s">
        <v>28</v>
      </c>
      <c r="E981" s="3" t="s">
        <v>215</v>
      </c>
      <c r="F981" s="3" t="s">
        <v>15</v>
      </c>
      <c r="G9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981" s="3" t="s">
        <v>216</v>
      </c>
      <c r="I981" s="3" t="s">
        <v>31</v>
      </c>
      <c r="J981" s="3" t="s">
        <v>53</v>
      </c>
      <c r="K981" s="3" t="s">
        <v>57</v>
      </c>
      <c r="L981" s="3" t="s">
        <v>58</v>
      </c>
      <c r="M981" s="4">
        <v>1243.44</v>
      </c>
    </row>
    <row r="982">
      <c r="A982" s="2">
        <v>45447</v>
      </c>
      <c r="B9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2" s="3" t="str">
        <f>YEAR(KMART_DATA[[#This Row],[Date]])&amp;"-"&amp;TEXT(MONTH(KMART_DATA[[#This Row],[Date]]),"00")</f>
        <v>2024-06</v>
      </c>
      <c r="D982" s="3" t="s">
        <v>45</v>
      </c>
      <c r="E982" s="3" t="s">
        <v>179</v>
      </c>
      <c r="F982" s="3" t="s">
        <v>9</v>
      </c>
      <c r="G9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82" s="3" t="s">
        <v>180</v>
      </c>
      <c r="I982" s="3" t="s">
        <v>31</v>
      </c>
      <c r="J982" s="3" t="s">
        <v>99</v>
      </c>
      <c r="K982" s="3" t="s">
        <v>123</v>
      </c>
      <c r="L982" s="3" t="s">
        <v>124</v>
      </c>
      <c r="M982" s="4">
        <v>3351.82</v>
      </c>
    </row>
    <row r="983">
      <c r="A983" s="2">
        <v>45448</v>
      </c>
      <c r="B9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3" s="3" t="str">
        <f>YEAR(KMART_DATA[[#This Row],[Date]])&amp;"-"&amp;TEXT(MONTH(KMART_DATA[[#This Row],[Date]]),"00")</f>
        <v>2024-06</v>
      </c>
      <c r="D983" s="3" t="s">
        <v>28</v>
      </c>
      <c r="E983" s="3" t="s">
        <v>35</v>
      </c>
      <c r="F983" s="3" t="s">
        <v>10</v>
      </c>
      <c r="G9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83" s="3" t="s">
        <v>36</v>
      </c>
      <c r="I983" s="3" t="s">
        <v>31</v>
      </c>
      <c r="J983" s="3" t="s">
        <v>37</v>
      </c>
      <c r="K983" s="3" t="s">
        <v>33</v>
      </c>
      <c r="L983" s="3" t="s">
        <v>34</v>
      </c>
      <c r="M983" s="4">
        <v>9.99</v>
      </c>
    </row>
    <row r="984">
      <c r="A984" s="2">
        <v>45448</v>
      </c>
      <c r="B9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4" s="3" t="str">
        <f>YEAR(KMART_DATA[[#This Row],[Date]])&amp;"-"&amp;TEXT(MONTH(KMART_DATA[[#This Row],[Date]]),"00")</f>
        <v>2024-06</v>
      </c>
      <c r="D984" s="3" t="s">
        <v>45</v>
      </c>
      <c r="E984" s="3" t="s">
        <v>240</v>
      </c>
      <c r="F984" s="3" t="s">
        <v>15</v>
      </c>
      <c r="G9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984" s="3" t="s">
        <v>241</v>
      </c>
      <c r="I984" s="3" t="s">
        <v>31</v>
      </c>
      <c r="J984" s="3" t="s">
        <v>53</v>
      </c>
      <c r="K984" s="3" t="s">
        <v>33</v>
      </c>
      <c r="L984" s="3" t="s">
        <v>34</v>
      </c>
      <c r="M984" s="4">
        <v>167.49</v>
      </c>
    </row>
    <row r="985">
      <c r="A985" s="2">
        <v>45448</v>
      </c>
      <c r="B9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5" s="3" t="str">
        <f>YEAR(KMART_DATA[[#This Row],[Date]])&amp;"-"&amp;TEXT(MONTH(KMART_DATA[[#This Row],[Date]]),"00")</f>
        <v>2024-06</v>
      </c>
      <c r="D985" s="3" t="s">
        <v>28</v>
      </c>
      <c r="E985" s="3" t="s">
        <v>260</v>
      </c>
      <c r="F985" s="3" t="s">
        <v>10</v>
      </c>
      <c r="G9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85" s="3" t="s">
        <v>261</v>
      </c>
      <c r="I985" s="3" t="s">
        <v>31</v>
      </c>
      <c r="J985" s="3" t="s">
        <v>89</v>
      </c>
      <c r="K985" s="3" t="s">
        <v>43</v>
      </c>
      <c r="L985" s="3" t="s">
        <v>44</v>
      </c>
      <c r="M985" s="4">
        <v>395.63</v>
      </c>
    </row>
    <row r="986">
      <c r="A986" s="2">
        <v>45448</v>
      </c>
      <c r="B9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6" s="3" t="str">
        <f>YEAR(KMART_DATA[[#This Row],[Date]])&amp;"-"&amp;TEXT(MONTH(KMART_DATA[[#This Row],[Date]]),"00")</f>
        <v>2024-06</v>
      </c>
      <c r="D986" s="3" t="s">
        <v>45</v>
      </c>
      <c r="E986" s="3" t="s">
        <v>92</v>
      </c>
      <c r="F986" s="3" t="s">
        <v>10</v>
      </c>
      <c r="G9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86" s="3" t="s">
        <v>93</v>
      </c>
      <c r="I986" s="3" t="s">
        <v>31</v>
      </c>
      <c r="J986" s="3" t="s">
        <v>94</v>
      </c>
      <c r="K986" s="3" t="s">
        <v>46</v>
      </c>
      <c r="L986" s="3" t="s">
        <v>47</v>
      </c>
      <c r="M986" s="4">
        <v>415.96</v>
      </c>
    </row>
    <row r="987">
      <c r="A987" s="2">
        <v>45448</v>
      </c>
      <c r="B9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7" s="3" t="str">
        <f>YEAR(KMART_DATA[[#This Row],[Date]])&amp;"-"&amp;TEXT(MONTH(KMART_DATA[[#This Row],[Date]]),"00")</f>
        <v>2024-06</v>
      </c>
      <c r="D987" s="3" t="s">
        <v>28</v>
      </c>
      <c r="E987" s="3" t="s">
        <v>48</v>
      </c>
      <c r="F987" s="3" t="s">
        <v>12</v>
      </c>
      <c r="G9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987" s="3" t="s">
        <v>49</v>
      </c>
      <c r="I987" s="3" t="s">
        <v>31</v>
      </c>
      <c r="J987" s="3" t="s">
        <v>50</v>
      </c>
      <c r="K987" s="3" t="s">
        <v>71</v>
      </c>
      <c r="L987" s="3" t="s">
        <v>72</v>
      </c>
      <c r="M987" s="4">
        <v>451.99</v>
      </c>
    </row>
    <row r="988">
      <c r="A988" s="2">
        <v>45448</v>
      </c>
      <c r="B9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8" s="3" t="str">
        <f>YEAR(KMART_DATA[[#This Row],[Date]])&amp;"-"&amp;TEXT(MONTH(KMART_DATA[[#This Row],[Date]]),"00")</f>
        <v>2024-06</v>
      </c>
      <c r="D988" s="3" t="s">
        <v>45</v>
      </c>
      <c r="E988" s="3" t="s">
        <v>262</v>
      </c>
      <c r="F988" s="3" t="s">
        <v>10</v>
      </c>
      <c r="G9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88" s="3" t="s">
        <v>263</v>
      </c>
      <c r="I988" s="3" t="s">
        <v>31</v>
      </c>
      <c r="J988" s="3" t="s">
        <v>120</v>
      </c>
      <c r="K988" s="3" t="s">
        <v>112</v>
      </c>
      <c r="L988" s="3" t="s">
        <v>113</v>
      </c>
      <c r="M988" s="4">
        <v>690.15</v>
      </c>
    </row>
    <row r="989">
      <c r="A989" s="2">
        <v>45448</v>
      </c>
      <c r="B9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89" s="3" t="str">
        <f>YEAR(KMART_DATA[[#This Row],[Date]])&amp;"-"&amp;TEXT(MONTH(KMART_DATA[[#This Row],[Date]]),"00")</f>
        <v>2024-06</v>
      </c>
      <c r="D989" s="3" t="s">
        <v>28</v>
      </c>
      <c r="E989" s="3" t="s">
        <v>139</v>
      </c>
      <c r="F989" s="3" t="s">
        <v>10</v>
      </c>
      <c r="G9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89" s="3" t="s">
        <v>140</v>
      </c>
      <c r="I989" s="3" t="s">
        <v>31</v>
      </c>
      <c r="J989" s="3" t="s">
        <v>89</v>
      </c>
      <c r="K989" s="3" t="s">
        <v>57</v>
      </c>
      <c r="L989" s="3" t="s">
        <v>58</v>
      </c>
      <c r="M989" s="4">
        <v>1270.97</v>
      </c>
    </row>
    <row r="990">
      <c r="A990" s="2">
        <v>45448</v>
      </c>
      <c r="B9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0" s="3" t="str">
        <f>YEAR(KMART_DATA[[#This Row],[Date]])&amp;"-"&amp;TEXT(MONTH(KMART_DATA[[#This Row],[Date]]),"00")</f>
        <v>2024-06</v>
      </c>
      <c r="D990" s="3" t="s">
        <v>45</v>
      </c>
      <c r="E990" s="3" t="s">
        <v>256</v>
      </c>
      <c r="F990" s="3" t="s">
        <v>9</v>
      </c>
      <c r="G9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90" s="3" t="s">
        <v>257</v>
      </c>
      <c r="I990" s="3" t="s">
        <v>31</v>
      </c>
      <c r="J990" s="3" t="s">
        <v>70</v>
      </c>
      <c r="K990" s="3" t="s">
        <v>71</v>
      </c>
      <c r="L990" s="3" t="s">
        <v>72</v>
      </c>
      <c r="M990" s="4">
        <v>1354.81</v>
      </c>
    </row>
    <row r="991">
      <c r="A991" s="2">
        <v>45449</v>
      </c>
      <c r="B9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1" s="3" t="str">
        <f>YEAR(KMART_DATA[[#This Row],[Date]])&amp;"-"&amp;TEXT(MONTH(KMART_DATA[[#This Row],[Date]]),"00")</f>
        <v>2024-06</v>
      </c>
      <c r="D991" s="3" t="s">
        <v>28</v>
      </c>
      <c r="E991" s="3" t="s">
        <v>76</v>
      </c>
      <c r="F991" s="3" t="s">
        <v>11</v>
      </c>
      <c r="G9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91" s="3" t="s">
        <v>77</v>
      </c>
      <c r="I991" s="3" t="s">
        <v>31</v>
      </c>
      <c r="J991" s="3" t="s">
        <v>78</v>
      </c>
      <c r="K991" s="3" t="s">
        <v>71</v>
      </c>
      <c r="L991" s="3" t="s">
        <v>72</v>
      </c>
      <c r="M991" s="4">
        <v>37.0</v>
      </c>
    </row>
    <row r="992">
      <c r="A992" s="2">
        <v>45449</v>
      </c>
      <c r="B9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2" s="3" t="str">
        <f>YEAR(KMART_DATA[[#This Row],[Date]])&amp;"-"&amp;TEXT(MONTH(KMART_DATA[[#This Row],[Date]]),"00")</f>
        <v>2024-06</v>
      </c>
      <c r="D992" s="3" t="s">
        <v>28</v>
      </c>
      <c r="E992" s="3" t="s">
        <v>64</v>
      </c>
      <c r="F992" s="3" t="s">
        <v>11</v>
      </c>
      <c r="G9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92" s="3" t="s">
        <v>65</v>
      </c>
      <c r="I992" s="3" t="s">
        <v>31</v>
      </c>
      <c r="J992" s="3" t="s">
        <v>61</v>
      </c>
      <c r="K992" s="3" t="s">
        <v>43</v>
      </c>
      <c r="L992" s="3" t="s">
        <v>44</v>
      </c>
      <c r="M992" s="4">
        <v>1065.98</v>
      </c>
    </row>
    <row r="993">
      <c r="A993" s="2">
        <v>45449</v>
      </c>
      <c r="B9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3" s="3" t="str">
        <f>YEAR(KMART_DATA[[#This Row],[Date]])&amp;"-"&amp;TEXT(MONTH(KMART_DATA[[#This Row],[Date]]),"00")</f>
        <v>2024-06</v>
      </c>
      <c r="D993" s="3" t="s">
        <v>28</v>
      </c>
      <c r="E993" s="3" t="s">
        <v>260</v>
      </c>
      <c r="F993" s="3" t="s">
        <v>10</v>
      </c>
      <c r="G9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93" s="3" t="s">
        <v>261</v>
      </c>
      <c r="I993" s="3" t="s">
        <v>31</v>
      </c>
      <c r="J993" s="3" t="s">
        <v>89</v>
      </c>
      <c r="K993" s="3" t="s">
        <v>71</v>
      </c>
      <c r="L993" s="3" t="s">
        <v>72</v>
      </c>
      <c r="M993" s="4">
        <v>1854.48</v>
      </c>
    </row>
    <row r="994">
      <c r="A994" s="2">
        <v>45450</v>
      </c>
      <c r="B9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4" s="3" t="str">
        <f>YEAR(KMART_DATA[[#This Row],[Date]])&amp;"-"&amp;TEXT(MONTH(KMART_DATA[[#This Row],[Date]]),"00")</f>
        <v>2024-06</v>
      </c>
      <c r="D994" s="3" t="s">
        <v>28</v>
      </c>
      <c r="E994" s="3" t="s">
        <v>105</v>
      </c>
      <c r="F994" s="3" t="s">
        <v>9</v>
      </c>
      <c r="G9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94" s="3" t="s">
        <v>106</v>
      </c>
      <c r="I994" s="3" t="s">
        <v>31</v>
      </c>
      <c r="J994" s="3" t="s">
        <v>107</v>
      </c>
      <c r="K994" s="3" t="s">
        <v>43</v>
      </c>
      <c r="L994" s="3" t="s">
        <v>44</v>
      </c>
      <c r="M994" s="4">
        <v>10.9</v>
      </c>
    </row>
    <row r="995">
      <c r="A995" s="2">
        <v>45450</v>
      </c>
      <c r="B9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5" s="3" t="str">
        <f>YEAR(KMART_DATA[[#This Row],[Date]])&amp;"-"&amp;TEXT(MONTH(KMART_DATA[[#This Row],[Date]]),"00")</f>
        <v>2024-06</v>
      </c>
      <c r="D995" s="3" t="s">
        <v>28</v>
      </c>
      <c r="E995" s="3" t="s">
        <v>254</v>
      </c>
      <c r="F995" s="3" t="s">
        <v>13</v>
      </c>
      <c r="G9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995" s="3" t="s">
        <v>255</v>
      </c>
      <c r="I995" s="3" t="s">
        <v>31</v>
      </c>
      <c r="J995" s="3" t="s">
        <v>227</v>
      </c>
      <c r="K995" s="3" t="s">
        <v>46</v>
      </c>
      <c r="L995" s="3" t="s">
        <v>47</v>
      </c>
      <c r="M995" s="4">
        <v>21.0</v>
      </c>
    </row>
    <row r="996">
      <c r="A996" s="2">
        <v>45450</v>
      </c>
      <c r="B9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6" s="3" t="str">
        <f>YEAR(KMART_DATA[[#This Row],[Date]])&amp;"-"&amp;TEXT(MONTH(KMART_DATA[[#This Row],[Date]]),"00")</f>
        <v>2024-06</v>
      </c>
      <c r="D996" s="3" t="s">
        <v>45</v>
      </c>
      <c r="E996" s="3" t="s">
        <v>137</v>
      </c>
      <c r="F996" s="3" t="s">
        <v>10</v>
      </c>
      <c r="G9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996" s="3" t="s">
        <v>138</v>
      </c>
      <c r="I996" s="3" t="s">
        <v>31</v>
      </c>
      <c r="J996" s="3" t="s">
        <v>89</v>
      </c>
      <c r="K996" s="3" t="s">
        <v>33</v>
      </c>
      <c r="L996" s="3" t="s">
        <v>34</v>
      </c>
      <c r="M996" s="4">
        <v>22.94</v>
      </c>
    </row>
    <row r="997">
      <c r="A997" s="2">
        <v>45450</v>
      </c>
      <c r="B9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7" s="3" t="str">
        <f>YEAR(KMART_DATA[[#This Row],[Date]])&amp;"-"&amp;TEXT(MONTH(KMART_DATA[[#This Row],[Date]]),"00")</f>
        <v>2024-06</v>
      </c>
      <c r="D997" s="3" t="s">
        <v>28</v>
      </c>
      <c r="E997" s="3" t="s">
        <v>152</v>
      </c>
      <c r="F997" s="3" t="s">
        <v>11</v>
      </c>
      <c r="G9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997" s="3" t="s">
        <v>153</v>
      </c>
      <c r="I997" s="3" t="s">
        <v>31</v>
      </c>
      <c r="J997" s="3" t="s">
        <v>61</v>
      </c>
      <c r="K997" s="3" t="s">
        <v>95</v>
      </c>
      <c r="L997" s="3" t="s">
        <v>96</v>
      </c>
      <c r="M997" s="4">
        <v>798.52</v>
      </c>
    </row>
    <row r="998">
      <c r="A998" s="2">
        <v>45450</v>
      </c>
      <c r="B9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8" s="3" t="str">
        <f>YEAR(KMART_DATA[[#This Row],[Date]])&amp;"-"&amp;TEXT(MONTH(KMART_DATA[[#This Row],[Date]]),"00")</f>
        <v>2024-06</v>
      </c>
      <c r="D998" s="3" t="s">
        <v>45</v>
      </c>
      <c r="E998" s="3" t="s">
        <v>189</v>
      </c>
      <c r="F998" s="3" t="s">
        <v>9</v>
      </c>
      <c r="G9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98" s="3" t="s">
        <v>190</v>
      </c>
      <c r="I998" s="3" t="s">
        <v>31</v>
      </c>
      <c r="J998" s="3" t="s">
        <v>81</v>
      </c>
      <c r="K998" s="3" t="s">
        <v>71</v>
      </c>
      <c r="L998" s="3" t="s">
        <v>72</v>
      </c>
      <c r="M998" s="4">
        <v>975.42</v>
      </c>
    </row>
    <row r="999">
      <c r="A999" s="2">
        <v>45450</v>
      </c>
      <c r="B9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999" s="3" t="str">
        <f>YEAR(KMART_DATA[[#This Row],[Date]])&amp;"-"&amp;TEXT(MONTH(KMART_DATA[[#This Row],[Date]]),"00")</f>
        <v>2024-06</v>
      </c>
      <c r="D999" s="3" t="s">
        <v>28</v>
      </c>
      <c r="E999" s="3" t="s">
        <v>197</v>
      </c>
      <c r="F999" s="3" t="s">
        <v>9</v>
      </c>
      <c r="G9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999" s="3" t="s">
        <v>198</v>
      </c>
      <c r="I999" s="3" t="s">
        <v>31</v>
      </c>
      <c r="J999" s="3" t="s">
        <v>107</v>
      </c>
      <c r="K999" s="3" t="s">
        <v>46</v>
      </c>
      <c r="L999" s="3" t="s">
        <v>47</v>
      </c>
      <c r="M999" s="4">
        <v>6061.11</v>
      </c>
    </row>
    <row r="1000">
      <c r="A1000" s="2">
        <v>45451</v>
      </c>
      <c r="B10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0" s="3" t="str">
        <f>YEAR(KMART_DATA[[#This Row],[Date]])&amp;"-"&amp;TEXT(MONTH(KMART_DATA[[#This Row],[Date]]),"00")</f>
        <v>2024-06</v>
      </c>
      <c r="D1000" s="3" t="s">
        <v>28</v>
      </c>
      <c r="E1000" s="3" t="s">
        <v>29</v>
      </c>
      <c r="F1000" s="3" t="s">
        <v>11</v>
      </c>
      <c r="G10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00" s="3" t="s">
        <v>30</v>
      </c>
      <c r="I1000" s="3" t="s">
        <v>31</v>
      </c>
      <c r="J1000" s="3" t="s">
        <v>32</v>
      </c>
      <c r="K1000" s="3" t="s">
        <v>38</v>
      </c>
      <c r="L1000" s="3" t="s">
        <v>39</v>
      </c>
      <c r="M1000" s="4">
        <v>30.95</v>
      </c>
    </row>
    <row r="1001">
      <c r="A1001" s="2">
        <v>45451</v>
      </c>
      <c r="B10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1" s="3" t="str">
        <f>YEAR(KMART_DATA[[#This Row],[Date]])&amp;"-"&amp;TEXT(MONTH(KMART_DATA[[#This Row],[Date]]),"00")</f>
        <v>2024-06</v>
      </c>
      <c r="D1001" s="3" t="s">
        <v>28</v>
      </c>
      <c r="E1001" s="3" t="s">
        <v>228</v>
      </c>
      <c r="F1001" s="3" t="s">
        <v>11</v>
      </c>
      <c r="G10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01" s="3" t="s">
        <v>229</v>
      </c>
      <c r="I1001" s="3" t="s">
        <v>31</v>
      </c>
      <c r="J1001" s="3" t="s">
        <v>32</v>
      </c>
      <c r="K1001" s="3" t="s">
        <v>43</v>
      </c>
      <c r="L1001" s="3" t="s">
        <v>44</v>
      </c>
      <c r="M1001" s="4">
        <v>34.96</v>
      </c>
    </row>
    <row r="1002">
      <c r="A1002" s="2">
        <v>45451</v>
      </c>
      <c r="B10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2" s="3" t="str">
        <f>YEAR(KMART_DATA[[#This Row],[Date]])&amp;"-"&amp;TEXT(MONTH(KMART_DATA[[#This Row],[Date]]),"00")</f>
        <v>2024-06</v>
      </c>
      <c r="D1002" s="3" t="s">
        <v>45</v>
      </c>
      <c r="E1002" s="3" t="s">
        <v>254</v>
      </c>
      <c r="F1002" s="3" t="s">
        <v>13</v>
      </c>
      <c r="G10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002" s="3" t="s">
        <v>255</v>
      </c>
      <c r="I1002" s="3" t="s">
        <v>31</v>
      </c>
      <c r="J1002" s="3" t="s">
        <v>227</v>
      </c>
      <c r="K1002" s="3" t="s">
        <v>38</v>
      </c>
      <c r="L1002" s="3" t="s">
        <v>39</v>
      </c>
      <c r="M1002" s="4">
        <v>38.87</v>
      </c>
    </row>
    <row r="1003">
      <c r="A1003" s="2">
        <v>45451</v>
      </c>
      <c r="B10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3" s="3" t="str">
        <f>YEAR(KMART_DATA[[#This Row],[Date]])&amp;"-"&amp;TEXT(MONTH(KMART_DATA[[#This Row],[Date]]),"00")</f>
        <v>2024-06</v>
      </c>
      <c r="D1003" s="3" t="s">
        <v>28</v>
      </c>
      <c r="E1003" s="3" t="s">
        <v>148</v>
      </c>
      <c r="F1003" s="3" t="s">
        <v>12</v>
      </c>
      <c r="G10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03" s="3" t="s">
        <v>149</v>
      </c>
      <c r="I1003" s="3" t="s">
        <v>31</v>
      </c>
      <c r="J1003" s="3" t="s">
        <v>50</v>
      </c>
      <c r="K1003" s="3" t="s">
        <v>43</v>
      </c>
      <c r="L1003" s="3" t="s">
        <v>44</v>
      </c>
      <c r="M1003" s="4">
        <v>57.2</v>
      </c>
    </row>
    <row r="1004">
      <c r="A1004" s="2">
        <v>45451</v>
      </c>
      <c r="B10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4" s="3" t="str">
        <f>YEAR(KMART_DATA[[#This Row],[Date]])&amp;"-"&amp;TEXT(MONTH(KMART_DATA[[#This Row],[Date]]),"00")</f>
        <v>2024-06</v>
      </c>
      <c r="D1004" s="3" t="s">
        <v>28</v>
      </c>
      <c r="E1004" s="3" t="s">
        <v>244</v>
      </c>
      <c r="F1004" s="3" t="s">
        <v>13</v>
      </c>
      <c r="G10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004" s="3" t="s">
        <v>245</v>
      </c>
      <c r="I1004" s="3" t="s">
        <v>31</v>
      </c>
      <c r="J1004" s="3" t="s">
        <v>42</v>
      </c>
      <c r="K1004" s="3" t="s">
        <v>71</v>
      </c>
      <c r="L1004" s="3" t="s">
        <v>72</v>
      </c>
      <c r="M1004" s="4">
        <v>108.46</v>
      </c>
    </row>
    <row r="1005">
      <c r="A1005" s="2">
        <v>45451</v>
      </c>
      <c r="B10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5" s="3" t="str">
        <f>YEAR(KMART_DATA[[#This Row],[Date]])&amp;"-"&amp;TEXT(MONTH(KMART_DATA[[#This Row],[Date]]),"00")</f>
        <v>2024-06</v>
      </c>
      <c r="D1005" s="3" t="s">
        <v>28</v>
      </c>
      <c r="E1005" s="3" t="s">
        <v>150</v>
      </c>
      <c r="F1005" s="3" t="s">
        <v>15</v>
      </c>
      <c r="G10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005" s="3" t="s">
        <v>151</v>
      </c>
      <c r="I1005" s="3" t="s">
        <v>31</v>
      </c>
      <c r="J1005" s="3" t="s">
        <v>53</v>
      </c>
      <c r="K1005" s="3" t="s">
        <v>33</v>
      </c>
      <c r="L1005" s="3" t="s">
        <v>34</v>
      </c>
      <c r="M1005" s="4">
        <v>176.66</v>
      </c>
    </row>
    <row r="1006">
      <c r="A1006" s="2">
        <v>45451</v>
      </c>
      <c r="B10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6" s="3" t="str">
        <f>YEAR(KMART_DATA[[#This Row],[Date]])&amp;"-"&amp;TEXT(MONTH(KMART_DATA[[#This Row],[Date]]),"00")</f>
        <v>2024-06</v>
      </c>
      <c r="D1006" s="3" t="s">
        <v>28</v>
      </c>
      <c r="E1006" s="3" t="s">
        <v>221</v>
      </c>
      <c r="F1006" s="3" t="s">
        <v>11</v>
      </c>
      <c r="G10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06" s="3" t="s">
        <v>222</v>
      </c>
      <c r="I1006" s="3" t="s">
        <v>31</v>
      </c>
      <c r="J1006" s="3" t="s">
        <v>56</v>
      </c>
      <c r="K1006" s="3" t="s">
        <v>95</v>
      </c>
      <c r="L1006" s="3" t="s">
        <v>96</v>
      </c>
      <c r="M1006" s="4">
        <v>529.62</v>
      </c>
    </row>
    <row r="1007">
      <c r="A1007" s="2">
        <v>45451</v>
      </c>
      <c r="B10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7" s="3" t="str">
        <f>YEAR(KMART_DATA[[#This Row],[Date]])&amp;"-"&amp;TEXT(MONTH(KMART_DATA[[#This Row],[Date]]),"00")</f>
        <v>2024-06</v>
      </c>
      <c r="D1007" s="3" t="s">
        <v>28</v>
      </c>
      <c r="E1007" s="3" t="s">
        <v>232</v>
      </c>
      <c r="F1007" s="3" t="s">
        <v>9</v>
      </c>
      <c r="G10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07" s="3" t="s">
        <v>233</v>
      </c>
      <c r="I1007" s="3" t="s">
        <v>31</v>
      </c>
      <c r="J1007" s="3" t="s">
        <v>75</v>
      </c>
      <c r="K1007" s="3" t="s">
        <v>57</v>
      </c>
      <c r="L1007" s="3" t="s">
        <v>58</v>
      </c>
      <c r="M1007" s="4">
        <v>3557.79</v>
      </c>
    </row>
    <row r="1008">
      <c r="A1008" s="2">
        <v>45451</v>
      </c>
      <c r="B10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8" s="3" t="str">
        <f>YEAR(KMART_DATA[[#This Row],[Date]])&amp;"-"&amp;TEXT(MONTH(KMART_DATA[[#This Row],[Date]]),"00")</f>
        <v>2024-06</v>
      </c>
      <c r="D1008" s="3" t="s">
        <v>28</v>
      </c>
      <c r="E1008" s="3" t="s">
        <v>146</v>
      </c>
      <c r="F1008" s="3" t="s">
        <v>9</v>
      </c>
      <c r="G10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08" s="3" t="s">
        <v>147</v>
      </c>
      <c r="I1008" s="3" t="s">
        <v>31</v>
      </c>
      <c r="J1008" s="3" t="s">
        <v>75</v>
      </c>
      <c r="K1008" s="3" t="s">
        <v>71</v>
      </c>
      <c r="L1008" s="3" t="s">
        <v>72</v>
      </c>
      <c r="M1008" s="4">
        <v>3988.85</v>
      </c>
    </row>
    <row r="1009">
      <c r="A1009" s="2">
        <v>45452</v>
      </c>
      <c r="B10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09" s="3" t="str">
        <f>YEAR(KMART_DATA[[#This Row],[Date]])&amp;"-"&amp;TEXT(MONTH(KMART_DATA[[#This Row],[Date]]),"00")</f>
        <v>2024-06</v>
      </c>
      <c r="D1009" s="3" t="s">
        <v>28</v>
      </c>
      <c r="E1009" s="3" t="s">
        <v>139</v>
      </c>
      <c r="F1009" s="3" t="s">
        <v>10</v>
      </c>
      <c r="G10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09" s="3" t="s">
        <v>140</v>
      </c>
      <c r="I1009" s="3" t="s">
        <v>31</v>
      </c>
      <c r="J1009" s="3" t="s">
        <v>89</v>
      </c>
      <c r="K1009" s="3" t="s">
        <v>33</v>
      </c>
      <c r="L1009" s="3" t="s">
        <v>34</v>
      </c>
      <c r="M1009" s="4">
        <v>20.95</v>
      </c>
    </row>
    <row r="1010">
      <c r="A1010" s="2">
        <v>45452</v>
      </c>
      <c r="B10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0" s="3" t="str">
        <f>YEAR(KMART_DATA[[#This Row],[Date]])&amp;"-"&amp;TEXT(MONTH(KMART_DATA[[#This Row],[Date]]),"00")</f>
        <v>2024-06</v>
      </c>
      <c r="D1010" s="3" t="s">
        <v>28</v>
      </c>
      <c r="E1010" s="3" t="s">
        <v>87</v>
      </c>
      <c r="F1010" s="3" t="s">
        <v>10</v>
      </c>
      <c r="G10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10" s="3" t="s">
        <v>88</v>
      </c>
      <c r="I1010" s="3" t="s">
        <v>31</v>
      </c>
      <c r="J1010" s="3" t="s">
        <v>89</v>
      </c>
      <c r="K1010" s="3" t="s">
        <v>95</v>
      </c>
      <c r="L1010" s="3" t="s">
        <v>96</v>
      </c>
      <c r="M1010" s="4">
        <v>150.64</v>
      </c>
    </row>
    <row r="1011">
      <c r="A1011" s="2">
        <v>45452</v>
      </c>
      <c r="B10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1" s="3" t="str">
        <f>YEAR(KMART_DATA[[#This Row],[Date]])&amp;"-"&amp;TEXT(MONTH(KMART_DATA[[#This Row],[Date]]),"00")</f>
        <v>2024-06</v>
      </c>
      <c r="D1011" s="3" t="s">
        <v>28</v>
      </c>
      <c r="E1011" s="3" t="s">
        <v>258</v>
      </c>
      <c r="F1011" s="3" t="s">
        <v>14</v>
      </c>
      <c r="G10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011" s="3" t="s">
        <v>259</v>
      </c>
      <c r="I1011" s="3" t="s">
        <v>31</v>
      </c>
      <c r="J1011" s="3" t="s">
        <v>145</v>
      </c>
      <c r="K1011" s="3" t="s">
        <v>95</v>
      </c>
      <c r="L1011" s="3" t="s">
        <v>96</v>
      </c>
      <c r="M1011" s="4">
        <v>174.35</v>
      </c>
    </row>
    <row r="1012">
      <c r="A1012" s="2">
        <v>45452</v>
      </c>
      <c r="B10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2" s="3" t="str">
        <f>YEAR(KMART_DATA[[#This Row],[Date]])&amp;"-"&amp;TEXT(MONTH(KMART_DATA[[#This Row],[Date]]),"00")</f>
        <v>2024-06</v>
      </c>
      <c r="D1012" s="3" t="s">
        <v>45</v>
      </c>
      <c r="E1012" s="3" t="s">
        <v>163</v>
      </c>
      <c r="F1012" s="3" t="s">
        <v>9</v>
      </c>
      <c r="G10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12" s="3" t="s">
        <v>164</v>
      </c>
      <c r="I1012" s="3" t="s">
        <v>31</v>
      </c>
      <c r="J1012" s="3" t="s">
        <v>81</v>
      </c>
      <c r="K1012" s="3" t="s">
        <v>43</v>
      </c>
      <c r="L1012" s="3" t="s">
        <v>44</v>
      </c>
      <c r="M1012" s="4">
        <v>200.87</v>
      </c>
    </row>
    <row r="1013">
      <c r="A1013" s="2">
        <v>45452</v>
      </c>
      <c r="B10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3" s="3" t="str">
        <f>YEAR(KMART_DATA[[#This Row],[Date]])&amp;"-"&amp;TEXT(MONTH(KMART_DATA[[#This Row],[Date]]),"00")</f>
        <v>2024-06</v>
      </c>
      <c r="D1013" s="3" t="s">
        <v>45</v>
      </c>
      <c r="E1013" s="3" t="s">
        <v>29</v>
      </c>
      <c r="F1013" s="3" t="s">
        <v>11</v>
      </c>
      <c r="G10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13" s="3" t="s">
        <v>30</v>
      </c>
      <c r="I1013" s="3" t="s">
        <v>31</v>
      </c>
      <c r="J1013" s="3" t="s">
        <v>32</v>
      </c>
      <c r="K1013" s="3" t="s">
        <v>71</v>
      </c>
      <c r="L1013" s="3" t="s">
        <v>72</v>
      </c>
      <c r="M1013" s="4">
        <v>425.11</v>
      </c>
    </row>
    <row r="1014">
      <c r="A1014" s="2">
        <v>45452</v>
      </c>
      <c r="B10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4" s="3" t="str">
        <f>YEAR(KMART_DATA[[#This Row],[Date]])&amp;"-"&amp;TEXT(MONTH(KMART_DATA[[#This Row],[Date]]),"00")</f>
        <v>2024-06</v>
      </c>
      <c r="D1014" s="3" t="s">
        <v>45</v>
      </c>
      <c r="E1014" s="3" t="s">
        <v>207</v>
      </c>
      <c r="F1014" s="3" t="s">
        <v>11</v>
      </c>
      <c r="G10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14" s="3" t="s">
        <v>208</v>
      </c>
      <c r="I1014" s="3" t="s">
        <v>31</v>
      </c>
      <c r="J1014" s="3" t="s">
        <v>78</v>
      </c>
      <c r="K1014" s="3" t="s">
        <v>71</v>
      </c>
      <c r="L1014" s="3" t="s">
        <v>72</v>
      </c>
      <c r="M1014" s="4">
        <v>535.57</v>
      </c>
    </row>
    <row r="1015">
      <c r="A1015" s="2">
        <v>45452</v>
      </c>
      <c r="B10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5" s="3" t="str">
        <f>YEAR(KMART_DATA[[#This Row],[Date]])&amp;"-"&amp;TEXT(MONTH(KMART_DATA[[#This Row],[Date]]),"00")</f>
        <v>2024-06</v>
      </c>
      <c r="D1015" s="3" t="s">
        <v>45</v>
      </c>
      <c r="E1015" s="3" t="s">
        <v>40</v>
      </c>
      <c r="F1015" s="3" t="s">
        <v>13</v>
      </c>
      <c r="G10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015" s="3" t="s">
        <v>41</v>
      </c>
      <c r="I1015" s="3" t="s">
        <v>31</v>
      </c>
      <c r="J1015" s="3" t="s">
        <v>42</v>
      </c>
      <c r="K1015" s="3" t="s">
        <v>95</v>
      </c>
      <c r="L1015" s="3" t="s">
        <v>96</v>
      </c>
      <c r="M1015" s="4">
        <v>626.12</v>
      </c>
    </row>
    <row r="1016">
      <c r="A1016" s="2">
        <v>45452</v>
      </c>
      <c r="B10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6" s="3" t="str">
        <f>YEAR(KMART_DATA[[#This Row],[Date]])&amp;"-"&amp;TEXT(MONTH(KMART_DATA[[#This Row],[Date]]),"00")</f>
        <v>2024-06</v>
      </c>
      <c r="D1016" s="3" t="s">
        <v>45</v>
      </c>
      <c r="E1016" s="3" t="s">
        <v>76</v>
      </c>
      <c r="F1016" s="3" t="s">
        <v>11</v>
      </c>
      <c r="G10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16" s="3" t="s">
        <v>77</v>
      </c>
      <c r="I1016" s="3" t="s">
        <v>31</v>
      </c>
      <c r="J1016" s="3" t="s">
        <v>78</v>
      </c>
      <c r="K1016" s="3" t="s">
        <v>46</v>
      </c>
      <c r="L1016" s="3" t="s">
        <v>47</v>
      </c>
      <c r="M1016" s="4">
        <v>1998.78</v>
      </c>
    </row>
    <row r="1017">
      <c r="A1017" s="2">
        <v>45452</v>
      </c>
      <c r="B10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7" s="3" t="str">
        <f>YEAR(KMART_DATA[[#This Row],[Date]])&amp;"-"&amp;TEXT(MONTH(KMART_DATA[[#This Row],[Date]]),"00")</f>
        <v>2024-06</v>
      </c>
      <c r="D1017" s="3" t="s">
        <v>28</v>
      </c>
      <c r="E1017" s="3" t="s">
        <v>85</v>
      </c>
      <c r="F1017" s="3" t="s">
        <v>9</v>
      </c>
      <c r="G10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17" s="3" t="s">
        <v>86</v>
      </c>
      <c r="I1017" s="3" t="s">
        <v>31</v>
      </c>
      <c r="J1017" s="3" t="s">
        <v>81</v>
      </c>
      <c r="K1017" s="3" t="s">
        <v>71</v>
      </c>
      <c r="L1017" s="3" t="s">
        <v>72</v>
      </c>
      <c r="M1017" s="4">
        <v>4519.53</v>
      </c>
    </row>
    <row r="1018">
      <c r="A1018" s="2">
        <v>45453</v>
      </c>
      <c r="B10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8" s="3" t="str">
        <f>YEAR(KMART_DATA[[#This Row],[Date]])&amp;"-"&amp;TEXT(MONTH(KMART_DATA[[#This Row],[Date]]),"00")</f>
        <v>2024-06</v>
      </c>
      <c r="D1018" s="3" t="s">
        <v>28</v>
      </c>
      <c r="E1018" s="3" t="s">
        <v>246</v>
      </c>
      <c r="F1018" s="3" t="s">
        <v>10</v>
      </c>
      <c r="G10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18" s="3" t="s">
        <v>247</v>
      </c>
      <c r="I1018" s="3" t="s">
        <v>31</v>
      </c>
      <c r="J1018" s="3" t="s">
        <v>37</v>
      </c>
      <c r="K1018" s="3" t="s">
        <v>112</v>
      </c>
      <c r="L1018" s="3" t="s">
        <v>113</v>
      </c>
      <c r="M1018" s="4">
        <v>109.08</v>
      </c>
    </row>
    <row r="1019">
      <c r="A1019" s="2">
        <v>45453</v>
      </c>
      <c r="B10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19" s="3" t="str">
        <f>YEAR(KMART_DATA[[#This Row],[Date]])&amp;"-"&amp;TEXT(MONTH(KMART_DATA[[#This Row],[Date]]),"00")</f>
        <v>2024-06</v>
      </c>
      <c r="D1019" s="3" t="s">
        <v>45</v>
      </c>
      <c r="E1019" s="3" t="s">
        <v>163</v>
      </c>
      <c r="F1019" s="3" t="s">
        <v>9</v>
      </c>
      <c r="G10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19" s="3" t="s">
        <v>164</v>
      </c>
      <c r="I1019" s="3" t="s">
        <v>31</v>
      </c>
      <c r="J1019" s="3" t="s">
        <v>81</v>
      </c>
      <c r="K1019" s="3" t="s">
        <v>33</v>
      </c>
      <c r="L1019" s="3" t="s">
        <v>34</v>
      </c>
      <c r="M1019" s="4">
        <v>367.08</v>
      </c>
    </row>
    <row r="1020">
      <c r="A1020" s="2">
        <v>45453</v>
      </c>
      <c r="B10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0" s="3" t="str">
        <f>YEAR(KMART_DATA[[#This Row],[Date]])&amp;"-"&amp;TEXT(MONTH(KMART_DATA[[#This Row],[Date]]),"00")</f>
        <v>2024-06</v>
      </c>
      <c r="D1020" s="3" t="s">
        <v>28</v>
      </c>
      <c r="E1020" s="3" t="s">
        <v>105</v>
      </c>
      <c r="F1020" s="3" t="s">
        <v>9</v>
      </c>
      <c r="G10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20" s="3" t="s">
        <v>106</v>
      </c>
      <c r="I1020" s="3" t="s">
        <v>31</v>
      </c>
      <c r="J1020" s="3" t="s">
        <v>107</v>
      </c>
      <c r="K1020" s="3" t="s">
        <v>43</v>
      </c>
      <c r="L1020" s="3" t="s">
        <v>44</v>
      </c>
      <c r="M1020" s="4">
        <v>721.7</v>
      </c>
    </row>
    <row r="1021">
      <c r="A1021" s="2">
        <v>45453</v>
      </c>
      <c r="B10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1" s="3" t="str">
        <f>YEAR(KMART_DATA[[#This Row],[Date]])&amp;"-"&amp;TEXT(MONTH(KMART_DATA[[#This Row],[Date]]),"00")</f>
        <v>2024-06</v>
      </c>
      <c r="D1021" s="3" t="s">
        <v>45</v>
      </c>
      <c r="E1021" s="3" t="s">
        <v>217</v>
      </c>
      <c r="F1021" s="3" t="s">
        <v>10</v>
      </c>
      <c r="G10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21" s="3" t="s">
        <v>218</v>
      </c>
      <c r="I1021" s="3" t="s">
        <v>31</v>
      </c>
      <c r="J1021" s="3" t="s">
        <v>89</v>
      </c>
      <c r="K1021" s="3" t="s">
        <v>33</v>
      </c>
      <c r="L1021" s="3" t="s">
        <v>34</v>
      </c>
      <c r="M1021" s="4">
        <v>750.6</v>
      </c>
    </row>
    <row r="1022">
      <c r="A1022" s="2">
        <v>45453</v>
      </c>
      <c r="B10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2" s="3" t="str">
        <f>YEAR(KMART_DATA[[#This Row],[Date]])&amp;"-"&amp;TEXT(MONTH(KMART_DATA[[#This Row],[Date]]),"00")</f>
        <v>2024-06</v>
      </c>
      <c r="D1022" s="3" t="s">
        <v>28</v>
      </c>
      <c r="E1022" s="3" t="s">
        <v>79</v>
      </c>
      <c r="F1022" s="3" t="s">
        <v>9</v>
      </c>
      <c r="G10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22" s="3" t="s">
        <v>80</v>
      </c>
      <c r="I1022" s="3" t="s">
        <v>31</v>
      </c>
      <c r="J1022" s="3" t="s">
        <v>81</v>
      </c>
      <c r="K1022" s="3" t="s">
        <v>33</v>
      </c>
      <c r="L1022" s="3" t="s">
        <v>34</v>
      </c>
      <c r="M1022" s="4">
        <v>1151.59</v>
      </c>
    </row>
    <row r="1023">
      <c r="A1023" s="2">
        <v>45453</v>
      </c>
      <c r="B10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3" s="3" t="str">
        <f>YEAR(KMART_DATA[[#This Row],[Date]])&amp;"-"&amp;TEXT(MONTH(KMART_DATA[[#This Row],[Date]]),"00")</f>
        <v>2024-06</v>
      </c>
      <c r="D1023" s="3" t="s">
        <v>28</v>
      </c>
      <c r="E1023" s="3" t="s">
        <v>158</v>
      </c>
      <c r="F1023" s="3" t="s">
        <v>11</v>
      </c>
      <c r="G10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23" s="3" t="s">
        <v>159</v>
      </c>
      <c r="I1023" s="3" t="s">
        <v>31</v>
      </c>
      <c r="J1023" s="3" t="s">
        <v>84</v>
      </c>
      <c r="K1023" s="3" t="s">
        <v>57</v>
      </c>
      <c r="L1023" s="3" t="s">
        <v>58</v>
      </c>
      <c r="M1023" s="4">
        <v>1324.48</v>
      </c>
    </row>
    <row r="1024">
      <c r="A1024" s="2">
        <v>45453</v>
      </c>
      <c r="B10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4" s="3" t="str">
        <f>YEAR(KMART_DATA[[#This Row],[Date]])&amp;"-"&amp;TEXT(MONTH(KMART_DATA[[#This Row],[Date]]),"00")</f>
        <v>2024-06</v>
      </c>
      <c r="D1024" s="3" t="s">
        <v>28</v>
      </c>
      <c r="E1024" s="3" t="s">
        <v>97</v>
      </c>
      <c r="F1024" s="3" t="s">
        <v>9</v>
      </c>
      <c r="G10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24" s="3" t="s">
        <v>98</v>
      </c>
      <c r="I1024" s="3" t="s">
        <v>31</v>
      </c>
      <c r="J1024" s="3" t="s">
        <v>99</v>
      </c>
      <c r="K1024" s="3" t="s">
        <v>95</v>
      </c>
      <c r="L1024" s="3" t="s">
        <v>96</v>
      </c>
      <c r="M1024" s="4">
        <v>4644.71</v>
      </c>
    </row>
    <row r="1025">
      <c r="A1025" s="2">
        <v>45453</v>
      </c>
      <c r="B10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5" s="3" t="str">
        <f>YEAR(KMART_DATA[[#This Row],[Date]])&amp;"-"&amp;TEXT(MONTH(KMART_DATA[[#This Row],[Date]]),"00")</f>
        <v>2024-06</v>
      </c>
      <c r="D1025" s="3" t="s">
        <v>28</v>
      </c>
      <c r="E1025" s="3" t="s">
        <v>163</v>
      </c>
      <c r="F1025" s="3" t="s">
        <v>9</v>
      </c>
      <c r="G10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25" s="3" t="s">
        <v>164</v>
      </c>
      <c r="I1025" s="3" t="s">
        <v>31</v>
      </c>
      <c r="J1025" s="3" t="s">
        <v>81</v>
      </c>
      <c r="K1025" s="3" t="s">
        <v>71</v>
      </c>
      <c r="L1025" s="3" t="s">
        <v>72</v>
      </c>
      <c r="M1025" s="4">
        <v>5356.17</v>
      </c>
    </row>
    <row r="1026">
      <c r="A1026" s="2">
        <v>45453</v>
      </c>
      <c r="B10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6" s="3" t="str">
        <f>YEAR(KMART_DATA[[#This Row],[Date]])&amp;"-"&amp;TEXT(MONTH(KMART_DATA[[#This Row],[Date]]),"00")</f>
        <v>2024-06</v>
      </c>
      <c r="D1026" s="3" t="s">
        <v>28</v>
      </c>
      <c r="E1026" s="3" t="s">
        <v>250</v>
      </c>
      <c r="F1026" s="3" t="s">
        <v>10</v>
      </c>
      <c r="G10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26" s="3" t="s">
        <v>251</v>
      </c>
      <c r="I1026" s="3" t="s">
        <v>31</v>
      </c>
      <c r="J1026" s="3" t="s">
        <v>37</v>
      </c>
      <c r="K1026" s="3" t="s">
        <v>95</v>
      </c>
      <c r="L1026" s="3" t="s">
        <v>96</v>
      </c>
      <c r="M1026" s="4">
        <v>5591.95</v>
      </c>
    </row>
    <row r="1027">
      <c r="A1027" s="2">
        <v>45454</v>
      </c>
      <c r="B10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7" s="3" t="str">
        <f>YEAR(KMART_DATA[[#This Row],[Date]])&amp;"-"&amp;TEXT(MONTH(KMART_DATA[[#This Row],[Date]]),"00")</f>
        <v>2024-06</v>
      </c>
      <c r="D1027" s="3" t="s">
        <v>28</v>
      </c>
      <c r="E1027" s="3" t="s">
        <v>150</v>
      </c>
      <c r="F1027" s="3" t="s">
        <v>15</v>
      </c>
      <c r="G10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027" s="3" t="s">
        <v>151</v>
      </c>
      <c r="I1027" s="3" t="s">
        <v>31</v>
      </c>
      <c r="J1027" s="3" t="s">
        <v>53</v>
      </c>
      <c r="K1027" s="3" t="s">
        <v>38</v>
      </c>
      <c r="L1027" s="3" t="s">
        <v>39</v>
      </c>
      <c r="M1027" s="4">
        <v>102.77</v>
      </c>
    </row>
    <row r="1028">
      <c r="A1028" s="2">
        <v>45454</v>
      </c>
      <c r="B10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8" s="3" t="str">
        <f>YEAR(KMART_DATA[[#This Row],[Date]])&amp;"-"&amp;TEXT(MONTH(KMART_DATA[[#This Row],[Date]]),"00")</f>
        <v>2024-06</v>
      </c>
      <c r="D1028" s="3" t="s">
        <v>28</v>
      </c>
      <c r="E1028" s="3" t="s">
        <v>197</v>
      </c>
      <c r="F1028" s="3" t="s">
        <v>9</v>
      </c>
      <c r="G10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28" s="3" t="s">
        <v>198</v>
      </c>
      <c r="I1028" s="3" t="s">
        <v>31</v>
      </c>
      <c r="J1028" s="3" t="s">
        <v>107</v>
      </c>
      <c r="K1028" s="3" t="s">
        <v>33</v>
      </c>
      <c r="L1028" s="3" t="s">
        <v>34</v>
      </c>
      <c r="M1028" s="4">
        <v>403.98</v>
      </c>
    </row>
    <row r="1029">
      <c r="A1029" s="2">
        <v>45454</v>
      </c>
      <c r="B10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29" s="3" t="str">
        <f>YEAR(KMART_DATA[[#This Row],[Date]])&amp;"-"&amp;TEXT(MONTH(KMART_DATA[[#This Row],[Date]]),"00")</f>
        <v>2024-06</v>
      </c>
      <c r="D1029" s="3" t="s">
        <v>28</v>
      </c>
      <c r="E1029" s="3" t="s">
        <v>167</v>
      </c>
      <c r="F1029" s="3" t="s">
        <v>12</v>
      </c>
      <c r="G10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29" s="3" t="s">
        <v>168</v>
      </c>
      <c r="I1029" s="3" t="s">
        <v>31</v>
      </c>
      <c r="J1029" s="3" t="s">
        <v>102</v>
      </c>
      <c r="K1029" s="3" t="s">
        <v>57</v>
      </c>
      <c r="L1029" s="3" t="s">
        <v>58</v>
      </c>
      <c r="M1029" s="4">
        <v>1213.28</v>
      </c>
    </row>
    <row r="1030">
      <c r="A1030" s="2">
        <v>45455</v>
      </c>
      <c r="B10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0" s="3" t="str">
        <f>YEAR(KMART_DATA[[#This Row],[Date]])&amp;"-"&amp;TEXT(MONTH(KMART_DATA[[#This Row],[Date]]),"00")</f>
        <v>2024-06</v>
      </c>
      <c r="D1030" s="3" t="s">
        <v>45</v>
      </c>
      <c r="E1030" s="3" t="s">
        <v>201</v>
      </c>
      <c r="F1030" s="3" t="s">
        <v>10</v>
      </c>
      <c r="G10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30" s="3" t="s">
        <v>202</v>
      </c>
      <c r="I1030" s="3" t="s">
        <v>31</v>
      </c>
      <c r="J1030" s="3" t="s">
        <v>89</v>
      </c>
      <c r="K1030" s="3" t="s">
        <v>112</v>
      </c>
      <c r="L1030" s="3" t="s">
        <v>113</v>
      </c>
      <c r="M1030" s="4">
        <v>29.95</v>
      </c>
    </row>
    <row r="1031">
      <c r="A1031" s="2">
        <v>45455</v>
      </c>
      <c r="B10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1" s="3" t="str">
        <f>YEAR(KMART_DATA[[#This Row],[Date]])&amp;"-"&amp;TEXT(MONTH(KMART_DATA[[#This Row],[Date]]),"00")</f>
        <v>2024-06</v>
      </c>
      <c r="D1031" s="3" t="s">
        <v>28</v>
      </c>
      <c r="E1031" s="3" t="s">
        <v>256</v>
      </c>
      <c r="F1031" s="3" t="s">
        <v>9</v>
      </c>
      <c r="G10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31" s="3" t="s">
        <v>257</v>
      </c>
      <c r="I1031" s="3" t="s">
        <v>31</v>
      </c>
      <c r="J1031" s="3" t="s">
        <v>70</v>
      </c>
      <c r="K1031" s="3" t="s">
        <v>43</v>
      </c>
      <c r="L1031" s="3" t="s">
        <v>44</v>
      </c>
      <c r="M1031" s="4">
        <v>117.72</v>
      </c>
    </row>
    <row r="1032">
      <c r="A1032" s="2">
        <v>45455</v>
      </c>
      <c r="B10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2" s="3" t="str">
        <f>YEAR(KMART_DATA[[#This Row],[Date]])&amp;"-"&amp;TEXT(MONTH(KMART_DATA[[#This Row],[Date]]),"00")</f>
        <v>2024-06</v>
      </c>
      <c r="D1032" s="3" t="s">
        <v>45</v>
      </c>
      <c r="E1032" s="3" t="s">
        <v>135</v>
      </c>
      <c r="F1032" s="3" t="s">
        <v>16</v>
      </c>
      <c r="G10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032" s="3" t="s">
        <v>136</v>
      </c>
      <c r="I1032" s="3" t="s">
        <v>31</v>
      </c>
      <c r="J1032" s="3" t="s">
        <v>107</v>
      </c>
      <c r="K1032" s="3" t="s">
        <v>57</v>
      </c>
      <c r="L1032" s="3" t="s">
        <v>58</v>
      </c>
      <c r="M1032" s="4">
        <v>134.91</v>
      </c>
    </row>
    <row r="1033">
      <c r="A1033" s="2">
        <v>45455</v>
      </c>
      <c r="B10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3" s="3" t="str">
        <f>YEAR(KMART_DATA[[#This Row],[Date]])&amp;"-"&amp;TEXT(MONTH(KMART_DATA[[#This Row],[Date]]),"00")</f>
        <v>2024-06</v>
      </c>
      <c r="D1033" s="3" t="s">
        <v>28</v>
      </c>
      <c r="E1033" s="3" t="s">
        <v>48</v>
      </c>
      <c r="F1033" s="3" t="s">
        <v>12</v>
      </c>
      <c r="G10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33" s="3" t="s">
        <v>49</v>
      </c>
      <c r="I1033" s="3" t="s">
        <v>31</v>
      </c>
      <c r="J1033" s="3" t="s">
        <v>50</v>
      </c>
      <c r="K1033" s="3" t="s">
        <v>57</v>
      </c>
      <c r="L1033" s="3" t="s">
        <v>58</v>
      </c>
      <c r="M1033" s="4">
        <v>299.7</v>
      </c>
    </row>
    <row r="1034">
      <c r="A1034" s="2">
        <v>45455</v>
      </c>
      <c r="B10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4" s="3" t="str">
        <f>YEAR(KMART_DATA[[#This Row],[Date]])&amp;"-"&amp;TEXT(MONTH(KMART_DATA[[#This Row],[Date]]),"00")</f>
        <v>2024-06</v>
      </c>
      <c r="D1034" s="3" t="s">
        <v>45</v>
      </c>
      <c r="E1034" s="3" t="s">
        <v>143</v>
      </c>
      <c r="F1034" s="3" t="s">
        <v>14</v>
      </c>
      <c r="G10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034" s="3" t="s">
        <v>144</v>
      </c>
      <c r="I1034" s="3" t="s">
        <v>31</v>
      </c>
      <c r="J1034" s="3" t="s">
        <v>145</v>
      </c>
      <c r="K1034" s="3" t="s">
        <v>46</v>
      </c>
      <c r="L1034" s="3" t="s">
        <v>47</v>
      </c>
      <c r="M1034" s="4">
        <v>487.56</v>
      </c>
    </row>
    <row r="1035">
      <c r="A1035" s="2">
        <v>45455</v>
      </c>
      <c r="B10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5" s="3" t="str">
        <f>YEAR(KMART_DATA[[#This Row],[Date]])&amp;"-"&amp;TEXT(MONTH(KMART_DATA[[#This Row],[Date]]),"00")</f>
        <v>2024-06</v>
      </c>
      <c r="D1035" s="3" t="s">
        <v>28</v>
      </c>
      <c r="E1035" s="3" t="s">
        <v>236</v>
      </c>
      <c r="F1035" s="3" t="s">
        <v>12</v>
      </c>
      <c r="G10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35" s="3" t="s">
        <v>237</v>
      </c>
      <c r="I1035" s="3" t="s">
        <v>31</v>
      </c>
      <c r="J1035" s="3" t="s">
        <v>102</v>
      </c>
      <c r="K1035" s="3" t="s">
        <v>123</v>
      </c>
      <c r="L1035" s="3" t="s">
        <v>124</v>
      </c>
      <c r="M1035" s="4">
        <v>525.13</v>
      </c>
    </row>
    <row r="1036">
      <c r="A1036" s="2">
        <v>45455</v>
      </c>
      <c r="B10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6" s="3" t="str">
        <f>YEAR(KMART_DATA[[#This Row],[Date]])&amp;"-"&amp;TEXT(MONTH(KMART_DATA[[#This Row],[Date]]),"00")</f>
        <v>2024-06</v>
      </c>
      <c r="D1036" s="3" t="s">
        <v>28</v>
      </c>
      <c r="E1036" s="3" t="s">
        <v>114</v>
      </c>
      <c r="F1036" s="3" t="s">
        <v>9</v>
      </c>
      <c r="G10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36" s="3" t="s">
        <v>115</v>
      </c>
      <c r="I1036" s="3" t="s">
        <v>31</v>
      </c>
      <c r="J1036" s="3" t="s">
        <v>99</v>
      </c>
      <c r="K1036" s="3" t="s">
        <v>71</v>
      </c>
      <c r="L1036" s="3" t="s">
        <v>72</v>
      </c>
      <c r="M1036" s="4">
        <v>934.16</v>
      </c>
    </row>
    <row r="1037">
      <c r="A1037" s="2">
        <v>45456</v>
      </c>
      <c r="B10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7" s="3" t="str">
        <f>YEAR(KMART_DATA[[#This Row],[Date]])&amp;"-"&amp;TEXT(MONTH(KMART_DATA[[#This Row],[Date]]),"00")</f>
        <v>2024-06</v>
      </c>
      <c r="D1037" s="3" t="s">
        <v>45</v>
      </c>
      <c r="E1037" s="3" t="s">
        <v>246</v>
      </c>
      <c r="F1037" s="3" t="s">
        <v>10</v>
      </c>
      <c r="G10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37" s="3" t="s">
        <v>247</v>
      </c>
      <c r="I1037" s="3" t="s">
        <v>31</v>
      </c>
      <c r="J1037" s="3" t="s">
        <v>37</v>
      </c>
      <c r="K1037" s="3" t="s">
        <v>57</v>
      </c>
      <c r="L1037" s="3" t="s">
        <v>58</v>
      </c>
      <c r="M1037" s="4">
        <v>24.04</v>
      </c>
    </row>
    <row r="1038">
      <c r="A1038" s="2">
        <v>45456</v>
      </c>
      <c r="B10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8" s="3" t="str">
        <f>YEAR(KMART_DATA[[#This Row],[Date]])&amp;"-"&amp;TEXT(MONTH(KMART_DATA[[#This Row],[Date]]),"00")</f>
        <v>2024-06</v>
      </c>
      <c r="D1038" s="3" t="s">
        <v>28</v>
      </c>
      <c r="E1038" s="3" t="s">
        <v>177</v>
      </c>
      <c r="F1038" s="3" t="s">
        <v>12</v>
      </c>
      <c r="G10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38" s="3" t="s">
        <v>178</v>
      </c>
      <c r="I1038" s="3" t="s">
        <v>31</v>
      </c>
      <c r="J1038" s="3" t="s">
        <v>162</v>
      </c>
      <c r="K1038" s="3" t="s">
        <v>71</v>
      </c>
      <c r="L1038" s="3" t="s">
        <v>72</v>
      </c>
      <c r="M1038" s="4">
        <v>327.77</v>
      </c>
    </row>
    <row r="1039">
      <c r="A1039" s="2">
        <v>45456</v>
      </c>
      <c r="B10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39" s="3" t="str">
        <f>YEAR(KMART_DATA[[#This Row],[Date]])&amp;"-"&amp;TEXT(MONTH(KMART_DATA[[#This Row],[Date]]),"00")</f>
        <v>2024-06</v>
      </c>
      <c r="D1039" s="3" t="s">
        <v>28</v>
      </c>
      <c r="E1039" s="3" t="s">
        <v>118</v>
      </c>
      <c r="F1039" s="3" t="s">
        <v>10</v>
      </c>
      <c r="G10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39" s="3" t="s">
        <v>119</v>
      </c>
      <c r="I1039" s="3" t="s">
        <v>31</v>
      </c>
      <c r="J1039" s="3" t="s">
        <v>120</v>
      </c>
      <c r="K1039" s="3" t="s">
        <v>38</v>
      </c>
      <c r="L1039" s="3" t="s">
        <v>39</v>
      </c>
      <c r="M1039" s="4">
        <v>443.37</v>
      </c>
    </row>
    <row r="1040">
      <c r="A1040" s="2">
        <v>45456</v>
      </c>
      <c r="B10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0" s="3" t="str">
        <f>YEAR(KMART_DATA[[#This Row],[Date]])&amp;"-"&amp;TEXT(MONTH(KMART_DATA[[#This Row],[Date]]),"00")</f>
        <v>2024-06</v>
      </c>
      <c r="D1040" s="3" t="s">
        <v>45</v>
      </c>
      <c r="E1040" s="3" t="s">
        <v>54</v>
      </c>
      <c r="F1040" s="3" t="s">
        <v>11</v>
      </c>
      <c r="G10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40" s="3" t="s">
        <v>55</v>
      </c>
      <c r="I1040" s="3" t="s">
        <v>31</v>
      </c>
      <c r="J1040" s="3" t="s">
        <v>56</v>
      </c>
      <c r="K1040" s="3" t="s">
        <v>46</v>
      </c>
      <c r="L1040" s="3" t="s">
        <v>47</v>
      </c>
      <c r="M1040" s="4">
        <v>632.49</v>
      </c>
    </row>
    <row r="1041">
      <c r="A1041" s="2">
        <v>45456</v>
      </c>
      <c r="B10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1" s="3" t="str">
        <f>YEAR(KMART_DATA[[#This Row],[Date]])&amp;"-"&amp;TEXT(MONTH(KMART_DATA[[#This Row],[Date]]),"00")</f>
        <v>2024-06</v>
      </c>
      <c r="D1041" s="3" t="s">
        <v>28</v>
      </c>
      <c r="E1041" s="3" t="s">
        <v>205</v>
      </c>
      <c r="F1041" s="3" t="s">
        <v>10</v>
      </c>
      <c r="G10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41" s="3" t="s">
        <v>206</v>
      </c>
      <c r="I1041" s="3" t="s">
        <v>31</v>
      </c>
      <c r="J1041" s="3" t="s">
        <v>37</v>
      </c>
      <c r="K1041" s="3" t="s">
        <v>57</v>
      </c>
      <c r="L1041" s="3" t="s">
        <v>58</v>
      </c>
      <c r="M1041" s="4">
        <v>646.91</v>
      </c>
    </row>
    <row r="1042">
      <c r="A1042" s="2">
        <v>45456</v>
      </c>
      <c r="B10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2" s="3" t="str">
        <f>YEAR(KMART_DATA[[#This Row],[Date]])&amp;"-"&amp;TEXT(MONTH(KMART_DATA[[#This Row],[Date]]),"00")</f>
        <v>2024-06</v>
      </c>
      <c r="D1042" s="3" t="s">
        <v>45</v>
      </c>
      <c r="E1042" s="3" t="s">
        <v>127</v>
      </c>
      <c r="F1042" s="3" t="s">
        <v>11</v>
      </c>
      <c r="G10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42" s="3" t="s">
        <v>128</v>
      </c>
      <c r="I1042" s="3" t="s">
        <v>31</v>
      </c>
      <c r="J1042" s="3" t="s">
        <v>78</v>
      </c>
      <c r="K1042" s="3" t="s">
        <v>71</v>
      </c>
      <c r="L1042" s="3" t="s">
        <v>72</v>
      </c>
      <c r="M1042" s="4">
        <v>876.85</v>
      </c>
    </row>
    <row r="1043">
      <c r="A1043" s="2">
        <v>45456</v>
      </c>
      <c r="B10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3" s="3" t="str">
        <f>YEAR(KMART_DATA[[#This Row],[Date]])&amp;"-"&amp;TEXT(MONTH(KMART_DATA[[#This Row],[Date]]),"00")</f>
        <v>2024-06</v>
      </c>
      <c r="D1043" s="3" t="s">
        <v>45</v>
      </c>
      <c r="E1043" s="3" t="s">
        <v>165</v>
      </c>
      <c r="F1043" s="3" t="s">
        <v>9</v>
      </c>
      <c r="G10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43" s="3" t="s">
        <v>166</v>
      </c>
      <c r="I1043" s="3" t="s">
        <v>31</v>
      </c>
      <c r="J1043" s="3" t="s">
        <v>99</v>
      </c>
      <c r="K1043" s="3" t="s">
        <v>43</v>
      </c>
      <c r="L1043" s="3" t="s">
        <v>44</v>
      </c>
      <c r="M1043" s="4">
        <v>1406.64</v>
      </c>
    </row>
    <row r="1044">
      <c r="A1044" s="2">
        <v>45456</v>
      </c>
      <c r="B10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4" s="3" t="str">
        <f>YEAR(KMART_DATA[[#This Row],[Date]])&amp;"-"&amp;TEXT(MONTH(KMART_DATA[[#This Row],[Date]]),"00")</f>
        <v>2024-06</v>
      </c>
      <c r="D1044" s="3" t="s">
        <v>28</v>
      </c>
      <c r="E1044" s="3" t="s">
        <v>197</v>
      </c>
      <c r="F1044" s="3" t="s">
        <v>9</v>
      </c>
      <c r="G10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44" s="3" t="s">
        <v>198</v>
      </c>
      <c r="I1044" s="3" t="s">
        <v>31</v>
      </c>
      <c r="J1044" s="3" t="s">
        <v>107</v>
      </c>
      <c r="K1044" s="3" t="s">
        <v>33</v>
      </c>
      <c r="L1044" s="3" t="s">
        <v>34</v>
      </c>
      <c r="M1044" s="4">
        <v>3776.98</v>
      </c>
    </row>
    <row r="1045">
      <c r="A1045" s="2">
        <v>45456</v>
      </c>
      <c r="B10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5" s="3" t="str">
        <f>YEAR(KMART_DATA[[#This Row],[Date]])&amp;"-"&amp;TEXT(MONTH(KMART_DATA[[#This Row],[Date]]),"00")</f>
        <v>2024-06</v>
      </c>
      <c r="D1045" s="3" t="s">
        <v>45</v>
      </c>
      <c r="E1045" s="3" t="s">
        <v>262</v>
      </c>
      <c r="F1045" s="3" t="s">
        <v>10</v>
      </c>
      <c r="G10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45" s="3" t="s">
        <v>263</v>
      </c>
      <c r="I1045" s="3" t="s">
        <v>31</v>
      </c>
      <c r="J1045" s="3" t="s">
        <v>120</v>
      </c>
      <c r="K1045" s="3" t="s">
        <v>57</v>
      </c>
      <c r="L1045" s="3" t="s">
        <v>58</v>
      </c>
      <c r="M1045" s="4">
        <v>5652.74</v>
      </c>
    </row>
    <row r="1046">
      <c r="A1046" s="2">
        <v>45457</v>
      </c>
      <c r="B10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6" s="3" t="str">
        <f>YEAR(KMART_DATA[[#This Row],[Date]])&amp;"-"&amp;TEXT(MONTH(KMART_DATA[[#This Row],[Date]]),"00")</f>
        <v>2024-06</v>
      </c>
      <c r="D1046" s="3" t="s">
        <v>45</v>
      </c>
      <c r="E1046" s="3" t="s">
        <v>211</v>
      </c>
      <c r="F1046" s="3" t="s">
        <v>9</v>
      </c>
      <c r="G10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46" s="3" t="s">
        <v>212</v>
      </c>
      <c r="I1046" s="3" t="s">
        <v>31</v>
      </c>
      <c r="J1046" s="3" t="s">
        <v>75</v>
      </c>
      <c r="K1046" s="3" t="s">
        <v>38</v>
      </c>
      <c r="L1046" s="3" t="s">
        <v>39</v>
      </c>
      <c r="M1046" s="4">
        <v>80.45</v>
      </c>
    </row>
    <row r="1047">
      <c r="A1047" s="2">
        <v>45457</v>
      </c>
      <c r="B10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7" s="3" t="str">
        <f>YEAR(KMART_DATA[[#This Row],[Date]])&amp;"-"&amp;TEXT(MONTH(KMART_DATA[[#This Row],[Date]]),"00")</f>
        <v>2024-06</v>
      </c>
      <c r="D1047" s="3" t="s">
        <v>28</v>
      </c>
      <c r="E1047" s="3" t="s">
        <v>160</v>
      </c>
      <c r="F1047" s="3" t="s">
        <v>12</v>
      </c>
      <c r="G10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47" s="3" t="s">
        <v>161</v>
      </c>
      <c r="I1047" s="3" t="s">
        <v>31</v>
      </c>
      <c r="J1047" s="3" t="s">
        <v>162</v>
      </c>
      <c r="K1047" s="3" t="s">
        <v>112</v>
      </c>
      <c r="L1047" s="3" t="s">
        <v>113</v>
      </c>
      <c r="M1047" s="4">
        <v>131.78</v>
      </c>
    </row>
    <row r="1048">
      <c r="A1048" s="2">
        <v>45457</v>
      </c>
      <c r="B10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8" s="3" t="str">
        <f>YEAR(KMART_DATA[[#This Row],[Date]])&amp;"-"&amp;TEXT(MONTH(KMART_DATA[[#This Row],[Date]]),"00")</f>
        <v>2024-06</v>
      </c>
      <c r="D1048" s="3" t="s">
        <v>45</v>
      </c>
      <c r="E1048" s="3" t="s">
        <v>236</v>
      </c>
      <c r="F1048" s="3" t="s">
        <v>12</v>
      </c>
      <c r="G10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48" s="3" t="s">
        <v>237</v>
      </c>
      <c r="I1048" s="3" t="s">
        <v>31</v>
      </c>
      <c r="J1048" s="3" t="s">
        <v>102</v>
      </c>
      <c r="K1048" s="3" t="s">
        <v>71</v>
      </c>
      <c r="L1048" s="3" t="s">
        <v>72</v>
      </c>
      <c r="M1048" s="4">
        <v>253.38</v>
      </c>
    </row>
    <row r="1049">
      <c r="A1049" s="2">
        <v>45457</v>
      </c>
      <c r="B10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49" s="3" t="str">
        <f>YEAR(KMART_DATA[[#This Row],[Date]])&amp;"-"&amp;TEXT(MONTH(KMART_DATA[[#This Row],[Date]]),"00")</f>
        <v>2024-06</v>
      </c>
      <c r="D1049" s="3" t="s">
        <v>28</v>
      </c>
      <c r="E1049" s="3" t="s">
        <v>195</v>
      </c>
      <c r="F1049" s="3" t="s">
        <v>11</v>
      </c>
      <c r="G10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49" s="3" t="s">
        <v>196</v>
      </c>
      <c r="I1049" s="3" t="s">
        <v>31</v>
      </c>
      <c r="J1049" s="3" t="s">
        <v>32</v>
      </c>
      <c r="K1049" s="3" t="s">
        <v>123</v>
      </c>
      <c r="L1049" s="3" t="s">
        <v>124</v>
      </c>
      <c r="M1049" s="4">
        <v>285.39</v>
      </c>
    </row>
    <row r="1050">
      <c r="A1050" s="2">
        <v>45457</v>
      </c>
      <c r="B10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0" s="3" t="str">
        <f>YEAR(KMART_DATA[[#This Row],[Date]])&amp;"-"&amp;TEXT(MONTH(KMART_DATA[[#This Row],[Date]]),"00")</f>
        <v>2024-06</v>
      </c>
      <c r="D1050" s="3" t="s">
        <v>28</v>
      </c>
      <c r="E1050" s="3" t="s">
        <v>209</v>
      </c>
      <c r="F1050" s="3" t="s">
        <v>9</v>
      </c>
      <c r="G10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50" s="3" t="s">
        <v>210</v>
      </c>
      <c r="I1050" s="3" t="s">
        <v>31</v>
      </c>
      <c r="J1050" s="3" t="s">
        <v>81</v>
      </c>
      <c r="K1050" s="3" t="s">
        <v>66</v>
      </c>
      <c r="L1050" s="3" t="s">
        <v>67</v>
      </c>
      <c r="M1050" s="4">
        <v>935.17</v>
      </c>
    </row>
    <row r="1051">
      <c r="A1051" s="2">
        <v>45458</v>
      </c>
      <c r="B10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1" s="3" t="str">
        <f>YEAR(KMART_DATA[[#This Row],[Date]])&amp;"-"&amp;TEXT(MONTH(KMART_DATA[[#This Row],[Date]]),"00")</f>
        <v>2024-06</v>
      </c>
      <c r="D1051" s="3" t="s">
        <v>28</v>
      </c>
      <c r="E1051" s="3" t="s">
        <v>76</v>
      </c>
      <c r="F1051" s="3" t="s">
        <v>11</v>
      </c>
      <c r="G10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51" s="3" t="s">
        <v>77</v>
      </c>
      <c r="I1051" s="3" t="s">
        <v>31</v>
      </c>
      <c r="J1051" s="3" t="s">
        <v>78</v>
      </c>
      <c r="K1051" s="3" t="s">
        <v>112</v>
      </c>
      <c r="L1051" s="3" t="s">
        <v>113</v>
      </c>
      <c r="M1051" s="4">
        <v>9.98</v>
      </c>
    </row>
    <row r="1052">
      <c r="A1052" s="2">
        <v>45458</v>
      </c>
      <c r="B10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2" s="3" t="str">
        <f>YEAR(KMART_DATA[[#This Row],[Date]])&amp;"-"&amp;TEXT(MONTH(KMART_DATA[[#This Row],[Date]]),"00")</f>
        <v>2024-06</v>
      </c>
      <c r="D1052" s="3" t="s">
        <v>28</v>
      </c>
      <c r="E1052" s="3" t="s">
        <v>133</v>
      </c>
      <c r="F1052" s="3" t="s">
        <v>10</v>
      </c>
      <c r="G10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52" s="3" t="s">
        <v>134</v>
      </c>
      <c r="I1052" s="3" t="s">
        <v>31</v>
      </c>
      <c r="J1052" s="3" t="s">
        <v>37</v>
      </c>
      <c r="K1052" s="3" t="s">
        <v>46</v>
      </c>
      <c r="L1052" s="3" t="s">
        <v>47</v>
      </c>
      <c r="M1052" s="4">
        <v>23.96</v>
      </c>
    </row>
    <row r="1053">
      <c r="A1053" s="2">
        <v>45458</v>
      </c>
      <c r="B10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3" s="3" t="str">
        <f>YEAR(KMART_DATA[[#This Row],[Date]])&amp;"-"&amp;TEXT(MONTH(KMART_DATA[[#This Row],[Date]]),"00")</f>
        <v>2024-06</v>
      </c>
      <c r="D1053" s="3" t="s">
        <v>28</v>
      </c>
      <c r="E1053" s="3" t="s">
        <v>207</v>
      </c>
      <c r="F1053" s="3" t="s">
        <v>11</v>
      </c>
      <c r="G10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53" s="3" t="s">
        <v>208</v>
      </c>
      <c r="I1053" s="3" t="s">
        <v>31</v>
      </c>
      <c r="J1053" s="3" t="s">
        <v>78</v>
      </c>
      <c r="K1053" s="3" t="s">
        <v>71</v>
      </c>
      <c r="L1053" s="3" t="s">
        <v>72</v>
      </c>
      <c r="M1053" s="4">
        <v>25.96</v>
      </c>
    </row>
    <row r="1054">
      <c r="A1054" s="2">
        <v>45458</v>
      </c>
      <c r="B10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4" s="3" t="str">
        <f>YEAR(KMART_DATA[[#This Row],[Date]])&amp;"-"&amp;TEXT(MONTH(KMART_DATA[[#This Row],[Date]]),"00")</f>
        <v>2024-06</v>
      </c>
      <c r="D1054" s="3" t="s">
        <v>28</v>
      </c>
      <c r="E1054" s="3" t="s">
        <v>51</v>
      </c>
      <c r="F1054" s="3" t="s">
        <v>15</v>
      </c>
      <c r="G10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054" s="3" t="s">
        <v>52</v>
      </c>
      <c r="I1054" s="3" t="s">
        <v>31</v>
      </c>
      <c r="J1054" s="3" t="s">
        <v>53</v>
      </c>
      <c r="K1054" s="3" t="s">
        <v>38</v>
      </c>
      <c r="L1054" s="3" t="s">
        <v>39</v>
      </c>
      <c r="M1054" s="4">
        <v>111.79</v>
      </c>
    </row>
    <row r="1055">
      <c r="A1055" s="2">
        <v>45458</v>
      </c>
      <c r="B10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5" s="3" t="str">
        <f>YEAR(KMART_DATA[[#This Row],[Date]])&amp;"-"&amp;TEXT(MONTH(KMART_DATA[[#This Row],[Date]]),"00")</f>
        <v>2024-06</v>
      </c>
      <c r="D1055" s="3" t="s">
        <v>45</v>
      </c>
      <c r="E1055" s="3" t="s">
        <v>85</v>
      </c>
      <c r="F1055" s="3" t="s">
        <v>9</v>
      </c>
      <c r="G10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55" s="3" t="s">
        <v>86</v>
      </c>
      <c r="I1055" s="3" t="s">
        <v>31</v>
      </c>
      <c r="J1055" s="3" t="s">
        <v>81</v>
      </c>
      <c r="K1055" s="3" t="s">
        <v>57</v>
      </c>
      <c r="L1055" s="3" t="s">
        <v>58</v>
      </c>
      <c r="M1055" s="4">
        <v>151.89</v>
      </c>
    </row>
    <row r="1056">
      <c r="A1056" s="2">
        <v>45458</v>
      </c>
      <c r="B10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6" s="3" t="str">
        <f>YEAR(KMART_DATA[[#This Row],[Date]])&amp;"-"&amp;TEXT(MONTH(KMART_DATA[[#This Row],[Date]]),"00")</f>
        <v>2024-06</v>
      </c>
      <c r="D1056" s="3" t="s">
        <v>28</v>
      </c>
      <c r="E1056" s="3" t="s">
        <v>137</v>
      </c>
      <c r="F1056" s="3" t="s">
        <v>10</v>
      </c>
      <c r="G10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56" s="3" t="s">
        <v>138</v>
      </c>
      <c r="I1056" s="3" t="s">
        <v>31</v>
      </c>
      <c r="J1056" s="3" t="s">
        <v>89</v>
      </c>
      <c r="K1056" s="3" t="s">
        <v>33</v>
      </c>
      <c r="L1056" s="3" t="s">
        <v>34</v>
      </c>
      <c r="M1056" s="4">
        <v>264.29</v>
      </c>
    </row>
    <row r="1057">
      <c r="A1057" s="2">
        <v>45458</v>
      </c>
      <c r="B10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7" s="3" t="str">
        <f>YEAR(KMART_DATA[[#This Row],[Date]])&amp;"-"&amp;TEXT(MONTH(KMART_DATA[[#This Row],[Date]]),"00")</f>
        <v>2024-06</v>
      </c>
      <c r="D1057" s="3" t="s">
        <v>28</v>
      </c>
      <c r="E1057" s="3" t="s">
        <v>167</v>
      </c>
      <c r="F1057" s="3" t="s">
        <v>12</v>
      </c>
      <c r="G10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57" s="3" t="s">
        <v>168</v>
      </c>
      <c r="I1057" s="3" t="s">
        <v>31</v>
      </c>
      <c r="J1057" s="3" t="s">
        <v>102</v>
      </c>
      <c r="K1057" s="3" t="s">
        <v>123</v>
      </c>
      <c r="L1057" s="3" t="s">
        <v>124</v>
      </c>
      <c r="M1057" s="4">
        <v>508.53</v>
      </c>
    </row>
    <row r="1058">
      <c r="A1058" s="2">
        <v>45459</v>
      </c>
      <c r="B10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8" s="3" t="str">
        <f>YEAR(KMART_DATA[[#This Row],[Date]])&amp;"-"&amp;TEXT(MONTH(KMART_DATA[[#This Row],[Date]]),"00")</f>
        <v>2024-06</v>
      </c>
      <c r="D1058" s="3" t="s">
        <v>28</v>
      </c>
      <c r="E1058" s="3" t="s">
        <v>133</v>
      </c>
      <c r="F1058" s="3" t="s">
        <v>10</v>
      </c>
      <c r="G10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58" s="3" t="s">
        <v>134</v>
      </c>
      <c r="I1058" s="3" t="s">
        <v>31</v>
      </c>
      <c r="J1058" s="3" t="s">
        <v>37</v>
      </c>
      <c r="K1058" s="3" t="s">
        <v>43</v>
      </c>
      <c r="L1058" s="3" t="s">
        <v>44</v>
      </c>
      <c r="M1058" s="4">
        <v>1.0</v>
      </c>
    </row>
    <row r="1059">
      <c r="A1059" s="2">
        <v>45459</v>
      </c>
      <c r="B10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59" s="3" t="str">
        <f>YEAR(KMART_DATA[[#This Row],[Date]])&amp;"-"&amp;TEXT(MONTH(KMART_DATA[[#This Row],[Date]]),"00")</f>
        <v>2024-06</v>
      </c>
      <c r="D1059" s="3" t="s">
        <v>28</v>
      </c>
      <c r="E1059" s="3" t="s">
        <v>195</v>
      </c>
      <c r="F1059" s="3" t="s">
        <v>11</v>
      </c>
      <c r="G10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59" s="3" t="s">
        <v>196</v>
      </c>
      <c r="I1059" s="3" t="s">
        <v>31</v>
      </c>
      <c r="J1059" s="3" t="s">
        <v>32</v>
      </c>
      <c r="K1059" s="3" t="s">
        <v>112</v>
      </c>
      <c r="L1059" s="3" t="s">
        <v>113</v>
      </c>
      <c r="M1059" s="4">
        <v>5.99</v>
      </c>
    </row>
    <row r="1060">
      <c r="A1060" s="2">
        <v>45459</v>
      </c>
      <c r="B106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0" s="3" t="str">
        <f>YEAR(KMART_DATA[[#This Row],[Date]])&amp;"-"&amp;TEXT(MONTH(KMART_DATA[[#This Row],[Date]]),"00")</f>
        <v>2024-06</v>
      </c>
      <c r="D1060" s="3" t="s">
        <v>28</v>
      </c>
      <c r="E1060" s="3" t="s">
        <v>105</v>
      </c>
      <c r="F1060" s="3" t="s">
        <v>9</v>
      </c>
      <c r="G10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60" s="3" t="s">
        <v>106</v>
      </c>
      <c r="I1060" s="3" t="s">
        <v>31</v>
      </c>
      <c r="J1060" s="3" t="s">
        <v>107</v>
      </c>
      <c r="K1060" s="3" t="s">
        <v>57</v>
      </c>
      <c r="L1060" s="3" t="s">
        <v>58</v>
      </c>
      <c r="M1060" s="4">
        <v>7343.31</v>
      </c>
    </row>
    <row r="1061">
      <c r="A1061" s="2">
        <v>45460</v>
      </c>
      <c r="B106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1" s="3" t="str">
        <f>YEAR(KMART_DATA[[#This Row],[Date]])&amp;"-"&amp;TEXT(MONTH(KMART_DATA[[#This Row],[Date]]),"00")</f>
        <v>2024-06</v>
      </c>
      <c r="D1061" s="3" t="s">
        <v>45</v>
      </c>
      <c r="E1061" s="3" t="s">
        <v>260</v>
      </c>
      <c r="F1061" s="3" t="s">
        <v>10</v>
      </c>
      <c r="G10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61" s="3" t="s">
        <v>261</v>
      </c>
      <c r="I1061" s="3" t="s">
        <v>31</v>
      </c>
      <c r="J1061" s="3" t="s">
        <v>89</v>
      </c>
      <c r="K1061" s="3" t="s">
        <v>46</v>
      </c>
      <c r="L1061" s="3" t="s">
        <v>47</v>
      </c>
      <c r="M1061" s="4">
        <v>168.79</v>
      </c>
    </row>
    <row r="1062">
      <c r="A1062" s="2">
        <v>45460</v>
      </c>
      <c r="B106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2" s="3" t="str">
        <f>YEAR(KMART_DATA[[#This Row],[Date]])&amp;"-"&amp;TEXT(MONTH(KMART_DATA[[#This Row],[Date]]),"00")</f>
        <v>2024-06</v>
      </c>
      <c r="D1062" s="3" t="s">
        <v>28</v>
      </c>
      <c r="E1062" s="3" t="s">
        <v>167</v>
      </c>
      <c r="F1062" s="3" t="s">
        <v>12</v>
      </c>
      <c r="G10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62" s="3" t="s">
        <v>168</v>
      </c>
      <c r="I1062" s="3" t="s">
        <v>31</v>
      </c>
      <c r="J1062" s="3" t="s">
        <v>102</v>
      </c>
      <c r="K1062" s="3" t="s">
        <v>46</v>
      </c>
      <c r="L1062" s="3" t="s">
        <v>47</v>
      </c>
      <c r="M1062" s="4">
        <v>624.29</v>
      </c>
    </row>
    <row r="1063">
      <c r="A1063" s="2">
        <v>45460</v>
      </c>
      <c r="B106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3" s="3" t="str">
        <f>YEAR(KMART_DATA[[#This Row],[Date]])&amp;"-"&amp;TEXT(MONTH(KMART_DATA[[#This Row],[Date]]),"00")</f>
        <v>2024-06</v>
      </c>
      <c r="D1063" s="3" t="s">
        <v>28</v>
      </c>
      <c r="E1063" s="3" t="s">
        <v>114</v>
      </c>
      <c r="F1063" s="3" t="s">
        <v>9</v>
      </c>
      <c r="G10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63" s="3" t="s">
        <v>115</v>
      </c>
      <c r="I1063" s="3" t="s">
        <v>31</v>
      </c>
      <c r="J1063" s="3" t="s">
        <v>99</v>
      </c>
      <c r="K1063" s="3" t="s">
        <v>43</v>
      </c>
      <c r="L1063" s="3" t="s">
        <v>44</v>
      </c>
      <c r="M1063" s="4">
        <v>661.56</v>
      </c>
    </row>
    <row r="1064">
      <c r="A1064" s="2">
        <v>45460</v>
      </c>
      <c r="B106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4" s="3" t="str">
        <f>YEAR(KMART_DATA[[#This Row],[Date]])&amp;"-"&amp;TEXT(MONTH(KMART_DATA[[#This Row],[Date]]),"00")</f>
        <v>2024-06</v>
      </c>
      <c r="D1064" s="3" t="s">
        <v>28</v>
      </c>
      <c r="E1064" s="3" t="s">
        <v>260</v>
      </c>
      <c r="F1064" s="3" t="s">
        <v>10</v>
      </c>
      <c r="G10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64" s="3" t="s">
        <v>261</v>
      </c>
      <c r="I1064" s="3" t="s">
        <v>31</v>
      </c>
      <c r="J1064" s="3" t="s">
        <v>89</v>
      </c>
      <c r="K1064" s="3" t="s">
        <v>46</v>
      </c>
      <c r="L1064" s="3" t="s">
        <v>47</v>
      </c>
      <c r="M1064" s="4">
        <v>1878.09</v>
      </c>
    </row>
    <row r="1065">
      <c r="A1065" s="2">
        <v>45461</v>
      </c>
      <c r="B106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5" s="3" t="str">
        <f>YEAR(KMART_DATA[[#This Row],[Date]])&amp;"-"&amp;TEXT(MONTH(KMART_DATA[[#This Row],[Date]]),"00")</f>
        <v>2024-06</v>
      </c>
      <c r="D1065" s="3" t="s">
        <v>28</v>
      </c>
      <c r="E1065" s="3" t="s">
        <v>177</v>
      </c>
      <c r="F1065" s="3" t="s">
        <v>12</v>
      </c>
      <c r="G10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65" s="3" t="s">
        <v>178</v>
      </c>
      <c r="I1065" s="3" t="s">
        <v>31</v>
      </c>
      <c r="J1065" s="3" t="s">
        <v>162</v>
      </c>
      <c r="K1065" s="3" t="s">
        <v>46</v>
      </c>
      <c r="L1065" s="3" t="s">
        <v>47</v>
      </c>
      <c r="M1065" s="4">
        <v>19.0</v>
      </c>
    </row>
    <row r="1066">
      <c r="A1066" s="2">
        <v>45461</v>
      </c>
      <c r="B106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6" s="3" t="str">
        <f>YEAR(KMART_DATA[[#This Row],[Date]])&amp;"-"&amp;TEXT(MONTH(KMART_DATA[[#This Row],[Date]]),"00")</f>
        <v>2024-06</v>
      </c>
      <c r="D1066" s="3" t="s">
        <v>28</v>
      </c>
      <c r="E1066" s="3" t="s">
        <v>191</v>
      </c>
      <c r="F1066" s="3" t="s">
        <v>10</v>
      </c>
      <c r="G10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66" s="3" t="s">
        <v>192</v>
      </c>
      <c r="I1066" s="3" t="s">
        <v>31</v>
      </c>
      <c r="J1066" s="3" t="s">
        <v>120</v>
      </c>
      <c r="K1066" s="3" t="s">
        <v>43</v>
      </c>
      <c r="L1066" s="3" t="s">
        <v>44</v>
      </c>
      <c r="M1066" s="4">
        <v>34.95</v>
      </c>
    </row>
    <row r="1067">
      <c r="A1067" s="2">
        <v>45461</v>
      </c>
      <c r="B106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7" s="3" t="str">
        <f>YEAR(KMART_DATA[[#This Row],[Date]])&amp;"-"&amp;TEXT(MONTH(KMART_DATA[[#This Row],[Date]]),"00")</f>
        <v>2024-06</v>
      </c>
      <c r="D1067" s="3" t="s">
        <v>45</v>
      </c>
      <c r="E1067" s="3" t="s">
        <v>193</v>
      </c>
      <c r="F1067" s="3" t="s">
        <v>9</v>
      </c>
      <c r="G10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67" s="3" t="s">
        <v>194</v>
      </c>
      <c r="I1067" s="3" t="s">
        <v>31</v>
      </c>
      <c r="J1067" s="3" t="s">
        <v>99</v>
      </c>
      <c r="K1067" s="3" t="s">
        <v>66</v>
      </c>
      <c r="L1067" s="3" t="s">
        <v>67</v>
      </c>
      <c r="M1067" s="4">
        <v>70.93</v>
      </c>
    </row>
    <row r="1068">
      <c r="A1068" s="2">
        <v>45461</v>
      </c>
      <c r="B106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8" s="3" t="str">
        <f>YEAR(KMART_DATA[[#This Row],[Date]])&amp;"-"&amp;TEXT(MONTH(KMART_DATA[[#This Row],[Date]]),"00")</f>
        <v>2024-06</v>
      </c>
      <c r="D1068" s="3" t="s">
        <v>45</v>
      </c>
      <c r="E1068" s="3" t="s">
        <v>185</v>
      </c>
      <c r="F1068" s="3" t="s">
        <v>12</v>
      </c>
      <c r="G10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68" s="3" t="s">
        <v>186</v>
      </c>
      <c r="I1068" s="3" t="s">
        <v>31</v>
      </c>
      <c r="J1068" s="3" t="s">
        <v>162</v>
      </c>
      <c r="K1068" s="3" t="s">
        <v>112</v>
      </c>
      <c r="L1068" s="3" t="s">
        <v>113</v>
      </c>
      <c r="M1068" s="4">
        <v>83.86</v>
      </c>
    </row>
    <row r="1069">
      <c r="A1069" s="2">
        <v>45461</v>
      </c>
      <c r="B106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69" s="3" t="str">
        <f>YEAR(KMART_DATA[[#This Row],[Date]])&amp;"-"&amp;TEXT(MONTH(KMART_DATA[[#This Row],[Date]]),"00")</f>
        <v>2024-06</v>
      </c>
      <c r="D1069" s="3" t="s">
        <v>45</v>
      </c>
      <c r="E1069" s="3" t="s">
        <v>79</v>
      </c>
      <c r="F1069" s="3" t="s">
        <v>9</v>
      </c>
      <c r="G10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69" s="3" t="s">
        <v>80</v>
      </c>
      <c r="I1069" s="3" t="s">
        <v>31</v>
      </c>
      <c r="J1069" s="3" t="s">
        <v>81</v>
      </c>
      <c r="K1069" s="3" t="s">
        <v>123</v>
      </c>
      <c r="L1069" s="3" t="s">
        <v>124</v>
      </c>
      <c r="M1069" s="4">
        <v>168.74</v>
      </c>
    </row>
    <row r="1070">
      <c r="A1070" s="2">
        <v>45461</v>
      </c>
      <c r="B107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0" s="3" t="str">
        <f>YEAR(KMART_DATA[[#This Row],[Date]])&amp;"-"&amp;TEXT(MONTH(KMART_DATA[[#This Row],[Date]]),"00")</f>
        <v>2024-06</v>
      </c>
      <c r="D1070" s="3" t="s">
        <v>45</v>
      </c>
      <c r="E1070" s="3" t="s">
        <v>264</v>
      </c>
      <c r="F1070" s="3" t="s">
        <v>13</v>
      </c>
      <c r="G10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070" s="3" t="s">
        <v>265</v>
      </c>
      <c r="I1070" s="3" t="s">
        <v>31</v>
      </c>
      <c r="J1070" s="3" t="s">
        <v>42</v>
      </c>
      <c r="K1070" s="3" t="s">
        <v>33</v>
      </c>
      <c r="L1070" s="3" t="s">
        <v>34</v>
      </c>
      <c r="M1070" s="4">
        <v>195.16</v>
      </c>
    </row>
    <row r="1071">
      <c r="A1071" s="2">
        <v>45461</v>
      </c>
      <c r="B107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1" s="3" t="str">
        <f>YEAR(KMART_DATA[[#This Row],[Date]])&amp;"-"&amp;TEXT(MONTH(KMART_DATA[[#This Row],[Date]]),"00")</f>
        <v>2024-06</v>
      </c>
      <c r="D1071" s="3" t="s">
        <v>28</v>
      </c>
      <c r="E1071" s="3" t="s">
        <v>110</v>
      </c>
      <c r="F1071" s="3" t="s">
        <v>9</v>
      </c>
      <c r="G10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71" s="3" t="s">
        <v>111</v>
      </c>
      <c r="I1071" s="3" t="s">
        <v>31</v>
      </c>
      <c r="J1071" s="3" t="s">
        <v>81</v>
      </c>
      <c r="K1071" s="3" t="s">
        <v>71</v>
      </c>
      <c r="L1071" s="3" t="s">
        <v>72</v>
      </c>
      <c r="M1071" s="4">
        <v>239.84</v>
      </c>
    </row>
    <row r="1072">
      <c r="A1072" s="2">
        <v>45461</v>
      </c>
      <c r="B107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2" s="3" t="str">
        <f>YEAR(KMART_DATA[[#This Row],[Date]])&amp;"-"&amp;TEXT(MONTH(KMART_DATA[[#This Row],[Date]]),"00")</f>
        <v>2024-06</v>
      </c>
      <c r="D1072" s="3" t="s">
        <v>45</v>
      </c>
      <c r="E1072" s="3" t="s">
        <v>201</v>
      </c>
      <c r="F1072" s="3" t="s">
        <v>10</v>
      </c>
      <c r="G10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72" s="3" t="s">
        <v>202</v>
      </c>
      <c r="I1072" s="3" t="s">
        <v>31</v>
      </c>
      <c r="J1072" s="3" t="s">
        <v>89</v>
      </c>
      <c r="K1072" s="3" t="s">
        <v>46</v>
      </c>
      <c r="L1072" s="3" t="s">
        <v>47</v>
      </c>
      <c r="M1072" s="4">
        <v>250.81</v>
      </c>
    </row>
    <row r="1073">
      <c r="A1073" s="2">
        <v>45461</v>
      </c>
      <c r="B107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3" s="3" t="str">
        <f>YEAR(KMART_DATA[[#This Row],[Date]])&amp;"-"&amp;TEXT(MONTH(KMART_DATA[[#This Row],[Date]]),"00")</f>
        <v>2024-06</v>
      </c>
      <c r="D1073" s="3" t="s">
        <v>45</v>
      </c>
      <c r="E1073" s="3" t="s">
        <v>250</v>
      </c>
      <c r="F1073" s="3" t="s">
        <v>10</v>
      </c>
      <c r="G10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73" s="3" t="s">
        <v>251</v>
      </c>
      <c r="I1073" s="3" t="s">
        <v>31</v>
      </c>
      <c r="J1073" s="3" t="s">
        <v>37</v>
      </c>
      <c r="K1073" s="3" t="s">
        <v>71</v>
      </c>
      <c r="L1073" s="3" t="s">
        <v>72</v>
      </c>
      <c r="M1073" s="4">
        <v>843.84</v>
      </c>
    </row>
    <row r="1074">
      <c r="A1074" s="2">
        <v>45461</v>
      </c>
      <c r="B107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4" s="3" t="str">
        <f>YEAR(KMART_DATA[[#This Row],[Date]])&amp;"-"&amp;TEXT(MONTH(KMART_DATA[[#This Row],[Date]]),"00")</f>
        <v>2024-06</v>
      </c>
      <c r="D1074" s="3" t="s">
        <v>45</v>
      </c>
      <c r="E1074" s="3" t="s">
        <v>141</v>
      </c>
      <c r="F1074" s="3" t="s">
        <v>9</v>
      </c>
      <c r="G10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74" s="3" t="s">
        <v>142</v>
      </c>
      <c r="I1074" s="3" t="s">
        <v>31</v>
      </c>
      <c r="J1074" s="3" t="s">
        <v>107</v>
      </c>
      <c r="K1074" s="3" t="s">
        <v>33</v>
      </c>
      <c r="L1074" s="3" t="s">
        <v>34</v>
      </c>
      <c r="M1074" s="4">
        <v>1135.76</v>
      </c>
    </row>
    <row r="1075">
      <c r="A1075" s="2">
        <v>45462</v>
      </c>
      <c r="B107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5" s="3" t="str">
        <f>YEAR(KMART_DATA[[#This Row],[Date]])&amp;"-"&amp;TEXT(MONTH(KMART_DATA[[#This Row],[Date]]),"00")</f>
        <v>2024-06</v>
      </c>
      <c r="D1075" s="3" t="s">
        <v>45</v>
      </c>
      <c r="E1075" s="3" t="s">
        <v>103</v>
      </c>
      <c r="F1075" s="3" t="s">
        <v>12</v>
      </c>
      <c r="G10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75" s="3" t="s">
        <v>104</v>
      </c>
      <c r="I1075" s="3" t="s">
        <v>31</v>
      </c>
      <c r="J1075" s="3" t="s">
        <v>102</v>
      </c>
      <c r="K1075" s="3" t="s">
        <v>43</v>
      </c>
      <c r="L1075" s="3" t="s">
        <v>44</v>
      </c>
      <c r="M1075" s="4">
        <v>52.94</v>
      </c>
    </row>
    <row r="1076">
      <c r="A1076" s="2">
        <v>45462</v>
      </c>
      <c r="B107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6" s="3" t="str">
        <f>YEAR(KMART_DATA[[#This Row],[Date]])&amp;"-"&amp;TEXT(MONTH(KMART_DATA[[#This Row],[Date]]),"00")</f>
        <v>2024-06</v>
      </c>
      <c r="D1076" s="3" t="s">
        <v>28</v>
      </c>
      <c r="E1076" s="3" t="s">
        <v>217</v>
      </c>
      <c r="F1076" s="3" t="s">
        <v>10</v>
      </c>
      <c r="G10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76" s="3" t="s">
        <v>218</v>
      </c>
      <c r="I1076" s="3" t="s">
        <v>31</v>
      </c>
      <c r="J1076" s="3" t="s">
        <v>89</v>
      </c>
      <c r="K1076" s="3" t="s">
        <v>71</v>
      </c>
      <c r="L1076" s="3" t="s">
        <v>72</v>
      </c>
      <c r="M1076" s="4">
        <v>55.93</v>
      </c>
    </row>
    <row r="1077">
      <c r="A1077" s="2">
        <v>45462</v>
      </c>
      <c r="B107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7" s="3" t="str">
        <f>YEAR(KMART_DATA[[#This Row],[Date]])&amp;"-"&amp;TEXT(MONTH(KMART_DATA[[#This Row],[Date]]),"00")</f>
        <v>2024-06</v>
      </c>
      <c r="D1077" s="3" t="s">
        <v>28</v>
      </c>
      <c r="E1077" s="3" t="s">
        <v>154</v>
      </c>
      <c r="F1077" s="3" t="s">
        <v>11</v>
      </c>
      <c r="G10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77" s="3" t="s">
        <v>155</v>
      </c>
      <c r="I1077" s="3" t="s">
        <v>31</v>
      </c>
      <c r="J1077" s="3" t="s">
        <v>84</v>
      </c>
      <c r="K1077" s="3" t="s">
        <v>95</v>
      </c>
      <c r="L1077" s="3" t="s">
        <v>96</v>
      </c>
      <c r="M1077" s="4">
        <v>4884.71</v>
      </c>
    </row>
    <row r="1078">
      <c r="A1078" s="2">
        <v>45463</v>
      </c>
      <c r="B107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8" s="3" t="str">
        <f>YEAR(KMART_DATA[[#This Row],[Date]])&amp;"-"&amp;TEXT(MONTH(KMART_DATA[[#This Row],[Date]]),"00")</f>
        <v>2024-06</v>
      </c>
      <c r="D1078" s="3" t="s">
        <v>28</v>
      </c>
      <c r="E1078" s="3" t="s">
        <v>193</v>
      </c>
      <c r="F1078" s="3" t="s">
        <v>9</v>
      </c>
      <c r="G10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78" s="3" t="s">
        <v>194</v>
      </c>
      <c r="I1078" s="3" t="s">
        <v>31</v>
      </c>
      <c r="J1078" s="3" t="s">
        <v>99</v>
      </c>
      <c r="K1078" s="3" t="s">
        <v>66</v>
      </c>
      <c r="L1078" s="3" t="s">
        <v>67</v>
      </c>
      <c r="M1078" s="4">
        <v>1.89</v>
      </c>
    </row>
    <row r="1079">
      <c r="A1079" s="2">
        <v>45463</v>
      </c>
      <c r="B107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79" s="3" t="str">
        <f>YEAR(KMART_DATA[[#This Row],[Date]])&amp;"-"&amp;TEXT(MONTH(KMART_DATA[[#This Row],[Date]]),"00")</f>
        <v>2024-06</v>
      </c>
      <c r="D1079" s="3" t="s">
        <v>45</v>
      </c>
      <c r="E1079" s="3" t="s">
        <v>230</v>
      </c>
      <c r="F1079" s="3" t="s">
        <v>13</v>
      </c>
      <c r="G10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079" s="3" t="s">
        <v>231</v>
      </c>
      <c r="I1079" s="3" t="s">
        <v>31</v>
      </c>
      <c r="J1079" s="3" t="s">
        <v>227</v>
      </c>
      <c r="K1079" s="3" t="s">
        <v>71</v>
      </c>
      <c r="L1079" s="3" t="s">
        <v>72</v>
      </c>
      <c r="M1079" s="4">
        <v>17.46</v>
      </c>
    </row>
    <row r="1080">
      <c r="A1080" s="2">
        <v>45463</v>
      </c>
      <c r="B108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0" s="3" t="str">
        <f>YEAR(KMART_DATA[[#This Row],[Date]])&amp;"-"&amp;TEXT(MONTH(KMART_DATA[[#This Row],[Date]]),"00")</f>
        <v>2024-06</v>
      </c>
      <c r="D1080" s="3" t="s">
        <v>28</v>
      </c>
      <c r="E1080" s="3" t="s">
        <v>100</v>
      </c>
      <c r="F1080" s="3" t="s">
        <v>12</v>
      </c>
      <c r="G10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80" s="3" t="s">
        <v>101</v>
      </c>
      <c r="I1080" s="3" t="s">
        <v>31</v>
      </c>
      <c r="J1080" s="3" t="s">
        <v>102</v>
      </c>
      <c r="K1080" s="3" t="s">
        <v>112</v>
      </c>
      <c r="L1080" s="3" t="s">
        <v>113</v>
      </c>
      <c r="M1080" s="4">
        <v>61.91</v>
      </c>
    </row>
    <row r="1081">
      <c r="A1081" s="2">
        <v>45463</v>
      </c>
      <c r="B108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1" s="3" t="str">
        <f>YEAR(KMART_DATA[[#This Row],[Date]])&amp;"-"&amp;TEXT(MONTH(KMART_DATA[[#This Row],[Date]]),"00")</f>
        <v>2024-06</v>
      </c>
      <c r="D1081" s="3" t="s">
        <v>45</v>
      </c>
      <c r="E1081" s="3" t="s">
        <v>221</v>
      </c>
      <c r="F1081" s="3" t="s">
        <v>11</v>
      </c>
      <c r="G10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81" s="3" t="s">
        <v>222</v>
      </c>
      <c r="I1081" s="3" t="s">
        <v>31</v>
      </c>
      <c r="J1081" s="3" t="s">
        <v>56</v>
      </c>
      <c r="K1081" s="3" t="s">
        <v>43</v>
      </c>
      <c r="L1081" s="3" t="s">
        <v>44</v>
      </c>
      <c r="M1081" s="4">
        <v>65.49</v>
      </c>
    </row>
    <row r="1082">
      <c r="A1082" s="2">
        <v>45463</v>
      </c>
      <c r="B108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2" s="3" t="str">
        <f>YEAR(KMART_DATA[[#This Row],[Date]])&amp;"-"&amp;TEXT(MONTH(KMART_DATA[[#This Row],[Date]]),"00")</f>
        <v>2024-06</v>
      </c>
      <c r="D1082" s="3" t="s">
        <v>45</v>
      </c>
      <c r="E1082" s="3" t="s">
        <v>264</v>
      </c>
      <c r="F1082" s="3" t="s">
        <v>13</v>
      </c>
      <c r="G10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082" s="3" t="s">
        <v>265</v>
      </c>
      <c r="I1082" s="3" t="s">
        <v>31</v>
      </c>
      <c r="J1082" s="3" t="s">
        <v>42</v>
      </c>
      <c r="K1082" s="3" t="s">
        <v>95</v>
      </c>
      <c r="L1082" s="3" t="s">
        <v>96</v>
      </c>
      <c r="M1082" s="4">
        <v>91.01</v>
      </c>
    </row>
    <row r="1083">
      <c r="A1083" s="2">
        <v>45463</v>
      </c>
      <c r="B108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3" s="3" t="str">
        <f>YEAR(KMART_DATA[[#This Row],[Date]])&amp;"-"&amp;TEXT(MONTH(KMART_DATA[[#This Row],[Date]]),"00")</f>
        <v>2024-06</v>
      </c>
      <c r="D1083" s="3" t="s">
        <v>28</v>
      </c>
      <c r="E1083" s="3" t="s">
        <v>64</v>
      </c>
      <c r="F1083" s="3" t="s">
        <v>11</v>
      </c>
      <c r="G10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83" s="3" t="s">
        <v>65</v>
      </c>
      <c r="I1083" s="3" t="s">
        <v>31</v>
      </c>
      <c r="J1083" s="3" t="s">
        <v>61</v>
      </c>
      <c r="K1083" s="3" t="s">
        <v>38</v>
      </c>
      <c r="L1083" s="3" t="s">
        <v>39</v>
      </c>
      <c r="M1083" s="4">
        <v>303.4</v>
      </c>
    </row>
    <row r="1084">
      <c r="A1084" s="2">
        <v>45463</v>
      </c>
      <c r="B108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4" s="3" t="str">
        <f>YEAR(KMART_DATA[[#This Row],[Date]])&amp;"-"&amp;TEXT(MONTH(KMART_DATA[[#This Row],[Date]]),"00")</f>
        <v>2024-06</v>
      </c>
      <c r="D1084" s="3" t="s">
        <v>28</v>
      </c>
      <c r="E1084" s="3" t="s">
        <v>87</v>
      </c>
      <c r="F1084" s="3" t="s">
        <v>10</v>
      </c>
      <c r="G10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84" s="3" t="s">
        <v>88</v>
      </c>
      <c r="I1084" s="3" t="s">
        <v>31</v>
      </c>
      <c r="J1084" s="3" t="s">
        <v>89</v>
      </c>
      <c r="K1084" s="3" t="s">
        <v>43</v>
      </c>
      <c r="L1084" s="3" t="s">
        <v>44</v>
      </c>
      <c r="M1084" s="4">
        <v>541.25</v>
      </c>
    </row>
    <row r="1085">
      <c r="A1085" s="2">
        <v>45463</v>
      </c>
      <c r="B108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5" s="3" t="str">
        <f>YEAR(KMART_DATA[[#This Row],[Date]])&amp;"-"&amp;TEXT(MONTH(KMART_DATA[[#This Row],[Date]]),"00")</f>
        <v>2024-06</v>
      </c>
      <c r="D1085" s="3" t="s">
        <v>45</v>
      </c>
      <c r="E1085" s="3" t="s">
        <v>209</v>
      </c>
      <c r="F1085" s="3" t="s">
        <v>9</v>
      </c>
      <c r="G10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85" s="3" t="s">
        <v>210</v>
      </c>
      <c r="I1085" s="3" t="s">
        <v>31</v>
      </c>
      <c r="J1085" s="3" t="s">
        <v>81</v>
      </c>
      <c r="K1085" s="3" t="s">
        <v>71</v>
      </c>
      <c r="L1085" s="3" t="s">
        <v>72</v>
      </c>
      <c r="M1085" s="4">
        <v>1253.29</v>
      </c>
    </row>
    <row r="1086">
      <c r="A1086" s="2">
        <v>45463</v>
      </c>
      <c r="B108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6" s="3" t="str">
        <f>YEAR(KMART_DATA[[#This Row],[Date]])&amp;"-"&amp;TEXT(MONTH(KMART_DATA[[#This Row],[Date]]),"00")</f>
        <v>2024-06</v>
      </c>
      <c r="D1086" s="3" t="s">
        <v>28</v>
      </c>
      <c r="E1086" s="3" t="s">
        <v>90</v>
      </c>
      <c r="F1086" s="3" t="s">
        <v>10</v>
      </c>
      <c r="G10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86" s="3" t="s">
        <v>91</v>
      </c>
      <c r="I1086" s="3" t="s">
        <v>31</v>
      </c>
      <c r="J1086" s="3" t="s">
        <v>37</v>
      </c>
      <c r="K1086" s="3" t="s">
        <v>95</v>
      </c>
      <c r="L1086" s="3" t="s">
        <v>96</v>
      </c>
      <c r="M1086" s="4">
        <v>9965.91</v>
      </c>
    </row>
    <row r="1087">
      <c r="A1087" s="2">
        <v>45464</v>
      </c>
      <c r="B108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7" s="3" t="str">
        <f>YEAR(KMART_DATA[[#This Row],[Date]])&amp;"-"&amp;TEXT(MONTH(KMART_DATA[[#This Row],[Date]]),"00")</f>
        <v>2024-06</v>
      </c>
      <c r="D1087" s="3" t="s">
        <v>28</v>
      </c>
      <c r="E1087" s="3" t="s">
        <v>82</v>
      </c>
      <c r="F1087" s="3" t="s">
        <v>11</v>
      </c>
      <c r="G10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87" s="3" t="s">
        <v>83</v>
      </c>
      <c r="I1087" s="3" t="s">
        <v>31</v>
      </c>
      <c r="J1087" s="3" t="s">
        <v>84</v>
      </c>
      <c r="K1087" s="3" t="s">
        <v>43</v>
      </c>
      <c r="L1087" s="3" t="s">
        <v>44</v>
      </c>
      <c r="M1087" s="4">
        <v>10.25</v>
      </c>
    </row>
    <row r="1088">
      <c r="A1088" s="2">
        <v>45464</v>
      </c>
      <c r="B108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8" s="3" t="str">
        <f>YEAR(KMART_DATA[[#This Row],[Date]])&amp;"-"&amp;TEXT(MONTH(KMART_DATA[[#This Row],[Date]]),"00")</f>
        <v>2024-06</v>
      </c>
      <c r="D1088" s="3" t="s">
        <v>28</v>
      </c>
      <c r="E1088" s="3" t="s">
        <v>177</v>
      </c>
      <c r="F1088" s="3" t="s">
        <v>12</v>
      </c>
      <c r="G10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88" s="3" t="s">
        <v>178</v>
      </c>
      <c r="I1088" s="3" t="s">
        <v>31</v>
      </c>
      <c r="J1088" s="3" t="s">
        <v>162</v>
      </c>
      <c r="K1088" s="3" t="s">
        <v>43</v>
      </c>
      <c r="L1088" s="3" t="s">
        <v>44</v>
      </c>
      <c r="M1088" s="4">
        <v>277.35</v>
      </c>
    </row>
    <row r="1089">
      <c r="A1089" s="2">
        <v>45464</v>
      </c>
      <c r="B108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89" s="3" t="str">
        <f>YEAR(KMART_DATA[[#This Row],[Date]])&amp;"-"&amp;TEXT(MONTH(KMART_DATA[[#This Row],[Date]]),"00")</f>
        <v>2024-06</v>
      </c>
      <c r="D1089" s="3" t="s">
        <v>28</v>
      </c>
      <c r="E1089" s="3" t="s">
        <v>90</v>
      </c>
      <c r="F1089" s="3" t="s">
        <v>10</v>
      </c>
      <c r="G10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89" s="3" t="s">
        <v>91</v>
      </c>
      <c r="I1089" s="3" t="s">
        <v>31</v>
      </c>
      <c r="J1089" s="3" t="s">
        <v>37</v>
      </c>
      <c r="K1089" s="3" t="s">
        <v>38</v>
      </c>
      <c r="L1089" s="3" t="s">
        <v>39</v>
      </c>
      <c r="M1089" s="4">
        <v>359.22</v>
      </c>
    </row>
    <row r="1090">
      <c r="A1090" s="2">
        <v>45464</v>
      </c>
      <c r="B109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0" s="3" t="str">
        <f>YEAR(KMART_DATA[[#This Row],[Date]])&amp;"-"&amp;TEXT(MONTH(KMART_DATA[[#This Row],[Date]]),"00")</f>
        <v>2024-06</v>
      </c>
      <c r="D1090" s="3" t="s">
        <v>28</v>
      </c>
      <c r="E1090" s="3" t="s">
        <v>59</v>
      </c>
      <c r="F1090" s="3" t="s">
        <v>11</v>
      </c>
      <c r="G10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90" s="3" t="s">
        <v>60</v>
      </c>
      <c r="I1090" s="3" t="s">
        <v>31</v>
      </c>
      <c r="J1090" s="3" t="s">
        <v>61</v>
      </c>
      <c r="K1090" s="3" t="s">
        <v>95</v>
      </c>
      <c r="L1090" s="3" t="s">
        <v>96</v>
      </c>
      <c r="M1090" s="4">
        <v>5032.38</v>
      </c>
    </row>
    <row r="1091">
      <c r="A1091" s="2">
        <v>45465</v>
      </c>
      <c r="B109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1" s="3" t="str">
        <f>YEAR(KMART_DATA[[#This Row],[Date]])&amp;"-"&amp;TEXT(MONTH(KMART_DATA[[#This Row],[Date]]),"00")</f>
        <v>2024-06</v>
      </c>
      <c r="D1091" s="3" t="s">
        <v>45</v>
      </c>
      <c r="E1091" s="3" t="s">
        <v>97</v>
      </c>
      <c r="F1091" s="3" t="s">
        <v>9</v>
      </c>
      <c r="G10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91" s="3" t="s">
        <v>98</v>
      </c>
      <c r="I1091" s="3" t="s">
        <v>31</v>
      </c>
      <c r="J1091" s="3" t="s">
        <v>99</v>
      </c>
      <c r="K1091" s="3" t="s">
        <v>33</v>
      </c>
      <c r="L1091" s="3" t="s">
        <v>34</v>
      </c>
      <c r="M1091" s="4">
        <v>14.99</v>
      </c>
    </row>
    <row r="1092">
      <c r="A1092" s="2">
        <v>45465</v>
      </c>
      <c r="B109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2" s="3" t="str">
        <f>YEAR(KMART_DATA[[#This Row],[Date]])&amp;"-"&amp;TEXT(MONTH(KMART_DATA[[#This Row],[Date]]),"00")</f>
        <v>2024-06</v>
      </c>
      <c r="D1092" s="3" t="s">
        <v>28</v>
      </c>
      <c r="E1092" s="3" t="s">
        <v>51</v>
      </c>
      <c r="F1092" s="3" t="s">
        <v>15</v>
      </c>
      <c r="G10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092" s="3" t="s">
        <v>52</v>
      </c>
      <c r="I1092" s="3" t="s">
        <v>31</v>
      </c>
      <c r="J1092" s="3" t="s">
        <v>53</v>
      </c>
      <c r="K1092" s="3" t="s">
        <v>95</v>
      </c>
      <c r="L1092" s="3" t="s">
        <v>96</v>
      </c>
      <c r="M1092" s="4">
        <v>25.95</v>
      </c>
    </row>
    <row r="1093">
      <c r="A1093" s="2">
        <v>45465</v>
      </c>
      <c r="B109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3" s="3" t="str">
        <f>YEAR(KMART_DATA[[#This Row],[Date]])&amp;"-"&amp;TEXT(MONTH(KMART_DATA[[#This Row],[Date]]),"00")</f>
        <v>2024-06</v>
      </c>
      <c r="D1093" s="3" t="s">
        <v>28</v>
      </c>
      <c r="E1093" s="3" t="s">
        <v>203</v>
      </c>
      <c r="F1093" s="3" t="s">
        <v>10</v>
      </c>
      <c r="G10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093" s="3" t="s">
        <v>204</v>
      </c>
      <c r="I1093" s="3" t="s">
        <v>31</v>
      </c>
      <c r="J1093" s="3" t="s">
        <v>89</v>
      </c>
      <c r="K1093" s="3" t="s">
        <v>66</v>
      </c>
      <c r="L1093" s="3" t="s">
        <v>67</v>
      </c>
      <c r="M1093" s="4">
        <v>171.55</v>
      </c>
    </row>
    <row r="1094">
      <c r="A1094" s="2">
        <v>45465</v>
      </c>
      <c r="B109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4" s="3" t="str">
        <f>YEAR(KMART_DATA[[#This Row],[Date]])&amp;"-"&amp;TEXT(MONTH(KMART_DATA[[#This Row],[Date]]),"00")</f>
        <v>2024-06</v>
      </c>
      <c r="D1094" s="3" t="s">
        <v>28</v>
      </c>
      <c r="E1094" s="3" t="s">
        <v>82</v>
      </c>
      <c r="F1094" s="3" t="s">
        <v>11</v>
      </c>
      <c r="G10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94" s="3" t="s">
        <v>83</v>
      </c>
      <c r="I1094" s="3" t="s">
        <v>31</v>
      </c>
      <c r="J1094" s="3" t="s">
        <v>84</v>
      </c>
      <c r="K1094" s="3" t="s">
        <v>46</v>
      </c>
      <c r="L1094" s="3" t="s">
        <v>47</v>
      </c>
      <c r="M1094" s="4">
        <v>280.56</v>
      </c>
    </row>
    <row r="1095">
      <c r="A1095" s="2">
        <v>45465</v>
      </c>
      <c r="B109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5" s="3" t="str">
        <f>YEAR(KMART_DATA[[#This Row],[Date]])&amp;"-"&amp;TEXT(MONTH(KMART_DATA[[#This Row],[Date]]),"00")</f>
        <v>2024-06</v>
      </c>
      <c r="D1095" s="3" t="s">
        <v>45</v>
      </c>
      <c r="E1095" s="3" t="s">
        <v>177</v>
      </c>
      <c r="F1095" s="3" t="s">
        <v>12</v>
      </c>
      <c r="G10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095" s="3" t="s">
        <v>178</v>
      </c>
      <c r="I1095" s="3" t="s">
        <v>31</v>
      </c>
      <c r="J1095" s="3" t="s">
        <v>162</v>
      </c>
      <c r="K1095" s="3" t="s">
        <v>38</v>
      </c>
      <c r="L1095" s="3" t="s">
        <v>39</v>
      </c>
      <c r="M1095" s="4">
        <v>932.92</v>
      </c>
    </row>
    <row r="1096">
      <c r="A1096" s="2">
        <v>45465</v>
      </c>
      <c r="B109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6" s="3" t="str">
        <f>YEAR(KMART_DATA[[#This Row],[Date]])&amp;"-"&amp;TEXT(MONTH(KMART_DATA[[#This Row],[Date]]),"00")</f>
        <v>2024-06</v>
      </c>
      <c r="D1096" s="3" t="s">
        <v>28</v>
      </c>
      <c r="E1096" s="3" t="s">
        <v>193</v>
      </c>
      <c r="F1096" s="3" t="s">
        <v>9</v>
      </c>
      <c r="G10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96" s="3" t="s">
        <v>194</v>
      </c>
      <c r="I1096" s="3" t="s">
        <v>31</v>
      </c>
      <c r="J1096" s="3" t="s">
        <v>99</v>
      </c>
      <c r="K1096" s="3" t="s">
        <v>112</v>
      </c>
      <c r="L1096" s="3" t="s">
        <v>113</v>
      </c>
      <c r="M1096" s="4">
        <v>1133.63</v>
      </c>
    </row>
    <row r="1097">
      <c r="A1097" s="2">
        <v>45466</v>
      </c>
      <c r="B109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7" s="3" t="str">
        <f>YEAR(KMART_DATA[[#This Row],[Date]])&amp;"-"&amp;TEXT(MONTH(KMART_DATA[[#This Row],[Date]]),"00")</f>
        <v>2024-06</v>
      </c>
      <c r="D1097" s="3" t="s">
        <v>28</v>
      </c>
      <c r="E1097" s="3" t="s">
        <v>221</v>
      </c>
      <c r="F1097" s="3" t="s">
        <v>11</v>
      </c>
      <c r="G10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097" s="3" t="s">
        <v>222</v>
      </c>
      <c r="I1097" s="3" t="s">
        <v>31</v>
      </c>
      <c r="J1097" s="3" t="s">
        <v>56</v>
      </c>
      <c r="K1097" s="3" t="s">
        <v>95</v>
      </c>
      <c r="L1097" s="3" t="s">
        <v>96</v>
      </c>
      <c r="M1097" s="4">
        <v>17.49</v>
      </c>
    </row>
    <row r="1098">
      <c r="A1098" s="2">
        <v>45466</v>
      </c>
      <c r="B109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8" s="3" t="str">
        <f>YEAR(KMART_DATA[[#This Row],[Date]])&amp;"-"&amp;TEXT(MONTH(KMART_DATA[[#This Row],[Date]]),"00")</f>
        <v>2024-06</v>
      </c>
      <c r="D1098" s="3" t="s">
        <v>28</v>
      </c>
      <c r="E1098" s="3" t="s">
        <v>209</v>
      </c>
      <c r="F1098" s="3" t="s">
        <v>9</v>
      </c>
      <c r="G10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098" s="3" t="s">
        <v>210</v>
      </c>
      <c r="I1098" s="3" t="s">
        <v>31</v>
      </c>
      <c r="J1098" s="3" t="s">
        <v>81</v>
      </c>
      <c r="K1098" s="3" t="s">
        <v>57</v>
      </c>
      <c r="L1098" s="3" t="s">
        <v>58</v>
      </c>
      <c r="M1098" s="4">
        <v>71.5</v>
      </c>
    </row>
    <row r="1099">
      <c r="A1099" s="2">
        <v>45466</v>
      </c>
      <c r="B109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099" s="3" t="str">
        <f>YEAR(KMART_DATA[[#This Row],[Date]])&amp;"-"&amp;TEXT(MONTH(KMART_DATA[[#This Row],[Date]]),"00")</f>
        <v>2024-06</v>
      </c>
      <c r="D1099" s="3" t="s">
        <v>28</v>
      </c>
      <c r="E1099" s="3" t="s">
        <v>199</v>
      </c>
      <c r="F1099" s="3" t="s">
        <v>13</v>
      </c>
      <c r="G10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099" s="3" t="s">
        <v>200</v>
      </c>
      <c r="I1099" s="3" t="s">
        <v>31</v>
      </c>
      <c r="J1099" s="3" t="s">
        <v>42</v>
      </c>
      <c r="K1099" s="3" t="s">
        <v>33</v>
      </c>
      <c r="L1099" s="3" t="s">
        <v>34</v>
      </c>
      <c r="M1099" s="4">
        <v>483.34</v>
      </c>
    </row>
    <row r="1100">
      <c r="A1100" s="2">
        <v>45466</v>
      </c>
      <c r="B110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0" s="3" t="str">
        <f>YEAR(KMART_DATA[[#This Row],[Date]])&amp;"-"&amp;TEXT(MONTH(KMART_DATA[[#This Row],[Date]]),"00")</f>
        <v>2024-06</v>
      </c>
      <c r="D1100" s="3" t="s">
        <v>28</v>
      </c>
      <c r="E1100" s="3" t="s">
        <v>256</v>
      </c>
      <c r="F1100" s="3" t="s">
        <v>9</v>
      </c>
      <c r="G11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00" s="3" t="s">
        <v>257</v>
      </c>
      <c r="I1100" s="3" t="s">
        <v>31</v>
      </c>
      <c r="J1100" s="3" t="s">
        <v>70</v>
      </c>
      <c r="K1100" s="3" t="s">
        <v>95</v>
      </c>
      <c r="L1100" s="3" t="s">
        <v>96</v>
      </c>
      <c r="M1100" s="4">
        <v>767.45</v>
      </c>
    </row>
    <row r="1101">
      <c r="A1101" s="2">
        <v>45466</v>
      </c>
      <c r="B110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1" s="3" t="str">
        <f>YEAR(KMART_DATA[[#This Row],[Date]])&amp;"-"&amp;TEXT(MONTH(KMART_DATA[[#This Row],[Date]]),"00")</f>
        <v>2024-06</v>
      </c>
      <c r="D1101" s="3" t="s">
        <v>45</v>
      </c>
      <c r="E1101" s="3" t="s">
        <v>62</v>
      </c>
      <c r="F1101" s="3" t="s">
        <v>12</v>
      </c>
      <c r="G11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01" s="3" t="s">
        <v>63</v>
      </c>
      <c r="I1101" s="3" t="s">
        <v>31</v>
      </c>
      <c r="J1101" s="3" t="s">
        <v>50</v>
      </c>
      <c r="K1101" s="3" t="s">
        <v>123</v>
      </c>
      <c r="L1101" s="3" t="s">
        <v>124</v>
      </c>
      <c r="M1101" s="4">
        <v>787.08</v>
      </c>
    </row>
    <row r="1102">
      <c r="A1102" s="2">
        <v>45466</v>
      </c>
      <c r="B110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2" s="3" t="str">
        <f>YEAR(KMART_DATA[[#This Row],[Date]])&amp;"-"&amp;TEXT(MONTH(KMART_DATA[[#This Row],[Date]]),"00")</f>
        <v>2024-06</v>
      </c>
      <c r="D1102" s="3" t="s">
        <v>28</v>
      </c>
      <c r="E1102" s="3" t="s">
        <v>219</v>
      </c>
      <c r="F1102" s="3" t="s">
        <v>11</v>
      </c>
      <c r="G11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02" s="3" t="s">
        <v>220</v>
      </c>
      <c r="I1102" s="3" t="s">
        <v>31</v>
      </c>
      <c r="J1102" s="3" t="s">
        <v>56</v>
      </c>
      <c r="K1102" s="3" t="s">
        <v>123</v>
      </c>
      <c r="L1102" s="3" t="s">
        <v>124</v>
      </c>
      <c r="M1102" s="4">
        <v>4044.69</v>
      </c>
    </row>
    <row r="1103">
      <c r="A1103" s="2">
        <v>45466</v>
      </c>
      <c r="B110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3" s="3" t="str">
        <f>YEAR(KMART_DATA[[#This Row],[Date]])&amp;"-"&amp;TEXT(MONTH(KMART_DATA[[#This Row],[Date]]),"00")</f>
        <v>2024-06</v>
      </c>
      <c r="D1103" s="3" t="s">
        <v>45</v>
      </c>
      <c r="E1103" s="3" t="s">
        <v>177</v>
      </c>
      <c r="F1103" s="3" t="s">
        <v>12</v>
      </c>
      <c r="G11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03" s="3" t="s">
        <v>178</v>
      </c>
      <c r="I1103" s="3" t="s">
        <v>31</v>
      </c>
      <c r="J1103" s="3" t="s">
        <v>162</v>
      </c>
      <c r="K1103" s="3" t="s">
        <v>57</v>
      </c>
      <c r="L1103" s="3" t="s">
        <v>58</v>
      </c>
      <c r="M1103" s="4">
        <v>6080.34</v>
      </c>
    </row>
    <row r="1104">
      <c r="A1104" s="2">
        <v>45467</v>
      </c>
      <c r="B110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4" s="3" t="str">
        <f>YEAR(KMART_DATA[[#This Row],[Date]])&amp;"-"&amp;TEXT(MONTH(KMART_DATA[[#This Row],[Date]]),"00")</f>
        <v>2024-06</v>
      </c>
      <c r="D1104" s="3" t="s">
        <v>28</v>
      </c>
      <c r="E1104" s="3" t="s">
        <v>193</v>
      </c>
      <c r="F1104" s="3" t="s">
        <v>9</v>
      </c>
      <c r="G11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04" s="3" t="s">
        <v>194</v>
      </c>
      <c r="I1104" s="3" t="s">
        <v>31</v>
      </c>
      <c r="J1104" s="3" t="s">
        <v>99</v>
      </c>
      <c r="K1104" s="3" t="s">
        <v>43</v>
      </c>
      <c r="L1104" s="3" t="s">
        <v>44</v>
      </c>
      <c r="M1104" s="4">
        <v>16.02</v>
      </c>
    </row>
    <row r="1105">
      <c r="A1105" s="2">
        <v>45467</v>
      </c>
      <c r="B110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5" s="3" t="str">
        <f>YEAR(KMART_DATA[[#This Row],[Date]])&amp;"-"&amp;TEXT(MONTH(KMART_DATA[[#This Row],[Date]]),"00")</f>
        <v>2024-06</v>
      </c>
      <c r="D1105" s="3" t="s">
        <v>28</v>
      </c>
      <c r="E1105" s="3" t="s">
        <v>256</v>
      </c>
      <c r="F1105" s="3" t="s">
        <v>9</v>
      </c>
      <c r="G11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05" s="3" t="s">
        <v>257</v>
      </c>
      <c r="I1105" s="3" t="s">
        <v>31</v>
      </c>
      <c r="J1105" s="3" t="s">
        <v>70</v>
      </c>
      <c r="K1105" s="3" t="s">
        <v>43</v>
      </c>
      <c r="L1105" s="3" t="s">
        <v>44</v>
      </c>
      <c r="M1105" s="4">
        <v>130.26</v>
      </c>
    </row>
    <row r="1106">
      <c r="A1106" s="2">
        <v>45467</v>
      </c>
      <c r="B110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6" s="3" t="str">
        <f>YEAR(KMART_DATA[[#This Row],[Date]])&amp;"-"&amp;TEXT(MONTH(KMART_DATA[[#This Row],[Date]]),"00")</f>
        <v>2024-06</v>
      </c>
      <c r="D1106" s="3" t="s">
        <v>28</v>
      </c>
      <c r="E1106" s="3" t="s">
        <v>90</v>
      </c>
      <c r="F1106" s="3" t="s">
        <v>10</v>
      </c>
      <c r="G11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06" s="3" t="s">
        <v>91</v>
      </c>
      <c r="I1106" s="3" t="s">
        <v>31</v>
      </c>
      <c r="J1106" s="3" t="s">
        <v>37</v>
      </c>
      <c r="K1106" s="3" t="s">
        <v>46</v>
      </c>
      <c r="L1106" s="3" t="s">
        <v>47</v>
      </c>
      <c r="M1106" s="4">
        <v>272.21</v>
      </c>
    </row>
    <row r="1107">
      <c r="A1107" s="2">
        <v>45467</v>
      </c>
      <c r="B110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7" s="3" t="str">
        <f>YEAR(KMART_DATA[[#This Row],[Date]])&amp;"-"&amp;TEXT(MONTH(KMART_DATA[[#This Row],[Date]]),"00")</f>
        <v>2024-06</v>
      </c>
      <c r="D1107" s="3" t="s">
        <v>28</v>
      </c>
      <c r="E1107" s="3" t="s">
        <v>110</v>
      </c>
      <c r="F1107" s="3" t="s">
        <v>9</v>
      </c>
      <c r="G11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07" s="3" t="s">
        <v>111</v>
      </c>
      <c r="I1107" s="3" t="s">
        <v>31</v>
      </c>
      <c r="J1107" s="3" t="s">
        <v>81</v>
      </c>
      <c r="K1107" s="3" t="s">
        <v>38</v>
      </c>
      <c r="L1107" s="3" t="s">
        <v>39</v>
      </c>
      <c r="M1107" s="4">
        <v>303.46</v>
      </c>
    </row>
    <row r="1108">
      <c r="A1108" s="2">
        <v>45467</v>
      </c>
      <c r="B110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8" s="3" t="str">
        <f>YEAR(KMART_DATA[[#This Row],[Date]])&amp;"-"&amp;TEXT(MONTH(KMART_DATA[[#This Row],[Date]]),"00")</f>
        <v>2024-06</v>
      </c>
      <c r="D1108" s="3" t="s">
        <v>28</v>
      </c>
      <c r="E1108" s="3" t="s">
        <v>264</v>
      </c>
      <c r="F1108" s="3" t="s">
        <v>13</v>
      </c>
      <c r="G11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08" s="3" t="s">
        <v>265</v>
      </c>
      <c r="I1108" s="3" t="s">
        <v>31</v>
      </c>
      <c r="J1108" s="3" t="s">
        <v>42</v>
      </c>
      <c r="K1108" s="3" t="s">
        <v>71</v>
      </c>
      <c r="L1108" s="3" t="s">
        <v>72</v>
      </c>
      <c r="M1108" s="4">
        <v>552.01</v>
      </c>
    </row>
    <row r="1109">
      <c r="A1109" s="2">
        <v>45467</v>
      </c>
      <c r="B110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09" s="3" t="str">
        <f>YEAR(KMART_DATA[[#This Row],[Date]])&amp;"-"&amp;TEXT(MONTH(KMART_DATA[[#This Row],[Date]]),"00")</f>
        <v>2024-06</v>
      </c>
      <c r="D1109" s="3" t="s">
        <v>28</v>
      </c>
      <c r="E1109" s="3" t="s">
        <v>156</v>
      </c>
      <c r="F1109" s="3" t="s">
        <v>9</v>
      </c>
      <c r="G11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09" s="3" t="s">
        <v>157</v>
      </c>
      <c r="I1109" s="3" t="s">
        <v>31</v>
      </c>
      <c r="J1109" s="3" t="s">
        <v>75</v>
      </c>
      <c r="K1109" s="3" t="s">
        <v>123</v>
      </c>
      <c r="L1109" s="3" t="s">
        <v>124</v>
      </c>
      <c r="M1109" s="4">
        <v>640.53</v>
      </c>
    </row>
    <row r="1110">
      <c r="A1110" s="2">
        <v>45467</v>
      </c>
      <c r="B111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0" s="3" t="str">
        <f>YEAR(KMART_DATA[[#This Row],[Date]])&amp;"-"&amp;TEXT(MONTH(KMART_DATA[[#This Row],[Date]]),"00")</f>
        <v>2024-06</v>
      </c>
      <c r="D1110" s="3" t="s">
        <v>28</v>
      </c>
      <c r="E1110" s="3" t="s">
        <v>62</v>
      </c>
      <c r="F1110" s="3" t="s">
        <v>12</v>
      </c>
      <c r="G11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10" s="3" t="s">
        <v>63</v>
      </c>
      <c r="I1110" s="3" t="s">
        <v>31</v>
      </c>
      <c r="J1110" s="3" t="s">
        <v>50</v>
      </c>
      <c r="K1110" s="3" t="s">
        <v>66</v>
      </c>
      <c r="L1110" s="3" t="s">
        <v>67</v>
      </c>
      <c r="M1110" s="4">
        <v>1859.42</v>
      </c>
    </row>
    <row r="1111">
      <c r="A1111" s="2">
        <v>45468</v>
      </c>
      <c r="B111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1" s="3" t="str">
        <f>YEAR(KMART_DATA[[#This Row],[Date]])&amp;"-"&amp;TEXT(MONTH(KMART_DATA[[#This Row],[Date]]),"00")</f>
        <v>2024-06</v>
      </c>
      <c r="D1111" s="3" t="s">
        <v>28</v>
      </c>
      <c r="E1111" s="3" t="s">
        <v>213</v>
      </c>
      <c r="F1111" s="3" t="s">
        <v>11</v>
      </c>
      <c r="G11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11" s="3" t="s">
        <v>214</v>
      </c>
      <c r="I1111" s="3" t="s">
        <v>31</v>
      </c>
      <c r="J1111" s="3" t="s">
        <v>32</v>
      </c>
      <c r="K1111" s="3" t="s">
        <v>43</v>
      </c>
      <c r="L1111" s="3" t="s">
        <v>44</v>
      </c>
      <c r="M1111" s="4">
        <v>2.0</v>
      </c>
    </row>
    <row r="1112">
      <c r="A1112" s="2">
        <v>45468</v>
      </c>
      <c r="B111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2" s="3" t="str">
        <f>YEAR(KMART_DATA[[#This Row],[Date]])&amp;"-"&amp;TEXT(MONTH(KMART_DATA[[#This Row],[Date]]),"00")</f>
        <v>2024-06</v>
      </c>
      <c r="D1112" s="3" t="s">
        <v>28</v>
      </c>
      <c r="E1112" s="3" t="s">
        <v>197</v>
      </c>
      <c r="F1112" s="3" t="s">
        <v>9</v>
      </c>
      <c r="G11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12" s="3" t="s">
        <v>198</v>
      </c>
      <c r="I1112" s="3" t="s">
        <v>31</v>
      </c>
      <c r="J1112" s="3" t="s">
        <v>107</v>
      </c>
      <c r="K1112" s="3" t="s">
        <v>46</v>
      </c>
      <c r="L1112" s="3" t="s">
        <v>47</v>
      </c>
      <c r="M1112" s="4">
        <v>5.0</v>
      </c>
    </row>
    <row r="1113">
      <c r="A1113" s="2">
        <v>45468</v>
      </c>
      <c r="B111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3" s="3" t="str">
        <f>YEAR(KMART_DATA[[#This Row],[Date]])&amp;"-"&amp;TEXT(MONTH(KMART_DATA[[#This Row],[Date]]),"00")</f>
        <v>2024-06</v>
      </c>
      <c r="D1113" s="3" t="s">
        <v>45</v>
      </c>
      <c r="E1113" s="3" t="s">
        <v>213</v>
      </c>
      <c r="F1113" s="3" t="s">
        <v>11</v>
      </c>
      <c r="G11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13" s="3" t="s">
        <v>214</v>
      </c>
      <c r="I1113" s="3" t="s">
        <v>31</v>
      </c>
      <c r="J1113" s="3" t="s">
        <v>32</v>
      </c>
      <c r="K1113" s="3" t="s">
        <v>112</v>
      </c>
      <c r="L1113" s="3" t="s">
        <v>113</v>
      </c>
      <c r="M1113" s="4">
        <v>57.88</v>
      </c>
    </row>
    <row r="1114">
      <c r="A1114" s="2">
        <v>45468</v>
      </c>
      <c r="B111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4" s="3" t="str">
        <f>YEAR(KMART_DATA[[#This Row],[Date]])&amp;"-"&amp;TEXT(MONTH(KMART_DATA[[#This Row],[Date]]),"00")</f>
        <v>2024-06</v>
      </c>
      <c r="D1114" s="3" t="s">
        <v>28</v>
      </c>
      <c r="E1114" s="3" t="s">
        <v>97</v>
      </c>
      <c r="F1114" s="3" t="s">
        <v>9</v>
      </c>
      <c r="G11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14" s="3" t="s">
        <v>98</v>
      </c>
      <c r="I1114" s="3" t="s">
        <v>31</v>
      </c>
      <c r="J1114" s="3" t="s">
        <v>99</v>
      </c>
      <c r="K1114" s="3" t="s">
        <v>95</v>
      </c>
      <c r="L1114" s="3" t="s">
        <v>96</v>
      </c>
      <c r="M1114" s="4">
        <v>99.8</v>
      </c>
    </row>
    <row r="1115">
      <c r="A1115" s="2">
        <v>45468</v>
      </c>
      <c r="B111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5" s="3" t="str">
        <f>YEAR(KMART_DATA[[#This Row],[Date]])&amp;"-"&amp;TEXT(MONTH(KMART_DATA[[#This Row],[Date]]),"00")</f>
        <v>2024-06</v>
      </c>
      <c r="D1115" s="3" t="s">
        <v>28</v>
      </c>
      <c r="E1115" s="3" t="s">
        <v>254</v>
      </c>
      <c r="F1115" s="3" t="s">
        <v>13</v>
      </c>
      <c r="G11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15" s="3" t="s">
        <v>255</v>
      </c>
      <c r="I1115" s="3" t="s">
        <v>31</v>
      </c>
      <c r="J1115" s="3" t="s">
        <v>227</v>
      </c>
      <c r="K1115" s="3" t="s">
        <v>112</v>
      </c>
      <c r="L1115" s="3" t="s">
        <v>113</v>
      </c>
      <c r="M1115" s="4">
        <v>164.82</v>
      </c>
    </row>
    <row r="1116">
      <c r="A1116" s="2">
        <v>45468</v>
      </c>
      <c r="B111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6" s="3" t="str">
        <f>YEAR(KMART_DATA[[#This Row],[Date]])&amp;"-"&amp;TEXT(MONTH(KMART_DATA[[#This Row],[Date]]),"00")</f>
        <v>2024-06</v>
      </c>
      <c r="D1116" s="3" t="s">
        <v>28</v>
      </c>
      <c r="E1116" s="3" t="s">
        <v>54</v>
      </c>
      <c r="F1116" s="3" t="s">
        <v>11</v>
      </c>
      <c r="G11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16" s="3" t="s">
        <v>55</v>
      </c>
      <c r="I1116" s="3" t="s">
        <v>31</v>
      </c>
      <c r="J1116" s="3" t="s">
        <v>56</v>
      </c>
      <c r="K1116" s="3" t="s">
        <v>95</v>
      </c>
      <c r="L1116" s="3" t="s">
        <v>96</v>
      </c>
      <c r="M1116" s="4">
        <v>2096.44</v>
      </c>
    </row>
    <row r="1117">
      <c r="A1117" s="2">
        <v>45469</v>
      </c>
      <c r="B111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7" s="3" t="str">
        <f>YEAR(KMART_DATA[[#This Row],[Date]])&amp;"-"&amp;TEXT(MONTH(KMART_DATA[[#This Row],[Date]]),"00")</f>
        <v>2024-06</v>
      </c>
      <c r="D1117" s="3" t="s">
        <v>28</v>
      </c>
      <c r="E1117" s="3" t="s">
        <v>217</v>
      </c>
      <c r="F1117" s="3" t="s">
        <v>10</v>
      </c>
      <c r="G11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17" s="3" t="s">
        <v>218</v>
      </c>
      <c r="I1117" s="3" t="s">
        <v>31</v>
      </c>
      <c r="J1117" s="3" t="s">
        <v>89</v>
      </c>
      <c r="K1117" s="3" t="s">
        <v>38</v>
      </c>
      <c r="L1117" s="3" t="s">
        <v>39</v>
      </c>
      <c r="M1117" s="4">
        <v>53.9</v>
      </c>
    </row>
    <row r="1118">
      <c r="A1118" s="2">
        <v>45469</v>
      </c>
      <c r="B111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8" s="3" t="str">
        <f>YEAR(KMART_DATA[[#This Row],[Date]])&amp;"-"&amp;TEXT(MONTH(KMART_DATA[[#This Row],[Date]]),"00")</f>
        <v>2024-06</v>
      </c>
      <c r="D1118" s="3" t="s">
        <v>28</v>
      </c>
      <c r="E1118" s="3" t="s">
        <v>199</v>
      </c>
      <c r="F1118" s="3" t="s">
        <v>13</v>
      </c>
      <c r="G11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18" s="3" t="s">
        <v>200</v>
      </c>
      <c r="I1118" s="3" t="s">
        <v>31</v>
      </c>
      <c r="J1118" s="3" t="s">
        <v>42</v>
      </c>
      <c r="K1118" s="3" t="s">
        <v>46</v>
      </c>
      <c r="L1118" s="3" t="s">
        <v>47</v>
      </c>
      <c r="M1118" s="4">
        <v>64.95</v>
      </c>
    </row>
    <row r="1119">
      <c r="A1119" s="2">
        <v>45469</v>
      </c>
      <c r="B111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19" s="3" t="str">
        <f>YEAR(KMART_DATA[[#This Row],[Date]])&amp;"-"&amp;TEXT(MONTH(KMART_DATA[[#This Row],[Date]]),"00")</f>
        <v>2024-06</v>
      </c>
      <c r="D1119" s="3" t="s">
        <v>45</v>
      </c>
      <c r="E1119" s="3" t="s">
        <v>156</v>
      </c>
      <c r="F1119" s="3" t="s">
        <v>9</v>
      </c>
      <c r="G11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19" s="3" t="s">
        <v>157</v>
      </c>
      <c r="I1119" s="3" t="s">
        <v>31</v>
      </c>
      <c r="J1119" s="3" t="s">
        <v>75</v>
      </c>
      <c r="K1119" s="3" t="s">
        <v>71</v>
      </c>
      <c r="L1119" s="3" t="s">
        <v>72</v>
      </c>
      <c r="M1119" s="4">
        <v>157.98</v>
      </c>
    </row>
    <row r="1120">
      <c r="A1120" s="2">
        <v>45469</v>
      </c>
      <c r="B112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0" s="3" t="str">
        <f>YEAR(KMART_DATA[[#This Row],[Date]])&amp;"-"&amp;TEXT(MONTH(KMART_DATA[[#This Row],[Date]]),"00")</f>
        <v>2024-06</v>
      </c>
      <c r="D1120" s="3" t="s">
        <v>45</v>
      </c>
      <c r="E1120" s="3" t="s">
        <v>217</v>
      </c>
      <c r="F1120" s="3" t="s">
        <v>10</v>
      </c>
      <c r="G11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20" s="3" t="s">
        <v>218</v>
      </c>
      <c r="I1120" s="3" t="s">
        <v>31</v>
      </c>
      <c r="J1120" s="3" t="s">
        <v>89</v>
      </c>
      <c r="K1120" s="3" t="s">
        <v>46</v>
      </c>
      <c r="L1120" s="3" t="s">
        <v>47</v>
      </c>
      <c r="M1120" s="4">
        <v>581.9</v>
      </c>
    </row>
    <row r="1121">
      <c r="A1121" s="2">
        <v>45469</v>
      </c>
      <c r="B112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1" s="3" t="str">
        <f>YEAR(KMART_DATA[[#This Row],[Date]])&amp;"-"&amp;TEXT(MONTH(KMART_DATA[[#This Row],[Date]]),"00")</f>
        <v>2024-06</v>
      </c>
      <c r="D1121" s="3" t="s">
        <v>28</v>
      </c>
      <c r="E1121" s="3" t="s">
        <v>209</v>
      </c>
      <c r="F1121" s="3" t="s">
        <v>9</v>
      </c>
      <c r="G11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21" s="3" t="s">
        <v>210</v>
      </c>
      <c r="I1121" s="3" t="s">
        <v>31</v>
      </c>
      <c r="J1121" s="3" t="s">
        <v>81</v>
      </c>
      <c r="K1121" s="3" t="s">
        <v>112</v>
      </c>
      <c r="L1121" s="3" t="s">
        <v>113</v>
      </c>
      <c r="M1121" s="4">
        <v>604.28</v>
      </c>
    </row>
    <row r="1122">
      <c r="A1122" s="2">
        <v>45469</v>
      </c>
      <c r="B112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2" s="3" t="str">
        <f>YEAR(KMART_DATA[[#This Row],[Date]])&amp;"-"&amp;TEXT(MONTH(KMART_DATA[[#This Row],[Date]]),"00")</f>
        <v>2024-06</v>
      </c>
      <c r="D1122" s="3" t="s">
        <v>28</v>
      </c>
      <c r="E1122" s="3" t="s">
        <v>165</v>
      </c>
      <c r="F1122" s="3" t="s">
        <v>9</v>
      </c>
      <c r="G11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22" s="3" t="s">
        <v>166</v>
      </c>
      <c r="I1122" s="3" t="s">
        <v>31</v>
      </c>
      <c r="J1122" s="3" t="s">
        <v>99</v>
      </c>
      <c r="K1122" s="3" t="s">
        <v>95</v>
      </c>
      <c r="L1122" s="3" t="s">
        <v>96</v>
      </c>
      <c r="M1122" s="4">
        <v>631.07</v>
      </c>
    </row>
    <row r="1123">
      <c r="A1123" s="2">
        <v>45469</v>
      </c>
      <c r="B112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3" s="3" t="str">
        <f>YEAR(KMART_DATA[[#This Row],[Date]])&amp;"-"&amp;TEXT(MONTH(KMART_DATA[[#This Row],[Date]]),"00")</f>
        <v>2024-06</v>
      </c>
      <c r="D1123" s="3" t="s">
        <v>28</v>
      </c>
      <c r="E1123" s="3" t="s">
        <v>135</v>
      </c>
      <c r="F1123" s="3" t="s">
        <v>16</v>
      </c>
      <c r="G11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123" s="3" t="s">
        <v>136</v>
      </c>
      <c r="I1123" s="3" t="s">
        <v>31</v>
      </c>
      <c r="J1123" s="3" t="s">
        <v>107</v>
      </c>
      <c r="K1123" s="3" t="s">
        <v>46</v>
      </c>
      <c r="L1123" s="3" t="s">
        <v>47</v>
      </c>
      <c r="M1123" s="4">
        <v>1150.03</v>
      </c>
    </row>
    <row r="1124">
      <c r="A1124" s="2">
        <v>45469</v>
      </c>
      <c r="B112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4" s="3" t="str">
        <f>YEAR(KMART_DATA[[#This Row],[Date]])&amp;"-"&amp;TEXT(MONTH(KMART_DATA[[#This Row],[Date]]),"00")</f>
        <v>2024-06</v>
      </c>
      <c r="D1124" s="3" t="s">
        <v>28</v>
      </c>
      <c r="E1124" s="3" t="s">
        <v>154</v>
      </c>
      <c r="F1124" s="3" t="s">
        <v>11</v>
      </c>
      <c r="G11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24" s="3" t="s">
        <v>155</v>
      </c>
      <c r="I1124" s="3" t="s">
        <v>31</v>
      </c>
      <c r="J1124" s="3" t="s">
        <v>84</v>
      </c>
      <c r="K1124" s="3" t="s">
        <v>71</v>
      </c>
      <c r="L1124" s="3" t="s">
        <v>72</v>
      </c>
      <c r="M1124" s="4">
        <v>1331.67</v>
      </c>
    </row>
    <row r="1125">
      <c r="A1125" s="2">
        <v>45469</v>
      </c>
      <c r="B112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5" s="3" t="str">
        <f>YEAR(KMART_DATA[[#This Row],[Date]])&amp;"-"&amp;TEXT(MONTH(KMART_DATA[[#This Row],[Date]]),"00")</f>
        <v>2024-06</v>
      </c>
      <c r="D1125" s="3" t="s">
        <v>28</v>
      </c>
      <c r="E1125" s="3" t="s">
        <v>244</v>
      </c>
      <c r="F1125" s="3" t="s">
        <v>13</v>
      </c>
      <c r="G11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25" s="3" t="s">
        <v>245</v>
      </c>
      <c r="I1125" s="3" t="s">
        <v>31</v>
      </c>
      <c r="J1125" s="3" t="s">
        <v>42</v>
      </c>
      <c r="K1125" s="3" t="s">
        <v>46</v>
      </c>
      <c r="L1125" s="3" t="s">
        <v>47</v>
      </c>
      <c r="M1125" s="4">
        <v>1647.64</v>
      </c>
    </row>
    <row r="1126">
      <c r="A1126" s="2">
        <v>45469</v>
      </c>
      <c r="B112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6" s="3" t="str">
        <f>YEAR(KMART_DATA[[#This Row],[Date]])&amp;"-"&amp;TEXT(MONTH(KMART_DATA[[#This Row],[Date]]),"00")</f>
        <v>2024-06</v>
      </c>
      <c r="D1126" s="3" t="s">
        <v>28</v>
      </c>
      <c r="E1126" s="3" t="s">
        <v>219</v>
      </c>
      <c r="F1126" s="3" t="s">
        <v>11</v>
      </c>
      <c r="G11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26" s="3" t="s">
        <v>220</v>
      </c>
      <c r="I1126" s="3" t="s">
        <v>31</v>
      </c>
      <c r="J1126" s="3" t="s">
        <v>56</v>
      </c>
      <c r="K1126" s="3" t="s">
        <v>46</v>
      </c>
      <c r="L1126" s="3" t="s">
        <v>47</v>
      </c>
      <c r="M1126" s="4">
        <v>5338.48</v>
      </c>
    </row>
    <row r="1127">
      <c r="A1127" s="2">
        <v>45470</v>
      </c>
      <c r="B112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7" s="3" t="str">
        <f>YEAR(KMART_DATA[[#This Row],[Date]])&amp;"-"&amp;TEXT(MONTH(KMART_DATA[[#This Row],[Date]]),"00")</f>
        <v>2024-06</v>
      </c>
      <c r="D1127" s="3" t="s">
        <v>28</v>
      </c>
      <c r="E1127" s="3" t="s">
        <v>223</v>
      </c>
      <c r="F1127" s="3" t="s">
        <v>10</v>
      </c>
      <c r="G11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27" s="3" t="s">
        <v>224</v>
      </c>
      <c r="I1127" s="3" t="s">
        <v>31</v>
      </c>
      <c r="J1127" s="3" t="s">
        <v>94</v>
      </c>
      <c r="K1127" s="3" t="s">
        <v>43</v>
      </c>
      <c r="L1127" s="3" t="s">
        <v>44</v>
      </c>
      <c r="M1127" s="4">
        <v>7.29</v>
      </c>
    </row>
    <row r="1128">
      <c r="A1128" s="2">
        <v>45470</v>
      </c>
      <c r="B112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8" s="3" t="str">
        <f>YEAR(KMART_DATA[[#This Row],[Date]])&amp;"-"&amp;TEXT(MONTH(KMART_DATA[[#This Row],[Date]]),"00")</f>
        <v>2024-06</v>
      </c>
      <c r="D1128" s="3" t="s">
        <v>28</v>
      </c>
      <c r="E1128" s="3" t="s">
        <v>195</v>
      </c>
      <c r="F1128" s="3" t="s">
        <v>11</v>
      </c>
      <c r="G11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28" s="3" t="s">
        <v>196</v>
      </c>
      <c r="I1128" s="3" t="s">
        <v>31</v>
      </c>
      <c r="J1128" s="3" t="s">
        <v>32</v>
      </c>
      <c r="K1128" s="3" t="s">
        <v>95</v>
      </c>
      <c r="L1128" s="3" t="s">
        <v>96</v>
      </c>
      <c r="M1128" s="4">
        <v>10.98</v>
      </c>
    </row>
    <row r="1129">
      <c r="A1129" s="2">
        <v>45470</v>
      </c>
      <c r="B112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29" s="3" t="str">
        <f>YEAR(KMART_DATA[[#This Row],[Date]])&amp;"-"&amp;TEXT(MONTH(KMART_DATA[[#This Row],[Date]]),"00")</f>
        <v>2024-06</v>
      </c>
      <c r="D1129" s="3" t="s">
        <v>28</v>
      </c>
      <c r="E1129" s="3" t="s">
        <v>90</v>
      </c>
      <c r="F1129" s="3" t="s">
        <v>10</v>
      </c>
      <c r="G11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29" s="3" t="s">
        <v>91</v>
      </c>
      <c r="I1129" s="3" t="s">
        <v>31</v>
      </c>
      <c r="J1129" s="3" t="s">
        <v>37</v>
      </c>
      <c r="K1129" s="3" t="s">
        <v>43</v>
      </c>
      <c r="L1129" s="3" t="s">
        <v>44</v>
      </c>
      <c r="M1129" s="4">
        <v>463.14</v>
      </c>
    </row>
    <row r="1130">
      <c r="A1130" s="2">
        <v>45470</v>
      </c>
      <c r="B113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0" s="3" t="str">
        <f>YEAR(KMART_DATA[[#This Row],[Date]])&amp;"-"&amp;TEXT(MONTH(KMART_DATA[[#This Row],[Date]]),"00")</f>
        <v>2024-06</v>
      </c>
      <c r="D1130" s="3" t="s">
        <v>28</v>
      </c>
      <c r="E1130" s="3" t="s">
        <v>59</v>
      </c>
      <c r="F1130" s="3" t="s">
        <v>11</v>
      </c>
      <c r="G11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30" s="3" t="s">
        <v>60</v>
      </c>
      <c r="I1130" s="3" t="s">
        <v>31</v>
      </c>
      <c r="J1130" s="3" t="s">
        <v>61</v>
      </c>
      <c r="K1130" s="3" t="s">
        <v>38</v>
      </c>
      <c r="L1130" s="3" t="s">
        <v>39</v>
      </c>
      <c r="M1130" s="4">
        <v>627.13</v>
      </c>
    </row>
    <row r="1131">
      <c r="A1131" s="2">
        <v>45470</v>
      </c>
      <c r="B113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1" s="3" t="str">
        <f>YEAR(KMART_DATA[[#This Row],[Date]])&amp;"-"&amp;TEXT(MONTH(KMART_DATA[[#This Row],[Date]]),"00")</f>
        <v>2024-06</v>
      </c>
      <c r="D1131" s="3" t="s">
        <v>28</v>
      </c>
      <c r="E1131" s="3" t="s">
        <v>173</v>
      </c>
      <c r="F1131" s="3" t="s">
        <v>11</v>
      </c>
      <c r="G11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31" s="3" t="s">
        <v>174</v>
      </c>
      <c r="I1131" s="3" t="s">
        <v>31</v>
      </c>
      <c r="J1131" s="3" t="s">
        <v>61</v>
      </c>
      <c r="K1131" s="3" t="s">
        <v>46</v>
      </c>
      <c r="L1131" s="3" t="s">
        <v>47</v>
      </c>
      <c r="M1131" s="4">
        <v>1006.65</v>
      </c>
    </row>
    <row r="1132">
      <c r="A1132" s="2">
        <v>45470</v>
      </c>
      <c r="B113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2" s="3" t="str">
        <f>YEAR(KMART_DATA[[#This Row],[Date]])&amp;"-"&amp;TEXT(MONTH(KMART_DATA[[#This Row],[Date]]),"00")</f>
        <v>2024-06</v>
      </c>
      <c r="D1132" s="3" t="s">
        <v>28</v>
      </c>
      <c r="E1132" s="3" t="s">
        <v>118</v>
      </c>
      <c r="F1132" s="3" t="s">
        <v>10</v>
      </c>
      <c r="G11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32" s="3" t="s">
        <v>119</v>
      </c>
      <c r="I1132" s="3" t="s">
        <v>31</v>
      </c>
      <c r="J1132" s="3" t="s">
        <v>120</v>
      </c>
      <c r="K1132" s="3" t="s">
        <v>33</v>
      </c>
      <c r="L1132" s="3" t="s">
        <v>34</v>
      </c>
      <c r="M1132" s="4">
        <v>1438.75</v>
      </c>
    </row>
    <row r="1133">
      <c r="A1133" s="2">
        <v>45470</v>
      </c>
      <c r="B113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3" s="3" t="str">
        <f>YEAR(KMART_DATA[[#This Row],[Date]])&amp;"-"&amp;TEXT(MONTH(KMART_DATA[[#This Row],[Date]]),"00")</f>
        <v>2024-06</v>
      </c>
      <c r="D1133" s="3" t="s">
        <v>28</v>
      </c>
      <c r="E1133" s="3" t="s">
        <v>219</v>
      </c>
      <c r="F1133" s="3" t="s">
        <v>11</v>
      </c>
      <c r="G11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33" s="3" t="s">
        <v>220</v>
      </c>
      <c r="I1133" s="3" t="s">
        <v>31</v>
      </c>
      <c r="J1133" s="3" t="s">
        <v>56</v>
      </c>
      <c r="K1133" s="3" t="s">
        <v>123</v>
      </c>
      <c r="L1133" s="3" t="s">
        <v>124</v>
      </c>
      <c r="M1133" s="4">
        <v>1803.82</v>
      </c>
    </row>
    <row r="1134">
      <c r="A1134" s="2">
        <v>45471</v>
      </c>
      <c r="B113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4" s="3" t="str">
        <f>YEAR(KMART_DATA[[#This Row],[Date]])&amp;"-"&amp;TEXT(MONTH(KMART_DATA[[#This Row],[Date]]),"00")</f>
        <v>2024-06</v>
      </c>
      <c r="D1134" s="3" t="s">
        <v>28</v>
      </c>
      <c r="E1134" s="3" t="s">
        <v>189</v>
      </c>
      <c r="F1134" s="3" t="s">
        <v>9</v>
      </c>
      <c r="G11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34" s="3" t="s">
        <v>190</v>
      </c>
      <c r="I1134" s="3" t="s">
        <v>31</v>
      </c>
      <c r="J1134" s="3" t="s">
        <v>81</v>
      </c>
      <c r="K1134" s="3" t="s">
        <v>46</v>
      </c>
      <c r="L1134" s="3" t="s">
        <v>47</v>
      </c>
      <c r="M1134" s="4">
        <v>13.01</v>
      </c>
    </row>
    <row r="1135">
      <c r="A1135" s="2">
        <v>45471</v>
      </c>
      <c r="B113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5" s="3" t="str">
        <f>YEAR(KMART_DATA[[#This Row],[Date]])&amp;"-"&amp;TEXT(MONTH(KMART_DATA[[#This Row],[Date]]),"00")</f>
        <v>2024-06</v>
      </c>
      <c r="D1135" s="3" t="s">
        <v>45</v>
      </c>
      <c r="E1135" s="3" t="s">
        <v>48</v>
      </c>
      <c r="F1135" s="3" t="s">
        <v>12</v>
      </c>
      <c r="G11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35" s="3" t="s">
        <v>49</v>
      </c>
      <c r="I1135" s="3" t="s">
        <v>31</v>
      </c>
      <c r="J1135" s="3" t="s">
        <v>50</v>
      </c>
      <c r="K1135" s="3" t="s">
        <v>57</v>
      </c>
      <c r="L1135" s="3" t="s">
        <v>58</v>
      </c>
      <c r="M1135" s="4">
        <v>66.0</v>
      </c>
    </row>
    <row r="1136">
      <c r="A1136" s="2">
        <v>45471</v>
      </c>
      <c r="B113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6" s="3" t="str">
        <f>YEAR(KMART_DATA[[#This Row],[Date]])&amp;"-"&amp;TEXT(MONTH(KMART_DATA[[#This Row],[Date]]),"00")</f>
        <v>2024-06</v>
      </c>
      <c r="D1136" s="3" t="s">
        <v>28</v>
      </c>
      <c r="E1136" s="3" t="s">
        <v>242</v>
      </c>
      <c r="F1136" s="3" t="s">
        <v>10</v>
      </c>
      <c r="G11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36" s="3" t="s">
        <v>243</v>
      </c>
      <c r="I1136" s="3" t="s">
        <v>31</v>
      </c>
      <c r="J1136" s="3" t="s">
        <v>94</v>
      </c>
      <c r="K1136" s="3" t="s">
        <v>112</v>
      </c>
      <c r="L1136" s="3" t="s">
        <v>113</v>
      </c>
      <c r="M1136" s="4">
        <v>82.7</v>
      </c>
    </row>
    <row r="1137">
      <c r="A1137" s="2">
        <v>45471</v>
      </c>
      <c r="B113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7" s="3" t="str">
        <f>YEAR(KMART_DATA[[#This Row],[Date]])&amp;"-"&amp;TEXT(MONTH(KMART_DATA[[#This Row],[Date]]),"00")</f>
        <v>2024-06</v>
      </c>
      <c r="D1137" s="3" t="s">
        <v>28</v>
      </c>
      <c r="E1137" s="3" t="s">
        <v>54</v>
      </c>
      <c r="F1137" s="3" t="s">
        <v>11</v>
      </c>
      <c r="G11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37" s="3" t="s">
        <v>55</v>
      </c>
      <c r="I1137" s="3" t="s">
        <v>31</v>
      </c>
      <c r="J1137" s="3" t="s">
        <v>56</v>
      </c>
      <c r="K1137" s="3" t="s">
        <v>43</v>
      </c>
      <c r="L1137" s="3" t="s">
        <v>44</v>
      </c>
      <c r="M1137" s="4">
        <v>105.4</v>
      </c>
    </row>
    <row r="1138">
      <c r="A1138" s="2">
        <v>45471</v>
      </c>
      <c r="B113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8" s="3" t="str">
        <f>YEAR(KMART_DATA[[#This Row],[Date]])&amp;"-"&amp;TEXT(MONTH(KMART_DATA[[#This Row],[Date]]),"00")</f>
        <v>2024-06</v>
      </c>
      <c r="D1138" s="3" t="s">
        <v>28</v>
      </c>
      <c r="E1138" s="3" t="s">
        <v>203</v>
      </c>
      <c r="F1138" s="3" t="s">
        <v>10</v>
      </c>
      <c r="G11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38" s="3" t="s">
        <v>204</v>
      </c>
      <c r="I1138" s="3" t="s">
        <v>31</v>
      </c>
      <c r="J1138" s="3" t="s">
        <v>89</v>
      </c>
      <c r="K1138" s="3" t="s">
        <v>57</v>
      </c>
      <c r="L1138" s="3" t="s">
        <v>58</v>
      </c>
      <c r="M1138" s="4">
        <v>117.41</v>
      </c>
    </row>
    <row r="1139">
      <c r="A1139" s="2">
        <v>45471</v>
      </c>
      <c r="B113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39" s="3" t="str">
        <f>YEAR(KMART_DATA[[#This Row],[Date]])&amp;"-"&amp;TEXT(MONTH(KMART_DATA[[#This Row],[Date]]),"00")</f>
        <v>2024-06</v>
      </c>
      <c r="D1139" s="3" t="s">
        <v>45</v>
      </c>
      <c r="E1139" s="3" t="s">
        <v>118</v>
      </c>
      <c r="F1139" s="3" t="s">
        <v>10</v>
      </c>
      <c r="G11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39" s="3" t="s">
        <v>119</v>
      </c>
      <c r="I1139" s="3" t="s">
        <v>31</v>
      </c>
      <c r="J1139" s="3" t="s">
        <v>120</v>
      </c>
      <c r="K1139" s="3" t="s">
        <v>38</v>
      </c>
      <c r="L1139" s="3" t="s">
        <v>39</v>
      </c>
      <c r="M1139" s="4">
        <v>232.06</v>
      </c>
    </row>
    <row r="1140">
      <c r="A1140" s="2">
        <v>45471</v>
      </c>
      <c r="B114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0" s="3" t="str">
        <f>YEAR(KMART_DATA[[#This Row],[Date]])&amp;"-"&amp;TEXT(MONTH(KMART_DATA[[#This Row],[Date]]),"00")</f>
        <v>2024-06</v>
      </c>
      <c r="D1140" s="3" t="s">
        <v>28</v>
      </c>
      <c r="E1140" s="3" t="s">
        <v>236</v>
      </c>
      <c r="F1140" s="3" t="s">
        <v>12</v>
      </c>
      <c r="G11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40" s="3" t="s">
        <v>237</v>
      </c>
      <c r="I1140" s="3" t="s">
        <v>31</v>
      </c>
      <c r="J1140" s="3" t="s">
        <v>102</v>
      </c>
      <c r="K1140" s="3" t="s">
        <v>57</v>
      </c>
      <c r="L1140" s="3" t="s">
        <v>58</v>
      </c>
      <c r="M1140" s="4">
        <v>1267.27</v>
      </c>
    </row>
    <row r="1141">
      <c r="A1141" s="2">
        <v>45471</v>
      </c>
      <c r="B114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1" s="3" t="str">
        <f>YEAR(KMART_DATA[[#This Row],[Date]])&amp;"-"&amp;TEXT(MONTH(KMART_DATA[[#This Row],[Date]]),"00")</f>
        <v>2024-06</v>
      </c>
      <c r="D1141" s="3" t="s">
        <v>28</v>
      </c>
      <c r="E1141" s="3" t="s">
        <v>193</v>
      </c>
      <c r="F1141" s="3" t="s">
        <v>9</v>
      </c>
      <c r="G11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41" s="3" t="s">
        <v>194</v>
      </c>
      <c r="I1141" s="3" t="s">
        <v>31</v>
      </c>
      <c r="J1141" s="3" t="s">
        <v>99</v>
      </c>
      <c r="K1141" s="3" t="s">
        <v>46</v>
      </c>
      <c r="L1141" s="3" t="s">
        <v>47</v>
      </c>
      <c r="M1141" s="4">
        <v>2570.69</v>
      </c>
    </row>
    <row r="1142">
      <c r="A1142" s="2">
        <v>45472</v>
      </c>
      <c r="B114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2" s="3" t="str">
        <f>YEAR(KMART_DATA[[#This Row],[Date]])&amp;"-"&amp;TEXT(MONTH(KMART_DATA[[#This Row],[Date]]),"00")</f>
        <v>2024-06</v>
      </c>
      <c r="D1142" s="3" t="s">
        <v>28</v>
      </c>
      <c r="E1142" s="3" t="s">
        <v>242</v>
      </c>
      <c r="F1142" s="3" t="s">
        <v>10</v>
      </c>
      <c r="G11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42" s="3" t="s">
        <v>243</v>
      </c>
      <c r="I1142" s="3" t="s">
        <v>31</v>
      </c>
      <c r="J1142" s="3" t="s">
        <v>94</v>
      </c>
      <c r="K1142" s="3" t="s">
        <v>38</v>
      </c>
      <c r="L1142" s="3" t="s">
        <v>39</v>
      </c>
      <c r="M1142" s="4">
        <v>7.99</v>
      </c>
    </row>
    <row r="1143">
      <c r="A1143" s="2">
        <v>45472</v>
      </c>
      <c r="B114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3" s="3" t="str">
        <f>YEAR(KMART_DATA[[#This Row],[Date]])&amp;"-"&amp;TEXT(MONTH(KMART_DATA[[#This Row],[Date]]),"00")</f>
        <v>2024-06</v>
      </c>
      <c r="D1143" s="3" t="s">
        <v>28</v>
      </c>
      <c r="E1143" s="3" t="s">
        <v>82</v>
      </c>
      <c r="F1143" s="3" t="s">
        <v>11</v>
      </c>
      <c r="G11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43" s="3" t="s">
        <v>83</v>
      </c>
      <c r="I1143" s="3" t="s">
        <v>31</v>
      </c>
      <c r="J1143" s="3" t="s">
        <v>84</v>
      </c>
      <c r="K1143" s="3" t="s">
        <v>43</v>
      </c>
      <c r="L1143" s="3" t="s">
        <v>44</v>
      </c>
      <c r="M1143" s="4">
        <v>31.96</v>
      </c>
    </row>
    <row r="1144">
      <c r="A1144" s="2">
        <v>45472</v>
      </c>
      <c r="B114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4" s="3" t="str">
        <f>YEAR(KMART_DATA[[#This Row],[Date]])&amp;"-"&amp;TEXT(MONTH(KMART_DATA[[#This Row],[Date]]),"00")</f>
        <v>2024-06</v>
      </c>
      <c r="D1144" s="3" t="s">
        <v>28</v>
      </c>
      <c r="E1144" s="3" t="s">
        <v>177</v>
      </c>
      <c r="F1144" s="3" t="s">
        <v>12</v>
      </c>
      <c r="G11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44" s="3" t="s">
        <v>178</v>
      </c>
      <c r="I1144" s="3" t="s">
        <v>31</v>
      </c>
      <c r="J1144" s="3" t="s">
        <v>162</v>
      </c>
      <c r="K1144" s="3" t="s">
        <v>95</v>
      </c>
      <c r="L1144" s="3" t="s">
        <v>96</v>
      </c>
      <c r="M1144" s="4">
        <v>34.93</v>
      </c>
    </row>
    <row r="1145">
      <c r="A1145" s="2">
        <v>45472</v>
      </c>
      <c r="B114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5" s="3" t="str">
        <f>YEAR(KMART_DATA[[#This Row],[Date]])&amp;"-"&amp;TEXT(MONTH(KMART_DATA[[#This Row],[Date]]),"00")</f>
        <v>2024-06</v>
      </c>
      <c r="D1145" s="3" t="s">
        <v>28</v>
      </c>
      <c r="E1145" s="3" t="s">
        <v>92</v>
      </c>
      <c r="F1145" s="3" t="s">
        <v>10</v>
      </c>
      <c r="G11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45" s="3" t="s">
        <v>93</v>
      </c>
      <c r="I1145" s="3" t="s">
        <v>31</v>
      </c>
      <c r="J1145" s="3" t="s">
        <v>94</v>
      </c>
      <c r="K1145" s="3" t="s">
        <v>38</v>
      </c>
      <c r="L1145" s="3" t="s">
        <v>39</v>
      </c>
      <c r="M1145" s="4">
        <v>53.82</v>
      </c>
    </row>
    <row r="1146">
      <c r="A1146" s="2">
        <v>45472</v>
      </c>
      <c r="B114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6" s="3" t="str">
        <f>YEAR(KMART_DATA[[#This Row],[Date]])&amp;"-"&amp;TEXT(MONTH(KMART_DATA[[#This Row],[Date]]),"00")</f>
        <v>2024-06</v>
      </c>
      <c r="D1146" s="3" t="s">
        <v>45</v>
      </c>
      <c r="E1146" s="3" t="s">
        <v>199</v>
      </c>
      <c r="F1146" s="3" t="s">
        <v>13</v>
      </c>
      <c r="G11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46" s="3" t="s">
        <v>200</v>
      </c>
      <c r="I1146" s="3" t="s">
        <v>31</v>
      </c>
      <c r="J1146" s="3" t="s">
        <v>42</v>
      </c>
      <c r="K1146" s="3" t="s">
        <v>57</v>
      </c>
      <c r="L1146" s="3" t="s">
        <v>58</v>
      </c>
      <c r="M1146" s="4">
        <v>148.89</v>
      </c>
    </row>
    <row r="1147">
      <c r="A1147" s="2">
        <v>45472</v>
      </c>
      <c r="B114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7" s="3" t="str">
        <f>YEAR(KMART_DATA[[#This Row],[Date]])&amp;"-"&amp;TEXT(MONTH(KMART_DATA[[#This Row],[Date]]),"00")</f>
        <v>2024-06</v>
      </c>
      <c r="D1147" s="3" t="s">
        <v>28</v>
      </c>
      <c r="E1147" s="3" t="s">
        <v>175</v>
      </c>
      <c r="F1147" s="3" t="s">
        <v>16</v>
      </c>
      <c r="G11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147" s="3" t="s">
        <v>176</v>
      </c>
      <c r="I1147" s="3" t="s">
        <v>31</v>
      </c>
      <c r="J1147" s="3" t="s">
        <v>107</v>
      </c>
      <c r="K1147" s="3" t="s">
        <v>46</v>
      </c>
      <c r="L1147" s="3" t="s">
        <v>47</v>
      </c>
      <c r="M1147" s="4">
        <v>503.57</v>
      </c>
    </row>
    <row r="1148">
      <c r="A1148" s="2">
        <v>45472</v>
      </c>
      <c r="B114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8" s="3" t="str">
        <f>YEAR(KMART_DATA[[#This Row],[Date]])&amp;"-"&amp;TEXT(MONTH(KMART_DATA[[#This Row],[Date]]),"00")</f>
        <v>2024-06</v>
      </c>
      <c r="D1148" s="3" t="s">
        <v>28</v>
      </c>
      <c r="E1148" s="3" t="s">
        <v>211</v>
      </c>
      <c r="F1148" s="3" t="s">
        <v>9</v>
      </c>
      <c r="G11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48" s="3" t="s">
        <v>212</v>
      </c>
      <c r="I1148" s="3" t="s">
        <v>31</v>
      </c>
      <c r="J1148" s="3" t="s">
        <v>75</v>
      </c>
      <c r="K1148" s="3" t="s">
        <v>38</v>
      </c>
      <c r="L1148" s="3" t="s">
        <v>39</v>
      </c>
      <c r="M1148" s="4">
        <v>563.33</v>
      </c>
    </row>
    <row r="1149">
      <c r="A1149" s="2">
        <v>45472</v>
      </c>
      <c r="B114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49" s="3" t="str">
        <f>YEAR(KMART_DATA[[#This Row],[Date]])&amp;"-"&amp;TEXT(MONTH(KMART_DATA[[#This Row],[Date]]),"00")</f>
        <v>2024-06</v>
      </c>
      <c r="D1149" s="3" t="s">
        <v>28</v>
      </c>
      <c r="E1149" s="3" t="s">
        <v>160</v>
      </c>
      <c r="F1149" s="3" t="s">
        <v>12</v>
      </c>
      <c r="G11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49" s="3" t="s">
        <v>161</v>
      </c>
      <c r="I1149" s="3" t="s">
        <v>31</v>
      </c>
      <c r="J1149" s="3" t="s">
        <v>162</v>
      </c>
      <c r="K1149" s="3" t="s">
        <v>43</v>
      </c>
      <c r="L1149" s="3" t="s">
        <v>44</v>
      </c>
      <c r="M1149" s="4">
        <v>1441.91</v>
      </c>
    </row>
    <row r="1150">
      <c r="A1150" s="2">
        <v>45472</v>
      </c>
      <c r="B1150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0" s="3" t="str">
        <f>YEAR(KMART_DATA[[#This Row],[Date]])&amp;"-"&amp;TEXT(MONTH(KMART_DATA[[#This Row],[Date]]),"00")</f>
        <v>2024-06</v>
      </c>
      <c r="D1150" s="3" t="s">
        <v>28</v>
      </c>
      <c r="E1150" s="3" t="s">
        <v>183</v>
      </c>
      <c r="F1150" s="3" t="s">
        <v>9</v>
      </c>
      <c r="G11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50" s="3" t="s">
        <v>184</v>
      </c>
      <c r="I1150" s="3" t="s">
        <v>31</v>
      </c>
      <c r="J1150" s="3" t="s">
        <v>70</v>
      </c>
      <c r="K1150" s="3" t="s">
        <v>46</v>
      </c>
      <c r="L1150" s="3" t="s">
        <v>47</v>
      </c>
      <c r="M1150" s="4">
        <v>4396.46</v>
      </c>
    </row>
    <row r="1151">
      <c r="A1151" s="2">
        <v>45473</v>
      </c>
      <c r="B1151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1" s="3" t="str">
        <f>YEAR(KMART_DATA[[#This Row],[Date]])&amp;"-"&amp;TEXT(MONTH(KMART_DATA[[#This Row],[Date]]),"00")</f>
        <v>2024-06</v>
      </c>
      <c r="D1151" s="3" t="s">
        <v>28</v>
      </c>
      <c r="E1151" s="3" t="s">
        <v>148</v>
      </c>
      <c r="F1151" s="3" t="s">
        <v>12</v>
      </c>
      <c r="G11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51" s="3" t="s">
        <v>149</v>
      </c>
      <c r="I1151" s="3" t="s">
        <v>31</v>
      </c>
      <c r="J1151" s="3" t="s">
        <v>50</v>
      </c>
      <c r="K1151" s="3" t="s">
        <v>46</v>
      </c>
      <c r="L1151" s="3" t="s">
        <v>47</v>
      </c>
      <c r="M1151" s="4">
        <v>61.13</v>
      </c>
    </row>
    <row r="1152">
      <c r="A1152" s="2">
        <v>45473</v>
      </c>
      <c r="B1152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2" s="3" t="str">
        <f>YEAR(KMART_DATA[[#This Row],[Date]])&amp;"-"&amp;TEXT(MONTH(KMART_DATA[[#This Row],[Date]]),"00")</f>
        <v>2024-06</v>
      </c>
      <c r="D1152" s="3" t="s">
        <v>28</v>
      </c>
      <c r="E1152" s="3" t="s">
        <v>175</v>
      </c>
      <c r="F1152" s="3" t="s">
        <v>16</v>
      </c>
      <c r="G11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152" s="3" t="s">
        <v>176</v>
      </c>
      <c r="I1152" s="3" t="s">
        <v>31</v>
      </c>
      <c r="J1152" s="3" t="s">
        <v>107</v>
      </c>
      <c r="K1152" s="3" t="s">
        <v>71</v>
      </c>
      <c r="L1152" s="3" t="s">
        <v>72</v>
      </c>
      <c r="M1152" s="4">
        <v>93.81</v>
      </c>
    </row>
    <row r="1153">
      <c r="A1153" s="2">
        <v>45473</v>
      </c>
      <c r="B1153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3" s="3" t="str">
        <f>YEAR(KMART_DATA[[#This Row],[Date]])&amp;"-"&amp;TEXT(MONTH(KMART_DATA[[#This Row],[Date]]),"00")</f>
        <v>2024-06</v>
      </c>
      <c r="D1153" s="3" t="s">
        <v>45</v>
      </c>
      <c r="E1153" s="3" t="s">
        <v>148</v>
      </c>
      <c r="F1153" s="3" t="s">
        <v>12</v>
      </c>
      <c r="G11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53" s="3" t="s">
        <v>149</v>
      </c>
      <c r="I1153" s="3" t="s">
        <v>31</v>
      </c>
      <c r="J1153" s="3" t="s">
        <v>50</v>
      </c>
      <c r="K1153" s="3" t="s">
        <v>43</v>
      </c>
      <c r="L1153" s="3" t="s">
        <v>44</v>
      </c>
      <c r="M1153" s="4">
        <v>362.64</v>
      </c>
    </row>
    <row r="1154">
      <c r="A1154" s="2">
        <v>45473</v>
      </c>
      <c r="B1154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4" s="3" t="str">
        <f>YEAR(KMART_DATA[[#This Row],[Date]])&amp;"-"&amp;TEXT(MONTH(KMART_DATA[[#This Row],[Date]]),"00")</f>
        <v>2024-06</v>
      </c>
      <c r="D1154" s="3" t="s">
        <v>28</v>
      </c>
      <c r="E1154" s="3" t="s">
        <v>221</v>
      </c>
      <c r="F1154" s="3" t="s">
        <v>11</v>
      </c>
      <c r="G11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54" s="3" t="s">
        <v>222</v>
      </c>
      <c r="I1154" s="3" t="s">
        <v>31</v>
      </c>
      <c r="J1154" s="3" t="s">
        <v>56</v>
      </c>
      <c r="K1154" s="3" t="s">
        <v>112</v>
      </c>
      <c r="L1154" s="3" t="s">
        <v>113</v>
      </c>
      <c r="M1154" s="4">
        <v>495.85</v>
      </c>
    </row>
    <row r="1155">
      <c r="A1155" s="2">
        <v>45473</v>
      </c>
      <c r="B1155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5" s="3" t="str">
        <f>YEAR(KMART_DATA[[#This Row],[Date]])&amp;"-"&amp;TEXT(MONTH(KMART_DATA[[#This Row],[Date]]),"00")</f>
        <v>2024-06</v>
      </c>
      <c r="D1155" s="3" t="s">
        <v>28</v>
      </c>
      <c r="E1155" s="3" t="s">
        <v>76</v>
      </c>
      <c r="F1155" s="3" t="s">
        <v>11</v>
      </c>
      <c r="G11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55" s="3" t="s">
        <v>77</v>
      </c>
      <c r="I1155" s="3" t="s">
        <v>31</v>
      </c>
      <c r="J1155" s="3" t="s">
        <v>78</v>
      </c>
      <c r="K1155" s="3" t="s">
        <v>57</v>
      </c>
      <c r="L1155" s="3" t="s">
        <v>58</v>
      </c>
      <c r="M1155" s="4">
        <v>893.95</v>
      </c>
    </row>
    <row r="1156">
      <c r="A1156" s="2">
        <v>45473</v>
      </c>
      <c r="B1156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6" s="3" t="str">
        <f>YEAR(KMART_DATA[[#This Row],[Date]])&amp;"-"&amp;TEXT(MONTH(KMART_DATA[[#This Row],[Date]]),"00")</f>
        <v>2024-06</v>
      </c>
      <c r="D1156" s="3" t="s">
        <v>45</v>
      </c>
      <c r="E1156" s="3" t="s">
        <v>165</v>
      </c>
      <c r="F1156" s="3" t="s">
        <v>9</v>
      </c>
      <c r="G11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56" s="3" t="s">
        <v>166</v>
      </c>
      <c r="I1156" s="3" t="s">
        <v>31</v>
      </c>
      <c r="J1156" s="3" t="s">
        <v>99</v>
      </c>
      <c r="K1156" s="3" t="s">
        <v>95</v>
      </c>
      <c r="L1156" s="3" t="s">
        <v>96</v>
      </c>
      <c r="M1156" s="4">
        <v>918.24</v>
      </c>
    </row>
    <row r="1157">
      <c r="A1157" s="2">
        <v>45473</v>
      </c>
      <c r="B1157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7" s="3" t="str">
        <f>YEAR(KMART_DATA[[#This Row],[Date]])&amp;"-"&amp;TEXT(MONTH(KMART_DATA[[#This Row],[Date]]),"00")</f>
        <v>2024-06</v>
      </c>
      <c r="D1157" s="3" t="s">
        <v>28</v>
      </c>
      <c r="E1157" s="3" t="s">
        <v>158</v>
      </c>
      <c r="F1157" s="3" t="s">
        <v>11</v>
      </c>
      <c r="G11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57" s="3" t="s">
        <v>159</v>
      </c>
      <c r="I1157" s="3" t="s">
        <v>31</v>
      </c>
      <c r="J1157" s="3" t="s">
        <v>84</v>
      </c>
      <c r="K1157" s="3" t="s">
        <v>46</v>
      </c>
      <c r="L1157" s="3" t="s">
        <v>47</v>
      </c>
      <c r="M1157" s="4">
        <v>1037.03</v>
      </c>
    </row>
    <row r="1158">
      <c r="A1158" s="2">
        <v>45473</v>
      </c>
      <c r="B1158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8" s="3" t="str">
        <f>YEAR(KMART_DATA[[#This Row],[Date]])&amp;"-"&amp;TEXT(MONTH(KMART_DATA[[#This Row],[Date]]),"00")</f>
        <v>2024-06</v>
      </c>
      <c r="D1158" s="3" t="s">
        <v>28</v>
      </c>
      <c r="E1158" s="3" t="s">
        <v>154</v>
      </c>
      <c r="F1158" s="3" t="s">
        <v>11</v>
      </c>
      <c r="G11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58" s="3" t="s">
        <v>155</v>
      </c>
      <c r="I1158" s="3" t="s">
        <v>31</v>
      </c>
      <c r="J1158" s="3" t="s">
        <v>84</v>
      </c>
      <c r="K1158" s="3" t="s">
        <v>71</v>
      </c>
      <c r="L1158" s="3" t="s">
        <v>72</v>
      </c>
      <c r="M1158" s="4">
        <v>3745.48</v>
      </c>
    </row>
    <row r="1159">
      <c r="A1159" s="2">
        <v>45473</v>
      </c>
      <c r="B1159" s="3" t="str">
        <f>"FY"&amp;(YEAR(KMART_DATA[[#This Row],[Date]])+(MONTH(KMART_DATA[[#This Row],[Date]])&gt;=7)-1)&amp;"-"&amp;RIGHT(YEAR(KMART_DATA[[#This Row],[Date]])+(MONTH(KMART_DATA[[#This Row],[Date]])&gt;=7),2)</f>
        <v>FY2023-24</v>
      </c>
      <c r="C1159" s="3" t="str">
        <f>YEAR(KMART_DATA[[#This Row],[Date]])&amp;"-"&amp;TEXT(MONTH(KMART_DATA[[#This Row],[Date]]),"00")</f>
        <v>2024-06</v>
      </c>
      <c r="D1159" s="3" t="s">
        <v>45</v>
      </c>
      <c r="E1159" s="3" t="s">
        <v>177</v>
      </c>
      <c r="F1159" s="3" t="s">
        <v>12</v>
      </c>
      <c r="G11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59" s="3" t="s">
        <v>178</v>
      </c>
      <c r="I1159" s="3" t="s">
        <v>31</v>
      </c>
      <c r="J1159" s="3" t="s">
        <v>162</v>
      </c>
      <c r="K1159" s="3" t="s">
        <v>95</v>
      </c>
      <c r="L1159" s="3" t="s">
        <v>96</v>
      </c>
      <c r="M1159" s="4">
        <v>5499.11</v>
      </c>
    </row>
    <row r="1160">
      <c r="A1160" s="2">
        <v>45474</v>
      </c>
      <c r="B11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0" s="3" t="str">
        <f>YEAR(KMART_DATA[[#This Row],[Date]])&amp;"-"&amp;TEXT(MONTH(KMART_DATA[[#This Row],[Date]]),"00")</f>
        <v>2024-07</v>
      </c>
      <c r="D1160" s="3" t="s">
        <v>28</v>
      </c>
      <c r="E1160" s="3" t="s">
        <v>129</v>
      </c>
      <c r="F1160" s="3" t="s">
        <v>10</v>
      </c>
      <c r="G11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60" s="3" t="s">
        <v>130</v>
      </c>
      <c r="I1160" s="3" t="s">
        <v>31</v>
      </c>
      <c r="J1160" s="3" t="s">
        <v>120</v>
      </c>
      <c r="K1160" s="3" t="s">
        <v>57</v>
      </c>
      <c r="L1160" s="3" t="s">
        <v>58</v>
      </c>
      <c r="M1160" s="4">
        <v>5.99</v>
      </c>
    </row>
    <row r="1161">
      <c r="A1161" s="2">
        <v>45474</v>
      </c>
      <c r="B11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1" s="3" t="str">
        <f>YEAR(KMART_DATA[[#This Row],[Date]])&amp;"-"&amp;TEXT(MONTH(KMART_DATA[[#This Row],[Date]]),"00")</f>
        <v>2024-07</v>
      </c>
      <c r="D1161" s="3" t="s">
        <v>28</v>
      </c>
      <c r="E1161" s="3" t="s">
        <v>79</v>
      </c>
      <c r="F1161" s="3" t="s">
        <v>9</v>
      </c>
      <c r="G11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61" s="3" t="s">
        <v>80</v>
      </c>
      <c r="I1161" s="3" t="s">
        <v>31</v>
      </c>
      <c r="J1161" s="3" t="s">
        <v>81</v>
      </c>
      <c r="K1161" s="3" t="s">
        <v>112</v>
      </c>
      <c r="L1161" s="3" t="s">
        <v>113</v>
      </c>
      <c r="M1161" s="4">
        <v>35.91</v>
      </c>
    </row>
    <row r="1162">
      <c r="A1162" s="2">
        <v>45474</v>
      </c>
      <c r="B11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2" s="3" t="str">
        <f>YEAR(KMART_DATA[[#This Row],[Date]])&amp;"-"&amp;TEXT(MONTH(KMART_DATA[[#This Row],[Date]]),"00")</f>
        <v>2024-07</v>
      </c>
      <c r="D1162" s="3" t="s">
        <v>28</v>
      </c>
      <c r="E1162" s="3" t="s">
        <v>40</v>
      </c>
      <c r="F1162" s="3" t="s">
        <v>13</v>
      </c>
      <c r="G11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62" s="3" t="s">
        <v>41</v>
      </c>
      <c r="I1162" s="3" t="s">
        <v>31</v>
      </c>
      <c r="J1162" s="3" t="s">
        <v>42</v>
      </c>
      <c r="K1162" s="3" t="s">
        <v>46</v>
      </c>
      <c r="L1162" s="3" t="s">
        <v>47</v>
      </c>
      <c r="M1162" s="4">
        <v>51.96</v>
      </c>
    </row>
    <row r="1163">
      <c r="A1163" s="2">
        <v>45474</v>
      </c>
      <c r="B11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3" s="3" t="str">
        <f>YEAR(KMART_DATA[[#This Row],[Date]])&amp;"-"&amp;TEXT(MONTH(KMART_DATA[[#This Row],[Date]]),"00")</f>
        <v>2024-07</v>
      </c>
      <c r="D1163" s="3" t="s">
        <v>28</v>
      </c>
      <c r="E1163" s="3" t="s">
        <v>234</v>
      </c>
      <c r="F1163" s="3" t="s">
        <v>9</v>
      </c>
      <c r="G11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63" s="3" t="s">
        <v>235</v>
      </c>
      <c r="I1163" s="3" t="s">
        <v>31</v>
      </c>
      <c r="J1163" s="3" t="s">
        <v>81</v>
      </c>
      <c r="K1163" s="3" t="s">
        <v>38</v>
      </c>
      <c r="L1163" s="3" t="s">
        <v>39</v>
      </c>
      <c r="M1163" s="4">
        <v>81.86</v>
      </c>
    </row>
    <row r="1164">
      <c r="A1164" s="2">
        <v>45474</v>
      </c>
      <c r="B11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4" s="3" t="str">
        <f>YEAR(KMART_DATA[[#This Row],[Date]])&amp;"-"&amp;TEXT(MONTH(KMART_DATA[[#This Row],[Date]]),"00")</f>
        <v>2024-07</v>
      </c>
      <c r="D1164" s="3" t="s">
        <v>45</v>
      </c>
      <c r="E1164" s="3" t="s">
        <v>146</v>
      </c>
      <c r="F1164" s="3" t="s">
        <v>9</v>
      </c>
      <c r="G11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64" s="3" t="s">
        <v>147</v>
      </c>
      <c r="I1164" s="3" t="s">
        <v>31</v>
      </c>
      <c r="J1164" s="3" t="s">
        <v>75</v>
      </c>
      <c r="K1164" s="3" t="s">
        <v>43</v>
      </c>
      <c r="L1164" s="3" t="s">
        <v>44</v>
      </c>
      <c r="M1164" s="4">
        <v>146.93</v>
      </c>
    </row>
    <row r="1165">
      <c r="A1165" s="2">
        <v>45474</v>
      </c>
      <c r="B11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5" s="3" t="str">
        <f>YEAR(KMART_DATA[[#This Row],[Date]])&amp;"-"&amp;TEXT(MONTH(KMART_DATA[[#This Row],[Date]]),"00")</f>
        <v>2024-07</v>
      </c>
      <c r="D1165" s="3" t="s">
        <v>28</v>
      </c>
      <c r="E1165" s="3" t="s">
        <v>179</v>
      </c>
      <c r="F1165" s="3" t="s">
        <v>9</v>
      </c>
      <c r="G11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65" s="3" t="s">
        <v>180</v>
      </c>
      <c r="I1165" s="3" t="s">
        <v>31</v>
      </c>
      <c r="J1165" s="3" t="s">
        <v>99</v>
      </c>
      <c r="K1165" s="3" t="s">
        <v>123</v>
      </c>
      <c r="L1165" s="3" t="s">
        <v>124</v>
      </c>
      <c r="M1165" s="4">
        <v>729.36</v>
      </c>
    </row>
    <row r="1166">
      <c r="A1166" s="2">
        <v>45474</v>
      </c>
      <c r="B11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6" s="3" t="str">
        <f>YEAR(KMART_DATA[[#This Row],[Date]])&amp;"-"&amp;TEXT(MONTH(KMART_DATA[[#This Row],[Date]]),"00")</f>
        <v>2024-07</v>
      </c>
      <c r="D1166" s="3" t="s">
        <v>45</v>
      </c>
      <c r="E1166" s="3" t="s">
        <v>76</v>
      </c>
      <c r="F1166" s="3" t="s">
        <v>11</v>
      </c>
      <c r="G11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66" s="3" t="s">
        <v>77</v>
      </c>
      <c r="I1166" s="3" t="s">
        <v>31</v>
      </c>
      <c r="J1166" s="3" t="s">
        <v>78</v>
      </c>
      <c r="K1166" s="3" t="s">
        <v>71</v>
      </c>
      <c r="L1166" s="3" t="s">
        <v>72</v>
      </c>
      <c r="M1166" s="4">
        <v>2528.04</v>
      </c>
    </row>
    <row r="1167">
      <c r="A1167" s="2">
        <v>45474</v>
      </c>
      <c r="B11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7" s="3" t="str">
        <f>YEAR(KMART_DATA[[#This Row],[Date]])&amp;"-"&amp;TEXT(MONTH(KMART_DATA[[#This Row],[Date]]),"00")</f>
        <v>2024-07</v>
      </c>
      <c r="D1167" s="3" t="s">
        <v>28</v>
      </c>
      <c r="E1167" s="3" t="s">
        <v>64</v>
      </c>
      <c r="F1167" s="3" t="s">
        <v>11</v>
      </c>
      <c r="G11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67" s="3" t="s">
        <v>65</v>
      </c>
      <c r="I1167" s="3" t="s">
        <v>31</v>
      </c>
      <c r="J1167" s="3" t="s">
        <v>61</v>
      </c>
      <c r="K1167" s="3" t="s">
        <v>123</v>
      </c>
      <c r="L1167" s="3" t="s">
        <v>124</v>
      </c>
      <c r="M1167" s="4">
        <v>2601.72</v>
      </c>
    </row>
    <row r="1168">
      <c r="A1168" s="2">
        <v>45475</v>
      </c>
      <c r="B11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8" s="3" t="str">
        <f>YEAR(KMART_DATA[[#This Row],[Date]])&amp;"-"&amp;TEXT(MONTH(KMART_DATA[[#This Row],[Date]]),"00")</f>
        <v>2024-07</v>
      </c>
      <c r="D1168" s="3" t="s">
        <v>28</v>
      </c>
      <c r="E1168" s="3" t="s">
        <v>35</v>
      </c>
      <c r="F1168" s="3" t="s">
        <v>10</v>
      </c>
      <c r="G11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68" s="3" t="s">
        <v>36</v>
      </c>
      <c r="I1168" s="3" t="s">
        <v>31</v>
      </c>
      <c r="J1168" s="3" t="s">
        <v>37</v>
      </c>
      <c r="K1168" s="3" t="s">
        <v>43</v>
      </c>
      <c r="L1168" s="3" t="s">
        <v>44</v>
      </c>
      <c r="M1168" s="4">
        <v>117.44</v>
      </c>
    </row>
    <row r="1169">
      <c r="A1169" s="2">
        <v>45475</v>
      </c>
      <c r="B11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69" s="3" t="str">
        <f>YEAR(KMART_DATA[[#This Row],[Date]])&amp;"-"&amp;TEXT(MONTH(KMART_DATA[[#This Row],[Date]]),"00")</f>
        <v>2024-07</v>
      </c>
      <c r="D1169" s="3" t="s">
        <v>45</v>
      </c>
      <c r="E1169" s="3" t="s">
        <v>207</v>
      </c>
      <c r="F1169" s="3" t="s">
        <v>11</v>
      </c>
      <c r="G11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69" s="3" t="s">
        <v>208</v>
      </c>
      <c r="I1169" s="3" t="s">
        <v>31</v>
      </c>
      <c r="J1169" s="3" t="s">
        <v>78</v>
      </c>
      <c r="K1169" s="3" t="s">
        <v>46</v>
      </c>
      <c r="L1169" s="3" t="s">
        <v>47</v>
      </c>
      <c r="M1169" s="4">
        <v>201.22</v>
      </c>
    </row>
    <row r="1170">
      <c r="A1170" s="2">
        <v>45475</v>
      </c>
      <c r="B11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0" s="3" t="str">
        <f>YEAR(KMART_DATA[[#This Row],[Date]])&amp;"-"&amp;TEXT(MONTH(KMART_DATA[[#This Row],[Date]]),"00")</f>
        <v>2024-07</v>
      </c>
      <c r="D1170" s="3" t="s">
        <v>28</v>
      </c>
      <c r="E1170" s="3" t="s">
        <v>211</v>
      </c>
      <c r="F1170" s="3" t="s">
        <v>9</v>
      </c>
      <c r="G11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70" s="3" t="s">
        <v>212</v>
      </c>
      <c r="I1170" s="3" t="s">
        <v>31</v>
      </c>
      <c r="J1170" s="3" t="s">
        <v>75</v>
      </c>
      <c r="K1170" s="3" t="s">
        <v>71</v>
      </c>
      <c r="L1170" s="3" t="s">
        <v>72</v>
      </c>
      <c r="M1170" s="4">
        <v>359.04</v>
      </c>
    </row>
    <row r="1171">
      <c r="A1171" s="2">
        <v>45475</v>
      </c>
      <c r="B11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1" s="3" t="str">
        <f>YEAR(KMART_DATA[[#This Row],[Date]])&amp;"-"&amp;TEXT(MONTH(KMART_DATA[[#This Row],[Date]]),"00")</f>
        <v>2024-07</v>
      </c>
      <c r="D1171" s="3" t="s">
        <v>28</v>
      </c>
      <c r="E1171" s="3" t="s">
        <v>59</v>
      </c>
      <c r="F1171" s="3" t="s">
        <v>11</v>
      </c>
      <c r="G11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71" s="3" t="s">
        <v>60</v>
      </c>
      <c r="I1171" s="3" t="s">
        <v>31</v>
      </c>
      <c r="J1171" s="3" t="s">
        <v>61</v>
      </c>
      <c r="K1171" s="3" t="s">
        <v>43</v>
      </c>
      <c r="L1171" s="3" t="s">
        <v>44</v>
      </c>
      <c r="M1171" s="4">
        <v>682.07</v>
      </c>
    </row>
    <row r="1172">
      <c r="A1172" s="2">
        <v>45476</v>
      </c>
      <c r="B11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2" s="3" t="str">
        <f>YEAR(KMART_DATA[[#This Row],[Date]])&amp;"-"&amp;TEXT(MONTH(KMART_DATA[[#This Row],[Date]]),"00")</f>
        <v>2024-07</v>
      </c>
      <c r="D1172" s="3" t="s">
        <v>28</v>
      </c>
      <c r="E1172" s="3" t="s">
        <v>103</v>
      </c>
      <c r="F1172" s="3" t="s">
        <v>12</v>
      </c>
      <c r="G11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72" s="3" t="s">
        <v>104</v>
      </c>
      <c r="I1172" s="3" t="s">
        <v>31</v>
      </c>
      <c r="J1172" s="3" t="s">
        <v>102</v>
      </c>
      <c r="K1172" s="3" t="s">
        <v>46</v>
      </c>
      <c r="L1172" s="3" t="s">
        <v>47</v>
      </c>
      <c r="M1172" s="4">
        <v>1.0</v>
      </c>
    </row>
    <row r="1173">
      <c r="A1173" s="2">
        <v>45476</v>
      </c>
      <c r="B11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3" s="3" t="str">
        <f>YEAR(KMART_DATA[[#This Row],[Date]])&amp;"-"&amp;TEXT(MONTH(KMART_DATA[[#This Row],[Date]]),"00")</f>
        <v>2024-07</v>
      </c>
      <c r="D1173" s="3" t="s">
        <v>28</v>
      </c>
      <c r="E1173" s="3" t="s">
        <v>177</v>
      </c>
      <c r="F1173" s="3" t="s">
        <v>12</v>
      </c>
      <c r="G11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73" s="3" t="s">
        <v>178</v>
      </c>
      <c r="I1173" s="3" t="s">
        <v>31</v>
      </c>
      <c r="J1173" s="3" t="s">
        <v>162</v>
      </c>
      <c r="K1173" s="3" t="s">
        <v>71</v>
      </c>
      <c r="L1173" s="3" t="s">
        <v>72</v>
      </c>
      <c r="M1173" s="4">
        <v>4.0</v>
      </c>
    </row>
    <row r="1174">
      <c r="A1174" s="2">
        <v>45476</v>
      </c>
      <c r="B11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4" s="3" t="str">
        <f>YEAR(KMART_DATA[[#This Row],[Date]])&amp;"-"&amp;TEXT(MONTH(KMART_DATA[[#This Row],[Date]]),"00")</f>
        <v>2024-07</v>
      </c>
      <c r="D1174" s="3" t="s">
        <v>45</v>
      </c>
      <c r="E1174" s="3" t="s">
        <v>240</v>
      </c>
      <c r="F1174" s="3" t="s">
        <v>15</v>
      </c>
      <c r="G11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174" s="3" t="s">
        <v>241</v>
      </c>
      <c r="I1174" s="3" t="s">
        <v>31</v>
      </c>
      <c r="J1174" s="3" t="s">
        <v>53</v>
      </c>
      <c r="K1174" s="3" t="s">
        <v>43</v>
      </c>
      <c r="L1174" s="3" t="s">
        <v>44</v>
      </c>
      <c r="M1174" s="4">
        <v>151.86</v>
      </c>
    </row>
    <row r="1175">
      <c r="A1175" s="2">
        <v>45476</v>
      </c>
      <c r="B11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5" s="3" t="str">
        <f>YEAR(KMART_DATA[[#This Row],[Date]])&amp;"-"&amp;TEXT(MONTH(KMART_DATA[[#This Row],[Date]]),"00")</f>
        <v>2024-07</v>
      </c>
      <c r="D1175" s="3" t="s">
        <v>28</v>
      </c>
      <c r="E1175" s="3" t="s">
        <v>246</v>
      </c>
      <c r="F1175" s="3" t="s">
        <v>10</v>
      </c>
      <c r="G11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75" s="3" t="s">
        <v>247</v>
      </c>
      <c r="I1175" s="3" t="s">
        <v>31</v>
      </c>
      <c r="J1175" s="3" t="s">
        <v>37</v>
      </c>
      <c r="K1175" s="3" t="s">
        <v>66</v>
      </c>
      <c r="L1175" s="3" t="s">
        <v>67</v>
      </c>
      <c r="M1175" s="4">
        <v>211.59</v>
      </c>
    </row>
    <row r="1176">
      <c r="A1176" s="2">
        <v>45476</v>
      </c>
      <c r="B11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6" s="3" t="str">
        <f>YEAR(KMART_DATA[[#This Row],[Date]])&amp;"-"&amp;TEXT(MONTH(KMART_DATA[[#This Row],[Date]]),"00")</f>
        <v>2024-07</v>
      </c>
      <c r="D1176" s="3" t="s">
        <v>28</v>
      </c>
      <c r="E1176" s="3" t="s">
        <v>48</v>
      </c>
      <c r="F1176" s="3" t="s">
        <v>12</v>
      </c>
      <c r="G11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76" s="3" t="s">
        <v>49</v>
      </c>
      <c r="I1176" s="3" t="s">
        <v>31</v>
      </c>
      <c r="J1176" s="3" t="s">
        <v>50</v>
      </c>
      <c r="K1176" s="3" t="s">
        <v>71</v>
      </c>
      <c r="L1176" s="3" t="s">
        <v>72</v>
      </c>
      <c r="M1176" s="4">
        <v>588.0</v>
      </c>
    </row>
    <row r="1177">
      <c r="A1177" s="2">
        <v>45476</v>
      </c>
      <c r="B11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7" s="3" t="str">
        <f>YEAR(KMART_DATA[[#This Row],[Date]])&amp;"-"&amp;TEXT(MONTH(KMART_DATA[[#This Row],[Date]]),"00")</f>
        <v>2024-07</v>
      </c>
      <c r="D1177" s="3" t="s">
        <v>28</v>
      </c>
      <c r="E1177" s="3" t="s">
        <v>131</v>
      </c>
      <c r="F1177" s="3" t="s">
        <v>11</v>
      </c>
      <c r="G11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77" s="3" t="s">
        <v>132</v>
      </c>
      <c r="I1177" s="3" t="s">
        <v>31</v>
      </c>
      <c r="J1177" s="3" t="s">
        <v>32</v>
      </c>
      <c r="K1177" s="3" t="s">
        <v>33</v>
      </c>
      <c r="L1177" s="3" t="s">
        <v>34</v>
      </c>
      <c r="M1177" s="4">
        <v>655.3</v>
      </c>
    </row>
    <row r="1178">
      <c r="A1178" s="2">
        <v>45477</v>
      </c>
      <c r="B11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8" s="3" t="str">
        <f>YEAR(KMART_DATA[[#This Row],[Date]])&amp;"-"&amp;TEXT(MONTH(KMART_DATA[[#This Row],[Date]]),"00")</f>
        <v>2024-07</v>
      </c>
      <c r="D1178" s="3" t="s">
        <v>28</v>
      </c>
      <c r="E1178" s="3" t="s">
        <v>158</v>
      </c>
      <c r="F1178" s="3" t="s">
        <v>11</v>
      </c>
      <c r="G11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78" s="3" t="s">
        <v>159</v>
      </c>
      <c r="I1178" s="3" t="s">
        <v>31</v>
      </c>
      <c r="J1178" s="3" t="s">
        <v>84</v>
      </c>
      <c r="K1178" s="3" t="s">
        <v>33</v>
      </c>
      <c r="L1178" s="3" t="s">
        <v>34</v>
      </c>
      <c r="M1178" s="4">
        <v>35.91</v>
      </c>
    </row>
    <row r="1179">
      <c r="A1179" s="2">
        <v>45477</v>
      </c>
      <c r="B11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79" s="3" t="str">
        <f>YEAR(KMART_DATA[[#This Row],[Date]])&amp;"-"&amp;TEXT(MONTH(KMART_DATA[[#This Row],[Date]]),"00")</f>
        <v>2024-07</v>
      </c>
      <c r="D1179" s="3" t="s">
        <v>45</v>
      </c>
      <c r="E1179" s="3" t="s">
        <v>125</v>
      </c>
      <c r="F1179" s="3" t="s">
        <v>10</v>
      </c>
      <c r="G11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79" s="3" t="s">
        <v>126</v>
      </c>
      <c r="I1179" s="3" t="s">
        <v>31</v>
      </c>
      <c r="J1179" s="3" t="s">
        <v>94</v>
      </c>
      <c r="K1179" s="3" t="s">
        <v>38</v>
      </c>
      <c r="L1179" s="3" t="s">
        <v>39</v>
      </c>
      <c r="M1179" s="4">
        <v>97.83</v>
      </c>
    </row>
    <row r="1180">
      <c r="A1180" s="2">
        <v>45477</v>
      </c>
      <c r="B11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0" s="3" t="str">
        <f>YEAR(KMART_DATA[[#This Row],[Date]])&amp;"-"&amp;TEXT(MONTH(KMART_DATA[[#This Row],[Date]]),"00")</f>
        <v>2024-07</v>
      </c>
      <c r="D1180" s="3" t="s">
        <v>45</v>
      </c>
      <c r="E1180" s="3" t="s">
        <v>146</v>
      </c>
      <c r="F1180" s="3" t="s">
        <v>9</v>
      </c>
      <c r="G11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80" s="3" t="s">
        <v>147</v>
      </c>
      <c r="I1180" s="3" t="s">
        <v>31</v>
      </c>
      <c r="J1180" s="3" t="s">
        <v>75</v>
      </c>
      <c r="K1180" s="3" t="s">
        <v>57</v>
      </c>
      <c r="L1180" s="3" t="s">
        <v>58</v>
      </c>
      <c r="M1180" s="4">
        <v>131.9</v>
      </c>
    </row>
    <row r="1181">
      <c r="A1181" s="2">
        <v>45477</v>
      </c>
      <c r="B11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1" s="3" t="str">
        <f>YEAR(KMART_DATA[[#This Row],[Date]])&amp;"-"&amp;TEXT(MONTH(KMART_DATA[[#This Row],[Date]]),"00")</f>
        <v>2024-07</v>
      </c>
      <c r="D1181" s="3" t="s">
        <v>28</v>
      </c>
      <c r="E1181" s="3" t="s">
        <v>177</v>
      </c>
      <c r="F1181" s="3" t="s">
        <v>12</v>
      </c>
      <c r="G11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81" s="3" t="s">
        <v>178</v>
      </c>
      <c r="I1181" s="3" t="s">
        <v>31</v>
      </c>
      <c r="J1181" s="3" t="s">
        <v>162</v>
      </c>
      <c r="K1181" s="3" t="s">
        <v>66</v>
      </c>
      <c r="L1181" s="3" t="s">
        <v>67</v>
      </c>
      <c r="M1181" s="4">
        <v>157.95</v>
      </c>
    </row>
    <row r="1182">
      <c r="A1182" s="2">
        <v>45477</v>
      </c>
      <c r="B11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2" s="3" t="str">
        <f>YEAR(KMART_DATA[[#This Row],[Date]])&amp;"-"&amp;TEXT(MONTH(KMART_DATA[[#This Row],[Date]]),"00")</f>
        <v>2024-07</v>
      </c>
      <c r="D1182" s="3" t="s">
        <v>28</v>
      </c>
      <c r="E1182" s="3" t="s">
        <v>139</v>
      </c>
      <c r="F1182" s="3" t="s">
        <v>10</v>
      </c>
      <c r="G11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82" s="3" t="s">
        <v>140</v>
      </c>
      <c r="I1182" s="3" t="s">
        <v>31</v>
      </c>
      <c r="J1182" s="3" t="s">
        <v>89</v>
      </c>
      <c r="K1182" s="3" t="s">
        <v>123</v>
      </c>
      <c r="L1182" s="3" t="s">
        <v>124</v>
      </c>
      <c r="M1182" s="4">
        <v>165.05</v>
      </c>
    </row>
    <row r="1183">
      <c r="A1183" s="2">
        <v>45477</v>
      </c>
      <c r="B11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3" s="3" t="str">
        <f>YEAR(KMART_DATA[[#This Row],[Date]])&amp;"-"&amp;TEXT(MONTH(KMART_DATA[[#This Row],[Date]]),"00")</f>
        <v>2024-07</v>
      </c>
      <c r="D1183" s="3" t="s">
        <v>28</v>
      </c>
      <c r="E1183" s="3" t="s">
        <v>246</v>
      </c>
      <c r="F1183" s="3" t="s">
        <v>10</v>
      </c>
      <c r="G11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83" s="3" t="s">
        <v>247</v>
      </c>
      <c r="I1183" s="3" t="s">
        <v>31</v>
      </c>
      <c r="J1183" s="3" t="s">
        <v>37</v>
      </c>
      <c r="K1183" s="3" t="s">
        <v>57</v>
      </c>
      <c r="L1183" s="3" t="s">
        <v>58</v>
      </c>
      <c r="M1183" s="4">
        <v>309.33</v>
      </c>
    </row>
    <row r="1184">
      <c r="A1184" s="2">
        <v>45477</v>
      </c>
      <c r="B11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4" s="3" t="str">
        <f>YEAR(KMART_DATA[[#This Row],[Date]])&amp;"-"&amp;TEXT(MONTH(KMART_DATA[[#This Row],[Date]]),"00")</f>
        <v>2024-07</v>
      </c>
      <c r="D1184" s="3" t="s">
        <v>28</v>
      </c>
      <c r="E1184" s="3" t="s">
        <v>135</v>
      </c>
      <c r="F1184" s="3" t="s">
        <v>16</v>
      </c>
      <c r="G11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184" s="3" t="s">
        <v>136</v>
      </c>
      <c r="I1184" s="3" t="s">
        <v>31</v>
      </c>
      <c r="J1184" s="3" t="s">
        <v>107</v>
      </c>
      <c r="K1184" s="3" t="s">
        <v>71</v>
      </c>
      <c r="L1184" s="3" t="s">
        <v>72</v>
      </c>
      <c r="M1184" s="4">
        <v>345.15</v>
      </c>
    </row>
    <row r="1185">
      <c r="A1185" s="2">
        <v>45477</v>
      </c>
      <c r="B11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5" s="3" t="str">
        <f>YEAR(KMART_DATA[[#This Row],[Date]])&amp;"-"&amp;TEXT(MONTH(KMART_DATA[[#This Row],[Date]]),"00")</f>
        <v>2024-07</v>
      </c>
      <c r="D1185" s="3" t="s">
        <v>28</v>
      </c>
      <c r="E1185" s="3" t="s">
        <v>156</v>
      </c>
      <c r="F1185" s="3" t="s">
        <v>9</v>
      </c>
      <c r="G11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85" s="3" t="s">
        <v>157</v>
      </c>
      <c r="I1185" s="3" t="s">
        <v>31</v>
      </c>
      <c r="J1185" s="3" t="s">
        <v>75</v>
      </c>
      <c r="K1185" s="3" t="s">
        <v>95</v>
      </c>
      <c r="L1185" s="3" t="s">
        <v>96</v>
      </c>
      <c r="M1185" s="4">
        <v>423.91</v>
      </c>
    </row>
    <row r="1186">
      <c r="A1186" s="2">
        <v>45478</v>
      </c>
      <c r="B11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6" s="3" t="str">
        <f>YEAR(KMART_DATA[[#This Row],[Date]])&amp;"-"&amp;TEXT(MONTH(KMART_DATA[[#This Row],[Date]]),"00")</f>
        <v>2024-07</v>
      </c>
      <c r="D1186" s="3" t="s">
        <v>45</v>
      </c>
      <c r="E1186" s="3" t="s">
        <v>225</v>
      </c>
      <c r="F1186" s="3" t="s">
        <v>13</v>
      </c>
      <c r="G11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86" s="3" t="s">
        <v>226</v>
      </c>
      <c r="I1186" s="3" t="s">
        <v>31</v>
      </c>
      <c r="J1186" s="3" t="s">
        <v>227</v>
      </c>
      <c r="K1186" s="3" t="s">
        <v>33</v>
      </c>
      <c r="L1186" s="3" t="s">
        <v>34</v>
      </c>
      <c r="M1186" s="4">
        <v>7.98</v>
      </c>
    </row>
    <row r="1187">
      <c r="A1187" s="2">
        <v>45478</v>
      </c>
      <c r="B11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7" s="3" t="str">
        <f>YEAR(KMART_DATA[[#This Row],[Date]])&amp;"-"&amp;TEXT(MONTH(KMART_DATA[[#This Row],[Date]]),"00")</f>
        <v>2024-07</v>
      </c>
      <c r="D1187" s="3" t="s">
        <v>28</v>
      </c>
      <c r="E1187" s="3" t="s">
        <v>228</v>
      </c>
      <c r="F1187" s="3" t="s">
        <v>11</v>
      </c>
      <c r="G11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87" s="3" t="s">
        <v>229</v>
      </c>
      <c r="I1187" s="3" t="s">
        <v>31</v>
      </c>
      <c r="J1187" s="3" t="s">
        <v>32</v>
      </c>
      <c r="K1187" s="3" t="s">
        <v>71</v>
      </c>
      <c r="L1187" s="3" t="s">
        <v>72</v>
      </c>
      <c r="M1187" s="4">
        <v>11.97</v>
      </c>
    </row>
    <row r="1188">
      <c r="A1188" s="2">
        <v>45478</v>
      </c>
      <c r="B11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8" s="3" t="str">
        <f>YEAR(KMART_DATA[[#This Row],[Date]])&amp;"-"&amp;TEXT(MONTH(KMART_DATA[[#This Row],[Date]]),"00")</f>
        <v>2024-07</v>
      </c>
      <c r="D1188" s="3" t="s">
        <v>28</v>
      </c>
      <c r="E1188" s="3" t="s">
        <v>225</v>
      </c>
      <c r="F1188" s="3" t="s">
        <v>13</v>
      </c>
      <c r="G11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88" s="3" t="s">
        <v>226</v>
      </c>
      <c r="I1188" s="3" t="s">
        <v>31</v>
      </c>
      <c r="J1188" s="3" t="s">
        <v>227</v>
      </c>
      <c r="K1188" s="3" t="s">
        <v>123</v>
      </c>
      <c r="L1188" s="3" t="s">
        <v>124</v>
      </c>
      <c r="M1188" s="4">
        <v>226.42</v>
      </c>
    </row>
    <row r="1189">
      <c r="A1189" s="2">
        <v>45478</v>
      </c>
      <c r="B11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89" s="3" t="str">
        <f>YEAR(KMART_DATA[[#This Row],[Date]])&amp;"-"&amp;TEXT(MONTH(KMART_DATA[[#This Row],[Date]]),"00")</f>
        <v>2024-07</v>
      </c>
      <c r="D1189" s="3" t="s">
        <v>28</v>
      </c>
      <c r="E1189" s="3" t="s">
        <v>189</v>
      </c>
      <c r="F1189" s="3" t="s">
        <v>9</v>
      </c>
      <c r="G11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189" s="3" t="s">
        <v>190</v>
      </c>
      <c r="I1189" s="3" t="s">
        <v>31</v>
      </c>
      <c r="J1189" s="3" t="s">
        <v>81</v>
      </c>
      <c r="K1189" s="3" t="s">
        <v>95</v>
      </c>
      <c r="L1189" s="3" t="s">
        <v>96</v>
      </c>
      <c r="M1189" s="4">
        <v>282.46</v>
      </c>
    </row>
    <row r="1190">
      <c r="A1190" s="2">
        <v>45478</v>
      </c>
      <c r="B11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0" s="3" t="str">
        <f>YEAR(KMART_DATA[[#This Row],[Date]])&amp;"-"&amp;TEXT(MONTH(KMART_DATA[[#This Row],[Date]]),"00")</f>
        <v>2024-07</v>
      </c>
      <c r="D1190" s="3" t="s">
        <v>28</v>
      </c>
      <c r="E1190" s="3" t="s">
        <v>203</v>
      </c>
      <c r="F1190" s="3" t="s">
        <v>10</v>
      </c>
      <c r="G11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90" s="3" t="s">
        <v>204</v>
      </c>
      <c r="I1190" s="3" t="s">
        <v>31</v>
      </c>
      <c r="J1190" s="3" t="s">
        <v>89</v>
      </c>
      <c r="K1190" s="3" t="s">
        <v>43</v>
      </c>
      <c r="L1190" s="3" t="s">
        <v>44</v>
      </c>
      <c r="M1190" s="4">
        <v>842.62</v>
      </c>
    </row>
    <row r="1191">
      <c r="A1191" s="2">
        <v>45478</v>
      </c>
      <c r="B11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1" s="3" t="str">
        <f>YEAR(KMART_DATA[[#This Row],[Date]])&amp;"-"&amp;TEXT(MONTH(KMART_DATA[[#This Row],[Date]]),"00")</f>
        <v>2024-07</v>
      </c>
      <c r="D1191" s="3" t="s">
        <v>28</v>
      </c>
      <c r="E1191" s="3" t="s">
        <v>177</v>
      </c>
      <c r="F1191" s="3" t="s">
        <v>12</v>
      </c>
      <c r="G11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91" s="3" t="s">
        <v>178</v>
      </c>
      <c r="I1191" s="3" t="s">
        <v>31</v>
      </c>
      <c r="J1191" s="3" t="s">
        <v>162</v>
      </c>
      <c r="K1191" s="3" t="s">
        <v>66</v>
      </c>
      <c r="L1191" s="3" t="s">
        <v>67</v>
      </c>
      <c r="M1191" s="4">
        <v>1298.88</v>
      </c>
    </row>
    <row r="1192">
      <c r="A1192" s="2">
        <v>45479</v>
      </c>
      <c r="B11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2" s="3" t="str">
        <f>YEAR(KMART_DATA[[#This Row],[Date]])&amp;"-"&amp;TEXT(MONTH(KMART_DATA[[#This Row],[Date]]),"00")</f>
        <v>2024-07</v>
      </c>
      <c r="D1192" s="3" t="s">
        <v>28</v>
      </c>
      <c r="E1192" s="3" t="s">
        <v>51</v>
      </c>
      <c r="F1192" s="3" t="s">
        <v>15</v>
      </c>
      <c r="G11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192" s="3" t="s">
        <v>52</v>
      </c>
      <c r="I1192" s="3" t="s">
        <v>31</v>
      </c>
      <c r="J1192" s="3" t="s">
        <v>53</v>
      </c>
      <c r="K1192" s="3" t="s">
        <v>43</v>
      </c>
      <c r="L1192" s="3" t="s">
        <v>44</v>
      </c>
      <c r="M1192" s="4">
        <v>9.0</v>
      </c>
    </row>
    <row r="1193">
      <c r="A1193" s="2">
        <v>45479</v>
      </c>
      <c r="B11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3" s="3" t="str">
        <f>YEAR(KMART_DATA[[#This Row],[Date]])&amp;"-"&amp;TEXT(MONTH(KMART_DATA[[#This Row],[Date]]),"00")</f>
        <v>2024-07</v>
      </c>
      <c r="D1193" s="3" t="s">
        <v>28</v>
      </c>
      <c r="E1193" s="3" t="s">
        <v>64</v>
      </c>
      <c r="F1193" s="3" t="s">
        <v>11</v>
      </c>
      <c r="G11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93" s="3" t="s">
        <v>65</v>
      </c>
      <c r="I1193" s="3" t="s">
        <v>31</v>
      </c>
      <c r="J1193" s="3" t="s">
        <v>61</v>
      </c>
      <c r="K1193" s="3" t="s">
        <v>46</v>
      </c>
      <c r="L1193" s="3" t="s">
        <v>47</v>
      </c>
      <c r="M1193" s="4">
        <v>31.16</v>
      </c>
    </row>
    <row r="1194">
      <c r="A1194" s="2">
        <v>45479</v>
      </c>
      <c r="B11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4" s="3" t="str">
        <f>YEAR(KMART_DATA[[#This Row],[Date]])&amp;"-"&amp;TEXT(MONTH(KMART_DATA[[#This Row],[Date]]),"00")</f>
        <v>2024-07</v>
      </c>
      <c r="D1194" s="3" t="s">
        <v>28</v>
      </c>
      <c r="E1194" s="3" t="s">
        <v>242</v>
      </c>
      <c r="F1194" s="3" t="s">
        <v>10</v>
      </c>
      <c r="G11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94" s="3" t="s">
        <v>243</v>
      </c>
      <c r="I1194" s="3" t="s">
        <v>31</v>
      </c>
      <c r="J1194" s="3" t="s">
        <v>94</v>
      </c>
      <c r="K1194" s="3" t="s">
        <v>112</v>
      </c>
      <c r="L1194" s="3" t="s">
        <v>113</v>
      </c>
      <c r="M1194" s="4">
        <v>43.92</v>
      </c>
    </row>
    <row r="1195">
      <c r="A1195" s="2">
        <v>45479</v>
      </c>
      <c r="B11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5" s="3" t="str">
        <f>YEAR(KMART_DATA[[#This Row],[Date]])&amp;"-"&amp;TEXT(MONTH(KMART_DATA[[#This Row],[Date]]),"00")</f>
        <v>2024-07</v>
      </c>
      <c r="D1195" s="3" t="s">
        <v>28</v>
      </c>
      <c r="E1195" s="3" t="s">
        <v>158</v>
      </c>
      <c r="F1195" s="3" t="s">
        <v>11</v>
      </c>
      <c r="G11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95" s="3" t="s">
        <v>159</v>
      </c>
      <c r="I1195" s="3" t="s">
        <v>31</v>
      </c>
      <c r="J1195" s="3" t="s">
        <v>84</v>
      </c>
      <c r="K1195" s="3" t="s">
        <v>38</v>
      </c>
      <c r="L1195" s="3" t="s">
        <v>39</v>
      </c>
      <c r="M1195" s="4">
        <v>55.86</v>
      </c>
    </row>
    <row r="1196">
      <c r="A1196" s="2">
        <v>45479</v>
      </c>
      <c r="B11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6" s="3" t="str">
        <f>YEAR(KMART_DATA[[#This Row],[Date]])&amp;"-"&amp;TEXT(MONTH(KMART_DATA[[#This Row],[Date]]),"00")</f>
        <v>2024-07</v>
      </c>
      <c r="D1196" s="3" t="s">
        <v>45</v>
      </c>
      <c r="E1196" s="3" t="s">
        <v>228</v>
      </c>
      <c r="F1196" s="3" t="s">
        <v>11</v>
      </c>
      <c r="G11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196" s="3" t="s">
        <v>229</v>
      </c>
      <c r="I1196" s="3" t="s">
        <v>31</v>
      </c>
      <c r="J1196" s="3" t="s">
        <v>32</v>
      </c>
      <c r="K1196" s="3" t="s">
        <v>33</v>
      </c>
      <c r="L1196" s="3" t="s">
        <v>34</v>
      </c>
      <c r="M1196" s="4">
        <v>208.73</v>
      </c>
    </row>
    <row r="1197">
      <c r="A1197" s="2">
        <v>45479</v>
      </c>
      <c r="B11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7" s="3" t="str">
        <f>YEAR(KMART_DATA[[#This Row],[Date]])&amp;"-"&amp;TEXT(MONTH(KMART_DATA[[#This Row],[Date]]),"00")</f>
        <v>2024-07</v>
      </c>
      <c r="D1197" s="3" t="s">
        <v>28</v>
      </c>
      <c r="E1197" s="3" t="s">
        <v>139</v>
      </c>
      <c r="F1197" s="3" t="s">
        <v>10</v>
      </c>
      <c r="G11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197" s="3" t="s">
        <v>140</v>
      </c>
      <c r="I1197" s="3" t="s">
        <v>31</v>
      </c>
      <c r="J1197" s="3" t="s">
        <v>89</v>
      </c>
      <c r="K1197" s="3" t="s">
        <v>33</v>
      </c>
      <c r="L1197" s="3" t="s">
        <v>34</v>
      </c>
      <c r="M1197" s="4">
        <v>770.34</v>
      </c>
    </row>
    <row r="1198">
      <c r="A1198" s="2">
        <v>45479</v>
      </c>
      <c r="B11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8" s="3" t="str">
        <f>YEAR(KMART_DATA[[#This Row],[Date]])&amp;"-"&amp;TEXT(MONTH(KMART_DATA[[#This Row],[Date]]),"00")</f>
        <v>2024-07</v>
      </c>
      <c r="D1198" s="3" t="s">
        <v>28</v>
      </c>
      <c r="E1198" s="3" t="s">
        <v>160</v>
      </c>
      <c r="F1198" s="3" t="s">
        <v>12</v>
      </c>
      <c r="G11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198" s="3" t="s">
        <v>161</v>
      </c>
      <c r="I1198" s="3" t="s">
        <v>31</v>
      </c>
      <c r="J1198" s="3" t="s">
        <v>162</v>
      </c>
      <c r="K1198" s="3" t="s">
        <v>57</v>
      </c>
      <c r="L1198" s="3" t="s">
        <v>58</v>
      </c>
      <c r="M1198" s="4">
        <v>4576.26</v>
      </c>
    </row>
    <row r="1199">
      <c r="A1199" s="2">
        <v>45480</v>
      </c>
      <c r="B11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199" s="3" t="str">
        <f>YEAR(KMART_DATA[[#This Row],[Date]])&amp;"-"&amp;TEXT(MONTH(KMART_DATA[[#This Row],[Date]]),"00")</f>
        <v>2024-07</v>
      </c>
      <c r="D1199" s="3" t="s">
        <v>28</v>
      </c>
      <c r="E1199" s="3" t="s">
        <v>238</v>
      </c>
      <c r="F1199" s="3" t="s">
        <v>13</v>
      </c>
      <c r="G11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199" s="3" t="s">
        <v>239</v>
      </c>
      <c r="I1199" s="3" t="s">
        <v>31</v>
      </c>
      <c r="J1199" s="3" t="s">
        <v>42</v>
      </c>
      <c r="K1199" s="3" t="s">
        <v>71</v>
      </c>
      <c r="L1199" s="3" t="s">
        <v>72</v>
      </c>
      <c r="M1199" s="4">
        <v>44.5</v>
      </c>
    </row>
    <row r="1200">
      <c r="A1200" s="2">
        <v>45480</v>
      </c>
      <c r="B12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0" s="3" t="str">
        <f>YEAR(KMART_DATA[[#This Row],[Date]])&amp;"-"&amp;TEXT(MONTH(KMART_DATA[[#This Row],[Date]]),"00")</f>
        <v>2024-07</v>
      </c>
      <c r="D1200" s="3" t="s">
        <v>45</v>
      </c>
      <c r="E1200" s="3" t="s">
        <v>181</v>
      </c>
      <c r="F1200" s="3" t="s">
        <v>11</v>
      </c>
      <c r="G12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00" s="3" t="s">
        <v>182</v>
      </c>
      <c r="I1200" s="3" t="s">
        <v>31</v>
      </c>
      <c r="J1200" s="3" t="s">
        <v>56</v>
      </c>
      <c r="K1200" s="3" t="s">
        <v>43</v>
      </c>
      <c r="L1200" s="3" t="s">
        <v>44</v>
      </c>
      <c r="M1200" s="4">
        <v>60.78</v>
      </c>
    </row>
    <row r="1201">
      <c r="A1201" s="2">
        <v>45480</v>
      </c>
      <c r="B12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1" s="3" t="str">
        <f>YEAR(KMART_DATA[[#This Row],[Date]])&amp;"-"&amp;TEXT(MONTH(KMART_DATA[[#This Row],[Date]]),"00")</f>
        <v>2024-07</v>
      </c>
      <c r="D1201" s="3" t="s">
        <v>45</v>
      </c>
      <c r="E1201" s="3" t="s">
        <v>68</v>
      </c>
      <c r="F1201" s="3" t="s">
        <v>9</v>
      </c>
      <c r="G12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01" s="3" t="s">
        <v>69</v>
      </c>
      <c r="I1201" s="3" t="s">
        <v>31</v>
      </c>
      <c r="J1201" s="3" t="s">
        <v>70</v>
      </c>
      <c r="K1201" s="3" t="s">
        <v>43</v>
      </c>
      <c r="L1201" s="3" t="s">
        <v>44</v>
      </c>
      <c r="M1201" s="4">
        <v>190.83</v>
      </c>
    </row>
    <row r="1202">
      <c r="A1202" s="2">
        <v>45480</v>
      </c>
      <c r="B12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2" s="3" t="str">
        <f>YEAR(KMART_DATA[[#This Row],[Date]])&amp;"-"&amp;TEXT(MONTH(KMART_DATA[[#This Row],[Date]]),"00")</f>
        <v>2024-07</v>
      </c>
      <c r="D1202" s="3" t="s">
        <v>28</v>
      </c>
      <c r="E1202" s="3" t="s">
        <v>236</v>
      </c>
      <c r="F1202" s="3" t="s">
        <v>12</v>
      </c>
      <c r="G12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02" s="3" t="s">
        <v>237</v>
      </c>
      <c r="I1202" s="3" t="s">
        <v>31</v>
      </c>
      <c r="J1202" s="3" t="s">
        <v>102</v>
      </c>
      <c r="K1202" s="3" t="s">
        <v>95</v>
      </c>
      <c r="L1202" s="3" t="s">
        <v>96</v>
      </c>
      <c r="M1202" s="4">
        <v>200.73</v>
      </c>
    </row>
    <row r="1203">
      <c r="A1203" s="2">
        <v>45480</v>
      </c>
      <c r="B12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3" s="3" t="str">
        <f>YEAR(KMART_DATA[[#This Row],[Date]])&amp;"-"&amp;TEXT(MONTH(KMART_DATA[[#This Row],[Date]]),"00")</f>
        <v>2024-07</v>
      </c>
      <c r="D1203" s="3" t="s">
        <v>45</v>
      </c>
      <c r="E1203" s="3" t="s">
        <v>118</v>
      </c>
      <c r="F1203" s="3" t="s">
        <v>10</v>
      </c>
      <c r="G12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03" s="3" t="s">
        <v>119</v>
      </c>
      <c r="I1203" s="3" t="s">
        <v>31</v>
      </c>
      <c r="J1203" s="3" t="s">
        <v>120</v>
      </c>
      <c r="K1203" s="3" t="s">
        <v>95</v>
      </c>
      <c r="L1203" s="3" t="s">
        <v>96</v>
      </c>
      <c r="M1203" s="4">
        <v>317.57</v>
      </c>
    </row>
    <row r="1204">
      <c r="A1204" s="2">
        <v>45480</v>
      </c>
      <c r="B12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4" s="3" t="str">
        <f>YEAR(KMART_DATA[[#This Row],[Date]])&amp;"-"&amp;TEXT(MONTH(KMART_DATA[[#This Row],[Date]]),"00")</f>
        <v>2024-07</v>
      </c>
      <c r="D1204" s="3" t="s">
        <v>28</v>
      </c>
      <c r="E1204" s="3" t="s">
        <v>76</v>
      </c>
      <c r="F1204" s="3" t="s">
        <v>11</v>
      </c>
      <c r="G12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04" s="3" t="s">
        <v>77</v>
      </c>
      <c r="I1204" s="3" t="s">
        <v>31</v>
      </c>
      <c r="J1204" s="3" t="s">
        <v>78</v>
      </c>
      <c r="K1204" s="3" t="s">
        <v>46</v>
      </c>
      <c r="L1204" s="3" t="s">
        <v>47</v>
      </c>
      <c r="M1204" s="4">
        <v>625.29</v>
      </c>
    </row>
    <row r="1205">
      <c r="A1205" s="2">
        <v>45480</v>
      </c>
      <c r="B12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5" s="3" t="str">
        <f>YEAR(KMART_DATA[[#This Row],[Date]])&amp;"-"&amp;TEXT(MONTH(KMART_DATA[[#This Row],[Date]]),"00")</f>
        <v>2024-07</v>
      </c>
      <c r="D1205" s="3" t="s">
        <v>28</v>
      </c>
      <c r="E1205" s="3" t="s">
        <v>221</v>
      </c>
      <c r="F1205" s="3" t="s">
        <v>11</v>
      </c>
      <c r="G12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05" s="3" t="s">
        <v>222</v>
      </c>
      <c r="I1205" s="3" t="s">
        <v>31</v>
      </c>
      <c r="J1205" s="3" t="s">
        <v>56</v>
      </c>
      <c r="K1205" s="3" t="s">
        <v>46</v>
      </c>
      <c r="L1205" s="3" t="s">
        <v>47</v>
      </c>
      <c r="M1205" s="4">
        <v>1314.98</v>
      </c>
    </row>
    <row r="1206">
      <c r="A1206" s="2">
        <v>45481</v>
      </c>
      <c r="B12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6" s="3" t="str">
        <f>YEAR(KMART_DATA[[#This Row],[Date]])&amp;"-"&amp;TEXT(MONTH(KMART_DATA[[#This Row],[Date]]),"00")</f>
        <v>2024-07</v>
      </c>
      <c r="D1206" s="3" t="s">
        <v>28</v>
      </c>
      <c r="E1206" s="3" t="s">
        <v>139</v>
      </c>
      <c r="F1206" s="3" t="s">
        <v>10</v>
      </c>
      <c r="G12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06" s="3" t="s">
        <v>140</v>
      </c>
      <c r="I1206" s="3" t="s">
        <v>31</v>
      </c>
      <c r="J1206" s="3" t="s">
        <v>89</v>
      </c>
      <c r="K1206" s="3" t="s">
        <v>38</v>
      </c>
      <c r="L1206" s="3" t="s">
        <v>39</v>
      </c>
      <c r="M1206" s="4">
        <v>38.94</v>
      </c>
    </row>
    <row r="1207">
      <c r="A1207" s="2">
        <v>45481</v>
      </c>
      <c r="B12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7" s="3" t="str">
        <f>YEAR(KMART_DATA[[#This Row],[Date]])&amp;"-"&amp;TEXT(MONTH(KMART_DATA[[#This Row],[Date]]),"00")</f>
        <v>2024-07</v>
      </c>
      <c r="D1207" s="3" t="s">
        <v>28</v>
      </c>
      <c r="E1207" s="3" t="s">
        <v>246</v>
      </c>
      <c r="F1207" s="3" t="s">
        <v>10</v>
      </c>
      <c r="G12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07" s="3" t="s">
        <v>247</v>
      </c>
      <c r="I1207" s="3" t="s">
        <v>31</v>
      </c>
      <c r="J1207" s="3" t="s">
        <v>37</v>
      </c>
      <c r="K1207" s="3" t="s">
        <v>33</v>
      </c>
      <c r="L1207" s="3" t="s">
        <v>34</v>
      </c>
      <c r="M1207" s="4">
        <v>62.75</v>
      </c>
    </row>
    <row r="1208">
      <c r="A1208" s="2">
        <v>45481</v>
      </c>
      <c r="B12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8" s="3" t="str">
        <f>YEAR(KMART_DATA[[#This Row],[Date]])&amp;"-"&amp;TEXT(MONTH(KMART_DATA[[#This Row],[Date]]),"00")</f>
        <v>2024-07</v>
      </c>
      <c r="D1208" s="3" t="s">
        <v>28</v>
      </c>
      <c r="E1208" s="3" t="s">
        <v>129</v>
      </c>
      <c r="F1208" s="3" t="s">
        <v>10</v>
      </c>
      <c r="G12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08" s="3" t="s">
        <v>130</v>
      </c>
      <c r="I1208" s="3" t="s">
        <v>31</v>
      </c>
      <c r="J1208" s="3" t="s">
        <v>120</v>
      </c>
      <c r="K1208" s="3" t="s">
        <v>38</v>
      </c>
      <c r="L1208" s="3" t="s">
        <v>39</v>
      </c>
      <c r="M1208" s="4">
        <v>65.89</v>
      </c>
    </row>
    <row r="1209">
      <c r="A1209" s="2">
        <v>45481</v>
      </c>
      <c r="B12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09" s="3" t="str">
        <f>YEAR(KMART_DATA[[#This Row],[Date]])&amp;"-"&amp;TEXT(MONTH(KMART_DATA[[#This Row],[Date]]),"00")</f>
        <v>2024-07</v>
      </c>
      <c r="D1209" s="3" t="s">
        <v>28</v>
      </c>
      <c r="E1209" s="3" t="s">
        <v>187</v>
      </c>
      <c r="F1209" s="3" t="s">
        <v>11</v>
      </c>
      <c r="G12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09" s="3" t="s">
        <v>188</v>
      </c>
      <c r="I1209" s="3" t="s">
        <v>31</v>
      </c>
      <c r="J1209" s="3" t="s">
        <v>78</v>
      </c>
      <c r="K1209" s="3" t="s">
        <v>123</v>
      </c>
      <c r="L1209" s="3" t="s">
        <v>124</v>
      </c>
      <c r="M1209" s="4">
        <v>476.37</v>
      </c>
    </row>
    <row r="1210">
      <c r="A1210" s="2">
        <v>45481</v>
      </c>
      <c r="B12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0" s="3" t="str">
        <f>YEAR(KMART_DATA[[#This Row],[Date]])&amp;"-"&amp;TEXT(MONTH(KMART_DATA[[#This Row],[Date]]),"00")</f>
        <v>2024-07</v>
      </c>
      <c r="D1210" s="3" t="s">
        <v>28</v>
      </c>
      <c r="E1210" s="3" t="s">
        <v>254</v>
      </c>
      <c r="F1210" s="3" t="s">
        <v>13</v>
      </c>
      <c r="G12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210" s="3" t="s">
        <v>255</v>
      </c>
      <c r="I1210" s="3" t="s">
        <v>31</v>
      </c>
      <c r="J1210" s="3" t="s">
        <v>227</v>
      </c>
      <c r="K1210" s="3" t="s">
        <v>46</v>
      </c>
      <c r="L1210" s="3" t="s">
        <v>47</v>
      </c>
      <c r="M1210" s="4">
        <v>511.34</v>
      </c>
    </row>
    <row r="1211">
      <c r="A1211" s="2">
        <v>45481</v>
      </c>
      <c r="B12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1" s="3" t="str">
        <f>YEAR(KMART_DATA[[#This Row],[Date]])&amp;"-"&amp;TEXT(MONTH(KMART_DATA[[#This Row],[Date]]),"00")</f>
        <v>2024-07</v>
      </c>
      <c r="D1211" s="3" t="s">
        <v>28</v>
      </c>
      <c r="E1211" s="3" t="s">
        <v>68</v>
      </c>
      <c r="F1211" s="3" t="s">
        <v>9</v>
      </c>
      <c r="G12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11" s="3" t="s">
        <v>69</v>
      </c>
      <c r="I1211" s="3" t="s">
        <v>31</v>
      </c>
      <c r="J1211" s="3" t="s">
        <v>70</v>
      </c>
      <c r="K1211" s="3" t="s">
        <v>46</v>
      </c>
      <c r="L1211" s="3" t="s">
        <v>47</v>
      </c>
      <c r="M1211" s="4">
        <v>576.19</v>
      </c>
    </row>
    <row r="1212">
      <c r="A1212" s="2">
        <v>45481</v>
      </c>
      <c r="B12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2" s="3" t="str">
        <f>YEAR(KMART_DATA[[#This Row],[Date]])&amp;"-"&amp;TEXT(MONTH(KMART_DATA[[#This Row],[Date]]),"00")</f>
        <v>2024-07</v>
      </c>
      <c r="D1212" s="3" t="s">
        <v>45</v>
      </c>
      <c r="E1212" s="3" t="s">
        <v>82</v>
      </c>
      <c r="F1212" s="3" t="s">
        <v>11</v>
      </c>
      <c r="G12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12" s="3" t="s">
        <v>83</v>
      </c>
      <c r="I1212" s="3" t="s">
        <v>31</v>
      </c>
      <c r="J1212" s="3" t="s">
        <v>84</v>
      </c>
      <c r="K1212" s="3" t="s">
        <v>71</v>
      </c>
      <c r="L1212" s="3" t="s">
        <v>72</v>
      </c>
      <c r="M1212" s="4">
        <v>650.62</v>
      </c>
    </row>
    <row r="1213">
      <c r="A1213" s="2">
        <v>45481</v>
      </c>
      <c r="B12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3" s="3" t="str">
        <f>YEAR(KMART_DATA[[#This Row],[Date]])&amp;"-"&amp;TEXT(MONTH(KMART_DATA[[#This Row],[Date]]),"00")</f>
        <v>2024-07</v>
      </c>
      <c r="D1213" s="3" t="s">
        <v>28</v>
      </c>
      <c r="E1213" s="3" t="s">
        <v>181</v>
      </c>
      <c r="F1213" s="3" t="s">
        <v>11</v>
      </c>
      <c r="G12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13" s="3" t="s">
        <v>182</v>
      </c>
      <c r="I1213" s="3" t="s">
        <v>31</v>
      </c>
      <c r="J1213" s="3" t="s">
        <v>56</v>
      </c>
      <c r="K1213" s="3" t="s">
        <v>71</v>
      </c>
      <c r="L1213" s="3" t="s">
        <v>72</v>
      </c>
      <c r="M1213" s="4">
        <v>1174.28</v>
      </c>
    </row>
    <row r="1214">
      <c r="A1214" s="2">
        <v>45481</v>
      </c>
      <c r="B12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4" s="3" t="str">
        <f>YEAR(KMART_DATA[[#This Row],[Date]])&amp;"-"&amp;TEXT(MONTH(KMART_DATA[[#This Row],[Date]]),"00")</f>
        <v>2024-07</v>
      </c>
      <c r="D1214" s="3" t="s">
        <v>45</v>
      </c>
      <c r="E1214" s="3" t="s">
        <v>262</v>
      </c>
      <c r="F1214" s="3" t="s">
        <v>10</v>
      </c>
      <c r="G12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14" s="3" t="s">
        <v>263</v>
      </c>
      <c r="I1214" s="3" t="s">
        <v>31</v>
      </c>
      <c r="J1214" s="3" t="s">
        <v>120</v>
      </c>
      <c r="K1214" s="3" t="s">
        <v>46</v>
      </c>
      <c r="L1214" s="3" t="s">
        <v>47</v>
      </c>
      <c r="M1214" s="4">
        <v>1415.48</v>
      </c>
    </row>
    <row r="1215">
      <c r="A1215" s="2">
        <v>45481</v>
      </c>
      <c r="B12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5" s="3" t="str">
        <f>YEAR(KMART_DATA[[#This Row],[Date]])&amp;"-"&amp;TEXT(MONTH(KMART_DATA[[#This Row],[Date]]),"00")</f>
        <v>2024-07</v>
      </c>
      <c r="D1215" s="3" t="s">
        <v>45</v>
      </c>
      <c r="E1215" s="3" t="s">
        <v>90</v>
      </c>
      <c r="F1215" s="3" t="s">
        <v>10</v>
      </c>
      <c r="G12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15" s="3" t="s">
        <v>91</v>
      </c>
      <c r="I1215" s="3" t="s">
        <v>31</v>
      </c>
      <c r="J1215" s="3" t="s">
        <v>37</v>
      </c>
      <c r="K1215" s="3" t="s">
        <v>71</v>
      </c>
      <c r="L1215" s="3" t="s">
        <v>72</v>
      </c>
      <c r="M1215" s="4">
        <v>2117.17</v>
      </c>
    </row>
    <row r="1216">
      <c r="A1216" s="2">
        <v>45481</v>
      </c>
      <c r="B12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6" s="3" t="str">
        <f>YEAR(KMART_DATA[[#This Row],[Date]])&amp;"-"&amp;TEXT(MONTH(KMART_DATA[[#This Row],[Date]]),"00")</f>
        <v>2024-07</v>
      </c>
      <c r="D1216" s="3" t="s">
        <v>28</v>
      </c>
      <c r="E1216" s="3" t="s">
        <v>183</v>
      </c>
      <c r="F1216" s="3" t="s">
        <v>9</v>
      </c>
      <c r="G12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16" s="3" t="s">
        <v>184</v>
      </c>
      <c r="I1216" s="3" t="s">
        <v>31</v>
      </c>
      <c r="J1216" s="3" t="s">
        <v>70</v>
      </c>
      <c r="K1216" s="3" t="s">
        <v>71</v>
      </c>
      <c r="L1216" s="3" t="s">
        <v>72</v>
      </c>
      <c r="M1216" s="4">
        <v>3317.4</v>
      </c>
    </row>
    <row r="1217">
      <c r="A1217" s="2">
        <v>45481</v>
      </c>
      <c r="B12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7" s="3" t="str">
        <f>YEAR(KMART_DATA[[#This Row],[Date]])&amp;"-"&amp;TEXT(MONTH(KMART_DATA[[#This Row],[Date]]),"00")</f>
        <v>2024-07</v>
      </c>
      <c r="D1217" s="3" t="s">
        <v>28</v>
      </c>
      <c r="E1217" s="3" t="s">
        <v>118</v>
      </c>
      <c r="F1217" s="3" t="s">
        <v>10</v>
      </c>
      <c r="G12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17" s="3" t="s">
        <v>119</v>
      </c>
      <c r="I1217" s="3" t="s">
        <v>31</v>
      </c>
      <c r="J1217" s="3" t="s">
        <v>120</v>
      </c>
      <c r="K1217" s="3" t="s">
        <v>95</v>
      </c>
      <c r="L1217" s="3" t="s">
        <v>96</v>
      </c>
      <c r="M1217" s="4">
        <v>6740.72</v>
      </c>
    </row>
    <row r="1218">
      <c r="A1218" s="2">
        <v>45482</v>
      </c>
      <c r="B12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8" s="3" t="str">
        <f>YEAR(KMART_DATA[[#This Row],[Date]])&amp;"-"&amp;TEXT(MONTH(KMART_DATA[[#This Row],[Date]]),"00")</f>
        <v>2024-07</v>
      </c>
      <c r="D1218" s="3" t="s">
        <v>28</v>
      </c>
      <c r="E1218" s="3" t="s">
        <v>217</v>
      </c>
      <c r="F1218" s="3" t="s">
        <v>10</v>
      </c>
      <c r="G12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18" s="3" t="s">
        <v>218</v>
      </c>
      <c r="I1218" s="3" t="s">
        <v>31</v>
      </c>
      <c r="J1218" s="3" t="s">
        <v>89</v>
      </c>
      <c r="K1218" s="3" t="s">
        <v>95</v>
      </c>
      <c r="L1218" s="3" t="s">
        <v>96</v>
      </c>
      <c r="M1218" s="4">
        <v>19.48</v>
      </c>
    </row>
    <row r="1219">
      <c r="A1219" s="2">
        <v>45482</v>
      </c>
      <c r="B12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19" s="3" t="str">
        <f>YEAR(KMART_DATA[[#This Row],[Date]])&amp;"-"&amp;TEXT(MONTH(KMART_DATA[[#This Row],[Date]]),"00")</f>
        <v>2024-07</v>
      </c>
      <c r="D1219" s="3" t="s">
        <v>45</v>
      </c>
      <c r="E1219" s="3" t="s">
        <v>103</v>
      </c>
      <c r="F1219" s="3" t="s">
        <v>12</v>
      </c>
      <c r="G12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19" s="3" t="s">
        <v>104</v>
      </c>
      <c r="I1219" s="3" t="s">
        <v>31</v>
      </c>
      <c r="J1219" s="3" t="s">
        <v>102</v>
      </c>
      <c r="K1219" s="3" t="s">
        <v>38</v>
      </c>
      <c r="L1219" s="3" t="s">
        <v>39</v>
      </c>
      <c r="M1219" s="4">
        <v>80.46</v>
      </c>
    </row>
    <row r="1220">
      <c r="A1220" s="2">
        <v>45482</v>
      </c>
      <c r="B12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0" s="3" t="str">
        <f>YEAR(KMART_DATA[[#This Row],[Date]])&amp;"-"&amp;TEXT(MONTH(KMART_DATA[[#This Row],[Date]]),"00")</f>
        <v>2024-07</v>
      </c>
      <c r="D1220" s="3" t="s">
        <v>45</v>
      </c>
      <c r="E1220" s="3" t="s">
        <v>244</v>
      </c>
      <c r="F1220" s="3" t="s">
        <v>13</v>
      </c>
      <c r="G12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220" s="3" t="s">
        <v>245</v>
      </c>
      <c r="I1220" s="3" t="s">
        <v>31</v>
      </c>
      <c r="J1220" s="3" t="s">
        <v>42</v>
      </c>
      <c r="K1220" s="3" t="s">
        <v>112</v>
      </c>
      <c r="L1220" s="3" t="s">
        <v>113</v>
      </c>
      <c r="M1220" s="4">
        <v>85.88</v>
      </c>
    </row>
    <row r="1221">
      <c r="A1221" s="2">
        <v>45482</v>
      </c>
      <c r="B12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1" s="3" t="str">
        <f>YEAR(KMART_DATA[[#This Row],[Date]])&amp;"-"&amp;TEXT(MONTH(KMART_DATA[[#This Row],[Date]]),"00")</f>
        <v>2024-07</v>
      </c>
      <c r="D1221" s="3" t="s">
        <v>28</v>
      </c>
      <c r="E1221" s="3" t="s">
        <v>114</v>
      </c>
      <c r="F1221" s="3" t="s">
        <v>9</v>
      </c>
      <c r="G12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21" s="3" t="s">
        <v>115</v>
      </c>
      <c r="I1221" s="3" t="s">
        <v>31</v>
      </c>
      <c r="J1221" s="3" t="s">
        <v>99</v>
      </c>
      <c r="K1221" s="3" t="s">
        <v>33</v>
      </c>
      <c r="L1221" s="3" t="s">
        <v>34</v>
      </c>
      <c r="M1221" s="4">
        <v>454.86</v>
      </c>
    </row>
    <row r="1222">
      <c r="A1222" s="2">
        <v>45482</v>
      </c>
      <c r="B12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2" s="3" t="str">
        <f>YEAR(KMART_DATA[[#This Row],[Date]])&amp;"-"&amp;TEXT(MONTH(KMART_DATA[[#This Row],[Date]]),"00")</f>
        <v>2024-07</v>
      </c>
      <c r="D1222" s="3" t="s">
        <v>28</v>
      </c>
      <c r="E1222" s="3" t="s">
        <v>62</v>
      </c>
      <c r="F1222" s="3" t="s">
        <v>12</v>
      </c>
      <c r="G12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22" s="3" t="s">
        <v>63</v>
      </c>
      <c r="I1222" s="3" t="s">
        <v>31</v>
      </c>
      <c r="J1222" s="3" t="s">
        <v>50</v>
      </c>
      <c r="K1222" s="3" t="s">
        <v>46</v>
      </c>
      <c r="L1222" s="3" t="s">
        <v>47</v>
      </c>
      <c r="M1222" s="4">
        <v>1045.57</v>
      </c>
    </row>
    <row r="1223">
      <c r="A1223" s="2">
        <v>45483</v>
      </c>
      <c r="B12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3" s="3" t="str">
        <f>YEAR(KMART_DATA[[#This Row],[Date]])&amp;"-"&amp;TEXT(MONTH(KMART_DATA[[#This Row],[Date]]),"00")</f>
        <v>2024-07</v>
      </c>
      <c r="D1223" s="3" t="s">
        <v>28</v>
      </c>
      <c r="E1223" s="3" t="s">
        <v>232</v>
      </c>
      <c r="F1223" s="3" t="s">
        <v>9</v>
      </c>
      <c r="G12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23" s="3" t="s">
        <v>233</v>
      </c>
      <c r="I1223" s="3" t="s">
        <v>31</v>
      </c>
      <c r="J1223" s="3" t="s">
        <v>75</v>
      </c>
      <c r="K1223" s="3" t="s">
        <v>46</v>
      </c>
      <c r="L1223" s="3" t="s">
        <v>47</v>
      </c>
      <c r="M1223" s="4">
        <v>7.0</v>
      </c>
    </row>
    <row r="1224">
      <c r="A1224" s="2">
        <v>45483</v>
      </c>
      <c r="B12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4" s="3" t="str">
        <f>YEAR(KMART_DATA[[#This Row],[Date]])&amp;"-"&amp;TEXT(MONTH(KMART_DATA[[#This Row],[Date]]),"00")</f>
        <v>2024-07</v>
      </c>
      <c r="D1224" s="3" t="s">
        <v>28</v>
      </c>
      <c r="E1224" s="3" t="s">
        <v>165</v>
      </c>
      <c r="F1224" s="3" t="s">
        <v>9</v>
      </c>
      <c r="G12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24" s="3" t="s">
        <v>166</v>
      </c>
      <c r="I1224" s="3" t="s">
        <v>31</v>
      </c>
      <c r="J1224" s="3" t="s">
        <v>99</v>
      </c>
      <c r="K1224" s="3" t="s">
        <v>38</v>
      </c>
      <c r="L1224" s="3" t="s">
        <v>39</v>
      </c>
      <c r="M1224" s="4">
        <v>11.0</v>
      </c>
    </row>
    <row r="1225">
      <c r="A1225" s="2">
        <v>45483</v>
      </c>
      <c r="B12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5" s="3" t="str">
        <f>YEAR(KMART_DATA[[#This Row],[Date]])&amp;"-"&amp;TEXT(MONTH(KMART_DATA[[#This Row],[Date]]),"00")</f>
        <v>2024-07</v>
      </c>
      <c r="D1225" s="3" t="s">
        <v>28</v>
      </c>
      <c r="E1225" s="3" t="s">
        <v>100</v>
      </c>
      <c r="F1225" s="3" t="s">
        <v>12</v>
      </c>
      <c r="G12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25" s="3" t="s">
        <v>101</v>
      </c>
      <c r="I1225" s="3" t="s">
        <v>31</v>
      </c>
      <c r="J1225" s="3" t="s">
        <v>102</v>
      </c>
      <c r="K1225" s="3" t="s">
        <v>46</v>
      </c>
      <c r="L1225" s="3" t="s">
        <v>47</v>
      </c>
      <c r="M1225" s="4">
        <v>224.54</v>
      </c>
    </row>
    <row r="1226">
      <c r="A1226" s="2">
        <v>45483</v>
      </c>
      <c r="B12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6" s="3" t="str">
        <f>YEAR(KMART_DATA[[#This Row],[Date]])&amp;"-"&amp;TEXT(MONTH(KMART_DATA[[#This Row],[Date]]),"00")</f>
        <v>2024-07</v>
      </c>
      <c r="D1226" s="3" t="s">
        <v>45</v>
      </c>
      <c r="E1226" s="3" t="s">
        <v>87</v>
      </c>
      <c r="F1226" s="3" t="s">
        <v>10</v>
      </c>
      <c r="G12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26" s="3" t="s">
        <v>88</v>
      </c>
      <c r="I1226" s="3" t="s">
        <v>31</v>
      </c>
      <c r="J1226" s="3" t="s">
        <v>89</v>
      </c>
      <c r="K1226" s="3" t="s">
        <v>38</v>
      </c>
      <c r="L1226" s="3" t="s">
        <v>39</v>
      </c>
      <c r="M1226" s="4">
        <v>288.39</v>
      </c>
    </row>
    <row r="1227">
      <c r="A1227" s="2">
        <v>45483</v>
      </c>
      <c r="B12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7" s="3" t="str">
        <f>YEAR(KMART_DATA[[#This Row],[Date]])&amp;"-"&amp;TEXT(MONTH(KMART_DATA[[#This Row],[Date]]),"00")</f>
        <v>2024-07</v>
      </c>
      <c r="D1227" s="3" t="s">
        <v>28</v>
      </c>
      <c r="E1227" s="3" t="s">
        <v>232</v>
      </c>
      <c r="F1227" s="3" t="s">
        <v>9</v>
      </c>
      <c r="G12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27" s="3" t="s">
        <v>233</v>
      </c>
      <c r="I1227" s="3" t="s">
        <v>31</v>
      </c>
      <c r="J1227" s="3" t="s">
        <v>75</v>
      </c>
      <c r="K1227" s="3" t="s">
        <v>43</v>
      </c>
      <c r="L1227" s="3" t="s">
        <v>44</v>
      </c>
      <c r="M1227" s="4">
        <v>317.17</v>
      </c>
    </row>
    <row r="1228">
      <c r="A1228" s="2">
        <v>45484</v>
      </c>
      <c r="B12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8" s="3" t="str">
        <f>YEAR(KMART_DATA[[#This Row],[Date]])&amp;"-"&amp;TEXT(MONTH(KMART_DATA[[#This Row],[Date]]),"00")</f>
        <v>2024-07</v>
      </c>
      <c r="D1228" s="3" t="s">
        <v>28</v>
      </c>
      <c r="E1228" s="3" t="s">
        <v>228</v>
      </c>
      <c r="F1228" s="3" t="s">
        <v>11</v>
      </c>
      <c r="G12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28" s="3" t="s">
        <v>229</v>
      </c>
      <c r="I1228" s="3" t="s">
        <v>31</v>
      </c>
      <c r="J1228" s="3" t="s">
        <v>32</v>
      </c>
      <c r="K1228" s="3" t="s">
        <v>71</v>
      </c>
      <c r="L1228" s="3" t="s">
        <v>72</v>
      </c>
      <c r="M1228" s="4">
        <v>6.0</v>
      </c>
    </row>
    <row r="1229">
      <c r="A1229" s="2">
        <v>45484</v>
      </c>
      <c r="B12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29" s="3" t="str">
        <f>YEAR(KMART_DATA[[#This Row],[Date]])&amp;"-"&amp;TEXT(MONTH(KMART_DATA[[#This Row],[Date]]),"00")</f>
        <v>2024-07</v>
      </c>
      <c r="D1229" s="3" t="s">
        <v>28</v>
      </c>
      <c r="E1229" s="3" t="s">
        <v>209</v>
      </c>
      <c r="F1229" s="3" t="s">
        <v>9</v>
      </c>
      <c r="G12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29" s="3" t="s">
        <v>210</v>
      </c>
      <c r="I1229" s="3" t="s">
        <v>31</v>
      </c>
      <c r="J1229" s="3" t="s">
        <v>81</v>
      </c>
      <c r="K1229" s="3" t="s">
        <v>95</v>
      </c>
      <c r="L1229" s="3" t="s">
        <v>96</v>
      </c>
      <c r="M1229" s="4">
        <v>90.22</v>
      </c>
    </row>
    <row r="1230">
      <c r="A1230" s="2">
        <v>45484</v>
      </c>
      <c r="B12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0" s="3" t="str">
        <f>YEAR(KMART_DATA[[#This Row],[Date]])&amp;"-"&amp;TEXT(MONTH(KMART_DATA[[#This Row],[Date]]),"00")</f>
        <v>2024-07</v>
      </c>
      <c r="D1230" s="3" t="s">
        <v>45</v>
      </c>
      <c r="E1230" s="3" t="s">
        <v>205</v>
      </c>
      <c r="F1230" s="3" t="s">
        <v>10</v>
      </c>
      <c r="G12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30" s="3" t="s">
        <v>206</v>
      </c>
      <c r="I1230" s="3" t="s">
        <v>31</v>
      </c>
      <c r="J1230" s="3" t="s">
        <v>37</v>
      </c>
      <c r="K1230" s="3" t="s">
        <v>43</v>
      </c>
      <c r="L1230" s="3" t="s">
        <v>44</v>
      </c>
      <c r="M1230" s="4">
        <v>112.92</v>
      </c>
    </row>
    <row r="1231">
      <c r="A1231" s="2">
        <v>45484</v>
      </c>
      <c r="B12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1" s="3" t="str">
        <f>YEAR(KMART_DATA[[#This Row],[Date]])&amp;"-"&amp;TEXT(MONTH(KMART_DATA[[#This Row],[Date]]),"00")</f>
        <v>2024-07</v>
      </c>
      <c r="D1231" s="3" t="s">
        <v>45</v>
      </c>
      <c r="E1231" s="3" t="s">
        <v>197</v>
      </c>
      <c r="F1231" s="3" t="s">
        <v>9</v>
      </c>
      <c r="G12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31" s="3" t="s">
        <v>198</v>
      </c>
      <c r="I1231" s="3" t="s">
        <v>31</v>
      </c>
      <c r="J1231" s="3" t="s">
        <v>107</v>
      </c>
      <c r="K1231" s="3" t="s">
        <v>38</v>
      </c>
      <c r="L1231" s="3" t="s">
        <v>39</v>
      </c>
      <c r="M1231" s="4">
        <v>238.21</v>
      </c>
    </row>
    <row r="1232">
      <c r="A1232" s="2">
        <v>45484</v>
      </c>
      <c r="B12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2" s="3" t="str">
        <f>YEAR(KMART_DATA[[#This Row],[Date]])&amp;"-"&amp;TEXT(MONTH(KMART_DATA[[#This Row],[Date]]),"00")</f>
        <v>2024-07</v>
      </c>
      <c r="D1232" s="3" t="s">
        <v>28</v>
      </c>
      <c r="E1232" s="3" t="s">
        <v>209</v>
      </c>
      <c r="F1232" s="3" t="s">
        <v>9</v>
      </c>
      <c r="G12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32" s="3" t="s">
        <v>210</v>
      </c>
      <c r="I1232" s="3" t="s">
        <v>31</v>
      </c>
      <c r="J1232" s="3" t="s">
        <v>81</v>
      </c>
      <c r="K1232" s="3" t="s">
        <v>33</v>
      </c>
      <c r="L1232" s="3" t="s">
        <v>34</v>
      </c>
      <c r="M1232" s="4">
        <v>261.25</v>
      </c>
    </row>
    <row r="1233">
      <c r="A1233" s="2">
        <v>45484</v>
      </c>
      <c r="B12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3" s="3" t="str">
        <f>YEAR(KMART_DATA[[#This Row],[Date]])&amp;"-"&amp;TEXT(MONTH(KMART_DATA[[#This Row],[Date]]),"00")</f>
        <v>2024-07</v>
      </c>
      <c r="D1233" s="3" t="s">
        <v>28</v>
      </c>
      <c r="E1233" s="3" t="s">
        <v>211</v>
      </c>
      <c r="F1233" s="3" t="s">
        <v>9</v>
      </c>
      <c r="G12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33" s="3" t="s">
        <v>212</v>
      </c>
      <c r="I1233" s="3" t="s">
        <v>31</v>
      </c>
      <c r="J1233" s="3" t="s">
        <v>75</v>
      </c>
      <c r="K1233" s="3" t="s">
        <v>57</v>
      </c>
      <c r="L1233" s="3" t="s">
        <v>58</v>
      </c>
      <c r="M1233" s="4">
        <v>427.56</v>
      </c>
    </row>
    <row r="1234">
      <c r="A1234" s="2">
        <v>45484</v>
      </c>
      <c r="B12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4" s="3" t="str">
        <f>YEAR(KMART_DATA[[#This Row],[Date]])&amp;"-"&amp;TEXT(MONTH(KMART_DATA[[#This Row],[Date]]),"00")</f>
        <v>2024-07</v>
      </c>
      <c r="D1234" s="3" t="s">
        <v>28</v>
      </c>
      <c r="E1234" s="3" t="s">
        <v>211</v>
      </c>
      <c r="F1234" s="3" t="s">
        <v>9</v>
      </c>
      <c r="G12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34" s="3" t="s">
        <v>212</v>
      </c>
      <c r="I1234" s="3" t="s">
        <v>31</v>
      </c>
      <c r="J1234" s="3" t="s">
        <v>75</v>
      </c>
      <c r="K1234" s="3" t="s">
        <v>123</v>
      </c>
      <c r="L1234" s="3" t="s">
        <v>124</v>
      </c>
      <c r="M1234" s="4">
        <v>5611.5</v>
      </c>
    </row>
    <row r="1235">
      <c r="A1235" s="2">
        <v>45485</v>
      </c>
      <c r="B12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5" s="3" t="str">
        <f>YEAR(KMART_DATA[[#This Row],[Date]])&amp;"-"&amp;TEXT(MONTH(KMART_DATA[[#This Row],[Date]]),"00")</f>
        <v>2024-07</v>
      </c>
      <c r="D1235" s="3" t="s">
        <v>28</v>
      </c>
      <c r="E1235" s="3" t="s">
        <v>127</v>
      </c>
      <c r="F1235" s="3" t="s">
        <v>11</v>
      </c>
      <c r="G12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35" s="3" t="s">
        <v>128</v>
      </c>
      <c r="I1235" s="3" t="s">
        <v>31</v>
      </c>
      <c r="J1235" s="3" t="s">
        <v>78</v>
      </c>
      <c r="K1235" s="3" t="s">
        <v>112</v>
      </c>
      <c r="L1235" s="3" t="s">
        <v>113</v>
      </c>
      <c r="M1235" s="4">
        <v>212.55</v>
      </c>
    </row>
    <row r="1236">
      <c r="A1236" s="2">
        <v>45485</v>
      </c>
      <c r="B12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6" s="3" t="str">
        <f>YEAR(KMART_DATA[[#This Row],[Date]])&amp;"-"&amp;TEXT(MONTH(KMART_DATA[[#This Row],[Date]]),"00")</f>
        <v>2024-07</v>
      </c>
      <c r="D1236" s="3" t="s">
        <v>45</v>
      </c>
      <c r="E1236" s="3" t="s">
        <v>189</v>
      </c>
      <c r="F1236" s="3" t="s">
        <v>9</v>
      </c>
      <c r="G12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36" s="3" t="s">
        <v>190</v>
      </c>
      <c r="I1236" s="3" t="s">
        <v>31</v>
      </c>
      <c r="J1236" s="3" t="s">
        <v>81</v>
      </c>
      <c r="K1236" s="3" t="s">
        <v>57</v>
      </c>
      <c r="L1236" s="3" t="s">
        <v>58</v>
      </c>
      <c r="M1236" s="4">
        <v>251.68</v>
      </c>
    </row>
    <row r="1237">
      <c r="A1237" s="2">
        <v>45485</v>
      </c>
      <c r="B12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7" s="3" t="str">
        <f>YEAR(KMART_DATA[[#This Row],[Date]])&amp;"-"&amp;TEXT(MONTH(KMART_DATA[[#This Row],[Date]]),"00")</f>
        <v>2024-07</v>
      </c>
      <c r="D1237" s="3" t="s">
        <v>28</v>
      </c>
      <c r="E1237" s="3" t="s">
        <v>221</v>
      </c>
      <c r="F1237" s="3" t="s">
        <v>11</v>
      </c>
      <c r="G12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37" s="3" t="s">
        <v>222</v>
      </c>
      <c r="I1237" s="3" t="s">
        <v>31</v>
      </c>
      <c r="J1237" s="3" t="s">
        <v>56</v>
      </c>
      <c r="K1237" s="3" t="s">
        <v>123</v>
      </c>
      <c r="L1237" s="3" t="s">
        <v>124</v>
      </c>
      <c r="M1237" s="4">
        <v>566.33</v>
      </c>
    </row>
    <row r="1238">
      <c r="A1238" s="2">
        <v>45486</v>
      </c>
      <c r="B12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8" s="3" t="str">
        <f>YEAR(KMART_DATA[[#This Row],[Date]])&amp;"-"&amp;TEXT(MONTH(KMART_DATA[[#This Row],[Date]]),"00")</f>
        <v>2024-07</v>
      </c>
      <c r="D1238" s="3" t="s">
        <v>45</v>
      </c>
      <c r="E1238" s="3" t="s">
        <v>191</v>
      </c>
      <c r="F1238" s="3" t="s">
        <v>10</v>
      </c>
      <c r="G12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38" s="3" t="s">
        <v>192</v>
      </c>
      <c r="I1238" s="3" t="s">
        <v>31</v>
      </c>
      <c r="J1238" s="3" t="s">
        <v>120</v>
      </c>
      <c r="K1238" s="3" t="s">
        <v>46</v>
      </c>
      <c r="L1238" s="3" t="s">
        <v>47</v>
      </c>
      <c r="M1238" s="4">
        <v>67.94</v>
      </c>
    </row>
    <row r="1239">
      <c r="A1239" s="2">
        <v>45486</v>
      </c>
      <c r="B12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39" s="3" t="str">
        <f>YEAR(KMART_DATA[[#This Row],[Date]])&amp;"-"&amp;TEXT(MONTH(KMART_DATA[[#This Row],[Date]]),"00")</f>
        <v>2024-07</v>
      </c>
      <c r="D1239" s="3" t="s">
        <v>28</v>
      </c>
      <c r="E1239" s="3" t="s">
        <v>248</v>
      </c>
      <c r="F1239" s="3" t="s">
        <v>12</v>
      </c>
      <c r="G12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39" s="3" t="s">
        <v>249</v>
      </c>
      <c r="I1239" s="3" t="s">
        <v>31</v>
      </c>
      <c r="J1239" s="3" t="s">
        <v>162</v>
      </c>
      <c r="K1239" s="3" t="s">
        <v>95</v>
      </c>
      <c r="L1239" s="3" t="s">
        <v>96</v>
      </c>
      <c r="M1239" s="4">
        <v>231.23</v>
      </c>
    </row>
    <row r="1240">
      <c r="A1240" s="2">
        <v>45486</v>
      </c>
      <c r="B12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0" s="3" t="str">
        <f>YEAR(KMART_DATA[[#This Row],[Date]])&amp;"-"&amp;TEXT(MONTH(KMART_DATA[[#This Row],[Date]]),"00")</f>
        <v>2024-07</v>
      </c>
      <c r="D1240" s="3" t="s">
        <v>28</v>
      </c>
      <c r="E1240" s="3" t="s">
        <v>183</v>
      </c>
      <c r="F1240" s="3" t="s">
        <v>9</v>
      </c>
      <c r="G12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40" s="3" t="s">
        <v>184</v>
      </c>
      <c r="I1240" s="3" t="s">
        <v>31</v>
      </c>
      <c r="J1240" s="3" t="s">
        <v>70</v>
      </c>
      <c r="K1240" s="3" t="s">
        <v>112</v>
      </c>
      <c r="L1240" s="3" t="s">
        <v>113</v>
      </c>
      <c r="M1240" s="4">
        <v>266.12</v>
      </c>
    </row>
    <row r="1241">
      <c r="A1241" s="2">
        <v>45486</v>
      </c>
      <c r="B12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1" s="3" t="str">
        <f>YEAR(KMART_DATA[[#This Row],[Date]])&amp;"-"&amp;TEXT(MONTH(KMART_DATA[[#This Row],[Date]]),"00")</f>
        <v>2024-07</v>
      </c>
      <c r="D1241" s="3" t="s">
        <v>28</v>
      </c>
      <c r="E1241" s="3" t="s">
        <v>108</v>
      </c>
      <c r="F1241" s="3" t="s">
        <v>9</v>
      </c>
      <c r="G12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41" s="3" t="s">
        <v>109</v>
      </c>
      <c r="I1241" s="3" t="s">
        <v>31</v>
      </c>
      <c r="J1241" s="3" t="s">
        <v>75</v>
      </c>
      <c r="K1241" s="3" t="s">
        <v>112</v>
      </c>
      <c r="L1241" s="3" t="s">
        <v>113</v>
      </c>
      <c r="M1241" s="4">
        <v>1327.69</v>
      </c>
    </row>
    <row r="1242">
      <c r="A1242" s="2">
        <v>45486</v>
      </c>
      <c r="B12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2" s="3" t="str">
        <f>YEAR(KMART_DATA[[#This Row],[Date]])&amp;"-"&amp;TEXT(MONTH(KMART_DATA[[#This Row],[Date]]),"00")</f>
        <v>2024-07</v>
      </c>
      <c r="D1242" s="3" t="s">
        <v>28</v>
      </c>
      <c r="E1242" s="3" t="s">
        <v>169</v>
      </c>
      <c r="F1242" s="3" t="s">
        <v>12</v>
      </c>
      <c r="G12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42" s="3" t="s">
        <v>170</v>
      </c>
      <c r="I1242" s="3" t="s">
        <v>31</v>
      </c>
      <c r="J1242" s="3" t="s">
        <v>102</v>
      </c>
      <c r="K1242" s="3" t="s">
        <v>57</v>
      </c>
      <c r="L1242" s="3" t="s">
        <v>58</v>
      </c>
      <c r="M1242" s="4">
        <v>1490.72</v>
      </c>
    </row>
    <row r="1243">
      <c r="A1243" s="2">
        <v>45487</v>
      </c>
      <c r="B12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3" s="3" t="str">
        <f>YEAR(KMART_DATA[[#This Row],[Date]])&amp;"-"&amp;TEXT(MONTH(KMART_DATA[[#This Row],[Date]]),"00")</f>
        <v>2024-07</v>
      </c>
      <c r="D1243" s="3" t="s">
        <v>28</v>
      </c>
      <c r="E1243" s="3" t="s">
        <v>127</v>
      </c>
      <c r="F1243" s="3" t="s">
        <v>11</v>
      </c>
      <c r="G12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43" s="3" t="s">
        <v>128</v>
      </c>
      <c r="I1243" s="3" t="s">
        <v>31</v>
      </c>
      <c r="J1243" s="3" t="s">
        <v>78</v>
      </c>
      <c r="K1243" s="3" t="s">
        <v>43</v>
      </c>
      <c r="L1243" s="3" t="s">
        <v>44</v>
      </c>
      <c r="M1243" s="4">
        <v>14.99</v>
      </c>
    </row>
    <row r="1244">
      <c r="A1244" s="2">
        <v>45487</v>
      </c>
      <c r="B12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4" s="3" t="str">
        <f>YEAR(KMART_DATA[[#This Row],[Date]])&amp;"-"&amp;TEXT(MONTH(KMART_DATA[[#This Row],[Date]]),"00")</f>
        <v>2024-07</v>
      </c>
      <c r="D1244" s="3" t="s">
        <v>45</v>
      </c>
      <c r="E1244" s="3" t="s">
        <v>181</v>
      </c>
      <c r="F1244" s="3" t="s">
        <v>11</v>
      </c>
      <c r="G12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44" s="3" t="s">
        <v>182</v>
      </c>
      <c r="I1244" s="3" t="s">
        <v>31</v>
      </c>
      <c r="J1244" s="3" t="s">
        <v>56</v>
      </c>
      <c r="K1244" s="3" t="s">
        <v>38</v>
      </c>
      <c r="L1244" s="3" t="s">
        <v>39</v>
      </c>
      <c r="M1244" s="4">
        <v>120.56</v>
      </c>
    </row>
    <row r="1245">
      <c r="A1245" s="2">
        <v>45487</v>
      </c>
      <c r="B12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5" s="3" t="str">
        <f>YEAR(KMART_DATA[[#This Row],[Date]])&amp;"-"&amp;TEXT(MONTH(KMART_DATA[[#This Row],[Date]]),"00")</f>
        <v>2024-07</v>
      </c>
      <c r="D1245" s="3" t="s">
        <v>28</v>
      </c>
      <c r="E1245" s="3" t="s">
        <v>197</v>
      </c>
      <c r="F1245" s="3" t="s">
        <v>9</v>
      </c>
      <c r="G12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45" s="3" t="s">
        <v>198</v>
      </c>
      <c r="I1245" s="3" t="s">
        <v>31</v>
      </c>
      <c r="J1245" s="3" t="s">
        <v>107</v>
      </c>
      <c r="K1245" s="3" t="s">
        <v>43</v>
      </c>
      <c r="L1245" s="3" t="s">
        <v>44</v>
      </c>
      <c r="M1245" s="4">
        <v>761.66</v>
      </c>
    </row>
    <row r="1246">
      <c r="A1246" s="2">
        <v>45487</v>
      </c>
      <c r="B12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6" s="3" t="str">
        <f>YEAR(KMART_DATA[[#This Row],[Date]])&amp;"-"&amp;TEXT(MONTH(KMART_DATA[[#This Row],[Date]]),"00")</f>
        <v>2024-07</v>
      </c>
      <c r="D1246" s="3" t="s">
        <v>28</v>
      </c>
      <c r="E1246" s="3" t="s">
        <v>246</v>
      </c>
      <c r="F1246" s="3" t="s">
        <v>10</v>
      </c>
      <c r="G12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46" s="3" t="s">
        <v>247</v>
      </c>
      <c r="I1246" s="3" t="s">
        <v>31</v>
      </c>
      <c r="J1246" s="3" t="s">
        <v>37</v>
      </c>
      <c r="K1246" s="3" t="s">
        <v>71</v>
      </c>
      <c r="L1246" s="3" t="s">
        <v>72</v>
      </c>
      <c r="M1246" s="4">
        <v>792.05</v>
      </c>
    </row>
    <row r="1247">
      <c r="A1247" s="2">
        <v>45487</v>
      </c>
      <c r="B12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7" s="3" t="str">
        <f>YEAR(KMART_DATA[[#This Row],[Date]])&amp;"-"&amp;TEXT(MONTH(KMART_DATA[[#This Row],[Date]]),"00")</f>
        <v>2024-07</v>
      </c>
      <c r="D1247" s="3" t="s">
        <v>45</v>
      </c>
      <c r="E1247" s="3" t="s">
        <v>129</v>
      </c>
      <c r="F1247" s="3" t="s">
        <v>10</v>
      </c>
      <c r="G12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47" s="3" t="s">
        <v>130</v>
      </c>
      <c r="I1247" s="3" t="s">
        <v>31</v>
      </c>
      <c r="J1247" s="3" t="s">
        <v>120</v>
      </c>
      <c r="K1247" s="3" t="s">
        <v>71</v>
      </c>
      <c r="L1247" s="3" t="s">
        <v>72</v>
      </c>
      <c r="M1247" s="4">
        <v>2351.94</v>
      </c>
    </row>
    <row r="1248">
      <c r="A1248" s="2">
        <v>45488</v>
      </c>
      <c r="B12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8" s="3" t="str">
        <f>YEAR(KMART_DATA[[#This Row],[Date]])&amp;"-"&amp;TEXT(MONTH(KMART_DATA[[#This Row],[Date]]),"00")</f>
        <v>2024-07</v>
      </c>
      <c r="D1248" s="3" t="s">
        <v>28</v>
      </c>
      <c r="E1248" s="3" t="s">
        <v>250</v>
      </c>
      <c r="F1248" s="3" t="s">
        <v>10</v>
      </c>
      <c r="G12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48" s="3" t="s">
        <v>251</v>
      </c>
      <c r="I1248" s="3" t="s">
        <v>31</v>
      </c>
      <c r="J1248" s="3" t="s">
        <v>37</v>
      </c>
      <c r="K1248" s="3" t="s">
        <v>43</v>
      </c>
      <c r="L1248" s="3" t="s">
        <v>44</v>
      </c>
      <c r="M1248" s="4">
        <v>1.5</v>
      </c>
    </row>
    <row r="1249">
      <c r="A1249" s="2">
        <v>45488</v>
      </c>
      <c r="B12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49" s="3" t="str">
        <f>YEAR(KMART_DATA[[#This Row],[Date]])&amp;"-"&amp;TEXT(MONTH(KMART_DATA[[#This Row],[Date]]),"00")</f>
        <v>2024-07</v>
      </c>
      <c r="D1249" s="3" t="s">
        <v>45</v>
      </c>
      <c r="E1249" s="3" t="s">
        <v>230</v>
      </c>
      <c r="F1249" s="3" t="s">
        <v>13</v>
      </c>
      <c r="G12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249" s="3" t="s">
        <v>231</v>
      </c>
      <c r="I1249" s="3" t="s">
        <v>31</v>
      </c>
      <c r="J1249" s="3" t="s">
        <v>227</v>
      </c>
      <c r="K1249" s="3" t="s">
        <v>123</v>
      </c>
      <c r="L1249" s="3" t="s">
        <v>124</v>
      </c>
      <c r="M1249" s="4">
        <v>37.96</v>
      </c>
    </row>
    <row r="1250">
      <c r="A1250" s="2">
        <v>45488</v>
      </c>
      <c r="B12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0" s="3" t="str">
        <f>YEAR(KMART_DATA[[#This Row],[Date]])&amp;"-"&amp;TEXT(MONTH(KMART_DATA[[#This Row],[Date]]),"00")</f>
        <v>2024-07</v>
      </c>
      <c r="D1250" s="3" t="s">
        <v>28</v>
      </c>
      <c r="E1250" s="3" t="s">
        <v>79</v>
      </c>
      <c r="F1250" s="3" t="s">
        <v>9</v>
      </c>
      <c r="G12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50" s="3" t="s">
        <v>80</v>
      </c>
      <c r="I1250" s="3" t="s">
        <v>31</v>
      </c>
      <c r="J1250" s="3" t="s">
        <v>81</v>
      </c>
      <c r="K1250" s="3" t="s">
        <v>123</v>
      </c>
      <c r="L1250" s="3" t="s">
        <v>124</v>
      </c>
      <c r="M1250" s="4">
        <v>58.77</v>
      </c>
    </row>
    <row r="1251">
      <c r="A1251" s="2">
        <v>45488</v>
      </c>
      <c r="B12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1" s="3" t="str">
        <f>YEAR(KMART_DATA[[#This Row],[Date]])&amp;"-"&amp;TEXT(MONTH(KMART_DATA[[#This Row],[Date]]),"00")</f>
        <v>2024-07</v>
      </c>
      <c r="D1251" s="3" t="s">
        <v>45</v>
      </c>
      <c r="E1251" s="3" t="s">
        <v>103</v>
      </c>
      <c r="F1251" s="3" t="s">
        <v>12</v>
      </c>
      <c r="G12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51" s="3" t="s">
        <v>104</v>
      </c>
      <c r="I1251" s="3" t="s">
        <v>31</v>
      </c>
      <c r="J1251" s="3" t="s">
        <v>102</v>
      </c>
      <c r="K1251" s="3" t="s">
        <v>71</v>
      </c>
      <c r="L1251" s="3" t="s">
        <v>72</v>
      </c>
      <c r="M1251" s="4">
        <v>72.9</v>
      </c>
    </row>
    <row r="1252">
      <c r="A1252" s="2">
        <v>45488</v>
      </c>
      <c r="B12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2" s="3" t="str">
        <f>YEAR(KMART_DATA[[#This Row],[Date]])&amp;"-"&amp;TEXT(MONTH(KMART_DATA[[#This Row],[Date]]),"00")</f>
        <v>2024-07</v>
      </c>
      <c r="D1252" s="3" t="s">
        <v>28</v>
      </c>
      <c r="E1252" s="3" t="s">
        <v>97</v>
      </c>
      <c r="F1252" s="3" t="s">
        <v>9</v>
      </c>
      <c r="G12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52" s="3" t="s">
        <v>98</v>
      </c>
      <c r="I1252" s="3" t="s">
        <v>31</v>
      </c>
      <c r="J1252" s="3" t="s">
        <v>99</v>
      </c>
      <c r="K1252" s="3" t="s">
        <v>57</v>
      </c>
      <c r="L1252" s="3" t="s">
        <v>58</v>
      </c>
      <c r="M1252" s="4">
        <v>191.62</v>
      </c>
    </row>
    <row r="1253">
      <c r="A1253" s="2">
        <v>45488</v>
      </c>
      <c r="B12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3" s="3" t="str">
        <f>YEAR(KMART_DATA[[#This Row],[Date]])&amp;"-"&amp;TEXT(MONTH(KMART_DATA[[#This Row],[Date]]),"00")</f>
        <v>2024-07</v>
      </c>
      <c r="D1253" s="3" t="s">
        <v>28</v>
      </c>
      <c r="E1253" s="3" t="s">
        <v>105</v>
      </c>
      <c r="F1253" s="3" t="s">
        <v>9</v>
      </c>
      <c r="G12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53" s="3" t="s">
        <v>106</v>
      </c>
      <c r="I1253" s="3" t="s">
        <v>31</v>
      </c>
      <c r="J1253" s="3" t="s">
        <v>107</v>
      </c>
      <c r="K1253" s="3" t="s">
        <v>123</v>
      </c>
      <c r="L1253" s="3" t="s">
        <v>124</v>
      </c>
      <c r="M1253" s="4">
        <v>701.15</v>
      </c>
    </row>
    <row r="1254">
      <c r="A1254" s="2">
        <v>45489</v>
      </c>
      <c r="B12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4" s="3" t="str">
        <f>YEAR(KMART_DATA[[#This Row],[Date]])&amp;"-"&amp;TEXT(MONTH(KMART_DATA[[#This Row],[Date]]),"00")</f>
        <v>2024-07</v>
      </c>
      <c r="D1254" s="3" t="s">
        <v>28</v>
      </c>
      <c r="E1254" s="3" t="s">
        <v>205</v>
      </c>
      <c r="F1254" s="3" t="s">
        <v>10</v>
      </c>
      <c r="G12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54" s="3" t="s">
        <v>206</v>
      </c>
      <c r="I1254" s="3" t="s">
        <v>31</v>
      </c>
      <c r="J1254" s="3" t="s">
        <v>37</v>
      </c>
      <c r="K1254" s="3" t="s">
        <v>112</v>
      </c>
      <c r="L1254" s="3" t="s">
        <v>113</v>
      </c>
      <c r="M1254" s="4">
        <v>29.91</v>
      </c>
    </row>
    <row r="1255">
      <c r="A1255" s="2">
        <v>45489</v>
      </c>
      <c r="B12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5" s="3" t="str">
        <f>YEAR(KMART_DATA[[#This Row],[Date]])&amp;"-"&amp;TEXT(MONTH(KMART_DATA[[#This Row],[Date]]),"00")</f>
        <v>2024-07</v>
      </c>
      <c r="D1255" s="3" t="s">
        <v>45</v>
      </c>
      <c r="E1255" s="3" t="s">
        <v>236</v>
      </c>
      <c r="F1255" s="3" t="s">
        <v>12</v>
      </c>
      <c r="G12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55" s="3" t="s">
        <v>237</v>
      </c>
      <c r="I1255" s="3" t="s">
        <v>31</v>
      </c>
      <c r="J1255" s="3" t="s">
        <v>102</v>
      </c>
      <c r="K1255" s="3" t="s">
        <v>33</v>
      </c>
      <c r="L1255" s="3" t="s">
        <v>34</v>
      </c>
      <c r="M1255" s="4">
        <v>58.84</v>
      </c>
    </row>
    <row r="1256">
      <c r="A1256" s="2">
        <v>45489</v>
      </c>
      <c r="B12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6" s="3" t="str">
        <f>YEAR(KMART_DATA[[#This Row],[Date]])&amp;"-"&amp;TEXT(MONTH(KMART_DATA[[#This Row],[Date]]),"00")</f>
        <v>2024-07</v>
      </c>
      <c r="D1256" s="3" t="s">
        <v>28</v>
      </c>
      <c r="E1256" s="3" t="s">
        <v>217</v>
      </c>
      <c r="F1256" s="3" t="s">
        <v>10</v>
      </c>
      <c r="G12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56" s="3" t="s">
        <v>218</v>
      </c>
      <c r="I1256" s="3" t="s">
        <v>31</v>
      </c>
      <c r="J1256" s="3" t="s">
        <v>89</v>
      </c>
      <c r="K1256" s="3" t="s">
        <v>57</v>
      </c>
      <c r="L1256" s="3" t="s">
        <v>58</v>
      </c>
      <c r="M1256" s="4">
        <v>59.98</v>
      </c>
    </row>
    <row r="1257">
      <c r="A1257" s="2">
        <v>45489</v>
      </c>
      <c r="B12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7" s="3" t="str">
        <f>YEAR(KMART_DATA[[#This Row],[Date]])&amp;"-"&amp;TEXT(MONTH(KMART_DATA[[#This Row],[Date]]),"00")</f>
        <v>2024-07</v>
      </c>
      <c r="D1257" s="3" t="s">
        <v>28</v>
      </c>
      <c r="E1257" s="3" t="s">
        <v>160</v>
      </c>
      <c r="F1257" s="3" t="s">
        <v>12</v>
      </c>
      <c r="G12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57" s="3" t="s">
        <v>161</v>
      </c>
      <c r="I1257" s="3" t="s">
        <v>31</v>
      </c>
      <c r="J1257" s="3" t="s">
        <v>162</v>
      </c>
      <c r="K1257" s="3" t="s">
        <v>112</v>
      </c>
      <c r="L1257" s="3" t="s">
        <v>113</v>
      </c>
      <c r="M1257" s="4">
        <v>121.57</v>
      </c>
    </row>
    <row r="1258">
      <c r="A1258" s="2">
        <v>45489</v>
      </c>
      <c r="B12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8" s="3" t="str">
        <f>YEAR(KMART_DATA[[#This Row],[Date]])&amp;"-"&amp;TEXT(MONTH(KMART_DATA[[#This Row],[Date]]),"00")</f>
        <v>2024-07</v>
      </c>
      <c r="D1258" s="3" t="s">
        <v>28</v>
      </c>
      <c r="E1258" s="3" t="s">
        <v>195</v>
      </c>
      <c r="F1258" s="3" t="s">
        <v>11</v>
      </c>
      <c r="G12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58" s="3" t="s">
        <v>196</v>
      </c>
      <c r="I1258" s="3" t="s">
        <v>31</v>
      </c>
      <c r="J1258" s="3" t="s">
        <v>32</v>
      </c>
      <c r="K1258" s="3" t="s">
        <v>43</v>
      </c>
      <c r="L1258" s="3" t="s">
        <v>44</v>
      </c>
      <c r="M1258" s="4">
        <v>292.26</v>
      </c>
    </row>
    <row r="1259">
      <c r="A1259" s="2">
        <v>45489</v>
      </c>
      <c r="B12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59" s="3" t="str">
        <f>YEAR(KMART_DATA[[#This Row],[Date]])&amp;"-"&amp;TEXT(MONTH(KMART_DATA[[#This Row],[Date]]),"00")</f>
        <v>2024-07</v>
      </c>
      <c r="D1259" s="3" t="s">
        <v>28</v>
      </c>
      <c r="E1259" s="3" t="s">
        <v>163</v>
      </c>
      <c r="F1259" s="3" t="s">
        <v>9</v>
      </c>
      <c r="G12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59" s="3" t="s">
        <v>164</v>
      </c>
      <c r="I1259" s="3" t="s">
        <v>31</v>
      </c>
      <c r="J1259" s="3" t="s">
        <v>81</v>
      </c>
      <c r="K1259" s="3" t="s">
        <v>123</v>
      </c>
      <c r="L1259" s="3" t="s">
        <v>124</v>
      </c>
      <c r="M1259" s="4">
        <v>3762.8</v>
      </c>
    </row>
    <row r="1260">
      <c r="A1260" s="2">
        <v>45489</v>
      </c>
      <c r="B12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0" s="3" t="str">
        <f>YEAR(KMART_DATA[[#This Row],[Date]])&amp;"-"&amp;TEXT(MONTH(KMART_DATA[[#This Row],[Date]]),"00")</f>
        <v>2024-07</v>
      </c>
      <c r="D1260" s="3" t="s">
        <v>28</v>
      </c>
      <c r="E1260" s="3" t="s">
        <v>139</v>
      </c>
      <c r="F1260" s="3" t="s">
        <v>10</v>
      </c>
      <c r="G12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60" s="3" t="s">
        <v>140</v>
      </c>
      <c r="I1260" s="3" t="s">
        <v>31</v>
      </c>
      <c r="J1260" s="3" t="s">
        <v>89</v>
      </c>
      <c r="K1260" s="3" t="s">
        <v>95</v>
      </c>
      <c r="L1260" s="3" t="s">
        <v>96</v>
      </c>
      <c r="M1260" s="4">
        <v>10866.59</v>
      </c>
    </row>
    <row r="1261">
      <c r="A1261" s="2">
        <v>45490</v>
      </c>
      <c r="B12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1" s="3" t="str">
        <f>YEAR(KMART_DATA[[#This Row],[Date]])&amp;"-"&amp;TEXT(MONTH(KMART_DATA[[#This Row],[Date]]),"00")</f>
        <v>2024-07</v>
      </c>
      <c r="D1261" s="3" t="s">
        <v>45</v>
      </c>
      <c r="E1261" s="3" t="s">
        <v>195</v>
      </c>
      <c r="F1261" s="3" t="s">
        <v>11</v>
      </c>
      <c r="G12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61" s="3" t="s">
        <v>196</v>
      </c>
      <c r="I1261" s="3" t="s">
        <v>31</v>
      </c>
      <c r="J1261" s="3" t="s">
        <v>32</v>
      </c>
      <c r="K1261" s="3" t="s">
        <v>33</v>
      </c>
      <c r="L1261" s="3" t="s">
        <v>34</v>
      </c>
      <c r="M1261" s="4">
        <v>67.85</v>
      </c>
    </row>
    <row r="1262">
      <c r="A1262" s="2">
        <v>45490</v>
      </c>
      <c r="B12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2" s="3" t="str">
        <f>YEAR(KMART_DATA[[#This Row],[Date]])&amp;"-"&amp;TEXT(MONTH(KMART_DATA[[#This Row],[Date]]),"00")</f>
        <v>2024-07</v>
      </c>
      <c r="D1262" s="3" t="s">
        <v>45</v>
      </c>
      <c r="E1262" s="3" t="s">
        <v>211</v>
      </c>
      <c r="F1262" s="3" t="s">
        <v>9</v>
      </c>
      <c r="G12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62" s="3" t="s">
        <v>212</v>
      </c>
      <c r="I1262" s="3" t="s">
        <v>31</v>
      </c>
      <c r="J1262" s="3" t="s">
        <v>75</v>
      </c>
      <c r="K1262" s="3" t="s">
        <v>71</v>
      </c>
      <c r="L1262" s="3" t="s">
        <v>72</v>
      </c>
      <c r="M1262" s="4">
        <v>84.95</v>
      </c>
    </row>
    <row r="1263">
      <c r="A1263" s="2">
        <v>45490</v>
      </c>
      <c r="B12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3" s="3" t="str">
        <f>YEAR(KMART_DATA[[#This Row],[Date]])&amp;"-"&amp;TEXT(MONTH(KMART_DATA[[#This Row],[Date]]),"00")</f>
        <v>2024-07</v>
      </c>
      <c r="D1263" s="3" t="s">
        <v>45</v>
      </c>
      <c r="E1263" s="3" t="s">
        <v>131</v>
      </c>
      <c r="F1263" s="3" t="s">
        <v>11</v>
      </c>
      <c r="G12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63" s="3" t="s">
        <v>132</v>
      </c>
      <c r="I1263" s="3" t="s">
        <v>31</v>
      </c>
      <c r="J1263" s="3" t="s">
        <v>32</v>
      </c>
      <c r="K1263" s="3" t="s">
        <v>57</v>
      </c>
      <c r="L1263" s="3" t="s">
        <v>58</v>
      </c>
      <c r="M1263" s="4">
        <v>179.7</v>
      </c>
    </row>
    <row r="1264">
      <c r="A1264" s="2">
        <v>45491</v>
      </c>
      <c r="B12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4" s="3" t="str">
        <f>YEAR(KMART_DATA[[#This Row],[Date]])&amp;"-"&amp;TEXT(MONTH(KMART_DATA[[#This Row],[Date]]),"00")</f>
        <v>2024-07</v>
      </c>
      <c r="D1264" s="3" t="s">
        <v>28</v>
      </c>
      <c r="E1264" s="3" t="s">
        <v>254</v>
      </c>
      <c r="F1264" s="3" t="s">
        <v>13</v>
      </c>
      <c r="G12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264" s="3" t="s">
        <v>255</v>
      </c>
      <c r="I1264" s="3" t="s">
        <v>31</v>
      </c>
      <c r="J1264" s="3" t="s">
        <v>227</v>
      </c>
      <c r="K1264" s="3" t="s">
        <v>33</v>
      </c>
      <c r="L1264" s="3" t="s">
        <v>34</v>
      </c>
      <c r="M1264" s="4">
        <v>94.74</v>
      </c>
    </row>
    <row r="1265">
      <c r="A1265" s="2">
        <v>45491</v>
      </c>
      <c r="B12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5" s="3" t="str">
        <f>YEAR(KMART_DATA[[#This Row],[Date]])&amp;"-"&amp;TEXT(MONTH(KMART_DATA[[#This Row],[Date]]),"00")</f>
        <v>2024-07</v>
      </c>
      <c r="D1265" s="3" t="s">
        <v>28</v>
      </c>
      <c r="E1265" s="3" t="s">
        <v>114</v>
      </c>
      <c r="F1265" s="3" t="s">
        <v>9</v>
      </c>
      <c r="G12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65" s="3" t="s">
        <v>115</v>
      </c>
      <c r="I1265" s="3" t="s">
        <v>31</v>
      </c>
      <c r="J1265" s="3" t="s">
        <v>99</v>
      </c>
      <c r="K1265" s="3" t="s">
        <v>95</v>
      </c>
      <c r="L1265" s="3" t="s">
        <v>96</v>
      </c>
      <c r="M1265" s="4">
        <v>95.88</v>
      </c>
    </row>
    <row r="1266">
      <c r="A1266" s="2">
        <v>45491</v>
      </c>
      <c r="B12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6" s="3" t="str">
        <f>YEAR(KMART_DATA[[#This Row],[Date]])&amp;"-"&amp;TEXT(MONTH(KMART_DATA[[#This Row],[Date]]),"00")</f>
        <v>2024-07</v>
      </c>
      <c r="D1266" s="3" t="s">
        <v>28</v>
      </c>
      <c r="E1266" s="3" t="s">
        <v>193</v>
      </c>
      <c r="F1266" s="3" t="s">
        <v>9</v>
      </c>
      <c r="G12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66" s="3" t="s">
        <v>194</v>
      </c>
      <c r="I1266" s="3" t="s">
        <v>31</v>
      </c>
      <c r="J1266" s="3" t="s">
        <v>99</v>
      </c>
      <c r="K1266" s="3" t="s">
        <v>38</v>
      </c>
      <c r="L1266" s="3" t="s">
        <v>39</v>
      </c>
      <c r="M1266" s="4">
        <v>107.9</v>
      </c>
    </row>
    <row r="1267">
      <c r="A1267" s="2">
        <v>45491</v>
      </c>
      <c r="B12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7" s="3" t="str">
        <f>YEAR(KMART_DATA[[#This Row],[Date]])&amp;"-"&amp;TEXT(MONTH(KMART_DATA[[#This Row],[Date]]),"00")</f>
        <v>2024-07</v>
      </c>
      <c r="D1267" s="3" t="s">
        <v>28</v>
      </c>
      <c r="E1267" s="3" t="s">
        <v>139</v>
      </c>
      <c r="F1267" s="3" t="s">
        <v>10</v>
      </c>
      <c r="G12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67" s="3" t="s">
        <v>140</v>
      </c>
      <c r="I1267" s="3" t="s">
        <v>31</v>
      </c>
      <c r="J1267" s="3" t="s">
        <v>89</v>
      </c>
      <c r="K1267" s="3" t="s">
        <v>66</v>
      </c>
      <c r="L1267" s="3" t="s">
        <v>67</v>
      </c>
      <c r="M1267" s="4">
        <v>139.7</v>
      </c>
    </row>
    <row r="1268">
      <c r="A1268" s="2">
        <v>45491</v>
      </c>
      <c r="B12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8" s="3" t="str">
        <f>YEAR(KMART_DATA[[#This Row],[Date]])&amp;"-"&amp;TEXT(MONTH(KMART_DATA[[#This Row],[Date]]),"00")</f>
        <v>2024-07</v>
      </c>
      <c r="D1268" s="3" t="s">
        <v>28</v>
      </c>
      <c r="E1268" s="3" t="s">
        <v>108</v>
      </c>
      <c r="F1268" s="3" t="s">
        <v>9</v>
      </c>
      <c r="G12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68" s="3" t="s">
        <v>109</v>
      </c>
      <c r="I1268" s="3" t="s">
        <v>31</v>
      </c>
      <c r="J1268" s="3" t="s">
        <v>75</v>
      </c>
      <c r="K1268" s="3" t="s">
        <v>112</v>
      </c>
      <c r="L1268" s="3" t="s">
        <v>113</v>
      </c>
      <c r="M1268" s="4">
        <v>364.51</v>
      </c>
    </row>
    <row r="1269">
      <c r="A1269" s="2">
        <v>45491</v>
      </c>
      <c r="B12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69" s="3" t="str">
        <f>YEAR(KMART_DATA[[#This Row],[Date]])&amp;"-"&amp;TEXT(MONTH(KMART_DATA[[#This Row],[Date]]),"00")</f>
        <v>2024-07</v>
      </c>
      <c r="D1269" s="3" t="s">
        <v>28</v>
      </c>
      <c r="E1269" s="3" t="s">
        <v>97</v>
      </c>
      <c r="F1269" s="3" t="s">
        <v>9</v>
      </c>
      <c r="G12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69" s="3" t="s">
        <v>98</v>
      </c>
      <c r="I1269" s="3" t="s">
        <v>31</v>
      </c>
      <c r="J1269" s="3" t="s">
        <v>99</v>
      </c>
      <c r="K1269" s="3" t="s">
        <v>112</v>
      </c>
      <c r="L1269" s="3" t="s">
        <v>113</v>
      </c>
      <c r="M1269" s="4">
        <v>472.72</v>
      </c>
    </row>
    <row r="1270">
      <c r="A1270" s="2">
        <v>45491</v>
      </c>
      <c r="B12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0" s="3" t="str">
        <f>YEAR(KMART_DATA[[#This Row],[Date]])&amp;"-"&amp;TEXT(MONTH(KMART_DATA[[#This Row],[Date]]),"00")</f>
        <v>2024-07</v>
      </c>
      <c r="D1270" s="3" t="s">
        <v>28</v>
      </c>
      <c r="E1270" s="3" t="s">
        <v>203</v>
      </c>
      <c r="F1270" s="3" t="s">
        <v>10</v>
      </c>
      <c r="G12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70" s="3" t="s">
        <v>204</v>
      </c>
      <c r="I1270" s="3" t="s">
        <v>31</v>
      </c>
      <c r="J1270" s="3" t="s">
        <v>89</v>
      </c>
      <c r="K1270" s="3" t="s">
        <v>38</v>
      </c>
      <c r="L1270" s="3" t="s">
        <v>39</v>
      </c>
      <c r="M1270" s="4">
        <v>477.81</v>
      </c>
    </row>
    <row r="1271">
      <c r="A1271" s="2">
        <v>45491</v>
      </c>
      <c r="B12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1" s="3" t="str">
        <f>YEAR(KMART_DATA[[#This Row],[Date]])&amp;"-"&amp;TEXT(MONTH(KMART_DATA[[#This Row],[Date]]),"00")</f>
        <v>2024-07</v>
      </c>
      <c r="D1271" s="3" t="s">
        <v>28</v>
      </c>
      <c r="E1271" s="3" t="s">
        <v>131</v>
      </c>
      <c r="F1271" s="3" t="s">
        <v>11</v>
      </c>
      <c r="G12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71" s="3" t="s">
        <v>132</v>
      </c>
      <c r="I1271" s="3" t="s">
        <v>31</v>
      </c>
      <c r="J1271" s="3" t="s">
        <v>32</v>
      </c>
      <c r="K1271" s="3" t="s">
        <v>95</v>
      </c>
      <c r="L1271" s="3" t="s">
        <v>96</v>
      </c>
      <c r="M1271" s="4">
        <v>684.5</v>
      </c>
    </row>
    <row r="1272">
      <c r="A1272" s="2">
        <v>45492</v>
      </c>
      <c r="B12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2" s="3" t="str">
        <f>YEAR(KMART_DATA[[#This Row],[Date]])&amp;"-"&amp;TEXT(MONTH(KMART_DATA[[#This Row],[Date]]),"00")</f>
        <v>2024-07</v>
      </c>
      <c r="D1272" s="3" t="s">
        <v>28</v>
      </c>
      <c r="E1272" s="3" t="s">
        <v>177</v>
      </c>
      <c r="F1272" s="3" t="s">
        <v>12</v>
      </c>
      <c r="G12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72" s="3" t="s">
        <v>178</v>
      </c>
      <c r="I1272" s="3" t="s">
        <v>31</v>
      </c>
      <c r="J1272" s="3" t="s">
        <v>162</v>
      </c>
      <c r="K1272" s="3" t="s">
        <v>57</v>
      </c>
      <c r="L1272" s="3" t="s">
        <v>58</v>
      </c>
      <c r="M1272" s="4">
        <v>4.0</v>
      </c>
    </row>
    <row r="1273">
      <c r="A1273" s="2">
        <v>45492</v>
      </c>
      <c r="B12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3" s="3" t="str">
        <f>YEAR(KMART_DATA[[#This Row],[Date]])&amp;"-"&amp;TEXT(MONTH(KMART_DATA[[#This Row],[Date]]),"00")</f>
        <v>2024-07</v>
      </c>
      <c r="D1273" s="3" t="s">
        <v>45</v>
      </c>
      <c r="E1273" s="3" t="s">
        <v>181</v>
      </c>
      <c r="F1273" s="3" t="s">
        <v>11</v>
      </c>
      <c r="G12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73" s="3" t="s">
        <v>182</v>
      </c>
      <c r="I1273" s="3" t="s">
        <v>31</v>
      </c>
      <c r="J1273" s="3" t="s">
        <v>56</v>
      </c>
      <c r="K1273" s="3" t="s">
        <v>95</v>
      </c>
      <c r="L1273" s="3" t="s">
        <v>96</v>
      </c>
      <c r="M1273" s="4">
        <v>31.92</v>
      </c>
    </row>
    <row r="1274">
      <c r="A1274" s="2">
        <v>45492</v>
      </c>
      <c r="B12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4" s="3" t="str">
        <f>YEAR(KMART_DATA[[#This Row],[Date]])&amp;"-"&amp;TEXT(MONTH(KMART_DATA[[#This Row],[Date]]),"00")</f>
        <v>2024-07</v>
      </c>
      <c r="D1274" s="3" t="s">
        <v>28</v>
      </c>
      <c r="E1274" s="3" t="s">
        <v>254</v>
      </c>
      <c r="F1274" s="3" t="s">
        <v>13</v>
      </c>
      <c r="G12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274" s="3" t="s">
        <v>255</v>
      </c>
      <c r="I1274" s="3" t="s">
        <v>31</v>
      </c>
      <c r="J1274" s="3" t="s">
        <v>227</v>
      </c>
      <c r="K1274" s="3" t="s">
        <v>57</v>
      </c>
      <c r="L1274" s="3" t="s">
        <v>58</v>
      </c>
      <c r="M1274" s="4">
        <v>204.1</v>
      </c>
    </row>
    <row r="1275">
      <c r="A1275" s="2">
        <v>45492</v>
      </c>
      <c r="B12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5" s="3" t="str">
        <f>YEAR(KMART_DATA[[#This Row],[Date]])&amp;"-"&amp;TEXT(MONTH(KMART_DATA[[#This Row],[Date]]),"00")</f>
        <v>2024-07</v>
      </c>
      <c r="D1275" s="3" t="s">
        <v>45</v>
      </c>
      <c r="E1275" s="3" t="s">
        <v>228</v>
      </c>
      <c r="F1275" s="3" t="s">
        <v>11</v>
      </c>
      <c r="G12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75" s="3" t="s">
        <v>229</v>
      </c>
      <c r="I1275" s="3" t="s">
        <v>31</v>
      </c>
      <c r="J1275" s="3" t="s">
        <v>32</v>
      </c>
      <c r="K1275" s="3" t="s">
        <v>71</v>
      </c>
      <c r="L1275" s="3" t="s">
        <v>72</v>
      </c>
      <c r="M1275" s="4">
        <v>796.52</v>
      </c>
    </row>
    <row r="1276">
      <c r="A1276" s="2">
        <v>45492</v>
      </c>
      <c r="B12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6" s="3" t="str">
        <f>YEAR(KMART_DATA[[#This Row],[Date]])&amp;"-"&amp;TEXT(MONTH(KMART_DATA[[#This Row],[Date]]),"00")</f>
        <v>2024-07</v>
      </c>
      <c r="D1276" s="3" t="s">
        <v>28</v>
      </c>
      <c r="E1276" s="3" t="s">
        <v>246</v>
      </c>
      <c r="F1276" s="3" t="s">
        <v>10</v>
      </c>
      <c r="G12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76" s="3" t="s">
        <v>247</v>
      </c>
      <c r="I1276" s="3" t="s">
        <v>31</v>
      </c>
      <c r="J1276" s="3" t="s">
        <v>37</v>
      </c>
      <c r="K1276" s="3" t="s">
        <v>66</v>
      </c>
      <c r="L1276" s="3" t="s">
        <v>67</v>
      </c>
      <c r="M1276" s="4">
        <v>1184.68</v>
      </c>
    </row>
    <row r="1277">
      <c r="A1277" s="2">
        <v>45493</v>
      </c>
      <c r="B12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7" s="3" t="str">
        <f>YEAR(KMART_DATA[[#This Row],[Date]])&amp;"-"&amp;TEXT(MONTH(KMART_DATA[[#This Row],[Date]]),"00")</f>
        <v>2024-07</v>
      </c>
      <c r="D1277" s="3" t="s">
        <v>28</v>
      </c>
      <c r="E1277" s="3" t="s">
        <v>54</v>
      </c>
      <c r="F1277" s="3" t="s">
        <v>11</v>
      </c>
      <c r="G12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77" s="3" t="s">
        <v>55</v>
      </c>
      <c r="I1277" s="3" t="s">
        <v>31</v>
      </c>
      <c r="J1277" s="3" t="s">
        <v>56</v>
      </c>
      <c r="K1277" s="3" t="s">
        <v>33</v>
      </c>
      <c r="L1277" s="3" t="s">
        <v>34</v>
      </c>
      <c r="M1277" s="4">
        <v>47.88</v>
      </c>
    </row>
    <row r="1278">
      <c r="A1278" s="2">
        <v>45493</v>
      </c>
      <c r="B12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8" s="3" t="str">
        <f>YEAR(KMART_DATA[[#This Row],[Date]])&amp;"-"&amp;TEXT(MONTH(KMART_DATA[[#This Row],[Date]]),"00")</f>
        <v>2024-07</v>
      </c>
      <c r="D1278" s="3" t="s">
        <v>28</v>
      </c>
      <c r="E1278" s="3" t="s">
        <v>258</v>
      </c>
      <c r="F1278" s="3" t="s">
        <v>14</v>
      </c>
      <c r="G12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278" s="3" t="s">
        <v>259</v>
      </c>
      <c r="I1278" s="3" t="s">
        <v>31</v>
      </c>
      <c r="J1278" s="3" t="s">
        <v>145</v>
      </c>
      <c r="K1278" s="3" t="s">
        <v>112</v>
      </c>
      <c r="L1278" s="3" t="s">
        <v>113</v>
      </c>
      <c r="M1278" s="4">
        <v>81.54</v>
      </c>
    </row>
    <row r="1279">
      <c r="A1279" s="2">
        <v>45493</v>
      </c>
      <c r="B12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79" s="3" t="str">
        <f>YEAR(KMART_DATA[[#This Row],[Date]])&amp;"-"&amp;TEXT(MONTH(KMART_DATA[[#This Row],[Date]]),"00")</f>
        <v>2024-07</v>
      </c>
      <c r="D1279" s="3" t="s">
        <v>28</v>
      </c>
      <c r="E1279" s="3" t="s">
        <v>171</v>
      </c>
      <c r="F1279" s="3" t="s">
        <v>10</v>
      </c>
      <c r="G12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79" s="3" t="s">
        <v>172</v>
      </c>
      <c r="I1279" s="3" t="s">
        <v>31</v>
      </c>
      <c r="J1279" s="3" t="s">
        <v>37</v>
      </c>
      <c r="K1279" s="3" t="s">
        <v>123</v>
      </c>
      <c r="L1279" s="3" t="s">
        <v>124</v>
      </c>
      <c r="M1279" s="4">
        <v>89.92</v>
      </c>
    </row>
    <row r="1280">
      <c r="A1280" s="2">
        <v>45493</v>
      </c>
      <c r="B12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0" s="3" t="str">
        <f>YEAR(KMART_DATA[[#This Row],[Date]])&amp;"-"&amp;TEXT(MONTH(KMART_DATA[[#This Row],[Date]]),"00")</f>
        <v>2024-07</v>
      </c>
      <c r="D1280" s="3" t="s">
        <v>28</v>
      </c>
      <c r="E1280" s="3" t="s">
        <v>129</v>
      </c>
      <c r="F1280" s="3" t="s">
        <v>10</v>
      </c>
      <c r="G12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80" s="3" t="s">
        <v>130</v>
      </c>
      <c r="I1280" s="3" t="s">
        <v>31</v>
      </c>
      <c r="J1280" s="3" t="s">
        <v>120</v>
      </c>
      <c r="K1280" s="3" t="s">
        <v>112</v>
      </c>
      <c r="L1280" s="3" t="s">
        <v>113</v>
      </c>
      <c r="M1280" s="4">
        <v>95.8</v>
      </c>
    </row>
    <row r="1281">
      <c r="A1281" s="2">
        <v>45493</v>
      </c>
      <c r="B12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1" s="3" t="str">
        <f>YEAR(KMART_DATA[[#This Row],[Date]])&amp;"-"&amp;TEXT(MONTH(KMART_DATA[[#This Row],[Date]]),"00")</f>
        <v>2024-07</v>
      </c>
      <c r="D1281" s="3" t="s">
        <v>28</v>
      </c>
      <c r="E1281" s="3" t="s">
        <v>121</v>
      </c>
      <c r="F1281" s="3" t="s">
        <v>11</v>
      </c>
      <c r="G12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81" s="3" t="s">
        <v>122</v>
      </c>
      <c r="I1281" s="3" t="s">
        <v>31</v>
      </c>
      <c r="J1281" s="3" t="s">
        <v>84</v>
      </c>
      <c r="K1281" s="3" t="s">
        <v>38</v>
      </c>
      <c r="L1281" s="3" t="s">
        <v>39</v>
      </c>
      <c r="M1281" s="4">
        <v>121.85</v>
      </c>
    </row>
    <row r="1282">
      <c r="A1282" s="2">
        <v>45493</v>
      </c>
      <c r="B12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2" s="3" t="str">
        <f>YEAR(KMART_DATA[[#This Row],[Date]])&amp;"-"&amp;TEXT(MONTH(KMART_DATA[[#This Row],[Date]]),"00")</f>
        <v>2024-07</v>
      </c>
      <c r="D1282" s="3" t="s">
        <v>28</v>
      </c>
      <c r="E1282" s="3" t="s">
        <v>54</v>
      </c>
      <c r="F1282" s="3" t="s">
        <v>11</v>
      </c>
      <c r="G12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82" s="3" t="s">
        <v>55</v>
      </c>
      <c r="I1282" s="3" t="s">
        <v>31</v>
      </c>
      <c r="J1282" s="3" t="s">
        <v>56</v>
      </c>
      <c r="K1282" s="3" t="s">
        <v>38</v>
      </c>
      <c r="L1282" s="3" t="s">
        <v>39</v>
      </c>
      <c r="M1282" s="4">
        <v>145.88</v>
      </c>
    </row>
    <row r="1283">
      <c r="A1283" s="2">
        <v>45493</v>
      </c>
      <c r="B12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3" s="3" t="str">
        <f>YEAR(KMART_DATA[[#This Row],[Date]])&amp;"-"&amp;TEXT(MONTH(KMART_DATA[[#This Row],[Date]]),"00")</f>
        <v>2024-07</v>
      </c>
      <c r="D1283" s="3" t="s">
        <v>28</v>
      </c>
      <c r="E1283" s="3" t="s">
        <v>219</v>
      </c>
      <c r="F1283" s="3" t="s">
        <v>11</v>
      </c>
      <c r="G12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83" s="3" t="s">
        <v>220</v>
      </c>
      <c r="I1283" s="3" t="s">
        <v>31</v>
      </c>
      <c r="J1283" s="3" t="s">
        <v>56</v>
      </c>
      <c r="K1283" s="3" t="s">
        <v>66</v>
      </c>
      <c r="L1283" s="3" t="s">
        <v>67</v>
      </c>
      <c r="M1283" s="4">
        <v>207.77</v>
      </c>
    </row>
    <row r="1284">
      <c r="A1284" s="2">
        <v>45493</v>
      </c>
      <c r="B12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4" s="3" t="str">
        <f>YEAR(KMART_DATA[[#This Row],[Date]])&amp;"-"&amp;TEXT(MONTH(KMART_DATA[[#This Row],[Date]]),"00")</f>
        <v>2024-07</v>
      </c>
      <c r="D1284" s="3" t="s">
        <v>28</v>
      </c>
      <c r="E1284" s="3" t="s">
        <v>105</v>
      </c>
      <c r="F1284" s="3" t="s">
        <v>9</v>
      </c>
      <c r="G12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84" s="3" t="s">
        <v>106</v>
      </c>
      <c r="I1284" s="3" t="s">
        <v>31</v>
      </c>
      <c r="J1284" s="3" t="s">
        <v>107</v>
      </c>
      <c r="K1284" s="3" t="s">
        <v>46</v>
      </c>
      <c r="L1284" s="3" t="s">
        <v>47</v>
      </c>
      <c r="M1284" s="4">
        <v>6251.5</v>
      </c>
    </row>
    <row r="1285">
      <c r="A1285" s="2">
        <v>45494</v>
      </c>
      <c r="B12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5" s="3" t="str">
        <f>YEAR(KMART_DATA[[#This Row],[Date]])&amp;"-"&amp;TEXT(MONTH(KMART_DATA[[#This Row],[Date]]),"00")</f>
        <v>2024-07</v>
      </c>
      <c r="D1285" s="3" t="s">
        <v>28</v>
      </c>
      <c r="E1285" s="3" t="s">
        <v>97</v>
      </c>
      <c r="F1285" s="3" t="s">
        <v>9</v>
      </c>
      <c r="G12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85" s="3" t="s">
        <v>98</v>
      </c>
      <c r="I1285" s="3" t="s">
        <v>31</v>
      </c>
      <c r="J1285" s="3" t="s">
        <v>99</v>
      </c>
      <c r="K1285" s="3" t="s">
        <v>66</v>
      </c>
      <c r="L1285" s="3" t="s">
        <v>67</v>
      </c>
      <c r="M1285" s="4">
        <v>35.82</v>
      </c>
    </row>
    <row r="1286">
      <c r="A1286" s="2">
        <v>45494</v>
      </c>
      <c r="B12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6" s="3" t="str">
        <f>YEAR(KMART_DATA[[#This Row],[Date]])&amp;"-"&amp;TEXT(MONTH(KMART_DATA[[#This Row],[Date]]),"00")</f>
        <v>2024-07</v>
      </c>
      <c r="D1286" s="3" t="s">
        <v>28</v>
      </c>
      <c r="E1286" s="3" t="s">
        <v>73</v>
      </c>
      <c r="F1286" s="3" t="s">
        <v>9</v>
      </c>
      <c r="G12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86" s="3" t="s">
        <v>74</v>
      </c>
      <c r="I1286" s="3" t="s">
        <v>31</v>
      </c>
      <c r="J1286" s="3" t="s">
        <v>75</v>
      </c>
      <c r="K1286" s="3" t="s">
        <v>43</v>
      </c>
      <c r="L1286" s="3" t="s">
        <v>44</v>
      </c>
      <c r="M1286" s="4">
        <v>154.89</v>
      </c>
    </row>
    <row r="1287">
      <c r="A1287" s="2">
        <v>45494</v>
      </c>
      <c r="B12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7" s="3" t="str">
        <f>YEAR(KMART_DATA[[#This Row],[Date]])&amp;"-"&amp;TEXT(MONTH(KMART_DATA[[#This Row],[Date]]),"00")</f>
        <v>2024-07</v>
      </c>
      <c r="D1287" s="3" t="s">
        <v>28</v>
      </c>
      <c r="E1287" s="3" t="s">
        <v>181</v>
      </c>
      <c r="F1287" s="3" t="s">
        <v>11</v>
      </c>
      <c r="G12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87" s="3" t="s">
        <v>182</v>
      </c>
      <c r="I1287" s="3" t="s">
        <v>31</v>
      </c>
      <c r="J1287" s="3" t="s">
        <v>56</v>
      </c>
      <c r="K1287" s="3" t="s">
        <v>43</v>
      </c>
      <c r="L1287" s="3" t="s">
        <v>44</v>
      </c>
      <c r="M1287" s="4">
        <v>512.78</v>
      </c>
    </row>
    <row r="1288">
      <c r="A1288" s="2">
        <v>45494</v>
      </c>
      <c r="B12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8" s="3" t="str">
        <f>YEAR(KMART_DATA[[#This Row],[Date]])&amp;"-"&amp;TEXT(MONTH(KMART_DATA[[#This Row],[Date]]),"00")</f>
        <v>2024-07</v>
      </c>
      <c r="D1288" s="3" t="s">
        <v>45</v>
      </c>
      <c r="E1288" s="3" t="s">
        <v>223</v>
      </c>
      <c r="F1288" s="3" t="s">
        <v>10</v>
      </c>
      <c r="G12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88" s="3" t="s">
        <v>224</v>
      </c>
      <c r="I1288" s="3" t="s">
        <v>31</v>
      </c>
      <c r="J1288" s="3" t="s">
        <v>94</v>
      </c>
      <c r="K1288" s="3" t="s">
        <v>71</v>
      </c>
      <c r="L1288" s="3" t="s">
        <v>72</v>
      </c>
      <c r="M1288" s="4">
        <v>571.0</v>
      </c>
    </row>
    <row r="1289">
      <c r="A1289" s="2">
        <v>45495</v>
      </c>
      <c r="B12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89" s="3" t="str">
        <f>YEAR(KMART_DATA[[#This Row],[Date]])&amp;"-"&amp;TEXT(MONTH(KMART_DATA[[#This Row],[Date]]),"00")</f>
        <v>2024-07</v>
      </c>
      <c r="D1289" s="3" t="s">
        <v>28</v>
      </c>
      <c r="E1289" s="3" t="s">
        <v>152</v>
      </c>
      <c r="F1289" s="3" t="s">
        <v>11</v>
      </c>
      <c r="G12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289" s="3" t="s">
        <v>153</v>
      </c>
      <c r="I1289" s="3" t="s">
        <v>31</v>
      </c>
      <c r="J1289" s="3" t="s">
        <v>61</v>
      </c>
      <c r="K1289" s="3" t="s">
        <v>43</v>
      </c>
      <c r="L1289" s="3" t="s">
        <v>44</v>
      </c>
      <c r="M1289" s="4">
        <v>248.76</v>
      </c>
    </row>
    <row r="1290">
      <c r="A1290" s="2">
        <v>45495</v>
      </c>
      <c r="B12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0" s="3" t="str">
        <f>YEAR(KMART_DATA[[#This Row],[Date]])&amp;"-"&amp;TEXT(MONTH(KMART_DATA[[#This Row],[Date]]),"00")</f>
        <v>2024-07</v>
      </c>
      <c r="D1290" s="3" t="s">
        <v>45</v>
      </c>
      <c r="E1290" s="3" t="s">
        <v>40</v>
      </c>
      <c r="F1290" s="3" t="s">
        <v>13</v>
      </c>
      <c r="G12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290" s="3" t="s">
        <v>41</v>
      </c>
      <c r="I1290" s="3" t="s">
        <v>31</v>
      </c>
      <c r="J1290" s="3" t="s">
        <v>42</v>
      </c>
      <c r="K1290" s="3" t="s">
        <v>33</v>
      </c>
      <c r="L1290" s="3" t="s">
        <v>34</v>
      </c>
      <c r="M1290" s="4">
        <v>422.74</v>
      </c>
    </row>
    <row r="1291">
      <c r="A1291" s="2">
        <v>45495</v>
      </c>
      <c r="B12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1" s="3" t="str">
        <f>YEAR(KMART_DATA[[#This Row],[Date]])&amp;"-"&amp;TEXT(MONTH(KMART_DATA[[#This Row],[Date]]),"00")</f>
        <v>2024-07</v>
      </c>
      <c r="D1291" s="3" t="s">
        <v>45</v>
      </c>
      <c r="E1291" s="3" t="s">
        <v>258</v>
      </c>
      <c r="F1291" s="3" t="s">
        <v>14</v>
      </c>
      <c r="G12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291" s="3" t="s">
        <v>259</v>
      </c>
      <c r="I1291" s="3" t="s">
        <v>31</v>
      </c>
      <c r="J1291" s="3" t="s">
        <v>145</v>
      </c>
      <c r="K1291" s="3" t="s">
        <v>57</v>
      </c>
      <c r="L1291" s="3" t="s">
        <v>58</v>
      </c>
      <c r="M1291" s="4">
        <v>1666.61</v>
      </c>
    </row>
    <row r="1292">
      <c r="A1292" s="2">
        <v>45495</v>
      </c>
      <c r="B12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2" s="3" t="str">
        <f>YEAR(KMART_DATA[[#This Row],[Date]])&amp;"-"&amp;TEXT(MONTH(KMART_DATA[[#This Row],[Date]]),"00")</f>
        <v>2024-07</v>
      </c>
      <c r="D1292" s="3" t="s">
        <v>28</v>
      </c>
      <c r="E1292" s="3" t="s">
        <v>175</v>
      </c>
      <c r="F1292" s="3" t="s">
        <v>16</v>
      </c>
      <c r="G12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292" s="3" t="s">
        <v>176</v>
      </c>
      <c r="I1292" s="3" t="s">
        <v>31</v>
      </c>
      <c r="J1292" s="3" t="s">
        <v>107</v>
      </c>
      <c r="K1292" s="3" t="s">
        <v>57</v>
      </c>
      <c r="L1292" s="3" t="s">
        <v>58</v>
      </c>
      <c r="M1292" s="4">
        <v>2006.28</v>
      </c>
    </row>
    <row r="1293">
      <c r="A1293" s="2">
        <v>45496</v>
      </c>
      <c r="B12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3" s="3" t="str">
        <f>YEAR(KMART_DATA[[#This Row],[Date]])&amp;"-"&amp;TEXT(MONTH(KMART_DATA[[#This Row],[Date]]),"00")</f>
        <v>2024-07</v>
      </c>
      <c r="D1293" s="3" t="s">
        <v>28</v>
      </c>
      <c r="E1293" s="3" t="s">
        <v>48</v>
      </c>
      <c r="F1293" s="3" t="s">
        <v>12</v>
      </c>
      <c r="G12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293" s="3" t="s">
        <v>49</v>
      </c>
      <c r="I1293" s="3" t="s">
        <v>31</v>
      </c>
      <c r="J1293" s="3" t="s">
        <v>50</v>
      </c>
      <c r="K1293" s="3" t="s">
        <v>43</v>
      </c>
      <c r="L1293" s="3" t="s">
        <v>44</v>
      </c>
      <c r="M1293" s="4">
        <v>9.0</v>
      </c>
    </row>
    <row r="1294">
      <c r="A1294" s="2">
        <v>45496</v>
      </c>
      <c r="B12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4" s="3" t="str">
        <f>YEAR(KMART_DATA[[#This Row],[Date]])&amp;"-"&amp;TEXT(MONTH(KMART_DATA[[#This Row],[Date]]),"00")</f>
        <v>2024-07</v>
      </c>
      <c r="D1294" s="3" t="s">
        <v>28</v>
      </c>
      <c r="E1294" s="3" t="s">
        <v>205</v>
      </c>
      <c r="F1294" s="3" t="s">
        <v>10</v>
      </c>
      <c r="G12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94" s="3" t="s">
        <v>206</v>
      </c>
      <c r="I1294" s="3" t="s">
        <v>31</v>
      </c>
      <c r="J1294" s="3" t="s">
        <v>37</v>
      </c>
      <c r="K1294" s="3" t="s">
        <v>43</v>
      </c>
      <c r="L1294" s="3" t="s">
        <v>44</v>
      </c>
      <c r="M1294" s="4">
        <v>47.98</v>
      </c>
    </row>
    <row r="1295">
      <c r="A1295" s="2">
        <v>45496</v>
      </c>
      <c r="B12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5" s="3" t="str">
        <f>YEAR(KMART_DATA[[#This Row],[Date]])&amp;"-"&amp;TEXT(MONTH(KMART_DATA[[#This Row],[Date]]),"00")</f>
        <v>2024-07</v>
      </c>
      <c r="D1295" s="3" t="s">
        <v>45</v>
      </c>
      <c r="E1295" s="3" t="s">
        <v>92</v>
      </c>
      <c r="F1295" s="3" t="s">
        <v>10</v>
      </c>
      <c r="G12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95" s="3" t="s">
        <v>93</v>
      </c>
      <c r="I1295" s="3" t="s">
        <v>31</v>
      </c>
      <c r="J1295" s="3" t="s">
        <v>94</v>
      </c>
      <c r="K1295" s="3" t="s">
        <v>71</v>
      </c>
      <c r="L1295" s="3" t="s">
        <v>72</v>
      </c>
      <c r="M1295" s="4">
        <v>377.44</v>
      </c>
    </row>
    <row r="1296">
      <c r="A1296" s="2">
        <v>45496</v>
      </c>
      <c r="B12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6" s="3" t="str">
        <f>YEAR(KMART_DATA[[#This Row],[Date]])&amp;"-"&amp;TEXT(MONTH(KMART_DATA[[#This Row],[Date]]),"00")</f>
        <v>2024-07</v>
      </c>
      <c r="D1296" s="3" t="s">
        <v>28</v>
      </c>
      <c r="E1296" s="3" t="s">
        <v>51</v>
      </c>
      <c r="F1296" s="3" t="s">
        <v>15</v>
      </c>
      <c r="G12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296" s="3" t="s">
        <v>52</v>
      </c>
      <c r="I1296" s="3" t="s">
        <v>31</v>
      </c>
      <c r="J1296" s="3" t="s">
        <v>53</v>
      </c>
      <c r="K1296" s="3" t="s">
        <v>57</v>
      </c>
      <c r="L1296" s="3" t="s">
        <v>58</v>
      </c>
      <c r="M1296" s="4">
        <v>1613.69</v>
      </c>
    </row>
    <row r="1297">
      <c r="A1297" s="2">
        <v>45496</v>
      </c>
      <c r="B12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7" s="3" t="str">
        <f>YEAR(KMART_DATA[[#This Row],[Date]])&amp;"-"&amp;TEXT(MONTH(KMART_DATA[[#This Row],[Date]]),"00")</f>
        <v>2024-07</v>
      </c>
      <c r="D1297" s="3" t="s">
        <v>28</v>
      </c>
      <c r="E1297" s="3" t="s">
        <v>139</v>
      </c>
      <c r="F1297" s="3" t="s">
        <v>10</v>
      </c>
      <c r="G12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97" s="3" t="s">
        <v>140</v>
      </c>
      <c r="I1297" s="3" t="s">
        <v>31</v>
      </c>
      <c r="J1297" s="3" t="s">
        <v>89</v>
      </c>
      <c r="K1297" s="3" t="s">
        <v>71</v>
      </c>
      <c r="L1297" s="3" t="s">
        <v>72</v>
      </c>
      <c r="M1297" s="4">
        <v>3458.11</v>
      </c>
    </row>
    <row r="1298">
      <c r="A1298" s="2">
        <v>45497</v>
      </c>
      <c r="B12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8" s="3" t="str">
        <f>YEAR(KMART_DATA[[#This Row],[Date]])&amp;"-"&amp;TEXT(MONTH(KMART_DATA[[#This Row],[Date]]),"00")</f>
        <v>2024-07</v>
      </c>
      <c r="D1298" s="3" t="s">
        <v>45</v>
      </c>
      <c r="E1298" s="3" t="s">
        <v>191</v>
      </c>
      <c r="F1298" s="3" t="s">
        <v>10</v>
      </c>
      <c r="G12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298" s="3" t="s">
        <v>192</v>
      </c>
      <c r="I1298" s="3" t="s">
        <v>31</v>
      </c>
      <c r="J1298" s="3" t="s">
        <v>120</v>
      </c>
      <c r="K1298" s="3" t="s">
        <v>123</v>
      </c>
      <c r="L1298" s="3" t="s">
        <v>124</v>
      </c>
      <c r="M1298" s="4">
        <v>95.38</v>
      </c>
    </row>
    <row r="1299">
      <c r="A1299" s="2">
        <v>45497</v>
      </c>
      <c r="B12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299" s="3" t="str">
        <f>YEAR(KMART_DATA[[#This Row],[Date]])&amp;"-"&amp;TEXT(MONTH(KMART_DATA[[#This Row],[Date]]),"00")</f>
        <v>2024-07</v>
      </c>
      <c r="D1299" s="3" t="s">
        <v>28</v>
      </c>
      <c r="E1299" s="3" t="s">
        <v>165</v>
      </c>
      <c r="F1299" s="3" t="s">
        <v>9</v>
      </c>
      <c r="G12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299" s="3" t="s">
        <v>166</v>
      </c>
      <c r="I1299" s="3" t="s">
        <v>31</v>
      </c>
      <c r="J1299" s="3" t="s">
        <v>99</v>
      </c>
      <c r="K1299" s="3" t="s">
        <v>123</v>
      </c>
      <c r="L1299" s="3" t="s">
        <v>124</v>
      </c>
      <c r="M1299" s="4">
        <v>354.44</v>
      </c>
    </row>
    <row r="1300">
      <c r="A1300" s="2">
        <v>45497</v>
      </c>
      <c r="B13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0" s="3" t="str">
        <f>YEAR(KMART_DATA[[#This Row],[Date]])&amp;"-"&amp;TEXT(MONTH(KMART_DATA[[#This Row],[Date]]),"00")</f>
        <v>2024-07</v>
      </c>
      <c r="D1300" s="3" t="s">
        <v>28</v>
      </c>
      <c r="E1300" s="3" t="s">
        <v>209</v>
      </c>
      <c r="F1300" s="3" t="s">
        <v>9</v>
      </c>
      <c r="G13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00" s="3" t="s">
        <v>210</v>
      </c>
      <c r="I1300" s="3" t="s">
        <v>31</v>
      </c>
      <c r="J1300" s="3" t="s">
        <v>81</v>
      </c>
      <c r="K1300" s="3" t="s">
        <v>38</v>
      </c>
      <c r="L1300" s="3" t="s">
        <v>39</v>
      </c>
      <c r="M1300" s="4">
        <v>462.75</v>
      </c>
    </row>
    <row r="1301">
      <c r="A1301" s="2">
        <v>45497</v>
      </c>
      <c r="B13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1" s="3" t="str">
        <f>YEAR(KMART_DATA[[#This Row],[Date]])&amp;"-"&amp;TEXT(MONTH(KMART_DATA[[#This Row],[Date]]),"00")</f>
        <v>2024-07</v>
      </c>
      <c r="D1301" s="3" t="s">
        <v>28</v>
      </c>
      <c r="E1301" s="3" t="s">
        <v>203</v>
      </c>
      <c r="F1301" s="3" t="s">
        <v>10</v>
      </c>
      <c r="G13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01" s="3" t="s">
        <v>204</v>
      </c>
      <c r="I1301" s="3" t="s">
        <v>31</v>
      </c>
      <c r="J1301" s="3" t="s">
        <v>89</v>
      </c>
      <c r="K1301" s="3" t="s">
        <v>43</v>
      </c>
      <c r="L1301" s="3" t="s">
        <v>44</v>
      </c>
      <c r="M1301" s="4">
        <v>769.93</v>
      </c>
    </row>
    <row r="1302">
      <c r="A1302" s="2">
        <v>45497</v>
      </c>
      <c r="B13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2" s="3" t="str">
        <f>YEAR(KMART_DATA[[#This Row],[Date]])&amp;"-"&amp;TEXT(MONTH(KMART_DATA[[#This Row],[Date]]),"00")</f>
        <v>2024-07</v>
      </c>
      <c r="D1302" s="3" t="s">
        <v>28</v>
      </c>
      <c r="E1302" s="3" t="s">
        <v>87</v>
      </c>
      <c r="F1302" s="3" t="s">
        <v>10</v>
      </c>
      <c r="G13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02" s="3" t="s">
        <v>88</v>
      </c>
      <c r="I1302" s="3" t="s">
        <v>31</v>
      </c>
      <c r="J1302" s="3" t="s">
        <v>89</v>
      </c>
      <c r="K1302" s="3" t="s">
        <v>95</v>
      </c>
      <c r="L1302" s="3" t="s">
        <v>96</v>
      </c>
      <c r="M1302" s="4">
        <v>1096.19</v>
      </c>
    </row>
    <row r="1303">
      <c r="A1303" s="2">
        <v>45498</v>
      </c>
      <c r="B13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3" s="3" t="str">
        <f>YEAR(KMART_DATA[[#This Row],[Date]])&amp;"-"&amp;TEXT(MONTH(KMART_DATA[[#This Row],[Date]]),"00")</f>
        <v>2024-07</v>
      </c>
      <c r="D1303" s="3" t="s">
        <v>28</v>
      </c>
      <c r="E1303" s="3" t="s">
        <v>254</v>
      </c>
      <c r="F1303" s="3" t="s">
        <v>13</v>
      </c>
      <c r="G13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303" s="3" t="s">
        <v>255</v>
      </c>
      <c r="I1303" s="3" t="s">
        <v>31</v>
      </c>
      <c r="J1303" s="3" t="s">
        <v>227</v>
      </c>
      <c r="K1303" s="3" t="s">
        <v>33</v>
      </c>
      <c r="L1303" s="3" t="s">
        <v>34</v>
      </c>
      <c r="M1303" s="4">
        <v>3.99</v>
      </c>
    </row>
    <row r="1304">
      <c r="A1304" s="2">
        <v>45498</v>
      </c>
      <c r="B13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4" s="3" t="str">
        <f>YEAR(KMART_DATA[[#This Row],[Date]])&amp;"-"&amp;TEXT(MONTH(KMART_DATA[[#This Row],[Date]]),"00")</f>
        <v>2024-07</v>
      </c>
      <c r="D1304" s="3" t="s">
        <v>28</v>
      </c>
      <c r="E1304" s="3" t="s">
        <v>187</v>
      </c>
      <c r="F1304" s="3" t="s">
        <v>11</v>
      </c>
      <c r="G13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04" s="3" t="s">
        <v>188</v>
      </c>
      <c r="I1304" s="3" t="s">
        <v>31</v>
      </c>
      <c r="J1304" s="3" t="s">
        <v>78</v>
      </c>
      <c r="K1304" s="3" t="s">
        <v>38</v>
      </c>
      <c r="L1304" s="3" t="s">
        <v>39</v>
      </c>
      <c r="M1304" s="4">
        <v>18.99</v>
      </c>
    </row>
    <row r="1305">
      <c r="A1305" s="2">
        <v>45498</v>
      </c>
      <c r="B13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5" s="3" t="str">
        <f>YEAR(KMART_DATA[[#This Row],[Date]])&amp;"-"&amp;TEXT(MONTH(KMART_DATA[[#This Row],[Date]]),"00")</f>
        <v>2024-07</v>
      </c>
      <c r="D1305" s="3" t="s">
        <v>28</v>
      </c>
      <c r="E1305" s="3" t="s">
        <v>232</v>
      </c>
      <c r="F1305" s="3" t="s">
        <v>9</v>
      </c>
      <c r="G13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05" s="3" t="s">
        <v>233</v>
      </c>
      <c r="I1305" s="3" t="s">
        <v>31</v>
      </c>
      <c r="J1305" s="3" t="s">
        <v>75</v>
      </c>
      <c r="K1305" s="3" t="s">
        <v>43</v>
      </c>
      <c r="L1305" s="3" t="s">
        <v>44</v>
      </c>
      <c r="M1305" s="4">
        <v>38.0</v>
      </c>
    </row>
    <row r="1306">
      <c r="A1306" s="2">
        <v>45498</v>
      </c>
      <c r="B13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6" s="3" t="str">
        <f>YEAR(KMART_DATA[[#This Row],[Date]])&amp;"-"&amp;TEXT(MONTH(KMART_DATA[[#This Row],[Date]]),"00")</f>
        <v>2024-07</v>
      </c>
      <c r="D1306" s="3" t="s">
        <v>45</v>
      </c>
      <c r="E1306" s="3" t="s">
        <v>205</v>
      </c>
      <c r="F1306" s="3" t="s">
        <v>10</v>
      </c>
      <c r="G13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06" s="3" t="s">
        <v>206</v>
      </c>
      <c r="I1306" s="3" t="s">
        <v>31</v>
      </c>
      <c r="J1306" s="3" t="s">
        <v>37</v>
      </c>
      <c r="K1306" s="3" t="s">
        <v>43</v>
      </c>
      <c r="L1306" s="3" t="s">
        <v>44</v>
      </c>
      <c r="M1306" s="4">
        <v>53.91</v>
      </c>
    </row>
    <row r="1307">
      <c r="A1307" s="2">
        <v>45498</v>
      </c>
      <c r="B13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7" s="3" t="str">
        <f>YEAR(KMART_DATA[[#This Row],[Date]])&amp;"-"&amp;TEXT(MONTH(KMART_DATA[[#This Row],[Date]]),"00")</f>
        <v>2024-07</v>
      </c>
      <c r="D1307" s="3" t="s">
        <v>28</v>
      </c>
      <c r="E1307" s="3" t="s">
        <v>35</v>
      </c>
      <c r="F1307" s="3" t="s">
        <v>10</v>
      </c>
      <c r="G13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07" s="3" t="s">
        <v>36</v>
      </c>
      <c r="I1307" s="3" t="s">
        <v>31</v>
      </c>
      <c r="J1307" s="3" t="s">
        <v>37</v>
      </c>
      <c r="K1307" s="3" t="s">
        <v>38</v>
      </c>
      <c r="L1307" s="3" t="s">
        <v>39</v>
      </c>
      <c r="M1307" s="4">
        <v>119.41</v>
      </c>
    </row>
    <row r="1308">
      <c r="A1308" s="2">
        <v>45499</v>
      </c>
      <c r="B13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8" s="3" t="str">
        <f>YEAR(KMART_DATA[[#This Row],[Date]])&amp;"-"&amp;TEXT(MONTH(KMART_DATA[[#This Row],[Date]]),"00")</f>
        <v>2024-07</v>
      </c>
      <c r="D1308" s="3" t="s">
        <v>28</v>
      </c>
      <c r="E1308" s="3" t="s">
        <v>51</v>
      </c>
      <c r="F1308" s="3" t="s">
        <v>15</v>
      </c>
      <c r="G13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308" s="3" t="s">
        <v>52</v>
      </c>
      <c r="I1308" s="3" t="s">
        <v>31</v>
      </c>
      <c r="J1308" s="3" t="s">
        <v>53</v>
      </c>
      <c r="K1308" s="3" t="s">
        <v>46</v>
      </c>
      <c r="L1308" s="3" t="s">
        <v>47</v>
      </c>
      <c r="M1308" s="4">
        <v>38.97</v>
      </c>
    </row>
    <row r="1309">
      <c r="A1309" s="2">
        <v>45499</v>
      </c>
      <c r="B13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09" s="3" t="str">
        <f>YEAR(KMART_DATA[[#This Row],[Date]])&amp;"-"&amp;TEXT(MONTH(KMART_DATA[[#This Row],[Date]]),"00")</f>
        <v>2024-07</v>
      </c>
      <c r="D1309" s="3" t="s">
        <v>28</v>
      </c>
      <c r="E1309" s="3" t="s">
        <v>129</v>
      </c>
      <c r="F1309" s="3" t="s">
        <v>10</v>
      </c>
      <c r="G13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09" s="3" t="s">
        <v>130</v>
      </c>
      <c r="I1309" s="3" t="s">
        <v>31</v>
      </c>
      <c r="J1309" s="3" t="s">
        <v>120</v>
      </c>
      <c r="K1309" s="3" t="s">
        <v>43</v>
      </c>
      <c r="L1309" s="3" t="s">
        <v>44</v>
      </c>
      <c r="M1309" s="4">
        <v>91.1</v>
      </c>
    </row>
    <row r="1310">
      <c r="A1310" s="2">
        <v>45499</v>
      </c>
      <c r="B13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0" s="3" t="str">
        <f>YEAR(KMART_DATA[[#This Row],[Date]])&amp;"-"&amp;TEXT(MONTH(KMART_DATA[[#This Row],[Date]]),"00")</f>
        <v>2024-07</v>
      </c>
      <c r="D1310" s="3" t="s">
        <v>28</v>
      </c>
      <c r="E1310" s="3" t="s">
        <v>152</v>
      </c>
      <c r="F1310" s="3" t="s">
        <v>11</v>
      </c>
      <c r="G13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10" s="3" t="s">
        <v>153</v>
      </c>
      <c r="I1310" s="3" t="s">
        <v>31</v>
      </c>
      <c r="J1310" s="3" t="s">
        <v>61</v>
      </c>
      <c r="K1310" s="3" t="s">
        <v>123</v>
      </c>
      <c r="L1310" s="3" t="s">
        <v>124</v>
      </c>
      <c r="M1310" s="4">
        <v>112.37</v>
      </c>
    </row>
    <row r="1311">
      <c r="A1311" s="2">
        <v>45499</v>
      </c>
      <c r="B13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1" s="3" t="str">
        <f>YEAR(KMART_DATA[[#This Row],[Date]])&amp;"-"&amp;TEXT(MONTH(KMART_DATA[[#This Row],[Date]]),"00")</f>
        <v>2024-07</v>
      </c>
      <c r="D1311" s="3" t="s">
        <v>45</v>
      </c>
      <c r="E1311" s="3" t="s">
        <v>54</v>
      </c>
      <c r="F1311" s="3" t="s">
        <v>11</v>
      </c>
      <c r="G13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11" s="3" t="s">
        <v>55</v>
      </c>
      <c r="I1311" s="3" t="s">
        <v>31</v>
      </c>
      <c r="J1311" s="3" t="s">
        <v>56</v>
      </c>
      <c r="K1311" s="3" t="s">
        <v>38</v>
      </c>
      <c r="L1311" s="3" t="s">
        <v>39</v>
      </c>
      <c r="M1311" s="4">
        <v>368.3</v>
      </c>
    </row>
    <row r="1312">
      <c r="A1312" s="2">
        <v>45499</v>
      </c>
      <c r="B13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2" s="3" t="str">
        <f>YEAR(KMART_DATA[[#This Row],[Date]])&amp;"-"&amp;TEXT(MONTH(KMART_DATA[[#This Row],[Date]]),"00")</f>
        <v>2024-07</v>
      </c>
      <c r="D1312" s="3" t="s">
        <v>45</v>
      </c>
      <c r="E1312" s="3" t="s">
        <v>223</v>
      </c>
      <c r="F1312" s="3" t="s">
        <v>10</v>
      </c>
      <c r="G13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12" s="3" t="s">
        <v>224</v>
      </c>
      <c r="I1312" s="3" t="s">
        <v>31</v>
      </c>
      <c r="J1312" s="3" t="s">
        <v>94</v>
      </c>
      <c r="K1312" s="3" t="s">
        <v>71</v>
      </c>
      <c r="L1312" s="3" t="s">
        <v>72</v>
      </c>
      <c r="M1312" s="4">
        <v>445.52</v>
      </c>
    </row>
    <row r="1313">
      <c r="A1313" s="2">
        <v>45499</v>
      </c>
      <c r="B13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3" s="3" t="str">
        <f>YEAR(KMART_DATA[[#This Row],[Date]])&amp;"-"&amp;TEXT(MONTH(KMART_DATA[[#This Row],[Date]]),"00")</f>
        <v>2024-07</v>
      </c>
      <c r="D1313" s="3" t="s">
        <v>28</v>
      </c>
      <c r="E1313" s="3" t="s">
        <v>110</v>
      </c>
      <c r="F1313" s="3" t="s">
        <v>9</v>
      </c>
      <c r="G13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13" s="3" t="s">
        <v>111</v>
      </c>
      <c r="I1313" s="3" t="s">
        <v>31</v>
      </c>
      <c r="J1313" s="3" t="s">
        <v>81</v>
      </c>
      <c r="K1313" s="3" t="s">
        <v>46</v>
      </c>
      <c r="L1313" s="3" t="s">
        <v>47</v>
      </c>
      <c r="M1313" s="4">
        <v>1826.92</v>
      </c>
    </row>
    <row r="1314">
      <c r="A1314" s="2">
        <v>45499</v>
      </c>
      <c r="B13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4" s="3" t="str">
        <f>YEAR(KMART_DATA[[#This Row],[Date]])&amp;"-"&amp;TEXT(MONTH(KMART_DATA[[#This Row],[Date]]),"00")</f>
        <v>2024-07</v>
      </c>
      <c r="D1314" s="3" t="s">
        <v>28</v>
      </c>
      <c r="E1314" s="3" t="s">
        <v>181</v>
      </c>
      <c r="F1314" s="3" t="s">
        <v>11</v>
      </c>
      <c r="G13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14" s="3" t="s">
        <v>182</v>
      </c>
      <c r="I1314" s="3" t="s">
        <v>31</v>
      </c>
      <c r="J1314" s="3" t="s">
        <v>56</v>
      </c>
      <c r="K1314" s="3" t="s">
        <v>43</v>
      </c>
      <c r="L1314" s="3" t="s">
        <v>44</v>
      </c>
      <c r="M1314" s="4">
        <v>2031.56</v>
      </c>
    </row>
    <row r="1315">
      <c r="A1315" s="2">
        <v>45499</v>
      </c>
      <c r="B13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5" s="3" t="str">
        <f>YEAR(KMART_DATA[[#This Row],[Date]])&amp;"-"&amp;TEXT(MONTH(KMART_DATA[[#This Row],[Date]]),"00")</f>
        <v>2024-07</v>
      </c>
      <c r="D1315" s="3" t="s">
        <v>28</v>
      </c>
      <c r="E1315" s="3" t="s">
        <v>87</v>
      </c>
      <c r="F1315" s="3" t="s">
        <v>10</v>
      </c>
      <c r="G13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15" s="3" t="s">
        <v>88</v>
      </c>
      <c r="I1315" s="3" t="s">
        <v>31</v>
      </c>
      <c r="J1315" s="3" t="s">
        <v>89</v>
      </c>
      <c r="K1315" s="3" t="s">
        <v>95</v>
      </c>
      <c r="L1315" s="3" t="s">
        <v>96</v>
      </c>
      <c r="M1315" s="4">
        <v>9049.98</v>
      </c>
    </row>
    <row r="1316">
      <c r="A1316" s="2">
        <v>45500</v>
      </c>
      <c r="B13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6" s="3" t="str">
        <f>YEAR(KMART_DATA[[#This Row],[Date]])&amp;"-"&amp;TEXT(MONTH(KMART_DATA[[#This Row],[Date]]),"00")</f>
        <v>2024-07</v>
      </c>
      <c r="D1316" s="3" t="s">
        <v>28</v>
      </c>
      <c r="E1316" s="3" t="s">
        <v>217</v>
      </c>
      <c r="F1316" s="3" t="s">
        <v>10</v>
      </c>
      <c r="G13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16" s="3" t="s">
        <v>218</v>
      </c>
      <c r="I1316" s="3" t="s">
        <v>31</v>
      </c>
      <c r="J1316" s="3" t="s">
        <v>89</v>
      </c>
      <c r="K1316" s="3" t="s">
        <v>43</v>
      </c>
      <c r="L1316" s="3" t="s">
        <v>44</v>
      </c>
      <c r="M1316" s="4">
        <v>11.6</v>
      </c>
    </row>
    <row r="1317">
      <c r="A1317" s="2">
        <v>45500</v>
      </c>
      <c r="B13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7" s="3" t="str">
        <f>YEAR(KMART_DATA[[#This Row],[Date]])&amp;"-"&amp;TEXT(MONTH(KMART_DATA[[#This Row],[Date]]),"00")</f>
        <v>2024-07</v>
      </c>
      <c r="D1317" s="3" t="s">
        <v>45</v>
      </c>
      <c r="E1317" s="3" t="s">
        <v>114</v>
      </c>
      <c r="F1317" s="3" t="s">
        <v>9</v>
      </c>
      <c r="G13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17" s="3" t="s">
        <v>115</v>
      </c>
      <c r="I1317" s="3" t="s">
        <v>31</v>
      </c>
      <c r="J1317" s="3" t="s">
        <v>99</v>
      </c>
      <c r="K1317" s="3" t="s">
        <v>112</v>
      </c>
      <c r="L1317" s="3" t="s">
        <v>113</v>
      </c>
      <c r="M1317" s="4">
        <v>15.96</v>
      </c>
    </row>
    <row r="1318">
      <c r="A1318" s="2">
        <v>45500</v>
      </c>
      <c r="B13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8" s="3" t="str">
        <f>YEAR(KMART_DATA[[#This Row],[Date]])&amp;"-"&amp;TEXT(MONTH(KMART_DATA[[#This Row],[Date]]),"00")</f>
        <v>2024-07</v>
      </c>
      <c r="D1318" s="3" t="s">
        <v>28</v>
      </c>
      <c r="E1318" s="3" t="s">
        <v>258</v>
      </c>
      <c r="F1318" s="3" t="s">
        <v>14</v>
      </c>
      <c r="G13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318" s="3" t="s">
        <v>259</v>
      </c>
      <c r="I1318" s="3" t="s">
        <v>31</v>
      </c>
      <c r="J1318" s="3" t="s">
        <v>145</v>
      </c>
      <c r="K1318" s="3" t="s">
        <v>43</v>
      </c>
      <c r="L1318" s="3" t="s">
        <v>44</v>
      </c>
      <c r="M1318" s="4">
        <v>64.95</v>
      </c>
    </row>
    <row r="1319">
      <c r="A1319" s="2">
        <v>45500</v>
      </c>
      <c r="B13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19" s="3" t="str">
        <f>YEAR(KMART_DATA[[#This Row],[Date]])&amp;"-"&amp;TEXT(MONTH(KMART_DATA[[#This Row],[Date]]),"00")</f>
        <v>2024-07</v>
      </c>
      <c r="D1319" s="3" t="s">
        <v>28</v>
      </c>
      <c r="E1319" s="3" t="s">
        <v>139</v>
      </c>
      <c r="F1319" s="3" t="s">
        <v>10</v>
      </c>
      <c r="G13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19" s="3" t="s">
        <v>140</v>
      </c>
      <c r="I1319" s="3" t="s">
        <v>31</v>
      </c>
      <c r="J1319" s="3" t="s">
        <v>89</v>
      </c>
      <c r="K1319" s="3" t="s">
        <v>43</v>
      </c>
      <c r="L1319" s="3" t="s">
        <v>44</v>
      </c>
      <c r="M1319" s="4">
        <v>67.66</v>
      </c>
    </row>
    <row r="1320">
      <c r="A1320" s="2">
        <v>45500</v>
      </c>
      <c r="B13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0" s="3" t="str">
        <f>YEAR(KMART_DATA[[#This Row],[Date]])&amp;"-"&amp;TEXT(MONTH(KMART_DATA[[#This Row],[Date]]),"00")</f>
        <v>2024-07</v>
      </c>
      <c r="D1320" s="3" t="s">
        <v>28</v>
      </c>
      <c r="E1320" s="3" t="s">
        <v>131</v>
      </c>
      <c r="F1320" s="3" t="s">
        <v>11</v>
      </c>
      <c r="G13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20" s="3" t="s">
        <v>132</v>
      </c>
      <c r="I1320" s="3" t="s">
        <v>31</v>
      </c>
      <c r="J1320" s="3" t="s">
        <v>32</v>
      </c>
      <c r="K1320" s="3" t="s">
        <v>33</v>
      </c>
      <c r="L1320" s="3" t="s">
        <v>34</v>
      </c>
      <c r="M1320" s="4">
        <v>275.94</v>
      </c>
    </row>
    <row r="1321">
      <c r="A1321" s="2">
        <v>45500</v>
      </c>
      <c r="B13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1" s="3" t="str">
        <f>YEAR(KMART_DATA[[#This Row],[Date]])&amp;"-"&amp;TEXT(MONTH(KMART_DATA[[#This Row],[Date]]),"00")</f>
        <v>2024-07</v>
      </c>
      <c r="D1321" s="3" t="s">
        <v>28</v>
      </c>
      <c r="E1321" s="3" t="s">
        <v>35</v>
      </c>
      <c r="F1321" s="3" t="s">
        <v>10</v>
      </c>
      <c r="G13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21" s="3" t="s">
        <v>36</v>
      </c>
      <c r="I1321" s="3" t="s">
        <v>31</v>
      </c>
      <c r="J1321" s="3" t="s">
        <v>37</v>
      </c>
      <c r="K1321" s="3" t="s">
        <v>71</v>
      </c>
      <c r="L1321" s="3" t="s">
        <v>72</v>
      </c>
      <c r="M1321" s="4">
        <v>279.66</v>
      </c>
    </row>
    <row r="1322">
      <c r="A1322" s="2">
        <v>45500</v>
      </c>
      <c r="B13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2" s="3" t="str">
        <f>YEAR(KMART_DATA[[#This Row],[Date]])&amp;"-"&amp;TEXT(MONTH(KMART_DATA[[#This Row],[Date]]),"00")</f>
        <v>2024-07</v>
      </c>
      <c r="D1322" s="3" t="s">
        <v>28</v>
      </c>
      <c r="E1322" s="3" t="s">
        <v>189</v>
      </c>
      <c r="F1322" s="3" t="s">
        <v>9</v>
      </c>
      <c r="G13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22" s="3" t="s">
        <v>190</v>
      </c>
      <c r="I1322" s="3" t="s">
        <v>31</v>
      </c>
      <c r="J1322" s="3" t="s">
        <v>81</v>
      </c>
      <c r="K1322" s="3" t="s">
        <v>57</v>
      </c>
      <c r="L1322" s="3" t="s">
        <v>58</v>
      </c>
      <c r="M1322" s="4">
        <v>948.81</v>
      </c>
    </row>
    <row r="1323">
      <c r="A1323" s="2">
        <v>45501</v>
      </c>
      <c r="B13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3" s="3" t="str">
        <f>YEAR(KMART_DATA[[#This Row],[Date]])&amp;"-"&amp;TEXT(MONTH(KMART_DATA[[#This Row],[Date]]),"00")</f>
        <v>2024-07</v>
      </c>
      <c r="D1323" s="3" t="s">
        <v>45</v>
      </c>
      <c r="E1323" s="3" t="s">
        <v>62</v>
      </c>
      <c r="F1323" s="3" t="s">
        <v>12</v>
      </c>
      <c r="G13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23" s="3" t="s">
        <v>63</v>
      </c>
      <c r="I1323" s="3" t="s">
        <v>31</v>
      </c>
      <c r="J1323" s="3" t="s">
        <v>50</v>
      </c>
      <c r="K1323" s="3" t="s">
        <v>112</v>
      </c>
      <c r="L1323" s="3" t="s">
        <v>113</v>
      </c>
      <c r="M1323" s="4">
        <v>778.56</v>
      </c>
    </row>
    <row r="1324">
      <c r="A1324" s="2">
        <v>45501</v>
      </c>
      <c r="B13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4" s="3" t="str">
        <f>YEAR(KMART_DATA[[#This Row],[Date]])&amp;"-"&amp;TEXT(MONTH(KMART_DATA[[#This Row],[Date]]),"00")</f>
        <v>2024-07</v>
      </c>
      <c r="D1324" s="3" t="s">
        <v>28</v>
      </c>
      <c r="E1324" s="3" t="s">
        <v>197</v>
      </c>
      <c r="F1324" s="3" t="s">
        <v>9</v>
      </c>
      <c r="G13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24" s="3" t="s">
        <v>198</v>
      </c>
      <c r="I1324" s="3" t="s">
        <v>31</v>
      </c>
      <c r="J1324" s="3" t="s">
        <v>107</v>
      </c>
      <c r="K1324" s="3" t="s">
        <v>38</v>
      </c>
      <c r="L1324" s="3" t="s">
        <v>39</v>
      </c>
      <c r="M1324" s="4">
        <v>903.99</v>
      </c>
    </row>
    <row r="1325">
      <c r="A1325" s="2">
        <v>45501</v>
      </c>
      <c r="B13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5" s="3" t="str">
        <f>YEAR(KMART_DATA[[#This Row],[Date]])&amp;"-"&amp;TEXT(MONTH(KMART_DATA[[#This Row],[Date]]),"00")</f>
        <v>2024-07</v>
      </c>
      <c r="D1325" s="3" t="s">
        <v>28</v>
      </c>
      <c r="E1325" s="3" t="s">
        <v>244</v>
      </c>
      <c r="F1325" s="3" t="s">
        <v>13</v>
      </c>
      <c r="G13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325" s="3" t="s">
        <v>245</v>
      </c>
      <c r="I1325" s="3" t="s">
        <v>31</v>
      </c>
      <c r="J1325" s="3" t="s">
        <v>42</v>
      </c>
      <c r="K1325" s="3" t="s">
        <v>95</v>
      </c>
      <c r="L1325" s="3" t="s">
        <v>96</v>
      </c>
      <c r="M1325" s="4">
        <v>1089.15</v>
      </c>
    </row>
    <row r="1326">
      <c r="A1326" s="2">
        <v>45501</v>
      </c>
      <c r="B13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6" s="3" t="str">
        <f>YEAR(KMART_DATA[[#This Row],[Date]])&amp;"-"&amp;TEXT(MONTH(KMART_DATA[[#This Row],[Date]]),"00")</f>
        <v>2024-07</v>
      </c>
      <c r="D1326" s="3" t="s">
        <v>28</v>
      </c>
      <c r="E1326" s="3" t="s">
        <v>139</v>
      </c>
      <c r="F1326" s="3" t="s">
        <v>10</v>
      </c>
      <c r="G13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26" s="3" t="s">
        <v>140</v>
      </c>
      <c r="I1326" s="3" t="s">
        <v>31</v>
      </c>
      <c r="J1326" s="3" t="s">
        <v>89</v>
      </c>
      <c r="K1326" s="3" t="s">
        <v>43</v>
      </c>
      <c r="L1326" s="3" t="s">
        <v>44</v>
      </c>
      <c r="M1326" s="4">
        <v>1099.27</v>
      </c>
    </row>
    <row r="1327">
      <c r="A1327" s="2">
        <v>45501</v>
      </c>
      <c r="B13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7" s="3" t="str">
        <f>YEAR(KMART_DATA[[#This Row],[Date]])&amp;"-"&amp;TEXT(MONTH(KMART_DATA[[#This Row],[Date]]),"00")</f>
        <v>2024-07</v>
      </c>
      <c r="D1327" s="3" t="s">
        <v>45</v>
      </c>
      <c r="E1327" s="3" t="s">
        <v>143</v>
      </c>
      <c r="F1327" s="3" t="s">
        <v>14</v>
      </c>
      <c r="G13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327" s="3" t="s">
        <v>144</v>
      </c>
      <c r="I1327" s="3" t="s">
        <v>31</v>
      </c>
      <c r="J1327" s="3" t="s">
        <v>145</v>
      </c>
      <c r="K1327" s="3" t="s">
        <v>46</v>
      </c>
      <c r="L1327" s="3" t="s">
        <v>47</v>
      </c>
      <c r="M1327" s="4">
        <v>1248.66</v>
      </c>
    </row>
    <row r="1328">
      <c r="A1328" s="2">
        <v>45501</v>
      </c>
      <c r="B13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8" s="3" t="str">
        <f>YEAR(KMART_DATA[[#This Row],[Date]])&amp;"-"&amp;TEXT(MONTH(KMART_DATA[[#This Row],[Date]]),"00")</f>
        <v>2024-07</v>
      </c>
      <c r="D1328" s="3" t="s">
        <v>28</v>
      </c>
      <c r="E1328" s="3" t="s">
        <v>163</v>
      </c>
      <c r="F1328" s="3" t="s">
        <v>9</v>
      </c>
      <c r="G13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28" s="3" t="s">
        <v>164</v>
      </c>
      <c r="I1328" s="3" t="s">
        <v>31</v>
      </c>
      <c r="J1328" s="3" t="s">
        <v>81</v>
      </c>
      <c r="K1328" s="3" t="s">
        <v>57</v>
      </c>
      <c r="L1328" s="3" t="s">
        <v>58</v>
      </c>
      <c r="M1328" s="4">
        <v>1956.56</v>
      </c>
    </row>
    <row r="1329">
      <c r="A1329" s="2">
        <v>45502</v>
      </c>
      <c r="B13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29" s="3" t="str">
        <f>YEAR(KMART_DATA[[#This Row],[Date]])&amp;"-"&amp;TEXT(MONTH(KMART_DATA[[#This Row],[Date]]),"00")</f>
        <v>2024-07</v>
      </c>
      <c r="D1329" s="3" t="s">
        <v>28</v>
      </c>
      <c r="E1329" s="3" t="s">
        <v>228</v>
      </c>
      <c r="F1329" s="3" t="s">
        <v>11</v>
      </c>
      <c r="G13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29" s="3" t="s">
        <v>229</v>
      </c>
      <c r="I1329" s="3" t="s">
        <v>31</v>
      </c>
      <c r="J1329" s="3" t="s">
        <v>32</v>
      </c>
      <c r="K1329" s="3" t="s">
        <v>95</v>
      </c>
      <c r="L1329" s="3" t="s">
        <v>96</v>
      </c>
      <c r="M1329" s="4">
        <v>4.5</v>
      </c>
    </row>
    <row r="1330">
      <c r="A1330" s="2">
        <v>45502</v>
      </c>
      <c r="B13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0" s="3" t="str">
        <f>YEAR(KMART_DATA[[#This Row],[Date]])&amp;"-"&amp;TEXT(MONTH(KMART_DATA[[#This Row],[Date]]),"00")</f>
        <v>2024-07</v>
      </c>
      <c r="D1330" s="3" t="s">
        <v>28</v>
      </c>
      <c r="E1330" s="3" t="s">
        <v>223</v>
      </c>
      <c r="F1330" s="3" t="s">
        <v>10</v>
      </c>
      <c r="G13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30" s="3" t="s">
        <v>224</v>
      </c>
      <c r="I1330" s="3" t="s">
        <v>31</v>
      </c>
      <c r="J1330" s="3" t="s">
        <v>94</v>
      </c>
      <c r="K1330" s="3" t="s">
        <v>95</v>
      </c>
      <c r="L1330" s="3" t="s">
        <v>96</v>
      </c>
      <c r="M1330" s="4">
        <v>28.94</v>
      </c>
    </row>
    <row r="1331">
      <c r="A1331" s="2">
        <v>45502</v>
      </c>
      <c r="B13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1" s="3" t="str">
        <f>YEAR(KMART_DATA[[#This Row],[Date]])&amp;"-"&amp;TEXT(MONTH(KMART_DATA[[#This Row],[Date]]),"00")</f>
        <v>2024-07</v>
      </c>
      <c r="D1331" s="3" t="s">
        <v>28</v>
      </c>
      <c r="E1331" s="3" t="s">
        <v>152</v>
      </c>
      <c r="F1331" s="3" t="s">
        <v>11</v>
      </c>
      <c r="G13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31" s="3" t="s">
        <v>153</v>
      </c>
      <c r="I1331" s="3" t="s">
        <v>31</v>
      </c>
      <c r="J1331" s="3" t="s">
        <v>61</v>
      </c>
      <c r="K1331" s="3" t="s">
        <v>43</v>
      </c>
      <c r="L1331" s="3" t="s">
        <v>44</v>
      </c>
      <c r="M1331" s="4">
        <v>29.98</v>
      </c>
    </row>
    <row r="1332">
      <c r="A1332" s="2">
        <v>45502</v>
      </c>
      <c r="B13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2" s="3" t="str">
        <f>YEAR(KMART_DATA[[#This Row],[Date]])&amp;"-"&amp;TEXT(MONTH(KMART_DATA[[#This Row],[Date]]),"00")</f>
        <v>2024-07</v>
      </c>
      <c r="D1332" s="3" t="s">
        <v>28</v>
      </c>
      <c r="E1332" s="3" t="s">
        <v>197</v>
      </c>
      <c r="F1332" s="3" t="s">
        <v>9</v>
      </c>
      <c r="G13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32" s="3" t="s">
        <v>198</v>
      </c>
      <c r="I1332" s="3" t="s">
        <v>31</v>
      </c>
      <c r="J1332" s="3" t="s">
        <v>107</v>
      </c>
      <c r="K1332" s="3" t="s">
        <v>123</v>
      </c>
      <c r="L1332" s="3" t="s">
        <v>124</v>
      </c>
      <c r="M1332" s="4">
        <v>41.97</v>
      </c>
    </row>
    <row r="1333">
      <c r="A1333" s="2">
        <v>45502</v>
      </c>
      <c r="B13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3" s="3" t="str">
        <f>YEAR(KMART_DATA[[#This Row],[Date]])&amp;"-"&amp;TEXT(MONTH(KMART_DATA[[#This Row],[Date]]),"00")</f>
        <v>2024-07</v>
      </c>
      <c r="D1333" s="3" t="s">
        <v>28</v>
      </c>
      <c r="E1333" s="3" t="s">
        <v>195</v>
      </c>
      <c r="F1333" s="3" t="s">
        <v>11</v>
      </c>
      <c r="G13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33" s="3" t="s">
        <v>196</v>
      </c>
      <c r="I1333" s="3" t="s">
        <v>31</v>
      </c>
      <c r="J1333" s="3" t="s">
        <v>32</v>
      </c>
      <c r="K1333" s="3" t="s">
        <v>123</v>
      </c>
      <c r="L1333" s="3" t="s">
        <v>124</v>
      </c>
      <c r="M1333" s="4">
        <v>76.66</v>
      </c>
    </row>
    <row r="1334">
      <c r="A1334" s="2">
        <v>45502</v>
      </c>
      <c r="B13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4" s="3" t="str">
        <f>YEAR(KMART_DATA[[#This Row],[Date]])&amp;"-"&amp;TEXT(MONTH(KMART_DATA[[#This Row],[Date]]),"00")</f>
        <v>2024-07</v>
      </c>
      <c r="D1334" s="3" t="s">
        <v>28</v>
      </c>
      <c r="E1334" s="3" t="s">
        <v>234</v>
      </c>
      <c r="F1334" s="3" t="s">
        <v>9</v>
      </c>
      <c r="G13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34" s="3" t="s">
        <v>235</v>
      </c>
      <c r="I1334" s="3" t="s">
        <v>31</v>
      </c>
      <c r="J1334" s="3" t="s">
        <v>81</v>
      </c>
      <c r="K1334" s="3" t="s">
        <v>95</v>
      </c>
      <c r="L1334" s="3" t="s">
        <v>96</v>
      </c>
      <c r="M1334" s="4">
        <v>89.82</v>
      </c>
    </row>
    <row r="1335">
      <c r="A1335" s="2">
        <v>45502</v>
      </c>
      <c r="B13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5" s="3" t="str">
        <f>YEAR(KMART_DATA[[#This Row],[Date]])&amp;"-"&amp;TEXT(MONTH(KMART_DATA[[#This Row],[Date]]),"00")</f>
        <v>2024-07</v>
      </c>
      <c r="D1335" s="3" t="s">
        <v>28</v>
      </c>
      <c r="E1335" s="3" t="s">
        <v>169</v>
      </c>
      <c r="F1335" s="3" t="s">
        <v>12</v>
      </c>
      <c r="G13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35" s="3" t="s">
        <v>170</v>
      </c>
      <c r="I1335" s="3" t="s">
        <v>31</v>
      </c>
      <c r="J1335" s="3" t="s">
        <v>102</v>
      </c>
      <c r="K1335" s="3" t="s">
        <v>38</v>
      </c>
      <c r="L1335" s="3" t="s">
        <v>39</v>
      </c>
      <c r="M1335" s="4">
        <v>327.74</v>
      </c>
    </row>
    <row r="1336">
      <c r="A1336" s="2">
        <v>45502</v>
      </c>
      <c r="B13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6" s="3" t="str">
        <f>YEAR(KMART_DATA[[#This Row],[Date]])&amp;"-"&amp;TEXT(MONTH(KMART_DATA[[#This Row],[Date]]),"00")</f>
        <v>2024-07</v>
      </c>
      <c r="D1336" s="3" t="s">
        <v>45</v>
      </c>
      <c r="E1336" s="3" t="s">
        <v>148</v>
      </c>
      <c r="F1336" s="3" t="s">
        <v>12</v>
      </c>
      <c r="G13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36" s="3" t="s">
        <v>149</v>
      </c>
      <c r="I1336" s="3" t="s">
        <v>31</v>
      </c>
      <c r="J1336" s="3" t="s">
        <v>50</v>
      </c>
      <c r="K1336" s="3" t="s">
        <v>46</v>
      </c>
      <c r="L1336" s="3" t="s">
        <v>47</v>
      </c>
      <c r="M1336" s="4">
        <v>780.56</v>
      </c>
    </row>
    <row r="1337">
      <c r="A1337" s="2">
        <v>45502</v>
      </c>
      <c r="B13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7" s="3" t="str">
        <f>YEAR(KMART_DATA[[#This Row],[Date]])&amp;"-"&amp;TEXT(MONTH(KMART_DATA[[#This Row],[Date]]),"00")</f>
        <v>2024-07</v>
      </c>
      <c r="D1337" s="3" t="s">
        <v>45</v>
      </c>
      <c r="E1337" s="3" t="s">
        <v>256</v>
      </c>
      <c r="F1337" s="3" t="s">
        <v>9</v>
      </c>
      <c r="G13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37" s="3" t="s">
        <v>257</v>
      </c>
      <c r="I1337" s="3" t="s">
        <v>31</v>
      </c>
      <c r="J1337" s="3" t="s">
        <v>70</v>
      </c>
      <c r="K1337" s="3" t="s">
        <v>46</v>
      </c>
      <c r="L1337" s="3" t="s">
        <v>47</v>
      </c>
      <c r="M1337" s="4">
        <v>2346.41</v>
      </c>
    </row>
    <row r="1338">
      <c r="A1338" s="2">
        <v>45503</v>
      </c>
      <c r="B13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8" s="3" t="str">
        <f>YEAR(KMART_DATA[[#This Row],[Date]])&amp;"-"&amp;TEXT(MONTH(KMART_DATA[[#This Row],[Date]]),"00")</f>
        <v>2024-07</v>
      </c>
      <c r="D1338" s="3" t="s">
        <v>45</v>
      </c>
      <c r="E1338" s="3" t="s">
        <v>246</v>
      </c>
      <c r="F1338" s="3" t="s">
        <v>10</v>
      </c>
      <c r="G13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38" s="3" t="s">
        <v>247</v>
      </c>
      <c r="I1338" s="3" t="s">
        <v>31</v>
      </c>
      <c r="J1338" s="3" t="s">
        <v>37</v>
      </c>
      <c r="K1338" s="3" t="s">
        <v>71</v>
      </c>
      <c r="L1338" s="3" t="s">
        <v>72</v>
      </c>
      <c r="M1338" s="4">
        <v>50.25</v>
      </c>
    </row>
    <row r="1339">
      <c r="A1339" s="2">
        <v>45503</v>
      </c>
      <c r="B13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39" s="3" t="str">
        <f>YEAR(KMART_DATA[[#This Row],[Date]])&amp;"-"&amp;TEXT(MONTH(KMART_DATA[[#This Row],[Date]]),"00")</f>
        <v>2024-07</v>
      </c>
      <c r="D1339" s="3" t="s">
        <v>28</v>
      </c>
      <c r="E1339" s="3" t="s">
        <v>64</v>
      </c>
      <c r="F1339" s="3" t="s">
        <v>11</v>
      </c>
      <c r="G13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39" s="3" t="s">
        <v>65</v>
      </c>
      <c r="I1339" s="3" t="s">
        <v>31</v>
      </c>
      <c r="J1339" s="3" t="s">
        <v>61</v>
      </c>
      <c r="K1339" s="3" t="s">
        <v>71</v>
      </c>
      <c r="L1339" s="3" t="s">
        <v>72</v>
      </c>
      <c r="M1339" s="4">
        <v>136.66</v>
      </c>
    </row>
    <row r="1340">
      <c r="A1340" s="2">
        <v>45503</v>
      </c>
      <c r="B13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0" s="3" t="str">
        <f>YEAR(KMART_DATA[[#This Row],[Date]])&amp;"-"&amp;TEXT(MONTH(KMART_DATA[[#This Row],[Date]]),"00")</f>
        <v>2024-07</v>
      </c>
      <c r="D1340" s="3" t="s">
        <v>45</v>
      </c>
      <c r="E1340" s="3" t="s">
        <v>171</v>
      </c>
      <c r="F1340" s="3" t="s">
        <v>10</v>
      </c>
      <c r="G13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40" s="3" t="s">
        <v>172</v>
      </c>
      <c r="I1340" s="3" t="s">
        <v>31</v>
      </c>
      <c r="J1340" s="3" t="s">
        <v>37</v>
      </c>
      <c r="K1340" s="3" t="s">
        <v>43</v>
      </c>
      <c r="L1340" s="3" t="s">
        <v>44</v>
      </c>
      <c r="M1340" s="4">
        <v>259.87</v>
      </c>
    </row>
    <row r="1341">
      <c r="A1341" s="2">
        <v>45503</v>
      </c>
      <c r="B13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1" s="3" t="str">
        <f>YEAR(KMART_DATA[[#This Row],[Date]])&amp;"-"&amp;TEXT(MONTH(KMART_DATA[[#This Row],[Date]]),"00")</f>
        <v>2024-07</v>
      </c>
      <c r="D1341" s="3" t="s">
        <v>28</v>
      </c>
      <c r="E1341" s="3" t="s">
        <v>221</v>
      </c>
      <c r="F1341" s="3" t="s">
        <v>11</v>
      </c>
      <c r="G13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41" s="3" t="s">
        <v>222</v>
      </c>
      <c r="I1341" s="3" t="s">
        <v>31</v>
      </c>
      <c r="J1341" s="3" t="s">
        <v>56</v>
      </c>
      <c r="K1341" s="3" t="s">
        <v>112</v>
      </c>
      <c r="L1341" s="3" t="s">
        <v>113</v>
      </c>
      <c r="M1341" s="4">
        <v>296.85</v>
      </c>
    </row>
    <row r="1342">
      <c r="A1342" s="2">
        <v>45503</v>
      </c>
      <c r="B13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2" s="3" t="str">
        <f>YEAR(KMART_DATA[[#This Row],[Date]])&amp;"-"&amp;TEXT(MONTH(KMART_DATA[[#This Row],[Date]]),"00")</f>
        <v>2024-07</v>
      </c>
      <c r="D1342" s="3" t="s">
        <v>28</v>
      </c>
      <c r="E1342" s="3" t="s">
        <v>68</v>
      </c>
      <c r="F1342" s="3" t="s">
        <v>9</v>
      </c>
      <c r="G13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42" s="3" t="s">
        <v>69</v>
      </c>
      <c r="I1342" s="3" t="s">
        <v>31</v>
      </c>
      <c r="J1342" s="3" t="s">
        <v>70</v>
      </c>
      <c r="K1342" s="3" t="s">
        <v>43</v>
      </c>
      <c r="L1342" s="3" t="s">
        <v>44</v>
      </c>
      <c r="M1342" s="4">
        <v>360.52</v>
      </c>
    </row>
    <row r="1343">
      <c r="A1343" s="2">
        <v>45503</v>
      </c>
      <c r="B13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3" s="3" t="str">
        <f>YEAR(KMART_DATA[[#This Row],[Date]])&amp;"-"&amp;TEXT(MONTH(KMART_DATA[[#This Row],[Date]]),"00")</f>
        <v>2024-07</v>
      </c>
      <c r="D1343" s="3" t="s">
        <v>28</v>
      </c>
      <c r="E1343" s="3" t="s">
        <v>207</v>
      </c>
      <c r="F1343" s="3" t="s">
        <v>11</v>
      </c>
      <c r="G13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43" s="3" t="s">
        <v>208</v>
      </c>
      <c r="I1343" s="3" t="s">
        <v>31</v>
      </c>
      <c r="J1343" s="3" t="s">
        <v>78</v>
      </c>
      <c r="K1343" s="3" t="s">
        <v>95</v>
      </c>
      <c r="L1343" s="3" t="s">
        <v>96</v>
      </c>
      <c r="M1343" s="4">
        <v>850.73</v>
      </c>
    </row>
    <row r="1344">
      <c r="A1344" s="2">
        <v>45504</v>
      </c>
      <c r="B13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4" s="3" t="str">
        <f>YEAR(KMART_DATA[[#This Row],[Date]])&amp;"-"&amp;TEXT(MONTH(KMART_DATA[[#This Row],[Date]]),"00")</f>
        <v>2024-07</v>
      </c>
      <c r="D1344" s="3" t="s">
        <v>28</v>
      </c>
      <c r="E1344" s="3" t="s">
        <v>207</v>
      </c>
      <c r="F1344" s="3" t="s">
        <v>11</v>
      </c>
      <c r="G13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44" s="3" t="s">
        <v>208</v>
      </c>
      <c r="I1344" s="3" t="s">
        <v>31</v>
      </c>
      <c r="J1344" s="3" t="s">
        <v>78</v>
      </c>
      <c r="K1344" s="3" t="s">
        <v>123</v>
      </c>
      <c r="L1344" s="3" t="s">
        <v>124</v>
      </c>
      <c r="M1344" s="4">
        <v>1.0</v>
      </c>
    </row>
    <row r="1345">
      <c r="A1345" s="2">
        <v>45504</v>
      </c>
      <c r="B13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5" s="3" t="str">
        <f>YEAR(KMART_DATA[[#This Row],[Date]])&amp;"-"&amp;TEXT(MONTH(KMART_DATA[[#This Row],[Date]]),"00")</f>
        <v>2024-07</v>
      </c>
      <c r="D1345" s="3" t="s">
        <v>28</v>
      </c>
      <c r="E1345" s="3" t="s">
        <v>131</v>
      </c>
      <c r="F1345" s="3" t="s">
        <v>11</v>
      </c>
      <c r="G13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45" s="3" t="s">
        <v>132</v>
      </c>
      <c r="I1345" s="3" t="s">
        <v>31</v>
      </c>
      <c r="J1345" s="3" t="s">
        <v>32</v>
      </c>
      <c r="K1345" s="3" t="s">
        <v>33</v>
      </c>
      <c r="L1345" s="3" t="s">
        <v>34</v>
      </c>
      <c r="M1345" s="4">
        <v>4.99</v>
      </c>
    </row>
    <row r="1346">
      <c r="A1346" s="2">
        <v>45504</v>
      </c>
      <c r="B13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6" s="3" t="str">
        <f>YEAR(KMART_DATA[[#This Row],[Date]])&amp;"-"&amp;TEXT(MONTH(KMART_DATA[[#This Row],[Date]]),"00")</f>
        <v>2024-07</v>
      </c>
      <c r="D1346" s="3" t="s">
        <v>28</v>
      </c>
      <c r="E1346" s="3" t="s">
        <v>246</v>
      </c>
      <c r="F1346" s="3" t="s">
        <v>10</v>
      </c>
      <c r="G13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46" s="3" t="s">
        <v>247</v>
      </c>
      <c r="I1346" s="3" t="s">
        <v>31</v>
      </c>
      <c r="J1346" s="3" t="s">
        <v>37</v>
      </c>
      <c r="K1346" s="3" t="s">
        <v>33</v>
      </c>
      <c r="L1346" s="3" t="s">
        <v>34</v>
      </c>
      <c r="M1346" s="4">
        <v>8.23</v>
      </c>
    </row>
    <row r="1347">
      <c r="A1347" s="2">
        <v>45504</v>
      </c>
      <c r="B13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7" s="3" t="str">
        <f>YEAR(KMART_DATA[[#This Row],[Date]])&amp;"-"&amp;TEXT(MONTH(KMART_DATA[[#This Row],[Date]]),"00")</f>
        <v>2024-07</v>
      </c>
      <c r="D1347" s="3" t="s">
        <v>28</v>
      </c>
      <c r="E1347" s="3" t="s">
        <v>215</v>
      </c>
      <c r="F1347" s="3" t="s">
        <v>15</v>
      </c>
      <c r="G13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347" s="3" t="s">
        <v>216</v>
      </c>
      <c r="I1347" s="3" t="s">
        <v>31</v>
      </c>
      <c r="J1347" s="3" t="s">
        <v>53</v>
      </c>
      <c r="K1347" s="3" t="s">
        <v>38</v>
      </c>
      <c r="L1347" s="3" t="s">
        <v>39</v>
      </c>
      <c r="M1347" s="4">
        <v>26.99</v>
      </c>
    </row>
    <row r="1348">
      <c r="A1348" s="2">
        <v>45504</v>
      </c>
      <c r="B13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8" s="3" t="str">
        <f>YEAR(KMART_DATA[[#This Row],[Date]])&amp;"-"&amp;TEXT(MONTH(KMART_DATA[[#This Row],[Date]]),"00")</f>
        <v>2024-07</v>
      </c>
      <c r="D1348" s="3" t="s">
        <v>45</v>
      </c>
      <c r="E1348" s="3" t="s">
        <v>230</v>
      </c>
      <c r="F1348" s="3" t="s">
        <v>13</v>
      </c>
      <c r="G13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348" s="3" t="s">
        <v>231</v>
      </c>
      <c r="I1348" s="3" t="s">
        <v>31</v>
      </c>
      <c r="J1348" s="3" t="s">
        <v>227</v>
      </c>
      <c r="K1348" s="3" t="s">
        <v>95</v>
      </c>
      <c r="L1348" s="3" t="s">
        <v>96</v>
      </c>
      <c r="M1348" s="4">
        <v>232.78</v>
      </c>
    </row>
    <row r="1349">
      <c r="A1349" s="2">
        <v>45504</v>
      </c>
      <c r="B13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49" s="3" t="str">
        <f>YEAR(KMART_DATA[[#This Row],[Date]])&amp;"-"&amp;TEXT(MONTH(KMART_DATA[[#This Row],[Date]]),"00")</f>
        <v>2024-07</v>
      </c>
      <c r="D1349" s="3" t="s">
        <v>45</v>
      </c>
      <c r="E1349" s="3" t="s">
        <v>236</v>
      </c>
      <c r="F1349" s="3" t="s">
        <v>12</v>
      </c>
      <c r="G13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49" s="3" t="s">
        <v>237</v>
      </c>
      <c r="I1349" s="3" t="s">
        <v>31</v>
      </c>
      <c r="J1349" s="3" t="s">
        <v>102</v>
      </c>
      <c r="K1349" s="3" t="s">
        <v>57</v>
      </c>
      <c r="L1349" s="3" t="s">
        <v>58</v>
      </c>
      <c r="M1349" s="4">
        <v>245.59</v>
      </c>
    </row>
    <row r="1350">
      <c r="A1350" s="2">
        <v>45504</v>
      </c>
      <c r="B13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0" s="3" t="str">
        <f>YEAR(KMART_DATA[[#This Row],[Date]])&amp;"-"&amp;TEXT(MONTH(KMART_DATA[[#This Row],[Date]]),"00")</f>
        <v>2024-07</v>
      </c>
      <c r="D1350" s="3" t="s">
        <v>28</v>
      </c>
      <c r="E1350" s="3" t="s">
        <v>232</v>
      </c>
      <c r="F1350" s="3" t="s">
        <v>9</v>
      </c>
      <c r="G13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50" s="3" t="s">
        <v>233</v>
      </c>
      <c r="I1350" s="3" t="s">
        <v>31</v>
      </c>
      <c r="J1350" s="3" t="s">
        <v>75</v>
      </c>
      <c r="K1350" s="3" t="s">
        <v>71</v>
      </c>
      <c r="L1350" s="3" t="s">
        <v>72</v>
      </c>
      <c r="M1350" s="4">
        <v>721.4</v>
      </c>
    </row>
    <row r="1351">
      <c r="A1351" s="2">
        <v>45504</v>
      </c>
      <c r="B13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1" s="3" t="str">
        <f>YEAR(KMART_DATA[[#This Row],[Date]])&amp;"-"&amp;TEXT(MONTH(KMART_DATA[[#This Row],[Date]]),"00")</f>
        <v>2024-07</v>
      </c>
      <c r="D1351" s="3" t="s">
        <v>45</v>
      </c>
      <c r="E1351" s="3" t="s">
        <v>141</v>
      </c>
      <c r="F1351" s="3" t="s">
        <v>9</v>
      </c>
      <c r="G13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51" s="3" t="s">
        <v>142</v>
      </c>
      <c r="I1351" s="3" t="s">
        <v>31</v>
      </c>
      <c r="J1351" s="3" t="s">
        <v>107</v>
      </c>
      <c r="K1351" s="3" t="s">
        <v>95</v>
      </c>
      <c r="L1351" s="3" t="s">
        <v>96</v>
      </c>
      <c r="M1351" s="4">
        <v>773.53</v>
      </c>
    </row>
    <row r="1352">
      <c r="A1352" s="2">
        <v>45504</v>
      </c>
      <c r="B13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2" s="3" t="str">
        <f>YEAR(KMART_DATA[[#This Row],[Date]])&amp;"-"&amp;TEXT(MONTH(KMART_DATA[[#This Row],[Date]]),"00")</f>
        <v>2024-07</v>
      </c>
      <c r="D1352" s="3" t="s">
        <v>28</v>
      </c>
      <c r="E1352" s="3" t="s">
        <v>110</v>
      </c>
      <c r="F1352" s="3" t="s">
        <v>9</v>
      </c>
      <c r="G13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52" s="3" t="s">
        <v>111</v>
      </c>
      <c r="I1352" s="3" t="s">
        <v>31</v>
      </c>
      <c r="J1352" s="3" t="s">
        <v>81</v>
      </c>
      <c r="K1352" s="3" t="s">
        <v>123</v>
      </c>
      <c r="L1352" s="3" t="s">
        <v>124</v>
      </c>
      <c r="M1352" s="4">
        <v>4062.0</v>
      </c>
    </row>
    <row r="1353">
      <c r="A1353" s="2">
        <v>45505</v>
      </c>
      <c r="B13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3" s="3" t="str">
        <f>YEAR(KMART_DATA[[#This Row],[Date]])&amp;"-"&amp;TEXT(MONTH(KMART_DATA[[#This Row],[Date]]),"00")</f>
        <v>2024-08</v>
      </c>
      <c r="D1353" s="3" t="s">
        <v>28</v>
      </c>
      <c r="E1353" s="3" t="s">
        <v>177</v>
      </c>
      <c r="F1353" s="3" t="s">
        <v>12</v>
      </c>
      <c r="G13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53" s="3" t="s">
        <v>178</v>
      </c>
      <c r="I1353" s="3" t="s">
        <v>31</v>
      </c>
      <c r="J1353" s="3" t="s">
        <v>162</v>
      </c>
      <c r="K1353" s="3" t="s">
        <v>43</v>
      </c>
      <c r="L1353" s="3" t="s">
        <v>44</v>
      </c>
      <c r="M1353" s="4">
        <v>2.0</v>
      </c>
    </row>
    <row r="1354">
      <c r="A1354" s="2">
        <v>45505</v>
      </c>
      <c r="B13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4" s="3" t="str">
        <f>YEAR(KMART_DATA[[#This Row],[Date]])&amp;"-"&amp;TEXT(MONTH(KMART_DATA[[#This Row],[Date]]),"00")</f>
        <v>2024-08</v>
      </c>
      <c r="D1354" s="3" t="s">
        <v>45</v>
      </c>
      <c r="E1354" s="3" t="s">
        <v>193</v>
      </c>
      <c r="F1354" s="3" t="s">
        <v>9</v>
      </c>
      <c r="G13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54" s="3" t="s">
        <v>194</v>
      </c>
      <c r="I1354" s="3" t="s">
        <v>31</v>
      </c>
      <c r="J1354" s="3" t="s">
        <v>99</v>
      </c>
      <c r="K1354" s="3" t="s">
        <v>46</v>
      </c>
      <c r="L1354" s="3" t="s">
        <v>47</v>
      </c>
      <c r="M1354" s="4">
        <v>12.99</v>
      </c>
    </row>
    <row r="1355">
      <c r="A1355" s="2">
        <v>45505</v>
      </c>
      <c r="B13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5" s="3" t="str">
        <f>YEAR(KMART_DATA[[#This Row],[Date]])&amp;"-"&amp;TEXT(MONTH(KMART_DATA[[#This Row],[Date]]),"00")</f>
        <v>2024-08</v>
      </c>
      <c r="D1355" s="3" t="s">
        <v>45</v>
      </c>
      <c r="E1355" s="3" t="s">
        <v>103</v>
      </c>
      <c r="F1355" s="3" t="s">
        <v>12</v>
      </c>
      <c r="G13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55" s="3" t="s">
        <v>104</v>
      </c>
      <c r="I1355" s="3" t="s">
        <v>31</v>
      </c>
      <c r="J1355" s="3" t="s">
        <v>102</v>
      </c>
      <c r="K1355" s="3" t="s">
        <v>57</v>
      </c>
      <c r="L1355" s="3" t="s">
        <v>58</v>
      </c>
      <c r="M1355" s="4">
        <v>179.7</v>
      </c>
    </row>
    <row r="1356">
      <c r="A1356" s="2">
        <v>45505</v>
      </c>
      <c r="B13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6" s="3" t="str">
        <f>YEAR(KMART_DATA[[#This Row],[Date]])&amp;"-"&amp;TEXT(MONTH(KMART_DATA[[#This Row],[Date]]),"00")</f>
        <v>2024-08</v>
      </c>
      <c r="D1356" s="3" t="s">
        <v>45</v>
      </c>
      <c r="E1356" s="3" t="s">
        <v>221</v>
      </c>
      <c r="F1356" s="3" t="s">
        <v>11</v>
      </c>
      <c r="G13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56" s="3" t="s">
        <v>222</v>
      </c>
      <c r="I1356" s="3" t="s">
        <v>31</v>
      </c>
      <c r="J1356" s="3" t="s">
        <v>56</v>
      </c>
      <c r="K1356" s="3" t="s">
        <v>38</v>
      </c>
      <c r="L1356" s="3" t="s">
        <v>39</v>
      </c>
      <c r="M1356" s="4">
        <v>301.32</v>
      </c>
    </row>
    <row r="1357">
      <c r="A1357" s="2">
        <v>45506</v>
      </c>
      <c r="B13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7" s="3" t="str">
        <f>YEAR(KMART_DATA[[#This Row],[Date]])&amp;"-"&amp;TEXT(MONTH(KMART_DATA[[#This Row],[Date]]),"00")</f>
        <v>2024-08</v>
      </c>
      <c r="D1357" s="3" t="s">
        <v>28</v>
      </c>
      <c r="E1357" s="3" t="s">
        <v>152</v>
      </c>
      <c r="F1357" s="3" t="s">
        <v>11</v>
      </c>
      <c r="G13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57" s="3" t="s">
        <v>153</v>
      </c>
      <c r="I1357" s="3" t="s">
        <v>31</v>
      </c>
      <c r="J1357" s="3" t="s">
        <v>61</v>
      </c>
      <c r="K1357" s="3" t="s">
        <v>38</v>
      </c>
      <c r="L1357" s="3" t="s">
        <v>39</v>
      </c>
      <c r="M1357" s="4">
        <v>13.0</v>
      </c>
    </row>
    <row r="1358">
      <c r="A1358" s="2">
        <v>45506</v>
      </c>
      <c r="B13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8" s="3" t="str">
        <f>YEAR(KMART_DATA[[#This Row],[Date]])&amp;"-"&amp;TEXT(MONTH(KMART_DATA[[#This Row],[Date]]),"00")</f>
        <v>2024-08</v>
      </c>
      <c r="D1358" s="3" t="s">
        <v>28</v>
      </c>
      <c r="E1358" s="3" t="s">
        <v>203</v>
      </c>
      <c r="F1358" s="3" t="s">
        <v>10</v>
      </c>
      <c r="G13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58" s="3" t="s">
        <v>204</v>
      </c>
      <c r="I1358" s="3" t="s">
        <v>31</v>
      </c>
      <c r="J1358" s="3" t="s">
        <v>89</v>
      </c>
      <c r="K1358" s="3" t="s">
        <v>33</v>
      </c>
      <c r="L1358" s="3" t="s">
        <v>34</v>
      </c>
      <c r="M1358" s="4">
        <v>18.0</v>
      </c>
    </row>
    <row r="1359">
      <c r="A1359" s="2">
        <v>45506</v>
      </c>
      <c r="B13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59" s="3" t="str">
        <f>YEAR(KMART_DATA[[#This Row],[Date]])&amp;"-"&amp;TEXT(MONTH(KMART_DATA[[#This Row],[Date]]),"00")</f>
        <v>2024-08</v>
      </c>
      <c r="D1359" s="3" t="s">
        <v>28</v>
      </c>
      <c r="E1359" s="3" t="s">
        <v>85</v>
      </c>
      <c r="F1359" s="3" t="s">
        <v>9</v>
      </c>
      <c r="G13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59" s="3" t="s">
        <v>86</v>
      </c>
      <c r="I1359" s="3" t="s">
        <v>31</v>
      </c>
      <c r="J1359" s="3" t="s">
        <v>81</v>
      </c>
      <c r="K1359" s="3" t="s">
        <v>123</v>
      </c>
      <c r="L1359" s="3" t="s">
        <v>124</v>
      </c>
      <c r="M1359" s="4">
        <v>48.04</v>
      </c>
    </row>
    <row r="1360">
      <c r="A1360" s="2">
        <v>45506</v>
      </c>
      <c r="B13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0" s="3" t="str">
        <f>YEAR(KMART_DATA[[#This Row],[Date]])&amp;"-"&amp;TEXT(MONTH(KMART_DATA[[#This Row],[Date]]),"00")</f>
        <v>2024-08</v>
      </c>
      <c r="D1360" s="3" t="s">
        <v>28</v>
      </c>
      <c r="E1360" s="3" t="s">
        <v>252</v>
      </c>
      <c r="F1360" s="3" t="s">
        <v>10</v>
      </c>
      <c r="G13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60" s="3" t="s">
        <v>253</v>
      </c>
      <c r="I1360" s="3" t="s">
        <v>31</v>
      </c>
      <c r="J1360" s="3" t="s">
        <v>94</v>
      </c>
      <c r="K1360" s="3" t="s">
        <v>123</v>
      </c>
      <c r="L1360" s="3" t="s">
        <v>124</v>
      </c>
      <c r="M1360" s="4">
        <v>57.94</v>
      </c>
    </row>
    <row r="1361">
      <c r="A1361" s="2">
        <v>45506</v>
      </c>
      <c r="B13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1" s="3" t="str">
        <f>YEAR(KMART_DATA[[#This Row],[Date]])&amp;"-"&amp;TEXT(MONTH(KMART_DATA[[#This Row],[Date]]),"00")</f>
        <v>2024-08</v>
      </c>
      <c r="D1361" s="3" t="s">
        <v>28</v>
      </c>
      <c r="E1361" s="3" t="s">
        <v>150</v>
      </c>
      <c r="F1361" s="3" t="s">
        <v>15</v>
      </c>
      <c r="G13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361" s="3" t="s">
        <v>151</v>
      </c>
      <c r="I1361" s="3" t="s">
        <v>31</v>
      </c>
      <c r="J1361" s="3" t="s">
        <v>53</v>
      </c>
      <c r="K1361" s="3" t="s">
        <v>46</v>
      </c>
      <c r="L1361" s="3" t="s">
        <v>47</v>
      </c>
      <c r="M1361" s="4">
        <v>157.81</v>
      </c>
    </row>
    <row r="1362">
      <c r="A1362" s="2">
        <v>45506</v>
      </c>
      <c r="B13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2" s="3" t="str">
        <f>YEAR(KMART_DATA[[#This Row],[Date]])&amp;"-"&amp;TEXT(MONTH(KMART_DATA[[#This Row],[Date]]),"00")</f>
        <v>2024-08</v>
      </c>
      <c r="D1362" s="3" t="s">
        <v>28</v>
      </c>
      <c r="E1362" s="3" t="s">
        <v>225</v>
      </c>
      <c r="F1362" s="3" t="s">
        <v>13</v>
      </c>
      <c r="G13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362" s="3" t="s">
        <v>226</v>
      </c>
      <c r="I1362" s="3" t="s">
        <v>31</v>
      </c>
      <c r="J1362" s="3" t="s">
        <v>227</v>
      </c>
      <c r="K1362" s="3" t="s">
        <v>43</v>
      </c>
      <c r="L1362" s="3" t="s">
        <v>44</v>
      </c>
      <c r="M1362" s="4">
        <v>266.76</v>
      </c>
    </row>
    <row r="1363">
      <c r="A1363" s="2">
        <v>45506</v>
      </c>
      <c r="B13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3" s="3" t="str">
        <f>YEAR(KMART_DATA[[#This Row],[Date]])&amp;"-"&amp;TEXT(MONTH(KMART_DATA[[#This Row],[Date]]),"00")</f>
        <v>2024-08</v>
      </c>
      <c r="D1363" s="3" t="s">
        <v>28</v>
      </c>
      <c r="E1363" s="3" t="s">
        <v>232</v>
      </c>
      <c r="F1363" s="3" t="s">
        <v>9</v>
      </c>
      <c r="G13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63" s="3" t="s">
        <v>233</v>
      </c>
      <c r="I1363" s="3" t="s">
        <v>31</v>
      </c>
      <c r="J1363" s="3" t="s">
        <v>75</v>
      </c>
      <c r="K1363" s="3" t="s">
        <v>95</v>
      </c>
      <c r="L1363" s="3" t="s">
        <v>96</v>
      </c>
      <c r="M1363" s="4">
        <v>311.4</v>
      </c>
    </row>
    <row r="1364">
      <c r="A1364" s="2">
        <v>45506</v>
      </c>
      <c r="B13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4" s="3" t="str">
        <f>YEAR(KMART_DATA[[#This Row],[Date]])&amp;"-"&amp;TEXT(MONTH(KMART_DATA[[#This Row],[Date]]),"00")</f>
        <v>2024-08</v>
      </c>
      <c r="D1364" s="3" t="s">
        <v>28</v>
      </c>
      <c r="E1364" s="3" t="s">
        <v>169</v>
      </c>
      <c r="F1364" s="3" t="s">
        <v>12</v>
      </c>
      <c r="G13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64" s="3" t="s">
        <v>170</v>
      </c>
      <c r="I1364" s="3" t="s">
        <v>31</v>
      </c>
      <c r="J1364" s="3" t="s">
        <v>102</v>
      </c>
      <c r="K1364" s="3" t="s">
        <v>57</v>
      </c>
      <c r="L1364" s="3" t="s">
        <v>58</v>
      </c>
      <c r="M1364" s="4">
        <v>981.68</v>
      </c>
    </row>
    <row r="1365">
      <c r="A1365" s="2">
        <v>45506</v>
      </c>
      <c r="B13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5" s="3" t="str">
        <f>YEAR(KMART_DATA[[#This Row],[Date]])&amp;"-"&amp;TEXT(MONTH(KMART_DATA[[#This Row],[Date]]),"00")</f>
        <v>2024-08</v>
      </c>
      <c r="D1365" s="3" t="s">
        <v>28</v>
      </c>
      <c r="E1365" s="3" t="s">
        <v>246</v>
      </c>
      <c r="F1365" s="3" t="s">
        <v>10</v>
      </c>
      <c r="G13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65" s="3" t="s">
        <v>247</v>
      </c>
      <c r="I1365" s="3" t="s">
        <v>31</v>
      </c>
      <c r="J1365" s="3" t="s">
        <v>37</v>
      </c>
      <c r="K1365" s="3" t="s">
        <v>33</v>
      </c>
      <c r="L1365" s="3" t="s">
        <v>34</v>
      </c>
      <c r="M1365" s="4">
        <v>1482.99</v>
      </c>
    </row>
    <row r="1366">
      <c r="A1366" s="2">
        <v>45507</v>
      </c>
      <c r="B13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6" s="3" t="str">
        <f>YEAR(KMART_DATA[[#This Row],[Date]])&amp;"-"&amp;TEXT(MONTH(KMART_DATA[[#This Row],[Date]]),"00")</f>
        <v>2024-08</v>
      </c>
      <c r="D1366" s="3" t="s">
        <v>28</v>
      </c>
      <c r="E1366" s="3" t="s">
        <v>183</v>
      </c>
      <c r="F1366" s="3" t="s">
        <v>9</v>
      </c>
      <c r="G13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66" s="3" t="s">
        <v>184</v>
      </c>
      <c r="I1366" s="3" t="s">
        <v>31</v>
      </c>
      <c r="J1366" s="3" t="s">
        <v>70</v>
      </c>
      <c r="K1366" s="3" t="s">
        <v>57</v>
      </c>
      <c r="L1366" s="3" t="s">
        <v>58</v>
      </c>
      <c r="M1366" s="4">
        <v>43.13</v>
      </c>
    </row>
    <row r="1367">
      <c r="A1367" s="2">
        <v>45507</v>
      </c>
      <c r="B13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7" s="3" t="str">
        <f>YEAR(KMART_DATA[[#This Row],[Date]])&amp;"-"&amp;TEXT(MONTH(KMART_DATA[[#This Row],[Date]]),"00")</f>
        <v>2024-08</v>
      </c>
      <c r="D1367" s="3" t="s">
        <v>28</v>
      </c>
      <c r="E1367" s="3" t="s">
        <v>244</v>
      </c>
      <c r="F1367" s="3" t="s">
        <v>13</v>
      </c>
      <c r="G13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367" s="3" t="s">
        <v>245</v>
      </c>
      <c r="I1367" s="3" t="s">
        <v>31</v>
      </c>
      <c r="J1367" s="3" t="s">
        <v>42</v>
      </c>
      <c r="K1367" s="3" t="s">
        <v>43</v>
      </c>
      <c r="L1367" s="3" t="s">
        <v>44</v>
      </c>
      <c r="M1367" s="4">
        <v>73.5</v>
      </c>
    </row>
    <row r="1368">
      <c r="A1368" s="2">
        <v>45507</v>
      </c>
      <c r="B13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8" s="3" t="str">
        <f>YEAR(KMART_DATA[[#This Row],[Date]])&amp;"-"&amp;TEXT(MONTH(KMART_DATA[[#This Row],[Date]]),"00")</f>
        <v>2024-08</v>
      </c>
      <c r="D1368" s="3" t="s">
        <v>28</v>
      </c>
      <c r="E1368" s="3" t="s">
        <v>100</v>
      </c>
      <c r="F1368" s="3" t="s">
        <v>12</v>
      </c>
      <c r="G13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68" s="3" t="s">
        <v>101</v>
      </c>
      <c r="I1368" s="3" t="s">
        <v>31</v>
      </c>
      <c r="J1368" s="3" t="s">
        <v>102</v>
      </c>
      <c r="K1368" s="3" t="s">
        <v>46</v>
      </c>
      <c r="L1368" s="3" t="s">
        <v>47</v>
      </c>
      <c r="M1368" s="4">
        <v>90.93</v>
      </c>
    </row>
    <row r="1369">
      <c r="A1369" s="2">
        <v>45507</v>
      </c>
      <c r="B13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69" s="3" t="str">
        <f>YEAR(KMART_DATA[[#This Row],[Date]])&amp;"-"&amp;TEXT(MONTH(KMART_DATA[[#This Row],[Date]]),"00")</f>
        <v>2024-08</v>
      </c>
      <c r="D1369" s="3" t="s">
        <v>28</v>
      </c>
      <c r="E1369" s="3" t="s">
        <v>121</v>
      </c>
      <c r="F1369" s="3" t="s">
        <v>11</v>
      </c>
      <c r="G13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69" s="3" t="s">
        <v>122</v>
      </c>
      <c r="I1369" s="3" t="s">
        <v>31</v>
      </c>
      <c r="J1369" s="3" t="s">
        <v>84</v>
      </c>
      <c r="K1369" s="3" t="s">
        <v>46</v>
      </c>
      <c r="L1369" s="3" t="s">
        <v>47</v>
      </c>
      <c r="M1369" s="4">
        <v>167.89</v>
      </c>
    </row>
    <row r="1370">
      <c r="A1370" s="2">
        <v>45507</v>
      </c>
      <c r="B13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0" s="3" t="str">
        <f>YEAR(KMART_DATA[[#This Row],[Date]])&amp;"-"&amp;TEXT(MONTH(KMART_DATA[[#This Row],[Date]]),"00")</f>
        <v>2024-08</v>
      </c>
      <c r="D1370" s="3" t="s">
        <v>45</v>
      </c>
      <c r="E1370" s="3" t="s">
        <v>163</v>
      </c>
      <c r="F1370" s="3" t="s">
        <v>9</v>
      </c>
      <c r="G13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70" s="3" t="s">
        <v>164</v>
      </c>
      <c r="I1370" s="3" t="s">
        <v>31</v>
      </c>
      <c r="J1370" s="3" t="s">
        <v>81</v>
      </c>
      <c r="K1370" s="3" t="s">
        <v>95</v>
      </c>
      <c r="L1370" s="3" t="s">
        <v>96</v>
      </c>
      <c r="M1370" s="4">
        <v>203.66</v>
      </c>
    </row>
    <row r="1371">
      <c r="A1371" s="2">
        <v>45507</v>
      </c>
      <c r="B13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1" s="3" t="str">
        <f>YEAR(KMART_DATA[[#This Row],[Date]])&amp;"-"&amp;TEXT(MONTH(KMART_DATA[[#This Row],[Date]]),"00")</f>
        <v>2024-08</v>
      </c>
      <c r="D1371" s="3" t="s">
        <v>28</v>
      </c>
      <c r="E1371" s="3" t="s">
        <v>260</v>
      </c>
      <c r="F1371" s="3" t="s">
        <v>10</v>
      </c>
      <c r="G13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71" s="3" t="s">
        <v>261</v>
      </c>
      <c r="I1371" s="3" t="s">
        <v>31</v>
      </c>
      <c r="J1371" s="3" t="s">
        <v>89</v>
      </c>
      <c r="K1371" s="3" t="s">
        <v>123</v>
      </c>
      <c r="L1371" s="3" t="s">
        <v>124</v>
      </c>
      <c r="M1371" s="4">
        <v>341.86</v>
      </c>
    </row>
    <row r="1372">
      <c r="A1372" s="2">
        <v>45507</v>
      </c>
      <c r="B13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2" s="3" t="str">
        <f>YEAR(KMART_DATA[[#This Row],[Date]])&amp;"-"&amp;TEXT(MONTH(KMART_DATA[[#This Row],[Date]]),"00")</f>
        <v>2024-08</v>
      </c>
      <c r="D1372" s="3" t="s">
        <v>28</v>
      </c>
      <c r="E1372" s="3" t="s">
        <v>135</v>
      </c>
      <c r="F1372" s="3" t="s">
        <v>16</v>
      </c>
      <c r="G13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372" s="3" t="s">
        <v>136</v>
      </c>
      <c r="I1372" s="3" t="s">
        <v>31</v>
      </c>
      <c r="J1372" s="3" t="s">
        <v>107</v>
      </c>
      <c r="K1372" s="3" t="s">
        <v>43</v>
      </c>
      <c r="L1372" s="3" t="s">
        <v>44</v>
      </c>
      <c r="M1372" s="4">
        <v>357.79</v>
      </c>
    </row>
    <row r="1373">
      <c r="A1373" s="2">
        <v>45508</v>
      </c>
      <c r="B13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3" s="3" t="str">
        <f>YEAR(KMART_DATA[[#This Row],[Date]])&amp;"-"&amp;TEXT(MONTH(KMART_DATA[[#This Row],[Date]]),"00")</f>
        <v>2024-08</v>
      </c>
      <c r="D1373" s="3" t="s">
        <v>28</v>
      </c>
      <c r="E1373" s="3" t="s">
        <v>143</v>
      </c>
      <c r="F1373" s="3" t="s">
        <v>14</v>
      </c>
      <c r="G13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373" s="3" t="s">
        <v>144</v>
      </c>
      <c r="I1373" s="3" t="s">
        <v>31</v>
      </c>
      <c r="J1373" s="3" t="s">
        <v>145</v>
      </c>
      <c r="K1373" s="3" t="s">
        <v>43</v>
      </c>
      <c r="L1373" s="3" t="s">
        <v>44</v>
      </c>
      <c r="M1373" s="4">
        <v>3.0</v>
      </c>
    </row>
    <row r="1374">
      <c r="A1374" s="2">
        <v>45508</v>
      </c>
      <c r="B13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4" s="3" t="str">
        <f>YEAR(KMART_DATA[[#This Row],[Date]])&amp;"-"&amp;TEXT(MONTH(KMART_DATA[[#This Row],[Date]]),"00")</f>
        <v>2024-08</v>
      </c>
      <c r="D1374" s="3" t="s">
        <v>28</v>
      </c>
      <c r="E1374" s="3" t="s">
        <v>169</v>
      </c>
      <c r="F1374" s="3" t="s">
        <v>12</v>
      </c>
      <c r="G13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74" s="3" t="s">
        <v>170</v>
      </c>
      <c r="I1374" s="3" t="s">
        <v>31</v>
      </c>
      <c r="J1374" s="3" t="s">
        <v>102</v>
      </c>
      <c r="K1374" s="3" t="s">
        <v>33</v>
      </c>
      <c r="L1374" s="3" t="s">
        <v>34</v>
      </c>
      <c r="M1374" s="4">
        <v>7.98</v>
      </c>
    </row>
    <row r="1375">
      <c r="A1375" s="2">
        <v>45508</v>
      </c>
      <c r="B13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5" s="3" t="str">
        <f>YEAR(KMART_DATA[[#This Row],[Date]])&amp;"-"&amp;TEXT(MONTH(KMART_DATA[[#This Row],[Date]]),"00")</f>
        <v>2024-08</v>
      </c>
      <c r="D1375" s="3" t="s">
        <v>28</v>
      </c>
      <c r="E1375" s="3" t="s">
        <v>92</v>
      </c>
      <c r="F1375" s="3" t="s">
        <v>10</v>
      </c>
      <c r="G13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75" s="3" t="s">
        <v>93</v>
      </c>
      <c r="I1375" s="3" t="s">
        <v>31</v>
      </c>
      <c r="J1375" s="3" t="s">
        <v>94</v>
      </c>
      <c r="K1375" s="3" t="s">
        <v>112</v>
      </c>
      <c r="L1375" s="3" t="s">
        <v>113</v>
      </c>
      <c r="M1375" s="4">
        <v>18.58</v>
      </c>
    </row>
    <row r="1376">
      <c r="A1376" s="2">
        <v>45508</v>
      </c>
      <c r="B13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6" s="3" t="str">
        <f>YEAR(KMART_DATA[[#This Row],[Date]])&amp;"-"&amp;TEXT(MONTH(KMART_DATA[[#This Row],[Date]]),"00")</f>
        <v>2024-08</v>
      </c>
      <c r="D1376" s="3" t="s">
        <v>45</v>
      </c>
      <c r="E1376" s="3" t="s">
        <v>167</v>
      </c>
      <c r="F1376" s="3" t="s">
        <v>12</v>
      </c>
      <c r="G13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76" s="3" t="s">
        <v>168</v>
      </c>
      <c r="I1376" s="3" t="s">
        <v>31</v>
      </c>
      <c r="J1376" s="3" t="s">
        <v>102</v>
      </c>
      <c r="K1376" s="3" t="s">
        <v>123</v>
      </c>
      <c r="L1376" s="3" t="s">
        <v>124</v>
      </c>
      <c r="M1376" s="4">
        <v>39.48</v>
      </c>
    </row>
    <row r="1377">
      <c r="A1377" s="2">
        <v>45508</v>
      </c>
      <c r="B13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7" s="3" t="str">
        <f>YEAR(KMART_DATA[[#This Row],[Date]])&amp;"-"&amp;TEXT(MONTH(KMART_DATA[[#This Row],[Date]]),"00")</f>
        <v>2024-08</v>
      </c>
      <c r="D1377" s="3" t="s">
        <v>28</v>
      </c>
      <c r="E1377" s="3" t="s">
        <v>179</v>
      </c>
      <c r="F1377" s="3" t="s">
        <v>9</v>
      </c>
      <c r="G13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77" s="3" t="s">
        <v>180</v>
      </c>
      <c r="I1377" s="3" t="s">
        <v>31</v>
      </c>
      <c r="J1377" s="3" t="s">
        <v>99</v>
      </c>
      <c r="K1377" s="3" t="s">
        <v>95</v>
      </c>
      <c r="L1377" s="3" t="s">
        <v>96</v>
      </c>
      <c r="M1377" s="4">
        <v>480.2</v>
      </c>
    </row>
    <row r="1378">
      <c r="A1378" s="2">
        <v>45508</v>
      </c>
      <c r="B13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8" s="3" t="str">
        <f>YEAR(KMART_DATA[[#This Row],[Date]])&amp;"-"&amp;TEXT(MONTH(KMART_DATA[[#This Row],[Date]]),"00")</f>
        <v>2024-08</v>
      </c>
      <c r="D1378" s="3" t="s">
        <v>28</v>
      </c>
      <c r="E1378" s="3" t="s">
        <v>264</v>
      </c>
      <c r="F1378" s="3" t="s">
        <v>13</v>
      </c>
      <c r="G13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378" s="3" t="s">
        <v>265</v>
      </c>
      <c r="I1378" s="3" t="s">
        <v>31</v>
      </c>
      <c r="J1378" s="3" t="s">
        <v>42</v>
      </c>
      <c r="K1378" s="3" t="s">
        <v>57</v>
      </c>
      <c r="L1378" s="3" t="s">
        <v>58</v>
      </c>
      <c r="M1378" s="4">
        <v>700.16</v>
      </c>
    </row>
    <row r="1379">
      <c r="A1379" s="2">
        <v>45508</v>
      </c>
      <c r="B13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79" s="3" t="str">
        <f>YEAR(KMART_DATA[[#This Row],[Date]])&amp;"-"&amp;TEXT(MONTH(KMART_DATA[[#This Row],[Date]]),"00")</f>
        <v>2024-08</v>
      </c>
      <c r="D1379" s="3" t="s">
        <v>45</v>
      </c>
      <c r="E1379" s="3" t="s">
        <v>163</v>
      </c>
      <c r="F1379" s="3" t="s">
        <v>9</v>
      </c>
      <c r="G13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79" s="3" t="s">
        <v>164</v>
      </c>
      <c r="I1379" s="3" t="s">
        <v>31</v>
      </c>
      <c r="J1379" s="3" t="s">
        <v>81</v>
      </c>
      <c r="K1379" s="3" t="s">
        <v>123</v>
      </c>
      <c r="L1379" s="3" t="s">
        <v>124</v>
      </c>
      <c r="M1379" s="4">
        <v>799.67</v>
      </c>
    </row>
    <row r="1380">
      <c r="A1380" s="2">
        <v>45508</v>
      </c>
      <c r="B13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0" s="3" t="str">
        <f>YEAR(KMART_DATA[[#This Row],[Date]])&amp;"-"&amp;TEXT(MONTH(KMART_DATA[[#This Row],[Date]]),"00")</f>
        <v>2024-08</v>
      </c>
      <c r="D1380" s="3" t="s">
        <v>28</v>
      </c>
      <c r="E1380" s="3" t="s">
        <v>59</v>
      </c>
      <c r="F1380" s="3" t="s">
        <v>11</v>
      </c>
      <c r="G13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80" s="3" t="s">
        <v>60</v>
      </c>
      <c r="I1380" s="3" t="s">
        <v>31</v>
      </c>
      <c r="J1380" s="3" t="s">
        <v>61</v>
      </c>
      <c r="K1380" s="3" t="s">
        <v>66</v>
      </c>
      <c r="L1380" s="3" t="s">
        <v>67</v>
      </c>
      <c r="M1380" s="4">
        <v>1550.33</v>
      </c>
    </row>
    <row r="1381">
      <c r="A1381" s="2">
        <v>45508</v>
      </c>
      <c r="B13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1" s="3" t="str">
        <f>YEAR(KMART_DATA[[#This Row],[Date]])&amp;"-"&amp;TEXT(MONTH(KMART_DATA[[#This Row],[Date]]),"00")</f>
        <v>2024-08</v>
      </c>
      <c r="D1381" s="3" t="s">
        <v>28</v>
      </c>
      <c r="E1381" s="3" t="s">
        <v>114</v>
      </c>
      <c r="F1381" s="3" t="s">
        <v>9</v>
      </c>
      <c r="G13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81" s="3" t="s">
        <v>115</v>
      </c>
      <c r="I1381" s="3" t="s">
        <v>31</v>
      </c>
      <c r="J1381" s="3" t="s">
        <v>99</v>
      </c>
      <c r="K1381" s="3" t="s">
        <v>95</v>
      </c>
      <c r="L1381" s="3" t="s">
        <v>96</v>
      </c>
      <c r="M1381" s="4">
        <v>6526.58</v>
      </c>
    </row>
    <row r="1382">
      <c r="A1382" s="2">
        <v>45509</v>
      </c>
      <c r="B13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2" s="3" t="str">
        <f>YEAR(KMART_DATA[[#This Row],[Date]])&amp;"-"&amp;TEXT(MONTH(KMART_DATA[[#This Row],[Date]]),"00")</f>
        <v>2024-08</v>
      </c>
      <c r="D1382" s="3" t="s">
        <v>28</v>
      </c>
      <c r="E1382" s="3" t="s">
        <v>125</v>
      </c>
      <c r="F1382" s="3" t="s">
        <v>10</v>
      </c>
      <c r="G13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82" s="3" t="s">
        <v>126</v>
      </c>
      <c r="I1382" s="3" t="s">
        <v>31</v>
      </c>
      <c r="J1382" s="3" t="s">
        <v>94</v>
      </c>
      <c r="K1382" s="3" t="s">
        <v>43</v>
      </c>
      <c r="L1382" s="3" t="s">
        <v>44</v>
      </c>
      <c r="M1382" s="4">
        <v>9.0</v>
      </c>
    </row>
    <row r="1383">
      <c r="A1383" s="2">
        <v>45509</v>
      </c>
      <c r="B13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3" s="3" t="str">
        <f>YEAR(KMART_DATA[[#This Row],[Date]])&amp;"-"&amp;TEXT(MONTH(KMART_DATA[[#This Row],[Date]]),"00")</f>
        <v>2024-08</v>
      </c>
      <c r="D1383" s="3" t="s">
        <v>45</v>
      </c>
      <c r="E1383" s="3" t="s">
        <v>183</v>
      </c>
      <c r="F1383" s="3" t="s">
        <v>9</v>
      </c>
      <c r="G13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83" s="3" t="s">
        <v>184</v>
      </c>
      <c r="I1383" s="3" t="s">
        <v>31</v>
      </c>
      <c r="J1383" s="3" t="s">
        <v>70</v>
      </c>
      <c r="K1383" s="3" t="s">
        <v>33</v>
      </c>
      <c r="L1383" s="3" t="s">
        <v>34</v>
      </c>
      <c r="M1383" s="4">
        <v>56.81</v>
      </c>
    </row>
    <row r="1384">
      <c r="A1384" s="2">
        <v>45509</v>
      </c>
      <c r="B13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4" s="3" t="str">
        <f>YEAR(KMART_DATA[[#This Row],[Date]])&amp;"-"&amp;TEXT(MONTH(KMART_DATA[[#This Row],[Date]]),"00")</f>
        <v>2024-08</v>
      </c>
      <c r="D1384" s="3" t="s">
        <v>28</v>
      </c>
      <c r="E1384" s="3" t="s">
        <v>127</v>
      </c>
      <c r="F1384" s="3" t="s">
        <v>11</v>
      </c>
      <c r="G13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84" s="3" t="s">
        <v>128</v>
      </c>
      <c r="I1384" s="3" t="s">
        <v>31</v>
      </c>
      <c r="J1384" s="3" t="s">
        <v>78</v>
      </c>
      <c r="K1384" s="3" t="s">
        <v>38</v>
      </c>
      <c r="L1384" s="3" t="s">
        <v>39</v>
      </c>
      <c r="M1384" s="4">
        <v>123.31</v>
      </c>
    </row>
    <row r="1385">
      <c r="A1385" s="2">
        <v>45509</v>
      </c>
      <c r="B13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5" s="3" t="str">
        <f>YEAR(KMART_DATA[[#This Row],[Date]])&amp;"-"&amp;TEXT(MONTH(KMART_DATA[[#This Row],[Date]]),"00")</f>
        <v>2024-08</v>
      </c>
      <c r="D1385" s="3" t="s">
        <v>45</v>
      </c>
      <c r="E1385" s="3" t="s">
        <v>228</v>
      </c>
      <c r="F1385" s="3" t="s">
        <v>11</v>
      </c>
      <c r="G13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85" s="3" t="s">
        <v>229</v>
      </c>
      <c r="I1385" s="3" t="s">
        <v>31</v>
      </c>
      <c r="J1385" s="3" t="s">
        <v>32</v>
      </c>
      <c r="K1385" s="3" t="s">
        <v>57</v>
      </c>
      <c r="L1385" s="3" t="s">
        <v>58</v>
      </c>
      <c r="M1385" s="4">
        <v>239.94</v>
      </c>
    </row>
    <row r="1386">
      <c r="A1386" s="2">
        <v>45509</v>
      </c>
      <c r="B13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6" s="3" t="str">
        <f>YEAR(KMART_DATA[[#This Row],[Date]])&amp;"-"&amp;TEXT(MONTH(KMART_DATA[[#This Row],[Date]]),"00")</f>
        <v>2024-08</v>
      </c>
      <c r="D1386" s="3" t="s">
        <v>28</v>
      </c>
      <c r="E1386" s="3" t="s">
        <v>193</v>
      </c>
      <c r="F1386" s="3" t="s">
        <v>9</v>
      </c>
      <c r="G13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86" s="3" t="s">
        <v>194</v>
      </c>
      <c r="I1386" s="3" t="s">
        <v>31</v>
      </c>
      <c r="J1386" s="3" t="s">
        <v>99</v>
      </c>
      <c r="K1386" s="3" t="s">
        <v>95</v>
      </c>
      <c r="L1386" s="3" t="s">
        <v>96</v>
      </c>
      <c r="M1386" s="4">
        <v>521.63</v>
      </c>
    </row>
    <row r="1387">
      <c r="A1387" s="2">
        <v>45509</v>
      </c>
      <c r="B13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7" s="3" t="str">
        <f>YEAR(KMART_DATA[[#This Row],[Date]])&amp;"-"&amp;TEXT(MONTH(KMART_DATA[[#This Row],[Date]]),"00")</f>
        <v>2024-08</v>
      </c>
      <c r="D1387" s="3" t="s">
        <v>45</v>
      </c>
      <c r="E1387" s="3" t="s">
        <v>92</v>
      </c>
      <c r="F1387" s="3" t="s">
        <v>10</v>
      </c>
      <c r="G13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87" s="3" t="s">
        <v>93</v>
      </c>
      <c r="I1387" s="3" t="s">
        <v>31</v>
      </c>
      <c r="J1387" s="3" t="s">
        <v>94</v>
      </c>
      <c r="K1387" s="3" t="s">
        <v>57</v>
      </c>
      <c r="L1387" s="3" t="s">
        <v>58</v>
      </c>
      <c r="M1387" s="4">
        <v>918.24</v>
      </c>
    </row>
    <row r="1388">
      <c r="A1388" s="2">
        <v>45510</v>
      </c>
      <c r="B13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8" s="3" t="str">
        <f>YEAR(KMART_DATA[[#This Row],[Date]])&amp;"-"&amp;TEXT(MONTH(KMART_DATA[[#This Row],[Date]]),"00")</f>
        <v>2024-08</v>
      </c>
      <c r="D1388" s="3" t="s">
        <v>28</v>
      </c>
      <c r="E1388" s="3" t="s">
        <v>158</v>
      </c>
      <c r="F1388" s="3" t="s">
        <v>11</v>
      </c>
      <c r="G13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88" s="3" t="s">
        <v>159</v>
      </c>
      <c r="I1388" s="3" t="s">
        <v>31</v>
      </c>
      <c r="J1388" s="3" t="s">
        <v>84</v>
      </c>
      <c r="K1388" s="3" t="s">
        <v>112</v>
      </c>
      <c r="L1388" s="3" t="s">
        <v>113</v>
      </c>
      <c r="M1388" s="4">
        <v>31.96</v>
      </c>
    </row>
    <row r="1389">
      <c r="A1389" s="2">
        <v>45510</v>
      </c>
      <c r="B13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89" s="3" t="str">
        <f>YEAR(KMART_DATA[[#This Row],[Date]])&amp;"-"&amp;TEXT(MONTH(KMART_DATA[[#This Row],[Date]]),"00")</f>
        <v>2024-08</v>
      </c>
      <c r="D1389" s="3" t="s">
        <v>28</v>
      </c>
      <c r="E1389" s="3" t="s">
        <v>189</v>
      </c>
      <c r="F1389" s="3" t="s">
        <v>9</v>
      </c>
      <c r="G13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89" s="3" t="s">
        <v>190</v>
      </c>
      <c r="I1389" s="3" t="s">
        <v>31</v>
      </c>
      <c r="J1389" s="3" t="s">
        <v>81</v>
      </c>
      <c r="K1389" s="3" t="s">
        <v>43</v>
      </c>
      <c r="L1389" s="3" t="s">
        <v>44</v>
      </c>
      <c r="M1389" s="4">
        <v>42.98</v>
      </c>
    </row>
    <row r="1390">
      <c r="A1390" s="2">
        <v>45510</v>
      </c>
      <c r="B13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0" s="3" t="str">
        <f>YEAR(KMART_DATA[[#This Row],[Date]])&amp;"-"&amp;TEXT(MONTH(KMART_DATA[[#This Row],[Date]]),"00")</f>
        <v>2024-08</v>
      </c>
      <c r="D1390" s="3" t="s">
        <v>45</v>
      </c>
      <c r="E1390" s="3" t="s">
        <v>181</v>
      </c>
      <c r="F1390" s="3" t="s">
        <v>11</v>
      </c>
      <c r="G13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90" s="3" t="s">
        <v>182</v>
      </c>
      <c r="I1390" s="3" t="s">
        <v>31</v>
      </c>
      <c r="J1390" s="3" t="s">
        <v>56</v>
      </c>
      <c r="K1390" s="3" t="s">
        <v>46</v>
      </c>
      <c r="L1390" s="3" t="s">
        <v>47</v>
      </c>
      <c r="M1390" s="4">
        <v>47.94</v>
      </c>
    </row>
    <row r="1391">
      <c r="A1391" s="2">
        <v>45510</v>
      </c>
      <c r="B13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1" s="3" t="str">
        <f>YEAR(KMART_DATA[[#This Row],[Date]])&amp;"-"&amp;TEXT(MONTH(KMART_DATA[[#This Row],[Date]]),"00")</f>
        <v>2024-08</v>
      </c>
      <c r="D1391" s="3" t="s">
        <v>28</v>
      </c>
      <c r="E1391" s="3" t="s">
        <v>225</v>
      </c>
      <c r="F1391" s="3" t="s">
        <v>13</v>
      </c>
      <c r="G13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391" s="3" t="s">
        <v>226</v>
      </c>
      <c r="I1391" s="3" t="s">
        <v>31</v>
      </c>
      <c r="J1391" s="3" t="s">
        <v>227</v>
      </c>
      <c r="K1391" s="3" t="s">
        <v>46</v>
      </c>
      <c r="L1391" s="3" t="s">
        <v>47</v>
      </c>
      <c r="M1391" s="4">
        <v>51.96</v>
      </c>
    </row>
    <row r="1392">
      <c r="A1392" s="2">
        <v>45510</v>
      </c>
      <c r="B13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2" s="3" t="str">
        <f>YEAR(KMART_DATA[[#This Row],[Date]])&amp;"-"&amp;TEXT(MONTH(KMART_DATA[[#This Row],[Date]]),"00")</f>
        <v>2024-08</v>
      </c>
      <c r="D1392" s="3" t="s">
        <v>45</v>
      </c>
      <c r="E1392" s="3" t="s">
        <v>85</v>
      </c>
      <c r="F1392" s="3" t="s">
        <v>9</v>
      </c>
      <c r="G13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92" s="3" t="s">
        <v>86</v>
      </c>
      <c r="I1392" s="3" t="s">
        <v>31</v>
      </c>
      <c r="J1392" s="3" t="s">
        <v>81</v>
      </c>
      <c r="K1392" s="3" t="s">
        <v>112</v>
      </c>
      <c r="L1392" s="3" t="s">
        <v>113</v>
      </c>
      <c r="M1392" s="4">
        <v>102.33</v>
      </c>
    </row>
    <row r="1393">
      <c r="A1393" s="2">
        <v>45510</v>
      </c>
      <c r="B13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3" s="3" t="str">
        <f>YEAR(KMART_DATA[[#This Row],[Date]])&amp;"-"&amp;TEXT(MONTH(KMART_DATA[[#This Row],[Date]]),"00")</f>
        <v>2024-08</v>
      </c>
      <c r="D1393" s="3" t="s">
        <v>45</v>
      </c>
      <c r="E1393" s="3" t="s">
        <v>29</v>
      </c>
      <c r="F1393" s="3" t="s">
        <v>11</v>
      </c>
      <c r="G13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93" s="3" t="s">
        <v>30</v>
      </c>
      <c r="I1393" s="3" t="s">
        <v>31</v>
      </c>
      <c r="J1393" s="3" t="s">
        <v>32</v>
      </c>
      <c r="K1393" s="3" t="s">
        <v>112</v>
      </c>
      <c r="L1393" s="3" t="s">
        <v>113</v>
      </c>
      <c r="M1393" s="4">
        <v>188.13</v>
      </c>
    </row>
    <row r="1394">
      <c r="A1394" s="2">
        <v>45510</v>
      </c>
      <c r="B13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4" s="3" t="str">
        <f>YEAR(KMART_DATA[[#This Row],[Date]])&amp;"-"&amp;TEXT(MONTH(KMART_DATA[[#This Row],[Date]]),"00")</f>
        <v>2024-08</v>
      </c>
      <c r="D1394" s="3" t="s">
        <v>28</v>
      </c>
      <c r="E1394" s="3" t="s">
        <v>68</v>
      </c>
      <c r="F1394" s="3" t="s">
        <v>9</v>
      </c>
      <c r="G13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394" s="3" t="s">
        <v>69</v>
      </c>
      <c r="I1394" s="3" t="s">
        <v>31</v>
      </c>
      <c r="J1394" s="3" t="s">
        <v>70</v>
      </c>
      <c r="K1394" s="3" t="s">
        <v>43</v>
      </c>
      <c r="L1394" s="3" t="s">
        <v>44</v>
      </c>
      <c r="M1394" s="4">
        <v>277.03</v>
      </c>
    </row>
    <row r="1395">
      <c r="A1395" s="2">
        <v>45510</v>
      </c>
      <c r="B13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5" s="3" t="str">
        <f>YEAR(KMART_DATA[[#This Row],[Date]])&amp;"-"&amp;TEXT(MONTH(KMART_DATA[[#This Row],[Date]]),"00")</f>
        <v>2024-08</v>
      </c>
      <c r="D1395" s="3" t="s">
        <v>28</v>
      </c>
      <c r="E1395" s="3" t="s">
        <v>181</v>
      </c>
      <c r="F1395" s="3" t="s">
        <v>11</v>
      </c>
      <c r="G13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95" s="3" t="s">
        <v>182</v>
      </c>
      <c r="I1395" s="3" t="s">
        <v>31</v>
      </c>
      <c r="J1395" s="3" t="s">
        <v>56</v>
      </c>
      <c r="K1395" s="3" t="s">
        <v>112</v>
      </c>
      <c r="L1395" s="3" t="s">
        <v>113</v>
      </c>
      <c r="M1395" s="4">
        <v>1245.88</v>
      </c>
    </row>
    <row r="1396">
      <c r="A1396" s="2">
        <v>45510</v>
      </c>
      <c r="B13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6" s="3" t="str">
        <f>YEAR(KMART_DATA[[#This Row],[Date]])&amp;"-"&amp;TEXT(MONTH(KMART_DATA[[#This Row],[Date]]),"00")</f>
        <v>2024-08</v>
      </c>
      <c r="D1396" s="3" t="s">
        <v>45</v>
      </c>
      <c r="E1396" s="3" t="s">
        <v>90</v>
      </c>
      <c r="F1396" s="3" t="s">
        <v>10</v>
      </c>
      <c r="G13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96" s="3" t="s">
        <v>91</v>
      </c>
      <c r="I1396" s="3" t="s">
        <v>31</v>
      </c>
      <c r="J1396" s="3" t="s">
        <v>37</v>
      </c>
      <c r="K1396" s="3" t="s">
        <v>71</v>
      </c>
      <c r="L1396" s="3" t="s">
        <v>72</v>
      </c>
      <c r="M1396" s="4">
        <v>1744.54</v>
      </c>
    </row>
    <row r="1397">
      <c r="A1397" s="2">
        <v>45511</v>
      </c>
      <c r="B13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7" s="3" t="str">
        <f>YEAR(KMART_DATA[[#This Row],[Date]])&amp;"-"&amp;TEXT(MONTH(KMART_DATA[[#This Row],[Date]]),"00")</f>
        <v>2024-08</v>
      </c>
      <c r="D1397" s="3" t="s">
        <v>28</v>
      </c>
      <c r="E1397" s="3" t="s">
        <v>139</v>
      </c>
      <c r="F1397" s="3" t="s">
        <v>10</v>
      </c>
      <c r="G13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397" s="3" t="s">
        <v>140</v>
      </c>
      <c r="I1397" s="3" t="s">
        <v>31</v>
      </c>
      <c r="J1397" s="3" t="s">
        <v>89</v>
      </c>
      <c r="K1397" s="3" t="s">
        <v>112</v>
      </c>
      <c r="L1397" s="3" t="s">
        <v>113</v>
      </c>
      <c r="M1397" s="4">
        <v>13.86</v>
      </c>
    </row>
    <row r="1398">
      <c r="A1398" s="2">
        <v>45511</v>
      </c>
      <c r="B13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8" s="3" t="str">
        <f>YEAR(KMART_DATA[[#This Row],[Date]])&amp;"-"&amp;TEXT(MONTH(KMART_DATA[[#This Row],[Date]]),"00")</f>
        <v>2024-08</v>
      </c>
      <c r="D1398" s="3" t="s">
        <v>45</v>
      </c>
      <c r="E1398" s="3" t="s">
        <v>248</v>
      </c>
      <c r="F1398" s="3" t="s">
        <v>12</v>
      </c>
      <c r="G13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398" s="3" t="s">
        <v>249</v>
      </c>
      <c r="I1398" s="3" t="s">
        <v>31</v>
      </c>
      <c r="J1398" s="3" t="s">
        <v>162</v>
      </c>
      <c r="K1398" s="3" t="s">
        <v>43</v>
      </c>
      <c r="L1398" s="3" t="s">
        <v>44</v>
      </c>
      <c r="M1398" s="4">
        <v>24.42</v>
      </c>
    </row>
    <row r="1399">
      <c r="A1399" s="2">
        <v>45511</v>
      </c>
      <c r="B13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399" s="3" t="str">
        <f>YEAR(KMART_DATA[[#This Row],[Date]])&amp;"-"&amp;TEXT(MONTH(KMART_DATA[[#This Row],[Date]]),"00")</f>
        <v>2024-08</v>
      </c>
      <c r="D1399" s="3" t="s">
        <v>28</v>
      </c>
      <c r="E1399" s="3" t="s">
        <v>82</v>
      </c>
      <c r="F1399" s="3" t="s">
        <v>11</v>
      </c>
      <c r="G13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399" s="3" t="s">
        <v>83</v>
      </c>
      <c r="I1399" s="3" t="s">
        <v>31</v>
      </c>
      <c r="J1399" s="3" t="s">
        <v>84</v>
      </c>
      <c r="K1399" s="3" t="s">
        <v>95</v>
      </c>
      <c r="L1399" s="3" t="s">
        <v>96</v>
      </c>
      <c r="M1399" s="4">
        <v>152.77</v>
      </c>
    </row>
    <row r="1400">
      <c r="A1400" s="2">
        <v>45511</v>
      </c>
      <c r="B14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0" s="3" t="str">
        <f>YEAR(KMART_DATA[[#This Row],[Date]])&amp;"-"&amp;TEXT(MONTH(KMART_DATA[[#This Row],[Date]]),"00")</f>
        <v>2024-08</v>
      </c>
      <c r="D1400" s="3" t="s">
        <v>28</v>
      </c>
      <c r="E1400" s="3" t="s">
        <v>260</v>
      </c>
      <c r="F1400" s="3" t="s">
        <v>10</v>
      </c>
      <c r="G14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00" s="3" t="s">
        <v>261</v>
      </c>
      <c r="I1400" s="3" t="s">
        <v>31</v>
      </c>
      <c r="J1400" s="3" t="s">
        <v>89</v>
      </c>
      <c r="K1400" s="3" t="s">
        <v>71</v>
      </c>
      <c r="L1400" s="3" t="s">
        <v>72</v>
      </c>
      <c r="M1400" s="4">
        <v>306.71</v>
      </c>
    </row>
    <row r="1401">
      <c r="A1401" s="2">
        <v>45511</v>
      </c>
      <c r="B14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1" s="3" t="str">
        <f>YEAR(KMART_DATA[[#This Row],[Date]])&amp;"-"&amp;TEXT(MONTH(KMART_DATA[[#This Row],[Date]]),"00")</f>
        <v>2024-08</v>
      </c>
      <c r="D1401" s="3" t="s">
        <v>28</v>
      </c>
      <c r="E1401" s="3" t="s">
        <v>234</v>
      </c>
      <c r="F1401" s="3" t="s">
        <v>9</v>
      </c>
      <c r="G14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01" s="3" t="s">
        <v>235</v>
      </c>
      <c r="I1401" s="3" t="s">
        <v>31</v>
      </c>
      <c r="J1401" s="3" t="s">
        <v>81</v>
      </c>
      <c r="K1401" s="3" t="s">
        <v>71</v>
      </c>
      <c r="L1401" s="3" t="s">
        <v>72</v>
      </c>
      <c r="M1401" s="4">
        <v>327.77</v>
      </c>
    </row>
    <row r="1402">
      <c r="A1402" s="2">
        <v>45511</v>
      </c>
      <c r="B14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2" s="3" t="str">
        <f>YEAR(KMART_DATA[[#This Row],[Date]])&amp;"-"&amp;TEXT(MONTH(KMART_DATA[[#This Row],[Date]]),"00")</f>
        <v>2024-08</v>
      </c>
      <c r="D1402" s="3" t="s">
        <v>28</v>
      </c>
      <c r="E1402" s="3" t="s">
        <v>262</v>
      </c>
      <c r="F1402" s="3" t="s">
        <v>10</v>
      </c>
      <c r="G14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02" s="3" t="s">
        <v>263</v>
      </c>
      <c r="I1402" s="3" t="s">
        <v>31</v>
      </c>
      <c r="J1402" s="3" t="s">
        <v>120</v>
      </c>
      <c r="K1402" s="3" t="s">
        <v>43</v>
      </c>
      <c r="L1402" s="3" t="s">
        <v>44</v>
      </c>
      <c r="M1402" s="4">
        <v>361.7</v>
      </c>
    </row>
    <row r="1403">
      <c r="A1403" s="2">
        <v>45512</v>
      </c>
      <c r="B14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3" s="3" t="str">
        <f>YEAR(KMART_DATA[[#This Row],[Date]])&amp;"-"&amp;TEXT(MONTH(KMART_DATA[[#This Row],[Date]]),"00")</f>
        <v>2024-08</v>
      </c>
      <c r="D1403" s="3" t="s">
        <v>28</v>
      </c>
      <c r="E1403" s="3" t="s">
        <v>82</v>
      </c>
      <c r="F1403" s="3" t="s">
        <v>11</v>
      </c>
      <c r="G14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03" s="3" t="s">
        <v>83</v>
      </c>
      <c r="I1403" s="3" t="s">
        <v>31</v>
      </c>
      <c r="J1403" s="3" t="s">
        <v>84</v>
      </c>
      <c r="K1403" s="3" t="s">
        <v>43</v>
      </c>
      <c r="L1403" s="3" t="s">
        <v>44</v>
      </c>
      <c r="M1403" s="4">
        <v>6.99</v>
      </c>
    </row>
    <row r="1404">
      <c r="A1404" s="2">
        <v>45512</v>
      </c>
      <c r="B14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4" s="3" t="str">
        <f>YEAR(KMART_DATA[[#This Row],[Date]])&amp;"-"&amp;TEXT(MONTH(KMART_DATA[[#This Row],[Date]]),"00")</f>
        <v>2024-08</v>
      </c>
      <c r="D1404" s="3" t="s">
        <v>45</v>
      </c>
      <c r="E1404" s="3" t="s">
        <v>97</v>
      </c>
      <c r="F1404" s="3" t="s">
        <v>9</v>
      </c>
      <c r="G14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04" s="3" t="s">
        <v>98</v>
      </c>
      <c r="I1404" s="3" t="s">
        <v>31</v>
      </c>
      <c r="J1404" s="3" t="s">
        <v>99</v>
      </c>
      <c r="K1404" s="3" t="s">
        <v>33</v>
      </c>
      <c r="L1404" s="3" t="s">
        <v>34</v>
      </c>
      <c r="M1404" s="4">
        <v>51.0</v>
      </c>
    </row>
    <row r="1405">
      <c r="A1405" s="2">
        <v>45512</v>
      </c>
      <c r="B14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5" s="3" t="str">
        <f>YEAR(KMART_DATA[[#This Row],[Date]])&amp;"-"&amp;TEXT(MONTH(KMART_DATA[[#This Row],[Date]]),"00")</f>
        <v>2024-08</v>
      </c>
      <c r="D1405" s="3" t="s">
        <v>28</v>
      </c>
      <c r="E1405" s="3" t="s">
        <v>215</v>
      </c>
      <c r="F1405" s="3" t="s">
        <v>15</v>
      </c>
      <c r="G14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405" s="3" t="s">
        <v>216</v>
      </c>
      <c r="I1405" s="3" t="s">
        <v>31</v>
      </c>
      <c r="J1405" s="3" t="s">
        <v>53</v>
      </c>
      <c r="K1405" s="3" t="s">
        <v>46</v>
      </c>
      <c r="L1405" s="3" t="s">
        <v>47</v>
      </c>
      <c r="M1405" s="4">
        <v>239.83</v>
      </c>
    </row>
    <row r="1406">
      <c r="A1406" s="2">
        <v>45512</v>
      </c>
      <c r="B14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6" s="3" t="str">
        <f>YEAR(KMART_DATA[[#This Row],[Date]])&amp;"-"&amp;TEXT(MONTH(KMART_DATA[[#This Row],[Date]]),"00")</f>
        <v>2024-08</v>
      </c>
      <c r="D1406" s="3" t="s">
        <v>28</v>
      </c>
      <c r="E1406" s="3" t="s">
        <v>97</v>
      </c>
      <c r="F1406" s="3" t="s">
        <v>9</v>
      </c>
      <c r="G14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06" s="3" t="s">
        <v>98</v>
      </c>
      <c r="I1406" s="3" t="s">
        <v>31</v>
      </c>
      <c r="J1406" s="3" t="s">
        <v>99</v>
      </c>
      <c r="K1406" s="3" t="s">
        <v>112</v>
      </c>
      <c r="L1406" s="3" t="s">
        <v>113</v>
      </c>
      <c r="M1406" s="4">
        <v>334.33</v>
      </c>
    </row>
    <row r="1407">
      <c r="A1407" s="2">
        <v>45512</v>
      </c>
      <c r="B14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7" s="3" t="str">
        <f>YEAR(KMART_DATA[[#This Row],[Date]])&amp;"-"&amp;TEXT(MONTH(KMART_DATA[[#This Row],[Date]]),"00")</f>
        <v>2024-08</v>
      </c>
      <c r="D1407" s="3" t="s">
        <v>28</v>
      </c>
      <c r="E1407" s="3" t="s">
        <v>118</v>
      </c>
      <c r="F1407" s="3" t="s">
        <v>10</v>
      </c>
      <c r="G14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07" s="3" t="s">
        <v>119</v>
      </c>
      <c r="I1407" s="3" t="s">
        <v>31</v>
      </c>
      <c r="J1407" s="3" t="s">
        <v>120</v>
      </c>
      <c r="K1407" s="3" t="s">
        <v>71</v>
      </c>
      <c r="L1407" s="3" t="s">
        <v>72</v>
      </c>
      <c r="M1407" s="4">
        <v>743.15</v>
      </c>
    </row>
    <row r="1408">
      <c r="A1408" s="2">
        <v>45513</v>
      </c>
      <c r="B14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8" s="3" t="str">
        <f>YEAR(KMART_DATA[[#This Row],[Date]])&amp;"-"&amp;TEXT(MONTH(KMART_DATA[[#This Row],[Date]]),"00")</f>
        <v>2024-08</v>
      </c>
      <c r="D1408" s="3" t="s">
        <v>45</v>
      </c>
      <c r="E1408" s="3" t="s">
        <v>185</v>
      </c>
      <c r="F1408" s="3" t="s">
        <v>12</v>
      </c>
      <c r="G14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08" s="3" t="s">
        <v>186</v>
      </c>
      <c r="I1408" s="3" t="s">
        <v>31</v>
      </c>
      <c r="J1408" s="3" t="s">
        <v>162</v>
      </c>
      <c r="K1408" s="3" t="s">
        <v>33</v>
      </c>
      <c r="L1408" s="3" t="s">
        <v>34</v>
      </c>
      <c r="M1408" s="4">
        <v>80.92</v>
      </c>
    </row>
    <row r="1409">
      <c r="A1409" s="2">
        <v>45513</v>
      </c>
      <c r="B14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09" s="3" t="str">
        <f>YEAR(KMART_DATA[[#This Row],[Date]])&amp;"-"&amp;TEXT(MONTH(KMART_DATA[[#This Row],[Date]]),"00")</f>
        <v>2024-08</v>
      </c>
      <c r="D1409" s="3" t="s">
        <v>28</v>
      </c>
      <c r="E1409" s="3" t="s">
        <v>211</v>
      </c>
      <c r="F1409" s="3" t="s">
        <v>9</v>
      </c>
      <c r="G14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09" s="3" t="s">
        <v>212</v>
      </c>
      <c r="I1409" s="3" t="s">
        <v>31</v>
      </c>
      <c r="J1409" s="3" t="s">
        <v>75</v>
      </c>
      <c r="K1409" s="3" t="s">
        <v>95</v>
      </c>
      <c r="L1409" s="3" t="s">
        <v>96</v>
      </c>
      <c r="M1409" s="4">
        <v>4251.05</v>
      </c>
    </row>
    <row r="1410">
      <c r="A1410" s="2">
        <v>45513</v>
      </c>
      <c r="B14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0" s="3" t="str">
        <f>YEAR(KMART_DATA[[#This Row],[Date]])&amp;"-"&amp;TEXT(MONTH(KMART_DATA[[#This Row],[Date]]),"00")</f>
        <v>2024-08</v>
      </c>
      <c r="D1410" s="3" t="s">
        <v>28</v>
      </c>
      <c r="E1410" s="3" t="s">
        <v>108</v>
      </c>
      <c r="F1410" s="3" t="s">
        <v>9</v>
      </c>
      <c r="G14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10" s="3" t="s">
        <v>109</v>
      </c>
      <c r="I1410" s="3" t="s">
        <v>31</v>
      </c>
      <c r="J1410" s="3" t="s">
        <v>75</v>
      </c>
      <c r="K1410" s="3" t="s">
        <v>123</v>
      </c>
      <c r="L1410" s="3" t="s">
        <v>124</v>
      </c>
      <c r="M1410" s="4">
        <v>5754.13</v>
      </c>
    </row>
    <row r="1411">
      <c r="A1411" s="2">
        <v>45514</v>
      </c>
      <c r="B14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1" s="3" t="str">
        <f>YEAR(KMART_DATA[[#This Row],[Date]])&amp;"-"&amp;TEXT(MONTH(KMART_DATA[[#This Row],[Date]]),"00")</f>
        <v>2024-08</v>
      </c>
      <c r="D1411" s="3" t="s">
        <v>28</v>
      </c>
      <c r="E1411" s="3" t="s">
        <v>154</v>
      </c>
      <c r="F1411" s="3" t="s">
        <v>11</v>
      </c>
      <c r="G14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11" s="3" t="s">
        <v>155</v>
      </c>
      <c r="I1411" s="3" t="s">
        <v>31</v>
      </c>
      <c r="J1411" s="3" t="s">
        <v>84</v>
      </c>
      <c r="K1411" s="3" t="s">
        <v>38</v>
      </c>
      <c r="L1411" s="3" t="s">
        <v>39</v>
      </c>
      <c r="M1411" s="4">
        <v>4.56</v>
      </c>
    </row>
    <row r="1412">
      <c r="A1412" s="2">
        <v>45514</v>
      </c>
      <c r="B14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2" s="3" t="str">
        <f>YEAR(KMART_DATA[[#This Row],[Date]])&amp;"-"&amp;TEXT(MONTH(KMART_DATA[[#This Row],[Date]]),"00")</f>
        <v>2024-08</v>
      </c>
      <c r="D1412" s="3" t="s">
        <v>45</v>
      </c>
      <c r="E1412" s="3" t="s">
        <v>246</v>
      </c>
      <c r="F1412" s="3" t="s">
        <v>10</v>
      </c>
      <c r="G14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12" s="3" t="s">
        <v>247</v>
      </c>
      <c r="I1412" s="3" t="s">
        <v>31</v>
      </c>
      <c r="J1412" s="3" t="s">
        <v>37</v>
      </c>
      <c r="K1412" s="3" t="s">
        <v>33</v>
      </c>
      <c r="L1412" s="3" t="s">
        <v>34</v>
      </c>
      <c r="M1412" s="4">
        <v>23.96</v>
      </c>
    </row>
    <row r="1413">
      <c r="A1413" s="2">
        <v>45514</v>
      </c>
      <c r="B14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3" s="3" t="str">
        <f>YEAR(KMART_DATA[[#This Row],[Date]])&amp;"-"&amp;TEXT(MONTH(KMART_DATA[[#This Row],[Date]]),"00")</f>
        <v>2024-08</v>
      </c>
      <c r="D1413" s="3" t="s">
        <v>28</v>
      </c>
      <c r="E1413" s="3" t="s">
        <v>205</v>
      </c>
      <c r="F1413" s="3" t="s">
        <v>10</v>
      </c>
      <c r="G14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13" s="3" t="s">
        <v>206</v>
      </c>
      <c r="I1413" s="3" t="s">
        <v>31</v>
      </c>
      <c r="J1413" s="3" t="s">
        <v>37</v>
      </c>
      <c r="K1413" s="3" t="s">
        <v>46</v>
      </c>
      <c r="L1413" s="3" t="s">
        <v>47</v>
      </c>
      <c r="M1413" s="4">
        <v>24.99</v>
      </c>
    </row>
    <row r="1414">
      <c r="A1414" s="2">
        <v>45514</v>
      </c>
      <c r="B14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4" s="3" t="str">
        <f>YEAR(KMART_DATA[[#This Row],[Date]])&amp;"-"&amp;TEXT(MONTH(KMART_DATA[[#This Row],[Date]]),"00")</f>
        <v>2024-08</v>
      </c>
      <c r="D1414" s="3" t="s">
        <v>45</v>
      </c>
      <c r="E1414" s="3" t="s">
        <v>201</v>
      </c>
      <c r="F1414" s="3" t="s">
        <v>10</v>
      </c>
      <c r="G14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14" s="3" t="s">
        <v>202</v>
      </c>
      <c r="I1414" s="3" t="s">
        <v>31</v>
      </c>
      <c r="J1414" s="3" t="s">
        <v>89</v>
      </c>
      <c r="K1414" s="3" t="s">
        <v>123</v>
      </c>
      <c r="L1414" s="3" t="s">
        <v>124</v>
      </c>
      <c r="M1414" s="4">
        <v>93.85</v>
      </c>
    </row>
    <row r="1415">
      <c r="A1415" s="2">
        <v>45514</v>
      </c>
      <c r="B14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5" s="3" t="str">
        <f>YEAR(KMART_DATA[[#This Row],[Date]])&amp;"-"&amp;TEXT(MONTH(KMART_DATA[[#This Row],[Date]]),"00")</f>
        <v>2024-08</v>
      </c>
      <c r="D1415" s="3" t="s">
        <v>28</v>
      </c>
      <c r="E1415" s="3" t="s">
        <v>114</v>
      </c>
      <c r="F1415" s="3" t="s">
        <v>9</v>
      </c>
      <c r="G14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15" s="3" t="s">
        <v>115</v>
      </c>
      <c r="I1415" s="3" t="s">
        <v>31</v>
      </c>
      <c r="J1415" s="3" t="s">
        <v>99</v>
      </c>
      <c r="K1415" s="3" t="s">
        <v>33</v>
      </c>
      <c r="L1415" s="3" t="s">
        <v>34</v>
      </c>
      <c r="M1415" s="4">
        <v>99.77</v>
      </c>
    </row>
    <row r="1416">
      <c r="A1416" s="2">
        <v>45514</v>
      </c>
      <c r="B14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6" s="3" t="str">
        <f>YEAR(KMART_DATA[[#This Row],[Date]])&amp;"-"&amp;TEXT(MONTH(KMART_DATA[[#This Row],[Date]]),"00")</f>
        <v>2024-08</v>
      </c>
      <c r="D1416" s="3" t="s">
        <v>28</v>
      </c>
      <c r="E1416" s="3" t="s">
        <v>173</v>
      </c>
      <c r="F1416" s="3" t="s">
        <v>11</v>
      </c>
      <c r="G14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16" s="3" t="s">
        <v>174</v>
      </c>
      <c r="I1416" s="3" t="s">
        <v>31</v>
      </c>
      <c r="J1416" s="3" t="s">
        <v>61</v>
      </c>
      <c r="K1416" s="3" t="s">
        <v>95</v>
      </c>
      <c r="L1416" s="3" t="s">
        <v>96</v>
      </c>
      <c r="M1416" s="4">
        <v>106.99</v>
      </c>
    </row>
    <row r="1417">
      <c r="A1417" s="2">
        <v>45514</v>
      </c>
      <c r="B14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7" s="3" t="str">
        <f>YEAR(KMART_DATA[[#This Row],[Date]])&amp;"-"&amp;TEXT(MONTH(KMART_DATA[[#This Row],[Date]]),"00")</f>
        <v>2024-08</v>
      </c>
      <c r="D1417" s="3" t="s">
        <v>45</v>
      </c>
      <c r="E1417" s="3" t="s">
        <v>82</v>
      </c>
      <c r="F1417" s="3" t="s">
        <v>11</v>
      </c>
      <c r="G14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17" s="3" t="s">
        <v>83</v>
      </c>
      <c r="I1417" s="3" t="s">
        <v>31</v>
      </c>
      <c r="J1417" s="3" t="s">
        <v>84</v>
      </c>
      <c r="K1417" s="3" t="s">
        <v>43</v>
      </c>
      <c r="L1417" s="3" t="s">
        <v>44</v>
      </c>
      <c r="M1417" s="4">
        <v>129.87</v>
      </c>
    </row>
    <row r="1418">
      <c r="A1418" s="2">
        <v>45514</v>
      </c>
      <c r="B14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8" s="3" t="str">
        <f>YEAR(KMART_DATA[[#This Row],[Date]])&amp;"-"&amp;TEXT(MONTH(KMART_DATA[[#This Row],[Date]]),"00")</f>
        <v>2024-08</v>
      </c>
      <c r="D1418" s="3" t="s">
        <v>28</v>
      </c>
      <c r="E1418" s="3" t="s">
        <v>211</v>
      </c>
      <c r="F1418" s="3" t="s">
        <v>9</v>
      </c>
      <c r="G14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18" s="3" t="s">
        <v>212</v>
      </c>
      <c r="I1418" s="3" t="s">
        <v>31</v>
      </c>
      <c r="J1418" s="3" t="s">
        <v>75</v>
      </c>
      <c r="K1418" s="3" t="s">
        <v>38</v>
      </c>
      <c r="L1418" s="3" t="s">
        <v>39</v>
      </c>
      <c r="M1418" s="4">
        <v>694.98</v>
      </c>
    </row>
    <row r="1419">
      <c r="A1419" s="2">
        <v>45514</v>
      </c>
      <c r="B14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19" s="3" t="str">
        <f>YEAR(KMART_DATA[[#This Row],[Date]])&amp;"-"&amp;TEXT(MONTH(KMART_DATA[[#This Row],[Date]]),"00")</f>
        <v>2024-08</v>
      </c>
      <c r="D1419" s="3" t="s">
        <v>28</v>
      </c>
      <c r="E1419" s="3" t="s">
        <v>225</v>
      </c>
      <c r="F1419" s="3" t="s">
        <v>13</v>
      </c>
      <c r="G14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419" s="3" t="s">
        <v>226</v>
      </c>
      <c r="I1419" s="3" t="s">
        <v>31</v>
      </c>
      <c r="J1419" s="3" t="s">
        <v>227</v>
      </c>
      <c r="K1419" s="3" t="s">
        <v>95</v>
      </c>
      <c r="L1419" s="3" t="s">
        <v>96</v>
      </c>
      <c r="M1419" s="4">
        <v>721.04</v>
      </c>
    </row>
    <row r="1420">
      <c r="A1420" s="2">
        <v>45515</v>
      </c>
      <c r="B14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0" s="3" t="str">
        <f>YEAR(KMART_DATA[[#This Row],[Date]])&amp;"-"&amp;TEXT(MONTH(KMART_DATA[[#This Row],[Date]]),"00")</f>
        <v>2024-08</v>
      </c>
      <c r="D1420" s="3" t="s">
        <v>28</v>
      </c>
      <c r="E1420" s="3" t="s">
        <v>234</v>
      </c>
      <c r="F1420" s="3" t="s">
        <v>9</v>
      </c>
      <c r="G14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20" s="3" t="s">
        <v>235</v>
      </c>
      <c r="I1420" s="3" t="s">
        <v>31</v>
      </c>
      <c r="J1420" s="3" t="s">
        <v>81</v>
      </c>
      <c r="K1420" s="3" t="s">
        <v>43</v>
      </c>
      <c r="L1420" s="3" t="s">
        <v>44</v>
      </c>
      <c r="M1420" s="4">
        <v>25.98</v>
      </c>
    </row>
    <row r="1421">
      <c r="A1421" s="2">
        <v>45515</v>
      </c>
      <c r="B14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1" s="3" t="str">
        <f>YEAR(KMART_DATA[[#This Row],[Date]])&amp;"-"&amp;TEXT(MONTH(KMART_DATA[[#This Row],[Date]]),"00")</f>
        <v>2024-08</v>
      </c>
      <c r="D1421" s="3" t="s">
        <v>28</v>
      </c>
      <c r="E1421" s="3" t="s">
        <v>90</v>
      </c>
      <c r="F1421" s="3" t="s">
        <v>10</v>
      </c>
      <c r="G14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21" s="3" t="s">
        <v>91</v>
      </c>
      <c r="I1421" s="3" t="s">
        <v>31</v>
      </c>
      <c r="J1421" s="3" t="s">
        <v>37</v>
      </c>
      <c r="K1421" s="3" t="s">
        <v>46</v>
      </c>
      <c r="L1421" s="3" t="s">
        <v>47</v>
      </c>
      <c r="M1421" s="4">
        <v>75.5</v>
      </c>
    </row>
    <row r="1422">
      <c r="A1422" s="2">
        <v>45515</v>
      </c>
      <c r="B14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2" s="3" t="str">
        <f>YEAR(KMART_DATA[[#This Row],[Date]])&amp;"-"&amp;TEXT(MONTH(KMART_DATA[[#This Row],[Date]]),"00")</f>
        <v>2024-08</v>
      </c>
      <c r="D1422" s="3" t="s">
        <v>28</v>
      </c>
      <c r="E1422" s="3" t="s">
        <v>175</v>
      </c>
      <c r="F1422" s="3" t="s">
        <v>16</v>
      </c>
      <c r="G14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422" s="3" t="s">
        <v>176</v>
      </c>
      <c r="I1422" s="3" t="s">
        <v>31</v>
      </c>
      <c r="J1422" s="3" t="s">
        <v>107</v>
      </c>
      <c r="K1422" s="3" t="s">
        <v>38</v>
      </c>
      <c r="L1422" s="3" t="s">
        <v>39</v>
      </c>
      <c r="M1422" s="4">
        <v>112.14</v>
      </c>
    </row>
    <row r="1423">
      <c r="A1423" s="2">
        <v>45515</v>
      </c>
      <c r="B14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3" s="3" t="str">
        <f>YEAR(KMART_DATA[[#This Row],[Date]])&amp;"-"&amp;TEXT(MONTH(KMART_DATA[[#This Row],[Date]]),"00")</f>
        <v>2024-08</v>
      </c>
      <c r="D1423" s="3" t="s">
        <v>45</v>
      </c>
      <c r="E1423" s="3" t="s">
        <v>40</v>
      </c>
      <c r="F1423" s="3" t="s">
        <v>13</v>
      </c>
      <c r="G14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423" s="3" t="s">
        <v>41</v>
      </c>
      <c r="I1423" s="3" t="s">
        <v>31</v>
      </c>
      <c r="J1423" s="3" t="s">
        <v>42</v>
      </c>
      <c r="K1423" s="3" t="s">
        <v>33</v>
      </c>
      <c r="L1423" s="3" t="s">
        <v>34</v>
      </c>
      <c r="M1423" s="4">
        <v>616.64</v>
      </c>
    </row>
    <row r="1424">
      <c r="A1424" s="2">
        <v>45516</v>
      </c>
      <c r="B14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4" s="3" t="str">
        <f>YEAR(KMART_DATA[[#This Row],[Date]])&amp;"-"&amp;TEXT(MONTH(KMART_DATA[[#This Row],[Date]]),"00")</f>
        <v>2024-08</v>
      </c>
      <c r="D1424" s="3" t="s">
        <v>45</v>
      </c>
      <c r="E1424" s="3" t="s">
        <v>64</v>
      </c>
      <c r="F1424" s="3" t="s">
        <v>11</v>
      </c>
      <c r="G14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24" s="3" t="s">
        <v>65</v>
      </c>
      <c r="I1424" s="3" t="s">
        <v>31</v>
      </c>
      <c r="J1424" s="3" t="s">
        <v>61</v>
      </c>
      <c r="K1424" s="3" t="s">
        <v>33</v>
      </c>
      <c r="L1424" s="3" t="s">
        <v>34</v>
      </c>
      <c r="M1424" s="4">
        <v>5.98</v>
      </c>
    </row>
    <row r="1425">
      <c r="A1425" s="2">
        <v>45516</v>
      </c>
      <c r="B14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5" s="3" t="str">
        <f>YEAR(KMART_DATA[[#This Row],[Date]])&amp;"-"&amp;TEXT(MONTH(KMART_DATA[[#This Row],[Date]]),"00")</f>
        <v>2024-08</v>
      </c>
      <c r="D1425" s="3" t="s">
        <v>28</v>
      </c>
      <c r="E1425" s="3" t="s">
        <v>76</v>
      </c>
      <c r="F1425" s="3" t="s">
        <v>11</v>
      </c>
      <c r="G14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25" s="3" t="s">
        <v>77</v>
      </c>
      <c r="I1425" s="3" t="s">
        <v>31</v>
      </c>
      <c r="J1425" s="3" t="s">
        <v>78</v>
      </c>
      <c r="K1425" s="3" t="s">
        <v>123</v>
      </c>
      <c r="L1425" s="3" t="s">
        <v>124</v>
      </c>
      <c r="M1425" s="4">
        <v>44.47</v>
      </c>
    </row>
    <row r="1426">
      <c r="A1426" s="2">
        <v>45516</v>
      </c>
      <c r="B14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6" s="3" t="str">
        <f>YEAR(KMART_DATA[[#This Row],[Date]])&amp;"-"&amp;TEXT(MONTH(KMART_DATA[[#This Row],[Date]]),"00")</f>
        <v>2024-08</v>
      </c>
      <c r="D1426" s="3" t="s">
        <v>45</v>
      </c>
      <c r="E1426" s="3" t="s">
        <v>264</v>
      </c>
      <c r="F1426" s="3" t="s">
        <v>13</v>
      </c>
      <c r="G14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426" s="3" t="s">
        <v>265</v>
      </c>
      <c r="I1426" s="3" t="s">
        <v>31</v>
      </c>
      <c r="J1426" s="3" t="s">
        <v>42</v>
      </c>
      <c r="K1426" s="3" t="s">
        <v>71</v>
      </c>
      <c r="L1426" s="3" t="s">
        <v>72</v>
      </c>
      <c r="M1426" s="4">
        <v>59.58</v>
      </c>
    </row>
    <row r="1427">
      <c r="A1427" s="2">
        <v>45516</v>
      </c>
      <c r="B14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7" s="3" t="str">
        <f>YEAR(KMART_DATA[[#This Row],[Date]])&amp;"-"&amp;TEXT(MONTH(KMART_DATA[[#This Row],[Date]]),"00")</f>
        <v>2024-08</v>
      </c>
      <c r="D1427" s="3" t="s">
        <v>28</v>
      </c>
      <c r="E1427" s="3" t="s">
        <v>165</v>
      </c>
      <c r="F1427" s="3" t="s">
        <v>9</v>
      </c>
      <c r="G14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27" s="3" t="s">
        <v>166</v>
      </c>
      <c r="I1427" s="3" t="s">
        <v>31</v>
      </c>
      <c r="J1427" s="3" t="s">
        <v>99</v>
      </c>
      <c r="K1427" s="3" t="s">
        <v>43</v>
      </c>
      <c r="L1427" s="3" t="s">
        <v>44</v>
      </c>
      <c r="M1427" s="4">
        <v>257.84</v>
      </c>
    </row>
    <row r="1428">
      <c r="A1428" s="2">
        <v>45516</v>
      </c>
      <c r="B14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8" s="3" t="str">
        <f>YEAR(KMART_DATA[[#This Row],[Date]])&amp;"-"&amp;TEXT(MONTH(KMART_DATA[[#This Row],[Date]]),"00")</f>
        <v>2024-08</v>
      </c>
      <c r="D1428" s="3" t="s">
        <v>28</v>
      </c>
      <c r="E1428" s="3" t="s">
        <v>225</v>
      </c>
      <c r="F1428" s="3" t="s">
        <v>13</v>
      </c>
      <c r="G14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428" s="3" t="s">
        <v>226</v>
      </c>
      <c r="I1428" s="3" t="s">
        <v>31</v>
      </c>
      <c r="J1428" s="3" t="s">
        <v>227</v>
      </c>
      <c r="K1428" s="3" t="s">
        <v>46</v>
      </c>
      <c r="L1428" s="3" t="s">
        <v>47</v>
      </c>
      <c r="M1428" s="4">
        <v>374.75</v>
      </c>
    </row>
    <row r="1429">
      <c r="A1429" s="2">
        <v>45516</v>
      </c>
      <c r="B14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29" s="3" t="str">
        <f>YEAR(KMART_DATA[[#This Row],[Date]])&amp;"-"&amp;TEXT(MONTH(KMART_DATA[[#This Row],[Date]]),"00")</f>
        <v>2024-08</v>
      </c>
      <c r="D1429" s="3" t="s">
        <v>28</v>
      </c>
      <c r="E1429" s="3" t="s">
        <v>185</v>
      </c>
      <c r="F1429" s="3" t="s">
        <v>12</v>
      </c>
      <c r="G14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29" s="3" t="s">
        <v>186</v>
      </c>
      <c r="I1429" s="3" t="s">
        <v>31</v>
      </c>
      <c r="J1429" s="3" t="s">
        <v>162</v>
      </c>
      <c r="K1429" s="3" t="s">
        <v>43</v>
      </c>
      <c r="L1429" s="3" t="s">
        <v>44</v>
      </c>
      <c r="M1429" s="4">
        <v>386.95</v>
      </c>
    </row>
    <row r="1430">
      <c r="A1430" s="2">
        <v>45516</v>
      </c>
      <c r="B14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0" s="3" t="str">
        <f>YEAR(KMART_DATA[[#This Row],[Date]])&amp;"-"&amp;TEXT(MONTH(KMART_DATA[[#This Row],[Date]]),"00")</f>
        <v>2024-08</v>
      </c>
      <c r="D1430" s="3" t="s">
        <v>45</v>
      </c>
      <c r="E1430" s="3" t="s">
        <v>143</v>
      </c>
      <c r="F1430" s="3" t="s">
        <v>14</v>
      </c>
      <c r="G14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430" s="3" t="s">
        <v>144</v>
      </c>
      <c r="I1430" s="3" t="s">
        <v>31</v>
      </c>
      <c r="J1430" s="3" t="s">
        <v>145</v>
      </c>
      <c r="K1430" s="3" t="s">
        <v>43</v>
      </c>
      <c r="L1430" s="3" t="s">
        <v>44</v>
      </c>
      <c r="M1430" s="4">
        <v>742.08</v>
      </c>
    </row>
    <row r="1431">
      <c r="A1431" s="2">
        <v>45516</v>
      </c>
      <c r="B14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1" s="3" t="str">
        <f>YEAR(KMART_DATA[[#This Row],[Date]])&amp;"-"&amp;TEXT(MONTH(KMART_DATA[[#This Row],[Date]]),"00")</f>
        <v>2024-08</v>
      </c>
      <c r="D1431" s="3" t="s">
        <v>28</v>
      </c>
      <c r="E1431" s="3" t="s">
        <v>116</v>
      </c>
      <c r="F1431" s="3" t="s">
        <v>9</v>
      </c>
      <c r="G14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31" s="3" t="s">
        <v>117</v>
      </c>
      <c r="I1431" s="3" t="s">
        <v>31</v>
      </c>
      <c r="J1431" s="3" t="s">
        <v>70</v>
      </c>
      <c r="K1431" s="3" t="s">
        <v>46</v>
      </c>
      <c r="L1431" s="3" t="s">
        <v>47</v>
      </c>
      <c r="M1431" s="4">
        <v>1888.41</v>
      </c>
    </row>
    <row r="1432">
      <c r="A1432" s="2">
        <v>45516</v>
      </c>
      <c r="B14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2" s="3" t="str">
        <f>YEAR(KMART_DATA[[#This Row],[Date]])&amp;"-"&amp;TEXT(MONTH(KMART_DATA[[#This Row],[Date]]),"00")</f>
        <v>2024-08</v>
      </c>
      <c r="D1432" s="3" t="s">
        <v>28</v>
      </c>
      <c r="E1432" s="3" t="s">
        <v>195</v>
      </c>
      <c r="F1432" s="3" t="s">
        <v>11</v>
      </c>
      <c r="G14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32" s="3" t="s">
        <v>196</v>
      </c>
      <c r="I1432" s="3" t="s">
        <v>31</v>
      </c>
      <c r="J1432" s="3" t="s">
        <v>32</v>
      </c>
      <c r="K1432" s="3" t="s">
        <v>57</v>
      </c>
      <c r="L1432" s="3" t="s">
        <v>58</v>
      </c>
      <c r="M1432" s="4">
        <v>2943.69</v>
      </c>
    </row>
    <row r="1433">
      <c r="A1433" s="2">
        <v>45517</v>
      </c>
      <c r="B14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3" s="3" t="str">
        <f>YEAR(KMART_DATA[[#This Row],[Date]])&amp;"-"&amp;TEXT(MONTH(KMART_DATA[[#This Row],[Date]]),"00")</f>
        <v>2024-08</v>
      </c>
      <c r="D1433" s="3" t="s">
        <v>45</v>
      </c>
      <c r="E1433" s="3" t="s">
        <v>48</v>
      </c>
      <c r="F1433" s="3" t="s">
        <v>12</v>
      </c>
      <c r="G14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33" s="3" t="s">
        <v>49</v>
      </c>
      <c r="I1433" s="3" t="s">
        <v>31</v>
      </c>
      <c r="J1433" s="3" t="s">
        <v>50</v>
      </c>
      <c r="K1433" s="3" t="s">
        <v>57</v>
      </c>
      <c r="L1433" s="3" t="s">
        <v>58</v>
      </c>
      <c r="M1433" s="4">
        <v>15.98</v>
      </c>
    </row>
    <row r="1434">
      <c r="A1434" s="2">
        <v>45517</v>
      </c>
      <c r="B14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4" s="3" t="str">
        <f>YEAR(KMART_DATA[[#This Row],[Date]])&amp;"-"&amp;TEXT(MONTH(KMART_DATA[[#This Row],[Date]]),"00")</f>
        <v>2024-08</v>
      </c>
      <c r="D1434" s="3" t="s">
        <v>28</v>
      </c>
      <c r="E1434" s="3" t="s">
        <v>82</v>
      </c>
      <c r="F1434" s="3" t="s">
        <v>11</v>
      </c>
      <c r="G14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34" s="3" t="s">
        <v>83</v>
      </c>
      <c r="I1434" s="3" t="s">
        <v>31</v>
      </c>
      <c r="J1434" s="3" t="s">
        <v>84</v>
      </c>
      <c r="K1434" s="3" t="s">
        <v>71</v>
      </c>
      <c r="L1434" s="3" t="s">
        <v>72</v>
      </c>
      <c r="M1434" s="4">
        <v>24.95</v>
      </c>
    </row>
    <row r="1435">
      <c r="A1435" s="2">
        <v>45517</v>
      </c>
      <c r="B14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5" s="3" t="str">
        <f>YEAR(KMART_DATA[[#This Row],[Date]])&amp;"-"&amp;TEXT(MONTH(KMART_DATA[[#This Row],[Date]]),"00")</f>
        <v>2024-08</v>
      </c>
      <c r="D1435" s="3" t="s">
        <v>45</v>
      </c>
      <c r="E1435" s="3" t="s">
        <v>254</v>
      </c>
      <c r="F1435" s="3" t="s">
        <v>13</v>
      </c>
      <c r="G14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435" s="3" t="s">
        <v>255</v>
      </c>
      <c r="I1435" s="3" t="s">
        <v>31</v>
      </c>
      <c r="J1435" s="3" t="s">
        <v>227</v>
      </c>
      <c r="K1435" s="3" t="s">
        <v>123</v>
      </c>
      <c r="L1435" s="3" t="s">
        <v>124</v>
      </c>
      <c r="M1435" s="4">
        <v>46.9</v>
      </c>
    </row>
    <row r="1436">
      <c r="A1436" s="2">
        <v>45517</v>
      </c>
      <c r="B14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6" s="3" t="str">
        <f>YEAR(KMART_DATA[[#This Row],[Date]])&amp;"-"&amp;TEXT(MONTH(KMART_DATA[[#This Row],[Date]]),"00")</f>
        <v>2024-08</v>
      </c>
      <c r="D1436" s="3" t="s">
        <v>28</v>
      </c>
      <c r="E1436" s="3" t="s">
        <v>242</v>
      </c>
      <c r="F1436" s="3" t="s">
        <v>10</v>
      </c>
      <c r="G14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36" s="3" t="s">
        <v>243</v>
      </c>
      <c r="I1436" s="3" t="s">
        <v>31</v>
      </c>
      <c r="J1436" s="3" t="s">
        <v>94</v>
      </c>
      <c r="K1436" s="3" t="s">
        <v>33</v>
      </c>
      <c r="L1436" s="3" t="s">
        <v>34</v>
      </c>
      <c r="M1436" s="4">
        <v>55.5</v>
      </c>
    </row>
    <row r="1437">
      <c r="A1437" s="2">
        <v>45517</v>
      </c>
      <c r="B14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7" s="3" t="str">
        <f>YEAR(KMART_DATA[[#This Row],[Date]])&amp;"-"&amp;TEXT(MONTH(KMART_DATA[[#This Row],[Date]]),"00")</f>
        <v>2024-08</v>
      </c>
      <c r="D1437" s="3" t="s">
        <v>45</v>
      </c>
      <c r="E1437" s="3" t="s">
        <v>211</v>
      </c>
      <c r="F1437" s="3" t="s">
        <v>9</v>
      </c>
      <c r="G14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37" s="3" t="s">
        <v>212</v>
      </c>
      <c r="I1437" s="3" t="s">
        <v>31</v>
      </c>
      <c r="J1437" s="3" t="s">
        <v>75</v>
      </c>
      <c r="K1437" s="3" t="s">
        <v>46</v>
      </c>
      <c r="L1437" s="3" t="s">
        <v>47</v>
      </c>
      <c r="M1437" s="4">
        <v>77.87</v>
      </c>
    </row>
    <row r="1438">
      <c r="A1438" s="2">
        <v>45517</v>
      </c>
      <c r="B14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8" s="3" t="str">
        <f>YEAR(KMART_DATA[[#This Row],[Date]])&amp;"-"&amp;TEXT(MONTH(KMART_DATA[[#This Row],[Date]]),"00")</f>
        <v>2024-08</v>
      </c>
      <c r="D1438" s="3" t="s">
        <v>28</v>
      </c>
      <c r="E1438" s="3" t="s">
        <v>105</v>
      </c>
      <c r="F1438" s="3" t="s">
        <v>9</v>
      </c>
      <c r="G14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38" s="3" t="s">
        <v>106</v>
      </c>
      <c r="I1438" s="3" t="s">
        <v>31</v>
      </c>
      <c r="J1438" s="3" t="s">
        <v>107</v>
      </c>
      <c r="K1438" s="3" t="s">
        <v>46</v>
      </c>
      <c r="L1438" s="3" t="s">
        <v>47</v>
      </c>
      <c r="M1438" s="4">
        <v>196.24</v>
      </c>
    </row>
    <row r="1439">
      <c r="A1439" s="2">
        <v>45517</v>
      </c>
      <c r="B14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39" s="3" t="str">
        <f>YEAR(KMART_DATA[[#This Row],[Date]])&amp;"-"&amp;TEXT(MONTH(KMART_DATA[[#This Row],[Date]]),"00")</f>
        <v>2024-08</v>
      </c>
      <c r="D1439" s="3" t="s">
        <v>28</v>
      </c>
      <c r="E1439" s="3" t="s">
        <v>177</v>
      </c>
      <c r="F1439" s="3" t="s">
        <v>12</v>
      </c>
      <c r="G14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39" s="3" t="s">
        <v>178</v>
      </c>
      <c r="I1439" s="3" t="s">
        <v>31</v>
      </c>
      <c r="J1439" s="3" t="s">
        <v>162</v>
      </c>
      <c r="K1439" s="3" t="s">
        <v>38</v>
      </c>
      <c r="L1439" s="3" t="s">
        <v>39</v>
      </c>
      <c r="M1439" s="4">
        <v>298.37</v>
      </c>
    </row>
    <row r="1440">
      <c r="A1440" s="2">
        <v>45517</v>
      </c>
      <c r="B14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0" s="3" t="str">
        <f>YEAR(KMART_DATA[[#This Row],[Date]])&amp;"-"&amp;TEXT(MONTH(KMART_DATA[[#This Row],[Date]]),"00")</f>
        <v>2024-08</v>
      </c>
      <c r="D1440" s="3" t="s">
        <v>28</v>
      </c>
      <c r="E1440" s="3" t="s">
        <v>35</v>
      </c>
      <c r="F1440" s="3" t="s">
        <v>10</v>
      </c>
      <c r="G14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40" s="3" t="s">
        <v>36</v>
      </c>
      <c r="I1440" s="3" t="s">
        <v>31</v>
      </c>
      <c r="J1440" s="3" t="s">
        <v>37</v>
      </c>
      <c r="K1440" s="3" t="s">
        <v>57</v>
      </c>
      <c r="L1440" s="3" t="s">
        <v>58</v>
      </c>
      <c r="M1440" s="4">
        <v>1952.6</v>
      </c>
    </row>
    <row r="1441">
      <c r="A1441" s="2">
        <v>45518</v>
      </c>
      <c r="B14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1" s="3" t="str">
        <f>YEAR(KMART_DATA[[#This Row],[Date]])&amp;"-"&amp;TEXT(MONTH(KMART_DATA[[#This Row],[Date]]),"00")</f>
        <v>2024-08</v>
      </c>
      <c r="D1441" s="3" t="s">
        <v>28</v>
      </c>
      <c r="E1441" s="3" t="s">
        <v>35</v>
      </c>
      <c r="F1441" s="3" t="s">
        <v>10</v>
      </c>
      <c r="G14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41" s="3" t="s">
        <v>36</v>
      </c>
      <c r="I1441" s="3" t="s">
        <v>31</v>
      </c>
      <c r="J1441" s="3" t="s">
        <v>37</v>
      </c>
      <c r="K1441" s="3" t="s">
        <v>95</v>
      </c>
      <c r="L1441" s="3" t="s">
        <v>96</v>
      </c>
      <c r="M1441" s="4">
        <v>5.99</v>
      </c>
    </row>
    <row r="1442">
      <c r="A1442" s="2">
        <v>45518</v>
      </c>
      <c r="B14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2" s="3" t="str">
        <f>YEAR(KMART_DATA[[#This Row],[Date]])&amp;"-"&amp;TEXT(MONTH(KMART_DATA[[#This Row],[Date]]),"00")</f>
        <v>2024-08</v>
      </c>
      <c r="D1442" s="3" t="s">
        <v>45</v>
      </c>
      <c r="E1442" s="3" t="s">
        <v>264</v>
      </c>
      <c r="F1442" s="3" t="s">
        <v>13</v>
      </c>
      <c r="G14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442" s="3" t="s">
        <v>265</v>
      </c>
      <c r="I1442" s="3" t="s">
        <v>31</v>
      </c>
      <c r="J1442" s="3" t="s">
        <v>42</v>
      </c>
      <c r="K1442" s="3" t="s">
        <v>43</v>
      </c>
      <c r="L1442" s="3" t="s">
        <v>44</v>
      </c>
      <c r="M1442" s="4">
        <v>64.95</v>
      </c>
    </row>
    <row r="1443">
      <c r="A1443" s="2">
        <v>45518</v>
      </c>
      <c r="B14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3" s="3" t="str">
        <f>YEAR(KMART_DATA[[#This Row],[Date]])&amp;"-"&amp;TEXT(MONTH(KMART_DATA[[#This Row],[Date]]),"00")</f>
        <v>2024-08</v>
      </c>
      <c r="D1443" s="3" t="s">
        <v>28</v>
      </c>
      <c r="E1443" s="3" t="s">
        <v>175</v>
      </c>
      <c r="F1443" s="3" t="s">
        <v>16</v>
      </c>
      <c r="G14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443" s="3" t="s">
        <v>176</v>
      </c>
      <c r="I1443" s="3" t="s">
        <v>31</v>
      </c>
      <c r="J1443" s="3" t="s">
        <v>107</v>
      </c>
      <c r="K1443" s="3" t="s">
        <v>123</v>
      </c>
      <c r="L1443" s="3" t="s">
        <v>124</v>
      </c>
      <c r="M1443" s="4">
        <v>232.55</v>
      </c>
    </row>
    <row r="1444">
      <c r="A1444" s="2">
        <v>45518</v>
      </c>
      <c r="B14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4" s="3" t="str">
        <f>YEAR(KMART_DATA[[#This Row],[Date]])&amp;"-"&amp;TEXT(MONTH(KMART_DATA[[#This Row],[Date]]),"00")</f>
        <v>2024-08</v>
      </c>
      <c r="D1444" s="3" t="s">
        <v>28</v>
      </c>
      <c r="E1444" s="3" t="s">
        <v>248</v>
      </c>
      <c r="F1444" s="3" t="s">
        <v>12</v>
      </c>
      <c r="G14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44" s="3" t="s">
        <v>249</v>
      </c>
      <c r="I1444" s="3" t="s">
        <v>31</v>
      </c>
      <c r="J1444" s="3" t="s">
        <v>162</v>
      </c>
      <c r="K1444" s="3" t="s">
        <v>71</v>
      </c>
      <c r="L1444" s="3" t="s">
        <v>72</v>
      </c>
      <c r="M1444" s="4">
        <v>241.28</v>
      </c>
    </row>
    <row r="1445">
      <c r="A1445" s="2">
        <v>45518</v>
      </c>
      <c r="B14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5" s="3" t="str">
        <f>YEAR(KMART_DATA[[#This Row],[Date]])&amp;"-"&amp;TEXT(MONTH(KMART_DATA[[#This Row],[Date]]),"00")</f>
        <v>2024-08</v>
      </c>
      <c r="D1445" s="3" t="s">
        <v>28</v>
      </c>
      <c r="E1445" s="3" t="s">
        <v>221</v>
      </c>
      <c r="F1445" s="3" t="s">
        <v>11</v>
      </c>
      <c r="G14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45" s="3" t="s">
        <v>222</v>
      </c>
      <c r="I1445" s="3" t="s">
        <v>31</v>
      </c>
      <c r="J1445" s="3" t="s">
        <v>56</v>
      </c>
      <c r="K1445" s="3" t="s">
        <v>57</v>
      </c>
      <c r="L1445" s="3" t="s">
        <v>58</v>
      </c>
      <c r="M1445" s="4">
        <v>267.75</v>
      </c>
    </row>
    <row r="1446">
      <c r="A1446" s="2">
        <v>45518</v>
      </c>
      <c r="B14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6" s="3" t="str">
        <f>YEAR(KMART_DATA[[#This Row],[Date]])&amp;"-"&amp;TEXT(MONTH(KMART_DATA[[#This Row],[Date]]),"00")</f>
        <v>2024-08</v>
      </c>
      <c r="D1446" s="3" t="s">
        <v>28</v>
      </c>
      <c r="E1446" s="3" t="s">
        <v>137</v>
      </c>
      <c r="F1446" s="3" t="s">
        <v>10</v>
      </c>
      <c r="G14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46" s="3" t="s">
        <v>138</v>
      </c>
      <c r="I1446" s="3" t="s">
        <v>31</v>
      </c>
      <c r="J1446" s="3" t="s">
        <v>89</v>
      </c>
      <c r="K1446" s="3" t="s">
        <v>71</v>
      </c>
      <c r="L1446" s="3" t="s">
        <v>72</v>
      </c>
      <c r="M1446" s="4">
        <v>430.63</v>
      </c>
    </row>
    <row r="1447">
      <c r="A1447" s="2">
        <v>45518</v>
      </c>
      <c r="B14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7" s="3" t="str">
        <f>YEAR(KMART_DATA[[#This Row],[Date]])&amp;"-"&amp;TEXT(MONTH(KMART_DATA[[#This Row],[Date]]),"00")</f>
        <v>2024-08</v>
      </c>
      <c r="D1447" s="3" t="s">
        <v>28</v>
      </c>
      <c r="E1447" s="3" t="s">
        <v>191</v>
      </c>
      <c r="F1447" s="3" t="s">
        <v>10</v>
      </c>
      <c r="G14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47" s="3" t="s">
        <v>192</v>
      </c>
      <c r="I1447" s="3" t="s">
        <v>31</v>
      </c>
      <c r="J1447" s="3" t="s">
        <v>120</v>
      </c>
      <c r="K1447" s="3" t="s">
        <v>46</v>
      </c>
      <c r="L1447" s="3" t="s">
        <v>47</v>
      </c>
      <c r="M1447" s="4">
        <v>495.12</v>
      </c>
    </row>
    <row r="1448">
      <c r="A1448" s="2">
        <v>45518</v>
      </c>
      <c r="B14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8" s="3" t="str">
        <f>YEAR(KMART_DATA[[#This Row],[Date]])&amp;"-"&amp;TEXT(MONTH(KMART_DATA[[#This Row],[Date]]),"00")</f>
        <v>2024-08</v>
      </c>
      <c r="D1448" s="3" t="s">
        <v>28</v>
      </c>
      <c r="E1448" s="3" t="s">
        <v>48</v>
      </c>
      <c r="F1448" s="3" t="s">
        <v>12</v>
      </c>
      <c r="G14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48" s="3" t="s">
        <v>49</v>
      </c>
      <c r="I1448" s="3" t="s">
        <v>31</v>
      </c>
      <c r="J1448" s="3" t="s">
        <v>50</v>
      </c>
      <c r="K1448" s="3" t="s">
        <v>95</v>
      </c>
      <c r="L1448" s="3" t="s">
        <v>96</v>
      </c>
      <c r="M1448" s="4">
        <v>702.33</v>
      </c>
    </row>
    <row r="1449">
      <c r="A1449" s="2">
        <v>45518</v>
      </c>
      <c r="B14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49" s="3" t="str">
        <f>YEAR(KMART_DATA[[#This Row],[Date]])&amp;"-"&amp;TEXT(MONTH(KMART_DATA[[#This Row],[Date]]),"00")</f>
        <v>2024-08</v>
      </c>
      <c r="D1449" s="3" t="s">
        <v>28</v>
      </c>
      <c r="E1449" s="3" t="s">
        <v>79</v>
      </c>
      <c r="F1449" s="3" t="s">
        <v>9</v>
      </c>
      <c r="G14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49" s="3" t="s">
        <v>80</v>
      </c>
      <c r="I1449" s="3" t="s">
        <v>31</v>
      </c>
      <c r="J1449" s="3" t="s">
        <v>81</v>
      </c>
      <c r="K1449" s="3" t="s">
        <v>71</v>
      </c>
      <c r="L1449" s="3" t="s">
        <v>72</v>
      </c>
      <c r="M1449" s="4">
        <v>4907.9</v>
      </c>
    </row>
    <row r="1450">
      <c r="A1450" s="2">
        <v>45519</v>
      </c>
      <c r="B14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0" s="3" t="str">
        <f>YEAR(KMART_DATA[[#This Row],[Date]])&amp;"-"&amp;TEXT(MONTH(KMART_DATA[[#This Row],[Date]]),"00")</f>
        <v>2024-08</v>
      </c>
      <c r="D1450" s="3" t="s">
        <v>28</v>
      </c>
      <c r="E1450" s="3" t="s">
        <v>215</v>
      </c>
      <c r="F1450" s="3" t="s">
        <v>15</v>
      </c>
      <c r="G14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450" s="3" t="s">
        <v>216</v>
      </c>
      <c r="I1450" s="3" t="s">
        <v>31</v>
      </c>
      <c r="J1450" s="3" t="s">
        <v>53</v>
      </c>
      <c r="K1450" s="3" t="s">
        <v>43</v>
      </c>
      <c r="L1450" s="3" t="s">
        <v>44</v>
      </c>
      <c r="M1450" s="4">
        <v>18.5</v>
      </c>
    </row>
    <row r="1451">
      <c r="A1451" s="2">
        <v>45519</v>
      </c>
      <c r="B14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1" s="3" t="str">
        <f>YEAR(KMART_DATA[[#This Row],[Date]])&amp;"-"&amp;TEXT(MONTH(KMART_DATA[[#This Row],[Date]]),"00")</f>
        <v>2024-08</v>
      </c>
      <c r="D1451" s="3" t="s">
        <v>45</v>
      </c>
      <c r="E1451" s="3" t="s">
        <v>219</v>
      </c>
      <c r="F1451" s="3" t="s">
        <v>11</v>
      </c>
      <c r="G14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51" s="3" t="s">
        <v>220</v>
      </c>
      <c r="I1451" s="3" t="s">
        <v>31</v>
      </c>
      <c r="J1451" s="3" t="s">
        <v>56</v>
      </c>
      <c r="K1451" s="3" t="s">
        <v>66</v>
      </c>
      <c r="L1451" s="3" t="s">
        <v>67</v>
      </c>
      <c r="M1451" s="4">
        <v>69.3</v>
      </c>
    </row>
    <row r="1452">
      <c r="A1452" s="2">
        <v>45519</v>
      </c>
      <c r="B14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2" s="3" t="str">
        <f>YEAR(KMART_DATA[[#This Row],[Date]])&amp;"-"&amp;TEXT(MONTH(KMART_DATA[[#This Row],[Date]]),"00")</f>
        <v>2024-08</v>
      </c>
      <c r="D1452" s="3" t="s">
        <v>45</v>
      </c>
      <c r="E1452" s="3" t="s">
        <v>236</v>
      </c>
      <c r="F1452" s="3" t="s">
        <v>12</v>
      </c>
      <c r="G14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52" s="3" t="s">
        <v>237</v>
      </c>
      <c r="I1452" s="3" t="s">
        <v>31</v>
      </c>
      <c r="J1452" s="3" t="s">
        <v>102</v>
      </c>
      <c r="K1452" s="3" t="s">
        <v>38</v>
      </c>
      <c r="L1452" s="3" t="s">
        <v>39</v>
      </c>
      <c r="M1452" s="4">
        <v>79.94</v>
      </c>
    </row>
    <row r="1453">
      <c r="A1453" s="2">
        <v>45519</v>
      </c>
      <c r="B14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3" s="3" t="str">
        <f>YEAR(KMART_DATA[[#This Row],[Date]])&amp;"-"&amp;TEXT(MONTH(KMART_DATA[[#This Row],[Date]]),"00")</f>
        <v>2024-08</v>
      </c>
      <c r="D1453" s="3" t="s">
        <v>45</v>
      </c>
      <c r="E1453" s="3" t="s">
        <v>158</v>
      </c>
      <c r="F1453" s="3" t="s">
        <v>11</v>
      </c>
      <c r="G14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53" s="3" t="s">
        <v>159</v>
      </c>
      <c r="I1453" s="3" t="s">
        <v>31</v>
      </c>
      <c r="J1453" s="3" t="s">
        <v>84</v>
      </c>
      <c r="K1453" s="3" t="s">
        <v>43</v>
      </c>
      <c r="L1453" s="3" t="s">
        <v>44</v>
      </c>
      <c r="M1453" s="4">
        <v>171.94</v>
      </c>
    </row>
    <row r="1454">
      <c r="A1454" s="2">
        <v>45519</v>
      </c>
      <c r="B14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4" s="3" t="str">
        <f>YEAR(KMART_DATA[[#This Row],[Date]])&amp;"-"&amp;TEXT(MONTH(KMART_DATA[[#This Row],[Date]]),"00")</f>
        <v>2024-08</v>
      </c>
      <c r="D1454" s="3" t="s">
        <v>28</v>
      </c>
      <c r="E1454" s="3" t="s">
        <v>133</v>
      </c>
      <c r="F1454" s="3" t="s">
        <v>10</v>
      </c>
      <c r="G14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54" s="3" t="s">
        <v>134</v>
      </c>
      <c r="I1454" s="3" t="s">
        <v>31</v>
      </c>
      <c r="J1454" s="3" t="s">
        <v>37</v>
      </c>
      <c r="K1454" s="3" t="s">
        <v>71</v>
      </c>
      <c r="L1454" s="3" t="s">
        <v>72</v>
      </c>
      <c r="M1454" s="4">
        <v>198.64</v>
      </c>
    </row>
    <row r="1455">
      <c r="A1455" s="2">
        <v>45519</v>
      </c>
      <c r="B14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5" s="3" t="str">
        <f>YEAR(KMART_DATA[[#This Row],[Date]])&amp;"-"&amp;TEXT(MONTH(KMART_DATA[[#This Row],[Date]]),"00")</f>
        <v>2024-08</v>
      </c>
      <c r="D1455" s="3" t="s">
        <v>45</v>
      </c>
      <c r="E1455" s="3" t="s">
        <v>131</v>
      </c>
      <c r="F1455" s="3" t="s">
        <v>11</v>
      </c>
      <c r="G14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55" s="3" t="s">
        <v>132</v>
      </c>
      <c r="I1455" s="3" t="s">
        <v>31</v>
      </c>
      <c r="J1455" s="3" t="s">
        <v>32</v>
      </c>
      <c r="K1455" s="3" t="s">
        <v>43</v>
      </c>
      <c r="L1455" s="3" t="s">
        <v>44</v>
      </c>
      <c r="M1455" s="4">
        <v>300.69</v>
      </c>
    </row>
    <row r="1456">
      <c r="A1456" s="2">
        <v>45519</v>
      </c>
      <c r="B14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6" s="3" t="str">
        <f>YEAR(KMART_DATA[[#This Row],[Date]])&amp;"-"&amp;TEXT(MONTH(KMART_DATA[[#This Row],[Date]]),"00")</f>
        <v>2024-08</v>
      </c>
      <c r="D1456" s="3" t="s">
        <v>28</v>
      </c>
      <c r="E1456" s="3" t="s">
        <v>219</v>
      </c>
      <c r="F1456" s="3" t="s">
        <v>11</v>
      </c>
      <c r="G14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56" s="3" t="s">
        <v>220</v>
      </c>
      <c r="I1456" s="3" t="s">
        <v>31</v>
      </c>
      <c r="J1456" s="3" t="s">
        <v>56</v>
      </c>
      <c r="K1456" s="3" t="s">
        <v>95</v>
      </c>
      <c r="L1456" s="3" t="s">
        <v>96</v>
      </c>
      <c r="M1456" s="4">
        <v>353.4</v>
      </c>
    </row>
    <row r="1457">
      <c r="A1457" s="2">
        <v>45519</v>
      </c>
      <c r="B14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7" s="3" t="str">
        <f>YEAR(KMART_DATA[[#This Row],[Date]])&amp;"-"&amp;TEXT(MONTH(KMART_DATA[[#This Row],[Date]]),"00")</f>
        <v>2024-08</v>
      </c>
      <c r="D1457" s="3" t="s">
        <v>28</v>
      </c>
      <c r="E1457" s="3" t="s">
        <v>87</v>
      </c>
      <c r="F1457" s="3" t="s">
        <v>10</v>
      </c>
      <c r="G14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57" s="3" t="s">
        <v>88</v>
      </c>
      <c r="I1457" s="3" t="s">
        <v>31</v>
      </c>
      <c r="J1457" s="3" t="s">
        <v>89</v>
      </c>
      <c r="K1457" s="3" t="s">
        <v>43</v>
      </c>
      <c r="L1457" s="3" t="s">
        <v>44</v>
      </c>
      <c r="M1457" s="4">
        <v>354.67</v>
      </c>
    </row>
    <row r="1458">
      <c r="A1458" s="2">
        <v>45519</v>
      </c>
      <c r="B14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8" s="3" t="str">
        <f>YEAR(KMART_DATA[[#This Row],[Date]])&amp;"-"&amp;TEXT(MONTH(KMART_DATA[[#This Row],[Date]]),"00")</f>
        <v>2024-08</v>
      </c>
      <c r="D1458" s="3" t="s">
        <v>45</v>
      </c>
      <c r="E1458" s="3" t="s">
        <v>240</v>
      </c>
      <c r="F1458" s="3" t="s">
        <v>15</v>
      </c>
      <c r="G14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458" s="3" t="s">
        <v>241</v>
      </c>
      <c r="I1458" s="3" t="s">
        <v>31</v>
      </c>
      <c r="J1458" s="3" t="s">
        <v>53</v>
      </c>
      <c r="K1458" s="3" t="s">
        <v>123</v>
      </c>
      <c r="L1458" s="3" t="s">
        <v>124</v>
      </c>
      <c r="M1458" s="4">
        <v>440.39</v>
      </c>
    </row>
    <row r="1459">
      <c r="A1459" s="2">
        <v>45520</v>
      </c>
      <c r="B14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59" s="3" t="str">
        <f>YEAR(KMART_DATA[[#This Row],[Date]])&amp;"-"&amp;TEXT(MONTH(KMART_DATA[[#This Row],[Date]]),"00")</f>
        <v>2024-08</v>
      </c>
      <c r="D1459" s="3" t="s">
        <v>28</v>
      </c>
      <c r="E1459" s="3" t="s">
        <v>143</v>
      </c>
      <c r="F1459" s="3" t="s">
        <v>14</v>
      </c>
      <c r="G14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459" s="3" t="s">
        <v>144</v>
      </c>
      <c r="I1459" s="3" t="s">
        <v>31</v>
      </c>
      <c r="J1459" s="3" t="s">
        <v>145</v>
      </c>
      <c r="K1459" s="3" t="s">
        <v>38</v>
      </c>
      <c r="L1459" s="3" t="s">
        <v>39</v>
      </c>
      <c r="M1459" s="4">
        <v>8.98</v>
      </c>
    </row>
    <row r="1460">
      <c r="A1460" s="2">
        <v>45520</v>
      </c>
      <c r="B14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0" s="3" t="str">
        <f>YEAR(KMART_DATA[[#This Row],[Date]])&amp;"-"&amp;TEXT(MONTH(KMART_DATA[[#This Row],[Date]]),"00")</f>
        <v>2024-08</v>
      </c>
      <c r="D1460" s="3" t="s">
        <v>28</v>
      </c>
      <c r="E1460" s="3" t="s">
        <v>201</v>
      </c>
      <c r="F1460" s="3" t="s">
        <v>10</v>
      </c>
      <c r="G14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60" s="3" t="s">
        <v>202</v>
      </c>
      <c r="I1460" s="3" t="s">
        <v>31</v>
      </c>
      <c r="J1460" s="3" t="s">
        <v>89</v>
      </c>
      <c r="K1460" s="3" t="s">
        <v>123</v>
      </c>
      <c r="L1460" s="3" t="s">
        <v>124</v>
      </c>
      <c r="M1460" s="4">
        <v>339.47</v>
      </c>
    </row>
    <row r="1461">
      <c r="A1461" s="2">
        <v>45520</v>
      </c>
      <c r="B14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1" s="3" t="str">
        <f>YEAR(KMART_DATA[[#This Row],[Date]])&amp;"-"&amp;TEXT(MONTH(KMART_DATA[[#This Row],[Date]]),"00")</f>
        <v>2024-08</v>
      </c>
      <c r="D1461" s="3" t="s">
        <v>45</v>
      </c>
      <c r="E1461" s="3" t="s">
        <v>262</v>
      </c>
      <c r="F1461" s="3" t="s">
        <v>10</v>
      </c>
      <c r="G14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61" s="3" t="s">
        <v>263</v>
      </c>
      <c r="I1461" s="3" t="s">
        <v>31</v>
      </c>
      <c r="J1461" s="3" t="s">
        <v>120</v>
      </c>
      <c r="K1461" s="3" t="s">
        <v>95</v>
      </c>
      <c r="L1461" s="3" t="s">
        <v>96</v>
      </c>
      <c r="M1461" s="4">
        <v>1152.65</v>
      </c>
    </row>
    <row r="1462">
      <c r="A1462" s="2">
        <v>45520</v>
      </c>
      <c r="B14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2" s="3" t="str">
        <f>YEAR(KMART_DATA[[#This Row],[Date]])&amp;"-"&amp;TEXT(MONTH(KMART_DATA[[#This Row],[Date]]),"00")</f>
        <v>2024-08</v>
      </c>
      <c r="D1462" s="3" t="s">
        <v>45</v>
      </c>
      <c r="E1462" s="3" t="s">
        <v>177</v>
      </c>
      <c r="F1462" s="3" t="s">
        <v>12</v>
      </c>
      <c r="G14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62" s="3" t="s">
        <v>178</v>
      </c>
      <c r="I1462" s="3" t="s">
        <v>31</v>
      </c>
      <c r="J1462" s="3" t="s">
        <v>162</v>
      </c>
      <c r="K1462" s="3" t="s">
        <v>46</v>
      </c>
      <c r="L1462" s="3" t="s">
        <v>47</v>
      </c>
      <c r="M1462" s="4">
        <v>2022.75</v>
      </c>
    </row>
    <row r="1463">
      <c r="A1463" s="2">
        <v>45520</v>
      </c>
      <c r="B14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3" s="3" t="str">
        <f>YEAR(KMART_DATA[[#This Row],[Date]])&amp;"-"&amp;TEXT(MONTH(KMART_DATA[[#This Row],[Date]]),"00")</f>
        <v>2024-08</v>
      </c>
      <c r="D1463" s="3" t="s">
        <v>45</v>
      </c>
      <c r="E1463" s="3" t="s">
        <v>209</v>
      </c>
      <c r="F1463" s="3" t="s">
        <v>9</v>
      </c>
      <c r="G14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63" s="3" t="s">
        <v>210</v>
      </c>
      <c r="I1463" s="3" t="s">
        <v>31</v>
      </c>
      <c r="J1463" s="3" t="s">
        <v>81</v>
      </c>
      <c r="K1463" s="3" t="s">
        <v>57</v>
      </c>
      <c r="L1463" s="3" t="s">
        <v>58</v>
      </c>
      <c r="M1463" s="4">
        <v>3856.94</v>
      </c>
    </row>
    <row r="1464">
      <c r="A1464" s="2">
        <v>45521</v>
      </c>
      <c r="B14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4" s="3" t="str">
        <f>YEAR(KMART_DATA[[#This Row],[Date]])&amp;"-"&amp;TEXT(MONTH(KMART_DATA[[#This Row],[Date]]),"00")</f>
        <v>2024-08</v>
      </c>
      <c r="D1464" s="3" t="s">
        <v>45</v>
      </c>
      <c r="E1464" s="3" t="s">
        <v>59</v>
      </c>
      <c r="F1464" s="3" t="s">
        <v>11</v>
      </c>
      <c r="G14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64" s="3" t="s">
        <v>60</v>
      </c>
      <c r="I1464" s="3" t="s">
        <v>31</v>
      </c>
      <c r="J1464" s="3" t="s">
        <v>61</v>
      </c>
      <c r="K1464" s="3" t="s">
        <v>38</v>
      </c>
      <c r="L1464" s="3" t="s">
        <v>39</v>
      </c>
      <c r="M1464" s="4">
        <v>5.99</v>
      </c>
    </row>
    <row r="1465">
      <c r="A1465" s="2">
        <v>45521</v>
      </c>
      <c r="B14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5" s="3" t="str">
        <f>YEAR(KMART_DATA[[#This Row],[Date]])&amp;"-"&amp;TEXT(MONTH(KMART_DATA[[#This Row],[Date]]),"00")</f>
        <v>2024-08</v>
      </c>
      <c r="D1465" s="3" t="s">
        <v>28</v>
      </c>
      <c r="E1465" s="3" t="s">
        <v>167</v>
      </c>
      <c r="F1465" s="3" t="s">
        <v>12</v>
      </c>
      <c r="G14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65" s="3" t="s">
        <v>168</v>
      </c>
      <c r="I1465" s="3" t="s">
        <v>31</v>
      </c>
      <c r="J1465" s="3" t="s">
        <v>102</v>
      </c>
      <c r="K1465" s="3" t="s">
        <v>71</v>
      </c>
      <c r="L1465" s="3" t="s">
        <v>72</v>
      </c>
      <c r="M1465" s="4">
        <v>231.04</v>
      </c>
    </row>
    <row r="1466">
      <c r="A1466" s="2">
        <v>45521</v>
      </c>
      <c r="B14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6" s="3" t="str">
        <f>YEAR(KMART_DATA[[#This Row],[Date]])&amp;"-"&amp;TEXT(MONTH(KMART_DATA[[#This Row],[Date]]),"00")</f>
        <v>2024-08</v>
      </c>
      <c r="D1466" s="3" t="s">
        <v>28</v>
      </c>
      <c r="E1466" s="3" t="s">
        <v>114</v>
      </c>
      <c r="F1466" s="3" t="s">
        <v>9</v>
      </c>
      <c r="G14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66" s="3" t="s">
        <v>115</v>
      </c>
      <c r="I1466" s="3" t="s">
        <v>31</v>
      </c>
      <c r="J1466" s="3" t="s">
        <v>99</v>
      </c>
      <c r="K1466" s="3" t="s">
        <v>38</v>
      </c>
      <c r="L1466" s="3" t="s">
        <v>39</v>
      </c>
      <c r="M1466" s="4">
        <v>339.38</v>
      </c>
    </row>
    <row r="1467">
      <c r="A1467" s="2">
        <v>45522</v>
      </c>
      <c r="B14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7" s="3" t="str">
        <f>YEAR(KMART_DATA[[#This Row],[Date]])&amp;"-"&amp;TEXT(MONTH(KMART_DATA[[#This Row],[Date]]),"00")</f>
        <v>2024-08</v>
      </c>
      <c r="D1467" s="3" t="s">
        <v>45</v>
      </c>
      <c r="E1467" s="3" t="s">
        <v>97</v>
      </c>
      <c r="F1467" s="3" t="s">
        <v>9</v>
      </c>
      <c r="G14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67" s="3" t="s">
        <v>98</v>
      </c>
      <c r="I1467" s="3" t="s">
        <v>31</v>
      </c>
      <c r="J1467" s="3" t="s">
        <v>99</v>
      </c>
      <c r="K1467" s="3" t="s">
        <v>57</v>
      </c>
      <c r="L1467" s="3" t="s">
        <v>58</v>
      </c>
      <c r="M1467" s="4">
        <v>5.99</v>
      </c>
    </row>
    <row r="1468">
      <c r="A1468" s="2">
        <v>45522</v>
      </c>
      <c r="B14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8" s="3" t="str">
        <f>YEAR(KMART_DATA[[#This Row],[Date]])&amp;"-"&amp;TEXT(MONTH(KMART_DATA[[#This Row],[Date]]),"00")</f>
        <v>2024-08</v>
      </c>
      <c r="D1468" s="3" t="s">
        <v>45</v>
      </c>
      <c r="E1468" s="3" t="s">
        <v>116</v>
      </c>
      <c r="F1468" s="3" t="s">
        <v>9</v>
      </c>
      <c r="G14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68" s="3" t="s">
        <v>117</v>
      </c>
      <c r="I1468" s="3" t="s">
        <v>31</v>
      </c>
      <c r="J1468" s="3" t="s">
        <v>70</v>
      </c>
      <c r="K1468" s="3" t="s">
        <v>112</v>
      </c>
      <c r="L1468" s="3" t="s">
        <v>113</v>
      </c>
      <c r="M1468" s="4">
        <v>274.88</v>
      </c>
    </row>
    <row r="1469">
      <c r="A1469" s="2">
        <v>45522</v>
      </c>
      <c r="B14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69" s="3" t="str">
        <f>YEAR(KMART_DATA[[#This Row],[Date]])&amp;"-"&amp;TEXT(MONTH(KMART_DATA[[#This Row],[Date]]),"00")</f>
        <v>2024-08</v>
      </c>
      <c r="D1469" s="3" t="s">
        <v>28</v>
      </c>
      <c r="E1469" s="3" t="s">
        <v>248</v>
      </c>
      <c r="F1469" s="3" t="s">
        <v>12</v>
      </c>
      <c r="G14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69" s="3" t="s">
        <v>249</v>
      </c>
      <c r="I1469" s="3" t="s">
        <v>31</v>
      </c>
      <c r="J1469" s="3" t="s">
        <v>162</v>
      </c>
      <c r="K1469" s="3" t="s">
        <v>95</v>
      </c>
      <c r="L1469" s="3" t="s">
        <v>96</v>
      </c>
      <c r="M1469" s="4">
        <v>525.99</v>
      </c>
    </row>
    <row r="1470">
      <c r="A1470" s="2">
        <v>45523</v>
      </c>
      <c r="B14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0" s="3" t="str">
        <f>YEAR(KMART_DATA[[#This Row],[Date]])&amp;"-"&amp;TEXT(MONTH(KMART_DATA[[#This Row],[Date]]),"00")</f>
        <v>2024-08</v>
      </c>
      <c r="D1470" s="3" t="s">
        <v>28</v>
      </c>
      <c r="E1470" s="3" t="s">
        <v>232</v>
      </c>
      <c r="F1470" s="3" t="s">
        <v>9</v>
      </c>
      <c r="G14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70" s="3" t="s">
        <v>233</v>
      </c>
      <c r="I1470" s="3" t="s">
        <v>31</v>
      </c>
      <c r="J1470" s="3" t="s">
        <v>75</v>
      </c>
      <c r="K1470" s="3" t="s">
        <v>46</v>
      </c>
      <c r="L1470" s="3" t="s">
        <v>47</v>
      </c>
      <c r="M1470" s="4">
        <v>18.57</v>
      </c>
    </row>
    <row r="1471">
      <c r="A1471" s="2">
        <v>45523</v>
      </c>
      <c r="B14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1" s="3" t="str">
        <f>YEAR(KMART_DATA[[#This Row],[Date]])&amp;"-"&amp;TEXT(MONTH(KMART_DATA[[#This Row],[Date]]),"00")</f>
        <v>2024-08</v>
      </c>
      <c r="D1471" s="3" t="s">
        <v>28</v>
      </c>
      <c r="E1471" s="3" t="s">
        <v>137</v>
      </c>
      <c r="F1471" s="3" t="s">
        <v>10</v>
      </c>
      <c r="G14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71" s="3" t="s">
        <v>138</v>
      </c>
      <c r="I1471" s="3" t="s">
        <v>31</v>
      </c>
      <c r="J1471" s="3" t="s">
        <v>89</v>
      </c>
      <c r="K1471" s="3" t="s">
        <v>123</v>
      </c>
      <c r="L1471" s="3" t="s">
        <v>124</v>
      </c>
      <c r="M1471" s="4">
        <v>129.56</v>
      </c>
    </row>
    <row r="1472">
      <c r="A1472" s="2">
        <v>45523</v>
      </c>
      <c r="B14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2" s="3" t="str">
        <f>YEAR(KMART_DATA[[#This Row],[Date]])&amp;"-"&amp;TEXT(MONTH(KMART_DATA[[#This Row],[Date]]),"00")</f>
        <v>2024-08</v>
      </c>
      <c r="D1472" s="3" t="s">
        <v>45</v>
      </c>
      <c r="E1472" s="3" t="s">
        <v>146</v>
      </c>
      <c r="F1472" s="3" t="s">
        <v>9</v>
      </c>
      <c r="G14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72" s="3" t="s">
        <v>147</v>
      </c>
      <c r="I1472" s="3" t="s">
        <v>31</v>
      </c>
      <c r="J1472" s="3" t="s">
        <v>75</v>
      </c>
      <c r="K1472" s="3" t="s">
        <v>43</v>
      </c>
      <c r="L1472" s="3" t="s">
        <v>44</v>
      </c>
      <c r="M1472" s="4">
        <v>134.9</v>
      </c>
    </row>
    <row r="1473">
      <c r="A1473" s="2">
        <v>45523</v>
      </c>
      <c r="B14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3" s="3" t="str">
        <f>YEAR(KMART_DATA[[#This Row],[Date]])&amp;"-"&amp;TEXT(MONTH(KMART_DATA[[#This Row],[Date]]),"00")</f>
        <v>2024-08</v>
      </c>
      <c r="D1473" s="3" t="s">
        <v>28</v>
      </c>
      <c r="E1473" s="3" t="s">
        <v>125</v>
      </c>
      <c r="F1473" s="3" t="s">
        <v>10</v>
      </c>
      <c r="G14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73" s="3" t="s">
        <v>126</v>
      </c>
      <c r="I1473" s="3" t="s">
        <v>31</v>
      </c>
      <c r="J1473" s="3" t="s">
        <v>94</v>
      </c>
      <c r="K1473" s="3" t="s">
        <v>33</v>
      </c>
      <c r="L1473" s="3" t="s">
        <v>34</v>
      </c>
      <c r="M1473" s="4">
        <v>568.99</v>
      </c>
    </row>
    <row r="1474">
      <c r="A1474" s="2">
        <v>45523</v>
      </c>
      <c r="B14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4" s="3" t="str">
        <f>YEAR(KMART_DATA[[#This Row],[Date]])&amp;"-"&amp;TEXT(MONTH(KMART_DATA[[#This Row],[Date]]),"00")</f>
        <v>2024-08</v>
      </c>
      <c r="D1474" s="3" t="s">
        <v>45</v>
      </c>
      <c r="E1474" s="3" t="s">
        <v>262</v>
      </c>
      <c r="F1474" s="3" t="s">
        <v>10</v>
      </c>
      <c r="G14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74" s="3" t="s">
        <v>263</v>
      </c>
      <c r="I1474" s="3" t="s">
        <v>31</v>
      </c>
      <c r="J1474" s="3" t="s">
        <v>120</v>
      </c>
      <c r="K1474" s="3" t="s">
        <v>46</v>
      </c>
      <c r="L1474" s="3" t="s">
        <v>47</v>
      </c>
      <c r="M1474" s="4">
        <v>853.53</v>
      </c>
    </row>
    <row r="1475">
      <c r="A1475" s="2">
        <v>45523</v>
      </c>
      <c r="B14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5" s="3" t="str">
        <f>YEAR(KMART_DATA[[#This Row],[Date]])&amp;"-"&amp;TEXT(MONTH(KMART_DATA[[#This Row],[Date]]),"00")</f>
        <v>2024-08</v>
      </c>
      <c r="D1475" s="3" t="s">
        <v>28</v>
      </c>
      <c r="E1475" s="3" t="s">
        <v>250</v>
      </c>
      <c r="F1475" s="3" t="s">
        <v>10</v>
      </c>
      <c r="G14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75" s="3" t="s">
        <v>251</v>
      </c>
      <c r="I1475" s="3" t="s">
        <v>31</v>
      </c>
      <c r="J1475" s="3" t="s">
        <v>37</v>
      </c>
      <c r="K1475" s="3" t="s">
        <v>123</v>
      </c>
      <c r="L1475" s="3" t="s">
        <v>124</v>
      </c>
      <c r="M1475" s="4">
        <v>4544.01</v>
      </c>
    </row>
    <row r="1476">
      <c r="A1476" s="2">
        <v>45524</v>
      </c>
      <c r="B14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6" s="3" t="str">
        <f>YEAR(KMART_DATA[[#This Row],[Date]])&amp;"-"&amp;TEXT(MONTH(KMART_DATA[[#This Row],[Date]]),"00")</f>
        <v>2024-08</v>
      </c>
      <c r="D1476" s="3" t="s">
        <v>28</v>
      </c>
      <c r="E1476" s="3" t="s">
        <v>118</v>
      </c>
      <c r="F1476" s="3" t="s">
        <v>10</v>
      </c>
      <c r="G14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76" s="3" t="s">
        <v>119</v>
      </c>
      <c r="I1476" s="3" t="s">
        <v>31</v>
      </c>
      <c r="J1476" s="3" t="s">
        <v>120</v>
      </c>
      <c r="K1476" s="3" t="s">
        <v>33</v>
      </c>
      <c r="L1476" s="3" t="s">
        <v>34</v>
      </c>
      <c r="M1476" s="4">
        <v>4.0</v>
      </c>
    </row>
    <row r="1477">
      <c r="A1477" s="2">
        <v>45524</v>
      </c>
      <c r="B14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7" s="3" t="str">
        <f>YEAR(KMART_DATA[[#This Row],[Date]])&amp;"-"&amp;TEXT(MONTH(KMART_DATA[[#This Row],[Date]]),"00")</f>
        <v>2024-08</v>
      </c>
      <c r="D1477" s="3" t="s">
        <v>28</v>
      </c>
      <c r="E1477" s="3" t="s">
        <v>165</v>
      </c>
      <c r="F1477" s="3" t="s">
        <v>9</v>
      </c>
      <c r="G14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77" s="3" t="s">
        <v>166</v>
      </c>
      <c r="I1477" s="3" t="s">
        <v>31</v>
      </c>
      <c r="J1477" s="3" t="s">
        <v>99</v>
      </c>
      <c r="K1477" s="3" t="s">
        <v>38</v>
      </c>
      <c r="L1477" s="3" t="s">
        <v>39</v>
      </c>
      <c r="M1477" s="4">
        <v>47.95</v>
      </c>
    </row>
    <row r="1478">
      <c r="A1478" s="2">
        <v>45524</v>
      </c>
      <c r="B14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8" s="3" t="str">
        <f>YEAR(KMART_DATA[[#This Row],[Date]])&amp;"-"&amp;TEXT(MONTH(KMART_DATA[[#This Row],[Date]]),"00")</f>
        <v>2024-08</v>
      </c>
      <c r="D1478" s="3" t="s">
        <v>45</v>
      </c>
      <c r="E1478" s="3" t="s">
        <v>35</v>
      </c>
      <c r="F1478" s="3" t="s">
        <v>10</v>
      </c>
      <c r="G14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78" s="3" t="s">
        <v>36</v>
      </c>
      <c r="I1478" s="3" t="s">
        <v>31</v>
      </c>
      <c r="J1478" s="3" t="s">
        <v>37</v>
      </c>
      <c r="K1478" s="3" t="s">
        <v>71</v>
      </c>
      <c r="L1478" s="3" t="s">
        <v>72</v>
      </c>
      <c r="M1478" s="4">
        <v>207.74</v>
      </c>
    </row>
    <row r="1479">
      <c r="A1479" s="2">
        <v>45524</v>
      </c>
      <c r="B14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79" s="3" t="str">
        <f>YEAR(KMART_DATA[[#This Row],[Date]])&amp;"-"&amp;TEXT(MONTH(KMART_DATA[[#This Row],[Date]]),"00")</f>
        <v>2024-08</v>
      </c>
      <c r="D1479" s="3" t="s">
        <v>28</v>
      </c>
      <c r="E1479" s="3" t="s">
        <v>29</v>
      </c>
      <c r="F1479" s="3" t="s">
        <v>11</v>
      </c>
      <c r="G14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79" s="3" t="s">
        <v>30</v>
      </c>
      <c r="I1479" s="3" t="s">
        <v>31</v>
      </c>
      <c r="J1479" s="3" t="s">
        <v>32</v>
      </c>
      <c r="K1479" s="3" t="s">
        <v>43</v>
      </c>
      <c r="L1479" s="3" t="s">
        <v>44</v>
      </c>
      <c r="M1479" s="4">
        <v>375.65</v>
      </c>
    </row>
    <row r="1480">
      <c r="A1480" s="2">
        <v>45524</v>
      </c>
      <c r="B14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0" s="3" t="str">
        <f>YEAR(KMART_DATA[[#This Row],[Date]])&amp;"-"&amp;TEXT(MONTH(KMART_DATA[[#This Row],[Date]]),"00")</f>
        <v>2024-08</v>
      </c>
      <c r="D1480" s="3" t="s">
        <v>28</v>
      </c>
      <c r="E1480" s="3" t="s">
        <v>129</v>
      </c>
      <c r="F1480" s="3" t="s">
        <v>10</v>
      </c>
      <c r="G14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80" s="3" t="s">
        <v>130</v>
      </c>
      <c r="I1480" s="3" t="s">
        <v>31</v>
      </c>
      <c r="J1480" s="3" t="s">
        <v>120</v>
      </c>
      <c r="K1480" s="3" t="s">
        <v>46</v>
      </c>
      <c r="L1480" s="3" t="s">
        <v>47</v>
      </c>
      <c r="M1480" s="4">
        <v>519.43</v>
      </c>
    </row>
    <row r="1481">
      <c r="A1481" s="2">
        <v>45524</v>
      </c>
      <c r="B14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1" s="3" t="str">
        <f>YEAR(KMART_DATA[[#This Row],[Date]])&amp;"-"&amp;TEXT(MONTH(KMART_DATA[[#This Row],[Date]]),"00")</f>
        <v>2024-08</v>
      </c>
      <c r="D1481" s="3" t="s">
        <v>28</v>
      </c>
      <c r="E1481" s="3" t="s">
        <v>181</v>
      </c>
      <c r="F1481" s="3" t="s">
        <v>11</v>
      </c>
      <c r="G14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81" s="3" t="s">
        <v>182</v>
      </c>
      <c r="I1481" s="3" t="s">
        <v>31</v>
      </c>
      <c r="J1481" s="3" t="s">
        <v>56</v>
      </c>
      <c r="K1481" s="3" t="s">
        <v>38</v>
      </c>
      <c r="L1481" s="3" t="s">
        <v>39</v>
      </c>
      <c r="M1481" s="4">
        <v>850.43</v>
      </c>
    </row>
    <row r="1482">
      <c r="A1482" s="2">
        <v>45524</v>
      </c>
      <c r="B14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2" s="3" t="str">
        <f>YEAR(KMART_DATA[[#This Row],[Date]])&amp;"-"&amp;TEXT(MONTH(KMART_DATA[[#This Row],[Date]]),"00")</f>
        <v>2024-08</v>
      </c>
      <c r="D1482" s="3" t="s">
        <v>28</v>
      </c>
      <c r="E1482" s="3" t="s">
        <v>193</v>
      </c>
      <c r="F1482" s="3" t="s">
        <v>9</v>
      </c>
      <c r="G14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82" s="3" t="s">
        <v>194</v>
      </c>
      <c r="I1482" s="3" t="s">
        <v>31</v>
      </c>
      <c r="J1482" s="3" t="s">
        <v>99</v>
      </c>
      <c r="K1482" s="3" t="s">
        <v>57</v>
      </c>
      <c r="L1482" s="3" t="s">
        <v>58</v>
      </c>
      <c r="M1482" s="4">
        <v>894.97</v>
      </c>
    </row>
    <row r="1483">
      <c r="A1483" s="2">
        <v>45525</v>
      </c>
      <c r="B14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3" s="3" t="str">
        <f>YEAR(KMART_DATA[[#This Row],[Date]])&amp;"-"&amp;TEXT(MONTH(KMART_DATA[[#This Row],[Date]]),"00")</f>
        <v>2024-08</v>
      </c>
      <c r="D1483" s="3" t="s">
        <v>28</v>
      </c>
      <c r="E1483" s="3" t="s">
        <v>165</v>
      </c>
      <c r="F1483" s="3" t="s">
        <v>9</v>
      </c>
      <c r="G14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83" s="3" t="s">
        <v>166</v>
      </c>
      <c r="I1483" s="3" t="s">
        <v>31</v>
      </c>
      <c r="J1483" s="3" t="s">
        <v>99</v>
      </c>
      <c r="K1483" s="3" t="s">
        <v>71</v>
      </c>
      <c r="L1483" s="3" t="s">
        <v>72</v>
      </c>
      <c r="M1483" s="4">
        <v>6.0</v>
      </c>
    </row>
    <row r="1484">
      <c r="A1484" s="2">
        <v>45525</v>
      </c>
      <c r="B14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4" s="3" t="str">
        <f>YEAR(KMART_DATA[[#This Row],[Date]])&amp;"-"&amp;TEXT(MONTH(KMART_DATA[[#This Row],[Date]]),"00")</f>
        <v>2024-08</v>
      </c>
      <c r="D1484" s="3" t="s">
        <v>45</v>
      </c>
      <c r="E1484" s="3" t="s">
        <v>236</v>
      </c>
      <c r="F1484" s="3" t="s">
        <v>12</v>
      </c>
      <c r="G14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84" s="3" t="s">
        <v>237</v>
      </c>
      <c r="I1484" s="3" t="s">
        <v>31</v>
      </c>
      <c r="J1484" s="3" t="s">
        <v>102</v>
      </c>
      <c r="K1484" s="3" t="s">
        <v>33</v>
      </c>
      <c r="L1484" s="3" t="s">
        <v>34</v>
      </c>
      <c r="M1484" s="4">
        <v>24.08</v>
      </c>
    </row>
    <row r="1485">
      <c r="A1485" s="2">
        <v>45525</v>
      </c>
      <c r="B14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5" s="3" t="str">
        <f>YEAR(KMART_DATA[[#This Row],[Date]])&amp;"-"&amp;TEXT(MONTH(KMART_DATA[[#This Row],[Date]]),"00")</f>
        <v>2024-08</v>
      </c>
      <c r="D1485" s="3" t="s">
        <v>28</v>
      </c>
      <c r="E1485" s="3" t="s">
        <v>148</v>
      </c>
      <c r="F1485" s="3" t="s">
        <v>12</v>
      </c>
      <c r="G14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85" s="3" t="s">
        <v>149</v>
      </c>
      <c r="I1485" s="3" t="s">
        <v>31</v>
      </c>
      <c r="J1485" s="3" t="s">
        <v>50</v>
      </c>
      <c r="K1485" s="3" t="s">
        <v>38</v>
      </c>
      <c r="L1485" s="3" t="s">
        <v>39</v>
      </c>
      <c r="M1485" s="4">
        <v>42.93</v>
      </c>
    </row>
    <row r="1486">
      <c r="A1486" s="2">
        <v>45525</v>
      </c>
      <c r="B14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6" s="3" t="str">
        <f>YEAR(KMART_DATA[[#This Row],[Date]])&amp;"-"&amp;TEXT(MONTH(KMART_DATA[[#This Row],[Date]]),"00")</f>
        <v>2024-08</v>
      </c>
      <c r="D1486" s="3" t="s">
        <v>45</v>
      </c>
      <c r="E1486" s="3" t="s">
        <v>103</v>
      </c>
      <c r="F1486" s="3" t="s">
        <v>12</v>
      </c>
      <c r="G14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86" s="3" t="s">
        <v>104</v>
      </c>
      <c r="I1486" s="3" t="s">
        <v>31</v>
      </c>
      <c r="J1486" s="3" t="s">
        <v>102</v>
      </c>
      <c r="K1486" s="3" t="s">
        <v>71</v>
      </c>
      <c r="L1486" s="3" t="s">
        <v>72</v>
      </c>
      <c r="M1486" s="4">
        <v>64.89</v>
      </c>
    </row>
    <row r="1487">
      <c r="A1487" s="2">
        <v>45525</v>
      </c>
      <c r="B14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7" s="3" t="str">
        <f>YEAR(KMART_DATA[[#This Row],[Date]])&amp;"-"&amp;TEXT(MONTH(KMART_DATA[[#This Row],[Date]]),"00")</f>
        <v>2024-08</v>
      </c>
      <c r="D1487" s="3" t="s">
        <v>28</v>
      </c>
      <c r="E1487" s="3" t="s">
        <v>54</v>
      </c>
      <c r="F1487" s="3" t="s">
        <v>11</v>
      </c>
      <c r="G14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87" s="3" t="s">
        <v>55</v>
      </c>
      <c r="I1487" s="3" t="s">
        <v>31</v>
      </c>
      <c r="J1487" s="3" t="s">
        <v>56</v>
      </c>
      <c r="K1487" s="3" t="s">
        <v>46</v>
      </c>
      <c r="L1487" s="3" t="s">
        <v>47</v>
      </c>
      <c r="M1487" s="4">
        <v>65.89</v>
      </c>
    </row>
    <row r="1488">
      <c r="A1488" s="2">
        <v>45525</v>
      </c>
      <c r="B14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8" s="3" t="str">
        <f>YEAR(KMART_DATA[[#This Row],[Date]])&amp;"-"&amp;TEXT(MONTH(KMART_DATA[[#This Row],[Date]]),"00")</f>
        <v>2024-08</v>
      </c>
      <c r="D1488" s="3" t="s">
        <v>28</v>
      </c>
      <c r="E1488" s="3" t="s">
        <v>217</v>
      </c>
      <c r="F1488" s="3" t="s">
        <v>10</v>
      </c>
      <c r="G14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88" s="3" t="s">
        <v>218</v>
      </c>
      <c r="I1488" s="3" t="s">
        <v>31</v>
      </c>
      <c r="J1488" s="3" t="s">
        <v>89</v>
      </c>
      <c r="K1488" s="3" t="s">
        <v>71</v>
      </c>
      <c r="L1488" s="3" t="s">
        <v>72</v>
      </c>
      <c r="M1488" s="4">
        <v>313.62</v>
      </c>
    </row>
    <row r="1489">
      <c r="A1489" s="2">
        <v>45525</v>
      </c>
      <c r="B14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89" s="3" t="str">
        <f>YEAR(KMART_DATA[[#This Row],[Date]])&amp;"-"&amp;TEXT(MONTH(KMART_DATA[[#This Row],[Date]]),"00")</f>
        <v>2024-08</v>
      </c>
      <c r="D1489" s="3" t="s">
        <v>28</v>
      </c>
      <c r="E1489" s="3" t="s">
        <v>100</v>
      </c>
      <c r="F1489" s="3" t="s">
        <v>12</v>
      </c>
      <c r="G14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89" s="3" t="s">
        <v>101</v>
      </c>
      <c r="I1489" s="3" t="s">
        <v>31</v>
      </c>
      <c r="J1489" s="3" t="s">
        <v>102</v>
      </c>
      <c r="K1489" s="3" t="s">
        <v>71</v>
      </c>
      <c r="L1489" s="3" t="s">
        <v>72</v>
      </c>
      <c r="M1489" s="4">
        <v>427.57</v>
      </c>
    </row>
    <row r="1490">
      <c r="A1490" s="2">
        <v>45525</v>
      </c>
      <c r="B14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0" s="3" t="str">
        <f>YEAR(KMART_DATA[[#This Row],[Date]])&amp;"-"&amp;TEXT(MONTH(KMART_DATA[[#This Row],[Date]]),"00")</f>
        <v>2024-08</v>
      </c>
      <c r="D1490" s="3" t="s">
        <v>45</v>
      </c>
      <c r="E1490" s="3" t="s">
        <v>116</v>
      </c>
      <c r="F1490" s="3" t="s">
        <v>9</v>
      </c>
      <c r="G14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90" s="3" t="s">
        <v>117</v>
      </c>
      <c r="I1490" s="3" t="s">
        <v>31</v>
      </c>
      <c r="J1490" s="3" t="s">
        <v>70</v>
      </c>
      <c r="K1490" s="3" t="s">
        <v>71</v>
      </c>
      <c r="L1490" s="3" t="s">
        <v>72</v>
      </c>
      <c r="M1490" s="4">
        <v>534.07</v>
      </c>
    </row>
    <row r="1491">
      <c r="A1491" s="2">
        <v>45526</v>
      </c>
      <c r="B14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1" s="3" t="str">
        <f>YEAR(KMART_DATA[[#This Row],[Date]])&amp;"-"&amp;TEXT(MONTH(KMART_DATA[[#This Row],[Date]]),"00")</f>
        <v>2024-08</v>
      </c>
      <c r="D1491" s="3" t="s">
        <v>45</v>
      </c>
      <c r="E1491" s="3" t="s">
        <v>116</v>
      </c>
      <c r="F1491" s="3" t="s">
        <v>9</v>
      </c>
      <c r="G14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91" s="3" t="s">
        <v>117</v>
      </c>
      <c r="I1491" s="3" t="s">
        <v>31</v>
      </c>
      <c r="J1491" s="3" t="s">
        <v>70</v>
      </c>
      <c r="K1491" s="3" t="s">
        <v>38</v>
      </c>
      <c r="L1491" s="3" t="s">
        <v>39</v>
      </c>
      <c r="M1491" s="4">
        <v>28.93</v>
      </c>
    </row>
    <row r="1492">
      <c r="A1492" s="2">
        <v>45526</v>
      </c>
      <c r="B14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2" s="3" t="str">
        <f>YEAR(KMART_DATA[[#This Row],[Date]])&amp;"-"&amp;TEXT(MONTH(KMART_DATA[[#This Row],[Date]]),"00")</f>
        <v>2024-08</v>
      </c>
      <c r="D1492" s="3" t="s">
        <v>28</v>
      </c>
      <c r="E1492" s="3" t="s">
        <v>256</v>
      </c>
      <c r="F1492" s="3" t="s">
        <v>9</v>
      </c>
      <c r="G14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92" s="3" t="s">
        <v>257</v>
      </c>
      <c r="I1492" s="3" t="s">
        <v>31</v>
      </c>
      <c r="J1492" s="3" t="s">
        <v>70</v>
      </c>
      <c r="K1492" s="3" t="s">
        <v>33</v>
      </c>
      <c r="L1492" s="3" t="s">
        <v>34</v>
      </c>
      <c r="M1492" s="4">
        <v>165.44</v>
      </c>
    </row>
    <row r="1493">
      <c r="A1493" s="2">
        <v>45526</v>
      </c>
      <c r="B14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3" s="3" t="str">
        <f>YEAR(KMART_DATA[[#This Row],[Date]])&amp;"-"&amp;TEXT(MONTH(KMART_DATA[[#This Row],[Date]]),"00")</f>
        <v>2024-08</v>
      </c>
      <c r="D1493" s="3" t="s">
        <v>45</v>
      </c>
      <c r="E1493" s="3" t="s">
        <v>131</v>
      </c>
      <c r="F1493" s="3" t="s">
        <v>11</v>
      </c>
      <c r="G14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493" s="3" t="s">
        <v>132</v>
      </c>
      <c r="I1493" s="3" t="s">
        <v>31</v>
      </c>
      <c r="J1493" s="3" t="s">
        <v>32</v>
      </c>
      <c r="K1493" s="3" t="s">
        <v>46</v>
      </c>
      <c r="L1493" s="3" t="s">
        <v>47</v>
      </c>
      <c r="M1493" s="4">
        <v>204.83</v>
      </c>
    </row>
    <row r="1494">
      <c r="A1494" s="2">
        <v>45526</v>
      </c>
      <c r="B14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4" s="3" t="str">
        <f>YEAR(KMART_DATA[[#This Row],[Date]])&amp;"-"&amp;TEXT(MONTH(KMART_DATA[[#This Row],[Date]]),"00")</f>
        <v>2024-08</v>
      </c>
      <c r="D1494" s="3" t="s">
        <v>28</v>
      </c>
      <c r="E1494" s="3" t="s">
        <v>242</v>
      </c>
      <c r="F1494" s="3" t="s">
        <v>10</v>
      </c>
      <c r="G14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494" s="3" t="s">
        <v>243</v>
      </c>
      <c r="I1494" s="3" t="s">
        <v>31</v>
      </c>
      <c r="J1494" s="3" t="s">
        <v>94</v>
      </c>
      <c r="K1494" s="3" t="s">
        <v>43</v>
      </c>
      <c r="L1494" s="3" t="s">
        <v>44</v>
      </c>
      <c r="M1494" s="4">
        <v>220.78</v>
      </c>
    </row>
    <row r="1495">
      <c r="A1495" s="2">
        <v>45526</v>
      </c>
      <c r="B14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5" s="3" t="str">
        <f>YEAR(KMART_DATA[[#This Row],[Date]])&amp;"-"&amp;TEXT(MONTH(KMART_DATA[[#This Row],[Date]]),"00")</f>
        <v>2024-08</v>
      </c>
      <c r="D1495" s="3" t="s">
        <v>45</v>
      </c>
      <c r="E1495" s="3" t="s">
        <v>148</v>
      </c>
      <c r="F1495" s="3" t="s">
        <v>12</v>
      </c>
      <c r="G14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95" s="3" t="s">
        <v>149</v>
      </c>
      <c r="I1495" s="3" t="s">
        <v>31</v>
      </c>
      <c r="J1495" s="3" t="s">
        <v>50</v>
      </c>
      <c r="K1495" s="3" t="s">
        <v>46</v>
      </c>
      <c r="L1495" s="3" t="s">
        <v>47</v>
      </c>
      <c r="M1495" s="4">
        <v>393.68</v>
      </c>
    </row>
    <row r="1496">
      <c r="A1496" s="2">
        <v>45526</v>
      </c>
      <c r="B14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6" s="3" t="str">
        <f>YEAR(KMART_DATA[[#This Row],[Date]])&amp;"-"&amp;TEXT(MONTH(KMART_DATA[[#This Row],[Date]]),"00")</f>
        <v>2024-08</v>
      </c>
      <c r="D1496" s="3" t="s">
        <v>45</v>
      </c>
      <c r="E1496" s="3" t="s">
        <v>177</v>
      </c>
      <c r="F1496" s="3" t="s">
        <v>12</v>
      </c>
      <c r="G14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96" s="3" t="s">
        <v>178</v>
      </c>
      <c r="I1496" s="3" t="s">
        <v>31</v>
      </c>
      <c r="J1496" s="3" t="s">
        <v>162</v>
      </c>
      <c r="K1496" s="3" t="s">
        <v>123</v>
      </c>
      <c r="L1496" s="3" t="s">
        <v>124</v>
      </c>
      <c r="M1496" s="4">
        <v>4333.85</v>
      </c>
    </row>
    <row r="1497">
      <c r="A1497" s="2">
        <v>45527</v>
      </c>
      <c r="B14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7" s="3" t="str">
        <f>YEAR(KMART_DATA[[#This Row],[Date]])&amp;"-"&amp;TEXT(MONTH(KMART_DATA[[#This Row],[Date]]),"00")</f>
        <v>2024-08</v>
      </c>
      <c r="D1497" s="3" t="s">
        <v>28</v>
      </c>
      <c r="E1497" s="3" t="s">
        <v>197</v>
      </c>
      <c r="F1497" s="3" t="s">
        <v>9</v>
      </c>
      <c r="G14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97" s="3" t="s">
        <v>198</v>
      </c>
      <c r="I1497" s="3" t="s">
        <v>31</v>
      </c>
      <c r="J1497" s="3" t="s">
        <v>107</v>
      </c>
      <c r="K1497" s="3" t="s">
        <v>46</v>
      </c>
      <c r="L1497" s="3" t="s">
        <v>47</v>
      </c>
      <c r="M1497" s="4">
        <v>7.0</v>
      </c>
    </row>
    <row r="1498">
      <c r="A1498" s="2">
        <v>45527</v>
      </c>
      <c r="B14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8" s="3" t="str">
        <f>YEAR(KMART_DATA[[#This Row],[Date]])&amp;"-"&amp;TEXT(MONTH(KMART_DATA[[#This Row],[Date]]),"00")</f>
        <v>2024-08</v>
      </c>
      <c r="D1498" s="3" t="s">
        <v>28</v>
      </c>
      <c r="E1498" s="3" t="s">
        <v>156</v>
      </c>
      <c r="F1498" s="3" t="s">
        <v>9</v>
      </c>
      <c r="G14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498" s="3" t="s">
        <v>157</v>
      </c>
      <c r="I1498" s="3" t="s">
        <v>31</v>
      </c>
      <c r="J1498" s="3" t="s">
        <v>75</v>
      </c>
      <c r="K1498" s="3" t="s">
        <v>43</v>
      </c>
      <c r="L1498" s="3" t="s">
        <v>44</v>
      </c>
      <c r="M1498" s="4">
        <v>10.09</v>
      </c>
    </row>
    <row r="1499">
      <c r="A1499" s="2">
        <v>45527</v>
      </c>
      <c r="B14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499" s="3" t="str">
        <f>YEAR(KMART_DATA[[#This Row],[Date]])&amp;"-"&amp;TEXT(MONTH(KMART_DATA[[#This Row],[Date]]),"00")</f>
        <v>2024-08</v>
      </c>
      <c r="D1499" s="3" t="s">
        <v>28</v>
      </c>
      <c r="E1499" s="3" t="s">
        <v>185</v>
      </c>
      <c r="F1499" s="3" t="s">
        <v>12</v>
      </c>
      <c r="G14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499" s="3" t="s">
        <v>186</v>
      </c>
      <c r="I1499" s="3" t="s">
        <v>31</v>
      </c>
      <c r="J1499" s="3" t="s">
        <v>162</v>
      </c>
      <c r="K1499" s="3" t="s">
        <v>112</v>
      </c>
      <c r="L1499" s="3" t="s">
        <v>113</v>
      </c>
      <c r="M1499" s="4">
        <v>23.89</v>
      </c>
    </row>
    <row r="1500">
      <c r="A1500" s="2">
        <v>45527</v>
      </c>
      <c r="B15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0" s="3" t="str">
        <f>YEAR(KMART_DATA[[#This Row],[Date]])&amp;"-"&amp;TEXT(MONTH(KMART_DATA[[#This Row],[Date]]),"00")</f>
        <v>2024-08</v>
      </c>
      <c r="D1500" s="3" t="s">
        <v>45</v>
      </c>
      <c r="E1500" s="3" t="s">
        <v>105</v>
      </c>
      <c r="F1500" s="3" t="s">
        <v>9</v>
      </c>
      <c r="G15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00" s="3" t="s">
        <v>106</v>
      </c>
      <c r="I1500" s="3" t="s">
        <v>31</v>
      </c>
      <c r="J1500" s="3" t="s">
        <v>107</v>
      </c>
      <c r="K1500" s="3" t="s">
        <v>46</v>
      </c>
      <c r="L1500" s="3" t="s">
        <v>47</v>
      </c>
      <c r="M1500" s="4">
        <v>90.93</v>
      </c>
    </row>
    <row r="1501">
      <c r="A1501" s="2">
        <v>45527</v>
      </c>
      <c r="B15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1" s="3" t="str">
        <f>YEAR(KMART_DATA[[#This Row],[Date]])&amp;"-"&amp;TEXT(MONTH(KMART_DATA[[#This Row],[Date]]),"00")</f>
        <v>2024-08</v>
      </c>
      <c r="D1501" s="3" t="s">
        <v>28</v>
      </c>
      <c r="E1501" s="3" t="s">
        <v>189</v>
      </c>
      <c r="F1501" s="3" t="s">
        <v>9</v>
      </c>
      <c r="G15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01" s="3" t="s">
        <v>190</v>
      </c>
      <c r="I1501" s="3" t="s">
        <v>31</v>
      </c>
      <c r="J1501" s="3" t="s">
        <v>81</v>
      </c>
      <c r="K1501" s="3" t="s">
        <v>71</v>
      </c>
      <c r="L1501" s="3" t="s">
        <v>72</v>
      </c>
      <c r="M1501" s="4">
        <v>347.49</v>
      </c>
    </row>
    <row r="1502">
      <c r="A1502" s="2">
        <v>45527</v>
      </c>
      <c r="B15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2" s="3" t="str">
        <f>YEAR(KMART_DATA[[#This Row],[Date]])&amp;"-"&amp;TEXT(MONTH(KMART_DATA[[#This Row],[Date]]),"00")</f>
        <v>2024-08</v>
      </c>
      <c r="D1502" s="3" t="s">
        <v>28</v>
      </c>
      <c r="E1502" s="3" t="s">
        <v>179</v>
      </c>
      <c r="F1502" s="3" t="s">
        <v>9</v>
      </c>
      <c r="G15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02" s="3" t="s">
        <v>180</v>
      </c>
      <c r="I1502" s="3" t="s">
        <v>31</v>
      </c>
      <c r="J1502" s="3" t="s">
        <v>99</v>
      </c>
      <c r="K1502" s="3" t="s">
        <v>112</v>
      </c>
      <c r="L1502" s="3" t="s">
        <v>113</v>
      </c>
      <c r="M1502" s="4">
        <v>398.91</v>
      </c>
    </row>
    <row r="1503">
      <c r="A1503" s="2">
        <v>45527</v>
      </c>
      <c r="B15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3" s="3" t="str">
        <f>YEAR(KMART_DATA[[#This Row],[Date]])&amp;"-"&amp;TEXT(MONTH(KMART_DATA[[#This Row],[Date]]),"00")</f>
        <v>2024-08</v>
      </c>
      <c r="D1503" s="3" t="s">
        <v>28</v>
      </c>
      <c r="E1503" s="3" t="s">
        <v>191</v>
      </c>
      <c r="F1503" s="3" t="s">
        <v>10</v>
      </c>
      <c r="G15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03" s="3" t="s">
        <v>192</v>
      </c>
      <c r="I1503" s="3" t="s">
        <v>31</v>
      </c>
      <c r="J1503" s="3" t="s">
        <v>120</v>
      </c>
      <c r="K1503" s="3" t="s">
        <v>95</v>
      </c>
      <c r="L1503" s="3" t="s">
        <v>96</v>
      </c>
      <c r="M1503" s="4">
        <v>809.31</v>
      </c>
    </row>
    <row r="1504">
      <c r="A1504" s="2">
        <v>45527</v>
      </c>
      <c r="B15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4" s="3" t="str">
        <f>YEAR(KMART_DATA[[#This Row],[Date]])&amp;"-"&amp;TEXT(MONTH(KMART_DATA[[#This Row],[Date]]),"00")</f>
        <v>2024-08</v>
      </c>
      <c r="D1504" s="3" t="s">
        <v>28</v>
      </c>
      <c r="E1504" s="3" t="s">
        <v>133</v>
      </c>
      <c r="F1504" s="3" t="s">
        <v>10</v>
      </c>
      <c r="G15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04" s="3" t="s">
        <v>134</v>
      </c>
      <c r="I1504" s="3" t="s">
        <v>31</v>
      </c>
      <c r="J1504" s="3" t="s">
        <v>37</v>
      </c>
      <c r="K1504" s="3" t="s">
        <v>71</v>
      </c>
      <c r="L1504" s="3" t="s">
        <v>72</v>
      </c>
      <c r="M1504" s="4">
        <v>846.9</v>
      </c>
    </row>
    <row r="1505">
      <c r="A1505" s="2">
        <v>45527</v>
      </c>
      <c r="B15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5" s="3" t="str">
        <f>YEAR(KMART_DATA[[#This Row],[Date]])&amp;"-"&amp;TEXT(MONTH(KMART_DATA[[#This Row],[Date]]),"00")</f>
        <v>2024-08</v>
      </c>
      <c r="D1505" s="3" t="s">
        <v>45</v>
      </c>
      <c r="E1505" s="3" t="s">
        <v>165</v>
      </c>
      <c r="F1505" s="3" t="s">
        <v>9</v>
      </c>
      <c r="G15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05" s="3" t="s">
        <v>166</v>
      </c>
      <c r="I1505" s="3" t="s">
        <v>31</v>
      </c>
      <c r="J1505" s="3" t="s">
        <v>99</v>
      </c>
      <c r="K1505" s="3" t="s">
        <v>46</v>
      </c>
      <c r="L1505" s="3" t="s">
        <v>47</v>
      </c>
      <c r="M1505" s="4">
        <v>2406.17</v>
      </c>
    </row>
    <row r="1506">
      <c r="A1506" s="2">
        <v>45528</v>
      </c>
      <c r="B15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6" s="3" t="str">
        <f>YEAR(KMART_DATA[[#This Row],[Date]])&amp;"-"&amp;TEXT(MONTH(KMART_DATA[[#This Row],[Date]]),"00")</f>
        <v>2024-08</v>
      </c>
      <c r="D1506" s="3" t="s">
        <v>28</v>
      </c>
      <c r="E1506" s="3" t="s">
        <v>244</v>
      </c>
      <c r="F1506" s="3" t="s">
        <v>13</v>
      </c>
      <c r="G15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06" s="3" t="s">
        <v>245</v>
      </c>
      <c r="I1506" s="3" t="s">
        <v>31</v>
      </c>
      <c r="J1506" s="3" t="s">
        <v>42</v>
      </c>
      <c r="K1506" s="3" t="s">
        <v>43</v>
      </c>
      <c r="L1506" s="3" t="s">
        <v>44</v>
      </c>
      <c r="M1506" s="4">
        <v>1.0</v>
      </c>
    </row>
    <row r="1507">
      <c r="A1507" s="2">
        <v>45528</v>
      </c>
      <c r="B15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7" s="3" t="str">
        <f>YEAR(KMART_DATA[[#This Row],[Date]])&amp;"-"&amp;TEXT(MONTH(KMART_DATA[[#This Row],[Date]]),"00")</f>
        <v>2024-08</v>
      </c>
      <c r="D1507" s="3" t="s">
        <v>28</v>
      </c>
      <c r="E1507" s="3" t="s">
        <v>238</v>
      </c>
      <c r="F1507" s="3" t="s">
        <v>13</v>
      </c>
      <c r="G15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07" s="3" t="s">
        <v>239</v>
      </c>
      <c r="I1507" s="3" t="s">
        <v>31</v>
      </c>
      <c r="J1507" s="3" t="s">
        <v>42</v>
      </c>
      <c r="K1507" s="3" t="s">
        <v>95</v>
      </c>
      <c r="L1507" s="3" t="s">
        <v>96</v>
      </c>
      <c r="M1507" s="4">
        <v>4.5</v>
      </c>
    </row>
    <row r="1508">
      <c r="A1508" s="2">
        <v>45528</v>
      </c>
      <c r="B15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8" s="3" t="str">
        <f>YEAR(KMART_DATA[[#This Row],[Date]])&amp;"-"&amp;TEXT(MONTH(KMART_DATA[[#This Row],[Date]]),"00")</f>
        <v>2024-08</v>
      </c>
      <c r="D1508" s="3" t="s">
        <v>28</v>
      </c>
      <c r="E1508" s="3" t="s">
        <v>29</v>
      </c>
      <c r="F1508" s="3" t="s">
        <v>11</v>
      </c>
      <c r="G15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08" s="3" t="s">
        <v>30</v>
      </c>
      <c r="I1508" s="3" t="s">
        <v>31</v>
      </c>
      <c r="J1508" s="3" t="s">
        <v>32</v>
      </c>
      <c r="K1508" s="3" t="s">
        <v>43</v>
      </c>
      <c r="L1508" s="3" t="s">
        <v>44</v>
      </c>
      <c r="M1508" s="4">
        <v>32.8</v>
      </c>
    </row>
    <row r="1509">
      <c r="A1509" s="2">
        <v>45528</v>
      </c>
      <c r="B15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09" s="3" t="str">
        <f>YEAR(KMART_DATA[[#This Row],[Date]])&amp;"-"&amp;TEXT(MONTH(KMART_DATA[[#This Row],[Date]]),"00")</f>
        <v>2024-08</v>
      </c>
      <c r="D1509" s="3" t="s">
        <v>28</v>
      </c>
      <c r="E1509" s="3" t="s">
        <v>135</v>
      </c>
      <c r="F1509" s="3" t="s">
        <v>16</v>
      </c>
      <c r="G15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509" s="3" t="s">
        <v>136</v>
      </c>
      <c r="I1509" s="3" t="s">
        <v>31</v>
      </c>
      <c r="J1509" s="3" t="s">
        <v>107</v>
      </c>
      <c r="K1509" s="3" t="s">
        <v>43</v>
      </c>
      <c r="L1509" s="3" t="s">
        <v>44</v>
      </c>
      <c r="M1509" s="4">
        <v>45.46</v>
      </c>
    </row>
    <row r="1510">
      <c r="A1510" s="2">
        <v>45528</v>
      </c>
      <c r="B15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0" s="3" t="str">
        <f>YEAR(KMART_DATA[[#This Row],[Date]])&amp;"-"&amp;TEXT(MONTH(KMART_DATA[[#This Row],[Date]]),"00")</f>
        <v>2024-08</v>
      </c>
      <c r="D1510" s="3" t="s">
        <v>28</v>
      </c>
      <c r="E1510" s="3" t="s">
        <v>118</v>
      </c>
      <c r="F1510" s="3" t="s">
        <v>10</v>
      </c>
      <c r="G15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10" s="3" t="s">
        <v>119</v>
      </c>
      <c r="I1510" s="3" t="s">
        <v>31</v>
      </c>
      <c r="J1510" s="3" t="s">
        <v>120</v>
      </c>
      <c r="K1510" s="3" t="s">
        <v>43</v>
      </c>
      <c r="L1510" s="3" t="s">
        <v>44</v>
      </c>
      <c r="M1510" s="4">
        <v>54.66</v>
      </c>
    </row>
    <row r="1511">
      <c r="A1511" s="2">
        <v>45528</v>
      </c>
      <c r="B15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1" s="3" t="str">
        <f>YEAR(KMART_DATA[[#This Row],[Date]])&amp;"-"&amp;TEXT(MONTH(KMART_DATA[[#This Row],[Date]]),"00")</f>
        <v>2024-08</v>
      </c>
      <c r="D1511" s="3" t="s">
        <v>45</v>
      </c>
      <c r="E1511" s="3" t="s">
        <v>211</v>
      </c>
      <c r="F1511" s="3" t="s">
        <v>9</v>
      </c>
      <c r="G15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11" s="3" t="s">
        <v>212</v>
      </c>
      <c r="I1511" s="3" t="s">
        <v>31</v>
      </c>
      <c r="J1511" s="3" t="s">
        <v>75</v>
      </c>
      <c r="K1511" s="3" t="s">
        <v>95</v>
      </c>
      <c r="L1511" s="3" t="s">
        <v>96</v>
      </c>
      <c r="M1511" s="4">
        <v>58.9</v>
      </c>
    </row>
    <row r="1512">
      <c r="A1512" s="2">
        <v>45528</v>
      </c>
      <c r="B15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2" s="3" t="str">
        <f>YEAR(KMART_DATA[[#This Row],[Date]])&amp;"-"&amp;TEXT(MONTH(KMART_DATA[[#This Row],[Date]]),"00")</f>
        <v>2024-08</v>
      </c>
      <c r="D1512" s="3" t="s">
        <v>28</v>
      </c>
      <c r="E1512" s="3" t="s">
        <v>252</v>
      </c>
      <c r="F1512" s="3" t="s">
        <v>10</v>
      </c>
      <c r="G15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12" s="3" t="s">
        <v>253</v>
      </c>
      <c r="I1512" s="3" t="s">
        <v>31</v>
      </c>
      <c r="J1512" s="3" t="s">
        <v>94</v>
      </c>
      <c r="K1512" s="3" t="s">
        <v>71</v>
      </c>
      <c r="L1512" s="3" t="s">
        <v>72</v>
      </c>
      <c r="M1512" s="4">
        <v>64.95</v>
      </c>
    </row>
    <row r="1513">
      <c r="A1513" s="2">
        <v>45528</v>
      </c>
      <c r="B15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3" s="3" t="str">
        <f>YEAR(KMART_DATA[[#This Row],[Date]])&amp;"-"&amp;TEXT(MONTH(KMART_DATA[[#This Row],[Date]]),"00")</f>
        <v>2024-08</v>
      </c>
      <c r="D1513" s="3" t="s">
        <v>28</v>
      </c>
      <c r="E1513" s="3" t="s">
        <v>209</v>
      </c>
      <c r="F1513" s="3" t="s">
        <v>9</v>
      </c>
      <c r="G15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13" s="3" t="s">
        <v>210</v>
      </c>
      <c r="I1513" s="3" t="s">
        <v>31</v>
      </c>
      <c r="J1513" s="3" t="s">
        <v>81</v>
      </c>
      <c r="K1513" s="3" t="s">
        <v>95</v>
      </c>
      <c r="L1513" s="3" t="s">
        <v>96</v>
      </c>
      <c r="M1513" s="4">
        <v>268.96</v>
      </c>
    </row>
    <row r="1514">
      <c r="A1514" s="2">
        <v>45528</v>
      </c>
      <c r="B15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4" s="3" t="str">
        <f>YEAR(KMART_DATA[[#This Row],[Date]])&amp;"-"&amp;TEXT(MONTH(KMART_DATA[[#This Row],[Date]]),"00")</f>
        <v>2024-08</v>
      </c>
      <c r="D1514" s="3" t="s">
        <v>28</v>
      </c>
      <c r="E1514" s="3" t="s">
        <v>264</v>
      </c>
      <c r="F1514" s="3" t="s">
        <v>13</v>
      </c>
      <c r="G15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14" s="3" t="s">
        <v>265</v>
      </c>
      <c r="I1514" s="3" t="s">
        <v>31</v>
      </c>
      <c r="J1514" s="3" t="s">
        <v>42</v>
      </c>
      <c r="K1514" s="3" t="s">
        <v>123</v>
      </c>
      <c r="L1514" s="3" t="s">
        <v>124</v>
      </c>
      <c r="M1514" s="4">
        <v>533.44</v>
      </c>
    </row>
    <row r="1515">
      <c r="A1515" s="2">
        <v>45528</v>
      </c>
      <c r="B15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5" s="3" t="str">
        <f>YEAR(KMART_DATA[[#This Row],[Date]])&amp;"-"&amp;TEXT(MONTH(KMART_DATA[[#This Row],[Date]]),"00")</f>
        <v>2024-08</v>
      </c>
      <c r="D1515" s="3" t="s">
        <v>28</v>
      </c>
      <c r="E1515" s="3" t="s">
        <v>187</v>
      </c>
      <c r="F1515" s="3" t="s">
        <v>11</v>
      </c>
      <c r="G15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15" s="3" t="s">
        <v>188</v>
      </c>
      <c r="I1515" s="3" t="s">
        <v>31</v>
      </c>
      <c r="J1515" s="3" t="s">
        <v>78</v>
      </c>
      <c r="K1515" s="3" t="s">
        <v>71</v>
      </c>
      <c r="L1515" s="3" t="s">
        <v>72</v>
      </c>
      <c r="M1515" s="4">
        <v>1072.78</v>
      </c>
    </row>
    <row r="1516">
      <c r="A1516" s="2">
        <v>45528</v>
      </c>
      <c r="B15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6" s="3" t="str">
        <f>YEAR(KMART_DATA[[#This Row],[Date]])&amp;"-"&amp;TEXT(MONTH(KMART_DATA[[#This Row],[Date]]),"00")</f>
        <v>2024-08</v>
      </c>
      <c r="D1516" s="3" t="s">
        <v>28</v>
      </c>
      <c r="E1516" s="3" t="s">
        <v>223</v>
      </c>
      <c r="F1516" s="3" t="s">
        <v>10</v>
      </c>
      <c r="G15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16" s="3" t="s">
        <v>224</v>
      </c>
      <c r="I1516" s="3" t="s">
        <v>31</v>
      </c>
      <c r="J1516" s="3" t="s">
        <v>94</v>
      </c>
      <c r="K1516" s="3" t="s">
        <v>46</v>
      </c>
      <c r="L1516" s="3" t="s">
        <v>47</v>
      </c>
      <c r="M1516" s="4">
        <v>1080.56</v>
      </c>
    </row>
    <row r="1517">
      <c r="A1517" s="2">
        <v>45529</v>
      </c>
      <c r="B15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7" s="3" t="str">
        <f>YEAR(KMART_DATA[[#This Row],[Date]])&amp;"-"&amp;TEXT(MONTH(KMART_DATA[[#This Row],[Date]]),"00")</f>
        <v>2024-08</v>
      </c>
      <c r="D1517" s="3" t="s">
        <v>28</v>
      </c>
      <c r="E1517" s="3" t="s">
        <v>225</v>
      </c>
      <c r="F1517" s="3" t="s">
        <v>13</v>
      </c>
      <c r="G15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17" s="3" t="s">
        <v>226</v>
      </c>
      <c r="I1517" s="3" t="s">
        <v>31</v>
      </c>
      <c r="J1517" s="3" t="s">
        <v>227</v>
      </c>
      <c r="K1517" s="3" t="s">
        <v>43</v>
      </c>
      <c r="L1517" s="3" t="s">
        <v>44</v>
      </c>
      <c r="M1517" s="4">
        <v>118.82</v>
      </c>
    </row>
    <row r="1518">
      <c r="A1518" s="2">
        <v>45530</v>
      </c>
      <c r="B15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8" s="3" t="str">
        <f>YEAR(KMART_DATA[[#This Row],[Date]])&amp;"-"&amp;TEXT(MONTH(KMART_DATA[[#This Row],[Date]]),"00")</f>
        <v>2024-08</v>
      </c>
      <c r="D1518" s="3" t="s">
        <v>28</v>
      </c>
      <c r="E1518" s="3" t="s">
        <v>97</v>
      </c>
      <c r="F1518" s="3" t="s">
        <v>9</v>
      </c>
      <c r="G15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18" s="3" t="s">
        <v>98</v>
      </c>
      <c r="I1518" s="3" t="s">
        <v>31</v>
      </c>
      <c r="J1518" s="3" t="s">
        <v>99</v>
      </c>
      <c r="K1518" s="3" t="s">
        <v>43</v>
      </c>
      <c r="L1518" s="3" t="s">
        <v>44</v>
      </c>
      <c r="M1518" s="4">
        <v>2.0</v>
      </c>
    </row>
    <row r="1519">
      <c r="A1519" s="2">
        <v>45530</v>
      </c>
      <c r="B15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19" s="3" t="str">
        <f>YEAR(KMART_DATA[[#This Row],[Date]])&amp;"-"&amp;TEXT(MONTH(KMART_DATA[[#This Row],[Date]]),"00")</f>
        <v>2024-08</v>
      </c>
      <c r="D1519" s="3" t="s">
        <v>28</v>
      </c>
      <c r="E1519" s="3" t="s">
        <v>48</v>
      </c>
      <c r="F1519" s="3" t="s">
        <v>12</v>
      </c>
      <c r="G15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19" s="3" t="s">
        <v>49</v>
      </c>
      <c r="I1519" s="3" t="s">
        <v>31</v>
      </c>
      <c r="J1519" s="3" t="s">
        <v>50</v>
      </c>
      <c r="K1519" s="3" t="s">
        <v>123</v>
      </c>
      <c r="L1519" s="3" t="s">
        <v>124</v>
      </c>
      <c r="M1519" s="4">
        <v>9.99</v>
      </c>
    </row>
    <row r="1520">
      <c r="A1520" s="2">
        <v>45530</v>
      </c>
      <c r="B15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0" s="3" t="str">
        <f>YEAR(KMART_DATA[[#This Row],[Date]])&amp;"-"&amp;TEXT(MONTH(KMART_DATA[[#This Row],[Date]]),"00")</f>
        <v>2024-08</v>
      </c>
      <c r="D1520" s="3" t="s">
        <v>45</v>
      </c>
      <c r="E1520" s="3" t="s">
        <v>211</v>
      </c>
      <c r="F1520" s="3" t="s">
        <v>9</v>
      </c>
      <c r="G15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20" s="3" t="s">
        <v>212</v>
      </c>
      <c r="I1520" s="3" t="s">
        <v>31</v>
      </c>
      <c r="J1520" s="3" t="s">
        <v>75</v>
      </c>
      <c r="K1520" s="3" t="s">
        <v>46</v>
      </c>
      <c r="L1520" s="3" t="s">
        <v>47</v>
      </c>
      <c r="M1520" s="4">
        <v>12.0</v>
      </c>
    </row>
    <row r="1521">
      <c r="A1521" s="2">
        <v>45530</v>
      </c>
      <c r="B15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1" s="3" t="str">
        <f>YEAR(KMART_DATA[[#This Row],[Date]])&amp;"-"&amp;TEXT(MONTH(KMART_DATA[[#This Row],[Date]]),"00")</f>
        <v>2024-08</v>
      </c>
      <c r="D1521" s="3" t="s">
        <v>28</v>
      </c>
      <c r="E1521" s="3" t="s">
        <v>193</v>
      </c>
      <c r="F1521" s="3" t="s">
        <v>9</v>
      </c>
      <c r="G15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21" s="3" t="s">
        <v>194</v>
      </c>
      <c r="I1521" s="3" t="s">
        <v>31</v>
      </c>
      <c r="J1521" s="3" t="s">
        <v>99</v>
      </c>
      <c r="K1521" s="3" t="s">
        <v>43</v>
      </c>
      <c r="L1521" s="3" t="s">
        <v>44</v>
      </c>
      <c r="M1521" s="4">
        <v>20.75</v>
      </c>
    </row>
    <row r="1522">
      <c r="A1522" s="2">
        <v>45530</v>
      </c>
      <c r="B15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2" s="3" t="str">
        <f>YEAR(KMART_DATA[[#This Row],[Date]])&amp;"-"&amp;TEXT(MONTH(KMART_DATA[[#This Row],[Date]]),"00")</f>
        <v>2024-08</v>
      </c>
      <c r="D1522" s="3" t="s">
        <v>28</v>
      </c>
      <c r="E1522" s="3" t="s">
        <v>246</v>
      </c>
      <c r="F1522" s="3" t="s">
        <v>10</v>
      </c>
      <c r="G15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22" s="3" t="s">
        <v>247</v>
      </c>
      <c r="I1522" s="3" t="s">
        <v>31</v>
      </c>
      <c r="J1522" s="3" t="s">
        <v>37</v>
      </c>
      <c r="K1522" s="3" t="s">
        <v>95</v>
      </c>
      <c r="L1522" s="3" t="s">
        <v>96</v>
      </c>
      <c r="M1522" s="4">
        <v>71.86</v>
      </c>
    </row>
    <row r="1523">
      <c r="A1523" s="2">
        <v>45530</v>
      </c>
      <c r="B15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3" s="3" t="str">
        <f>YEAR(KMART_DATA[[#This Row],[Date]])&amp;"-"&amp;TEXT(MONTH(KMART_DATA[[#This Row],[Date]]),"00")</f>
        <v>2024-08</v>
      </c>
      <c r="D1523" s="3" t="s">
        <v>28</v>
      </c>
      <c r="E1523" s="3" t="s">
        <v>121</v>
      </c>
      <c r="F1523" s="3" t="s">
        <v>11</v>
      </c>
      <c r="G15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23" s="3" t="s">
        <v>122</v>
      </c>
      <c r="I1523" s="3" t="s">
        <v>31</v>
      </c>
      <c r="J1523" s="3" t="s">
        <v>84</v>
      </c>
      <c r="K1523" s="3" t="s">
        <v>95</v>
      </c>
      <c r="L1523" s="3" t="s">
        <v>96</v>
      </c>
      <c r="M1523" s="4">
        <v>100.0</v>
      </c>
    </row>
    <row r="1524">
      <c r="A1524" s="2">
        <v>45530</v>
      </c>
      <c r="B15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4" s="3" t="str">
        <f>YEAR(KMART_DATA[[#This Row],[Date]])&amp;"-"&amp;TEXT(MONTH(KMART_DATA[[#This Row],[Date]]),"00")</f>
        <v>2024-08</v>
      </c>
      <c r="D1524" s="3" t="s">
        <v>28</v>
      </c>
      <c r="E1524" s="3" t="s">
        <v>148</v>
      </c>
      <c r="F1524" s="3" t="s">
        <v>12</v>
      </c>
      <c r="G15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24" s="3" t="s">
        <v>149</v>
      </c>
      <c r="I1524" s="3" t="s">
        <v>31</v>
      </c>
      <c r="J1524" s="3" t="s">
        <v>50</v>
      </c>
      <c r="K1524" s="3" t="s">
        <v>71</v>
      </c>
      <c r="L1524" s="3" t="s">
        <v>72</v>
      </c>
      <c r="M1524" s="4">
        <v>487.66</v>
      </c>
    </row>
    <row r="1525">
      <c r="A1525" s="2">
        <v>45530</v>
      </c>
      <c r="B15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5" s="3" t="str">
        <f>YEAR(KMART_DATA[[#This Row],[Date]])&amp;"-"&amp;TEXT(MONTH(KMART_DATA[[#This Row],[Date]]),"00")</f>
        <v>2024-08</v>
      </c>
      <c r="D1525" s="3" t="s">
        <v>28</v>
      </c>
      <c r="E1525" s="3" t="s">
        <v>129</v>
      </c>
      <c r="F1525" s="3" t="s">
        <v>10</v>
      </c>
      <c r="G15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25" s="3" t="s">
        <v>130</v>
      </c>
      <c r="I1525" s="3" t="s">
        <v>31</v>
      </c>
      <c r="J1525" s="3" t="s">
        <v>120</v>
      </c>
      <c r="K1525" s="3" t="s">
        <v>43</v>
      </c>
      <c r="L1525" s="3" t="s">
        <v>44</v>
      </c>
      <c r="M1525" s="4">
        <v>860.88</v>
      </c>
    </row>
    <row r="1526">
      <c r="A1526" s="2">
        <v>45530</v>
      </c>
      <c r="B15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6" s="3" t="str">
        <f>YEAR(KMART_DATA[[#This Row],[Date]])&amp;"-"&amp;TEXT(MONTH(KMART_DATA[[#This Row],[Date]]),"00")</f>
        <v>2024-08</v>
      </c>
      <c r="D1526" s="3" t="s">
        <v>45</v>
      </c>
      <c r="E1526" s="3" t="s">
        <v>240</v>
      </c>
      <c r="F1526" s="3" t="s">
        <v>15</v>
      </c>
      <c r="G15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526" s="3" t="s">
        <v>241</v>
      </c>
      <c r="I1526" s="3" t="s">
        <v>31</v>
      </c>
      <c r="J1526" s="3" t="s">
        <v>53</v>
      </c>
      <c r="K1526" s="3" t="s">
        <v>95</v>
      </c>
      <c r="L1526" s="3" t="s">
        <v>96</v>
      </c>
      <c r="M1526" s="4">
        <v>1024.46</v>
      </c>
    </row>
    <row r="1527">
      <c r="A1527" s="2">
        <v>45530</v>
      </c>
      <c r="B15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7" s="3" t="str">
        <f>YEAR(KMART_DATA[[#This Row],[Date]])&amp;"-"&amp;TEXT(MONTH(KMART_DATA[[#This Row],[Date]]),"00")</f>
        <v>2024-08</v>
      </c>
      <c r="D1527" s="3" t="s">
        <v>45</v>
      </c>
      <c r="E1527" s="3" t="s">
        <v>209</v>
      </c>
      <c r="F1527" s="3" t="s">
        <v>9</v>
      </c>
      <c r="G15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27" s="3" t="s">
        <v>210</v>
      </c>
      <c r="I1527" s="3" t="s">
        <v>31</v>
      </c>
      <c r="J1527" s="3" t="s">
        <v>81</v>
      </c>
      <c r="K1527" s="3" t="s">
        <v>71</v>
      </c>
      <c r="L1527" s="3" t="s">
        <v>72</v>
      </c>
      <c r="M1527" s="4">
        <v>4227.74</v>
      </c>
    </row>
    <row r="1528">
      <c r="A1528" s="2">
        <v>45530</v>
      </c>
      <c r="B15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8" s="3" t="str">
        <f>YEAR(KMART_DATA[[#This Row],[Date]])&amp;"-"&amp;TEXT(MONTH(KMART_DATA[[#This Row],[Date]]),"00")</f>
        <v>2024-08</v>
      </c>
      <c r="D1528" s="3" t="s">
        <v>28</v>
      </c>
      <c r="E1528" s="3" t="s">
        <v>59</v>
      </c>
      <c r="F1528" s="3" t="s">
        <v>11</v>
      </c>
      <c r="G15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28" s="3" t="s">
        <v>60</v>
      </c>
      <c r="I1528" s="3" t="s">
        <v>31</v>
      </c>
      <c r="J1528" s="3" t="s">
        <v>61</v>
      </c>
      <c r="K1528" s="3" t="s">
        <v>71</v>
      </c>
      <c r="L1528" s="3" t="s">
        <v>72</v>
      </c>
      <c r="M1528" s="4">
        <v>6508.58</v>
      </c>
    </row>
    <row r="1529">
      <c r="A1529" s="2">
        <v>45531</v>
      </c>
      <c r="B15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29" s="3" t="str">
        <f>YEAR(KMART_DATA[[#This Row],[Date]])&amp;"-"&amp;TEXT(MONTH(KMART_DATA[[#This Row],[Date]]),"00")</f>
        <v>2024-08</v>
      </c>
      <c r="D1529" s="3" t="s">
        <v>28</v>
      </c>
      <c r="E1529" s="3" t="s">
        <v>181</v>
      </c>
      <c r="F1529" s="3" t="s">
        <v>11</v>
      </c>
      <c r="G15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29" s="3" t="s">
        <v>182</v>
      </c>
      <c r="I1529" s="3" t="s">
        <v>31</v>
      </c>
      <c r="J1529" s="3" t="s">
        <v>56</v>
      </c>
      <c r="K1529" s="3" t="s">
        <v>46</v>
      </c>
      <c r="L1529" s="3" t="s">
        <v>47</v>
      </c>
      <c r="M1529" s="4">
        <v>7.0</v>
      </c>
    </row>
    <row r="1530">
      <c r="A1530" s="2">
        <v>45531</v>
      </c>
      <c r="B15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0" s="3" t="str">
        <f>YEAR(KMART_DATA[[#This Row],[Date]])&amp;"-"&amp;TEXT(MONTH(KMART_DATA[[#This Row],[Date]]),"00")</f>
        <v>2024-08</v>
      </c>
      <c r="D1530" s="3" t="s">
        <v>45</v>
      </c>
      <c r="E1530" s="3" t="s">
        <v>62</v>
      </c>
      <c r="F1530" s="3" t="s">
        <v>12</v>
      </c>
      <c r="G15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30" s="3" t="s">
        <v>63</v>
      </c>
      <c r="I1530" s="3" t="s">
        <v>31</v>
      </c>
      <c r="J1530" s="3" t="s">
        <v>50</v>
      </c>
      <c r="K1530" s="3" t="s">
        <v>123</v>
      </c>
      <c r="L1530" s="3" t="s">
        <v>124</v>
      </c>
      <c r="M1530" s="4">
        <v>405.1</v>
      </c>
    </row>
    <row r="1531">
      <c r="A1531" s="2">
        <v>45531</v>
      </c>
      <c r="B15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1" s="3" t="str">
        <f>YEAR(KMART_DATA[[#This Row],[Date]])&amp;"-"&amp;TEXT(MONTH(KMART_DATA[[#This Row],[Date]]),"00")</f>
        <v>2024-08</v>
      </c>
      <c r="D1531" s="3" t="s">
        <v>28</v>
      </c>
      <c r="E1531" s="3" t="s">
        <v>187</v>
      </c>
      <c r="F1531" s="3" t="s">
        <v>11</v>
      </c>
      <c r="G15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31" s="3" t="s">
        <v>188</v>
      </c>
      <c r="I1531" s="3" t="s">
        <v>31</v>
      </c>
      <c r="J1531" s="3" t="s">
        <v>78</v>
      </c>
      <c r="K1531" s="3" t="s">
        <v>46</v>
      </c>
      <c r="L1531" s="3" t="s">
        <v>47</v>
      </c>
      <c r="M1531" s="4">
        <v>627.58</v>
      </c>
    </row>
    <row r="1532">
      <c r="A1532" s="2">
        <v>45531</v>
      </c>
      <c r="B15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2" s="3" t="str">
        <f>YEAR(KMART_DATA[[#This Row],[Date]])&amp;"-"&amp;TEXT(MONTH(KMART_DATA[[#This Row],[Date]]),"00")</f>
        <v>2024-08</v>
      </c>
      <c r="D1532" s="3" t="s">
        <v>28</v>
      </c>
      <c r="E1532" s="3" t="s">
        <v>129</v>
      </c>
      <c r="F1532" s="3" t="s">
        <v>10</v>
      </c>
      <c r="G15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32" s="3" t="s">
        <v>130</v>
      </c>
      <c r="I1532" s="3" t="s">
        <v>31</v>
      </c>
      <c r="J1532" s="3" t="s">
        <v>120</v>
      </c>
      <c r="K1532" s="3" t="s">
        <v>123</v>
      </c>
      <c r="L1532" s="3" t="s">
        <v>124</v>
      </c>
      <c r="M1532" s="4">
        <v>928.69</v>
      </c>
    </row>
    <row r="1533">
      <c r="A1533" s="2">
        <v>45531</v>
      </c>
      <c r="B15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3" s="3" t="str">
        <f>YEAR(KMART_DATA[[#This Row],[Date]])&amp;"-"&amp;TEXT(MONTH(KMART_DATA[[#This Row],[Date]]),"00")</f>
        <v>2024-08</v>
      </c>
      <c r="D1533" s="3" t="s">
        <v>28</v>
      </c>
      <c r="E1533" s="3" t="s">
        <v>163</v>
      </c>
      <c r="F1533" s="3" t="s">
        <v>9</v>
      </c>
      <c r="G15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33" s="3" t="s">
        <v>164</v>
      </c>
      <c r="I1533" s="3" t="s">
        <v>31</v>
      </c>
      <c r="J1533" s="3" t="s">
        <v>81</v>
      </c>
      <c r="K1533" s="3" t="s">
        <v>46</v>
      </c>
      <c r="L1533" s="3" t="s">
        <v>47</v>
      </c>
      <c r="M1533" s="4">
        <v>2754.44</v>
      </c>
    </row>
    <row r="1534">
      <c r="A1534" s="2">
        <v>45531</v>
      </c>
      <c r="B15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4" s="3" t="str">
        <f>YEAR(KMART_DATA[[#This Row],[Date]])&amp;"-"&amp;TEXT(MONTH(KMART_DATA[[#This Row],[Date]]),"00")</f>
        <v>2024-08</v>
      </c>
      <c r="D1534" s="3" t="s">
        <v>28</v>
      </c>
      <c r="E1534" s="3" t="s">
        <v>64</v>
      </c>
      <c r="F1534" s="3" t="s">
        <v>11</v>
      </c>
      <c r="G15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34" s="3" t="s">
        <v>65</v>
      </c>
      <c r="I1534" s="3" t="s">
        <v>31</v>
      </c>
      <c r="J1534" s="3" t="s">
        <v>61</v>
      </c>
      <c r="K1534" s="3" t="s">
        <v>95</v>
      </c>
      <c r="L1534" s="3" t="s">
        <v>96</v>
      </c>
      <c r="M1534" s="4">
        <v>3673.19</v>
      </c>
    </row>
    <row r="1535">
      <c r="A1535" s="2">
        <v>45532</v>
      </c>
      <c r="B15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5" s="3" t="str">
        <f>YEAR(KMART_DATA[[#This Row],[Date]])&amp;"-"&amp;TEXT(MONTH(KMART_DATA[[#This Row],[Date]]),"00")</f>
        <v>2024-08</v>
      </c>
      <c r="D1535" s="3" t="s">
        <v>28</v>
      </c>
      <c r="E1535" s="3" t="s">
        <v>62</v>
      </c>
      <c r="F1535" s="3" t="s">
        <v>12</v>
      </c>
      <c r="G15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35" s="3" t="s">
        <v>63</v>
      </c>
      <c r="I1535" s="3" t="s">
        <v>31</v>
      </c>
      <c r="J1535" s="3" t="s">
        <v>50</v>
      </c>
      <c r="K1535" s="3" t="s">
        <v>33</v>
      </c>
      <c r="L1535" s="3" t="s">
        <v>34</v>
      </c>
      <c r="M1535" s="4">
        <v>5.44</v>
      </c>
    </row>
    <row r="1536">
      <c r="A1536" s="2">
        <v>45532</v>
      </c>
      <c r="B15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6" s="3" t="str">
        <f>YEAR(KMART_DATA[[#This Row],[Date]])&amp;"-"&amp;TEXT(MONTH(KMART_DATA[[#This Row],[Date]]),"00")</f>
        <v>2024-08</v>
      </c>
      <c r="D1536" s="3" t="s">
        <v>45</v>
      </c>
      <c r="E1536" s="3" t="s">
        <v>187</v>
      </c>
      <c r="F1536" s="3" t="s">
        <v>11</v>
      </c>
      <c r="G15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36" s="3" t="s">
        <v>188</v>
      </c>
      <c r="I1536" s="3" t="s">
        <v>31</v>
      </c>
      <c r="J1536" s="3" t="s">
        <v>78</v>
      </c>
      <c r="K1536" s="3" t="s">
        <v>43</v>
      </c>
      <c r="L1536" s="3" t="s">
        <v>44</v>
      </c>
      <c r="M1536" s="4">
        <v>29.99</v>
      </c>
    </row>
    <row r="1537">
      <c r="A1537" s="2">
        <v>45532</v>
      </c>
      <c r="B15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7" s="3" t="str">
        <f>YEAR(KMART_DATA[[#This Row],[Date]])&amp;"-"&amp;TEXT(MONTH(KMART_DATA[[#This Row],[Date]]),"00")</f>
        <v>2024-08</v>
      </c>
      <c r="D1537" s="3" t="s">
        <v>28</v>
      </c>
      <c r="E1537" s="3" t="s">
        <v>97</v>
      </c>
      <c r="F1537" s="3" t="s">
        <v>9</v>
      </c>
      <c r="G15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37" s="3" t="s">
        <v>98</v>
      </c>
      <c r="I1537" s="3" t="s">
        <v>31</v>
      </c>
      <c r="J1537" s="3" t="s">
        <v>99</v>
      </c>
      <c r="K1537" s="3" t="s">
        <v>57</v>
      </c>
      <c r="L1537" s="3" t="s">
        <v>58</v>
      </c>
      <c r="M1537" s="4">
        <v>189.81</v>
      </c>
    </row>
    <row r="1538">
      <c r="A1538" s="2">
        <v>45532</v>
      </c>
      <c r="B15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8" s="3" t="str">
        <f>YEAR(KMART_DATA[[#This Row],[Date]])&amp;"-"&amp;TEXT(MONTH(KMART_DATA[[#This Row],[Date]]),"00")</f>
        <v>2024-08</v>
      </c>
      <c r="D1538" s="3" t="s">
        <v>45</v>
      </c>
      <c r="E1538" s="3" t="s">
        <v>264</v>
      </c>
      <c r="F1538" s="3" t="s">
        <v>13</v>
      </c>
      <c r="G15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38" s="3" t="s">
        <v>265</v>
      </c>
      <c r="I1538" s="3" t="s">
        <v>31</v>
      </c>
      <c r="J1538" s="3" t="s">
        <v>42</v>
      </c>
      <c r="K1538" s="3" t="s">
        <v>71</v>
      </c>
      <c r="L1538" s="3" t="s">
        <v>72</v>
      </c>
      <c r="M1538" s="4">
        <v>224.14</v>
      </c>
    </row>
    <row r="1539">
      <c r="A1539" s="2">
        <v>45532</v>
      </c>
      <c r="B15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39" s="3" t="str">
        <f>YEAR(KMART_DATA[[#This Row],[Date]])&amp;"-"&amp;TEXT(MONTH(KMART_DATA[[#This Row],[Date]]),"00")</f>
        <v>2024-08</v>
      </c>
      <c r="D1539" s="3" t="s">
        <v>28</v>
      </c>
      <c r="E1539" s="3" t="s">
        <v>160</v>
      </c>
      <c r="F1539" s="3" t="s">
        <v>12</v>
      </c>
      <c r="G15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39" s="3" t="s">
        <v>161</v>
      </c>
      <c r="I1539" s="3" t="s">
        <v>31</v>
      </c>
      <c r="J1539" s="3" t="s">
        <v>162</v>
      </c>
      <c r="K1539" s="3" t="s">
        <v>71</v>
      </c>
      <c r="L1539" s="3" t="s">
        <v>72</v>
      </c>
      <c r="M1539" s="4">
        <v>1404.29</v>
      </c>
    </row>
    <row r="1540">
      <c r="A1540" s="2">
        <v>45532</v>
      </c>
      <c r="B15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0" s="3" t="str">
        <f>YEAR(KMART_DATA[[#This Row],[Date]])&amp;"-"&amp;TEXT(MONTH(KMART_DATA[[#This Row],[Date]]),"00")</f>
        <v>2024-08</v>
      </c>
      <c r="D1540" s="3" t="s">
        <v>28</v>
      </c>
      <c r="E1540" s="3" t="s">
        <v>92</v>
      </c>
      <c r="F1540" s="3" t="s">
        <v>10</v>
      </c>
      <c r="G15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40" s="3" t="s">
        <v>93</v>
      </c>
      <c r="I1540" s="3" t="s">
        <v>31</v>
      </c>
      <c r="J1540" s="3" t="s">
        <v>94</v>
      </c>
      <c r="K1540" s="3" t="s">
        <v>71</v>
      </c>
      <c r="L1540" s="3" t="s">
        <v>72</v>
      </c>
      <c r="M1540" s="4">
        <v>3964.38</v>
      </c>
    </row>
    <row r="1541">
      <c r="A1541" s="2">
        <v>45532</v>
      </c>
      <c r="B15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1" s="3" t="str">
        <f>YEAR(KMART_DATA[[#This Row],[Date]])&amp;"-"&amp;TEXT(MONTH(KMART_DATA[[#This Row],[Date]]),"00")</f>
        <v>2024-08</v>
      </c>
      <c r="D1541" s="3" t="s">
        <v>28</v>
      </c>
      <c r="E1541" s="3" t="s">
        <v>110</v>
      </c>
      <c r="F1541" s="3" t="s">
        <v>9</v>
      </c>
      <c r="G15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41" s="3" t="s">
        <v>111</v>
      </c>
      <c r="I1541" s="3" t="s">
        <v>31</v>
      </c>
      <c r="J1541" s="3" t="s">
        <v>81</v>
      </c>
      <c r="K1541" s="3" t="s">
        <v>95</v>
      </c>
      <c r="L1541" s="3" t="s">
        <v>96</v>
      </c>
      <c r="M1541" s="4">
        <v>6445.05</v>
      </c>
    </row>
    <row r="1542">
      <c r="A1542" s="2">
        <v>45532</v>
      </c>
      <c r="B15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2" s="3" t="str">
        <f>YEAR(KMART_DATA[[#This Row],[Date]])&amp;"-"&amp;TEXT(MONTH(KMART_DATA[[#This Row],[Date]]),"00")</f>
        <v>2024-08</v>
      </c>
      <c r="D1542" s="3" t="s">
        <v>28</v>
      </c>
      <c r="E1542" s="3" t="s">
        <v>87</v>
      </c>
      <c r="F1542" s="3" t="s">
        <v>10</v>
      </c>
      <c r="G15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42" s="3" t="s">
        <v>88</v>
      </c>
      <c r="I1542" s="3" t="s">
        <v>31</v>
      </c>
      <c r="J1542" s="3" t="s">
        <v>89</v>
      </c>
      <c r="K1542" s="3" t="s">
        <v>46</v>
      </c>
      <c r="L1542" s="3" t="s">
        <v>47</v>
      </c>
      <c r="M1542" s="4">
        <v>6708.39</v>
      </c>
    </row>
    <row r="1543">
      <c r="A1543" s="2">
        <v>45533</v>
      </c>
      <c r="B15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3" s="3" t="str">
        <f>YEAR(KMART_DATA[[#This Row],[Date]])&amp;"-"&amp;TEXT(MONTH(KMART_DATA[[#This Row],[Date]]),"00")</f>
        <v>2024-08</v>
      </c>
      <c r="D1543" s="3" t="s">
        <v>28</v>
      </c>
      <c r="E1543" s="3" t="s">
        <v>64</v>
      </c>
      <c r="F1543" s="3" t="s">
        <v>11</v>
      </c>
      <c r="G15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43" s="3" t="s">
        <v>65</v>
      </c>
      <c r="I1543" s="3" t="s">
        <v>31</v>
      </c>
      <c r="J1543" s="3" t="s">
        <v>61</v>
      </c>
      <c r="K1543" s="3" t="s">
        <v>43</v>
      </c>
      <c r="L1543" s="3" t="s">
        <v>44</v>
      </c>
      <c r="M1543" s="4">
        <v>6.69</v>
      </c>
    </row>
    <row r="1544">
      <c r="A1544" s="2">
        <v>45533</v>
      </c>
      <c r="B15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4" s="3" t="str">
        <f>YEAR(KMART_DATA[[#This Row],[Date]])&amp;"-"&amp;TEXT(MONTH(KMART_DATA[[#This Row],[Date]]),"00")</f>
        <v>2024-08</v>
      </c>
      <c r="D1544" s="3" t="s">
        <v>28</v>
      </c>
      <c r="E1544" s="3" t="s">
        <v>254</v>
      </c>
      <c r="F1544" s="3" t="s">
        <v>13</v>
      </c>
      <c r="G15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44" s="3" t="s">
        <v>255</v>
      </c>
      <c r="I1544" s="3" t="s">
        <v>31</v>
      </c>
      <c r="J1544" s="3" t="s">
        <v>227</v>
      </c>
      <c r="K1544" s="3" t="s">
        <v>46</v>
      </c>
      <c r="L1544" s="3" t="s">
        <v>47</v>
      </c>
      <c r="M1544" s="4">
        <v>77.94</v>
      </c>
    </row>
    <row r="1545">
      <c r="A1545" s="2">
        <v>45533</v>
      </c>
      <c r="B15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5" s="3" t="str">
        <f>YEAR(KMART_DATA[[#This Row],[Date]])&amp;"-"&amp;TEXT(MONTH(KMART_DATA[[#This Row],[Date]]),"00")</f>
        <v>2024-08</v>
      </c>
      <c r="D1545" s="3" t="s">
        <v>28</v>
      </c>
      <c r="E1545" s="3" t="s">
        <v>258</v>
      </c>
      <c r="F1545" s="3" t="s">
        <v>14</v>
      </c>
      <c r="G15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545" s="3" t="s">
        <v>259</v>
      </c>
      <c r="I1545" s="3" t="s">
        <v>31</v>
      </c>
      <c r="J1545" s="3" t="s">
        <v>145</v>
      </c>
      <c r="K1545" s="3" t="s">
        <v>71</v>
      </c>
      <c r="L1545" s="3" t="s">
        <v>72</v>
      </c>
      <c r="M1545" s="4">
        <v>283.03</v>
      </c>
    </row>
    <row r="1546">
      <c r="A1546" s="2">
        <v>45533</v>
      </c>
      <c r="B15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6" s="3" t="str">
        <f>YEAR(KMART_DATA[[#This Row],[Date]])&amp;"-"&amp;TEXT(MONTH(KMART_DATA[[#This Row],[Date]]),"00")</f>
        <v>2024-08</v>
      </c>
      <c r="D1546" s="3" t="s">
        <v>45</v>
      </c>
      <c r="E1546" s="3" t="s">
        <v>163</v>
      </c>
      <c r="F1546" s="3" t="s">
        <v>9</v>
      </c>
      <c r="G15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46" s="3" t="s">
        <v>164</v>
      </c>
      <c r="I1546" s="3" t="s">
        <v>31</v>
      </c>
      <c r="J1546" s="3" t="s">
        <v>81</v>
      </c>
      <c r="K1546" s="3" t="s">
        <v>43</v>
      </c>
      <c r="L1546" s="3" t="s">
        <v>44</v>
      </c>
      <c r="M1546" s="4">
        <v>494.34</v>
      </c>
    </row>
    <row r="1547">
      <c r="A1547" s="2">
        <v>45533</v>
      </c>
      <c r="B15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7" s="3" t="str">
        <f>YEAR(KMART_DATA[[#This Row],[Date]])&amp;"-"&amp;TEXT(MONTH(KMART_DATA[[#This Row],[Date]]),"00")</f>
        <v>2024-08</v>
      </c>
      <c r="D1547" s="3" t="s">
        <v>28</v>
      </c>
      <c r="E1547" s="3" t="s">
        <v>51</v>
      </c>
      <c r="F1547" s="3" t="s">
        <v>15</v>
      </c>
      <c r="G15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547" s="3" t="s">
        <v>52</v>
      </c>
      <c r="I1547" s="3" t="s">
        <v>31</v>
      </c>
      <c r="J1547" s="3" t="s">
        <v>53</v>
      </c>
      <c r="K1547" s="3" t="s">
        <v>71</v>
      </c>
      <c r="L1547" s="3" t="s">
        <v>72</v>
      </c>
      <c r="M1547" s="4">
        <v>612.62</v>
      </c>
    </row>
    <row r="1548">
      <c r="A1548" s="2">
        <v>45533</v>
      </c>
      <c r="B15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8" s="3" t="str">
        <f>YEAR(KMART_DATA[[#This Row],[Date]])&amp;"-"&amp;TEXT(MONTH(KMART_DATA[[#This Row],[Date]]),"00")</f>
        <v>2024-08</v>
      </c>
      <c r="D1548" s="3" t="s">
        <v>28</v>
      </c>
      <c r="E1548" s="3" t="s">
        <v>219</v>
      </c>
      <c r="F1548" s="3" t="s">
        <v>11</v>
      </c>
      <c r="G15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48" s="3" t="s">
        <v>220</v>
      </c>
      <c r="I1548" s="3" t="s">
        <v>31</v>
      </c>
      <c r="J1548" s="3" t="s">
        <v>56</v>
      </c>
      <c r="K1548" s="3" t="s">
        <v>57</v>
      </c>
      <c r="L1548" s="3" t="s">
        <v>58</v>
      </c>
      <c r="M1548" s="4">
        <v>779.41</v>
      </c>
    </row>
    <row r="1549">
      <c r="A1549" s="2">
        <v>45533</v>
      </c>
      <c r="B15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49" s="3" t="str">
        <f>YEAR(KMART_DATA[[#This Row],[Date]])&amp;"-"&amp;TEXT(MONTH(KMART_DATA[[#This Row],[Date]]),"00")</f>
        <v>2024-08</v>
      </c>
      <c r="D1549" s="3" t="s">
        <v>28</v>
      </c>
      <c r="E1549" s="3" t="s">
        <v>118</v>
      </c>
      <c r="F1549" s="3" t="s">
        <v>10</v>
      </c>
      <c r="G15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49" s="3" t="s">
        <v>119</v>
      </c>
      <c r="I1549" s="3" t="s">
        <v>31</v>
      </c>
      <c r="J1549" s="3" t="s">
        <v>120</v>
      </c>
      <c r="K1549" s="3" t="s">
        <v>57</v>
      </c>
      <c r="L1549" s="3" t="s">
        <v>58</v>
      </c>
      <c r="M1549" s="4">
        <v>4044.67</v>
      </c>
    </row>
    <row r="1550">
      <c r="A1550" s="2">
        <v>45534</v>
      </c>
      <c r="B15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0" s="3" t="str">
        <f>YEAR(KMART_DATA[[#This Row],[Date]])&amp;"-"&amp;TEXT(MONTH(KMART_DATA[[#This Row],[Date]]),"00")</f>
        <v>2024-08</v>
      </c>
      <c r="D1550" s="3" t="s">
        <v>28</v>
      </c>
      <c r="E1550" s="3" t="s">
        <v>209</v>
      </c>
      <c r="F1550" s="3" t="s">
        <v>9</v>
      </c>
      <c r="G15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50" s="3" t="s">
        <v>210</v>
      </c>
      <c r="I1550" s="3" t="s">
        <v>31</v>
      </c>
      <c r="J1550" s="3" t="s">
        <v>81</v>
      </c>
      <c r="K1550" s="3" t="s">
        <v>33</v>
      </c>
      <c r="L1550" s="3" t="s">
        <v>34</v>
      </c>
      <c r="M1550" s="4">
        <v>28.13</v>
      </c>
    </row>
    <row r="1551">
      <c r="A1551" s="2">
        <v>45534</v>
      </c>
      <c r="B15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1" s="3" t="str">
        <f>YEAR(KMART_DATA[[#This Row],[Date]])&amp;"-"&amp;TEXT(MONTH(KMART_DATA[[#This Row],[Date]]),"00")</f>
        <v>2024-08</v>
      </c>
      <c r="D1551" s="3" t="s">
        <v>28</v>
      </c>
      <c r="E1551" s="3" t="s">
        <v>129</v>
      </c>
      <c r="F1551" s="3" t="s">
        <v>10</v>
      </c>
      <c r="G15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51" s="3" t="s">
        <v>130</v>
      </c>
      <c r="I1551" s="3" t="s">
        <v>31</v>
      </c>
      <c r="J1551" s="3" t="s">
        <v>120</v>
      </c>
      <c r="K1551" s="3" t="s">
        <v>112</v>
      </c>
      <c r="L1551" s="3" t="s">
        <v>113</v>
      </c>
      <c r="M1551" s="4">
        <v>61.57</v>
      </c>
    </row>
    <row r="1552">
      <c r="A1552" s="2">
        <v>45534</v>
      </c>
      <c r="B15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2" s="3" t="str">
        <f>YEAR(KMART_DATA[[#This Row],[Date]])&amp;"-"&amp;TEXT(MONTH(KMART_DATA[[#This Row],[Date]]),"00")</f>
        <v>2024-08</v>
      </c>
      <c r="D1552" s="3" t="s">
        <v>28</v>
      </c>
      <c r="E1552" s="3" t="s">
        <v>223</v>
      </c>
      <c r="F1552" s="3" t="s">
        <v>10</v>
      </c>
      <c r="G15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52" s="3" t="s">
        <v>224</v>
      </c>
      <c r="I1552" s="3" t="s">
        <v>31</v>
      </c>
      <c r="J1552" s="3" t="s">
        <v>94</v>
      </c>
      <c r="K1552" s="3" t="s">
        <v>57</v>
      </c>
      <c r="L1552" s="3" t="s">
        <v>58</v>
      </c>
      <c r="M1552" s="4">
        <v>184.97</v>
      </c>
    </row>
    <row r="1553">
      <c r="A1553" s="2">
        <v>45534</v>
      </c>
      <c r="B15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3" s="3" t="str">
        <f>YEAR(KMART_DATA[[#This Row],[Date]])&amp;"-"&amp;TEXT(MONTH(KMART_DATA[[#This Row],[Date]]),"00")</f>
        <v>2024-08</v>
      </c>
      <c r="D1553" s="3" t="s">
        <v>28</v>
      </c>
      <c r="E1553" s="3" t="s">
        <v>246</v>
      </c>
      <c r="F1553" s="3" t="s">
        <v>10</v>
      </c>
      <c r="G15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53" s="3" t="s">
        <v>247</v>
      </c>
      <c r="I1553" s="3" t="s">
        <v>31</v>
      </c>
      <c r="J1553" s="3" t="s">
        <v>37</v>
      </c>
      <c r="K1553" s="3" t="s">
        <v>38</v>
      </c>
      <c r="L1553" s="3" t="s">
        <v>39</v>
      </c>
      <c r="M1553" s="4">
        <v>366.39</v>
      </c>
    </row>
    <row r="1554">
      <c r="A1554" s="2">
        <v>45535</v>
      </c>
      <c r="B15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4" s="3" t="str">
        <f>YEAR(KMART_DATA[[#This Row],[Date]])&amp;"-"&amp;TEXT(MONTH(KMART_DATA[[#This Row],[Date]]),"00")</f>
        <v>2024-08</v>
      </c>
      <c r="D1554" s="3" t="s">
        <v>28</v>
      </c>
      <c r="E1554" s="3" t="s">
        <v>221</v>
      </c>
      <c r="F1554" s="3" t="s">
        <v>11</v>
      </c>
      <c r="G15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54" s="3" t="s">
        <v>222</v>
      </c>
      <c r="I1554" s="3" t="s">
        <v>31</v>
      </c>
      <c r="J1554" s="3" t="s">
        <v>56</v>
      </c>
      <c r="K1554" s="3" t="s">
        <v>95</v>
      </c>
      <c r="L1554" s="3" t="s">
        <v>96</v>
      </c>
      <c r="M1554" s="4">
        <v>2.0</v>
      </c>
    </row>
    <row r="1555">
      <c r="A1555" s="2">
        <v>45535</v>
      </c>
      <c r="B15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5" s="3" t="str">
        <f>YEAR(KMART_DATA[[#This Row],[Date]])&amp;"-"&amp;TEXT(MONTH(KMART_DATA[[#This Row],[Date]]),"00")</f>
        <v>2024-08</v>
      </c>
      <c r="D1555" s="3" t="s">
        <v>28</v>
      </c>
      <c r="E1555" s="3" t="s">
        <v>169</v>
      </c>
      <c r="F1555" s="3" t="s">
        <v>12</v>
      </c>
      <c r="G15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55" s="3" t="s">
        <v>170</v>
      </c>
      <c r="I1555" s="3" t="s">
        <v>31</v>
      </c>
      <c r="J1555" s="3" t="s">
        <v>102</v>
      </c>
      <c r="K1555" s="3" t="s">
        <v>123</v>
      </c>
      <c r="L1555" s="3" t="s">
        <v>124</v>
      </c>
      <c r="M1555" s="4">
        <v>2.97</v>
      </c>
    </row>
    <row r="1556">
      <c r="A1556" s="2">
        <v>45535</v>
      </c>
      <c r="B15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6" s="3" t="str">
        <f>YEAR(KMART_DATA[[#This Row],[Date]])&amp;"-"&amp;TEXT(MONTH(KMART_DATA[[#This Row],[Date]]),"00")</f>
        <v>2024-08</v>
      </c>
      <c r="D1556" s="3" t="s">
        <v>28</v>
      </c>
      <c r="E1556" s="3" t="s">
        <v>40</v>
      </c>
      <c r="F1556" s="3" t="s">
        <v>13</v>
      </c>
      <c r="G15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56" s="3" t="s">
        <v>41</v>
      </c>
      <c r="I1556" s="3" t="s">
        <v>31</v>
      </c>
      <c r="J1556" s="3" t="s">
        <v>42</v>
      </c>
      <c r="K1556" s="3" t="s">
        <v>38</v>
      </c>
      <c r="L1556" s="3" t="s">
        <v>39</v>
      </c>
      <c r="M1556" s="4">
        <v>258.54</v>
      </c>
    </row>
    <row r="1557">
      <c r="A1557" s="2">
        <v>45535</v>
      </c>
      <c r="B15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7" s="3" t="str">
        <f>YEAR(KMART_DATA[[#This Row],[Date]])&amp;"-"&amp;TEXT(MONTH(KMART_DATA[[#This Row],[Date]]),"00")</f>
        <v>2024-08</v>
      </c>
      <c r="D1557" s="3" t="s">
        <v>45</v>
      </c>
      <c r="E1557" s="3" t="s">
        <v>76</v>
      </c>
      <c r="F1557" s="3" t="s">
        <v>11</v>
      </c>
      <c r="G15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57" s="3" t="s">
        <v>77</v>
      </c>
      <c r="I1557" s="3" t="s">
        <v>31</v>
      </c>
      <c r="J1557" s="3" t="s">
        <v>78</v>
      </c>
      <c r="K1557" s="3" t="s">
        <v>57</v>
      </c>
      <c r="L1557" s="3" t="s">
        <v>58</v>
      </c>
      <c r="M1557" s="4">
        <v>899.55</v>
      </c>
    </row>
    <row r="1558">
      <c r="A1558" s="2">
        <v>45535</v>
      </c>
      <c r="B15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8" s="3" t="str">
        <f>YEAR(KMART_DATA[[#This Row],[Date]])&amp;"-"&amp;TEXT(MONTH(KMART_DATA[[#This Row],[Date]]),"00")</f>
        <v>2024-08</v>
      </c>
      <c r="D1558" s="3" t="s">
        <v>28</v>
      </c>
      <c r="E1558" s="3" t="s">
        <v>238</v>
      </c>
      <c r="F1558" s="3" t="s">
        <v>13</v>
      </c>
      <c r="G15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58" s="3" t="s">
        <v>239</v>
      </c>
      <c r="I1558" s="3" t="s">
        <v>31</v>
      </c>
      <c r="J1558" s="3" t="s">
        <v>42</v>
      </c>
      <c r="K1558" s="3" t="s">
        <v>57</v>
      </c>
      <c r="L1558" s="3" t="s">
        <v>58</v>
      </c>
      <c r="M1558" s="4">
        <v>1348.18</v>
      </c>
    </row>
    <row r="1559">
      <c r="A1559" s="2">
        <v>45535</v>
      </c>
      <c r="B15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59" s="3" t="str">
        <f>YEAR(KMART_DATA[[#This Row],[Date]])&amp;"-"&amp;TEXT(MONTH(KMART_DATA[[#This Row],[Date]]),"00")</f>
        <v>2024-08</v>
      </c>
      <c r="D1559" s="3" t="s">
        <v>28</v>
      </c>
      <c r="E1559" s="3" t="s">
        <v>59</v>
      </c>
      <c r="F1559" s="3" t="s">
        <v>11</v>
      </c>
      <c r="G15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59" s="3" t="s">
        <v>60</v>
      </c>
      <c r="I1559" s="3" t="s">
        <v>31</v>
      </c>
      <c r="J1559" s="3" t="s">
        <v>61</v>
      </c>
      <c r="K1559" s="3" t="s">
        <v>123</v>
      </c>
      <c r="L1559" s="3" t="s">
        <v>124</v>
      </c>
      <c r="M1559" s="4">
        <v>3269.12</v>
      </c>
    </row>
    <row r="1560">
      <c r="A1560" s="2">
        <v>45535</v>
      </c>
      <c r="B15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0" s="3" t="str">
        <f>YEAR(KMART_DATA[[#This Row],[Date]])&amp;"-"&amp;TEXT(MONTH(KMART_DATA[[#This Row],[Date]]),"00")</f>
        <v>2024-08</v>
      </c>
      <c r="D1560" s="3" t="s">
        <v>28</v>
      </c>
      <c r="E1560" s="3" t="s">
        <v>181</v>
      </c>
      <c r="F1560" s="3" t="s">
        <v>11</v>
      </c>
      <c r="G15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60" s="3" t="s">
        <v>182</v>
      </c>
      <c r="I1560" s="3" t="s">
        <v>31</v>
      </c>
      <c r="J1560" s="3" t="s">
        <v>56</v>
      </c>
      <c r="K1560" s="3" t="s">
        <v>57</v>
      </c>
      <c r="L1560" s="3" t="s">
        <v>58</v>
      </c>
      <c r="M1560" s="4">
        <v>5292.98</v>
      </c>
    </row>
    <row r="1561">
      <c r="A1561" s="2">
        <v>45535</v>
      </c>
      <c r="B15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1" s="3" t="str">
        <f>YEAR(KMART_DATA[[#This Row],[Date]])&amp;"-"&amp;TEXT(MONTH(KMART_DATA[[#This Row],[Date]]),"00")</f>
        <v>2024-08</v>
      </c>
      <c r="D1561" s="3" t="s">
        <v>28</v>
      </c>
      <c r="E1561" s="3" t="s">
        <v>64</v>
      </c>
      <c r="F1561" s="3" t="s">
        <v>11</v>
      </c>
      <c r="G15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61" s="3" t="s">
        <v>65</v>
      </c>
      <c r="I1561" s="3" t="s">
        <v>31</v>
      </c>
      <c r="J1561" s="3" t="s">
        <v>61</v>
      </c>
      <c r="K1561" s="3" t="s">
        <v>57</v>
      </c>
      <c r="L1561" s="3" t="s">
        <v>58</v>
      </c>
      <c r="M1561" s="4">
        <v>5832.2</v>
      </c>
    </row>
    <row r="1562">
      <c r="A1562" s="2">
        <v>45536</v>
      </c>
      <c r="B15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2" s="3" t="str">
        <f>YEAR(KMART_DATA[[#This Row],[Date]])&amp;"-"&amp;TEXT(MONTH(KMART_DATA[[#This Row],[Date]]),"00")</f>
        <v>2024-09</v>
      </c>
      <c r="D1562" s="3" t="s">
        <v>28</v>
      </c>
      <c r="E1562" s="3" t="s">
        <v>163</v>
      </c>
      <c r="F1562" s="3" t="s">
        <v>9</v>
      </c>
      <c r="G15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62" s="3" t="s">
        <v>164</v>
      </c>
      <c r="I1562" s="3" t="s">
        <v>31</v>
      </c>
      <c r="J1562" s="3" t="s">
        <v>81</v>
      </c>
      <c r="K1562" s="3" t="s">
        <v>43</v>
      </c>
      <c r="L1562" s="3" t="s">
        <v>44</v>
      </c>
      <c r="M1562" s="4">
        <v>1.0</v>
      </c>
    </row>
    <row r="1563">
      <c r="A1563" s="2">
        <v>45536</v>
      </c>
      <c r="B15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3" s="3" t="str">
        <f>YEAR(KMART_DATA[[#This Row],[Date]])&amp;"-"&amp;TEXT(MONTH(KMART_DATA[[#This Row],[Date]]),"00")</f>
        <v>2024-09</v>
      </c>
      <c r="D1563" s="3" t="s">
        <v>28</v>
      </c>
      <c r="E1563" s="3" t="s">
        <v>185</v>
      </c>
      <c r="F1563" s="3" t="s">
        <v>12</v>
      </c>
      <c r="G15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63" s="3" t="s">
        <v>186</v>
      </c>
      <c r="I1563" s="3" t="s">
        <v>31</v>
      </c>
      <c r="J1563" s="3" t="s">
        <v>162</v>
      </c>
      <c r="K1563" s="3" t="s">
        <v>43</v>
      </c>
      <c r="L1563" s="3" t="s">
        <v>44</v>
      </c>
      <c r="M1563" s="4">
        <v>4.49</v>
      </c>
    </row>
    <row r="1564">
      <c r="A1564" s="2">
        <v>45536</v>
      </c>
      <c r="B15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4" s="3" t="str">
        <f>YEAR(KMART_DATA[[#This Row],[Date]])&amp;"-"&amp;TEXT(MONTH(KMART_DATA[[#This Row],[Date]]),"00")</f>
        <v>2024-09</v>
      </c>
      <c r="D1564" s="3" t="s">
        <v>28</v>
      </c>
      <c r="E1564" s="3" t="s">
        <v>256</v>
      </c>
      <c r="F1564" s="3" t="s">
        <v>9</v>
      </c>
      <c r="G15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64" s="3" t="s">
        <v>257</v>
      </c>
      <c r="I1564" s="3" t="s">
        <v>31</v>
      </c>
      <c r="J1564" s="3" t="s">
        <v>70</v>
      </c>
      <c r="K1564" s="3" t="s">
        <v>43</v>
      </c>
      <c r="L1564" s="3" t="s">
        <v>44</v>
      </c>
      <c r="M1564" s="4">
        <v>8.84</v>
      </c>
    </row>
    <row r="1565">
      <c r="A1565" s="2">
        <v>45536</v>
      </c>
      <c r="B15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5" s="3" t="str">
        <f>YEAR(KMART_DATA[[#This Row],[Date]])&amp;"-"&amp;TEXT(MONTH(KMART_DATA[[#This Row],[Date]]),"00")</f>
        <v>2024-09</v>
      </c>
      <c r="D1565" s="3" t="s">
        <v>28</v>
      </c>
      <c r="E1565" s="3" t="s">
        <v>171</v>
      </c>
      <c r="F1565" s="3" t="s">
        <v>10</v>
      </c>
      <c r="G15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65" s="3" t="s">
        <v>172</v>
      </c>
      <c r="I1565" s="3" t="s">
        <v>31</v>
      </c>
      <c r="J1565" s="3" t="s">
        <v>37</v>
      </c>
      <c r="K1565" s="3" t="s">
        <v>46</v>
      </c>
      <c r="L1565" s="3" t="s">
        <v>47</v>
      </c>
      <c r="M1565" s="4">
        <v>12.99</v>
      </c>
    </row>
    <row r="1566">
      <c r="A1566" s="2">
        <v>45536</v>
      </c>
      <c r="B15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6" s="3" t="str">
        <f>YEAR(KMART_DATA[[#This Row],[Date]])&amp;"-"&amp;TEXT(MONTH(KMART_DATA[[#This Row],[Date]]),"00")</f>
        <v>2024-09</v>
      </c>
      <c r="D1566" s="3" t="s">
        <v>28</v>
      </c>
      <c r="E1566" s="3" t="s">
        <v>199</v>
      </c>
      <c r="F1566" s="3" t="s">
        <v>13</v>
      </c>
      <c r="G15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66" s="3" t="s">
        <v>200</v>
      </c>
      <c r="I1566" s="3" t="s">
        <v>31</v>
      </c>
      <c r="J1566" s="3" t="s">
        <v>42</v>
      </c>
      <c r="K1566" s="3" t="s">
        <v>123</v>
      </c>
      <c r="L1566" s="3" t="s">
        <v>124</v>
      </c>
      <c r="M1566" s="4">
        <v>16.99</v>
      </c>
    </row>
    <row r="1567">
      <c r="A1567" s="2">
        <v>45536</v>
      </c>
      <c r="B15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7" s="3" t="str">
        <f>YEAR(KMART_DATA[[#This Row],[Date]])&amp;"-"&amp;TEXT(MONTH(KMART_DATA[[#This Row],[Date]]),"00")</f>
        <v>2024-09</v>
      </c>
      <c r="D1567" s="3" t="s">
        <v>28</v>
      </c>
      <c r="E1567" s="3" t="s">
        <v>131</v>
      </c>
      <c r="F1567" s="3" t="s">
        <v>11</v>
      </c>
      <c r="G15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67" s="3" t="s">
        <v>132</v>
      </c>
      <c r="I1567" s="3" t="s">
        <v>31</v>
      </c>
      <c r="J1567" s="3" t="s">
        <v>32</v>
      </c>
      <c r="K1567" s="3" t="s">
        <v>38</v>
      </c>
      <c r="L1567" s="3" t="s">
        <v>39</v>
      </c>
      <c r="M1567" s="4">
        <v>28.48</v>
      </c>
    </row>
    <row r="1568">
      <c r="A1568" s="2">
        <v>45536</v>
      </c>
      <c r="B15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8" s="3" t="str">
        <f>YEAR(KMART_DATA[[#This Row],[Date]])&amp;"-"&amp;TEXT(MONTH(KMART_DATA[[#This Row],[Date]]),"00")</f>
        <v>2024-09</v>
      </c>
      <c r="D1568" s="3" t="s">
        <v>45</v>
      </c>
      <c r="E1568" s="3" t="s">
        <v>171</v>
      </c>
      <c r="F1568" s="3" t="s">
        <v>10</v>
      </c>
      <c r="G15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68" s="3" t="s">
        <v>172</v>
      </c>
      <c r="I1568" s="3" t="s">
        <v>31</v>
      </c>
      <c r="J1568" s="3" t="s">
        <v>37</v>
      </c>
      <c r="K1568" s="3" t="s">
        <v>57</v>
      </c>
      <c r="L1568" s="3" t="s">
        <v>58</v>
      </c>
      <c r="M1568" s="4">
        <v>160.84</v>
      </c>
    </row>
    <row r="1569">
      <c r="A1569" s="2">
        <v>45536</v>
      </c>
      <c r="B15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69" s="3" t="str">
        <f>YEAR(KMART_DATA[[#This Row],[Date]])&amp;"-"&amp;TEXT(MONTH(KMART_DATA[[#This Row],[Date]]),"00")</f>
        <v>2024-09</v>
      </c>
      <c r="D1569" s="3" t="s">
        <v>45</v>
      </c>
      <c r="E1569" s="3" t="s">
        <v>143</v>
      </c>
      <c r="F1569" s="3" t="s">
        <v>14</v>
      </c>
      <c r="G15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569" s="3" t="s">
        <v>144</v>
      </c>
      <c r="I1569" s="3" t="s">
        <v>31</v>
      </c>
      <c r="J1569" s="3" t="s">
        <v>145</v>
      </c>
      <c r="K1569" s="3" t="s">
        <v>38</v>
      </c>
      <c r="L1569" s="3" t="s">
        <v>39</v>
      </c>
      <c r="M1569" s="4">
        <v>922.41</v>
      </c>
    </row>
    <row r="1570">
      <c r="A1570" s="2">
        <v>45536</v>
      </c>
      <c r="B15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0" s="3" t="str">
        <f>YEAR(KMART_DATA[[#This Row],[Date]])&amp;"-"&amp;TEXT(MONTH(KMART_DATA[[#This Row],[Date]]),"00")</f>
        <v>2024-09</v>
      </c>
      <c r="D1570" s="3" t="s">
        <v>45</v>
      </c>
      <c r="E1570" s="3" t="s">
        <v>179</v>
      </c>
      <c r="F1570" s="3" t="s">
        <v>9</v>
      </c>
      <c r="G15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70" s="3" t="s">
        <v>180</v>
      </c>
      <c r="I1570" s="3" t="s">
        <v>31</v>
      </c>
      <c r="J1570" s="3" t="s">
        <v>99</v>
      </c>
      <c r="K1570" s="3" t="s">
        <v>57</v>
      </c>
      <c r="L1570" s="3" t="s">
        <v>58</v>
      </c>
      <c r="M1570" s="4">
        <v>1676.76</v>
      </c>
    </row>
    <row r="1571">
      <c r="A1571" s="2">
        <v>45536</v>
      </c>
      <c r="B15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1" s="3" t="str">
        <f>YEAR(KMART_DATA[[#This Row],[Date]])&amp;"-"&amp;TEXT(MONTH(KMART_DATA[[#This Row],[Date]]),"00")</f>
        <v>2024-09</v>
      </c>
      <c r="D1571" s="3" t="s">
        <v>28</v>
      </c>
      <c r="E1571" s="3" t="s">
        <v>141</v>
      </c>
      <c r="F1571" s="3" t="s">
        <v>9</v>
      </c>
      <c r="G15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71" s="3" t="s">
        <v>142</v>
      </c>
      <c r="I1571" s="3" t="s">
        <v>31</v>
      </c>
      <c r="J1571" s="3" t="s">
        <v>107</v>
      </c>
      <c r="K1571" s="3" t="s">
        <v>71</v>
      </c>
      <c r="L1571" s="3" t="s">
        <v>72</v>
      </c>
      <c r="M1571" s="4">
        <v>3731.64</v>
      </c>
    </row>
    <row r="1572">
      <c r="A1572" s="2">
        <v>45537</v>
      </c>
      <c r="B15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2" s="3" t="str">
        <f>YEAR(KMART_DATA[[#This Row],[Date]])&amp;"-"&amp;TEXT(MONTH(KMART_DATA[[#This Row],[Date]]),"00")</f>
        <v>2024-09</v>
      </c>
      <c r="D1572" s="3" t="s">
        <v>45</v>
      </c>
      <c r="E1572" s="3" t="s">
        <v>68</v>
      </c>
      <c r="F1572" s="3" t="s">
        <v>9</v>
      </c>
      <c r="G15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72" s="3" t="s">
        <v>69</v>
      </c>
      <c r="I1572" s="3" t="s">
        <v>31</v>
      </c>
      <c r="J1572" s="3" t="s">
        <v>70</v>
      </c>
      <c r="K1572" s="3" t="s">
        <v>46</v>
      </c>
      <c r="L1572" s="3" t="s">
        <v>47</v>
      </c>
      <c r="M1572" s="4">
        <v>25.98</v>
      </c>
    </row>
    <row r="1573">
      <c r="A1573" s="2">
        <v>45537</v>
      </c>
      <c r="B15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3" s="3" t="str">
        <f>YEAR(KMART_DATA[[#This Row],[Date]])&amp;"-"&amp;TEXT(MONTH(KMART_DATA[[#This Row],[Date]]),"00")</f>
        <v>2024-09</v>
      </c>
      <c r="D1573" s="3" t="s">
        <v>28</v>
      </c>
      <c r="E1573" s="3" t="s">
        <v>116</v>
      </c>
      <c r="F1573" s="3" t="s">
        <v>9</v>
      </c>
      <c r="G15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73" s="3" t="s">
        <v>117</v>
      </c>
      <c r="I1573" s="3" t="s">
        <v>31</v>
      </c>
      <c r="J1573" s="3" t="s">
        <v>70</v>
      </c>
      <c r="K1573" s="3" t="s">
        <v>123</v>
      </c>
      <c r="L1573" s="3" t="s">
        <v>124</v>
      </c>
      <c r="M1573" s="4">
        <v>52.15</v>
      </c>
    </row>
    <row r="1574">
      <c r="A1574" s="2">
        <v>45537</v>
      </c>
      <c r="B15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4" s="3" t="str">
        <f>YEAR(KMART_DATA[[#This Row],[Date]])&amp;"-"&amp;TEXT(MONTH(KMART_DATA[[#This Row],[Date]]),"00")</f>
        <v>2024-09</v>
      </c>
      <c r="D1574" s="3" t="s">
        <v>45</v>
      </c>
      <c r="E1574" s="3" t="s">
        <v>139</v>
      </c>
      <c r="F1574" s="3" t="s">
        <v>10</v>
      </c>
      <c r="G15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74" s="3" t="s">
        <v>140</v>
      </c>
      <c r="I1574" s="3" t="s">
        <v>31</v>
      </c>
      <c r="J1574" s="3" t="s">
        <v>89</v>
      </c>
      <c r="K1574" s="3" t="s">
        <v>95</v>
      </c>
      <c r="L1574" s="3" t="s">
        <v>96</v>
      </c>
      <c r="M1574" s="4">
        <v>331.48</v>
      </c>
    </row>
    <row r="1575">
      <c r="A1575" s="2">
        <v>45537</v>
      </c>
      <c r="B15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5" s="3" t="str">
        <f>YEAR(KMART_DATA[[#This Row],[Date]])&amp;"-"&amp;TEXT(MONTH(KMART_DATA[[#This Row],[Date]]),"00")</f>
        <v>2024-09</v>
      </c>
      <c r="D1575" s="3" t="s">
        <v>28</v>
      </c>
      <c r="E1575" s="3" t="s">
        <v>139</v>
      </c>
      <c r="F1575" s="3" t="s">
        <v>10</v>
      </c>
      <c r="G15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75" s="3" t="s">
        <v>140</v>
      </c>
      <c r="I1575" s="3" t="s">
        <v>31</v>
      </c>
      <c r="J1575" s="3" t="s">
        <v>89</v>
      </c>
      <c r="K1575" s="3" t="s">
        <v>95</v>
      </c>
      <c r="L1575" s="3" t="s">
        <v>96</v>
      </c>
      <c r="M1575" s="4">
        <v>534.95</v>
      </c>
    </row>
    <row r="1576">
      <c r="A1576" s="2">
        <v>45537</v>
      </c>
      <c r="B15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6" s="3" t="str">
        <f>YEAR(KMART_DATA[[#This Row],[Date]])&amp;"-"&amp;TEXT(MONTH(KMART_DATA[[#This Row],[Date]]),"00")</f>
        <v>2024-09</v>
      </c>
      <c r="D1576" s="3" t="s">
        <v>28</v>
      </c>
      <c r="E1576" s="3" t="s">
        <v>250</v>
      </c>
      <c r="F1576" s="3" t="s">
        <v>10</v>
      </c>
      <c r="G15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76" s="3" t="s">
        <v>251</v>
      </c>
      <c r="I1576" s="3" t="s">
        <v>31</v>
      </c>
      <c r="J1576" s="3" t="s">
        <v>37</v>
      </c>
      <c r="K1576" s="3" t="s">
        <v>57</v>
      </c>
      <c r="L1576" s="3" t="s">
        <v>58</v>
      </c>
      <c r="M1576" s="4">
        <v>4471.37</v>
      </c>
    </row>
    <row r="1577">
      <c r="A1577" s="2">
        <v>45538</v>
      </c>
      <c r="B15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7" s="3" t="str">
        <f>YEAR(KMART_DATA[[#This Row],[Date]])&amp;"-"&amp;TEXT(MONTH(KMART_DATA[[#This Row],[Date]]),"00")</f>
        <v>2024-09</v>
      </c>
      <c r="D1577" s="3" t="s">
        <v>28</v>
      </c>
      <c r="E1577" s="3" t="s">
        <v>177</v>
      </c>
      <c r="F1577" s="3" t="s">
        <v>12</v>
      </c>
      <c r="G15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77" s="3" t="s">
        <v>178</v>
      </c>
      <c r="I1577" s="3" t="s">
        <v>31</v>
      </c>
      <c r="J1577" s="3" t="s">
        <v>162</v>
      </c>
      <c r="K1577" s="3" t="s">
        <v>33</v>
      </c>
      <c r="L1577" s="3" t="s">
        <v>34</v>
      </c>
      <c r="M1577" s="4">
        <v>2.5</v>
      </c>
    </row>
    <row r="1578">
      <c r="A1578" s="2">
        <v>45538</v>
      </c>
      <c r="B15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8" s="3" t="str">
        <f>YEAR(KMART_DATA[[#This Row],[Date]])&amp;"-"&amp;TEXT(MONTH(KMART_DATA[[#This Row],[Date]]),"00")</f>
        <v>2024-09</v>
      </c>
      <c r="D1578" s="3" t="s">
        <v>28</v>
      </c>
      <c r="E1578" s="3" t="s">
        <v>264</v>
      </c>
      <c r="F1578" s="3" t="s">
        <v>13</v>
      </c>
      <c r="G15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78" s="3" t="s">
        <v>265</v>
      </c>
      <c r="I1578" s="3" t="s">
        <v>31</v>
      </c>
      <c r="J1578" s="3" t="s">
        <v>42</v>
      </c>
      <c r="K1578" s="3" t="s">
        <v>95</v>
      </c>
      <c r="L1578" s="3" t="s">
        <v>96</v>
      </c>
      <c r="M1578" s="4">
        <v>9.98</v>
      </c>
    </row>
    <row r="1579">
      <c r="A1579" s="2">
        <v>45538</v>
      </c>
      <c r="B15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79" s="3" t="str">
        <f>YEAR(KMART_DATA[[#This Row],[Date]])&amp;"-"&amp;TEXT(MONTH(KMART_DATA[[#This Row],[Date]]),"00")</f>
        <v>2024-09</v>
      </c>
      <c r="D1579" s="3" t="s">
        <v>28</v>
      </c>
      <c r="E1579" s="3" t="s">
        <v>125</v>
      </c>
      <c r="F1579" s="3" t="s">
        <v>10</v>
      </c>
      <c r="G15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79" s="3" t="s">
        <v>126</v>
      </c>
      <c r="I1579" s="3" t="s">
        <v>31</v>
      </c>
      <c r="J1579" s="3" t="s">
        <v>94</v>
      </c>
      <c r="K1579" s="3" t="s">
        <v>38</v>
      </c>
      <c r="L1579" s="3" t="s">
        <v>39</v>
      </c>
      <c r="M1579" s="4">
        <v>13.5</v>
      </c>
    </row>
    <row r="1580">
      <c r="A1580" s="2">
        <v>45538</v>
      </c>
      <c r="B15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0" s="3" t="str">
        <f>YEAR(KMART_DATA[[#This Row],[Date]])&amp;"-"&amp;TEXT(MONTH(KMART_DATA[[#This Row],[Date]]),"00")</f>
        <v>2024-09</v>
      </c>
      <c r="D1580" s="3" t="s">
        <v>45</v>
      </c>
      <c r="E1580" s="3" t="s">
        <v>230</v>
      </c>
      <c r="F1580" s="3" t="s">
        <v>13</v>
      </c>
      <c r="G15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80" s="3" t="s">
        <v>231</v>
      </c>
      <c r="I1580" s="3" t="s">
        <v>31</v>
      </c>
      <c r="J1580" s="3" t="s">
        <v>227</v>
      </c>
      <c r="K1580" s="3" t="s">
        <v>71</v>
      </c>
      <c r="L1580" s="3" t="s">
        <v>72</v>
      </c>
      <c r="M1580" s="4">
        <v>86.91</v>
      </c>
    </row>
    <row r="1581">
      <c r="A1581" s="2">
        <v>45538</v>
      </c>
      <c r="B15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1" s="3" t="str">
        <f>YEAR(KMART_DATA[[#This Row],[Date]])&amp;"-"&amp;TEXT(MONTH(KMART_DATA[[#This Row],[Date]]),"00")</f>
        <v>2024-09</v>
      </c>
      <c r="D1581" s="3" t="s">
        <v>28</v>
      </c>
      <c r="E1581" s="3" t="s">
        <v>152</v>
      </c>
      <c r="F1581" s="3" t="s">
        <v>11</v>
      </c>
      <c r="G15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81" s="3" t="s">
        <v>153</v>
      </c>
      <c r="I1581" s="3" t="s">
        <v>31</v>
      </c>
      <c r="J1581" s="3" t="s">
        <v>61</v>
      </c>
      <c r="K1581" s="3" t="s">
        <v>57</v>
      </c>
      <c r="L1581" s="3" t="s">
        <v>58</v>
      </c>
      <c r="M1581" s="4">
        <v>296.94</v>
      </c>
    </row>
    <row r="1582">
      <c r="A1582" s="2">
        <v>45538</v>
      </c>
      <c r="B15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2" s="3" t="str">
        <f>YEAR(KMART_DATA[[#This Row],[Date]])&amp;"-"&amp;TEXT(MONTH(KMART_DATA[[#This Row],[Date]]),"00")</f>
        <v>2024-09</v>
      </c>
      <c r="D1582" s="3" t="s">
        <v>28</v>
      </c>
      <c r="E1582" s="3" t="s">
        <v>68</v>
      </c>
      <c r="F1582" s="3" t="s">
        <v>9</v>
      </c>
      <c r="G15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82" s="3" t="s">
        <v>69</v>
      </c>
      <c r="I1582" s="3" t="s">
        <v>31</v>
      </c>
      <c r="J1582" s="3" t="s">
        <v>70</v>
      </c>
      <c r="K1582" s="3" t="s">
        <v>33</v>
      </c>
      <c r="L1582" s="3" t="s">
        <v>34</v>
      </c>
      <c r="M1582" s="4">
        <v>377.54</v>
      </c>
    </row>
    <row r="1583">
      <c r="A1583" s="2">
        <v>45538</v>
      </c>
      <c r="B15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3" s="3" t="str">
        <f>YEAR(KMART_DATA[[#This Row],[Date]])&amp;"-"&amp;TEXT(MONTH(KMART_DATA[[#This Row],[Date]]),"00")</f>
        <v>2024-09</v>
      </c>
      <c r="D1583" s="3" t="s">
        <v>45</v>
      </c>
      <c r="E1583" s="3" t="s">
        <v>148</v>
      </c>
      <c r="F1583" s="3" t="s">
        <v>12</v>
      </c>
      <c r="G15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83" s="3" t="s">
        <v>149</v>
      </c>
      <c r="I1583" s="3" t="s">
        <v>31</v>
      </c>
      <c r="J1583" s="3" t="s">
        <v>50</v>
      </c>
      <c r="K1583" s="3" t="s">
        <v>57</v>
      </c>
      <c r="L1583" s="3" t="s">
        <v>58</v>
      </c>
      <c r="M1583" s="4">
        <v>744.77</v>
      </c>
    </row>
    <row r="1584">
      <c r="A1584" s="2">
        <v>45538</v>
      </c>
      <c r="B15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4" s="3" t="str">
        <f>YEAR(KMART_DATA[[#This Row],[Date]])&amp;"-"&amp;TEXT(MONTH(KMART_DATA[[#This Row],[Date]]),"00")</f>
        <v>2024-09</v>
      </c>
      <c r="D1584" s="3" t="s">
        <v>28</v>
      </c>
      <c r="E1584" s="3" t="s">
        <v>68</v>
      </c>
      <c r="F1584" s="3" t="s">
        <v>9</v>
      </c>
      <c r="G15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84" s="3" t="s">
        <v>69</v>
      </c>
      <c r="I1584" s="3" t="s">
        <v>31</v>
      </c>
      <c r="J1584" s="3" t="s">
        <v>70</v>
      </c>
      <c r="K1584" s="3" t="s">
        <v>71</v>
      </c>
      <c r="L1584" s="3" t="s">
        <v>72</v>
      </c>
      <c r="M1584" s="4">
        <v>1123.33</v>
      </c>
    </row>
    <row r="1585">
      <c r="A1585" s="2">
        <v>45539</v>
      </c>
      <c r="B15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5" s="3" t="str">
        <f>YEAR(KMART_DATA[[#This Row],[Date]])&amp;"-"&amp;TEXT(MONTH(KMART_DATA[[#This Row],[Date]]),"00")</f>
        <v>2024-09</v>
      </c>
      <c r="D1585" s="3" t="s">
        <v>45</v>
      </c>
      <c r="E1585" s="3" t="s">
        <v>131</v>
      </c>
      <c r="F1585" s="3" t="s">
        <v>11</v>
      </c>
      <c r="G15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85" s="3" t="s">
        <v>132</v>
      </c>
      <c r="I1585" s="3" t="s">
        <v>31</v>
      </c>
      <c r="J1585" s="3" t="s">
        <v>32</v>
      </c>
      <c r="K1585" s="3" t="s">
        <v>95</v>
      </c>
      <c r="L1585" s="3" t="s">
        <v>96</v>
      </c>
      <c r="M1585" s="4">
        <v>194.71</v>
      </c>
    </row>
    <row r="1586">
      <c r="A1586" s="2">
        <v>45539</v>
      </c>
      <c r="B15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6" s="3" t="str">
        <f>YEAR(KMART_DATA[[#This Row],[Date]])&amp;"-"&amp;TEXT(MONTH(KMART_DATA[[#This Row],[Date]]),"00")</f>
        <v>2024-09</v>
      </c>
      <c r="D1586" s="3" t="s">
        <v>28</v>
      </c>
      <c r="E1586" s="3" t="s">
        <v>64</v>
      </c>
      <c r="F1586" s="3" t="s">
        <v>11</v>
      </c>
      <c r="G15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86" s="3" t="s">
        <v>65</v>
      </c>
      <c r="I1586" s="3" t="s">
        <v>31</v>
      </c>
      <c r="J1586" s="3" t="s">
        <v>61</v>
      </c>
      <c r="K1586" s="3" t="s">
        <v>95</v>
      </c>
      <c r="L1586" s="3" t="s">
        <v>96</v>
      </c>
      <c r="M1586" s="4">
        <v>262.47</v>
      </c>
    </row>
    <row r="1587">
      <c r="A1587" s="2">
        <v>45539</v>
      </c>
      <c r="B15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7" s="3" t="str">
        <f>YEAR(KMART_DATA[[#This Row],[Date]])&amp;"-"&amp;TEXT(MONTH(KMART_DATA[[#This Row],[Date]]),"00")</f>
        <v>2024-09</v>
      </c>
      <c r="D1587" s="3" t="s">
        <v>28</v>
      </c>
      <c r="E1587" s="3" t="s">
        <v>221</v>
      </c>
      <c r="F1587" s="3" t="s">
        <v>11</v>
      </c>
      <c r="G15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87" s="3" t="s">
        <v>222</v>
      </c>
      <c r="I1587" s="3" t="s">
        <v>31</v>
      </c>
      <c r="J1587" s="3" t="s">
        <v>56</v>
      </c>
      <c r="K1587" s="3" t="s">
        <v>43</v>
      </c>
      <c r="L1587" s="3" t="s">
        <v>44</v>
      </c>
      <c r="M1587" s="4">
        <v>296.7</v>
      </c>
    </row>
    <row r="1588">
      <c r="A1588" s="2">
        <v>45539</v>
      </c>
      <c r="B15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8" s="3" t="str">
        <f>YEAR(KMART_DATA[[#This Row],[Date]])&amp;"-"&amp;TEXT(MONTH(KMART_DATA[[#This Row],[Date]]),"00")</f>
        <v>2024-09</v>
      </c>
      <c r="D1588" s="3" t="s">
        <v>28</v>
      </c>
      <c r="E1588" s="3" t="s">
        <v>205</v>
      </c>
      <c r="F1588" s="3" t="s">
        <v>10</v>
      </c>
      <c r="G15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88" s="3" t="s">
        <v>206</v>
      </c>
      <c r="I1588" s="3" t="s">
        <v>31</v>
      </c>
      <c r="J1588" s="3" t="s">
        <v>37</v>
      </c>
      <c r="K1588" s="3" t="s">
        <v>57</v>
      </c>
      <c r="L1588" s="3" t="s">
        <v>58</v>
      </c>
      <c r="M1588" s="4">
        <v>359.63</v>
      </c>
    </row>
    <row r="1589">
      <c r="A1589" s="2">
        <v>45539</v>
      </c>
      <c r="B15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89" s="3" t="str">
        <f>YEAR(KMART_DATA[[#This Row],[Date]])&amp;"-"&amp;TEXT(MONTH(KMART_DATA[[#This Row],[Date]]),"00")</f>
        <v>2024-09</v>
      </c>
      <c r="D1589" s="3" t="s">
        <v>28</v>
      </c>
      <c r="E1589" s="3" t="s">
        <v>264</v>
      </c>
      <c r="F1589" s="3" t="s">
        <v>13</v>
      </c>
      <c r="G15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589" s="3" t="s">
        <v>265</v>
      </c>
      <c r="I1589" s="3" t="s">
        <v>31</v>
      </c>
      <c r="J1589" s="3" t="s">
        <v>42</v>
      </c>
      <c r="K1589" s="3" t="s">
        <v>46</v>
      </c>
      <c r="L1589" s="3" t="s">
        <v>47</v>
      </c>
      <c r="M1589" s="4">
        <v>498.74</v>
      </c>
    </row>
    <row r="1590">
      <c r="A1590" s="2">
        <v>45539</v>
      </c>
      <c r="B15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0" s="3" t="str">
        <f>YEAR(KMART_DATA[[#This Row],[Date]])&amp;"-"&amp;TEXT(MONTH(KMART_DATA[[#This Row],[Date]]),"00")</f>
        <v>2024-09</v>
      </c>
      <c r="D1590" s="3" t="s">
        <v>28</v>
      </c>
      <c r="E1590" s="3" t="s">
        <v>232</v>
      </c>
      <c r="F1590" s="3" t="s">
        <v>9</v>
      </c>
      <c r="G15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90" s="3" t="s">
        <v>233</v>
      </c>
      <c r="I1590" s="3" t="s">
        <v>31</v>
      </c>
      <c r="J1590" s="3" t="s">
        <v>75</v>
      </c>
      <c r="K1590" s="3" t="s">
        <v>33</v>
      </c>
      <c r="L1590" s="3" t="s">
        <v>34</v>
      </c>
      <c r="M1590" s="4">
        <v>2011.12</v>
      </c>
    </row>
    <row r="1591">
      <c r="A1591" s="2">
        <v>45540</v>
      </c>
      <c r="B15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1" s="3" t="str">
        <f>YEAR(KMART_DATA[[#This Row],[Date]])&amp;"-"&amp;TEXT(MONTH(KMART_DATA[[#This Row],[Date]]),"00")</f>
        <v>2024-09</v>
      </c>
      <c r="D1591" s="3" t="s">
        <v>28</v>
      </c>
      <c r="E1591" s="3" t="s">
        <v>116</v>
      </c>
      <c r="F1591" s="3" t="s">
        <v>9</v>
      </c>
      <c r="G15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91" s="3" t="s">
        <v>117</v>
      </c>
      <c r="I1591" s="3" t="s">
        <v>31</v>
      </c>
      <c r="J1591" s="3" t="s">
        <v>70</v>
      </c>
      <c r="K1591" s="3" t="s">
        <v>71</v>
      </c>
      <c r="L1591" s="3" t="s">
        <v>72</v>
      </c>
      <c r="M1591" s="4">
        <v>3.0</v>
      </c>
    </row>
    <row r="1592">
      <c r="A1592" s="2">
        <v>45540</v>
      </c>
      <c r="B15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2" s="3" t="str">
        <f>YEAR(KMART_DATA[[#This Row],[Date]])&amp;"-"&amp;TEXT(MONTH(KMART_DATA[[#This Row],[Date]]),"00")</f>
        <v>2024-09</v>
      </c>
      <c r="D1592" s="3" t="s">
        <v>28</v>
      </c>
      <c r="E1592" s="3" t="s">
        <v>62</v>
      </c>
      <c r="F1592" s="3" t="s">
        <v>12</v>
      </c>
      <c r="G15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592" s="3" t="s">
        <v>63</v>
      </c>
      <c r="I1592" s="3" t="s">
        <v>31</v>
      </c>
      <c r="J1592" s="3" t="s">
        <v>50</v>
      </c>
      <c r="K1592" s="3" t="s">
        <v>33</v>
      </c>
      <c r="L1592" s="3" t="s">
        <v>34</v>
      </c>
      <c r="M1592" s="4">
        <v>33.89</v>
      </c>
    </row>
    <row r="1593">
      <c r="A1593" s="2">
        <v>45540</v>
      </c>
      <c r="B15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3" s="3" t="str">
        <f>YEAR(KMART_DATA[[#This Row],[Date]])&amp;"-"&amp;TEXT(MONTH(KMART_DATA[[#This Row],[Date]]),"00")</f>
        <v>2024-09</v>
      </c>
      <c r="D1593" s="3" t="s">
        <v>28</v>
      </c>
      <c r="E1593" s="3" t="s">
        <v>189</v>
      </c>
      <c r="F1593" s="3" t="s">
        <v>9</v>
      </c>
      <c r="G15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93" s="3" t="s">
        <v>190</v>
      </c>
      <c r="I1593" s="3" t="s">
        <v>31</v>
      </c>
      <c r="J1593" s="3" t="s">
        <v>81</v>
      </c>
      <c r="K1593" s="3" t="s">
        <v>112</v>
      </c>
      <c r="L1593" s="3" t="s">
        <v>113</v>
      </c>
      <c r="M1593" s="4">
        <v>248.57</v>
      </c>
    </row>
    <row r="1594">
      <c r="A1594" s="2">
        <v>45540</v>
      </c>
      <c r="B15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4" s="3" t="str">
        <f>YEAR(KMART_DATA[[#This Row],[Date]])&amp;"-"&amp;TEXT(MONTH(KMART_DATA[[#This Row],[Date]]),"00")</f>
        <v>2024-09</v>
      </c>
      <c r="D1594" s="3" t="s">
        <v>28</v>
      </c>
      <c r="E1594" s="3" t="s">
        <v>110</v>
      </c>
      <c r="F1594" s="3" t="s">
        <v>9</v>
      </c>
      <c r="G15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94" s="3" t="s">
        <v>111</v>
      </c>
      <c r="I1594" s="3" t="s">
        <v>31</v>
      </c>
      <c r="J1594" s="3" t="s">
        <v>81</v>
      </c>
      <c r="K1594" s="3" t="s">
        <v>112</v>
      </c>
      <c r="L1594" s="3" t="s">
        <v>113</v>
      </c>
      <c r="M1594" s="4">
        <v>374.94</v>
      </c>
    </row>
    <row r="1595">
      <c r="A1595" s="2">
        <v>45540</v>
      </c>
      <c r="B15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5" s="3" t="str">
        <f>YEAR(KMART_DATA[[#This Row],[Date]])&amp;"-"&amp;TEXT(MONTH(KMART_DATA[[#This Row],[Date]]),"00")</f>
        <v>2024-09</v>
      </c>
      <c r="D1595" s="3" t="s">
        <v>28</v>
      </c>
      <c r="E1595" s="3" t="s">
        <v>73</v>
      </c>
      <c r="F1595" s="3" t="s">
        <v>9</v>
      </c>
      <c r="G15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95" s="3" t="s">
        <v>74</v>
      </c>
      <c r="I1595" s="3" t="s">
        <v>31</v>
      </c>
      <c r="J1595" s="3" t="s">
        <v>75</v>
      </c>
      <c r="K1595" s="3" t="s">
        <v>57</v>
      </c>
      <c r="L1595" s="3" t="s">
        <v>58</v>
      </c>
      <c r="M1595" s="4">
        <v>879.87</v>
      </c>
    </row>
    <row r="1596">
      <c r="A1596" s="2">
        <v>45540</v>
      </c>
      <c r="B15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6" s="3" t="str">
        <f>YEAR(KMART_DATA[[#This Row],[Date]])&amp;"-"&amp;TEXT(MONTH(KMART_DATA[[#This Row],[Date]]),"00")</f>
        <v>2024-09</v>
      </c>
      <c r="D1596" s="3" t="s">
        <v>28</v>
      </c>
      <c r="E1596" s="3" t="s">
        <v>213</v>
      </c>
      <c r="F1596" s="3" t="s">
        <v>11</v>
      </c>
      <c r="G15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596" s="3" t="s">
        <v>214</v>
      </c>
      <c r="I1596" s="3" t="s">
        <v>31</v>
      </c>
      <c r="J1596" s="3" t="s">
        <v>32</v>
      </c>
      <c r="K1596" s="3" t="s">
        <v>71</v>
      </c>
      <c r="L1596" s="3" t="s">
        <v>72</v>
      </c>
      <c r="M1596" s="4">
        <v>2556.18</v>
      </c>
    </row>
    <row r="1597">
      <c r="A1597" s="2">
        <v>45541</v>
      </c>
      <c r="B15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7" s="3" t="str">
        <f>YEAR(KMART_DATA[[#This Row],[Date]])&amp;"-"&amp;TEXT(MONTH(KMART_DATA[[#This Row],[Date]]),"00")</f>
        <v>2024-09</v>
      </c>
      <c r="D1597" s="3" t="s">
        <v>45</v>
      </c>
      <c r="E1597" s="3" t="s">
        <v>146</v>
      </c>
      <c r="F1597" s="3" t="s">
        <v>9</v>
      </c>
      <c r="G15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597" s="3" t="s">
        <v>147</v>
      </c>
      <c r="I1597" s="3" t="s">
        <v>31</v>
      </c>
      <c r="J1597" s="3" t="s">
        <v>75</v>
      </c>
      <c r="K1597" s="3" t="s">
        <v>95</v>
      </c>
      <c r="L1597" s="3" t="s">
        <v>96</v>
      </c>
      <c r="M1597" s="4">
        <v>133.82</v>
      </c>
    </row>
    <row r="1598">
      <c r="A1598" s="2">
        <v>45541</v>
      </c>
      <c r="B15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8" s="3" t="str">
        <f>YEAR(KMART_DATA[[#This Row],[Date]])&amp;"-"&amp;TEXT(MONTH(KMART_DATA[[#This Row],[Date]]),"00")</f>
        <v>2024-09</v>
      </c>
      <c r="D1598" s="3" t="s">
        <v>28</v>
      </c>
      <c r="E1598" s="3" t="s">
        <v>250</v>
      </c>
      <c r="F1598" s="3" t="s">
        <v>10</v>
      </c>
      <c r="G15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98" s="3" t="s">
        <v>251</v>
      </c>
      <c r="I1598" s="3" t="s">
        <v>31</v>
      </c>
      <c r="J1598" s="3" t="s">
        <v>37</v>
      </c>
      <c r="K1598" s="3" t="s">
        <v>66</v>
      </c>
      <c r="L1598" s="3" t="s">
        <v>67</v>
      </c>
      <c r="M1598" s="4">
        <v>138.13</v>
      </c>
    </row>
    <row r="1599">
      <c r="A1599" s="2">
        <v>45541</v>
      </c>
      <c r="B15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599" s="3" t="str">
        <f>YEAR(KMART_DATA[[#This Row],[Date]])&amp;"-"&amp;TEXT(MONTH(KMART_DATA[[#This Row],[Date]]),"00")</f>
        <v>2024-09</v>
      </c>
      <c r="D1599" s="3" t="s">
        <v>28</v>
      </c>
      <c r="E1599" s="3" t="s">
        <v>242</v>
      </c>
      <c r="F1599" s="3" t="s">
        <v>10</v>
      </c>
      <c r="G15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599" s="3" t="s">
        <v>243</v>
      </c>
      <c r="I1599" s="3" t="s">
        <v>31</v>
      </c>
      <c r="J1599" s="3" t="s">
        <v>94</v>
      </c>
      <c r="K1599" s="3" t="s">
        <v>123</v>
      </c>
      <c r="L1599" s="3" t="s">
        <v>124</v>
      </c>
      <c r="M1599" s="4">
        <v>213.16</v>
      </c>
    </row>
    <row r="1600">
      <c r="A1600" s="2">
        <v>45541</v>
      </c>
      <c r="B16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0" s="3" t="str">
        <f>YEAR(KMART_DATA[[#This Row],[Date]])&amp;"-"&amp;TEXT(MONTH(KMART_DATA[[#This Row],[Date]]),"00")</f>
        <v>2024-09</v>
      </c>
      <c r="D1600" s="3" t="s">
        <v>28</v>
      </c>
      <c r="E1600" s="3" t="s">
        <v>173</v>
      </c>
      <c r="F1600" s="3" t="s">
        <v>11</v>
      </c>
      <c r="G16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00" s="3" t="s">
        <v>174</v>
      </c>
      <c r="I1600" s="3" t="s">
        <v>31</v>
      </c>
      <c r="J1600" s="3" t="s">
        <v>61</v>
      </c>
      <c r="K1600" s="3" t="s">
        <v>46</v>
      </c>
      <c r="L1600" s="3" t="s">
        <v>47</v>
      </c>
      <c r="M1600" s="4">
        <v>289.82</v>
      </c>
    </row>
    <row r="1601">
      <c r="A1601" s="2">
        <v>45541</v>
      </c>
      <c r="B16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1" s="3" t="str">
        <f>YEAR(KMART_DATA[[#This Row],[Date]])&amp;"-"&amp;TEXT(MONTH(KMART_DATA[[#This Row],[Date]]),"00")</f>
        <v>2024-09</v>
      </c>
      <c r="D1601" s="3" t="s">
        <v>28</v>
      </c>
      <c r="E1601" s="3" t="s">
        <v>135</v>
      </c>
      <c r="F1601" s="3" t="s">
        <v>16</v>
      </c>
      <c r="G16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601" s="3" t="s">
        <v>136</v>
      </c>
      <c r="I1601" s="3" t="s">
        <v>31</v>
      </c>
      <c r="J1601" s="3" t="s">
        <v>107</v>
      </c>
      <c r="K1601" s="3" t="s">
        <v>43</v>
      </c>
      <c r="L1601" s="3" t="s">
        <v>44</v>
      </c>
      <c r="M1601" s="4">
        <v>454.59</v>
      </c>
    </row>
    <row r="1602">
      <c r="A1602" s="2">
        <v>45541</v>
      </c>
      <c r="B16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2" s="3" t="str">
        <f>YEAR(KMART_DATA[[#This Row],[Date]])&amp;"-"&amp;TEXT(MONTH(KMART_DATA[[#This Row],[Date]]),"00")</f>
        <v>2024-09</v>
      </c>
      <c r="D1602" s="3" t="s">
        <v>45</v>
      </c>
      <c r="E1602" s="3" t="s">
        <v>90</v>
      </c>
      <c r="F1602" s="3" t="s">
        <v>10</v>
      </c>
      <c r="G16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02" s="3" t="s">
        <v>91</v>
      </c>
      <c r="I1602" s="3" t="s">
        <v>31</v>
      </c>
      <c r="J1602" s="3" t="s">
        <v>37</v>
      </c>
      <c r="K1602" s="3" t="s">
        <v>57</v>
      </c>
      <c r="L1602" s="3" t="s">
        <v>58</v>
      </c>
      <c r="M1602" s="4">
        <v>510.05</v>
      </c>
    </row>
    <row r="1603">
      <c r="A1603" s="2">
        <v>45541</v>
      </c>
      <c r="B16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3" s="3" t="str">
        <f>YEAR(KMART_DATA[[#This Row],[Date]])&amp;"-"&amp;TEXT(MONTH(KMART_DATA[[#This Row],[Date]]),"00")</f>
        <v>2024-09</v>
      </c>
      <c r="D1603" s="3" t="s">
        <v>28</v>
      </c>
      <c r="E1603" s="3" t="s">
        <v>62</v>
      </c>
      <c r="F1603" s="3" t="s">
        <v>12</v>
      </c>
      <c r="G16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03" s="3" t="s">
        <v>63</v>
      </c>
      <c r="I1603" s="3" t="s">
        <v>31</v>
      </c>
      <c r="J1603" s="3" t="s">
        <v>50</v>
      </c>
      <c r="K1603" s="3" t="s">
        <v>38</v>
      </c>
      <c r="L1603" s="3" t="s">
        <v>39</v>
      </c>
      <c r="M1603" s="4">
        <v>715.0</v>
      </c>
    </row>
    <row r="1604">
      <c r="A1604" s="2">
        <v>45541</v>
      </c>
      <c r="B16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4" s="3" t="str">
        <f>YEAR(KMART_DATA[[#This Row],[Date]])&amp;"-"&amp;TEXT(MONTH(KMART_DATA[[#This Row],[Date]]),"00")</f>
        <v>2024-09</v>
      </c>
      <c r="D1604" s="3" t="s">
        <v>28</v>
      </c>
      <c r="E1604" s="3" t="s">
        <v>150</v>
      </c>
      <c r="F1604" s="3" t="s">
        <v>15</v>
      </c>
      <c r="G16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604" s="3" t="s">
        <v>151</v>
      </c>
      <c r="I1604" s="3" t="s">
        <v>31</v>
      </c>
      <c r="J1604" s="3" t="s">
        <v>53</v>
      </c>
      <c r="K1604" s="3" t="s">
        <v>71</v>
      </c>
      <c r="L1604" s="3" t="s">
        <v>72</v>
      </c>
      <c r="M1604" s="4">
        <v>2891.73</v>
      </c>
    </row>
    <row r="1605">
      <c r="A1605" s="2">
        <v>45542</v>
      </c>
      <c r="B16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5" s="3" t="str">
        <f>YEAR(KMART_DATA[[#This Row],[Date]])&amp;"-"&amp;TEXT(MONTH(KMART_DATA[[#This Row],[Date]]),"00")</f>
        <v>2024-09</v>
      </c>
      <c r="D1605" s="3" t="s">
        <v>28</v>
      </c>
      <c r="E1605" s="3" t="s">
        <v>90</v>
      </c>
      <c r="F1605" s="3" t="s">
        <v>10</v>
      </c>
      <c r="G16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05" s="3" t="s">
        <v>91</v>
      </c>
      <c r="I1605" s="3" t="s">
        <v>31</v>
      </c>
      <c r="J1605" s="3" t="s">
        <v>37</v>
      </c>
      <c r="K1605" s="3" t="s">
        <v>95</v>
      </c>
      <c r="L1605" s="3" t="s">
        <v>96</v>
      </c>
      <c r="M1605" s="4">
        <v>4.0</v>
      </c>
    </row>
    <row r="1606">
      <c r="A1606" s="2">
        <v>45542</v>
      </c>
      <c r="B16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6" s="3" t="str">
        <f>YEAR(KMART_DATA[[#This Row],[Date]])&amp;"-"&amp;TEXT(MONTH(KMART_DATA[[#This Row],[Date]]),"00")</f>
        <v>2024-09</v>
      </c>
      <c r="D1606" s="3" t="s">
        <v>28</v>
      </c>
      <c r="E1606" s="3" t="s">
        <v>252</v>
      </c>
      <c r="F1606" s="3" t="s">
        <v>10</v>
      </c>
      <c r="G16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06" s="3" t="s">
        <v>253</v>
      </c>
      <c r="I1606" s="3" t="s">
        <v>31</v>
      </c>
      <c r="J1606" s="3" t="s">
        <v>94</v>
      </c>
      <c r="K1606" s="3" t="s">
        <v>43</v>
      </c>
      <c r="L1606" s="3" t="s">
        <v>44</v>
      </c>
      <c r="M1606" s="4">
        <v>5.0</v>
      </c>
    </row>
    <row r="1607">
      <c r="A1607" s="2">
        <v>45542</v>
      </c>
      <c r="B16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7" s="3" t="str">
        <f>YEAR(KMART_DATA[[#This Row],[Date]])&amp;"-"&amp;TEXT(MONTH(KMART_DATA[[#This Row],[Date]]),"00")</f>
        <v>2024-09</v>
      </c>
      <c r="D1607" s="3" t="s">
        <v>28</v>
      </c>
      <c r="E1607" s="3" t="s">
        <v>92</v>
      </c>
      <c r="F1607" s="3" t="s">
        <v>10</v>
      </c>
      <c r="G16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07" s="3" t="s">
        <v>93</v>
      </c>
      <c r="I1607" s="3" t="s">
        <v>31</v>
      </c>
      <c r="J1607" s="3" t="s">
        <v>94</v>
      </c>
      <c r="K1607" s="3" t="s">
        <v>112</v>
      </c>
      <c r="L1607" s="3" t="s">
        <v>113</v>
      </c>
      <c r="M1607" s="4">
        <v>28.92</v>
      </c>
    </row>
    <row r="1608">
      <c r="A1608" s="2">
        <v>45542</v>
      </c>
      <c r="B16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8" s="3" t="str">
        <f>YEAR(KMART_DATA[[#This Row],[Date]])&amp;"-"&amp;TEXT(MONTH(KMART_DATA[[#This Row],[Date]]),"00")</f>
        <v>2024-09</v>
      </c>
      <c r="D1608" s="3" t="s">
        <v>28</v>
      </c>
      <c r="E1608" s="3" t="s">
        <v>154</v>
      </c>
      <c r="F1608" s="3" t="s">
        <v>11</v>
      </c>
      <c r="G16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08" s="3" t="s">
        <v>155</v>
      </c>
      <c r="I1608" s="3" t="s">
        <v>31</v>
      </c>
      <c r="J1608" s="3" t="s">
        <v>84</v>
      </c>
      <c r="K1608" s="3" t="s">
        <v>46</v>
      </c>
      <c r="L1608" s="3" t="s">
        <v>47</v>
      </c>
      <c r="M1608" s="4">
        <v>51.96</v>
      </c>
    </row>
    <row r="1609">
      <c r="A1609" s="2">
        <v>45542</v>
      </c>
      <c r="B16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09" s="3" t="str">
        <f>YEAR(KMART_DATA[[#This Row],[Date]])&amp;"-"&amp;TEXT(MONTH(KMART_DATA[[#This Row],[Date]]),"00")</f>
        <v>2024-09</v>
      </c>
      <c r="D1609" s="3" t="s">
        <v>28</v>
      </c>
      <c r="E1609" s="3" t="s">
        <v>167</v>
      </c>
      <c r="F1609" s="3" t="s">
        <v>12</v>
      </c>
      <c r="G16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09" s="3" t="s">
        <v>168</v>
      </c>
      <c r="I1609" s="3" t="s">
        <v>31</v>
      </c>
      <c r="J1609" s="3" t="s">
        <v>102</v>
      </c>
      <c r="K1609" s="3" t="s">
        <v>71</v>
      </c>
      <c r="L1609" s="3" t="s">
        <v>72</v>
      </c>
      <c r="M1609" s="4">
        <v>104.89</v>
      </c>
    </row>
    <row r="1610">
      <c r="A1610" s="2">
        <v>45542</v>
      </c>
      <c r="B16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0" s="3" t="str">
        <f>YEAR(KMART_DATA[[#This Row],[Date]])&amp;"-"&amp;TEXT(MONTH(KMART_DATA[[#This Row],[Date]]),"00")</f>
        <v>2024-09</v>
      </c>
      <c r="D1610" s="3" t="s">
        <v>28</v>
      </c>
      <c r="E1610" s="3" t="s">
        <v>185</v>
      </c>
      <c r="F1610" s="3" t="s">
        <v>12</v>
      </c>
      <c r="G16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10" s="3" t="s">
        <v>186</v>
      </c>
      <c r="I1610" s="3" t="s">
        <v>31</v>
      </c>
      <c r="J1610" s="3" t="s">
        <v>162</v>
      </c>
      <c r="K1610" s="3" t="s">
        <v>71</v>
      </c>
      <c r="L1610" s="3" t="s">
        <v>72</v>
      </c>
      <c r="M1610" s="4">
        <v>744.99</v>
      </c>
    </row>
    <row r="1611">
      <c r="A1611" s="2">
        <v>45542</v>
      </c>
      <c r="B16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1" s="3" t="str">
        <f>YEAR(KMART_DATA[[#This Row],[Date]])&amp;"-"&amp;TEXT(MONTH(KMART_DATA[[#This Row],[Date]]),"00")</f>
        <v>2024-09</v>
      </c>
      <c r="D1611" s="3" t="s">
        <v>28</v>
      </c>
      <c r="E1611" s="3" t="s">
        <v>183</v>
      </c>
      <c r="F1611" s="3" t="s">
        <v>9</v>
      </c>
      <c r="G16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11" s="3" t="s">
        <v>184</v>
      </c>
      <c r="I1611" s="3" t="s">
        <v>31</v>
      </c>
      <c r="J1611" s="3" t="s">
        <v>70</v>
      </c>
      <c r="K1611" s="3" t="s">
        <v>57</v>
      </c>
      <c r="L1611" s="3" t="s">
        <v>58</v>
      </c>
      <c r="M1611" s="4">
        <v>1710.43</v>
      </c>
    </row>
    <row r="1612">
      <c r="A1612" s="2">
        <v>45543</v>
      </c>
      <c r="B16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2" s="3" t="str">
        <f>YEAR(KMART_DATA[[#This Row],[Date]])&amp;"-"&amp;TEXT(MONTH(KMART_DATA[[#This Row],[Date]]),"00")</f>
        <v>2024-09</v>
      </c>
      <c r="D1612" s="3" t="s">
        <v>28</v>
      </c>
      <c r="E1612" s="3" t="s">
        <v>114</v>
      </c>
      <c r="F1612" s="3" t="s">
        <v>9</v>
      </c>
      <c r="G16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12" s="3" t="s">
        <v>115</v>
      </c>
      <c r="I1612" s="3" t="s">
        <v>31</v>
      </c>
      <c r="J1612" s="3" t="s">
        <v>99</v>
      </c>
      <c r="K1612" s="3" t="s">
        <v>123</v>
      </c>
      <c r="L1612" s="3" t="s">
        <v>124</v>
      </c>
      <c r="M1612" s="4">
        <v>738.86</v>
      </c>
    </row>
    <row r="1613">
      <c r="A1613" s="2">
        <v>45543</v>
      </c>
      <c r="B16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3" s="3" t="str">
        <f>YEAR(KMART_DATA[[#This Row],[Date]])&amp;"-"&amp;TEXT(MONTH(KMART_DATA[[#This Row],[Date]]),"00")</f>
        <v>2024-09</v>
      </c>
      <c r="D1613" s="3" t="s">
        <v>28</v>
      </c>
      <c r="E1613" s="3" t="s">
        <v>197</v>
      </c>
      <c r="F1613" s="3" t="s">
        <v>9</v>
      </c>
      <c r="G16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13" s="3" t="s">
        <v>198</v>
      </c>
      <c r="I1613" s="3" t="s">
        <v>31</v>
      </c>
      <c r="J1613" s="3" t="s">
        <v>107</v>
      </c>
      <c r="K1613" s="3" t="s">
        <v>38</v>
      </c>
      <c r="L1613" s="3" t="s">
        <v>39</v>
      </c>
      <c r="M1613" s="4">
        <v>761.52</v>
      </c>
    </row>
    <row r="1614">
      <c r="A1614" s="2">
        <v>45543</v>
      </c>
      <c r="B16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4" s="3" t="str">
        <f>YEAR(KMART_DATA[[#This Row],[Date]])&amp;"-"&amp;TEXT(MONTH(KMART_DATA[[#This Row],[Date]]),"00")</f>
        <v>2024-09</v>
      </c>
      <c r="D1614" s="3" t="s">
        <v>45</v>
      </c>
      <c r="E1614" s="3" t="s">
        <v>92</v>
      </c>
      <c r="F1614" s="3" t="s">
        <v>10</v>
      </c>
      <c r="G16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14" s="3" t="s">
        <v>93</v>
      </c>
      <c r="I1614" s="3" t="s">
        <v>31</v>
      </c>
      <c r="J1614" s="3" t="s">
        <v>94</v>
      </c>
      <c r="K1614" s="3" t="s">
        <v>57</v>
      </c>
      <c r="L1614" s="3" t="s">
        <v>58</v>
      </c>
      <c r="M1614" s="4">
        <v>803.62</v>
      </c>
    </row>
    <row r="1615">
      <c r="A1615" s="2">
        <v>45543</v>
      </c>
      <c r="B16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5" s="3" t="str">
        <f>YEAR(KMART_DATA[[#This Row],[Date]])&amp;"-"&amp;TEXT(MONTH(KMART_DATA[[#This Row],[Date]]),"00")</f>
        <v>2024-09</v>
      </c>
      <c r="D1615" s="3" t="s">
        <v>28</v>
      </c>
      <c r="E1615" s="3" t="s">
        <v>152</v>
      </c>
      <c r="F1615" s="3" t="s">
        <v>11</v>
      </c>
      <c r="G16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15" s="3" t="s">
        <v>153</v>
      </c>
      <c r="I1615" s="3" t="s">
        <v>31</v>
      </c>
      <c r="J1615" s="3" t="s">
        <v>61</v>
      </c>
      <c r="K1615" s="3" t="s">
        <v>46</v>
      </c>
      <c r="L1615" s="3" t="s">
        <v>47</v>
      </c>
      <c r="M1615" s="4">
        <v>1163.98</v>
      </c>
    </row>
    <row r="1616">
      <c r="A1616" s="2">
        <v>45543</v>
      </c>
      <c r="B16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6" s="3" t="str">
        <f>YEAR(KMART_DATA[[#This Row],[Date]])&amp;"-"&amp;TEXT(MONTH(KMART_DATA[[#This Row],[Date]]),"00")</f>
        <v>2024-09</v>
      </c>
      <c r="D1616" s="3" t="s">
        <v>28</v>
      </c>
      <c r="E1616" s="3" t="s">
        <v>242</v>
      </c>
      <c r="F1616" s="3" t="s">
        <v>10</v>
      </c>
      <c r="G16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16" s="3" t="s">
        <v>243</v>
      </c>
      <c r="I1616" s="3" t="s">
        <v>31</v>
      </c>
      <c r="J1616" s="3" t="s">
        <v>94</v>
      </c>
      <c r="K1616" s="3" t="s">
        <v>71</v>
      </c>
      <c r="L1616" s="3" t="s">
        <v>72</v>
      </c>
      <c r="M1616" s="4">
        <v>2302.05</v>
      </c>
    </row>
    <row r="1617">
      <c r="A1617" s="2">
        <v>45544</v>
      </c>
      <c r="B16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7" s="3" t="str">
        <f>YEAR(KMART_DATA[[#This Row],[Date]])&amp;"-"&amp;TEXT(MONTH(KMART_DATA[[#This Row],[Date]]),"00")</f>
        <v>2024-09</v>
      </c>
      <c r="D1617" s="3" t="s">
        <v>45</v>
      </c>
      <c r="E1617" s="3" t="s">
        <v>187</v>
      </c>
      <c r="F1617" s="3" t="s">
        <v>11</v>
      </c>
      <c r="G16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17" s="3" t="s">
        <v>188</v>
      </c>
      <c r="I1617" s="3" t="s">
        <v>31</v>
      </c>
      <c r="J1617" s="3" t="s">
        <v>78</v>
      </c>
      <c r="K1617" s="3" t="s">
        <v>46</v>
      </c>
      <c r="L1617" s="3" t="s">
        <v>47</v>
      </c>
      <c r="M1617" s="4">
        <v>25.98</v>
      </c>
    </row>
    <row r="1618">
      <c r="A1618" s="2">
        <v>45544</v>
      </c>
      <c r="B16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8" s="3" t="str">
        <f>YEAR(KMART_DATA[[#This Row],[Date]])&amp;"-"&amp;TEXT(MONTH(KMART_DATA[[#This Row],[Date]]),"00")</f>
        <v>2024-09</v>
      </c>
      <c r="D1618" s="3" t="s">
        <v>45</v>
      </c>
      <c r="E1618" s="3" t="s">
        <v>87</v>
      </c>
      <c r="F1618" s="3" t="s">
        <v>10</v>
      </c>
      <c r="G16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18" s="3" t="s">
        <v>88</v>
      </c>
      <c r="I1618" s="3" t="s">
        <v>31</v>
      </c>
      <c r="J1618" s="3" t="s">
        <v>89</v>
      </c>
      <c r="K1618" s="3" t="s">
        <v>46</v>
      </c>
      <c r="L1618" s="3" t="s">
        <v>47</v>
      </c>
      <c r="M1618" s="4">
        <v>37.57</v>
      </c>
    </row>
    <row r="1619">
      <c r="A1619" s="2">
        <v>45544</v>
      </c>
      <c r="B16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19" s="3" t="str">
        <f>YEAR(KMART_DATA[[#This Row],[Date]])&amp;"-"&amp;TEXT(MONTH(KMART_DATA[[#This Row],[Date]]),"00")</f>
        <v>2024-09</v>
      </c>
      <c r="D1619" s="3" t="s">
        <v>28</v>
      </c>
      <c r="E1619" s="3" t="s">
        <v>179</v>
      </c>
      <c r="F1619" s="3" t="s">
        <v>9</v>
      </c>
      <c r="G16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19" s="3" t="s">
        <v>180</v>
      </c>
      <c r="I1619" s="3" t="s">
        <v>31</v>
      </c>
      <c r="J1619" s="3" t="s">
        <v>99</v>
      </c>
      <c r="K1619" s="3" t="s">
        <v>43</v>
      </c>
      <c r="L1619" s="3" t="s">
        <v>44</v>
      </c>
      <c r="M1619" s="4">
        <v>45.0</v>
      </c>
    </row>
    <row r="1620">
      <c r="A1620" s="2">
        <v>45544</v>
      </c>
      <c r="B16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0" s="3" t="str">
        <f>YEAR(KMART_DATA[[#This Row],[Date]])&amp;"-"&amp;TEXT(MONTH(KMART_DATA[[#This Row],[Date]]),"00")</f>
        <v>2024-09</v>
      </c>
      <c r="D1620" s="3" t="s">
        <v>28</v>
      </c>
      <c r="E1620" s="3" t="s">
        <v>177</v>
      </c>
      <c r="F1620" s="3" t="s">
        <v>12</v>
      </c>
      <c r="G16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20" s="3" t="s">
        <v>178</v>
      </c>
      <c r="I1620" s="3" t="s">
        <v>31</v>
      </c>
      <c r="J1620" s="3" t="s">
        <v>162</v>
      </c>
      <c r="K1620" s="3" t="s">
        <v>95</v>
      </c>
      <c r="L1620" s="3" t="s">
        <v>96</v>
      </c>
      <c r="M1620" s="4">
        <v>98.74</v>
      </c>
    </row>
    <row r="1621">
      <c r="A1621" s="2">
        <v>45544</v>
      </c>
      <c r="B16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1" s="3" t="str">
        <f>YEAR(KMART_DATA[[#This Row],[Date]])&amp;"-"&amp;TEXT(MONTH(KMART_DATA[[#This Row],[Date]]),"00")</f>
        <v>2024-09</v>
      </c>
      <c r="D1621" s="3" t="s">
        <v>28</v>
      </c>
      <c r="E1621" s="3" t="s">
        <v>191</v>
      </c>
      <c r="F1621" s="3" t="s">
        <v>10</v>
      </c>
      <c r="G16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21" s="3" t="s">
        <v>192</v>
      </c>
      <c r="I1621" s="3" t="s">
        <v>31</v>
      </c>
      <c r="J1621" s="3" t="s">
        <v>120</v>
      </c>
      <c r="K1621" s="3" t="s">
        <v>71</v>
      </c>
      <c r="L1621" s="3" t="s">
        <v>72</v>
      </c>
      <c r="M1621" s="4">
        <v>376.09</v>
      </c>
    </row>
    <row r="1622">
      <c r="A1622" s="2">
        <v>45544</v>
      </c>
      <c r="B16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2" s="3" t="str">
        <f>YEAR(KMART_DATA[[#This Row],[Date]])&amp;"-"&amp;TEXT(MONTH(KMART_DATA[[#This Row],[Date]]),"00")</f>
        <v>2024-09</v>
      </c>
      <c r="D1622" s="3" t="s">
        <v>28</v>
      </c>
      <c r="E1622" s="3" t="s">
        <v>258</v>
      </c>
      <c r="F1622" s="3" t="s">
        <v>14</v>
      </c>
      <c r="G16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622" s="3" t="s">
        <v>259</v>
      </c>
      <c r="I1622" s="3" t="s">
        <v>31</v>
      </c>
      <c r="J1622" s="3" t="s">
        <v>145</v>
      </c>
      <c r="K1622" s="3" t="s">
        <v>46</v>
      </c>
      <c r="L1622" s="3" t="s">
        <v>47</v>
      </c>
      <c r="M1622" s="4">
        <v>407.71</v>
      </c>
    </row>
    <row r="1623">
      <c r="A1623" s="2">
        <v>45544</v>
      </c>
      <c r="B16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3" s="3" t="str">
        <f>YEAR(KMART_DATA[[#This Row],[Date]])&amp;"-"&amp;TEXT(MONTH(KMART_DATA[[#This Row],[Date]]),"00")</f>
        <v>2024-09</v>
      </c>
      <c r="D1623" s="3" t="s">
        <v>45</v>
      </c>
      <c r="E1623" s="3" t="s">
        <v>103</v>
      </c>
      <c r="F1623" s="3" t="s">
        <v>12</v>
      </c>
      <c r="G16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23" s="3" t="s">
        <v>104</v>
      </c>
      <c r="I1623" s="3" t="s">
        <v>31</v>
      </c>
      <c r="J1623" s="3" t="s">
        <v>102</v>
      </c>
      <c r="K1623" s="3" t="s">
        <v>95</v>
      </c>
      <c r="L1623" s="3" t="s">
        <v>96</v>
      </c>
      <c r="M1623" s="4">
        <v>604.12</v>
      </c>
    </row>
    <row r="1624">
      <c r="A1624" s="2">
        <v>45544</v>
      </c>
      <c r="B16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4" s="3" t="str">
        <f>YEAR(KMART_DATA[[#This Row],[Date]])&amp;"-"&amp;TEXT(MONTH(KMART_DATA[[#This Row],[Date]]),"00")</f>
        <v>2024-09</v>
      </c>
      <c r="D1624" s="3" t="s">
        <v>45</v>
      </c>
      <c r="E1624" s="3" t="s">
        <v>256</v>
      </c>
      <c r="F1624" s="3" t="s">
        <v>9</v>
      </c>
      <c r="G16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24" s="3" t="s">
        <v>257</v>
      </c>
      <c r="I1624" s="3" t="s">
        <v>31</v>
      </c>
      <c r="J1624" s="3" t="s">
        <v>70</v>
      </c>
      <c r="K1624" s="3" t="s">
        <v>95</v>
      </c>
      <c r="L1624" s="3" t="s">
        <v>96</v>
      </c>
      <c r="M1624" s="4">
        <v>4992.08</v>
      </c>
    </row>
    <row r="1625">
      <c r="A1625" s="2">
        <v>45545</v>
      </c>
      <c r="B16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5" s="3" t="str">
        <f>YEAR(KMART_DATA[[#This Row],[Date]])&amp;"-"&amp;TEXT(MONTH(KMART_DATA[[#This Row],[Date]]),"00")</f>
        <v>2024-09</v>
      </c>
      <c r="D1625" s="3" t="s">
        <v>28</v>
      </c>
      <c r="E1625" s="3" t="s">
        <v>156</v>
      </c>
      <c r="F1625" s="3" t="s">
        <v>9</v>
      </c>
      <c r="G16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25" s="3" t="s">
        <v>157</v>
      </c>
      <c r="I1625" s="3" t="s">
        <v>31</v>
      </c>
      <c r="J1625" s="3" t="s">
        <v>75</v>
      </c>
      <c r="K1625" s="3" t="s">
        <v>95</v>
      </c>
      <c r="L1625" s="3" t="s">
        <v>96</v>
      </c>
      <c r="M1625" s="4">
        <v>2.0</v>
      </c>
    </row>
    <row r="1626">
      <c r="A1626" s="2">
        <v>45545</v>
      </c>
      <c r="B16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6" s="3" t="str">
        <f>YEAR(KMART_DATA[[#This Row],[Date]])&amp;"-"&amp;TEXT(MONTH(KMART_DATA[[#This Row],[Date]]),"00")</f>
        <v>2024-09</v>
      </c>
      <c r="D1626" s="3" t="s">
        <v>28</v>
      </c>
      <c r="E1626" s="3" t="s">
        <v>205</v>
      </c>
      <c r="F1626" s="3" t="s">
        <v>10</v>
      </c>
      <c r="G16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26" s="3" t="s">
        <v>206</v>
      </c>
      <c r="I1626" s="3" t="s">
        <v>31</v>
      </c>
      <c r="J1626" s="3" t="s">
        <v>37</v>
      </c>
      <c r="K1626" s="3" t="s">
        <v>95</v>
      </c>
      <c r="L1626" s="3" t="s">
        <v>96</v>
      </c>
      <c r="M1626" s="4">
        <v>11.98</v>
      </c>
    </row>
    <row r="1627">
      <c r="A1627" s="2">
        <v>45545</v>
      </c>
      <c r="B16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7" s="3" t="str">
        <f>YEAR(KMART_DATA[[#This Row],[Date]])&amp;"-"&amp;TEXT(MONTH(KMART_DATA[[#This Row],[Date]]),"00")</f>
        <v>2024-09</v>
      </c>
      <c r="D1627" s="3" t="s">
        <v>28</v>
      </c>
      <c r="E1627" s="3" t="s">
        <v>156</v>
      </c>
      <c r="F1627" s="3" t="s">
        <v>9</v>
      </c>
      <c r="G16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27" s="3" t="s">
        <v>157</v>
      </c>
      <c r="I1627" s="3" t="s">
        <v>31</v>
      </c>
      <c r="J1627" s="3" t="s">
        <v>75</v>
      </c>
      <c r="K1627" s="3" t="s">
        <v>57</v>
      </c>
      <c r="L1627" s="3" t="s">
        <v>58</v>
      </c>
      <c r="M1627" s="4">
        <v>35.72</v>
      </c>
    </row>
    <row r="1628">
      <c r="A1628" s="2">
        <v>45545</v>
      </c>
      <c r="B16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8" s="3" t="str">
        <f>YEAR(KMART_DATA[[#This Row],[Date]])&amp;"-"&amp;TEXT(MONTH(KMART_DATA[[#This Row],[Date]]),"00")</f>
        <v>2024-09</v>
      </c>
      <c r="D1628" s="3" t="s">
        <v>45</v>
      </c>
      <c r="E1628" s="3" t="s">
        <v>133</v>
      </c>
      <c r="F1628" s="3" t="s">
        <v>10</v>
      </c>
      <c r="G16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28" s="3" t="s">
        <v>134</v>
      </c>
      <c r="I1628" s="3" t="s">
        <v>31</v>
      </c>
      <c r="J1628" s="3" t="s">
        <v>37</v>
      </c>
      <c r="K1628" s="3" t="s">
        <v>43</v>
      </c>
      <c r="L1628" s="3" t="s">
        <v>44</v>
      </c>
      <c r="M1628" s="4">
        <v>77.94</v>
      </c>
    </row>
    <row r="1629">
      <c r="A1629" s="2">
        <v>45545</v>
      </c>
      <c r="B16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29" s="3" t="str">
        <f>YEAR(KMART_DATA[[#This Row],[Date]])&amp;"-"&amp;TEXT(MONTH(KMART_DATA[[#This Row],[Date]]),"00")</f>
        <v>2024-09</v>
      </c>
      <c r="D1629" s="3" t="s">
        <v>28</v>
      </c>
      <c r="E1629" s="3" t="s">
        <v>48</v>
      </c>
      <c r="F1629" s="3" t="s">
        <v>12</v>
      </c>
      <c r="G16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29" s="3" t="s">
        <v>49</v>
      </c>
      <c r="I1629" s="3" t="s">
        <v>31</v>
      </c>
      <c r="J1629" s="3" t="s">
        <v>50</v>
      </c>
      <c r="K1629" s="3" t="s">
        <v>57</v>
      </c>
      <c r="L1629" s="3" t="s">
        <v>58</v>
      </c>
      <c r="M1629" s="4">
        <v>1115.38</v>
      </c>
    </row>
    <row r="1630">
      <c r="A1630" s="2">
        <v>45546</v>
      </c>
      <c r="B16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0" s="3" t="str">
        <f>YEAR(KMART_DATA[[#This Row],[Date]])&amp;"-"&amp;TEXT(MONTH(KMART_DATA[[#This Row],[Date]]),"00")</f>
        <v>2024-09</v>
      </c>
      <c r="D1630" s="3" t="s">
        <v>28</v>
      </c>
      <c r="E1630" s="3" t="s">
        <v>40</v>
      </c>
      <c r="F1630" s="3" t="s">
        <v>13</v>
      </c>
      <c r="G16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630" s="3" t="s">
        <v>41</v>
      </c>
      <c r="I1630" s="3" t="s">
        <v>31</v>
      </c>
      <c r="J1630" s="3" t="s">
        <v>42</v>
      </c>
      <c r="K1630" s="3" t="s">
        <v>43</v>
      </c>
      <c r="L1630" s="3" t="s">
        <v>44</v>
      </c>
      <c r="M1630" s="4">
        <v>88.42</v>
      </c>
    </row>
    <row r="1631">
      <c r="A1631" s="2">
        <v>45546</v>
      </c>
      <c r="B16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1" s="3" t="str">
        <f>YEAR(KMART_DATA[[#This Row],[Date]])&amp;"-"&amp;TEXT(MONTH(KMART_DATA[[#This Row],[Date]]),"00")</f>
        <v>2024-09</v>
      </c>
      <c r="D1631" s="3" t="s">
        <v>28</v>
      </c>
      <c r="E1631" s="3" t="s">
        <v>105</v>
      </c>
      <c r="F1631" s="3" t="s">
        <v>9</v>
      </c>
      <c r="G16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31" s="3" t="s">
        <v>106</v>
      </c>
      <c r="I1631" s="3" t="s">
        <v>31</v>
      </c>
      <c r="J1631" s="3" t="s">
        <v>107</v>
      </c>
      <c r="K1631" s="3" t="s">
        <v>43</v>
      </c>
      <c r="L1631" s="3" t="s">
        <v>44</v>
      </c>
      <c r="M1631" s="4">
        <v>892.11</v>
      </c>
    </row>
    <row r="1632">
      <c r="A1632" s="2">
        <v>45546</v>
      </c>
      <c r="B16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2" s="3" t="str">
        <f>YEAR(KMART_DATA[[#This Row],[Date]])&amp;"-"&amp;TEXT(MONTH(KMART_DATA[[#This Row],[Date]]),"00")</f>
        <v>2024-09</v>
      </c>
      <c r="D1632" s="3" t="s">
        <v>45</v>
      </c>
      <c r="E1632" s="3" t="s">
        <v>262</v>
      </c>
      <c r="F1632" s="3" t="s">
        <v>10</v>
      </c>
      <c r="G16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32" s="3" t="s">
        <v>263</v>
      </c>
      <c r="I1632" s="3" t="s">
        <v>31</v>
      </c>
      <c r="J1632" s="3" t="s">
        <v>120</v>
      </c>
      <c r="K1632" s="3" t="s">
        <v>123</v>
      </c>
      <c r="L1632" s="3" t="s">
        <v>124</v>
      </c>
      <c r="M1632" s="4">
        <v>3341.27</v>
      </c>
    </row>
    <row r="1633">
      <c r="A1633" s="2">
        <v>45546</v>
      </c>
      <c r="B16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3" s="3" t="str">
        <f>YEAR(KMART_DATA[[#This Row],[Date]])&amp;"-"&amp;TEXT(MONTH(KMART_DATA[[#This Row],[Date]]),"00")</f>
        <v>2024-09</v>
      </c>
      <c r="D1633" s="3" t="s">
        <v>28</v>
      </c>
      <c r="E1633" s="3" t="s">
        <v>133</v>
      </c>
      <c r="F1633" s="3" t="s">
        <v>10</v>
      </c>
      <c r="G16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33" s="3" t="s">
        <v>134</v>
      </c>
      <c r="I1633" s="3" t="s">
        <v>31</v>
      </c>
      <c r="J1633" s="3" t="s">
        <v>37</v>
      </c>
      <c r="K1633" s="3" t="s">
        <v>71</v>
      </c>
      <c r="L1633" s="3" t="s">
        <v>72</v>
      </c>
      <c r="M1633" s="4">
        <v>3460.19</v>
      </c>
    </row>
    <row r="1634">
      <c r="A1634" s="2">
        <v>45547</v>
      </c>
      <c r="B16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4" s="3" t="str">
        <f>YEAR(KMART_DATA[[#This Row],[Date]])&amp;"-"&amp;TEXT(MONTH(KMART_DATA[[#This Row],[Date]]),"00")</f>
        <v>2024-09</v>
      </c>
      <c r="D1634" s="3" t="s">
        <v>28</v>
      </c>
      <c r="E1634" s="3" t="s">
        <v>100</v>
      </c>
      <c r="F1634" s="3" t="s">
        <v>12</v>
      </c>
      <c r="G16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34" s="3" t="s">
        <v>101</v>
      </c>
      <c r="I1634" s="3" t="s">
        <v>31</v>
      </c>
      <c r="J1634" s="3" t="s">
        <v>102</v>
      </c>
      <c r="K1634" s="3" t="s">
        <v>43</v>
      </c>
      <c r="L1634" s="3" t="s">
        <v>44</v>
      </c>
      <c r="M1634" s="4">
        <v>9.0</v>
      </c>
    </row>
    <row r="1635">
      <c r="A1635" s="2">
        <v>45547</v>
      </c>
      <c r="B16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5" s="3" t="str">
        <f>YEAR(KMART_DATA[[#This Row],[Date]])&amp;"-"&amp;TEXT(MONTH(KMART_DATA[[#This Row],[Date]]),"00")</f>
        <v>2024-09</v>
      </c>
      <c r="D1635" s="3" t="s">
        <v>45</v>
      </c>
      <c r="E1635" s="3" t="s">
        <v>150</v>
      </c>
      <c r="F1635" s="3" t="s">
        <v>15</v>
      </c>
      <c r="G16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635" s="3" t="s">
        <v>151</v>
      </c>
      <c r="I1635" s="3" t="s">
        <v>31</v>
      </c>
      <c r="J1635" s="3" t="s">
        <v>53</v>
      </c>
      <c r="K1635" s="3" t="s">
        <v>46</v>
      </c>
      <c r="L1635" s="3" t="s">
        <v>47</v>
      </c>
      <c r="M1635" s="4">
        <v>23.38</v>
      </c>
    </row>
    <row r="1636">
      <c r="A1636" s="2">
        <v>45547</v>
      </c>
      <c r="B16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6" s="3" t="str">
        <f>YEAR(KMART_DATA[[#This Row],[Date]])&amp;"-"&amp;TEXT(MONTH(KMART_DATA[[#This Row],[Date]]),"00")</f>
        <v>2024-09</v>
      </c>
      <c r="D1636" s="3" t="s">
        <v>28</v>
      </c>
      <c r="E1636" s="3" t="s">
        <v>85</v>
      </c>
      <c r="F1636" s="3" t="s">
        <v>9</v>
      </c>
      <c r="G16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36" s="3" t="s">
        <v>86</v>
      </c>
      <c r="I1636" s="3" t="s">
        <v>31</v>
      </c>
      <c r="J1636" s="3" t="s">
        <v>81</v>
      </c>
      <c r="K1636" s="3" t="s">
        <v>46</v>
      </c>
      <c r="L1636" s="3" t="s">
        <v>47</v>
      </c>
      <c r="M1636" s="4">
        <v>51.96</v>
      </c>
    </row>
    <row r="1637">
      <c r="A1637" s="2">
        <v>45547</v>
      </c>
      <c r="B16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7" s="3" t="str">
        <f>YEAR(KMART_DATA[[#This Row],[Date]])&amp;"-"&amp;TEXT(MONTH(KMART_DATA[[#This Row],[Date]]),"00")</f>
        <v>2024-09</v>
      </c>
      <c r="D1637" s="3" t="s">
        <v>28</v>
      </c>
      <c r="E1637" s="3" t="s">
        <v>217</v>
      </c>
      <c r="F1637" s="3" t="s">
        <v>10</v>
      </c>
      <c r="G16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37" s="3" t="s">
        <v>218</v>
      </c>
      <c r="I1637" s="3" t="s">
        <v>31</v>
      </c>
      <c r="J1637" s="3" t="s">
        <v>89</v>
      </c>
      <c r="K1637" s="3" t="s">
        <v>43</v>
      </c>
      <c r="L1637" s="3" t="s">
        <v>44</v>
      </c>
      <c r="M1637" s="4">
        <v>101.89</v>
      </c>
    </row>
    <row r="1638">
      <c r="A1638" s="2">
        <v>45547</v>
      </c>
      <c r="B16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8" s="3" t="str">
        <f>YEAR(KMART_DATA[[#This Row],[Date]])&amp;"-"&amp;TEXT(MONTH(KMART_DATA[[#This Row],[Date]]),"00")</f>
        <v>2024-09</v>
      </c>
      <c r="D1638" s="3" t="s">
        <v>45</v>
      </c>
      <c r="E1638" s="3" t="s">
        <v>197</v>
      </c>
      <c r="F1638" s="3" t="s">
        <v>9</v>
      </c>
      <c r="G16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38" s="3" t="s">
        <v>198</v>
      </c>
      <c r="I1638" s="3" t="s">
        <v>31</v>
      </c>
      <c r="J1638" s="3" t="s">
        <v>107</v>
      </c>
      <c r="K1638" s="3" t="s">
        <v>95</v>
      </c>
      <c r="L1638" s="3" t="s">
        <v>96</v>
      </c>
      <c r="M1638" s="4">
        <v>315.51</v>
      </c>
    </row>
    <row r="1639">
      <c r="A1639" s="2">
        <v>45547</v>
      </c>
      <c r="B16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39" s="3" t="str">
        <f>YEAR(KMART_DATA[[#This Row],[Date]])&amp;"-"&amp;TEXT(MONTH(KMART_DATA[[#This Row],[Date]]),"00")</f>
        <v>2024-09</v>
      </c>
      <c r="D1639" s="3" t="s">
        <v>28</v>
      </c>
      <c r="E1639" s="3" t="s">
        <v>248</v>
      </c>
      <c r="F1639" s="3" t="s">
        <v>12</v>
      </c>
      <c r="G16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39" s="3" t="s">
        <v>249</v>
      </c>
      <c r="I1639" s="3" t="s">
        <v>31</v>
      </c>
      <c r="J1639" s="3" t="s">
        <v>162</v>
      </c>
      <c r="K1639" s="3" t="s">
        <v>57</v>
      </c>
      <c r="L1639" s="3" t="s">
        <v>58</v>
      </c>
      <c r="M1639" s="4">
        <v>1079.81</v>
      </c>
    </row>
    <row r="1640">
      <c r="A1640" s="2">
        <v>45547</v>
      </c>
      <c r="B16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0" s="3" t="str">
        <f>YEAR(KMART_DATA[[#This Row],[Date]])&amp;"-"&amp;TEXT(MONTH(KMART_DATA[[#This Row],[Date]]),"00")</f>
        <v>2024-09</v>
      </c>
      <c r="D1640" s="3" t="s">
        <v>45</v>
      </c>
      <c r="E1640" s="3" t="s">
        <v>209</v>
      </c>
      <c r="F1640" s="3" t="s">
        <v>9</v>
      </c>
      <c r="G16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40" s="3" t="s">
        <v>210</v>
      </c>
      <c r="I1640" s="3" t="s">
        <v>31</v>
      </c>
      <c r="J1640" s="3" t="s">
        <v>81</v>
      </c>
      <c r="K1640" s="3" t="s">
        <v>123</v>
      </c>
      <c r="L1640" s="3" t="s">
        <v>124</v>
      </c>
      <c r="M1640" s="4">
        <v>2482.55</v>
      </c>
    </row>
    <row r="1641">
      <c r="A1641" s="2">
        <v>45548</v>
      </c>
      <c r="B16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1" s="3" t="str">
        <f>YEAR(KMART_DATA[[#This Row],[Date]])&amp;"-"&amp;TEXT(MONTH(KMART_DATA[[#This Row],[Date]]),"00")</f>
        <v>2024-09</v>
      </c>
      <c r="D1641" s="3" t="s">
        <v>45</v>
      </c>
      <c r="E1641" s="3" t="s">
        <v>225</v>
      </c>
      <c r="F1641" s="3" t="s">
        <v>13</v>
      </c>
      <c r="G16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641" s="3" t="s">
        <v>226</v>
      </c>
      <c r="I1641" s="3" t="s">
        <v>31</v>
      </c>
      <c r="J1641" s="3" t="s">
        <v>227</v>
      </c>
      <c r="K1641" s="3" t="s">
        <v>95</v>
      </c>
      <c r="L1641" s="3" t="s">
        <v>96</v>
      </c>
      <c r="M1641" s="4">
        <v>28.98</v>
      </c>
    </row>
    <row r="1642">
      <c r="A1642" s="2">
        <v>45548</v>
      </c>
      <c r="B16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2" s="3" t="str">
        <f>YEAR(KMART_DATA[[#This Row],[Date]])&amp;"-"&amp;TEXT(MONTH(KMART_DATA[[#This Row],[Date]]),"00")</f>
        <v>2024-09</v>
      </c>
      <c r="D1642" s="3" t="s">
        <v>28</v>
      </c>
      <c r="E1642" s="3" t="s">
        <v>154</v>
      </c>
      <c r="F1642" s="3" t="s">
        <v>11</v>
      </c>
      <c r="G16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42" s="3" t="s">
        <v>155</v>
      </c>
      <c r="I1642" s="3" t="s">
        <v>31</v>
      </c>
      <c r="J1642" s="3" t="s">
        <v>84</v>
      </c>
      <c r="K1642" s="3" t="s">
        <v>95</v>
      </c>
      <c r="L1642" s="3" t="s">
        <v>96</v>
      </c>
      <c r="M1642" s="4">
        <v>34.99</v>
      </c>
    </row>
    <row r="1643">
      <c r="A1643" s="2">
        <v>45548</v>
      </c>
      <c r="B16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3" s="3" t="str">
        <f>YEAR(KMART_DATA[[#This Row],[Date]])&amp;"-"&amp;TEXT(MONTH(KMART_DATA[[#This Row],[Date]]),"00")</f>
        <v>2024-09</v>
      </c>
      <c r="D1643" s="3" t="s">
        <v>28</v>
      </c>
      <c r="E1643" s="3" t="s">
        <v>152</v>
      </c>
      <c r="F1643" s="3" t="s">
        <v>11</v>
      </c>
      <c r="G16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43" s="3" t="s">
        <v>153</v>
      </c>
      <c r="I1643" s="3" t="s">
        <v>31</v>
      </c>
      <c r="J1643" s="3" t="s">
        <v>61</v>
      </c>
      <c r="K1643" s="3" t="s">
        <v>112</v>
      </c>
      <c r="L1643" s="3" t="s">
        <v>113</v>
      </c>
      <c r="M1643" s="4">
        <v>40.45</v>
      </c>
    </row>
    <row r="1644">
      <c r="A1644" s="2">
        <v>45548</v>
      </c>
      <c r="B16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4" s="3" t="str">
        <f>YEAR(KMART_DATA[[#This Row],[Date]])&amp;"-"&amp;TEXT(MONTH(KMART_DATA[[#This Row],[Date]]),"00")</f>
        <v>2024-09</v>
      </c>
      <c r="D1644" s="3" t="s">
        <v>45</v>
      </c>
      <c r="E1644" s="3" t="s">
        <v>187</v>
      </c>
      <c r="F1644" s="3" t="s">
        <v>11</v>
      </c>
      <c r="G16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44" s="3" t="s">
        <v>188</v>
      </c>
      <c r="I1644" s="3" t="s">
        <v>31</v>
      </c>
      <c r="J1644" s="3" t="s">
        <v>78</v>
      </c>
      <c r="K1644" s="3" t="s">
        <v>43</v>
      </c>
      <c r="L1644" s="3" t="s">
        <v>44</v>
      </c>
      <c r="M1644" s="4">
        <v>48.94</v>
      </c>
    </row>
    <row r="1645">
      <c r="A1645" s="2">
        <v>45548</v>
      </c>
      <c r="B16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5" s="3" t="str">
        <f>YEAR(KMART_DATA[[#This Row],[Date]])&amp;"-"&amp;TEXT(MONTH(KMART_DATA[[#This Row],[Date]]),"00")</f>
        <v>2024-09</v>
      </c>
      <c r="D1645" s="3" t="s">
        <v>28</v>
      </c>
      <c r="E1645" s="3" t="s">
        <v>59</v>
      </c>
      <c r="F1645" s="3" t="s">
        <v>11</v>
      </c>
      <c r="G16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45" s="3" t="s">
        <v>60</v>
      </c>
      <c r="I1645" s="3" t="s">
        <v>31</v>
      </c>
      <c r="J1645" s="3" t="s">
        <v>61</v>
      </c>
      <c r="K1645" s="3" t="s">
        <v>71</v>
      </c>
      <c r="L1645" s="3" t="s">
        <v>72</v>
      </c>
      <c r="M1645" s="4">
        <v>55.95</v>
      </c>
    </row>
    <row r="1646">
      <c r="A1646" s="2">
        <v>45548</v>
      </c>
      <c r="B16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6" s="3" t="str">
        <f>YEAR(KMART_DATA[[#This Row],[Date]])&amp;"-"&amp;TEXT(MONTH(KMART_DATA[[#This Row],[Date]]),"00")</f>
        <v>2024-09</v>
      </c>
      <c r="D1646" s="3" t="s">
        <v>45</v>
      </c>
      <c r="E1646" s="3" t="s">
        <v>260</v>
      </c>
      <c r="F1646" s="3" t="s">
        <v>10</v>
      </c>
      <c r="G16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46" s="3" t="s">
        <v>261</v>
      </c>
      <c r="I1646" s="3" t="s">
        <v>31</v>
      </c>
      <c r="J1646" s="3" t="s">
        <v>89</v>
      </c>
      <c r="K1646" s="3" t="s">
        <v>112</v>
      </c>
      <c r="L1646" s="3" t="s">
        <v>113</v>
      </c>
      <c r="M1646" s="4">
        <v>80.92</v>
      </c>
    </row>
    <row r="1647">
      <c r="A1647" s="2">
        <v>45548</v>
      </c>
      <c r="B16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7" s="3" t="str">
        <f>YEAR(KMART_DATA[[#This Row],[Date]])&amp;"-"&amp;TEXT(MONTH(KMART_DATA[[#This Row],[Date]]),"00")</f>
        <v>2024-09</v>
      </c>
      <c r="D1647" s="3" t="s">
        <v>28</v>
      </c>
      <c r="E1647" s="3" t="s">
        <v>183</v>
      </c>
      <c r="F1647" s="3" t="s">
        <v>9</v>
      </c>
      <c r="G16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47" s="3" t="s">
        <v>184</v>
      </c>
      <c r="I1647" s="3" t="s">
        <v>31</v>
      </c>
      <c r="J1647" s="3" t="s">
        <v>70</v>
      </c>
      <c r="K1647" s="3" t="s">
        <v>71</v>
      </c>
      <c r="L1647" s="3" t="s">
        <v>72</v>
      </c>
      <c r="M1647" s="4">
        <v>111.75</v>
      </c>
    </row>
    <row r="1648">
      <c r="A1648" s="2">
        <v>45548</v>
      </c>
      <c r="B16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8" s="3" t="str">
        <f>YEAR(KMART_DATA[[#This Row],[Date]])&amp;"-"&amp;TEXT(MONTH(KMART_DATA[[#This Row],[Date]]),"00")</f>
        <v>2024-09</v>
      </c>
      <c r="D1648" s="3" t="s">
        <v>28</v>
      </c>
      <c r="E1648" s="3" t="s">
        <v>193</v>
      </c>
      <c r="F1648" s="3" t="s">
        <v>9</v>
      </c>
      <c r="G16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48" s="3" t="s">
        <v>194</v>
      </c>
      <c r="I1648" s="3" t="s">
        <v>31</v>
      </c>
      <c r="J1648" s="3" t="s">
        <v>99</v>
      </c>
      <c r="K1648" s="3" t="s">
        <v>95</v>
      </c>
      <c r="L1648" s="3" t="s">
        <v>96</v>
      </c>
      <c r="M1648" s="4">
        <v>150.86</v>
      </c>
    </row>
    <row r="1649">
      <c r="A1649" s="2">
        <v>45548</v>
      </c>
      <c r="B16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49" s="3" t="str">
        <f>YEAR(KMART_DATA[[#This Row],[Date]])&amp;"-"&amp;TEXT(MONTH(KMART_DATA[[#This Row],[Date]]),"00")</f>
        <v>2024-09</v>
      </c>
      <c r="D1649" s="3" t="s">
        <v>28</v>
      </c>
      <c r="E1649" s="3" t="s">
        <v>160</v>
      </c>
      <c r="F1649" s="3" t="s">
        <v>12</v>
      </c>
      <c r="G16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49" s="3" t="s">
        <v>161</v>
      </c>
      <c r="I1649" s="3" t="s">
        <v>31</v>
      </c>
      <c r="J1649" s="3" t="s">
        <v>162</v>
      </c>
      <c r="K1649" s="3" t="s">
        <v>66</v>
      </c>
      <c r="L1649" s="3" t="s">
        <v>67</v>
      </c>
      <c r="M1649" s="4">
        <v>171.81</v>
      </c>
    </row>
    <row r="1650">
      <c r="A1650" s="2">
        <v>45548</v>
      </c>
      <c r="B16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0" s="3" t="str">
        <f>YEAR(KMART_DATA[[#This Row],[Date]])&amp;"-"&amp;TEXT(MONTH(KMART_DATA[[#This Row],[Date]]),"00")</f>
        <v>2024-09</v>
      </c>
      <c r="D1650" s="3" t="s">
        <v>28</v>
      </c>
      <c r="E1650" s="3" t="s">
        <v>258</v>
      </c>
      <c r="F1650" s="3" t="s">
        <v>14</v>
      </c>
      <c r="G16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650" s="3" t="s">
        <v>259</v>
      </c>
      <c r="I1650" s="3" t="s">
        <v>31</v>
      </c>
      <c r="J1650" s="3" t="s">
        <v>145</v>
      </c>
      <c r="K1650" s="3" t="s">
        <v>38</v>
      </c>
      <c r="L1650" s="3" t="s">
        <v>39</v>
      </c>
      <c r="M1650" s="4">
        <v>202.61</v>
      </c>
    </row>
    <row r="1651">
      <c r="A1651" s="2">
        <v>45548</v>
      </c>
      <c r="B16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1" s="3" t="str">
        <f>YEAR(KMART_DATA[[#This Row],[Date]])&amp;"-"&amp;TEXT(MONTH(KMART_DATA[[#This Row],[Date]]),"00")</f>
        <v>2024-09</v>
      </c>
      <c r="D1651" s="3" t="s">
        <v>28</v>
      </c>
      <c r="E1651" s="3" t="s">
        <v>175</v>
      </c>
      <c r="F1651" s="3" t="s">
        <v>16</v>
      </c>
      <c r="G16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651" s="3" t="s">
        <v>176</v>
      </c>
      <c r="I1651" s="3" t="s">
        <v>31</v>
      </c>
      <c r="J1651" s="3" t="s">
        <v>107</v>
      </c>
      <c r="K1651" s="3" t="s">
        <v>123</v>
      </c>
      <c r="L1651" s="3" t="s">
        <v>124</v>
      </c>
      <c r="M1651" s="4">
        <v>255.79</v>
      </c>
    </row>
    <row r="1652">
      <c r="A1652" s="2">
        <v>45548</v>
      </c>
      <c r="B16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2" s="3" t="str">
        <f>YEAR(KMART_DATA[[#This Row],[Date]])&amp;"-"&amp;TEXT(MONTH(KMART_DATA[[#This Row],[Date]]),"00")</f>
        <v>2024-09</v>
      </c>
      <c r="D1652" s="3" t="s">
        <v>28</v>
      </c>
      <c r="E1652" s="3" t="s">
        <v>221</v>
      </c>
      <c r="F1652" s="3" t="s">
        <v>11</v>
      </c>
      <c r="G16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52" s="3" t="s">
        <v>222</v>
      </c>
      <c r="I1652" s="3" t="s">
        <v>31</v>
      </c>
      <c r="J1652" s="3" t="s">
        <v>56</v>
      </c>
      <c r="K1652" s="3" t="s">
        <v>43</v>
      </c>
      <c r="L1652" s="3" t="s">
        <v>44</v>
      </c>
      <c r="M1652" s="4">
        <v>786.38</v>
      </c>
    </row>
    <row r="1653">
      <c r="A1653" s="2">
        <v>45548</v>
      </c>
      <c r="B16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3" s="3" t="str">
        <f>YEAR(KMART_DATA[[#This Row],[Date]])&amp;"-"&amp;TEXT(MONTH(KMART_DATA[[#This Row],[Date]]),"00")</f>
        <v>2024-09</v>
      </c>
      <c r="D1653" s="3" t="s">
        <v>28</v>
      </c>
      <c r="E1653" s="3" t="s">
        <v>225</v>
      </c>
      <c r="F1653" s="3" t="s">
        <v>13</v>
      </c>
      <c r="G16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653" s="3" t="s">
        <v>226</v>
      </c>
      <c r="I1653" s="3" t="s">
        <v>31</v>
      </c>
      <c r="J1653" s="3" t="s">
        <v>227</v>
      </c>
      <c r="K1653" s="3" t="s">
        <v>57</v>
      </c>
      <c r="L1653" s="3" t="s">
        <v>58</v>
      </c>
      <c r="M1653" s="4">
        <v>861.82</v>
      </c>
    </row>
    <row r="1654">
      <c r="A1654" s="2">
        <v>45549</v>
      </c>
      <c r="B16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4" s="3" t="str">
        <f>YEAR(KMART_DATA[[#This Row],[Date]])&amp;"-"&amp;TEXT(MONTH(KMART_DATA[[#This Row],[Date]]),"00")</f>
        <v>2024-09</v>
      </c>
      <c r="D1654" s="3" t="s">
        <v>28</v>
      </c>
      <c r="E1654" s="3" t="s">
        <v>179</v>
      </c>
      <c r="F1654" s="3" t="s">
        <v>9</v>
      </c>
      <c r="G16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54" s="3" t="s">
        <v>180</v>
      </c>
      <c r="I1654" s="3" t="s">
        <v>31</v>
      </c>
      <c r="J1654" s="3" t="s">
        <v>99</v>
      </c>
      <c r="K1654" s="3" t="s">
        <v>33</v>
      </c>
      <c r="L1654" s="3" t="s">
        <v>34</v>
      </c>
      <c r="M1654" s="4">
        <v>3.0</v>
      </c>
    </row>
    <row r="1655">
      <c r="A1655" s="2">
        <v>45549</v>
      </c>
      <c r="B16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5" s="3" t="str">
        <f>YEAR(KMART_DATA[[#This Row],[Date]])&amp;"-"&amp;TEXT(MONTH(KMART_DATA[[#This Row],[Date]]),"00")</f>
        <v>2024-09</v>
      </c>
      <c r="D1655" s="3" t="s">
        <v>45</v>
      </c>
      <c r="E1655" s="3" t="s">
        <v>254</v>
      </c>
      <c r="F1655" s="3" t="s">
        <v>13</v>
      </c>
      <c r="G16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655" s="3" t="s">
        <v>255</v>
      </c>
      <c r="I1655" s="3" t="s">
        <v>31</v>
      </c>
      <c r="J1655" s="3" t="s">
        <v>227</v>
      </c>
      <c r="K1655" s="3" t="s">
        <v>71</v>
      </c>
      <c r="L1655" s="3" t="s">
        <v>72</v>
      </c>
      <c r="M1655" s="4">
        <v>17.97</v>
      </c>
    </row>
    <row r="1656">
      <c r="A1656" s="2">
        <v>45549</v>
      </c>
      <c r="B16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6" s="3" t="str">
        <f>YEAR(KMART_DATA[[#This Row],[Date]])&amp;"-"&amp;TEXT(MONTH(KMART_DATA[[#This Row],[Date]]),"00")</f>
        <v>2024-09</v>
      </c>
      <c r="D1656" s="3" t="s">
        <v>28</v>
      </c>
      <c r="E1656" s="3" t="s">
        <v>230</v>
      </c>
      <c r="F1656" s="3" t="s">
        <v>13</v>
      </c>
      <c r="G16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656" s="3" t="s">
        <v>231</v>
      </c>
      <c r="I1656" s="3" t="s">
        <v>31</v>
      </c>
      <c r="J1656" s="3" t="s">
        <v>227</v>
      </c>
      <c r="K1656" s="3" t="s">
        <v>43</v>
      </c>
      <c r="L1656" s="3" t="s">
        <v>44</v>
      </c>
      <c r="M1656" s="4">
        <v>44.0</v>
      </c>
    </row>
    <row r="1657">
      <c r="A1657" s="2">
        <v>45549</v>
      </c>
      <c r="B16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7" s="3" t="str">
        <f>YEAR(KMART_DATA[[#This Row],[Date]])&amp;"-"&amp;TEXT(MONTH(KMART_DATA[[#This Row],[Date]]),"00")</f>
        <v>2024-09</v>
      </c>
      <c r="D1657" s="3" t="s">
        <v>28</v>
      </c>
      <c r="E1657" s="3" t="s">
        <v>246</v>
      </c>
      <c r="F1657" s="3" t="s">
        <v>10</v>
      </c>
      <c r="G16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57" s="3" t="s">
        <v>247</v>
      </c>
      <c r="I1657" s="3" t="s">
        <v>31</v>
      </c>
      <c r="J1657" s="3" t="s">
        <v>37</v>
      </c>
      <c r="K1657" s="3" t="s">
        <v>123</v>
      </c>
      <c r="L1657" s="3" t="s">
        <v>124</v>
      </c>
      <c r="M1657" s="4">
        <v>470.18</v>
      </c>
    </row>
    <row r="1658">
      <c r="A1658" s="2">
        <v>45549</v>
      </c>
      <c r="B16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8" s="3" t="str">
        <f>YEAR(KMART_DATA[[#This Row],[Date]])&amp;"-"&amp;TEXT(MONTH(KMART_DATA[[#This Row],[Date]]),"00")</f>
        <v>2024-09</v>
      </c>
      <c r="D1658" s="3" t="s">
        <v>28</v>
      </c>
      <c r="E1658" s="3" t="s">
        <v>129</v>
      </c>
      <c r="F1658" s="3" t="s">
        <v>10</v>
      </c>
      <c r="G16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58" s="3" t="s">
        <v>130</v>
      </c>
      <c r="I1658" s="3" t="s">
        <v>31</v>
      </c>
      <c r="J1658" s="3" t="s">
        <v>120</v>
      </c>
      <c r="K1658" s="3" t="s">
        <v>57</v>
      </c>
      <c r="L1658" s="3" t="s">
        <v>58</v>
      </c>
      <c r="M1658" s="4">
        <v>471.1</v>
      </c>
    </row>
    <row r="1659">
      <c r="A1659" s="2">
        <v>45549</v>
      </c>
      <c r="B16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59" s="3" t="str">
        <f>YEAR(KMART_DATA[[#This Row],[Date]])&amp;"-"&amp;TEXT(MONTH(KMART_DATA[[#This Row],[Date]]),"00")</f>
        <v>2024-09</v>
      </c>
      <c r="D1659" s="3" t="s">
        <v>28</v>
      </c>
      <c r="E1659" s="3" t="s">
        <v>219</v>
      </c>
      <c r="F1659" s="3" t="s">
        <v>11</v>
      </c>
      <c r="G16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59" s="3" t="s">
        <v>220</v>
      </c>
      <c r="I1659" s="3" t="s">
        <v>31</v>
      </c>
      <c r="J1659" s="3" t="s">
        <v>56</v>
      </c>
      <c r="K1659" s="3" t="s">
        <v>71</v>
      </c>
      <c r="L1659" s="3" t="s">
        <v>72</v>
      </c>
      <c r="M1659" s="4">
        <v>1942.32</v>
      </c>
    </row>
    <row r="1660">
      <c r="A1660" s="2">
        <v>45549</v>
      </c>
      <c r="B16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0" s="3" t="str">
        <f>YEAR(KMART_DATA[[#This Row],[Date]])&amp;"-"&amp;TEXT(MONTH(KMART_DATA[[#This Row],[Date]]),"00")</f>
        <v>2024-09</v>
      </c>
      <c r="D1660" s="3" t="s">
        <v>28</v>
      </c>
      <c r="E1660" s="3" t="s">
        <v>221</v>
      </c>
      <c r="F1660" s="3" t="s">
        <v>11</v>
      </c>
      <c r="G16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60" s="3" t="s">
        <v>222</v>
      </c>
      <c r="I1660" s="3" t="s">
        <v>31</v>
      </c>
      <c r="J1660" s="3" t="s">
        <v>56</v>
      </c>
      <c r="K1660" s="3" t="s">
        <v>123</v>
      </c>
      <c r="L1660" s="3" t="s">
        <v>124</v>
      </c>
      <c r="M1660" s="4">
        <v>3372.28</v>
      </c>
    </row>
    <row r="1661">
      <c r="A1661" s="2">
        <v>45549</v>
      </c>
      <c r="B16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1" s="3" t="str">
        <f>YEAR(KMART_DATA[[#This Row],[Date]])&amp;"-"&amp;TEXT(MONTH(KMART_DATA[[#This Row],[Date]]),"00")</f>
        <v>2024-09</v>
      </c>
      <c r="D1661" s="3" t="s">
        <v>28</v>
      </c>
      <c r="E1661" s="3" t="s">
        <v>54</v>
      </c>
      <c r="F1661" s="3" t="s">
        <v>11</v>
      </c>
      <c r="G16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61" s="3" t="s">
        <v>55</v>
      </c>
      <c r="I1661" s="3" t="s">
        <v>31</v>
      </c>
      <c r="J1661" s="3" t="s">
        <v>56</v>
      </c>
      <c r="K1661" s="3" t="s">
        <v>71</v>
      </c>
      <c r="L1661" s="3" t="s">
        <v>72</v>
      </c>
      <c r="M1661" s="4">
        <v>8438.79</v>
      </c>
    </row>
    <row r="1662">
      <c r="A1662" s="2">
        <v>45550</v>
      </c>
      <c r="B16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2" s="3" t="str">
        <f>YEAR(KMART_DATA[[#This Row],[Date]])&amp;"-"&amp;TEXT(MONTH(KMART_DATA[[#This Row],[Date]]),"00")</f>
        <v>2024-09</v>
      </c>
      <c r="D1662" s="3" t="s">
        <v>28</v>
      </c>
      <c r="E1662" s="3" t="s">
        <v>133</v>
      </c>
      <c r="F1662" s="3" t="s">
        <v>10</v>
      </c>
      <c r="G16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62" s="3" t="s">
        <v>134</v>
      </c>
      <c r="I1662" s="3" t="s">
        <v>31</v>
      </c>
      <c r="J1662" s="3" t="s">
        <v>37</v>
      </c>
      <c r="K1662" s="3" t="s">
        <v>43</v>
      </c>
      <c r="L1662" s="3" t="s">
        <v>44</v>
      </c>
      <c r="M1662" s="4">
        <v>3.0</v>
      </c>
    </row>
    <row r="1663">
      <c r="A1663" s="2">
        <v>45550</v>
      </c>
      <c r="B16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3" s="3" t="str">
        <f>YEAR(KMART_DATA[[#This Row],[Date]])&amp;"-"&amp;TEXT(MONTH(KMART_DATA[[#This Row],[Date]]),"00")</f>
        <v>2024-09</v>
      </c>
      <c r="D1663" s="3" t="s">
        <v>28</v>
      </c>
      <c r="E1663" s="3" t="s">
        <v>219</v>
      </c>
      <c r="F1663" s="3" t="s">
        <v>11</v>
      </c>
      <c r="G16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63" s="3" t="s">
        <v>220</v>
      </c>
      <c r="I1663" s="3" t="s">
        <v>31</v>
      </c>
      <c r="J1663" s="3" t="s">
        <v>56</v>
      </c>
      <c r="K1663" s="3" t="s">
        <v>33</v>
      </c>
      <c r="L1663" s="3" t="s">
        <v>34</v>
      </c>
      <c r="M1663" s="4">
        <v>11.97</v>
      </c>
    </row>
    <row r="1664">
      <c r="A1664" s="2">
        <v>45550</v>
      </c>
      <c r="B16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4" s="3" t="str">
        <f>YEAR(KMART_DATA[[#This Row],[Date]])&amp;"-"&amp;TEXT(MONTH(KMART_DATA[[#This Row],[Date]]),"00")</f>
        <v>2024-09</v>
      </c>
      <c r="D1664" s="3" t="s">
        <v>45</v>
      </c>
      <c r="E1664" s="3" t="s">
        <v>51</v>
      </c>
      <c r="F1664" s="3" t="s">
        <v>15</v>
      </c>
      <c r="G16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664" s="3" t="s">
        <v>52</v>
      </c>
      <c r="I1664" s="3" t="s">
        <v>31</v>
      </c>
      <c r="J1664" s="3" t="s">
        <v>53</v>
      </c>
      <c r="K1664" s="3" t="s">
        <v>43</v>
      </c>
      <c r="L1664" s="3" t="s">
        <v>44</v>
      </c>
      <c r="M1664" s="4">
        <v>70.45</v>
      </c>
    </row>
    <row r="1665">
      <c r="A1665" s="2">
        <v>45550</v>
      </c>
      <c r="B16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5" s="3" t="str">
        <f>YEAR(KMART_DATA[[#This Row],[Date]])&amp;"-"&amp;TEXT(MONTH(KMART_DATA[[#This Row],[Date]]),"00")</f>
        <v>2024-09</v>
      </c>
      <c r="D1665" s="3" t="s">
        <v>45</v>
      </c>
      <c r="E1665" s="3" t="s">
        <v>187</v>
      </c>
      <c r="F1665" s="3" t="s">
        <v>11</v>
      </c>
      <c r="G16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65" s="3" t="s">
        <v>188</v>
      </c>
      <c r="I1665" s="3" t="s">
        <v>31</v>
      </c>
      <c r="J1665" s="3" t="s">
        <v>78</v>
      </c>
      <c r="K1665" s="3" t="s">
        <v>38</v>
      </c>
      <c r="L1665" s="3" t="s">
        <v>39</v>
      </c>
      <c r="M1665" s="4">
        <v>107.9</v>
      </c>
    </row>
    <row r="1666">
      <c r="A1666" s="2">
        <v>45550</v>
      </c>
      <c r="B16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6" s="3" t="str">
        <f>YEAR(KMART_DATA[[#This Row],[Date]])&amp;"-"&amp;TEXT(MONTH(KMART_DATA[[#This Row],[Date]]),"00")</f>
        <v>2024-09</v>
      </c>
      <c r="D1666" s="3" t="s">
        <v>45</v>
      </c>
      <c r="E1666" s="3" t="s">
        <v>156</v>
      </c>
      <c r="F1666" s="3" t="s">
        <v>9</v>
      </c>
      <c r="G16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66" s="3" t="s">
        <v>157</v>
      </c>
      <c r="I1666" s="3" t="s">
        <v>31</v>
      </c>
      <c r="J1666" s="3" t="s">
        <v>75</v>
      </c>
      <c r="K1666" s="3" t="s">
        <v>43</v>
      </c>
      <c r="L1666" s="3" t="s">
        <v>44</v>
      </c>
      <c r="M1666" s="4">
        <v>109.79</v>
      </c>
    </row>
    <row r="1667">
      <c r="A1667" s="2">
        <v>45550</v>
      </c>
      <c r="B16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7" s="3" t="str">
        <f>YEAR(KMART_DATA[[#This Row],[Date]])&amp;"-"&amp;TEXT(MONTH(KMART_DATA[[#This Row],[Date]]),"00")</f>
        <v>2024-09</v>
      </c>
      <c r="D1667" s="3" t="s">
        <v>45</v>
      </c>
      <c r="E1667" s="3" t="s">
        <v>141</v>
      </c>
      <c r="F1667" s="3" t="s">
        <v>9</v>
      </c>
      <c r="G16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67" s="3" t="s">
        <v>142</v>
      </c>
      <c r="I1667" s="3" t="s">
        <v>31</v>
      </c>
      <c r="J1667" s="3" t="s">
        <v>107</v>
      </c>
      <c r="K1667" s="3" t="s">
        <v>112</v>
      </c>
      <c r="L1667" s="3" t="s">
        <v>113</v>
      </c>
      <c r="M1667" s="4">
        <v>245.48</v>
      </c>
    </row>
    <row r="1668">
      <c r="A1668" s="2">
        <v>45550</v>
      </c>
      <c r="B16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8" s="3" t="str">
        <f>YEAR(KMART_DATA[[#This Row],[Date]])&amp;"-"&amp;TEXT(MONTH(KMART_DATA[[#This Row],[Date]]),"00")</f>
        <v>2024-09</v>
      </c>
      <c r="D1668" s="3" t="s">
        <v>28</v>
      </c>
      <c r="E1668" s="3" t="s">
        <v>152</v>
      </c>
      <c r="F1668" s="3" t="s">
        <v>11</v>
      </c>
      <c r="G16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68" s="3" t="s">
        <v>153</v>
      </c>
      <c r="I1668" s="3" t="s">
        <v>31</v>
      </c>
      <c r="J1668" s="3" t="s">
        <v>61</v>
      </c>
      <c r="K1668" s="3" t="s">
        <v>95</v>
      </c>
      <c r="L1668" s="3" t="s">
        <v>96</v>
      </c>
      <c r="M1668" s="4">
        <v>371.23</v>
      </c>
    </row>
    <row r="1669">
      <c r="A1669" s="2">
        <v>45550</v>
      </c>
      <c r="B16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69" s="3" t="str">
        <f>YEAR(KMART_DATA[[#This Row],[Date]])&amp;"-"&amp;TEXT(MONTH(KMART_DATA[[#This Row],[Date]]),"00")</f>
        <v>2024-09</v>
      </c>
      <c r="D1669" s="3" t="s">
        <v>28</v>
      </c>
      <c r="E1669" s="3" t="s">
        <v>250</v>
      </c>
      <c r="F1669" s="3" t="s">
        <v>10</v>
      </c>
      <c r="G16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69" s="3" t="s">
        <v>251</v>
      </c>
      <c r="I1669" s="3" t="s">
        <v>31</v>
      </c>
      <c r="J1669" s="3" t="s">
        <v>37</v>
      </c>
      <c r="K1669" s="3" t="s">
        <v>43</v>
      </c>
      <c r="L1669" s="3" t="s">
        <v>44</v>
      </c>
      <c r="M1669" s="4">
        <v>1650.06</v>
      </c>
    </row>
    <row r="1670">
      <c r="A1670" s="2">
        <v>45550</v>
      </c>
      <c r="B16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0" s="3" t="str">
        <f>YEAR(KMART_DATA[[#This Row],[Date]])&amp;"-"&amp;TEXT(MONTH(KMART_DATA[[#This Row],[Date]]),"00")</f>
        <v>2024-09</v>
      </c>
      <c r="D1670" s="3" t="s">
        <v>28</v>
      </c>
      <c r="E1670" s="3" t="s">
        <v>154</v>
      </c>
      <c r="F1670" s="3" t="s">
        <v>11</v>
      </c>
      <c r="G16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70" s="3" t="s">
        <v>155</v>
      </c>
      <c r="I1670" s="3" t="s">
        <v>31</v>
      </c>
      <c r="J1670" s="3" t="s">
        <v>84</v>
      </c>
      <c r="K1670" s="3" t="s">
        <v>57</v>
      </c>
      <c r="L1670" s="3" t="s">
        <v>58</v>
      </c>
      <c r="M1670" s="4">
        <v>4097.29</v>
      </c>
    </row>
    <row r="1671">
      <c r="A1671" s="2">
        <v>45551</v>
      </c>
      <c r="B16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1" s="3" t="str">
        <f>YEAR(KMART_DATA[[#This Row],[Date]])&amp;"-"&amp;TEXT(MONTH(KMART_DATA[[#This Row],[Date]]),"00")</f>
        <v>2024-09</v>
      </c>
      <c r="D1671" s="3" t="s">
        <v>28</v>
      </c>
      <c r="E1671" s="3" t="s">
        <v>187</v>
      </c>
      <c r="F1671" s="3" t="s">
        <v>11</v>
      </c>
      <c r="G16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71" s="3" t="s">
        <v>188</v>
      </c>
      <c r="I1671" s="3" t="s">
        <v>31</v>
      </c>
      <c r="J1671" s="3" t="s">
        <v>78</v>
      </c>
      <c r="K1671" s="3" t="s">
        <v>57</v>
      </c>
      <c r="L1671" s="3" t="s">
        <v>58</v>
      </c>
      <c r="M1671" s="4">
        <v>1269.76</v>
      </c>
    </row>
    <row r="1672">
      <c r="A1672" s="2">
        <v>45551</v>
      </c>
      <c r="B16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2" s="3" t="str">
        <f>YEAR(KMART_DATA[[#This Row],[Date]])&amp;"-"&amp;TEXT(MONTH(KMART_DATA[[#This Row],[Date]]),"00")</f>
        <v>2024-09</v>
      </c>
      <c r="D1672" s="3" t="s">
        <v>28</v>
      </c>
      <c r="E1672" s="3" t="s">
        <v>108</v>
      </c>
      <c r="F1672" s="3" t="s">
        <v>9</v>
      </c>
      <c r="G16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72" s="3" t="s">
        <v>109</v>
      </c>
      <c r="I1672" s="3" t="s">
        <v>31</v>
      </c>
      <c r="J1672" s="3" t="s">
        <v>75</v>
      </c>
      <c r="K1672" s="3" t="s">
        <v>71</v>
      </c>
      <c r="L1672" s="3" t="s">
        <v>72</v>
      </c>
      <c r="M1672" s="4">
        <v>1290.23</v>
      </c>
    </row>
    <row r="1673">
      <c r="A1673" s="2">
        <v>45551</v>
      </c>
      <c r="B16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3" s="3" t="str">
        <f>YEAR(KMART_DATA[[#This Row],[Date]])&amp;"-"&amp;TEXT(MONTH(KMART_DATA[[#This Row],[Date]]),"00")</f>
        <v>2024-09</v>
      </c>
      <c r="D1673" s="3" t="s">
        <v>45</v>
      </c>
      <c r="E1673" s="3" t="s">
        <v>76</v>
      </c>
      <c r="F1673" s="3" t="s">
        <v>11</v>
      </c>
      <c r="G16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73" s="3" t="s">
        <v>77</v>
      </c>
      <c r="I1673" s="3" t="s">
        <v>31</v>
      </c>
      <c r="J1673" s="3" t="s">
        <v>78</v>
      </c>
      <c r="K1673" s="3" t="s">
        <v>95</v>
      </c>
      <c r="L1673" s="3" t="s">
        <v>96</v>
      </c>
      <c r="M1673" s="4">
        <v>1434.96</v>
      </c>
    </row>
    <row r="1674">
      <c r="A1674" s="2">
        <v>45551</v>
      </c>
      <c r="B16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4" s="3" t="str">
        <f>YEAR(KMART_DATA[[#This Row],[Date]])&amp;"-"&amp;TEXT(MONTH(KMART_DATA[[#This Row],[Date]]),"00")</f>
        <v>2024-09</v>
      </c>
      <c r="D1674" s="3" t="s">
        <v>28</v>
      </c>
      <c r="E1674" s="3" t="s">
        <v>59</v>
      </c>
      <c r="F1674" s="3" t="s">
        <v>11</v>
      </c>
      <c r="G16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74" s="3" t="s">
        <v>60</v>
      </c>
      <c r="I1674" s="3" t="s">
        <v>31</v>
      </c>
      <c r="J1674" s="3" t="s">
        <v>61</v>
      </c>
      <c r="K1674" s="3" t="s">
        <v>57</v>
      </c>
      <c r="L1674" s="3" t="s">
        <v>58</v>
      </c>
      <c r="M1674" s="4">
        <v>2366.31</v>
      </c>
    </row>
    <row r="1675">
      <c r="A1675" s="2">
        <v>45552</v>
      </c>
      <c r="B16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5" s="3" t="str">
        <f>YEAR(KMART_DATA[[#This Row],[Date]])&amp;"-"&amp;TEXT(MONTH(KMART_DATA[[#This Row],[Date]]),"00")</f>
        <v>2024-09</v>
      </c>
      <c r="D1675" s="3" t="s">
        <v>28</v>
      </c>
      <c r="E1675" s="3" t="s">
        <v>234</v>
      </c>
      <c r="F1675" s="3" t="s">
        <v>9</v>
      </c>
      <c r="G16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75" s="3" t="s">
        <v>235</v>
      </c>
      <c r="I1675" s="3" t="s">
        <v>31</v>
      </c>
      <c r="J1675" s="3" t="s">
        <v>81</v>
      </c>
      <c r="K1675" s="3" t="s">
        <v>33</v>
      </c>
      <c r="L1675" s="3" t="s">
        <v>34</v>
      </c>
      <c r="M1675" s="4">
        <v>4.99</v>
      </c>
    </row>
    <row r="1676">
      <c r="A1676" s="2">
        <v>45552</v>
      </c>
      <c r="B16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6" s="3" t="str">
        <f>YEAR(KMART_DATA[[#This Row],[Date]])&amp;"-"&amp;TEXT(MONTH(KMART_DATA[[#This Row],[Date]]),"00")</f>
        <v>2024-09</v>
      </c>
      <c r="D1676" s="3" t="s">
        <v>28</v>
      </c>
      <c r="E1676" s="3" t="s">
        <v>260</v>
      </c>
      <c r="F1676" s="3" t="s">
        <v>10</v>
      </c>
      <c r="G16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76" s="3" t="s">
        <v>261</v>
      </c>
      <c r="I1676" s="3" t="s">
        <v>31</v>
      </c>
      <c r="J1676" s="3" t="s">
        <v>89</v>
      </c>
      <c r="K1676" s="3" t="s">
        <v>38</v>
      </c>
      <c r="L1676" s="3" t="s">
        <v>39</v>
      </c>
      <c r="M1676" s="4">
        <v>14.95</v>
      </c>
    </row>
    <row r="1677">
      <c r="A1677" s="2">
        <v>45552</v>
      </c>
      <c r="B16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7" s="3" t="str">
        <f>YEAR(KMART_DATA[[#This Row],[Date]])&amp;"-"&amp;TEXT(MONTH(KMART_DATA[[#This Row],[Date]]),"00")</f>
        <v>2024-09</v>
      </c>
      <c r="D1677" s="3" t="s">
        <v>28</v>
      </c>
      <c r="E1677" s="3" t="s">
        <v>64</v>
      </c>
      <c r="F1677" s="3" t="s">
        <v>11</v>
      </c>
      <c r="G16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77" s="3" t="s">
        <v>65</v>
      </c>
      <c r="I1677" s="3" t="s">
        <v>31</v>
      </c>
      <c r="J1677" s="3" t="s">
        <v>61</v>
      </c>
      <c r="K1677" s="3" t="s">
        <v>95</v>
      </c>
      <c r="L1677" s="3" t="s">
        <v>96</v>
      </c>
      <c r="M1677" s="4">
        <v>15.98</v>
      </c>
    </row>
    <row r="1678">
      <c r="A1678" s="2">
        <v>45552</v>
      </c>
      <c r="B16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8" s="3" t="str">
        <f>YEAR(KMART_DATA[[#This Row],[Date]])&amp;"-"&amp;TEXT(MONTH(KMART_DATA[[#This Row],[Date]]),"00")</f>
        <v>2024-09</v>
      </c>
      <c r="D1678" s="3" t="s">
        <v>45</v>
      </c>
      <c r="E1678" s="3" t="s">
        <v>51</v>
      </c>
      <c r="F1678" s="3" t="s">
        <v>15</v>
      </c>
      <c r="G16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678" s="3" t="s">
        <v>52</v>
      </c>
      <c r="I1678" s="3" t="s">
        <v>31</v>
      </c>
      <c r="J1678" s="3" t="s">
        <v>53</v>
      </c>
      <c r="K1678" s="3" t="s">
        <v>112</v>
      </c>
      <c r="L1678" s="3" t="s">
        <v>113</v>
      </c>
      <c r="M1678" s="4">
        <v>119.19</v>
      </c>
    </row>
    <row r="1679">
      <c r="A1679" s="2">
        <v>45552</v>
      </c>
      <c r="B16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79" s="3" t="str">
        <f>YEAR(KMART_DATA[[#This Row],[Date]])&amp;"-"&amp;TEXT(MONTH(KMART_DATA[[#This Row],[Date]]),"00")</f>
        <v>2024-09</v>
      </c>
      <c r="D1679" s="3" t="s">
        <v>28</v>
      </c>
      <c r="E1679" s="3" t="s">
        <v>264</v>
      </c>
      <c r="F1679" s="3" t="s">
        <v>13</v>
      </c>
      <c r="G16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679" s="3" t="s">
        <v>265</v>
      </c>
      <c r="I1679" s="3" t="s">
        <v>31</v>
      </c>
      <c r="J1679" s="3" t="s">
        <v>42</v>
      </c>
      <c r="K1679" s="3" t="s">
        <v>57</v>
      </c>
      <c r="L1679" s="3" t="s">
        <v>58</v>
      </c>
      <c r="M1679" s="4">
        <v>639.89</v>
      </c>
    </row>
    <row r="1680">
      <c r="A1680" s="2">
        <v>45552</v>
      </c>
      <c r="B16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0" s="3" t="str">
        <f>YEAR(KMART_DATA[[#This Row],[Date]])&amp;"-"&amp;TEXT(MONTH(KMART_DATA[[#This Row],[Date]]),"00")</f>
        <v>2024-09</v>
      </c>
      <c r="D1680" s="3" t="s">
        <v>28</v>
      </c>
      <c r="E1680" s="3" t="s">
        <v>160</v>
      </c>
      <c r="F1680" s="3" t="s">
        <v>12</v>
      </c>
      <c r="G16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80" s="3" t="s">
        <v>161</v>
      </c>
      <c r="I1680" s="3" t="s">
        <v>31</v>
      </c>
      <c r="J1680" s="3" t="s">
        <v>162</v>
      </c>
      <c r="K1680" s="3" t="s">
        <v>43</v>
      </c>
      <c r="L1680" s="3" t="s">
        <v>44</v>
      </c>
      <c r="M1680" s="4">
        <v>744.12</v>
      </c>
    </row>
    <row r="1681">
      <c r="A1681" s="2">
        <v>45552</v>
      </c>
      <c r="B16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1" s="3" t="str">
        <f>YEAR(KMART_DATA[[#This Row],[Date]])&amp;"-"&amp;TEXT(MONTH(KMART_DATA[[#This Row],[Date]]),"00")</f>
        <v>2024-09</v>
      </c>
      <c r="D1681" s="3" t="s">
        <v>28</v>
      </c>
      <c r="E1681" s="3" t="s">
        <v>110</v>
      </c>
      <c r="F1681" s="3" t="s">
        <v>9</v>
      </c>
      <c r="G16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81" s="3" t="s">
        <v>111</v>
      </c>
      <c r="I1681" s="3" t="s">
        <v>31</v>
      </c>
      <c r="J1681" s="3" t="s">
        <v>81</v>
      </c>
      <c r="K1681" s="3" t="s">
        <v>71</v>
      </c>
      <c r="L1681" s="3" t="s">
        <v>72</v>
      </c>
      <c r="M1681" s="4">
        <v>1475.44</v>
      </c>
    </row>
    <row r="1682">
      <c r="A1682" s="2">
        <v>45552</v>
      </c>
      <c r="B16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2" s="3" t="str">
        <f>YEAR(KMART_DATA[[#This Row],[Date]])&amp;"-"&amp;TEXT(MONTH(KMART_DATA[[#This Row],[Date]]),"00")</f>
        <v>2024-09</v>
      </c>
      <c r="D1682" s="3" t="s">
        <v>28</v>
      </c>
      <c r="E1682" s="3" t="s">
        <v>191</v>
      </c>
      <c r="F1682" s="3" t="s">
        <v>10</v>
      </c>
      <c r="G16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82" s="3" t="s">
        <v>192</v>
      </c>
      <c r="I1682" s="3" t="s">
        <v>31</v>
      </c>
      <c r="J1682" s="3" t="s">
        <v>120</v>
      </c>
      <c r="K1682" s="3" t="s">
        <v>71</v>
      </c>
      <c r="L1682" s="3" t="s">
        <v>72</v>
      </c>
      <c r="M1682" s="4">
        <v>1906.36</v>
      </c>
    </row>
    <row r="1683">
      <c r="A1683" s="2">
        <v>45552</v>
      </c>
      <c r="B16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3" s="3" t="str">
        <f>YEAR(KMART_DATA[[#This Row],[Date]])&amp;"-"&amp;TEXT(MONTH(KMART_DATA[[#This Row],[Date]]),"00")</f>
        <v>2024-09</v>
      </c>
      <c r="D1683" s="3" t="s">
        <v>28</v>
      </c>
      <c r="E1683" s="3" t="s">
        <v>114</v>
      </c>
      <c r="F1683" s="3" t="s">
        <v>9</v>
      </c>
      <c r="G16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83" s="3" t="s">
        <v>115</v>
      </c>
      <c r="I1683" s="3" t="s">
        <v>31</v>
      </c>
      <c r="J1683" s="3" t="s">
        <v>99</v>
      </c>
      <c r="K1683" s="3" t="s">
        <v>123</v>
      </c>
      <c r="L1683" s="3" t="s">
        <v>124</v>
      </c>
      <c r="M1683" s="4">
        <v>3257.5</v>
      </c>
    </row>
    <row r="1684">
      <c r="A1684" s="2">
        <v>45553</v>
      </c>
      <c r="B16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4" s="3" t="str">
        <f>YEAR(KMART_DATA[[#This Row],[Date]])&amp;"-"&amp;TEXT(MONTH(KMART_DATA[[#This Row],[Date]]),"00")</f>
        <v>2024-09</v>
      </c>
      <c r="D1684" s="3" t="s">
        <v>28</v>
      </c>
      <c r="E1684" s="3" t="s">
        <v>213</v>
      </c>
      <c r="F1684" s="3" t="s">
        <v>11</v>
      </c>
      <c r="G16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84" s="3" t="s">
        <v>214</v>
      </c>
      <c r="I1684" s="3" t="s">
        <v>31</v>
      </c>
      <c r="J1684" s="3" t="s">
        <v>32</v>
      </c>
      <c r="K1684" s="3" t="s">
        <v>95</v>
      </c>
      <c r="L1684" s="3" t="s">
        <v>96</v>
      </c>
      <c r="M1684" s="4">
        <v>3.0</v>
      </c>
    </row>
    <row r="1685">
      <c r="A1685" s="2">
        <v>45553</v>
      </c>
      <c r="B16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5" s="3" t="str">
        <f>YEAR(KMART_DATA[[#This Row],[Date]])&amp;"-"&amp;TEXT(MONTH(KMART_DATA[[#This Row],[Date]]),"00")</f>
        <v>2024-09</v>
      </c>
      <c r="D1685" s="3" t="s">
        <v>28</v>
      </c>
      <c r="E1685" s="3" t="s">
        <v>160</v>
      </c>
      <c r="F1685" s="3" t="s">
        <v>12</v>
      </c>
      <c r="G16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685" s="3" t="s">
        <v>161</v>
      </c>
      <c r="I1685" s="3" t="s">
        <v>31</v>
      </c>
      <c r="J1685" s="3" t="s">
        <v>162</v>
      </c>
      <c r="K1685" s="3" t="s">
        <v>66</v>
      </c>
      <c r="L1685" s="3" t="s">
        <v>67</v>
      </c>
      <c r="M1685" s="4">
        <v>31.0</v>
      </c>
    </row>
    <row r="1686">
      <c r="A1686" s="2">
        <v>45553</v>
      </c>
      <c r="B16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6" s="3" t="str">
        <f>YEAR(KMART_DATA[[#This Row],[Date]])&amp;"-"&amp;TEXT(MONTH(KMART_DATA[[#This Row],[Date]]),"00")</f>
        <v>2024-09</v>
      </c>
      <c r="D1686" s="3" t="s">
        <v>45</v>
      </c>
      <c r="E1686" s="3" t="s">
        <v>133</v>
      </c>
      <c r="F1686" s="3" t="s">
        <v>10</v>
      </c>
      <c r="G16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86" s="3" t="s">
        <v>134</v>
      </c>
      <c r="I1686" s="3" t="s">
        <v>31</v>
      </c>
      <c r="J1686" s="3" t="s">
        <v>37</v>
      </c>
      <c r="K1686" s="3" t="s">
        <v>38</v>
      </c>
      <c r="L1686" s="3" t="s">
        <v>39</v>
      </c>
      <c r="M1686" s="4">
        <v>70.68</v>
      </c>
    </row>
    <row r="1687">
      <c r="A1687" s="2">
        <v>45553</v>
      </c>
      <c r="B16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7" s="3" t="str">
        <f>YEAR(KMART_DATA[[#This Row],[Date]])&amp;"-"&amp;TEXT(MONTH(KMART_DATA[[#This Row],[Date]]),"00")</f>
        <v>2024-09</v>
      </c>
      <c r="D1687" s="3" t="s">
        <v>28</v>
      </c>
      <c r="E1687" s="3" t="s">
        <v>108</v>
      </c>
      <c r="F1687" s="3" t="s">
        <v>9</v>
      </c>
      <c r="G16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87" s="3" t="s">
        <v>109</v>
      </c>
      <c r="I1687" s="3" t="s">
        <v>31</v>
      </c>
      <c r="J1687" s="3" t="s">
        <v>75</v>
      </c>
      <c r="K1687" s="3" t="s">
        <v>43</v>
      </c>
      <c r="L1687" s="3" t="s">
        <v>44</v>
      </c>
      <c r="M1687" s="4">
        <v>530.09</v>
      </c>
    </row>
    <row r="1688">
      <c r="A1688" s="2">
        <v>45553</v>
      </c>
      <c r="B16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8" s="3" t="str">
        <f>YEAR(KMART_DATA[[#This Row],[Date]])&amp;"-"&amp;TEXT(MONTH(KMART_DATA[[#This Row],[Date]]),"00")</f>
        <v>2024-09</v>
      </c>
      <c r="D1688" s="3" t="s">
        <v>45</v>
      </c>
      <c r="E1688" s="3" t="s">
        <v>85</v>
      </c>
      <c r="F1688" s="3" t="s">
        <v>9</v>
      </c>
      <c r="G16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88" s="3" t="s">
        <v>86</v>
      </c>
      <c r="I1688" s="3" t="s">
        <v>31</v>
      </c>
      <c r="J1688" s="3" t="s">
        <v>81</v>
      </c>
      <c r="K1688" s="3" t="s">
        <v>33</v>
      </c>
      <c r="L1688" s="3" t="s">
        <v>34</v>
      </c>
      <c r="M1688" s="4">
        <v>695.35</v>
      </c>
    </row>
    <row r="1689">
      <c r="A1689" s="2">
        <v>45554</v>
      </c>
      <c r="B16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89" s="3" t="str">
        <f>YEAR(KMART_DATA[[#This Row],[Date]])&amp;"-"&amp;TEXT(MONTH(KMART_DATA[[#This Row],[Date]]),"00")</f>
        <v>2024-09</v>
      </c>
      <c r="D1689" s="3" t="s">
        <v>28</v>
      </c>
      <c r="E1689" s="3" t="s">
        <v>68</v>
      </c>
      <c r="F1689" s="3" t="s">
        <v>9</v>
      </c>
      <c r="G16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89" s="3" t="s">
        <v>69</v>
      </c>
      <c r="I1689" s="3" t="s">
        <v>31</v>
      </c>
      <c r="J1689" s="3" t="s">
        <v>70</v>
      </c>
      <c r="K1689" s="3" t="s">
        <v>123</v>
      </c>
      <c r="L1689" s="3" t="s">
        <v>124</v>
      </c>
      <c r="M1689" s="4">
        <v>22.97</v>
      </c>
    </row>
    <row r="1690">
      <c r="A1690" s="2">
        <v>45554</v>
      </c>
      <c r="B16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0" s="3" t="str">
        <f>YEAR(KMART_DATA[[#This Row],[Date]])&amp;"-"&amp;TEXT(MONTH(KMART_DATA[[#This Row],[Date]]),"00")</f>
        <v>2024-09</v>
      </c>
      <c r="D1690" s="3" t="s">
        <v>28</v>
      </c>
      <c r="E1690" s="3" t="s">
        <v>35</v>
      </c>
      <c r="F1690" s="3" t="s">
        <v>10</v>
      </c>
      <c r="G16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90" s="3" t="s">
        <v>36</v>
      </c>
      <c r="I1690" s="3" t="s">
        <v>31</v>
      </c>
      <c r="J1690" s="3" t="s">
        <v>37</v>
      </c>
      <c r="K1690" s="3" t="s">
        <v>71</v>
      </c>
      <c r="L1690" s="3" t="s">
        <v>72</v>
      </c>
      <c r="M1690" s="4">
        <v>762.15</v>
      </c>
    </row>
    <row r="1691">
      <c r="A1691" s="2">
        <v>45554</v>
      </c>
      <c r="B16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1" s="3" t="str">
        <f>YEAR(KMART_DATA[[#This Row],[Date]])&amp;"-"&amp;TEXT(MONTH(KMART_DATA[[#This Row],[Date]]),"00")</f>
        <v>2024-09</v>
      </c>
      <c r="D1691" s="3" t="s">
        <v>28</v>
      </c>
      <c r="E1691" s="3" t="s">
        <v>29</v>
      </c>
      <c r="F1691" s="3" t="s">
        <v>11</v>
      </c>
      <c r="G16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91" s="3" t="s">
        <v>30</v>
      </c>
      <c r="I1691" s="3" t="s">
        <v>31</v>
      </c>
      <c r="J1691" s="3" t="s">
        <v>32</v>
      </c>
      <c r="K1691" s="3" t="s">
        <v>71</v>
      </c>
      <c r="L1691" s="3" t="s">
        <v>72</v>
      </c>
      <c r="M1691" s="4">
        <v>1077.06</v>
      </c>
    </row>
    <row r="1692">
      <c r="A1692" s="2">
        <v>45555</v>
      </c>
      <c r="B16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2" s="3" t="str">
        <f>YEAR(KMART_DATA[[#This Row],[Date]])&amp;"-"&amp;TEXT(MONTH(KMART_DATA[[#This Row],[Date]]),"00")</f>
        <v>2024-09</v>
      </c>
      <c r="D1692" s="3" t="s">
        <v>28</v>
      </c>
      <c r="E1692" s="3" t="s">
        <v>51</v>
      </c>
      <c r="F1692" s="3" t="s">
        <v>15</v>
      </c>
      <c r="G16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692" s="3" t="s">
        <v>52</v>
      </c>
      <c r="I1692" s="3" t="s">
        <v>31</v>
      </c>
      <c r="J1692" s="3" t="s">
        <v>53</v>
      </c>
      <c r="K1692" s="3" t="s">
        <v>43</v>
      </c>
      <c r="L1692" s="3" t="s">
        <v>44</v>
      </c>
      <c r="M1692" s="4">
        <v>65.49</v>
      </c>
    </row>
    <row r="1693">
      <c r="A1693" s="2">
        <v>45555</v>
      </c>
      <c r="B16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3" s="3" t="str">
        <f>YEAR(KMART_DATA[[#This Row],[Date]])&amp;"-"&amp;TEXT(MONTH(KMART_DATA[[#This Row],[Date]]),"00")</f>
        <v>2024-09</v>
      </c>
      <c r="D1693" s="3" t="s">
        <v>28</v>
      </c>
      <c r="E1693" s="3" t="s">
        <v>215</v>
      </c>
      <c r="F1693" s="3" t="s">
        <v>15</v>
      </c>
      <c r="G16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693" s="3" t="s">
        <v>216</v>
      </c>
      <c r="I1693" s="3" t="s">
        <v>31</v>
      </c>
      <c r="J1693" s="3" t="s">
        <v>53</v>
      </c>
      <c r="K1693" s="3" t="s">
        <v>38</v>
      </c>
      <c r="L1693" s="3" t="s">
        <v>39</v>
      </c>
      <c r="M1693" s="4">
        <v>148.72</v>
      </c>
    </row>
    <row r="1694">
      <c r="A1694" s="2">
        <v>45555</v>
      </c>
      <c r="B16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4" s="3" t="str">
        <f>YEAR(KMART_DATA[[#This Row],[Date]])&amp;"-"&amp;TEXT(MONTH(KMART_DATA[[#This Row],[Date]]),"00")</f>
        <v>2024-09</v>
      </c>
      <c r="D1694" s="3" t="s">
        <v>28</v>
      </c>
      <c r="E1694" s="3" t="s">
        <v>254</v>
      </c>
      <c r="F1694" s="3" t="s">
        <v>13</v>
      </c>
      <c r="G16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694" s="3" t="s">
        <v>255</v>
      </c>
      <c r="I1694" s="3" t="s">
        <v>31</v>
      </c>
      <c r="J1694" s="3" t="s">
        <v>227</v>
      </c>
      <c r="K1694" s="3" t="s">
        <v>112</v>
      </c>
      <c r="L1694" s="3" t="s">
        <v>113</v>
      </c>
      <c r="M1694" s="4">
        <v>151.85</v>
      </c>
    </row>
    <row r="1695">
      <c r="A1695" s="2">
        <v>45555</v>
      </c>
      <c r="B16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5" s="3" t="str">
        <f>YEAR(KMART_DATA[[#This Row],[Date]])&amp;"-"&amp;TEXT(MONTH(KMART_DATA[[#This Row],[Date]]),"00")</f>
        <v>2024-09</v>
      </c>
      <c r="D1695" s="3" t="s">
        <v>45</v>
      </c>
      <c r="E1695" s="3" t="s">
        <v>213</v>
      </c>
      <c r="F1695" s="3" t="s">
        <v>11</v>
      </c>
      <c r="G16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95" s="3" t="s">
        <v>214</v>
      </c>
      <c r="I1695" s="3" t="s">
        <v>31</v>
      </c>
      <c r="J1695" s="3" t="s">
        <v>32</v>
      </c>
      <c r="K1695" s="3" t="s">
        <v>123</v>
      </c>
      <c r="L1695" s="3" t="s">
        <v>124</v>
      </c>
      <c r="M1695" s="4">
        <v>181.75</v>
      </c>
    </row>
    <row r="1696">
      <c r="A1696" s="2">
        <v>45555</v>
      </c>
      <c r="B16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6" s="3" t="str">
        <f>YEAR(KMART_DATA[[#This Row],[Date]])&amp;"-"&amp;TEXT(MONTH(KMART_DATA[[#This Row],[Date]]),"00")</f>
        <v>2024-09</v>
      </c>
      <c r="D1696" s="3" t="s">
        <v>28</v>
      </c>
      <c r="E1696" s="3" t="s">
        <v>256</v>
      </c>
      <c r="F1696" s="3" t="s">
        <v>9</v>
      </c>
      <c r="G16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696" s="3" t="s">
        <v>257</v>
      </c>
      <c r="I1696" s="3" t="s">
        <v>31</v>
      </c>
      <c r="J1696" s="3" t="s">
        <v>70</v>
      </c>
      <c r="K1696" s="3" t="s">
        <v>66</v>
      </c>
      <c r="L1696" s="3" t="s">
        <v>67</v>
      </c>
      <c r="M1696" s="4">
        <v>263.95</v>
      </c>
    </row>
    <row r="1697">
      <c r="A1697" s="2">
        <v>45555</v>
      </c>
      <c r="B16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7" s="3" t="str">
        <f>YEAR(KMART_DATA[[#This Row],[Date]])&amp;"-"&amp;TEXT(MONTH(KMART_DATA[[#This Row],[Date]]),"00")</f>
        <v>2024-09</v>
      </c>
      <c r="D1697" s="3" t="s">
        <v>28</v>
      </c>
      <c r="E1697" s="3" t="s">
        <v>152</v>
      </c>
      <c r="F1697" s="3" t="s">
        <v>11</v>
      </c>
      <c r="G16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97" s="3" t="s">
        <v>153</v>
      </c>
      <c r="I1697" s="3" t="s">
        <v>31</v>
      </c>
      <c r="J1697" s="3" t="s">
        <v>61</v>
      </c>
      <c r="K1697" s="3" t="s">
        <v>71</v>
      </c>
      <c r="L1697" s="3" t="s">
        <v>72</v>
      </c>
      <c r="M1697" s="4">
        <v>326.76</v>
      </c>
    </row>
    <row r="1698">
      <c r="A1698" s="2">
        <v>45555</v>
      </c>
      <c r="B16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8" s="3" t="str">
        <f>YEAR(KMART_DATA[[#This Row],[Date]])&amp;"-"&amp;TEXT(MONTH(KMART_DATA[[#This Row],[Date]]),"00")</f>
        <v>2024-09</v>
      </c>
      <c r="D1698" s="3" t="s">
        <v>28</v>
      </c>
      <c r="E1698" s="3" t="s">
        <v>207</v>
      </c>
      <c r="F1698" s="3" t="s">
        <v>11</v>
      </c>
      <c r="G16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698" s="3" t="s">
        <v>208</v>
      </c>
      <c r="I1698" s="3" t="s">
        <v>31</v>
      </c>
      <c r="J1698" s="3" t="s">
        <v>78</v>
      </c>
      <c r="K1698" s="3" t="s">
        <v>95</v>
      </c>
      <c r="L1698" s="3" t="s">
        <v>96</v>
      </c>
      <c r="M1698" s="4">
        <v>940.89</v>
      </c>
    </row>
    <row r="1699">
      <c r="A1699" s="2">
        <v>45555</v>
      </c>
      <c r="B16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699" s="3" t="str">
        <f>YEAR(KMART_DATA[[#This Row],[Date]])&amp;"-"&amp;TEXT(MONTH(KMART_DATA[[#This Row],[Date]]),"00")</f>
        <v>2024-09</v>
      </c>
      <c r="D1699" s="3" t="s">
        <v>28</v>
      </c>
      <c r="E1699" s="3" t="s">
        <v>92</v>
      </c>
      <c r="F1699" s="3" t="s">
        <v>10</v>
      </c>
      <c r="G16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699" s="3" t="s">
        <v>93</v>
      </c>
      <c r="I1699" s="3" t="s">
        <v>31</v>
      </c>
      <c r="J1699" s="3" t="s">
        <v>94</v>
      </c>
      <c r="K1699" s="3" t="s">
        <v>46</v>
      </c>
      <c r="L1699" s="3" t="s">
        <v>47</v>
      </c>
      <c r="M1699" s="4">
        <v>2567.61</v>
      </c>
    </row>
    <row r="1700">
      <c r="A1700" s="2">
        <v>45556</v>
      </c>
      <c r="B17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0" s="3" t="str">
        <f>YEAR(KMART_DATA[[#This Row],[Date]])&amp;"-"&amp;TEXT(MONTH(KMART_DATA[[#This Row],[Date]]),"00")</f>
        <v>2024-09</v>
      </c>
      <c r="D1700" s="3" t="s">
        <v>28</v>
      </c>
      <c r="E1700" s="3" t="s">
        <v>244</v>
      </c>
      <c r="F1700" s="3" t="s">
        <v>13</v>
      </c>
      <c r="G17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700" s="3" t="s">
        <v>245</v>
      </c>
      <c r="I1700" s="3" t="s">
        <v>31</v>
      </c>
      <c r="J1700" s="3" t="s">
        <v>42</v>
      </c>
      <c r="K1700" s="3" t="s">
        <v>46</v>
      </c>
      <c r="L1700" s="3" t="s">
        <v>47</v>
      </c>
      <c r="M1700" s="4">
        <v>5.0</v>
      </c>
    </row>
    <row r="1701">
      <c r="A1701" s="2">
        <v>45556</v>
      </c>
      <c r="B17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1" s="3" t="str">
        <f>YEAR(KMART_DATA[[#This Row],[Date]])&amp;"-"&amp;TEXT(MONTH(KMART_DATA[[#This Row],[Date]]),"00")</f>
        <v>2024-09</v>
      </c>
      <c r="D1701" s="3" t="s">
        <v>45</v>
      </c>
      <c r="E1701" s="3" t="s">
        <v>211</v>
      </c>
      <c r="F1701" s="3" t="s">
        <v>9</v>
      </c>
      <c r="G17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01" s="3" t="s">
        <v>212</v>
      </c>
      <c r="I1701" s="3" t="s">
        <v>31</v>
      </c>
      <c r="J1701" s="3" t="s">
        <v>75</v>
      </c>
      <c r="K1701" s="3" t="s">
        <v>38</v>
      </c>
      <c r="L1701" s="3" t="s">
        <v>39</v>
      </c>
      <c r="M1701" s="4">
        <v>5.99</v>
      </c>
    </row>
    <row r="1702">
      <c r="A1702" s="2">
        <v>45556</v>
      </c>
      <c r="B17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2" s="3" t="str">
        <f>YEAR(KMART_DATA[[#This Row],[Date]])&amp;"-"&amp;TEXT(MONTH(KMART_DATA[[#This Row],[Date]]),"00")</f>
        <v>2024-09</v>
      </c>
      <c r="D1702" s="3" t="s">
        <v>28</v>
      </c>
      <c r="E1702" s="3" t="s">
        <v>256</v>
      </c>
      <c r="F1702" s="3" t="s">
        <v>9</v>
      </c>
      <c r="G17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02" s="3" t="s">
        <v>257</v>
      </c>
      <c r="I1702" s="3" t="s">
        <v>31</v>
      </c>
      <c r="J1702" s="3" t="s">
        <v>70</v>
      </c>
      <c r="K1702" s="3" t="s">
        <v>95</v>
      </c>
      <c r="L1702" s="3" t="s">
        <v>96</v>
      </c>
      <c r="M1702" s="4">
        <v>64.87</v>
      </c>
    </row>
    <row r="1703">
      <c r="A1703" s="2">
        <v>45557</v>
      </c>
      <c r="B17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3" s="3" t="str">
        <f>YEAR(KMART_DATA[[#This Row],[Date]])&amp;"-"&amp;TEXT(MONTH(KMART_DATA[[#This Row],[Date]]),"00")</f>
        <v>2024-09</v>
      </c>
      <c r="D1703" s="3" t="s">
        <v>28</v>
      </c>
      <c r="E1703" s="3" t="s">
        <v>187</v>
      </c>
      <c r="F1703" s="3" t="s">
        <v>11</v>
      </c>
      <c r="G17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03" s="3" t="s">
        <v>188</v>
      </c>
      <c r="I1703" s="3" t="s">
        <v>31</v>
      </c>
      <c r="J1703" s="3" t="s">
        <v>78</v>
      </c>
      <c r="K1703" s="3" t="s">
        <v>38</v>
      </c>
      <c r="L1703" s="3" t="s">
        <v>39</v>
      </c>
      <c r="M1703" s="4">
        <v>218.6</v>
      </c>
    </row>
    <row r="1704">
      <c r="A1704" s="2">
        <v>45557</v>
      </c>
      <c r="B17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4" s="3" t="str">
        <f>YEAR(KMART_DATA[[#This Row],[Date]])&amp;"-"&amp;TEXT(MONTH(KMART_DATA[[#This Row],[Date]]),"00")</f>
        <v>2024-09</v>
      </c>
      <c r="D1704" s="3" t="s">
        <v>45</v>
      </c>
      <c r="E1704" s="3" t="s">
        <v>228</v>
      </c>
      <c r="F1704" s="3" t="s">
        <v>11</v>
      </c>
      <c r="G17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04" s="3" t="s">
        <v>229</v>
      </c>
      <c r="I1704" s="3" t="s">
        <v>31</v>
      </c>
      <c r="J1704" s="3" t="s">
        <v>32</v>
      </c>
      <c r="K1704" s="3" t="s">
        <v>57</v>
      </c>
      <c r="L1704" s="3" t="s">
        <v>58</v>
      </c>
      <c r="M1704" s="4">
        <v>616.92</v>
      </c>
    </row>
    <row r="1705">
      <c r="A1705" s="2">
        <v>45557</v>
      </c>
      <c r="B17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5" s="3" t="str">
        <f>YEAR(KMART_DATA[[#This Row],[Date]])&amp;"-"&amp;TEXT(MONTH(KMART_DATA[[#This Row],[Date]]),"00")</f>
        <v>2024-09</v>
      </c>
      <c r="D1705" s="3" t="s">
        <v>28</v>
      </c>
      <c r="E1705" s="3" t="s">
        <v>244</v>
      </c>
      <c r="F1705" s="3" t="s">
        <v>13</v>
      </c>
      <c r="G17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705" s="3" t="s">
        <v>245</v>
      </c>
      <c r="I1705" s="3" t="s">
        <v>31</v>
      </c>
      <c r="J1705" s="3" t="s">
        <v>42</v>
      </c>
      <c r="K1705" s="3" t="s">
        <v>33</v>
      </c>
      <c r="L1705" s="3" t="s">
        <v>34</v>
      </c>
      <c r="M1705" s="4">
        <v>724.4</v>
      </c>
    </row>
    <row r="1706">
      <c r="A1706" s="2">
        <v>45557</v>
      </c>
      <c r="B17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6" s="3" t="str">
        <f>YEAR(KMART_DATA[[#This Row],[Date]])&amp;"-"&amp;TEXT(MONTH(KMART_DATA[[#This Row],[Date]]),"00")</f>
        <v>2024-09</v>
      </c>
      <c r="D1706" s="3" t="s">
        <v>45</v>
      </c>
      <c r="E1706" s="3" t="s">
        <v>127</v>
      </c>
      <c r="F1706" s="3" t="s">
        <v>11</v>
      </c>
      <c r="G17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06" s="3" t="s">
        <v>128</v>
      </c>
      <c r="I1706" s="3" t="s">
        <v>31</v>
      </c>
      <c r="J1706" s="3" t="s">
        <v>78</v>
      </c>
      <c r="K1706" s="3" t="s">
        <v>71</v>
      </c>
      <c r="L1706" s="3" t="s">
        <v>72</v>
      </c>
      <c r="M1706" s="4">
        <v>816.89</v>
      </c>
    </row>
    <row r="1707">
      <c r="A1707" s="2">
        <v>45557</v>
      </c>
      <c r="B17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7" s="3" t="str">
        <f>YEAR(KMART_DATA[[#This Row],[Date]])&amp;"-"&amp;TEXT(MONTH(KMART_DATA[[#This Row],[Date]]),"00")</f>
        <v>2024-09</v>
      </c>
      <c r="D1707" s="3" t="s">
        <v>28</v>
      </c>
      <c r="E1707" s="3" t="s">
        <v>90</v>
      </c>
      <c r="F1707" s="3" t="s">
        <v>10</v>
      </c>
      <c r="G17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07" s="3" t="s">
        <v>91</v>
      </c>
      <c r="I1707" s="3" t="s">
        <v>31</v>
      </c>
      <c r="J1707" s="3" t="s">
        <v>37</v>
      </c>
      <c r="K1707" s="3" t="s">
        <v>123</v>
      </c>
      <c r="L1707" s="3" t="s">
        <v>124</v>
      </c>
      <c r="M1707" s="4">
        <v>3911.4</v>
      </c>
    </row>
    <row r="1708">
      <c r="A1708" s="2">
        <v>45558</v>
      </c>
      <c r="B17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8" s="3" t="str">
        <f>YEAR(KMART_DATA[[#This Row],[Date]])&amp;"-"&amp;TEXT(MONTH(KMART_DATA[[#This Row],[Date]]),"00")</f>
        <v>2024-09</v>
      </c>
      <c r="D1708" s="3" t="s">
        <v>28</v>
      </c>
      <c r="E1708" s="3" t="s">
        <v>217</v>
      </c>
      <c r="F1708" s="3" t="s">
        <v>10</v>
      </c>
      <c r="G17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08" s="3" t="s">
        <v>218</v>
      </c>
      <c r="I1708" s="3" t="s">
        <v>31</v>
      </c>
      <c r="J1708" s="3" t="s">
        <v>89</v>
      </c>
      <c r="K1708" s="3" t="s">
        <v>71</v>
      </c>
      <c r="L1708" s="3" t="s">
        <v>72</v>
      </c>
      <c r="M1708" s="4">
        <v>54.88</v>
      </c>
    </row>
    <row r="1709">
      <c r="A1709" s="2">
        <v>45558</v>
      </c>
      <c r="B17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09" s="3" t="str">
        <f>YEAR(KMART_DATA[[#This Row],[Date]])&amp;"-"&amp;TEXT(MONTH(KMART_DATA[[#This Row],[Date]]),"00")</f>
        <v>2024-09</v>
      </c>
      <c r="D1709" s="3" t="s">
        <v>28</v>
      </c>
      <c r="E1709" s="3" t="s">
        <v>252</v>
      </c>
      <c r="F1709" s="3" t="s">
        <v>10</v>
      </c>
      <c r="G17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09" s="3" t="s">
        <v>253</v>
      </c>
      <c r="I1709" s="3" t="s">
        <v>31</v>
      </c>
      <c r="J1709" s="3" t="s">
        <v>94</v>
      </c>
      <c r="K1709" s="3" t="s">
        <v>71</v>
      </c>
      <c r="L1709" s="3" t="s">
        <v>72</v>
      </c>
      <c r="M1709" s="4">
        <v>92.88</v>
      </c>
    </row>
    <row r="1710">
      <c r="A1710" s="2">
        <v>45558</v>
      </c>
      <c r="B17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0" s="3" t="str">
        <f>YEAR(KMART_DATA[[#This Row],[Date]])&amp;"-"&amp;TEXT(MONTH(KMART_DATA[[#This Row],[Date]]),"00")</f>
        <v>2024-09</v>
      </c>
      <c r="D1710" s="3" t="s">
        <v>28</v>
      </c>
      <c r="E1710" s="3" t="s">
        <v>143</v>
      </c>
      <c r="F1710" s="3" t="s">
        <v>14</v>
      </c>
      <c r="G17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710" s="3" t="s">
        <v>144</v>
      </c>
      <c r="I1710" s="3" t="s">
        <v>31</v>
      </c>
      <c r="J1710" s="3" t="s">
        <v>145</v>
      </c>
      <c r="K1710" s="3" t="s">
        <v>57</v>
      </c>
      <c r="L1710" s="3" t="s">
        <v>58</v>
      </c>
      <c r="M1710" s="4">
        <v>233.93</v>
      </c>
    </row>
    <row r="1711">
      <c r="A1711" s="2">
        <v>45558</v>
      </c>
      <c r="B17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1" s="3" t="str">
        <f>YEAR(KMART_DATA[[#This Row],[Date]])&amp;"-"&amp;TEXT(MONTH(KMART_DATA[[#This Row],[Date]]),"00")</f>
        <v>2024-09</v>
      </c>
      <c r="D1711" s="3" t="s">
        <v>28</v>
      </c>
      <c r="E1711" s="3" t="s">
        <v>87</v>
      </c>
      <c r="F1711" s="3" t="s">
        <v>10</v>
      </c>
      <c r="G17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11" s="3" t="s">
        <v>88</v>
      </c>
      <c r="I1711" s="3" t="s">
        <v>31</v>
      </c>
      <c r="J1711" s="3" t="s">
        <v>89</v>
      </c>
      <c r="K1711" s="3" t="s">
        <v>66</v>
      </c>
      <c r="L1711" s="3" t="s">
        <v>67</v>
      </c>
      <c r="M1711" s="4">
        <v>2084.89</v>
      </c>
    </row>
    <row r="1712">
      <c r="A1712" s="2">
        <v>45559</v>
      </c>
      <c r="B17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2" s="3" t="str">
        <f>YEAR(KMART_DATA[[#This Row],[Date]])&amp;"-"&amp;TEXT(MONTH(KMART_DATA[[#This Row],[Date]]),"00")</f>
        <v>2024-09</v>
      </c>
      <c r="D1712" s="3" t="s">
        <v>28</v>
      </c>
      <c r="E1712" s="3" t="s">
        <v>199</v>
      </c>
      <c r="F1712" s="3" t="s">
        <v>13</v>
      </c>
      <c r="G17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712" s="3" t="s">
        <v>200</v>
      </c>
      <c r="I1712" s="3" t="s">
        <v>31</v>
      </c>
      <c r="J1712" s="3" t="s">
        <v>42</v>
      </c>
      <c r="K1712" s="3" t="s">
        <v>57</v>
      </c>
      <c r="L1712" s="3" t="s">
        <v>58</v>
      </c>
      <c r="M1712" s="4">
        <v>378.07</v>
      </c>
    </row>
    <row r="1713">
      <c r="A1713" s="2">
        <v>45559</v>
      </c>
      <c r="B17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3" s="3" t="str">
        <f>YEAR(KMART_DATA[[#This Row],[Date]])&amp;"-"&amp;TEXT(MONTH(KMART_DATA[[#This Row],[Date]]),"00")</f>
        <v>2024-09</v>
      </c>
      <c r="D1713" s="3" t="s">
        <v>28</v>
      </c>
      <c r="E1713" s="3" t="s">
        <v>225</v>
      </c>
      <c r="F1713" s="3" t="s">
        <v>13</v>
      </c>
      <c r="G17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713" s="3" t="s">
        <v>226</v>
      </c>
      <c r="I1713" s="3" t="s">
        <v>31</v>
      </c>
      <c r="J1713" s="3" t="s">
        <v>227</v>
      </c>
      <c r="K1713" s="3" t="s">
        <v>71</v>
      </c>
      <c r="L1713" s="3" t="s">
        <v>72</v>
      </c>
      <c r="M1713" s="4">
        <v>596.99</v>
      </c>
    </row>
    <row r="1714">
      <c r="A1714" s="2">
        <v>45559</v>
      </c>
      <c r="B17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4" s="3" t="str">
        <f>YEAR(KMART_DATA[[#This Row],[Date]])&amp;"-"&amp;TEXT(MONTH(KMART_DATA[[#This Row],[Date]]),"00")</f>
        <v>2024-09</v>
      </c>
      <c r="D1714" s="3" t="s">
        <v>28</v>
      </c>
      <c r="E1714" s="3" t="s">
        <v>232</v>
      </c>
      <c r="F1714" s="3" t="s">
        <v>9</v>
      </c>
      <c r="G17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14" s="3" t="s">
        <v>233</v>
      </c>
      <c r="I1714" s="3" t="s">
        <v>31</v>
      </c>
      <c r="J1714" s="3" t="s">
        <v>75</v>
      </c>
      <c r="K1714" s="3" t="s">
        <v>33</v>
      </c>
      <c r="L1714" s="3" t="s">
        <v>34</v>
      </c>
      <c r="M1714" s="4">
        <v>798.24</v>
      </c>
    </row>
    <row r="1715">
      <c r="A1715" s="2">
        <v>45560</v>
      </c>
      <c r="B17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5" s="3" t="str">
        <f>YEAR(KMART_DATA[[#This Row],[Date]])&amp;"-"&amp;TEXT(MONTH(KMART_DATA[[#This Row],[Date]]),"00")</f>
        <v>2024-09</v>
      </c>
      <c r="D1715" s="3" t="s">
        <v>28</v>
      </c>
      <c r="E1715" s="3" t="s">
        <v>141</v>
      </c>
      <c r="F1715" s="3" t="s">
        <v>9</v>
      </c>
      <c r="G17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15" s="3" t="s">
        <v>142</v>
      </c>
      <c r="I1715" s="3" t="s">
        <v>31</v>
      </c>
      <c r="J1715" s="3" t="s">
        <v>107</v>
      </c>
      <c r="K1715" s="3" t="s">
        <v>57</v>
      </c>
      <c r="L1715" s="3" t="s">
        <v>58</v>
      </c>
      <c r="M1715" s="4">
        <v>5.99</v>
      </c>
    </row>
    <row r="1716">
      <c r="A1716" s="2">
        <v>45560</v>
      </c>
      <c r="B17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6" s="3" t="str">
        <f>YEAR(KMART_DATA[[#This Row],[Date]])&amp;"-"&amp;TEXT(MONTH(KMART_DATA[[#This Row],[Date]]),"00")</f>
        <v>2024-09</v>
      </c>
      <c r="D1716" s="3" t="s">
        <v>28</v>
      </c>
      <c r="E1716" s="3" t="s">
        <v>150</v>
      </c>
      <c r="F1716" s="3" t="s">
        <v>15</v>
      </c>
      <c r="G17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716" s="3" t="s">
        <v>151</v>
      </c>
      <c r="I1716" s="3" t="s">
        <v>31</v>
      </c>
      <c r="J1716" s="3" t="s">
        <v>53</v>
      </c>
      <c r="K1716" s="3" t="s">
        <v>43</v>
      </c>
      <c r="L1716" s="3" t="s">
        <v>44</v>
      </c>
      <c r="M1716" s="4">
        <v>142.9</v>
      </c>
    </row>
    <row r="1717">
      <c r="A1717" s="2">
        <v>45560</v>
      </c>
      <c r="B17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7" s="3" t="str">
        <f>YEAR(KMART_DATA[[#This Row],[Date]])&amp;"-"&amp;TEXT(MONTH(KMART_DATA[[#This Row],[Date]]),"00")</f>
        <v>2024-09</v>
      </c>
      <c r="D1717" s="3" t="s">
        <v>45</v>
      </c>
      <c r="E1717" s="3" t="s">
        <v>250</v>
      </c>
      <c r="F1717" s="3" t="s">
        <v>10</v>
      </c>
      <c r="G17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17" s="3" t="s">
        <v>251</v>
      </c>
      <c r="I1717" s="3" t="s">
        <v>31</v>
      </c>
      <c r="J1717" s="3" t="s">
        <v>37</v>
      </c>
      <c r="K1717" s="3" t="s">
        <v>33</v>
      </c>
      <c r="L1717" s="3" t="s">
        <v>34</v>
      </c>
      <c r="M1717" s="4">
        <v>217.45</v>
      </c>
    </row>
    <row r="1718">
      <c r="A1718" s="2">
        <v>45560</v>
      </c>
      <c r="B17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8" s="3" t="str">
        <f>YEAR(KMART_DATA[[#This Row],[Date]])&amp;"-"&amp;TEXT(MONTH(KMART_DATA[[#This Row],[Date]]),"00")</f>
        <v>2024-09</v>
      </c>
      <c r="D1718" s="3" t="s">
        <v>28</v>
      </c>
      <c r="E1718" s="3" t="s">
        <v>203</v>
      </c>
      <c r="F1718" s="3" t="s">
        <v>10</v>
      </c>
      <c r="G17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18" s="3" t="s">
        <v>204</v>
      </c>
      <c r="I1718" s="3" t="s">
        <v>31</v>
      </c>
      <c r="J1718" s="3" t="s">
        <v>89</v>
      </c>
      <c r="K1718" s="3" t="s">
        <v>43</v>
      </c>
      <c r="L1718" s="3" t="s">
        <v>44</v>
      </c>
      <c r="M1718" s="4">
        <v>653.3</v>
      </c>
    </row>
    <row r="1719">
      <c r="A1719" s="2">
        <v>45561</v>
      </c>
      <c r="B17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19" s="3" t="str">
        <f>YEAR(KMART_DATA[[#This Row],[Date]])&amp;"-"&amp;TEXT(MONTH(KMART_DATA[[#This Row],[Date]]),"00")</f>
        <v>2024-09</v>
      </c>
      <c r="D1719" s="3" t="s">
        <v>28</v>
      </c>
      <c r="E1719" s="3" t="s">
        <v>197</v>
      </c>
      <c r="F1719" s="3" t="s">
        <v>9</v>
      </c>
      <c r="G17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19" s="3" t="s">
        <v>198</v>
      </c>
      <c r="I1719" s="3" t="s">
        <v>31</v>
      </c>
      <c r="J1719" s="3" t="s">
        <v>107</v>
      </c>
      <c r="K1719" s="3" t="s">
        <v>43</v>
      </c>
      <c r="L1719" s="3" t="s">
        <v>44</v>
      </c>
      <c r="M1719" s="4">
        <v>33.97</v>
      </c>
    </row>
    <row r="1720">
      <c r="A1720" s="2">
        <v>45561</v>
      </c>
      <c r="B17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0" s="3" t="str">
        <f>YEAR(KMART_DATA[[#This Row],[Date]])&amp;"-"&amp;TEXT(MONTH(KMART_DATA[[#This Row],[Date]]),"00")</f>
        <v>2024-09</v>
      </c>
      <c r="D1720" s="3" t="s">
        <v>28</v>
      </c>
      <c r="E1720" s="3" t="s">
        <v>148</v>
      </c>
      <c r="F1720" s="3" t="s">
        <v>12</v>
      </c>
      <c r="G17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20" s="3" t="s">
        <v>149</v>
      </c>
      <c r="I1720" s="3" t="s">
        <v>31</v>
      </c>
      <c r="J1720" s="3" t="s">
        <v>50</v>
      </c>
      <c r="K1720" s="3" t="s">
        <v>57</v>
      </c>
      <c r="L1720" s="3" t="s">
        <v>58</v>
      </c>
      <c r="M1720" s="4">
        <v>89.97</v>
      </c>
    </row>
    <row r="1721">
      <c r="A1721" s="2">
        <v>45561</v>
      </c>
      <c r="B17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1" s="3" t="str">
        <f>YEAR(KMART_DATA[[#This Row],[Date]])&amp;"-"&amp;TEXT(MONTH(KMART_DATA[[#This Row],[Date]]),"00")</f>
        <v>2024-09</v>
      </c>
      <c r="D1721" s="3" t="s">
        <v>28</v>
      </c>
      <c r="E1721" s="3" t="s">
        <v>150</v>
      </c>
      <c r="F1721" s="3" t="s">
        <v>15</v>
      </c>
      <c r="G17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721" s="3" t="s">
        <v>151</v>
      </c>
      <c r="I1721" s="3" t="s">
        <v>31</v>
      </c>
      <c r="J1721" s="3" t="s">
        <v>53</v>
      </c>
      <c r="K1721" s="3" t="s">
        <v>43</v>
      </c>
      <c r="L1721" s="3" t="s">
        <v>44</v>
      </c>
      <c r="M1721" s="4">
        <v>110.22</v>
      </c>
    </row>
    <row r="1722">
      <c r="A1722" s="2">
        <v>45561</v>
      </c>
      <c r="B17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2" s="3" t="str">
        <f>YEAR(KMART_DATA[[#This Row],[Date]])&amp;"-"&amp;TEXT(MONTH(KMART_DATA[[#This Row],[Date]]),"00")</f>
        <v>2024-09</v>
      </c>
      <c r="D1722" s="3" t="s">
        <v>45</v>
      </c>
      <c r="E1722" s="3" t="s">
        <v>156</v>
      </c>
      <c r="F1722" s="3" t="s">
        <v>9</v>
      </c>
      <c r="G17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22" s="3" t="s">
        <v>157</v>
      </c>
      <c r="I1722" s="3" t="s">
        <v>31</v>
      </c>
      <c r="J1722" s="3" t="s">
        <v>75</v>
      </c>
      <c r="K1722" s="3" t="s">
        <v>71</v>
      </c>
      <c r="L1722" s="3" t="s">
        <v>72</v>
      </c>
      <c r="M1722" s="4">
        <v>279.0</v>
      </c>
    </row>
    <row r="1723">
      <c r="A1723" s="2">
        <v>45561</v>
      </c>
      <c r="B17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3" s="3" t="str">
        <f>YEAR(KMART_DATA[[#This Row],[Date]])&amp;"-"&amp;TEXT(MONTH(KMART_DATA[[#This Row],[Date]]),"00")</f>
        <v>2024-09</v>
      </c>
      <c r="D1723" s="3" t="s">
        <v>28</v>
      </c>
      <c r="E1723" s="3" t="s">
        <v>76</v>
      </c>
      <c r="F1723" s="3" t="s">
        <v>11</v>
      </c>
      <c r="G17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23" s="3" t="s">
        <v>77</v>
      </c>
      <c r="I1723" s="3" t="s">
        <v>31</v>
      </c>
      <c r="J1723" s="3" t="s">
        <v>78</v>
      </c>
      <c r="K1723" s="3" t="s">
        <v>43</v>
      </c>
      <c r="L1723" s="3" t="s">
        <v>44</v>
      </c>
      <c r="M1723" s="4">
        <v>321.62</v>
      </c>
    </row>
    <row r="1724">
      <c r="A1724" s="2">
        <v>45561</v>
      </c>
      <c r="B17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4" s="3" t="str">
        <f>YEAR(KMART_DATA[[#This Row],[Date]])&amp;"-"&amp;TEXT(MONTH(KMART_DATA[[#This Row],[Date]]),"00")</f>
        <v>2024-09</v>
      </c>
      <c r="D1724" s="3" t="s">
        <v>28</v>
      </c>
      <c r="E1724" s="3" t="s">
        <v>256</v>
      </c>
      <c r="F1724" s="3" t="s">
        <v>9</v>
      </c>
      <c r="G17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24" s="3" t="s">
        <v>257</v>
      </c>
      <c r="I1724" s="3" t="s">
        <v>31</v>
      </c>
      <c r="J1724" s="3" t="s">
        <v>70</v>
      </c>
      <c r="K1724" s="3" t="s">
        <v>43</v>
      </c>
      <c r="L1724" s="3" t="s">
        <v>44</v>
      </c>
      <c r="M1724" s="4">
        <v>364.22</v>
      </c>
    </row>
    <row r="1725">
      <c r="A1725" s="2">
        <v>45561</v>
      </c>
      <c r="B17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5" s="3" t="str">
        <f>YEAR(KMART_DATA[[#This Row],[Date]])&amp;"-"&amp;TEXT(MONTH(KMART_DATA[[#This Row],[Date]]),"00")</f>
        <v>2024-09</v>
      </c>
      <c r="D1725" s="3" t="s">
        <v>28</v>
      </c>
      <c r="E1725" s="3" t="s">
        <v>150</v>
      </c>
      <c r="F1725" s="3" t="s">
        <v>15</v>
      </c>
      <c r="G17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725" s="3" t="s">
        <v>151</v>
      </c>
      <c r="I1725" s="3" t="s">
        <v>31</v>
      </c>
      <c r="J1725" s="3" t="s">
        <v>53</v>
      </c>
      <c r="K1725" s="3" t="s">
        <v>71</v>
      </c>
      <c r="L1725" s="3" t="s">
        <v>72</v>
      </c>
      <c r="M1725" s="4">
        <v>442.94</v>
      </c>
    </row>
    <row r="1726">
      <c r="A1726" s="2">
        <v>45561</v>
      </c>
      <c r="B17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6" s="3" t="str">
        <f>YEAR(KMART_DATA[[#This Row],[Date]])&amp;"-"&amp;TEXT(MONTH(KMART_DATA[[#This Row],[Date]]),"00")</f>
        <v>2024-09</v>
      </c>
      <c r="D1726" s="3" t="s">
        <v>28</v>
      </c>
      <c r="E1726" s="3" t="s">
        <v>183</v>
      </c>
      <c r="F1726" s="3" t="s">
        <v>9</v>
      </c>
      <c r="G17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26" s="3" t="s">
        <v>184</v>
      </c>
      <c r="I1726" s="3" t="s">
        <v>31</v>
      </c>
      <c r="J1726" s="3" t="s">
        <v>70</v>
      </c>
      <c r="K1726" s="3" t="s">
        <v>71</v>
      </c>
      <c r="L1726" s="3" t="s">
        <v>72</v>
      </c>
      <c r="M1726" s="4">
        <v>759.59</v>
      </c>
    </row>
    <row r="1727">
      <c r="A1727" s="2">
        <v>45562</v>
      </c>
      <c r="B17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7" s="3" t="str">
        <f>YEAR(KMART_DATA[[#This Row],[Date]])&amp;"-"&amp;TEXT(MONTH(KMART_DATA[[#This Row],[Date]]),"00")</f>
        <v>2024-09</v>
      </c>
      <c r="D1727" s="3" t="s">
        <v>28</v>
      </c>
      <c r="E1727" s="3" t="s">
        <v>35</v>
      </c>
      <c r="F1727" s="3" t="s">
        <v>10</v>
      </c>
      <c r="G17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27" s="3" t="s">
        <v>36</v>
      </c>
      <c r="I1727" s="3" t="s">
        <v>31</v>
      </c>
      <c r="J1727" s="3" t="s">
        <v>37</v>
      </c>
      <c r="K1727" s="3" t="s">
        <v>43</v>
      </c>
      <c r="L1727" s="3" t="s">
        <v>44</v>
      </c>
      <c r="M1727" s="4">
        <v>45.49</v>
      </c>
    </row>
    <row r="1728">
      <c r="A1728" s="2">
        <v>45562</v>
      </c>
      <c r="B17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8" s="3" t="str">
        <f>YEAR(KMART_DATA[[#This Row],[Date]])&amp;"-"&amp;TEXT(MONTH(KMART_DATA[[#This Row],[Date]]),"00")</f>
        <v>2024-09</v>
      </c>
      <c r="D1728" s="3" t="s">
        <v>28</v>
      </c>
      <c r="E1728" s="3" t="s">
        <v>127</v>
      </c>
      <c r="F1728" s="3" t="s">
        <v>11</v>
      </c>
      <c r="G17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28" s="3" t="s">
        <v>128</v>
      </c>
      <c r="I1728" s="3" t="s">
        <v>31</v>
      </c>
      <c r="J1728" s="3" t="s">
        <v>78</v>
      </c>
      <c r="K1728" s="3" t="s">
        <v>46</v>
      </c>
      <c r="L1728" s="3" t="s">
        <v>47</v>
      </c>
      <c r="M1728" s="4">
        <v>244.92</v>
      </c>
    </row>
    <row r="1729">
      <c r="A1729" s="2">
        <v>45562</v>
      </c>
      <c r="B17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29" s="3" t="str">
        <f>YEAR(KMART_DATA[[#This Row],[Date]])&amp;"-"&amp;TEXT(MONTH(KMART_DATA[[#This Row],[Date]]),"00")</f>
        <v>2024-09</v>
      </c>
      <c r="D1729" s="3" t="s">
        <v>28</v>
      </c>
      <c r="E1729" s="3" t="s">
        <v>137</v>
      </c>
      <c r="F1729" s="3" t="s">
        <v>10</v>
      </c>
      <c r="G17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29" s="3" t="s">
        <v>138</v>
      </c>
      <c r="I1729" s="3" t="s">
        <v>31</v>
      </c>
      <c r="J1729" s="3" t="s">
        <v>89</v>
      </c>
      <c r="K1729" s="3" t="s">
        <v>95</v>
      </c>
      <c r="L1729" s="3" t="s">
        <v>96</v>
      </c>
      <c r="M1729" s="4">
        <v>715.37</v>
      </c>
    </row>
    <row r="1730">
      <c r="A1730" s="2">
        <v>45562</v>
      </c>
      <c r="B17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0" s="3" t="str">
        <f>YEAR(KMART_DATA[[#This Row],[Date]])&amp;"-"&amp;TEXT(MONTH(KMART_DATA[[#This Row],[Date]]),"00")</f>
        <v>2024-09</v>
      </c>
      <c r="D1730" s="3" t="s">
        <v>28</v>
      </c>
      <c r="E1730" s="3" t="s">
        <v>87</v>
      </c>
      <c r="F1730" s="3" t="s">
        <v>10</v>
      </c>
      <c r="G17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30" s="3" t="s">
        <v>88</v>
      </c>
      <c r="I1730" s="3" t="s">
        <v>31</v>
      </c>
      <c r="J1730" s="3" t="s">
        <v>89</v>
      </c>
      <c r="K1730" s="3" t="s">
        <v>123</v>
      </c>
      <c r="L1730" s="3" t="s">
        <v>124</v>
      </c>
      <c r="M1730" s="4">
        <v>791.57</v>
      </c>
    </row>
    <row r="1731">
      <c r="A1731" s="2">
        <v>45563</v>
      </c>
      <c r="B17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1" s="3" t="str">
        <f>YEAR(KMART_DATA[[#This Row],[Date]])&amp;"-"&amp;TEXT(MONTH(KMART_DATA[[#This Row],[Date]]),"00")</f>
        <v>2024-09</v>
      </c>
      <c r="D1731" s="3" t="s">
        <v>28</v>
      </c>
      <c r="E1731" s="3" t="s">
        <v>62</v>
      </c>
      <c r="F1731" s="3" t="s">
        <v>12</v>
      </c>
      <c r="G17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31" s="3" t="s">
        <v>63</v>
      </c>
      <c r="I1731" s="3" t="s">
        <v>31</v>
      </c>
      <c r="J1731" s="3" t="s">
        <v>50</v>
      </c>
      <c r="K1731" s="3" t="s">
        <v>43</v>
      </c>
      <c r="L1731" s="3" t="s">
        <v>44</v>
      </c>
      <c r="M1731" s="4">
        <v>12.52</v>
      </c>
    </row>
    <row r="1732">
      <c r="A1732" s="2">
        <v>45563</v>
      </c>
      <c r="B17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2" s="3" t="str">
        <f>YEAR(KMART_DATA[[#This Row],[Date]])&amp;"-"&amp;TEXT(MONTH(KMART_DATA[[#This Row],[Date]]),"00")</f>
        <v>2024-09</v>
      </c>
      <c r="D1732" s="3" t="s">
        <v>45</v>
      </c>
      <c r="E1732" s="3" t="s">
        <v>201</v>
      </c>
      <c r="F1732" s="3" t="s">
        <v>10</v>
      </c>
      <c r="G17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32" s="3" t="s">
        <v>202</v>
      </c>
      <c r="I1732" s="3" t="s">
        <v>31</v>
      </c>
      <c r="J1732" s="3" t="s">
        <v>89</v>
      </c>
      <c r="K1732" s="3" t="s">
        <v>123</v>
      </c>
      <c r="L1732" s="3" t="s">
        <v>124</v>
      </c>
      <c r="M1732" s="4">
        <v>73.59</v>
      </c>
    </row>
    <row r="1733">
      <c r="A1733" s="2">
        <v>45563</v>
      </c>
      <c r="B17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3" s="3" t="str">
        <f>YEAR(KMART_DATA[[#This Row],[Date]])&amp;"-"&amp;TEXT(MONTH(KMART_DATA[[#This Row],[Date]]),"00")</f>
        <v>2024-09</v>
      </c>
      <c r="D1733" s="3" t="s">
        <v>28</v>
      </c>
      <c r="E1733" s="3" t="s">
        <v>199</v>
      </c>
      <c r="F1733" s="3" t="s">
        <v>13</v>
      </c>
      <c r="G17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733" s="3" t="s">
        <v>200</v>
      </c>
      <c r="I1733" s="3" t="s">
        <v>31</v>
      </c>
      <c r="J1733" s="3" t="s">
        <v>42</v>
      </c>
      <c r="K1733" s="3" t="s">
        <v>38</v>
      </c>
      <c r="L1733" s="3" t="s">
        <v>39</v>
      </c>
      <c r="M1733" s="4">
        <v>74.79</v>
      </c>
    </row>
    <row r="1734">
      <c r="A1734" s="2">
        <v>45563</v>
      </c>
      <c r="B17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4" s="3" t="str">
        <f>YEAR(KMART_DATA[[#This Row],[Date]])&amp;"-"&amp;TEXT(MONTH(KMART_DATA[[#This Row],[Date]]),"00")</f>
        <v>2024-09</v>
      </c>
      <c r="D1734" s="3" t="s">
        <v>28</v>
      </c>
      <c r="E1734" s="3" t="s">
        <v>211</v>
      </c>
      <c r="F1734" s="3" t="s">
        <v>9</v>
      </c>
      <c r="G17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34" s="3" t="s">
        <v>212</v>
      </c>
      <c r="I1734" s="3" t="s">
        <v>31</v>
      </c>
      <c r="J1734" s="3" t="s">
        <v>75</v>
      </c>
      <c r="K1734" s="3" t="s">
        <v>33</v>
      </c>
      <c r="L1734" s="3" t="s">
        <v>34</v>
      </c>
      <c r="M1734" s="4">
        <v>847.17</v>
      </c>
    </row>
    <row r="1735">
      <c r="A1735" s="2">
        <v>45563</v>
      </c>
      <c r="B17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5" s="3" t="str">
        <f>YEAR(KMART_DATA[[#This Row],[Date]])&amp;"-"&amp;TEXT(MONTH(KMART_DATA[[#This Row],[Date]]),"00")</f>
        <v>2024-09</v>
      </c>
      <c r="D1735" s="3" t="s">
        <v>28</v>
      </c>
      <c r="E1735" s="3" t="s">
        <v>250</v>
      </c>
      <c r="F1735" s="3" t="s">
        <v>10</v>
      </c>
      <c r="G17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35" s="3" t="s">
        <v>251</v>
      </c>
      <c r="I1735" s="3" t="s">
        <v>31</v>
      </c>
      <c r="J1735" s="3" t="s">
        <v>37</v>
      </c>
      <c r="K1735" s="3" t="s">
        <v>71</v>
      </c>
      <c r="L1735" s="3" t="s">
        <v>72</v>
      </c>
      <c r="M1735" s="4">
        <v>1448.89</v>
      </c>
    </row>
    <row r="1736">
      <c r="A1736" s="2">
        <v>45563</v>
      </c>
      <c r="B17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6" s="3" t="str">
        <f>YEAR(KMART_DATA[[#This Row],[Date]])&amp;"-"&amp;TEXT(MONTH(KMART_DATA[[#This Row],[Date]]),"00")</f>
        <v>2024-09</v>
      </c>
      <c r="D1736" s="3" t="s">
        <v>28</v>
      </c>
      <c r="E1736" s="3" t="s">
        <v>154</v>
      </c>
      <c r="F1736" s="3" t="s">
        <v>11</v>
      </c>
      <c r="G17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36" s="3" t="s">
        <v>155</v>
      </c>
      <c r="I1736" s="3" t="s">
        <v>31</v>
      </c>
      <c r="J1736" s="3" t="s">
        <v>84</v>
      </c>
      <c r="K1736" s="3" t="s">
        <v>33</v>
      </c>
      <c r="L1736" s="3" t="s">
        <v>34</v>
      </c>
      <c r="M1736" s="4">
        <v>1893.1</v>
      </c>
    </row>
    <row r="1737">
      <c r="A1737" s="2">
        <v>45563</v>
      </c>
      <c r="B17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7" s="3" t="str">
        <f>YEAR(KMART_DATA[[#This Row],[Date]])&amp;"-"&amp;TEXT(MONTH(KMART_DATA[[#This Row],[Date]]),"00")</f>
        <v>2024-09</v>
      </c>
      <c r="D1737" s="3" t="s">
        <v>28</v>
      </c>
      <c r="E1737" s="3" t="s">
        <v>131</v>
      </c>
      <c r="F1737" s="3" t="s">
        <v>11</v>
      </c>
      <c r="G17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37" s="3" t="s">
        <v>132</v>
      </c>
      <c r="I1737" s="3" t="s">
        <v>31</v>
      </c>
      <c r="J1737" s="3" t="s">
        <v>32</v>
      </c>
      <c r="K1737" s="3" t="s">
        <v>71</v>
      </c>
      <c r="L1737" s="3" t="s">
        <v>72</v>
      </c>
      <c r="M1737" s="4">
        <v>2275.0</v>
      </c>
    </row>
    <row r="1738">
      <c r="A1738" s="2">
        <v>45564</v>
      </c>
      <c r="B17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8" s="3" t="str">
        <f>YEAR(KMART_DATA[[#This Row],[Date]])&amp;"-"&amp;TEXT(MONTH(KMART_DATA[[#This Row],[Date]]),"00")</f>
        <v>2024-09</v>
      </c>
      <c r="D1738" s="3" t="s">
        <v>28</v>
      </c>
      <c r="E1738" s="3" t="s">
        <v>152</v>
      </c>
      <c r="F1738" s="3" t="s">
        <v>11</v>
      </c>
      <c r="G17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38" s="3" t="s">
        <v>153</v>
      </c>
      <c r="I1738" s="3" t="s">
        <v>31</v>
      </c>
      <c r="J1738" s="3" t="s">
        <v>61</v>
      </c>
      <c r="K1738" s="3" t="s">
        <v>43</v>
      </c>
      <c r="L1738" s="3" t="s">
        <v>44</v>
      </c>
      <c r="M1738" s="4">
        <v>49.94</v>
      </c>
    </row>
    <row r="1739">
      <c r="A1739" s="2">
        <v>45564</v>
      </c>
      <c r="B17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39" s="3" t="str">
        <f>YEAR(KMART_DATA[[#This Row],[Date]])&amp;"-"&amp;TEXT(MONTH(KMART_DATA[[#This Row],[Date]]),"00")</f>
        <v>2024-09</v>
      </c>
      <c r="D1739" s="3" t="s">
        <v>28</v>
      </c>
      <c r="E1739" s="3" t="s">
        <v>90</v>
      </c>
      <c r="F1739" s="3" t="s">
        <v>10</v>
      </c>
      <c r="G17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39" s="3" t="s">
        <v>91</v>
      </c>
      <c r="I1739" s="3" t="s">
        <v>31</v>
      </c>
      <c r="J1739" s="3" t="s">
        <v>37</v>
      </c>
      <c r="K1739" s="3" t="s">
        <v>66</v>
      </c>
      <c r="L1739" s="3" t="s">
        <v>67</v>
      </c>
      <c r="M1739" s="4">
        <v>146.48</v>
      </c>
    </row>
    <row r="1740">
      <c r="A1740" s="2">
        <v>45564</v>
      </c>
      <c r="B17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0" s="3" t="str">
        <f>YEAR(KMART_DATA[[#This Row],[Date]])&amp;"-"&amp;TEXT(MONTH(KMART_DATA[[#This Row],[Date]]),"00")</f>
        <v>2024-09</v>
      </c>
      <c r="D1740" s="3" t="s">
        <v>45</v>
      </c>
      <c r="E1740" s="3" t="s">
        <v>116</v>
      </c>
      <c r="F1740" s="3" t="s">
        <v>9</v>
      </c>
      <c r="G17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40" s="3" t="s">
        <v>117</v>
      </c>
      <c r="I1740" s="3" t="s">
        <v>31</v>
      </c>
      <c r="J1740" s="3" t="s">
        <v>70</v>
      </c>
      <c r="K1740" s="3" t="s">
        <v>57</v>
      </c>
      <c r="L1740" s="3" t="s">
        <v>58</v>
      </c>
      <c r="M1740" s="4">
        <v>154.84</v>
      </c>
    </row>
    <row r="1741">
      <c r="A1741" s="2">
        <v>45564</v>
      </c>
      <c r="B17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1" s="3" t="str">
        <f>YEAR(KMART_DATA[[#This Row],[Date]])&amp;"-"&amp;TEXT(MONTH(KMART_DATA[[#This Row],[Date]]),"00")</f>
        <v>2024-09</v>
      </c>
      <c r="D1741" s="3" t="s">
        <v>28</v>
      </c>
      <c r="E1741" s="3" t="s">
        <v>54</v>
      </c>
      <c r="F1741" s="3" t="s">
        <v>11</v>
      </c>
      <c r="G17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41" s="3" t="s">
        <v>55</v>
      </c>
      <c r="I1741" s="3" t="s">
        <v>31</v>
      </c>
      <c r="J1741" s="3" t="s">
        <v>56</v>
      </c>
      <c r="K1741" s="3" t="s">
        <v>33</v>
      </c>
      <c r="L1741" s="3" t="s">
        <v>34</v>
      </c>
      <c r="M1741" s="4">
        <v>214.07</v>
      </c>
    </row>
    <row r="1742">
      <c r="A1742" s="2">
        <v>45564</v>
      </c>
      <c r="B17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2" s="3" t="str">
        <f>YEAR(KMART_DATA[[#This Row],[Date]])&amp;"-"&amp;TEXT(MONTH(KMART_DATA[[#This Row],[Date]]),"00")</f>
        <v>2024-09</v>
      </c>
      <c r="D1742" s="3" t="s">
        <v>28</v>
      </c>
      <c r="E1742" s="3" t="s">
        <v>193</v>
      </c>
      <c r="F1742" s="3" t="s">
        <v>9</v>
      </c>
      <c r="G17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42" s="3" t="s">
        <v>194</v>
      </c>
      <c r="I1742" s="3" t="s">
        <v>31</v>
      </c>
      <c r="J1742" s="3" t="s">
        <v>99</v>
      </c>
      <c r="K1742" s="3" t="s">
        <v>43</v>
      </c>
      <c r="L1742" s="3" t="s">
        <v>44</v>
      </c>
      <c r="M1742" s="4">
        <v>233.83</v>
      </c>
    </row>
    <row r="1743">
      <c r="A1743" s="2">
        <v>45564</v>
      </c>
      <c r="B17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3" s="3" t="str">
        <f>YEAR(KMART_DATA[[#This Row],[Date]])&amp;"-"&amp;TEXT(MONTH(KMART_DATA[[#This Row],[Date]]),"00")</f>
        <v>2024-09</v>
      </c>
      <c r="D1743" s="3" t="s">
        <v>45</v>
      </c>
      <c r="E1743" s="3" t="s">
        <v>256</v>
      </c>
      <c r="F1743" s="3" t="s">
        <v>9</v>
      </c>
      <c r="G17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43" s="3" t="s">
        <v>257</v>
      </c>
      <c r="I1743" s="3" t="s">
        <v>31</v>
      </c>
      <c r="J1743" s="3" t="s">
        <v>70</v>
      </c>
      <c r="K1743" s="3" t="s">
        <v>123</v>
      </c>
      <c r="L1743" s="3" t="s">
        <v>124</v>
      </c>
      <c r="M1743" s="4">
        <v>1810.51</v>
      </c>
    </row>
    <row r="1744">
      <c r="A1744" s="2">
        <v>45565</v>
      </c>
      <c r="B17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4" s="3" t="str">
        <f>YEAR(KMART_DATA[[#This Row],[Date]])&amp;"-"&amp;TEXT(MONTH(KMART_DATA[[#This Row],[Date]]),"00")</f>
        <v>2024-09</v>
      </c>
      <c r="D1744" s="3" t="s">
        <v>28</v>
      </c>
      <c r="E1744" s="3" t="s">
        <v>129</v>
      </c>
      <c r="F1744" s="3" t="s">
        <v>10</v>
      </c>
      <c r="G17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44" s="3" t="s">
        <v>130</v>
      </c>
      <c r="I1744" s="3" t="s">
        <v>31</v>
      </c>
      <c r="J1744" s="3" t="s">
        <v>120</v>
      </c>
      <c r="K1744" s="3" t="s">
        <v>38</v>
      </c>
      <c r="L1744" s="3" t="s">
        <v>39</v>
      </c>
      <c r="M1744" s="4">
        <v>40.73</v>
      </c>
    </row>
    <row r="1745">
      <c r="A1745" s="2">
        <v>45565</v>
      </c>
      <c r="B17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5" s="3" t="str">
        <f>YEAR(KMART_DATA[[#This Row],[Date]])&amp;"-"&amp;TEXT(MONTH(KMART_DATA[[#This Row],[Date]]),"00")</f>
        <v>2024-09</v>
      </c>
      <c r="D1745" s="3" t="s">
        <v>28</v>
      </c>
      <c r="E1745" s="3" t="s">
        <v>90</v>
      </c>
      <c r="F1745" s="3" t="s">
        <v>10</v>
      </c>
      <c r="G17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45" s="3" t="s">
        <v>91</v>
      </c>
      <c r="I1745" s="3" t="s">
        <v>31</v>
      </c>
      <c r="J1745" s="3" t="s">
        <v>37</v>
      </c>
      <c r="K1745" s="3" t="s">
        <v>43</v>
      </c>
      <c r="L1745" s="3" t="s">
        <v>44</v>
      </c>
      <c r="M1745" s="4">
        <v>53.91</v>
      </c>
    </row>
    <row r="1746">
      <c r="A1746" s="2">
        <v>45565</v>
      </c>
      <c r="B17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6" s="3" t="str">
        <f>YEAR(KMART_DATA[[#This Row],[Date]])&amp;"-"&amp;TEXT(MONTH(KMART_DATA[[#This Row],[Date]]),"00")</f>
        <v>2024-09</v>
      </c>
      <c r="D1746" s="3" t="s">
        <v>45</v>
      </c>
      <c r="E1746" s="3" t="s">
        <v>135</v>
      </c>
      <c r="F1746" s="3" t="s">
        <v>16</v>
      </c>
      <c r="G17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746" s="3" t="s">
        <v>136</v>
      </c>
      <c r="I1746" s="3" t="s">
        <v>31</v>
      </c>
      <c r="J1746" s="3" t="s">
        <v>107</v>
      </c>
      <c r="K1746" s="3" t="s">
        <v>38</v>
      </c>
      <c r="L1746" s="3" t="s">
        <v>39</v>
      </c>
      <c r="M1746" s="4">
        <v>148.78</v>
      </c>
    </row>
    <row r="1747">
      <c r="A1747" s="2">
        <v>45565</v>
      </c>
      <c r="B17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7" s="3" t="str">
        <f>YEAR(KMART_DATA[[#This Row],[Date]])&amp;"-"&amp;TEXT(MONTH(KMART_DATA[[#This Row],[Date]]),"00")</f>
        <v>2024-09</v>
      </c>
      <c r="D1747" s="3" t="s">
        <v>28</v>
      </c>
      <c r="E1747" s="3" t="s">
        <v>238</v>
      </c>
      <c r="F1747" s="3" t="s">
        <v>13</v>
      </c>
      <c r="G17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747" s="3" t="s">
        <v>239</v>
      </c>
      <c r="I1747" s="3" t="s">
        <v>31</v>
      </c>
      <c r="J1747" s="3" t="s">
        <v>42</v>
      </c>
      <c r="K1747" s="3" t="s">
        <v>71</v>
      </c>
      <c r="L1747" s="3" t="s">
        <v>72</v>
      </c>
      <c r="M1747" s="4">
        <v>286.69</v>
      </c>
    </row>
    <row r="1748">
      <c r="A1748" s="2">
        <v>45565</v>
      </c>
      <c r="B17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8" s="3" t="str">
        <f>YEAR(KMART_DATA[[#This Row],[Date]])&amp;"-"&amp;TEXT(MONTH(KMART_DATA[[#This Row],[Date]]),"00")</f>
        <v>2024-09</v>
      </c>
      <c r="D1748" s="3" t="s">
        <v>28</v>
      </c>
      <c r="E1748" s="3" t="s">
        <v>219</v>
      </c>
      <c r="F1748" s="3" t="s">
        <v>11</v>
      </c>
      <c r="G17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48" s="3" t="s">
        <v>220</v>
      </c>
      <c r="I1748" s="3" t="s">
        <v>31</v>
      </c>
      <c r="J1748" s="3" t="s">
        <v>56</v>
      </c>
      <c r="K1748" s="3" t="s">
        <v>57</v>
      </c>
      <c r="L1748" s="3" t="s">
        <v>58</v>
      </c>
      <c r="M1748" s="4">
        <v>5454.29</v>
      </c>
    </row>
    <row r="1749">
      <c r="A1749" s="2">
        <v>45566</v>
      </c>
      <c r="B17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49" s="3" t="str">
        <f>YEAR(KMART_DATA[[#This Row],[Date]])&amp;"-"&amp;TEXT(MONTH(KMART_DATA[[#This Row],[Date]]),"00")</f>
        <v>2024-10</v>
      </c>
      <c r="D1749" s="3" t="s">
        <v>28</v>
      </c>
      <c r="E1749" s="3" t="s">
        <v>219</v>
      </c>
      <c r="F1749" s="3" t="s">
        <v>11</v>
      </c>
      <c r="G17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49" s="3" t="s">
        <v>220</v>
      </c>
      <c r="I1749" s="3" t="s">
        <v>31</v>
      </c>
      <c r="J1749" s="3" t="s">
        <v>56</v>
      </c>
      <c r="K1749" s="3" t="s">
        <v>95</v>
      </c>
      <c r="L1749" s="3" t="s">
        <v>96</v>
      </c>
      <c r="M1749" s="4">
        <v>1.0</v>
      </c>
    </row>
    <row r="1750">
      <c r="A1750" s="2">
        <v>45566</v>
      </c>
      <c r="B17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0" s="3" t="str">
        <f>YEAR(KMART_DATA[[#This Row],[Date]])&amp;"-"&amp;TEXT(MONTH(KMART_DATA[[#This Row],[Date]]),"00")</f>
        <v>2024-10</v>
      </c>
      <c r="D1750" s="3" t="s">
        <v>28</v>
      </c>
      <c r="E1750" s="3" t="s">
        <v>129</v>
      </c>
      <c r="F1750" s="3" t="s">
        <v>10</v>
      </c>
      <c r="G17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50" s="3" t="s">
        <v>130</v>
      </c>
      <c r="I1750" s="3" t="s">
        <v>31</v>
      </c>
      <c r="J1750" s="3" t="s">
        <v>120</v>
      </c>
      <c r="K1750" s="3" t="s">
        <v>123</v>
      </c>
      <c r="L1750" s="3" t="s">
        <v>124</v>
      </c>
      <c r="M1750" s="4">
        <v>35.91</v>
      </c>
    </row>
    <row r="1751">
      <c r="A1751" s="2">
        <v>45566</v>
      </c>
      <c r="B17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1" s="3" t="str">
        <f>YEAR(KMART_DATA[[#This Row],[Date]])&amp;"-"&amp;TEXT(MONTH(KMART_DATA[[#This Row],[Date]]),"00")</f>
        <v>2024-10</v>
      </c>
      <c r="D1751" s="3" t="s">
        <v>45</v>
      </c>
      <c r="E1751" s="3" t="s">
        <v>125</v>
      </c>
      <c r="F1751" s="3" t="s">
        <v>10</v>
      </c>
      <c r="G17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51" s="3" t="s">
        <v>126</v>
      </c>
      <c r="I1751" s="3" t="s">
        <v>31</v>
      </c>
      <c r="J1751" s="3" t="s">
        <v>94</v>
      </c>
      <c r="K1751" s="3" t="s">
        <v>43</v>
      </c>
      <c r="L1751" s="3" t="s">
        <v>44</v>
      </c>
      <c r="M1751" s="4">
        <v>62.35</v>
      </c>
    </row>
    <row r="1752">
      <c r="A1752" s="2">
        <v>45566</v>
      </c>
      <c r="B17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2" s="3" t="str">
        <f>YEAR(KMART_DATA[[#This Row],[Date]])&amp;"-"&amp;TEXT(MONTH(KMART_DATA[[#This Row],[Date]]),"00")</f>
        <v>2024-10</v>
      </c>
      <c r="D1752" s="3" t="s">
        <v>45</v>
      </c>
      <c r="E1752" s="3" t="s">
        <v>131</v>
      </c>
      <c r="F1752" s="3" t="s">
        <v>11</v>
      </c>
      <c r="G17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52" s="3" t="s">
        <v>132</v>
      </c>
      <c r="I1752" s="3" t="s">
        <v>31</v>
      </c>
      <c r="J1752" s="3" t="s">
        <v>32</v>
      </c>
      <c r="K1752" s="3" t="s">
        <v>46</v>
      </c>
      <c r="L1752" s="3" t="s">
        <v>47</v>
      </c>
      <c r="M1752" s="4">
        <v>77.94</v>
      </c>
    </row>
    <row r="1753">
      <c r="A1753" s="2">
        <v>45566</v>
      </c>
      <c r="B17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3" s="3" t="str">
        <f>YEAR(KMART_DATA[[#This Row],[Date]])&amp;"-"&amp;TEXT(MONTH(KMART_DATA[[#This Row],[Date]]),"00")</f>
        <v>2024-10</v>
      </c>
      <c r="D1753" s="3" t="s">
        <v>45</v>
      </c>
      <c r="E1753" s="3" t="s">
        <v>131</v>
      </c>
      <c r="F1753" s="3" t="s">
        <v>11</v>
      </c>
      <c r="G17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53" s="3" t="s">
        <v>132</v>
      </c>
      <c r="I1753" s="3" t="s">
        <v>31</v>
      </c>
      <c r="J1753" s="3" t="s">
        <v>32</v>
      </c>
      <c r="K1753" s="3" t="s">
        <v>123</v>
      </c>
      <c r="L1753" s="3" t="s">
        <v>124</v>
      </c>
      <c r="M1753" s="4">
        <v>93.81</v>
      </c>
    </row>
    <row r="1754">
      <c r="A1754" s="2">
        <v>45566</v>
      </c>
      <c r="B17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4" s="3" t="str">
        <f>YEAR(KMART_DATA[[#This Row],[Date]])&amp;"-"&amp;TEXT(MONTH(KMART_DATA[[#This Row],[Date]]),"00")</f>
        <v>2024-10</v>
      </c>
      <c r="D1754" s="3" t="s">
        <v>28</v>
      </c>
      <c r="E1754" s="3" t="s">
        <v>252</v>
      </c>
      <c r="F1754" s="3" t="s">
        <v>10</v>
      </c>
      <c r="G17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54" s="3" t="s">
        <v>253</v>
      </c>
      <c r="I1754" s="3" t="s">
        <v>31</v>
      </c>
      <c r="J1754" s="3" t="s">
        <v>94</v>
      </c>
      <c r="K1754" s="3" t="s">
        <v>57</v>
      </c>
      <c r="L1754" s="3" t="s">
        <v>58</v>
      </c>
      <c r="M1754" s="4">
        <v>764.92</v>
      </c>
    </row>
    <row r="1755">
      <c r="A1755" s="2">
        <v>45566</v>
      </c>
      <c r="B17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5" s="3" t="str">
        <f>YEAR(KMART_DATA[[#This Row],[Date]])&amp;"-"&amp;TEXT(MONTH(KMART_DATA[[#This Row],[Date]]),"00")</f>
        <v>2024-10</v>
      </c>
      <c r="D1755" s="3" t="s">
        <v>28</v>
      </c>
      <c r="E1755" s="3" t="s">
        <v>193</v>
      </c>
      <c r="F1755" s="3" t="s">
        <v>9</v>
      </c>
      <c r="G17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55" s="3" t="s">
        <v>194</v>
      </c>
      <c r="I1755" s="3" t="s">
        <v>31</v>
      </c>
      <c r="J1755" s="3" t="s">
        <v>99</v>
      </c>
      <c r="K1755" s="3" t="s">
        <v>71</v>
      </c>
      <c r="L1755" s="3" t="s">
        <v>72</v>
      </c>
      <c r="M1755" s="4">
        <v>1322.81</v>
      </c>
    </row>
    <row r="1756">
      <c r="A1756" s="2">
        <v>45567</v>
      </c>
      <c r="B17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6" s="3" t="str">
        <f>YEAR(KMART_DATA[[#This Row],[Date]])&amp;"-"&amp;TEXT(MONTH(KMART_DATA[[#This Row],[Date]]),"00")</f>
        <v>2024-10</v>
      </c>
      <c r="D1756" s="3" t="s">
        <v>28</v>
      </c>
      <c r="E1756" s="3" t="s">
        <v>171</v>
      </c>
      <c r="F1756" s="3" t="s">
        <v>10</v>
      </c>
      <c r="G17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56" s="3" t="s">
        <v>172</v>
      </c>
      <c r="I1756" s="3" t="s">
        <v>31</v>
      </c>
      <c r="J1756" s="3" t="s">
        <v>37</v>
      </c>
      <c r="K1756" s="3" t="s">
        <v>46</v>
      </c>
      <c r="L1756" s="3" t="s">
        <v>47</v>
      </c>
      <c r="M1756" s="4">
        <v>1.5</v>
      </c>
    </row>
    <row r="1757">
      <c r="A1757" s="2">
        <v>45567</v>
      </c>
      <c r="B17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7" s="3" t="str">
        <f>YEAR(KMART_DATA[[#This Row],[Date]])&amp;"-"&amp;TEXT(MONTH(KMART_DATA[[#This Row],[Date]]),"00")</f>
        <v>2024-10</v>
      </c>
      <c r="D1757" s="3" t="s">
        <v>28</v>
      </c>
      <c r="E1757" s="3" t="s">
        <v>158</v>
      </c>
      <c r="F1757" s="3" t="s">
        <v>11</v>
      </c>
      <c r="G17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57" s="3" t="s">
        <v>159</v>
      </c>
      <c r="I1757" s="3" t="s">
        <v>31</v>
      </c>
      <c r="J1757" s="3" t="s">
        <v>84</v>
      </c>
      <c r="K1757" s="3" t="s">
        <v>112</v>
      </c>
      <c r="L1757" s="3" t="s">
        <v>113</v>
      </c>
      <c r="M1757" s="4">
        <v>9.98</v>
      </c>
    </row>
    <row r="1758">
      <c r="A1758" s="2">
        <v>45567</v>
      </c>
      <c r="B17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8" s="3" t="str">
        <f>YEAR(KMART_DATA[[#This Row],[Date]])&amp;"-"&amp;TEXT(MONTH(KMART_DATA[[#This Row],[Date]]),"00")</f>
        <v>2024-10</v>
      </c>
      <c r="D1758" s="3" t="s">
        <v>45</v>
      </c>
      <c r="E1758" s="3" t="s">
        <v>236</v>
      </c>
      <c r="F1758" s="3" t="s">
        <v>12</v>
      </c>
      <c r="G17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58" s="3" t="s">
        <v>237</v>
      </c>
      <c r="I1758" s="3" t="s">
        <v>31</v>
      </c>
      <c r="J1758" s="3" t="s">
        <v>102</v>
      </c>
      <c r="K1758" s="3" t="s">
        <v>112</v>
      </c>
      <c r="L1758" s="3" t="s">
        <v>113</v>
      </c>
      <c r="M1758" s="4">
        <v>14.98</v>
      </c>
    </row>
    <row r="1759">
      <c r="A1759" s="2">
        <v>45567</v>
      </c>
      <c r="B17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59" s="3" t="str">
        <f>YEAR(KMART_DATA[[#This Row],[Date]])&amp;"-"&amp;TEXT(MONTH(KMART_DATA[[#This Row],[Date]]),"00")</f>
        <v>2024-10</v>
      </c>
      <c r="D1759" s="3" t="s">
        <v>45</v>
      </c>
      <c r="E1759" s="3" t="s">
        <v>244</v>
      </c>
      <c r="F1759" s="3" t="s">
        <v>13</v>
      </c>
      <c r="G17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759" s="3" t="s">
        <v>245</v>
      </c>
      <c r="I1759" s="3" t="s">
        <v>31</v>
      </c>
      <c r="J1759" s="3" t="s">
        <v>42</v>
      </c>
      <c r="K1759" s="3" t="s">
        <v>38</v>
      </c>
      <c r="L1759" s="3" t="s">
        <v>39</v>
      </c>
      <c r="M1759" s="4">
        <v>95.04</v>
      </c>
    </row>
    <row r="1760">
      <c r="A1760" s="2">
        <v>45567</v>
      </c>
      <c r="B17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0" s="3" t="str">
        <f>YEAR(KMART_DATA[[#This Row],[Date]])&amp;"-"&amp;TEXT(MONTH(KMART_DATA[[#This Row],[Date]]),"00")</f>
        <v>2024-10</v>
      </c>
      <c r="D1760" s="3" t="s">
        <v>45</v>
      </c>
      <c r="E1760" s="3" t="s">
        <v>79</v>
      </c>
      <c r="F1760" s="3" t="s">
        <v>9</v>
      </c>
      <c r="G17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60" s="3" t="s">
        <v>80</v>
      </c>
      <c r="I1760" s="3" t="s">
        <v>31</v>
      </c>
      <c r="J1760" s="3" t="s">
        <v>81</v>
      </c>
      <c r="K1760" s="3" t="s">
        <v>43</v>
      </c>
      <c r="L1760" s="3" t="s">
        <v>44</v>
      </c>
      <c r="M1760" s="4">
        <v>167.13</v>
      </c>
    </row>
    <row r="1761">
      <c r="A1761" s="2">
        <v>45567</v>
      </c>
      <c r="B17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1" s="3" t="str">
        <f>YEAR(KMART_DATA[[#This Row],[Date]])&amp;"-"&amp;TEXT(MONTH(KMART_DATA[[#This Row],[Date]]),"00")</f>
        <v>2024-10</v>
      </c>
      <c r="D1761" s="3" t="s">
        <v>45</v>
      </c>
      <c r="E1761" s="3" t="s">
        <v>103</v>
      </c>
      <c r="F1761" s="3" t="s">
        <v>12</v>
      </c>
      <c r="G17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61" s="3" t="s">
        <v>104</v>
      </c>
      <c r="I1761" s="3" t="s">
        <v>31</v>
      </c>
      <c r="J1761" s="3" t="s">
        <v>102</v>
      </c>
      <c r="K1761" s="3" t="s">
        <v>43</v>
      </c>
      <c r="L1761" s="3" t="s">
        <v>44</v>
      </c>
      <c r="M1761" s="4">
        <v>177.91</v>
      </c>
    </row>
    <row r="1762">
      <c r="A1762" s="2">
        <v>45567</v>
      </c>
      <c r="B17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2" s="3" t="str">
        <f>YEAR(KMART_DATA[[#This Row],[Date]])&amp;"-"&amp;TEXT(MONTH(KMART_DATA[[#This Row],[Date]]),"00")</f>
        <v>2024-10</v>
      </c>
      <c r="D1762" s="3" t="s">
        <v>28</v>
      </c>
      <c r="E1762" s="3" t="s">
        <v>163</v>
      </c>
      <c r="F1762" s="3" t="s">
        <v>9</v>
      </c>
      <c r="G17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62" s="3" t="s">
        <v>164</v>
      </c>
      <c r="I1762" s="3" t="s">
        <v>31</v>
      </c>
      <c r="J1762" s="3" t="s">
        <v>81</v>
      </c>
      <c r="K1762" s="3" t="s">
        <v>95</v>
      </c>
      <c r="L1762" s="3" t="s">
        <v>96</v>
      </c>
      <c r="M1762" s="4">
        <v>6492.49</v>
      </c>
    </row>
    <row r="1763">
      <c r="A1763" s="2">
        <v>45568</v>
      </c>
      <c r="B17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3" s="3" t="str">
        <f>YEAR(KMART_DATA[[#This Row],[Date]])&amp;"-"&amp;TEXT(MONTH(KMART_DATA[[#This Row],[Date]]),"00")</f>
        <v>2024-10</v>
      </c>
      <c r="D1763" s="3" t="s">
        <v>45</v>
      </c>
      <c r="E1763" s="3" t="s">
        <v>167</v>
      </c>
      <c r="F1763" s="3" t="s">
        <v>12</v>
      </c>
      <c r="G17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63" s="3" t="s">
        <v>168</v>
      </c>
      <c r="I1763" s="3" t="s">
        <v>31</v>
      </c>
      <c r="J1763" s="3" t="s">
        <v>102</v>
      </c>
      <c r="K1763" s="3" t="s">
        <v>43</v>
      </c>
      <c r="L1763" s="3" t="s">
        <v>44</v>
      </c>
      <c r="M1763" s="4">
        <v>1.0</v>
      </c>
    </row>
    <row r="1764">
      <c r="A1764" s="2">
        <v>45568</v>
      </c>
      <c r="B17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4" s="3" t="str">
        <f>YEAR(KMART_DATA[[#This Row],[Date]])&amp;"-"&amp;TEXT(MONTH(KMART_DATA[[#This Row],[Date]]),"00")</f>
        <v>2024-10</v>
      </c>
      <c r="D1764" s="3" t="s">
        <v>28</v>
      </c>
      <c r="E1764" s="3" t="s">
        <v>183</v>
      </c>
      <c r="F1764" s="3" t="s">
        <v>9</v>
      </c>
      <c r="G17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64" s="3" t="s">
        <v>184</v>
      </c>
      <c r="I1764" s="3" t="s">
        <v>31</v>
      </c>
      <c r="J1764" s="3" t="s">
        <v>70</v>
      </c>
      <c r="K1764" s="3" t="s">
        <v>95</v>
      </c>
      <c r="L1764" s="3" t="s">
        <v>96</v>
      </c>
      <c r="M1764" s="4">
        <v>10.65</v>
      </c>
    </row>
    <row r="1765">
      <c r="A1765" s="2">
        <v>45568</v>
      </c>
      <c r="B17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5" s="3" t="str">
        <f>YEAR(KMART_DATA[[#This Row],[Date]])&amp;"-"&amp;TEXT(MONTH(KMART_DATA[[#This Row],[Date]]),"00")</f>
        <v>2024-10</v>
      </c>
      <c r="D1765" s="3" t="s">
        <v>28</v>
      </c>
      <c r="E1765" s="3" t="s">
        <v>148</v>
      </c>
      <c r="F1765" s="3" t="s">
        <v>12</v>
      </c>
      <c r="G17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65" s="3" t="s">
        <v>149</v>
      </c>
      <c r="I1765" s="3" t="s">
        <v>31</v>
      </c>
      <c r="J1765" s="3" t="s">
        <v>50</v>
      </c>
      <c r="K1765" s="3" t="s">
        <v>33</v>
      </c>
      <c r="L1765" s="3" t="s">
        <v>34</v>
      </c>
      <c r="M1765" s="4">
        <v>13.96</v>
      </c>
    </row>
    <row r="1766">
      <c r="A1766" s="2">
        <v>45568</v>
      </c>
      <c r="B17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6" s="3" t="str">
        <f>YEAR(KMART_DATA[[#This Row],[Date]])&amp;"-"&amp;TEXT(MONTH(KMART_DATA[[#This Row],[Date]]),"00")</f>
        <v>2024-10</v>
      </c>
      <c r="D1766" s="3" t="s">
        <v>28</v>
      </c>
      <c r="E1766" s="3" t="s">
        <v>207</v>
      </c>
      <c r="F1766" s="3" t="s">
        <v>11</v>
      </c>
      <c r="G17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66" s="3" t="s">
        <v>208</v>
      </c>
      <c r="I1766" s="3" t="s">
        <v>31</v>
      </c>
      <c r="J1766" s="3" t="s">
        <v>78</v>
      </c>
      <c r="K1766" s="3" t="s">
        <v>43</v>
      </c>
      <c r="L1766" s="3" t="s">
        <v>44</v>
      </c>
      <c r="M1766" s="4">
        <v>36.0</v>
      </c>
    </row>
    <row r="1767">
      <c r="A1767" s="2">
        <v>45568</v>
      </c>
      <c r="B17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7" s="3" t="str">
        <f>YEAR(KMART_DATA[[#This Row],[Date]])&amp;"-"&amp;TEXT(MONTH(KMART_DATA[[#This Row],[Date]]),"00")</f>
        <v>2024-10</v>
      </c>
      <c r="D1767" s="3" t="s">
        <v>28</v>
      </c>
      <c r="E1767" s="3" t="s">
        <v>100</v>
      </c>
      <c r="F1767" s="3" t="s">
        <v>12</v>
      </c>
      <c r="G17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67" s="3" t="s">
        <v>101</v>
      </c>
      <c r="I1767" s="3" t="s">
        <v>31</v>
      </c>
      <c r="J1767" s="3" t="s">
        <v>102</v>
      </c>
      <c r="K1767" s="3" t="s">
        <v>38</v>
      </c>
      <c r="L1767" s="3" t="s">
        <v>39</v>
      </c>
      <c r="M1767" s="4">
        <v>47.92</v>
      </c>
    </row>
    <row r="1768">
      <c r="A1768" s="2">
        <v>45568</v>
      </c>
      <c r="B17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8" s="3" t="str">
        <f>YEAR(KMART_DATA[[#This Row],[Date]])&amp;"-"&amp;TEXT(MONTH(KMART_DATA[[#This Row],[Date]]),"00")</f>
        <v>2024-10</v>
      </c>
      <c r="D1768" s="3" t="s">
        <v>28</v>
      </c>
      <c r="E1768" s="3" t="s">
        <v>230</v>
      </c>
      <c r="F1768" s="3" t="s">
        <v>13</v>
      </c>
      <c r="G17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768" s="3" t="s">
        <v>231</v>
      </c>
      <c r="I1768" s="3" t="s">
        <v>31</v>
      </c>
      <c r="J1768" s="3" t="s">
        <v>227</v>
      </c>
      <c r="K1768" s="3" t="s">
        <v>71</v>
      </c>
      <c r="L1768" s="3" t="s">
        <v>72</v>
      </c>
      <c r="M1768" s="4">
        <v>163.15</v>
      </c>
    </row>
    <row r="1769">
      <c r="A1769" s="2">
        <v>45568</v>
      </c>
      <c r="B17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69" s="3" t="str">
        <f>YEAR(KMART_DATA[[#This Row],[Date]])&amp;"-"&amp;TEXT(MONTH(KMART_DATA[[#This Row],[Date]]),"00")</f>
        <v>2024-10</v>
      </c>
      <c r="D1769" s="3" t="s">
        <v>28</v>
      </c>
      <c r="E1769" s="3" t="s">
        <v>40</v>
      </c>
      <c r="F1769" s="3" t="s">
        <v>13</v>
      </c>
      <c r="G17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769" s="3" t="s">
        <v>41</v>
      </c>
      <c r="I1769" s="3" t="s">
        <v>31</v>
      </c>
      <c r="J1769" s="3" t="s">
        <v>42</v>
      </c>
      <c r="K1769" s="3" t="s">
        <v>95</v>
      </c>
      <c r="L1769" s="3" t="s">
        <v>96</v>
      </c>
      <c r="M1769" s="4">
        <v>1100.41</v>
      </c>
    </row>
    <row r="1770">
      <c r="A1770" s="2">
        <v>45568</v>
      </c>
      <c r="B17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0" s="3" t="str">
        <f>YEAR(KMART_DATA[[#This Row],[Date]])&amp;"-"&amp;TEXT(MONTH(KMART_DATA[[#This Row],[Date]]),"00")</f>
        <v>2024-10</v>
      </c>
      <c r="D1770" s="3" t="s">
        <v>28</v>
      </c>
      <c r="E1770" s="3" t="s">
        <v>246</v>
      </c>
      <c r="F1770" s="3" t="s">
        <v>10</v>
      </c>
      <c r="G17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70" s="3" t="s">
        <v>247</v>
      </c>
      <c r="I1770" s="3" t="s">
        <v>31</v>
      </c>
      <c r="J1770" s="3" t="s">
        <v>37</v>
      </c>
      <c r="K1770" s="3" t="s">
        <v>46</v>
      </c>
      <c r="L1770" s="3" t="s">
        <v>47</v>
      </c>
      <c r="M1770" s="4">
        <v>1298.93</v>
      </c>
    </row>
    <row r="1771">
      <c r="A1771" s="2">
        <v>45569</v>
      </c>
      <c r="B17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1" s="3" t="str">
        <f>YEAR(KMART_DATA[[#This Row],[Date]])&amp;"-"&amp;TEXT(MONTH(KMART_DATA[[#This Row],[Date]]),"00")</f>
        <v>2024-10</v>
      </c>
      <c r="D1771" s="3" t="s">
        <v>28</v>
      </c>
      <c r="E1771" s="3" t="s">
        <v>187</v>
      </c>
      <c r="F1771" s="3" t="s">
        <v>11</v>
      </c>
      <c r="G17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71" s="3" t="s">
        <v>188</v>
      </c>
      <c r="I1771" s="3" t="s">
        <v>31</v>
      </c>
      <c r="J1771" s="3" t="s">
        <v>78</v>
      </c>
      <c r="K1771" s="3" t="s">
        <v>46</v>
      </c>
      <c r="L1771" s="3" t="s">
        <v>47</v>
      </c>
      <c r="M1771" s="4">
        <v>2.0</v>
      </c>
    </row>
    <row r="1772">
      <c r="A1772" s="2">
        <v>45569</v>
      </c>
      <c r="B17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2" s="3" t="str">
        <f>YEAR(KMART_DATA[[#This Row],[Date]])&amp;"-"&amp;TEXT(MONTH(KMART_DATA[[#This Row],[Date]]),"00")</f>
        <v>2024-10</v>
      </c>
      <c r="D1772" s="3" t="s">
        <v>45</v>
      </c>
      <c r="E1772" s="3" t="s">
        <v>97</v>
      </c>
      <c r="F1772" s="3" t="s">
        <v>9</v>
      </c>
      <c r="G17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72" s="3" t="s">
        <v>98</v>
      </c>
      <c r="I1772" s="3" t="s">
        <v>31</v>
      </c>
      <c r="J1772" s="3" t="s">
        <v>99</v>
      </c>
      <c r="K1772" s="3" t="s">
        <v>46</v>
      </c>
      <c r="L1772" s="3" t="s">
        <v>47</v>
      </c>
      <c r="M1772" s="4">
        <v>3.99</v>
      </c>
    </row>
    <row r="1773">
      <c r="A1773" s="2">
        <v>45569</v>
      </c>
      <c r="B17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3" s="3" t="str">
        <f>YEAR(KMART_DATA[[#This Row],[Date]])&amp;"-"&amp;TEXT(MONTH(KMART_DATA[[#This Row],[Date]]),"00")</f>
        <v>2024-10</v>
      </c>
      <c r="D1773" s="3" t="s">
        <v>28</v>
      </c>
      <c r="E1773" s="3" t="s">
        <v>105</v>
      </c>
      <c r="F1773" s="3" t="s">
        <v>9</v>
      </c>
      <c r="G17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73" s="3" t="s">
        <v>106</v>
      </c>
      <c r="I1773" s="3" t="s">
        <v>31</v>
      </c>
      <c r="J1773" s="3" t="s">
        <v>107</v>
      </c>
      <c r="K1773" s="3" t="s">
        <v>95</v>
      </c>
      <c r="L1773" s="3" t="s">
        <v>96</v>
      </c>
      <c r="M1773" s="4">
        <v>27.72</v>
      </c>
    </row>
    <row r="1774">
      <c r="A1774" s="2">
        <v>45569</v>
      </c>
      <c r="B17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4" s="3" t="str">
        <f>YEAR(KMART_DATA[[#This Row],[Date]])&amp;"-"&amp;TEXT(MONTH(KMART_DATA[[#This Row],[Date]]),"00")</f>
        <v>2024-10</v>
      </c>
      <c r="D1774" s="3" t="s">
        <v>28</v>
      </c>
      <c r="E1774" s="3" t="s">
        <v>240</v>
      </c>
      <c r="F1774" s="3" t="s">
        <v>15</v>
      </c>
      <c r="G17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774" s="3" t="s">
        <v>241</v>
      </c>
      <c r="I1774" s="3" t="s">
        <v>31</v>
      </c>
      <c r="J1774" s="3" t="s">
        <v>53</v>
      </c>
      <c r="K1774" s="3" t="s">
        <v>43</v>
      </c>
      <c r="L1774" s="3" t="s">
        <v>44</v>
      </c>
      <c r="M1774" s="4">
        <v>60.0</v>
      </c>
    </row>
    <row r="1775">
      <c r="A1775" s="2">
        <v>45569</v>
      </c>
      <c r="B17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5" s="3" t="str">
        <f>YEAR(KMART_DATA[[#This Row],[Date]])&amp;"-"&amp;TEXT(MONTH(KMART_DATA[[#This Row],[Date]]),"00")</f>
        <v>2024-10</v>
      </c>
      <c r="D1775" s="3" t="s">
        <v>28</v>
      </c>
      <c r="E1775" s="3" t="s">
        <v>108</v>
      </c>
      <c r="F1775" s="3" t="s">
        <v>9</v>
      </c>
      <c r="G17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75" s="3" t="s">
        <v>109</v>
      </c>
      <c r="I1775" s="3" t="s">
        <v>31</v>
      </c>
      <c r="J1775" s="3" t="s">
        <v>75</v>
      </c>
      <c r="K1775" s="3" t="s">
        <v>38</v>
      </c>
      <c r="L1775" s="3" t="s">
        <v>39</v>
      </c>
      <c r="M1775" s="4">
        <v>541.61</v>
      </c>
    </row>
    <row r="1776">
      <c r="A1776" s="2">
        <v>45569</v>
      </c>
      <c r="B17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6" s="3" t="str">
        <f>YEAR(KMART_DATA[[#This Row],[Date]])&amp;"-"&amp;TEXT(MONTH(KMART_DATA[[#This Row],[Date]]),"00")</f>
        <v>2024-10</v>
      </c>
      <c r="D1776" s="3" t="s">
        <v>28</v>
      </c>
      <c r="E1776" s="3" t="s">
        <v>154</v>
      </c>
      <c r="F1776" s="3" t="s">
        <v>11</v>
      </c>
      <c r="G17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76" s="3" t="s">
        <v>155</v>
      </c>
      <c r="I1776" s="3" t="s">
        <v>31</v>
      </c>
      <c r="J1776" s="3" t="s">
        <v>84</v>
      </c>
      <c r="K1776" s="3" t="s">
        <v>38</v>
      </c>
      <c r="L1776" s="3" t="s">
        <v>39</v>
      </c>
      <c r="M1776" s="4">
        <v>568.81</v>
      </c>
    </row>
    <row r="1777">
      <c r="A1777" s="2">
        <v>45569</v>
      </c>
      <c r="B17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7" s="3" t="str">
        <f>YEAR(KMART_DATA[[#This Row],[Date]])&amp;"-"&amp;TEXT(MONTH(KMART_DATA[[#This Row],[Date]]),"00")</f>
        <v>2024-10</v>
      </c>
      <c r="D1777" s="3" t="s">
        <v>45</v>
      </c>
      <c r="E1777" s="3" t="s">
        <v>177</v>
      </c>
      <c r="F1777" s="3" t="s">
        <v>12</v>
      </c>
      <c r="G17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77" s="3" t="s">
        <v>178</v>
      </c>
      <c r="I1777" s="3" t="s">
        <v>31</v>
      </c>
      <c r="J1777" s="3" t="s">
        <v>162</v>
      </c>
      <c r="K1777" s="3" t="s">
        <v>123</v>
      </c>
      <c r="L1777" s="3" t="s">
        <v>124</v>
      </c>
      <c r="M1777" s="4">
        <v>5608.34</v>
      </c>
    </row>
    <row r="1778">
      <c r="A1778" s="2">
        <v>45570</v>
      </c>
      <c r="B17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8" s="3" t="str">
        <f>YEAR(KMART_DATA[[#This Row],[Date]])&amp;"-"&amp;TEXT(MONTH(KMART_DATA[[#This Row],[Date]]),"00")</f>
        <v>2024-10</v>
      </c>
      <c r="D1778" s="3" t="s">
        <v>28</v>
      </c>
      <c r="E1778" s="3" t="s">
        <v>143</v>
      </c>
      <c r="F1778" s="3" t="s">
        <v>14</v>
      </c>
      <c r="G17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778" s="3" t="s">
        <v>144</v>
      </c>
      <c r="I1778" s="3" t="s">
        <v>31</v>
      </c>
      <c r="J1778" s="3" t="s">
        <v>145</v>
      </c>
      <c r="K1778" s="3" t="s">
        <v>38</v>
      </c>
      <c r="L1778" s="3" t="s">
        <v>39</v>
      </c>
      <c r="M1778" s="4">
        <v>41.93</v>
      </c>
    </row>
    <row r="1779">
      <c r="A1779" s="2">
        <v>45570</v>
      </c>
      <c r="B17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79" s="3" t="str">
        <f>YEAR(KMART_DATA[[#This Row],[Date]])&amp;"-"&amp;TEXT(MONTH(KMART_DATA[[#This Row],[Date]]),"00")</f>
        <v>2024-10</v>
      </c>
      <c r="D1779" s="3" t="s">
        <v>45</v>
      </c>
      <c r="E1779" s="3" t="s">
        <v>116</v>
      </c>
      <c r="F1779" s="3" t="s">
        <v>9</v>
      </c>
      <c r="G17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79" s="3" t="s">
        <v>117</v>
      </c>
      <c r="I1779" s="3" t="s">
        <v>31</v>
      </c>
      <c r="J1779" s="3" t="s">
        <v>70</v>
      </c>
      <c r="K1779" s="3" t="s">
        <v>38</v>
      </c>
      <c r="L1779" s="3" t="s">
        <v>39</v>
      </c>
      <c r="M1779" s="4">
        <v>44.33</v>
      </c>
    </row>
    <row r="1780">
      <c r="A1780" s="2">
        <v>45570</v>
      </c>
      <c r="B17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0" s="3" t="str">
        <f>YEAR(KMART_DATA[[#This Row],[Date]])&amp;"-"&amp;TEXT(MONTH(KMART_DATA[[#This Row],[Date]]),"00")</f>
        <v>2024-10</v>
      </c>
      <c r="D1780" s="3" t="s">
        <v>28</v>
      </c>
      <c r="E1780" s="3" t="s">
        <v>240</v>
      </c>
      <c r="F1780" s="3" t="s">
        <v>15</v>
      </c>
      <c r="G17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780" s="3" t="s">
        <v>241</v>
      </c>
      <c r="I1780" s="3" t="s">
        <v>31</v>
      </c>
      <c r="J1780" s="3" t="s">
        <v>53</v>
      </c>
      <c r="K1780" s="3" t="s">
        <v>95</v>
      </c>
      <c r="L1780" s="3" t="s">
        <v>96</v>
      </c>
      <c r="M1780" s="4">
        <v>111.72</v>
      </c>
    </row>
    <row r="1781">
      <c r="A1781" s="2">
        <v>45570</v>
      </c>
      <c r="B17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1" s="3" t="str">
        <f>YEAR(KMART_DATA[[#This Row],[Date]])&amp;"-"&amp;TEXT(MONTH(KMART_DATA[[#This Row],[Date]]),"00")</f>
        <v>2024-10</v>
      </c>
      <c r="D1781" s="3" t="s">
        <v>28</v>
      </c>
      <c r="E1781" s="3" t="s">
        <v>252</v>
      </c>
      <c r="F1781" s="3" t="s">
        <v>10</v>
      </c>
      <c r="G17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81" s="3" t="s">
        <v>253</v>
      </c>
      <c r="I1781" s="3" t="s">
        <v>31</v>
      </c>
      <c r="J1781" s="3" t="s">
        <v>94</v>
      </c>
      <c r="K1781" s="3" t="s">
        <v>33</v>
      </c>
      <c r="L1781" s="3" t="s">
        <v>34</v>
      </c>
      <c r="M1781" s="4">
        <v>261.01</v>
      </c>
    </row>
    <row r="1782">
      <c r="A1782" s="2">
        <v>45570</v>
      </c>
      <c r="B17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2" s="3" t="str">
        <f>YEAR(KMART_DATA[[#This Row],[Date]])&amp;"-"&amp;TEXT(MONTH(KMART_DATA[[#This Row],[Date]]),"00")</f>
        <v>2024-10</v>
      </c>
      <c r="D1782" s="3" t="s">
        <v>45</v>
      </c>
      <c r="E1782" s="3" t="s">
        <v>213</v>
      </c>
      <c r="F1782" s="3" t="s">
        <v>11</v>
      </c>
      <c r="G17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82" s="3" t="s">
        <v>214</v>
      </c>
      <c r="I1782" s="3" t="s">
        <v>31</v>
      </c>
      <c r="J1782" s="3" t="s">
        <v>32</v>
      </c>
      <c r="K1782" s="3" t="s">
        <v>71</v>
      </c>
      <c r="L1782" s="3" t="s">
        <v>72</v>
      </c>
      <c r="M1782" s="4">
        <v>339.77</v>
      </c>
    </row>
    <row r="1783">
      <c r="A1783" s="2">
        <v>45570</v>
      </c>
      <c r="B17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3" s="3" t="str">
        <f>YEAR(KMART_DATA[[#This Row],[Date]])&amp;"-"&amp;TEXT(MONTH(KMART_DATA[[#This Row],[Date]]),"00")</f>
        <v>2024-10</v>
      </c>
      <c r="D1783" s="3" t="s">
        <v>28</v>
      </c>
      <c r="E1783" s="3" t="s">
        <v>205</v>
      </c>
      <c r="F1783" s="3" t="s">
        <v>10</v>
      </c>
      <c r="G17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83" s="3" t="s">
        <v>206</v>
      </c>
      <c r="I1783" s="3" t="s">
        <v>31</v>
      </c>
      <c r="J1783" s="3" t="s">
        <v>37</v>
      </c>
      <c r="K1783" s="3" t="s">
        <v>46</v>
      </c>
      <c r="L1783" s="3" t="s">
        <v>47</v>
      </c>
      <c r="M1783" s="4">
        <v>584.13</v>
      </c>
    </row>
    <row r="1784">
      <c r="A1784" s="2">
        <v>45571</v>
      </c>
      <c r="B17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4" s="3" t="str">
        <f>YEAR(KMART_DATA[[#This Row],[Date]])&amp;"-"&amp;TEXT(MONTH(KMART_DATA[[#This Row],[Date]]),"00")</f>
        <v>2024-10</v>
      </c>
      <c r="D1784" s="3" t="s">
        <v>28</v>
      </c>
      <c r="E1784" s="3" t="s">
        <v>139</v>
      </c>
      <c r="F1784" s="3" t="s">
        <v>10</v>
      </c>
      <c r="G17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84" s="3" t="s">
        <v>140</v>
      </c>
      <c r="I1784" s="3" t="s">
        <v>31</v>
      </c>
      <c r="J1784" s="3" t="s">
        <v>89</v>
      </c>
      <c r="K1784" s="3" t="s">
        <v>38</v>
      </c>
      <c r="L1784" s="3" t="s">
        <v>39</v>
      </c>
      <c r="M1784" s="4">
        <v>41.93</v>
      </c>
    </row>
    <row r="1785">
      <c r="A1785" s="2">
        <v>45571</v>
      </c>
      <c r="B17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5" s="3" t="str">
        <f>YEAR(KMART_DATA[[#This Row],[Date]])&amp;"-"&amp;TEXT(MONTH(KMART_DATA[[#This Row],[Date]]),"00")</f>
        <v>2024-10</v>
      </c>
      <c r="D1785" s="3" t="s">
        <v>45</v>
      </c>
      <c r="E1785" s="3" t="s">
        <v>223</v>
      </c>
      <c r="F1785" s="3" t="s">
        <v>10</v>
      </c>
      <c r="G17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85" s="3" t="s">
        <v>224</v>
      </c>
      <c r="I1785" s="3" t="s">
        <v>31</v>
      </c>
      <c r="J1785" s="3" t="s">
        <v>94</v>
      </c>
      <c r="K1785" s="3" t="s">
        <v>43</v>
      </c>
      <c r="L1785" s="3" t="s">
        <v>44</v>
      </c>
      <c r="M1785" s="4">
        <v>123.86</v>
      </c>
    </row>
    <row r="1786">
      <c r="A1786" s="2">
        <v>45571</v>
      </c>
      <c r="B17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6" s="3" t="str">
        <f>YEAR(KMART_DATA[[#This Row],[Date]])&amp;"-"&amp;TEXT(MONTH(KMART_DATA[[#This Row],[Date]]),"00")</f>
        <v>2024-10</v>
      </c>
      <c r="D1786" s="3" t="s">
        <v>28</v>
      </c>
      <c r="E1786" s="3" t="s">
        <v>116</v>
      </c>
      <c r="F1786" s="3" t="s">
        <v>9</v>
      </c>
      <c r="G17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86" s="3" t="s">
        <v>117</v>
      </c>
      <c r="I1786" s="3" t="s">
        <v>31</v>
      </c>
      <c r="J1786" s="3" t="s">
        <v>70</v>
      </c>
      <c r="K1786" s="3" t="s">
        <v>57</v>
      </c>
      <c r="L1786" s="3" t="s">
        <v>58</v>
      </c>
      <c r="M1786" s="4">
        <v>1268.64</v>
      </c>
    </row>
    <row r="1787">
      <c r="A1787" s="2">
        <v>45572</v>
      </c>
      <c r="B17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7" s="3" t="str">
        <f>YEAR(KMART_DATA[[#This Row],[Date]])&amp;"-"&amp;TEXT(MONTH(KMART_DATA[[#This Row],[Date]]),"00")</f>
        <v>2024-10</v>
      </c>
      <c r="D1787" s="3" t="s">
        <v>28</v>
      </c>
      <c r="E1787" s="3" t="s">
        <v>137</v>
      </c>
      <c r="F1787" s="3" t="s">
        <v>10</v>
      </c>
      <c r="G17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87" s="3" t="s">
        <v>138</v>
      </c>
      <c r="I1787" s="3" t="s">
        <v>31</v>
      </c>
      <c r="J1787" s="3" t="s">
        <v>89</v>
      </c>
      <c r="K1787" s="3" t="s">
        <v>33</v>
      </c>
      <c r="L1787" s="3" t="s">
        <v>34</v>
      </c>
      <c r="M1787" s="4">
        <v>6.0</v>
      </c>
    </row>
    <row r="1788">
      <c r="A1788" s="2">
        <v>45572</v>
      </c>
      <c r="B17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8" s="3" t="str">
        <f>YEAR(KMART_DATA[[#This Row],[Date]])&amp;"-"&amp;TEXT(MONTH(KMART_DATA[[#This Row],[Date]]),"00")</f>
        <v>2024-10</v>
      </c>
      <c r="D1788" s="3" t="s">
        <v>45</v>
      </c>
      <c r="E1788" s="3" t="s">
        <v>103</v>
      </c>
      <c r="F1788" s="3" t="s">
        <v>12</v>
      </c>
      <c r="G17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88" s="3" t="s">
        <v>104</v>
      </c>
      <c r="I1788" s="3" t="s">
        <v>31</v>
      </c>
      <c r="J1788" s="3" t="s">
        <v>102</v>
      </c>
      <c r="K1788" s="3" t="s">
        <v>38</v>
      </c>
      <c r="L1788" s="3" t="s">
        <v>39</v>
      </c>
      <c r="M1788" s="4">
        <v>17.94</v>
      </c>
    </row>
    <row r="1789">
      <c r="A1789" s="2">
        <v>45572</v>
      </c>
      <c r="B17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89" s="3" t="str">
        <f>YEAR(KMART_DATA[[#This Row],[Date]])&amp;"-"&amp;TEXT(MONTH(KMART_DATA[[#This Row],[Date]]),"00")</f>
        <v>2024-10</v>
      </c>
      <c r="D1789" s="3" t="s">
        <v>45</v>
      </c>
      <c r="E1789" s="3" t="s">
        <v>181</v>
      </c>
      <c r="F1789" s="3" t="s">
        <v>11</v>
      </c>
      <c r="G17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89" s="3" t="s">
        <v>182</v>
      </c>
      <c r="I1789" s="3" t="s">
        <v>31</v>
      </c>
      <c r="J1789" s="3" t="s">
        <v>56</v>
      </c>
      <c r="K1789" s="3" t="s">
        <v>46</v>
      </c>
      <c r="L1789" s="3" t="s">
        <v>47</v>
      </c>
      <c r="M1789" s="4">
        <v>27.97</v>
      </c>
    </row>
    <row r="1790">
      <c r="A1790" s="2">
        <v>45572</v>
      </c>
      <c r="B17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0" s="3" t="str">
        <f>YEAR(KMART_DATA[[#This Row],[Date]])&amp;"-"&amp;TEXT(MONTH(KMART_DATA[[#This Row],[Date]]),"00")</f>
        <v>2024-10</v>
      </c>
      <c r="D1790" s="3" t="s">
        <v>45</v>
      </c>
      <c r="E1790" s="3" t="s">
        <v>236</v>
      </c>
      <c r="F1790" s="3" t="s">
        <v>12</v>
      </c>
      <c r="G17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790" s="3" t="s">
        <v>237</v>
      </c>
      <c r="I1790" s="3" t="s">
        <v>31</v>
      </c>
      <c r="J1790" s="3" t="s">
        <v>102</v>
      </c>
      <c r="K1790" s="3" t="s">
        <v>46</v>
      </c>
      <c r="L1790" s="3" t="s">
        <v>47</v>
      </c>
      <c r="M1790" s="4">
        <v>34.74</v>
      </c>
    </row>
    <row r="1791">
      <c r="A1791" s="2">
        <v>45572</v>
      </c>
      <c r="B17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1" s="3" t="str">
        <f>YEAR(KMART_DATA[[#This Row],[Date]])&amp;"-"&amp;TEXT(MONTH(KMART_DATA[[#This Row],[Date]]),"00")</f>
        <v>2024-10</v>
      </c>
      <c r="D1791" s="3" t="s">
        <v>28</v>
      </c>
      <c r="E1791" s="3" t="s">
        <v>193</v>
      </c>
      <c r="F1791" s="3" t="s">
        <v>9</v>
      </c>
      <c r="G17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91" s="3" t="s">
        <v>194</v>
      </c>
      <c r="I1791" s="3" t="s">
        <v>31</v>
      </c>
      <c r="J1791" s="3" t="s">
        <v>99</v>
      </c>
      <c r="K1791" s="3" t="s">
        <v>66</v>
      </c>
      <c r="L1791" s="3" t="s">
        <v>67</v>
      </c>
      <c r="M1791" s="4">
        <v>639.14</v>
      </c>
    </row>
    <row r="1792">
      <c r="A1792" s="2">
        <v>45572</v>
      </c>
      <c r="B17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2" s="3" t="str">
        <f>YEAR(KMART_DATA[[#This Row],[Date]])&amp;"-"&amp;TEXT(MONTH(KMART_DATA[[#This Row],[Date]]),"00")</f>
        <v>2024-10</v>
      </c>
      <c r="D1792" s="3" t="s">
        <v>28</v>
      </c>
      <c r="E1792" s="3" t="s">
        <v>193</v>
      </c>
      <c r="F1792" s="3" t="s">
        <v>9</v>
      </c>
      <c r="G17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92" s="3" t="s">
        <v>194</v>
      </c>
      <c r="I1792" s="3" t="s">
        <v>31</v>
      </c>
      <c r="J1792" s="3" t="s">
        <v>99</v>
      </c>
      <c r="K1792" s="3" t="s">
        <v>57</v>
      </c>
      <c r="L1792" s="3" t="s">
        <v>58</v>
      </c>
      <c r="M1792" s="4">
        <v>2537.39</v>
      </c>
    </row>
    <row r="1793">
      <c r="A1793" s="2">
        <v>45573</v>
      </c>
      <c r="B17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3" s="3" t="str">
        <f>YEAR(KMART_DATA[[#This Row],[Date]])&amp;"-"&amp;TEXT(MONTH(KMART_DATA[[#This Row],[Date]]),"00")</f>
        <v>2024-10</v>
      </c>
      <c r="D1793" s="3" t="s">
        <v>28</v>
      </c>
      <c r="E1793" s="3" t="s">
        <v>179</v>
      </c>
      <c r="F1793" s="3" t="s">
        <v>9</v>
      </c>
      <c r="G17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93" s="3" t="s">
        <v>180</v>
      </c>
      <c r="I1793" s="3" t="s">
        <v>31</v>
      </c>
      <c r="J1793" s="3" t="s">
        <v>99</v>
      </c>
      <c r="K1793" s="3" t="s">
        <v>71</v>
      </c>
      <c r="L1793" s="3" t="s">
        <v>72</v>
      </c>
      <c r="M1793" s="4">
        <v>3.0</v>
      </c>
    </row>
    <row r="1794">
      <c r="A1794" s="2">
        <v>45573</v>
      </c>
      <c r="B17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4" s="3" t="str">
        <f>YEAR(KMART_DATA[[#This Row],[Date]])&amp;"-"&amp;TEXT(MONTH(KMART_DATA[[#This Row],[Date]]),"00")</f>
        <v>2024-10</v>
      </c>
      <c r="D1794" s="3" t="s">
        <v>28</v>
      </c>
      <c r="E1794" s="3" t="s">
        <v>205</v>
      </c>
      <c r="F1794" s="3" t="s">
        <v>10</v>
      </c>
      <c r="G17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94" s="3" t="s">
        <v>206</v>
      </c>
      <c r="I1794" s="3" t="s">
        <v>31</v>
      </c>
      <c r="J1794" s="3" t="s">
        <v>37</v>
      </c>
      <c r="K1794" s="3" t="s">
        <v>43</v>
      </c>
      <c r="L1794" s="3" t="s">
        <v>44</v>
      </c>
      <c r="M1794" s="4">
        <v>9.99</v>
      </c>
    </row>
    <row r="1795">
      <c r="A1795" s="2">
        <v>45573</v>
      </c>
      <c r="B17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5" s="3" t="str">
        <f>YEAR(KMART_DATA[[#This Row],[Date]])&amp;"-"&amp;TEXT(MONTH(KMART_DATA[[#This Row],[Date]]),"00")</f>
        <v>2024-10</v>
      </c>
      <c r="D1795" s="3" t="s">
        <v>45</v>
      </c>
      <c r="E1795" s="3" t="s">
        <v>195</v>
      </c>
      <c r="F1795" s="3" t="s">
        <v>11</v>
      </c>
      <c r="G17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795" s="3" t="s">
        <v>196</v>
      </c>
      <c r="I1795" s="3" t="s">
        <v>31</v>
      </c>
      <c r="J1795" s="3" t="s">
        <v>32</v>
      </c>
      <c r="K1795" s="3" t="s">
        <v>43</v>
      </c>
      <c r="L1795" s="3" t="s">
        <v>44</v>
      </c>
      <c r="M1795" s="4">
        <v>181.85</v>
      </c>
    </row>
    <row r="1796">
      <c r="A1796" s="2">
        <v>45573</v>
      </c>
      <c r="B17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6" s="3" t="str">
        <f>YEAR(KMART_DATA[[#This Row],[Date]])&amp;"-"&amp;TEXT(MONTH(KMART_DATA[[#This Row],[Date]]),"00")</f>
        <v>2024-10</v>
      </c>
      <c r="D1796" s="3" t="s">
        <v>28</v>
      </c>
      <c r="E1796" s="3" t="s">
        <v>258</v>
      </c>
      <c r="F1796" s="3" t="s">
        <v>14</v>
      </c>
      <c r="G17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796" s="3" t="s">
        <v>259</v>
      </c>
      <c r="I1796" s="3" t="s">
        <v>31</v>
      </c>
      <c r="J1796" s="3" t="s">
        <v>145</v>
      </c>
      <c r="K1796" s="3" t="s">
        <v>33</v>
      </c>
      <c r="L1796" s="3" t="s">
        <v>34</v>
      </c>
      <c r="M1796" s="4">
        <v>300.26</v>
      </c>
    </row>
    <row r="1797">
      <c r="A1797" s="2">
        <v>45573</v>
      </c>
      <c r="B17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7" s="3" t="str">
        <f>YEAR(KMART_DATA[[#This Row],[Date]])&amp;"-"&amp;TEXT(MONTH(KMART_DATA[[#This Row],[Date]]),"00")</f>
        <v>2024-10</v>
      </c>
      <c r="D1797" s="3" t="s">
        <v>28</v>
      </c>
      <c r="E1797" s="3" t="s">
        <v>252</v>
      </c>
      <c r="F1797" s="3" t="s">
        <v>10</v>
      </c>
      <c r="G17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97" s="3" t="s">
        <v>253</v>
      </c>
      <c r="I1797" s="3" t="s">
        <v>31</v>
      </c>
      <c r="J1797" s="3" t="s">
        <v>94</v>
      </c>
      <c r="K1797" s="3" t="s">
        <v>33</v>
      </c>
      <c r="L1797" s="3" t="s">
        <v>34</v>
      </c>
      <c r="M1797" s="4">
        <v>975.37</v>
      </c>
    </row>
    <row r="1798">
      <c r="A1798" s="2">
        <v>45573</v>
      </c>
      <c r="B17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8" s="3" t="str">
        <f>YEAR(KMART_DATA[[#This Row],[Date]])&amp;"-"&amp;TEXT(MONTH(KMART_DATA[[#This Row],[Date]]),"00")</f>
        <v>2024-10</v>
      </c>
      <c r="D1798" s="3" t="s">
        <v>28</v>
      </c>
      <c r="E1798" s="3" t="s">
        <v>246</v>
      </c>
      <c r="F1798" s="3" t="s">
        <v>10</v>
      </c>
      <c r="G17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798" s="3" t="s">
        <v>247</v>
      </c>
      <c r="I1798" s="3" t="s">
        <v>31</v>
      </c>
      <c r="J1798" s="3" t="s">
        <v>37</v>
      </c>
      <c r="K1798" s="3" t="s">
        <v>46</v>
      </c>
      <c r="L1798" s="3" t="s">
        <v>47</v>
      </c>
      <c r="M1798" s="4">
        <v>4887.8</v>
      </c>
    </row>
    <row r="1799">
      <c r="A1799" s="2">
        <v>45574</v>
      </c>
      <c r="B17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799" s="3" t="str">
        <f>YEAR(KMART_DATA[[#This Row],[Date]])&amp;"-"&amp;TEXT(MONTH(KMART_DATA[[#This Row],[Date]]),"00")</f>
        <v>2024-10</v>
      </c>
      <c r="D1799" s="3" t="s">
        <v>28</v>
      </c>
      <c r="E1799" s="3" t="s">
        <v>97</v>
      </c>
      <c r="F1799" s="3" t="s">
        <v>9</v>
      </c>
      <c r="G17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799" s="3" t="s">
        <v>98</v>
      </c>
      <c r="I1799" s="3" t="s">
        <v>31</v>
      </c>
      <c r="J1799" s="3" t="s">
        <v>99</v>
      </c>
      <c r="K1799" s="3" t="s">
        <v>46</v>
      </c>
      <c r="L1799" s="3" t="s">
        <v>47</v>
      </c>
      <c r="M1799" s="4">
        <v>1.0</v>
      </c>
    </row>
    <row r="1800">
      <c r="A1800" s="2">
        <v>45574</v>
      </c>
      <c r="B18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0" s="3" t="str">
        <f>YEAR(KMART_DATA[[#This Row],[Date]])&amp;"-"&amp;TEXT(MONTH(KMART_DATA[[#This Row],[Date]]),"00")</f>
        <v>2024-10</v>
      </c>
      <c r="D1800" s="3" t="s">
        <v>28</v>
      </c>
      <c r="E1800" s="3" t="s">
        <v>185</v>
      </c>
      <c r="F1800" s="3" t="s">
        <v>12</v>
      </c>
      <c r="G18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00" s="3" t="s">
        <v>186</v>
      </c>
      <c r="I1800" s="3" t="s">
        <v>31</v>
      </c>
      <c r="J1800" s="3" t="s">
        <v>162</v>
      </c>
      <c r="K1800" s="3" t="s">
        <v>43</v>
      </c>
      <c r="L1800" s="3" t="s">
        <v>44</v>
      </c>
      <c r="M1800" s="4">
        <v>8.5</v>
      </c>
    </row>
    <row r="1801">
      <c r="A1801" s="2">
        <v>45574</v>
      </c>
      <c r="B18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1" s="3" t="str">
        <f>YEAR(KMART_DATA[[#This Row],[Date]])&amp;"-"&amp;TEXT(MONTH(KMART_DATA[[#This Row],[Date]]),"00")</f>
        <v>2024-10</v>
      </c>
      <c r="D1801" s="3" t="s">
        <v>28</v>
      </c>
      <c r="E1801" s="3" t="s">
        <v>68</v>
      </c>
      <c r="F1801" s="3" t="s">
        <v>9</v>
      </c>
      <c r="G18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01" s="3" t="s">
        <v>69</v>
      </c>
      <c r="I1801" s="3" t="s">
        <v>31</v>
      </c>
      <c r="J1801" s="3" t="s">
        <v>70</v>
      </c>
      <c r="K1801" s="3" t="s">
        <v>33</v>
      </c>
      <c r="L1801" s="3" t="s">
        <v>34</v>
      </c>
      <c r="M1801" s="4">
        <v>17.83</v>
      </c>
    </row>
    <row r="1802">
      <c r="A1802" s="2">
        <v>45574</v>
      </c>
      <c r="B18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2" s="3" t="str">
        <f>YEAR(KMART_DATA[[#This Row],[Date]])&amp;"-"&amp;TEXT(MONTH(KMART_DATA[[#This Row],[Date]]),"00")</f>
        <v>2024-10</v>
      </c>
      <c r="D1802" s="3" t="s">
        <v>28</v>
      </c>
      <c r="E1802" s="3" t="s">
        <v>209</v>
      </c>
      <c r="F1802" s="3" t="s">
        <v>9</v>
      </c>
      <c r="G18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02" s="3" t="s">
        <v>210</v>
      </c>
      <c r="I1802" s="3" t="s">
        <v>31</v>
      </c>
      <c r="J1802" s="3" t="s">
        <v>81</v>
      </c>
      <c r="K1802" s="3" t="s">
        <v>95</v>
      </c>
      <c r="L1802" s="3" t="s">
        <v>96</v>
      </c>
      <c r="M1802" s="4">
        <v>275.64</v>
      </c>
    </row>
    <row r="1803">
      <c r="A1803" s="2">
        <v>45574</v>
      </c>
      <c r="B18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3" s="3" t="str">
        <f>YEAR(KMART_DATA[[#This Row],[Date]])&amp;"-"&amp;TEXT(MONTH(KMART_DATA[[#This Row],[Date]]),"00")</f>
        <v>2024-10</v>
      </c>
      <c r="D1803" s="3" t="s">
        <v>28</v>
      </c>
      <c r="E1803" s="3" t="s">
        <v>137</v>
      </c>
      <c r="F1803" s="3" t="s">
        <v>10</v>
      </c>
      <c r="G18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03" s="3" t="s">
        <v>138</v>
      </c>
      <c r="I1803" s="3" t="s">
        <v>31</v>
      </c>
      <c r="J1803" s="3" t="s">
        <v>89</v>
      </c>
      <c r="K1803" s="3" t="s">
        <v>71</v>
      </c>
      <c r="L1803" s="3" t="s">
        <v>72</v>
      </c>
      <c r="M1803" s="4">
        <v>1774.84</v>
      </c>
    </row>
    <row r="1804">
      <c r="A1804" s="2">
        <v>45575</v>
      </c>
      <c r="B18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4" s="3" t="str">
        <f>YEAR(KMART_DATA[[#This Row],[Date]])&amp;"-"&amp;TEXT(MONTH(KMART_DATA[[#This Row],[Date]]),"00")</f>
        <v>2024-10</v>
      </c>
      <c r="D1804" s="3" t="s">
        <v>28</v>
      </c>
      <c r="E1804" s="3" t="s">
        <v>197</v>
      </c>
      <c r="F1804" s="3" t="s">
        <v>9</v>
      </c>
      <c r="G18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04" s="3" t="s">
        <v>198</v>
      </c>
      <c r="I1804" s="3" t="s">
        <v>31</v>
      </c>
      <c r="J1804" s="3" t="s">
        <v>107</v>
      </c>
      <c r="K1804" s="3" t="s">
        <v>38</v>
      </c>
      <c r="L1804" s="3" t="s">
        <v>39</v>
      </c>
      <c r="M1804" s="4">
        <v>9.99</v>
      </c>
    </row>
    <row r="1805">
      <c r="A1805" s="2">
        <v>45575</v>
      </c>
      <c r="B18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5" s="3" t="str">
        <f>YEAR(KMART_DATA[[#This Row],[Date]])&amp;"-"&amp;TEXT(MONTH(KMART_DATA[[#This Row],[Date]]),"00")</f>
        <v>2024-10</v>
      </c>
      <c r="D1805" s="3" t="s">
        <v>28</v>
      </c>
      <c r="E1805" s="3" t="s">
        <v>217</v>
      </c>
      <c r="F1805" s="3" t="s">
        <v>10</v>
      </c>
      <c r="G18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05" s="3" t="s">
        <v>218</v>
      </c>
      <c r="I1805" s="3" t="s">
        <v>31</v>
      </c>
      <c r="J1805" s="3" t="s">
        <v>89</v>
      </c>
      <c r="K1805" s="3" t="s">
        <v>43</v>
      </c>
      <c r="L1805" s="3" t="s">
        <v>44</v>
      </c>
      <c r="M1805" s="4">
        <v>34.5</v>
      </c>
    </row>
    <row r="1806">
      <c r="A1806" s="2">
        <v>45575</v>
      </c>
      <c r="B18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6" s="3" t="str">
        <f>YEAR(KMART_DATA[[#This Row],[Date]])&amp;"-"&amp;TEXT(MONTH(KMART_DATA[[#This Row],[Date]]),"00")</f>
        <v>2024-10</v>
      </c>
      <c r="D1806" s="3" t="s">
        <v>28</v>
      </c>
      <c r="E1806" s="3" t="s">
        <v>260</v>
      </c>
      <c r="F1806" s="3" t="s">
        <v>10</v>
      </c>
      <c r="G18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06" s="3" t="s">
        <v>261</v>
      </c>
      <c r="I1806" s="3" t="s">
        <v>31</v>
      </c>
      <c r="J1806" s="3" t="s">
        <v>89</v>
      </c>
      <c r="K1806" s="3" t="s">
        <v>95</v>
      </c>
      <c r="L1806" s="3" t="s">
        <v>96</v>
      </c>
      <c r="M1806" s="4">
        <v>1024.88</v>
      </c>
    </row>
    <row r="1807">
      <c r="A1807" s="2">
        <v>45575</v>
      </c>
      <c r="B18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7" s="3" t="str">
        <f>YEAR(KMART_DATA[[#This Row],[Date]])&amp;"-"&amp;TEXT(MONTH(KMART_DATA[[#This Row],[Date]]),"00")</f>
        <v>2024-10</v>
      </c>
      <c r="D1807" s="3" t="s">
        <v>28</v>
      </c>
      <c r="E1807" s="3" t="s">
        <v>246</v>
      </c>
      <c r="F1807" s="3" t="s">
        <v>10</v>
      </c>
      <c r="G18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07" s="3" t="s">
        <v>247</v>
      </c>
      <c r="I1807" s="3" t="s">
        <v>31</v>
      </c>
      <c r="J1807" s="3" t="s">
        <v>37</v>
      </c>
      <c r="K1807" s="3" t="s">
        <v>95</v>
      </c>
      <c r="L1807" s="3" t="s">
        <v>96</v>
      </c>
      <c r="M1807" s="4">
        <v>3473.19</v>
      </c>
    </row>
    <row r="1808">
      <c r="A1808" s="2">
        <v>45576</v>
      </c>
      <c r="B18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8" s="3" t="str">
        <f>YEAR(KMART_DATA[[#This Row],[Date]])&amp;"-"&amp;TEXT(MONTH(KMART_DATA[[#This Row],[Date]]),"00")</f>
        <v>2024-10</v>
      </c>
      <c r="D1808" s="3" t="s">
        <v>28</v>
      </c>
      <c r="E1808" s="3" t="s">
        <v>79</v>
      </c>
      <c r="F1808" s="3" t="s">
        <v>9</v>
      </c>
      <c r="G18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08" s="3" t="s">
        <v>80</v>
      </c>
      <c r="I1808" s="3" t="s">
        <v>31</v>
      </c>
      <c r="J1808" s="3" t="s">
        <v>81</v>
      </c>
      <c r="K1808" s="3" t="s">
        <v>71</v>
      </c>
      <c r="L1808" s="3" t="s">
        <v>72</v>
      </c>
      <c r="M1808" s="4">
        <v>12.99</v>
      </c>
    </row>
    <row r="1809">
      <c r="A1809" s="2">
        <v>45577</v>
      </c>
      <c r="B18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09" s="3" t="str">
        <f>YEAR(KMART_DATA[[#This Row],[Date]])&amp;"-"&amp;TEXT(MONTH(KMART_DATA[[#This Row],[Date]]),"00")</f>
        <v>2024-10</v>
      </c>
      <c r="D1809" s="3" t="s">
        <v>28</v>
      </c>
      <c r="E1809" s="3" t="s">
        <v>143</v>
      </c>
      <c r="F1809" s="3" t="s">
        <v>14</v>
      </c>
      <c r="G18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809" s="3" t="s">
        <v>144</v>
      </c>
      <c r="I1809" s="3" t="s">
        <v>31</v>
      </c>
      <c r="J1809" s="3" t="s">
        <v>145</v>
      </c>
      <c r="K1809" s="3" t="s">
        <v>66</v>
      </c>
      <c r="L1809" s="3" t="s">
        <v>67</v>
      </c>
      <c r="M1809" s="4">
        <v>327.34</v>
      </c>
    </row>
    <row r="1810">
      <c r="A1810" s="2">
        <v>45577</v>
      </c>
      <c r="B18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0" s="3" t="str">
        <f>YEAR(KMART_DATA[[#This Row],[Date]])&amp;"-"&amp;TEXT(MONTH(KMART_DATA[[#This Row],[Date]]),"00")</f>
        <v>2024-10</v>
      </c>
      <c r="D1810" s="3" t="s">
        <v>45</v>
      </c>
      <c r="E1810" s="3" t="s">
        <v>82</v>
      </c>
      <c r="F1810" s="3" t="s">
        <v>11</v>
      </c>
      <c r="G18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10" s="3" t="s">
        <v>83</v>
      </c>
      <c r="I1810" s="3" t="s">
        <v>31</v>
      </c>
      <c r="J1810" s="3" t="s">
        <v>84</v>
      </c>
      <c r="K1810" s="3" t="s">
        <v>38</v>
      </c>
      <c r="L1810" s="3" t="s">
        <v>39</v>
      </c>
      <c r="M1810" s="4">
        <v>745.32</v>
      </c>
    </row>
    <row r="1811">
      <c r="A1811" s="2">
        <v>45577</v>
      </c>
      <c r="B18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1" s="3" t="str">
        <f>YEAR(KMART_DATA[[#This Row],[Date]])&amp;"-"&amp;TEXT(MONTH(KMART_DATA[[#This Row],[Date]]),"00")</f>
        <v>2024-10</v>
      </c>
      <c r="D1811" s="3" t="s">
        <v>28</v>
      </c>
      <c r="E1811" s="3" t="s">
        <v>143</v>
      </c>
      <c r="F1811" s="3" t="s">
        <v>14</v>
      </c>
      <c r="G18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811" s="3" t="s">
        <v>144</v>
      </c>
      <c r="I1811" s="3" t="s">
        <v>31</v>
      </c>
      <c r="J1811" s="3" t="s">
        <v>145</v>
      </c>
      <c r="K1811" s="3" t="s">
        <v>46</v>
      </c>
      <c r="L1811" s="3" t="s">
        <v>47</v>
      </c>
      <c r="M1811" s="4">
        <v>4177.0</v>
      </c>
    </row>
    <row r="1812">
      <c r="A1812" s="2">
        <v>45578</v>
      </c>
      <c r="B18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2" s="3" t="str">
        <f>YEAR(KMART_DATA[[#This Row],[Date]])&amp;"-"&amp;TEXT(MONTH(KMART_DATA[[#This Row],[Date]]),"00")</f>
        <v>2024-10</v>
      </c>
      <c r="D1812" s="3" t="s">
        <v>28</v>
      </c>
      <c r="E1812" s="3" t="s">
        <v>246</v>
      </c>
      <c r="F1812" s="3" t="s">
        <v>10</v>
      </c>
      <c r="G18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12" s="3" t="s">
        <v>247</v>
      </c>
      <c r="I1812" s="3" t="s">
        <v>31</v>
      </c>
      <c r="J1812" s="3" t="s">
        <v>37</v>
      </c>
      <c r="K1812" s="3" t="s">
        <v>112</v>
      </c>
      <c r="L1812" s="3" t="s">
        <v>113</v>
      </c>
      <c r="M1812" s="4">
        <v>1.0</v>
      </c>
    </row>
    <row r="1813">
      <c r="A1813" s="2">
        <v>45578</v>
      </c>
      <c r="B18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3" s="3" t="str">
        <f>YEAR(KMART_DATA[[#This Row],[Date]])&amp;"-"&amp;TEXT(MONTH(KMART_DATA[[#This Row],[Date]]),"00")</f>
        <v>2024-10</v>
      </c>
      <c r="D1813" s="3" t="s">
        <v>45</v>
      </c>
      <c r="E1813" s="3" t="s">
        <v>223</v>
      </c>
      <c r="F1813" s="3" t="s">
        <v>10</v>
      </c>
      <c r="G18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13" s="3" t="s">
        <v>224</v>
      </c>
      <c r="I1813" s="3" t="s">
        <v>31</v>
      </c>
      <c r="J1813" s="3" t="s">
        <v>94</v>
      </c>
      <c r="K1813" s="3" t="s">
        <v>95</v>
      </c>
      <c r="L1813" s="3" t="s">
        <v>96</v>
      </c>
      <c r="M1813" s="4">
        <v>119.8</v>
      </c>
    </row>
    <row r="1814">
      <c r="A1814" s="2">
        <v>45578</v>
      </c>
      <c r="B18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4" s="3" t="str">
        <f>YEAR(KMART_DATA[[#This Row],[Date]])&amp;"-"&amp;TEXT(MONTH(KMART_DATA[[#This Row],[Date]]),"00")</f>
        <v>2024-10</v>
      </c>
      <c r="D1814" s="3" t="s">
        <v>28</v>
      </c>
      <c r="E1814" s="3" t="s">
        <v>256</v>
      </c>
      <c r="F1814" s="3" t="s">
        <v>9</v>
      </c>
      <c r="G18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14" s="3" t="s">
        <v>257</v>
      </c>
      <c r="I1814" s="3" t="s">
        <v>31</v>
      </c>
      <c r="J1814" s="3" t="s">
        <v>70</v>
      </c>
      <c r="K1814" s="3" t="s">
        <v>95</v>
      </c>
      <c r="L1814" s="3" t="s">
        <v>96</v>
      </c>
      <c r="M1814" s="4">
        <v>459.08</v>
      </c>
    </row>
    <row r="1815">
      <c r="A1815" s="2">
        <v>45578</v>
      </c>
      <c r="B18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5" s="3" t="str">
        <f>YEAR(KMART_DATA[[#This Row],[Date]])&amp;"-"&amp;TEXT(MONTH(KMART_DATA[[#This Row],[Date]]),"00")</f>
        <v>2024-10</v>
      </c>
      <c r="D1815" s="3" t="s">
        <v>45</v>
      </c>
      <c r="E1815" s="3" t="s">
        <v>171</v>
      </c>
      <c r="F1815" s="3" t="s">
        <v>10</v>
      </c>
      <c r="G18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15" s="3" t="s">
        <v>172</v>
      </c>
      <c r="I1815" s="3" t="s">
        <v>31</v>
      </c>
      <c r="J1815" s="3" t="s">
        <v>37</v>
      </c>
      <c r="K1815" s="3" t="s">
        <v>33</v>
      </c>
      <c r="L1815" s="3" t="s">
        <v>34</v>
      </c>
      <c r="M1815" s="4">
        <v>543.02</v>
      </c>
    </row>
    <row r="1816">
      <c r="A1816" s="2">
        <v>45578</v>
      </c>
      <c r="B18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6" s="3" t="str">
        <f>YEAR(KMART_DATA[[#This Row],[Date]])&amp;"-"&amp;TEXT(MONTH(KMART_DATA[[#This Row],[Date]]),"00")</f>
        <v>2024-10</v>
      </c>
      <c r="D1816" s="3" t="s">
        <v>45</v>
      </c>
      <c r="E1816" s="3" t="s">
        <v>179</v>
      </c>
      <c r="F1816" s="3" t="s">
        <v>9</v>
      </c>
      <c r="G18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16" s="3" t="s">
        <v>180</v>
      </c>
      <c r="I1816" s="3" t="s">
        <v>31</v>
      </c>
      <c r="J1816" s="3" t="s">
        <v>99</v>
      </c>
      <c r="K1816" s="3" t="s">
        <v>46</v>
      </c>
      <c r="L1816" s="3" t="s">
        <v>47</v>
      </c>
      <c r="M1816" s="4">
        <v>1428.9</v>
      </c>
    </row>
    <row r="1817">
      <c r="A1817" s="2">
        <v>45578</v>
      </c>
      <c r="B18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7" s="3" t="str">
        <f>YEAR(KMART_DATA[[#This Row],[Date]])&amp;"-"&amp;TEXT(MONTH(KMART_DATA[[#This Row],[Date]]),"00")</f>
        <v>2024-10</v>
      </c>
      <c r="D1817" s="3" t="s">
        <v>28</v>
      </c>
      <c r="E1817" s="3" t="s">
        <v>264</v>
      </c>
      <c r="F1817" s="3" t="s">
        <v>13</v>
      </c>
      <c r="G18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817" s="3" t="s">
        <v>265</v>
      </c>
      <c r="I1817" s="3" t="s">
        <v>31</v>
      </c>
      <c r="J1817" s="3" t="s">
        <v>42</v>
      </c>
      <c r="K1817" s="3" t="s">
        <v>46</v>
      </c>
      <c r="L1817" s="3" t="s">
        <v>47</v>
      </c>
      <c r="M1817" s="4">
        <v>1576.86</v>
      </c>
    </row>
    <row r="1818">
      <c r="A1818" s="2">
        <v>45579</v>
      </c>
      <c r="B18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8" s="3" t="str">
        <f>YEAR(KMART_DATA[[#This Row],[Date]])&amp;"-"&amp;TEXT(MONTH(KMART_DATA[[#This Row],[Date]]),"00")</f>
        <v>2024-10</v>
      </c>
      <c r="D1818" s="3" t="s">
        <v>28</v>
      </c>
      <c r="E1818" s="3" t="s">
        <v>54</v>
      </c>
      <c r="F1818" s="3" t="s">
        <v>11</v>
      </c>
      <c r="G18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18" s="3" t="s">
        <v>55</v>
      </c>
      <c r="I1818" s="3" t="s">
        <v>31</v>
      </c>
      <c r="J1818" s="3" t="s">
        <v>56</v>
      </c>
      <c r="K1818" s="3" t="s">
        <v>38</v>
      </c>
      <c r="L1818" s="3" t="s">
        <v>39</v>
      </c>
      <c r="M1818" s="4">
        <v>23.96</v>
      </c>
    </row>
    <row r="1819">
      <c r="A1819" s="2">
        <v>45579</v>
      </c>
      <c r="B18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19" s="3" t="str">
        <f>YEAR(KMART_DATA[[#This Row],[Date]])&amp;"-"&amp;TEXT(MONTH(KMART_DATA[[#This Row],[Date]]),"00")</f>
        <v>2024-10</v>
      </c>
      <c r="D1819" s="3" t="s">
        <v>28</v>
      </c>
      <c r="E1819" s="3" t="s">
        <v>85</v>
      </c>
      <c r="F1819" s="3" t="s">
        <v>9</v>
      </c>
      <c r="G18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19" s="3" t="s">
        <v>86</v>
      </c>
      <c r="I1819" s="3" t="s">
        <v>31</v>
      </c>
      <c r="J1819" s="3" t="s">
        <v>81</v>
      </c>
      <c r="K1819" s="3" t="s">
        <v>46</v>
      </c>
      <c r="L1819" s="3" t="s">
        <v>47</v>
      </c>
      <c r="M1819" s="4">
        <v>35.94</v>
      </c>
    </row>
    <row r="1820">
      <c r="A1820" s="2">
        <v>45579</v>
      </c>
      <c r="B18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0" s="3" t="str">
        <f>YEAR(KMART_DATA[[#This Row],[Date]])&amp;"-"&amp;TEXT(MONTH(KMART_DATA[[#This Row],[Date]]),"00")</f>
        <v>2024-10</v>
      </c>
      <c r="D1820" s="3" t="s">
        <v>28</v>
      </c>
      <c r="E1820" s="3" t="s">
        <v>193</v>
      </c>
      <c r="F1820" s="3" t="s">
        <v>9</v>
      </c>
      <c r="G18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20" s="3" t="s">
        <v>194</v>
      </c>
      <c r="I1820" s="3" t="s">
        <v>31</v>
      </c>
      <c r="J1820" s="3" t="s">
        <v>99</v>
      </c>
      <c r="K1820" s="3" t="s">
        <v>112</v>
      </c>
      <c r="L1820" s="3" t="s">
        <v>113</v>
      </c>
      <c r="M1820" s="4">
        <v>214.01</v>
      </c>
    </row>
    <row r="1821">
      <c r="A1821" s="2">
        <v>45579</v>
      </c>
      <c r="B18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1" s="3" t="str">
        <f>YEAR(KMART_DATA[[#This Row],[Date]])&amp;"-"&amp;TEXT(MONTH(KMART_DATA[[#This Row],[Date]]),"00")</f>
        <v>2024-10</v>
      </c>
      <c r="D1821" s="3" t="s">
        <v>28</v>
      </c>
      <c r="E1821" s="3" t="s">
        <v>167</v>
      </c>
      <c r="F1821" s="3" t="s">
        <v>12</v>
      </c>
      <c r="G18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21" s="3" t="s">
        <v>168</v>
      </c>
      <c r="I1821" s="3" t="s">
        <v>31</v>
      </c>
      <c r="J1821" s="3" t="s">
        <v>102</v>
      </c>
      <c r="K1821" s="3" t="s">
        <v>95</v>
      </c>
      <c r="L1821" s="3" t="s">
        <v>96</v>
      </c>
      <c r="M1821" s="4">
        <v>242.21</v>
      </c>
    </row>
    <row r="1822">
      <c r="A1822" s="2">
        <v>45579</v>
      </c>
      <c r="B18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2" s="3" t="str">
        <f>YEAR(KMART_DATA[[#This Row],[Date]])&amp;"-"&amp;TEXT(MONTH(KMART_DATA[[#This Row],[Date]]),"00")</f>
        <v>2024-10</v>
      </c>
      <c r="D1822" s="3" t="s">
        <v>28</v>
      </c>
      <c r="E1822" s="3" t="s">
        <v>160</v>
      </c>
      <c r="F1822" s="3" t="s">
        <v>12</v>
      </c>
      <c r="G18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22" s="3" t="s">
        <v>161</v>
      </c>
      <c r="I1822" s="3" t="s">
        <v>31</v>
      </c>
      <c r="J1822" s="3" t="s">
        <v>162</v>
      </c>
      <c r="K1822" s="3" t="s">
        <v>123</v>
      </c>
      <c r="L1822" s="3" t="s">
        <v>124</v>
      </c>
      <c r="M1822" s="4">
        <v>716.67</v>
      </c>
    </row>
    <row r="1823">
      <c r="A1823" s="2">
        <v>45579</v>
      </c>
      <c r="B18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3" s="3" t="str">
        <f>YEAR(KMART_DATA[[#This Row],[Date]])&amp;"-"&amp;TEXT(MONTH(KMART_DATA[[#This Row],[Date]]),"00")</f>
        <v>2024-10</v>
      </c>
      <c r="D1823" s="3" t="s">
        <v>45</v>
      </c>
      <c r="E1823" s="3" t="s">
        <v>256</v>
      </c>
      <c r="F1823" s="3" t="s">
        <v>9</v>
      </c>
      <c r="G18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23" s="3" t="s">
        <v>257</v>
      </c>
      <c r="I1823" s="3" t="s">
        <v>31</v>
      </c>
      <c r="J1823" s="3" t="s">
        <v>70</v>
      </c>
      <c r="K1823" s="3" t="s">
        <v>66</v>
      </c>
      <c r="L1823" s="3" t="s">
        <v>67</v>
      </c>
      <c r="M1823" s="4">
        <v>1468.24</v>
      </c>
    </row>
    <row r="1824">
      <c r="A1824" s="2">
        <v>45579</v>
      </c>
      <c r="B18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4" s="3" t="str">
        <f>YEAR(KMART_DATA[[#This Row],[Date]])&amp;"-"&amp;TEXT(MONTH(KMART_DATA[[#This Row],[Date]]),"00")</f>
        <v>2024-10</v>
      </c>
      <c r="D1824" s="3" t="s">
        <v>28</v>
      </c>
      <c r="E1824" s="3" t="s">
        <v>40</v>
      </c>
      <c r="F1824" s="3" t="s">
        <v>13</v>
      </c>
      <c r="G18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824" s="3" t="s">
        <v>41</v>
      </c>
      <c r="I1824" s="3" t="s">
        <v>31</v>
      </c>
      <c r="J1824" s="3" t="s">
        <v>42</v>
      </c>
      <c r="K1824" s="3" t="s">
        <v>57</v>
      </c>
      <c r="L1824" s="3" t="s">
        <v>58</v>
      </c>
      <c r="M1824" s="4">
        <v>1587.5</v>
      </c>
    </row>
    <row r="1825">
      <c r="A1825" s="2">
        <v>45580</v>
      </c>
      <c r="B18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5" s="3" t="str">
        <f>YEAR(KMART_DATA[[#This Row],[Date]])&amp;"-"&amp;TEXT(MONTH(KMART_DATA[[#This Row],[Date]]),"00")</f>
        <v>2024-10</v>
      </c>
      <c r="D1825" s="3" t="s">
        <v>28</v>
      </c>
      <c r="E1825" s="3" t="s">
        <v>40</v>
      </c>
      <c r="F1825" s="3" t="s">
        <v>13</v>
      </c>
      <c r="G18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825" s="3" t="s">
        <v>41</v>
      </c>
      <c r="I1825" s="3" t="s">
        <v>31</v>
      </c>
      <c r="J1825" s="3" t="s">
        <v>42</v>
      </c>
      <c r="K1825" s="3" t="s">
        <v>43</v>
      </c>
      <c r="L1825" s="3" t="s">
        <v>44</v>
      </c>
      <c r="M1825" s="4">
        <v>6.0</v>
      </c>
    </row>
    <row r="1826">
      <c r="A1826" s="2">
        <v>45580</v>
      </c>
      <c r="B18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6" s="3" t="str">
        <f>YEAR(KMART_DATA[[#This Row],[Date]])&amp;"-"&amp;TEXT(MONTH(KMART_DATA[[#This Row],[Date]]),"00")</f>
        <v>2024-10</v>
      </c>
      <c r="D1826" s="3" t="s">
        <v>28</v>
      </c>
      <c r="E1826" s="3" t="s">
        <v>133</v>
      </c>
      <c r="F1826" s="3" t="s">
        <v>10</v>
      </c>
      <c r="G18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26" s="3" t="s">
        <v>134</v>
      </c>
      <c r="I1826" s="3" t="s">
        <v>31</v>
      </c>
      <c r="J1826" s="3" t="s">
        <v>37</v>
      </c>
      <c r="K1826" s="3" t="s">
        <v>95</v>
      </c>
      <c r="L1826" s="3" t="s">
        <v>96</v>
      </c>
      <c r="M1826" s="4">
        <v>13.44</v>
      </c>
    </row>
    <row r="1827">
      <c r="A1827" s="2">
        <v>45580</v>
      </c>
      <c r="B18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7" s="3" t="str">
        <f>YEAR(KMART_DATA[[#This Row],[Date]])&amp;"-"&amp;TEXT(MONTH(KMART_DATA[[#This Row],[Date]]),"00")</f>
        <v>2024-10</v>
      </c>
      <c r="D1827" s="3" t="s">
        <v>45</v>
      </c>
      <c r="E1827" s="3" t="s">
        <v>154</v>
      </c>
      <c r="F1827" s="3" t="s">
        <v>11</v>
      </c>
      <c r="G18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27" s="3" t="s">
        <v>155</v>
      </c>
      <c r="I1827" s="3" t="s">
        <v>31</v>
      </c>
      <c r="J1827" s="3" t="s">
        <v>84</v>
      </c>
      <c r="K1827" s="3" t="s">
        <v>33</v>
      </c>
      <c r="L1827" s="3" t="s">
        <v>34</v>
      </c>
      <c r="M1827" s="4">
        <v>19.34</v>
      </c>
    </row>
    <row r="1828">
      <c r="A1828" s="2">
        <v>45580</v>
      </c>
      <c r="B18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8" s="3" t="str">
        <f>YEAR(KMART_DATA[[#This Row],[Date]])&amp;"-"&amp;TEXT(MONTH(KMART_DATA[[#This Row],[Date]]),"00")</f>
        <v>2024-10</v>
      </c>
      <c r="D1828" s="3" t="s">
        <v>28</v>
      </c>
      <c r="E1828" s="3" t="s">
        <v>215</v>
      </c>
      <c r="F1828" s="3" t="s">
        <v>15</v>
      </c>
      <c r="G18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828" s="3" t="s">
        <v>216</v>
      </c>
      <c r="I1828" s="3" t="s">
        <v>31</v>
      </c>
      <c r="J1828" s="3" t="s">
        <v>53</v>
      </c>
      <c r="K1828" s="3" t="s">
        <v>43</v>
      </c>
      <c r="L1828" s="3" t="s">
        <v>44</v>
      </c>
      <c r="M1828" s="4">
        <v>50.0</v>
      </c>
    </row>
    <row r="1829">
      <c r="A1829" s="2">
        <v>45580</v>
      </c>
      <c r="B18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29" s="3" t="str">
        <f>YEAR(KMART_DATA[[#This Row],[Date]])&amp;"-"&amp;TEXT(MONTH(KMART_DATA[[#This Row],[Date]]),"00")</f>
        <v>2024-10</v>
      </c>
      <c r="D1829" s="3" t="s">
        <v>45</v>
      </c>
      <c r="E1829" s="3" t="s">
        <v>87</v>
      </c>
      <c r="F1829" s="3" t="s">
        <v>10</v>
      </c>
      <c r="G18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29" s="3" t="s">
        <v>88</v>
      </c>
      <c r="I1829" s="3" t="s">
        <v>31</v>
      </c>
      <c r="J1829" s="3" t="s">
        <v>89</v>
      </c>
      <c r="K1829" s="3" t="s">
        <v>71</v>
      </c>
      <c r="L1829" s="3" t="s">
        <v>72</v>
      </c>
      <c r="M1829" s="4">
        <v>138.99</v>
      </c>
    </row>
    <row r="1830">
      <c r="A1830" s="2">
        <v>45580</v>
      </c>
      <c r="B18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0" s="3" t="str">
        <f>YEAR(KMART_DATA[[#This Row],[Date]])&amp;"-"&amp;TEXT(MONTH(KMART_DATA[[#This Row],[Date]]),"00")</f>
        <v>2024-10</v>
      </c>
      <c r="D1830" s="3" t="s">
        <v>28</v>
      </c>
      <c r="E1830" s="3" t="s">
        <v>197</v>
      </c>
      <c r="F1830" s="3" t="s">
        <v>9</v>
      </c>
      <c r="G18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30" s="3" t="s">
        <v>198</v>
      </c>
      <c r="I1830" s="3" t="s">
        <v>31</v>
      </c>
      <c r="J1830" s="3" t="s">
        <v>107</v>
      </c>
      <c r="K1830" s="3" t="s">
        <v>33</v>
      </c>
      <c r="L1830" s="3" t="s">
        <v>34</v>
      </c>
      <c r="M1830" s="4">
        <v>534.72</v>
      </c>
    </row>
    <row r="1831">
      <c r="A1831" s="2">
        <v>45580</v>
      </c>
      <c r="B18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1" s="3" t="str">
        <f>YEAR(KMART_DATA[[#This Row],[Date]])&amp;"-"&amp;TEXT(MONTH(KMART_DATA[[#This Row],[Date]]),"00")</f>
        <v>2024-10</v>
      </c>
      <c r="D1831" s="3" t="s">
        <v>28</v>
      </c>
      <c r="E1831" s="3" t="s">
        <v>97</v>
      </c>
      <c r="F1831" s="3" t="s">
        <v>9</v>
      </c>
      <c r="G18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31" s="3" t="s">
        <v>98</v>
      </c>
      <c r="I1831" s="3" t="s">
        <v>31</v>
      </c>
      <c r="J1831" s="3" t="s">
        <v>99</v>
      </c>
      <c r="K1831" s="3" t="s">
        <v>123</v>
      </c>
      <c r="L1831" s="3" t="s">
        <v>124</v>
      </c>
      <c r="M1831" s="4">
        <v>561.29</v>
      </c>
    </row>
    <row r="1832">
      <c r="A1832" s="2">
        <v>45580</v>
      </c>
      <c r="B18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2" s="3" t="str">
        <f>YEAR(KMART_DATA[[#This Row],[Date]])&amp;"-"&amp;TEXT(MONTH(KMART_DATA[[#This Row],[Date]]),"00")</f>
        <v>2024-10</v>
      </c>
      <c r="D1832" s="3" t="s">
        <v>28</v>
      </c>
      <c r="E1832" s="3" t="s">
        <v>114</v>
      </c>
      <c r="F1832" s="3" t="s">
        <v>9</v>
      </c>
      <c r="G18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32" s="3" t="s">
        <v>115</v>
      </c>
      <c r="I1832" s="3" t="s">
        <v>31</v>
      </c>
      <c r="J1832" s="3" t="s">
        <v>99</v>
      </c>
      <c r="K1832" s="3" t="s">
        <v>71</v>
      </c>
      <c r="L1832" s="3" t="s">
        <v>72</v>
      </c>
      <c r="M1832" s="4">
        <v>636.04</v>
      </c>
    </row>
    <row r="1833">
      <c r="A1833" s="2">
        <v>45581</v>
      </c>
      <c r="B18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3" s="3" t="str">
        <f>YEAR(KMART_DATA[[#This Row],[Date]])&amp;"-"&amp;TEXT(MONTH(KMART_DATA[[#This Row],[Date]]),"00")</f>
        <v>2024-10</v>
      </c>
      <c r="D1833" s="3" t="s">
        <v>45</v>
      </c>
      <c r="E1833" s="3" t="s">
        <v>110</v>
      </c>
      <c r="F1833" s="3" t="s">
        <v>9</v>
      </c>
      <c r="G18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33" s="3" t="s">
        <v>111</v>
      </c>
      <c r="I1833" s="3" t="s">
        <v>31</v>
      </c>
      <c r="J1833" s="3" t="s">
        <v>81</v>
      </c>
      <c r="K1833" s="3" t="s">
        <v>57</v>
      </c>
      <c r="L1833" s="3" t="s">
        <v>58</v>
      </c>
      <c r="M1833" s="4">
        <v>7.99</v>
      </c>
    </row>
    <row r="1834">
      <c r="A1834" s="2">
        <v>45581</v>
      </c>
      <c r="B18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4" s="3" t="str">
        <f>YEAR(KMART_DATA[[#This Row],[Date]])&amp;"-"&amp;TEXT(MONTH(KMART_DATA[[#This Row],[Date]]),"00")</f>
        <v>2024-10</v>
      </c>
      <c r="D1834" s="3" t="s">
        <v>28</v>
      </c>
      <c r="E1834" s="3" t="s">
        <v>141</v>
      </c>
      <c r="F1834" s="3" t="s">
        <v>9</v>
      </c>
      <c r="G18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34" s="3" t="s">
        <v>142</v>
      </c>
      <c r="I1834" s="3" t="s">
        <v>31</v>
      </c>
      <c r="J1834" s="3" t="s">
        <v>107</v>
      </c>
      <c r="K1834" s="3" t="s">
        <v>123</v>
      </c>
      <c r="L1834" s="3" t="s">
        <v>124</v>
      </c>
      <c r="M1834" s="4">
        <v>39.78</v>
      </c>
    </row>
    <row r="1835">
      <c r="A1835" s="2">
        <v>45581</v>
      </c>
      <c r="B18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5" s="3" t="str">
        <f>YEAR(KMART_DATA[[#This Row],[Date]])&amp;"-"&amp;TEXT(MONTH(KMART_DATA[[#This Row],[Date]]),"00")</f>
        <v>2024-10</v>
      </c>
      <c r="D1835" s="3" t="s">
        <v>28</v>
      </c>
      <c r="E1835" s="3" t="s">
        <v>141</v>
      </c>
      <c r="F1835" s="3" t="s">
        <v>9</v>
      </c>
      <c r="G18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35" s="3" t="s">
        <v>142</v>
      </c>
      <c r="I1835" s="3" t="s">
        <v>31</v>
      </c>
      <c r="J1835" s="3" t="s">
        <v>107</v>
      </c>
      <c r="K1835" s="3" t="s">
        <v>123</v>
      </c>
      <c r="L1835" s="3" t="s">
        <v>124</v>
      </c>
      <c r="M1835" s="4">
        <v>45.15</v>
      </c>
    </row>
    <row r="1836">
      <c r="A1836" s="2">
        <v>45581</v>
      </c>
      <c r="B18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6" s="3" t="str">
        <f>YEAR(KMART_DATA[[#This Row],[Date]])&amp;"-"&amp;TEXT(MONTH(KMART_DATA[[#This Row],[Date]]),"00")</f>
        <v>2024-10</v>
      </c>
      <c r="D1836" s="3" t="s">
        <v>28</v>
      </c>
      <c r="E1836" s="3" t="s">
        <v>100</v>
      </c>
      <c r="F1836" s="3" t="s">
        <v>12</v>
      </c>
      <c r="G18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36" s="3" t="s">
        <v>101</v>
      </c>
      <c r="I1836" s="3" t="s">
        <v>31</v>
      </c>
      <c r="J1836" s="3" t="s">
        <v>102</v>
      </c>
      <c r="K1836" s="3" t="s">
        <v>38</v>
      </c>
      <c r="L1836" s="3" t="s">
        <v>39</v>
      </c>
      <c r="M1836" s="4">
        <v>49.91</v>
      </c>
    </row>
    <row r="1837">
      <c r="A1837" s="2">
        <v>45581</v>
      </c>
      <c r="B18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7" s="3" t="str">
        <f>YEAR(KMART_DATA[[#This Row],[Date]])&amp;"-"&amp;TEXT(MONTH(KMART_DATA[[#This Row],[Date]]),"00")</f>
        <v>2024-10</v>
      </c>
      <c r="D1837" s="3" t="s">
        <v>28</v>
      </c>
      <c r="E1837" s="3" t="s">
        <v>191</v>
      </c>
      <c r="F1837" s="3" t="s">
        <v>10</v>
      </c>
      <c r="G18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37" s="3" t="s">
        <v>192</v>
      </c>
      <c r="I1837" s="3" t="s">
        <v>31</v>
      </c>
      <c r="J1837" s="3" t="s">
        <v>120</v>
      </c>
      <c r="K1837" s="3" t="s">
        <v>123</v>
      </c>
      <c r="L1837" s="3" t="s">
        <v>124</v>
      </c>
      <c r="M1837" s="4">
        <v>230.63</v>
      </c>
    </row>
    <row r="1838">
      <c r="A1838" s="2">
        <v>45581</v>
      </c>
      <c r="B18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8" s="3" t="str">
        <f>YEAR(KMART_DATA[[#This Row],[Date]])&amp;"-"&amp;TEXT(MONTH(KMART_DATA[[#This Row],[Date]]),"00")</f>
        <v>2024-10</v>
      </c>
      <c r="D1838" s="3" t="s">
        <v>28</v>
      </c>
      <c r="E1838" s="3" t="s">
        <v>167</v>
      </c>
      <c r="F1838" s="3" t="s">
        <v>12</v>
      </c>
      <c r="G18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38" s="3" t="s">
        <v>168</v>
      </c>
      <c r="I1838" s="3" t="s">
        <v>31</v>
      </c>
      <c r="J1838" s="3" t="s">
        <v>102</v>
      </c>
      <c r="K1838" s="3" t="s">
        <v>38</v>
      </c>
      <c r="L1838" s="3" t="s">
        <v>39</v>
      </c>
      <c r="M1838" s="4">
        <v>334.37</v>
      </c>
    </row>
    <row r="1839">
      <c r="A1839" s="2">
        <v>45581</v>
      </c>
      <c r="B18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39" s="3" t="str">
        <f>YEAR(KMART_DATA[[#This Row],[Date]])&amp;"-"&amp;TEXT(MONTH(KMART_DATA[[#This Row],[Date]]),"00")</f>
        <v>2024-10</v>
      </c>
      <c r="D1839" s="3" t="s">
        <v>28</v>
      </c>
      <c r="E1839" s="3" t="s">
        <v>171</v>
      </c>
      <c r="F1839" s="3" t="s">
        <v>10</v>
      </c>
      <c r="G18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39" s="3" t="s">
        <v>172</v>
      </c>
      <c r="I1839" s="3" t="s">
        <v>31</v>
      </c>
      <c r="J1839" s="3" t="s">
        <v>37</v>
      </c>
      <c r="K1839" s="3" t="s">
        <v>71</v>
      </c>
      <c r="L1839" s="3" t="s">
        <v>72</v>
      </c>
      <c r="M1839" s="4">
        <v>722.33</v>
      </c>
    </row>
    <row r="1840">
      <c r="A1840" s="2">
        <v>45581</v>
      </c>
      <c r="B18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0" s="3" t="str">
        <f>YEAR(KMART_DATA[[#This Row],[Date]])&amp;"-"&amp;TEXT(MONTH(KMART_DATA[[#This Row],[Date]]),"00")</f>
        <v>2024-10</v>
      </c>
      <c r="D1840" s="3" t="s">
        <v>28</v>
      </c>
      <c r="E1840" s="3" t="s">
        <v>108</v>
      </c>
      <c r="F1840" s="3" t="s">
        <v>9</v>
      </c>
      <c r="G18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40" s="3" t="s">
        <v>109</v>
      </c>
      <c r="I1840" s="3" t="s">
        <v>31</v>
      </c>
      <c r="J1840" s="3" t="s">
        <v>75</v>
      </c>
      <c r="K1840" s="3" t="s">
        <v>71</v>
      </c>
      <c r="L1840" s="3" t="s">
        <v>72</v>
      </c>
      <c r="M1840" s="4">
        <v>800.1</v>
      </c>
    </row>
    <row r="1841">
      <c r="A1841" s="2">
        <v>45582</v>
      </c>
      <c r="B18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1" s="3" t="str">
        <f>YEAR(KMART_DATA[[#This Row],[Date]])&amp;"-"&amp;TEXT(MONTH(KMART_DATA[[#This Row],[Date]]),"00")</f>
        <v>2024-10</v>
      </c>
      <c r="D1841" s="3" t="s">
        <v>45</v>
      </c>
      <c r="E1841" s="3" t="s">
        <v>228</v>
      </c>
      <c r="F1841" s="3" t="s">
        <v>11</v>
      </c>
      <c r="G18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41" s="3" t="s">
        <v>229</v>
      </c>
      <c r="I1841" s="3" t="s">
        <v>31</v>
      </c>
      <c r="J1841" s="3" t="s">
        <v>32</v>
      </c>
      <c r="K1841" s="3" t="s">
        <v>46</v>
      </c>
      <c r="L1841" s="3" t="s">
        <v>47</v>
      </c>
      <c r="M1841" s="4">
        <v>35.94</v>
      </c>
    </row>
    <row r="1842">
      <c r="A1842" s="2">
        <v>45582</v>
      </c>
      <c r="B18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2" s="3" t="str">
        <f>YEAR(KMART_DATA[[#This Row],[Date]])&amp;"-"&amp;TEXT(MONTH(KMART_DATA[[#This Row],[Date]]),"00")</f>
        <v>2024-10</v>
      </c>
      <c r="D1842" s="3" t="s">
        <v>45</v>
      </c>
      <c r="E1842" s="3" t="s">
        <v>205</v>
      </c>
      <c r="F1842" s="3" t="s">
        <v>10</v>
      </c>
      <c r="G18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42" s="3" t="s">
        <v>206</v>
      </c>
      <c r="I1842" s="3" t="s">
        <v>31</v>
      </c>
      <c r="J1842" s="3" t="s">
        <v>37</v>
      </c>
      <c r="K1842" s="3" t="s">
        <v>71</v>
      </c>
      <c r="L1842" s="3" t="s">
        <v>72</v>
      </c>
      <c r="M1842" s="4">
        <v>116.91</v>
      </c>
    </row>
    <row r="1843">
      <c r="A1843" s="2">
        <v>45582</v>
      </c>
      <c r="B18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3" s="3" t="str">
        <f>YEAR(KMART_DATA[[#This Row],[Date]])&amp;"-"&amp;TEXT(MONTH(KMART_DATA[[#This Row],[Date]]),"00")</f>
        <v>2024-10</v>
      </c>
      <c r="D1843" s="3" t="s">
        <v>28</v>
      </c>
      <c r="E1843" s="3" t="s">
        <v>250</v>
      </c>
      <c r="F1843" s="3" t="s">
        <v>10</v>
      </c>
      <c r="G18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43" s="3" t="s">
        <v>251</v>
      </c>
      <c r="I1843" s="3" t="s">
        <v>31</v>
      </c>
      <c r="J1843" s="3" t="s">
        <v>37</v>
      </c>
      <c r="K1843" s="3" t="s">
        <v>38</v>
      </c>
      <c r="L1843" s="3" t="s">
        <v>39</v>
      </c>
      <c r="M1843" s="4">
        <v>1322.9</v>
      </c>
    </row>
    <row r="1844">
      <c r="A1844" s="2">
        <v>45582</v>
      </c>
      <c r="B18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4" s="3" t="str">
        <f>YEAR(KMART_DATA[[#This Row],[Date]])&amp;"-"&amp;TEXT(MONTH(KMART_DATA[[#This Row],[Date]]),"00")</f>
        <v>2024-10</v>
      </c>
      <c r="D1844" s="3" t="s">
        <v>28</v>
      </c>
      <c r="E1844" s="3" t="s">
        <v>62</v>
      </c>
      <c r="F1844" s="3" t="s">
        <v>12</v>
      </c>
      <c r="G18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44" s="3" t="s">
        <v>63</v>
      </c>
      <c r="I1844" s="3" t="s">
        <v>31</v>
      </c>
      <c r="J1844" s="3" t="s">
        <v>50</v>
      </c>
      <c r="K1844" s="3" t="s">
        <v>95</v>
      </c>
      <c r="L1844" s="3" t="s">
        <v>96</v>
      </c>
      <c r="M1844" s="4">
        <v>7309.91</v>
      </c>
    </row>
    <row r="1845">
      <c r="A1845" s="2">
        <v>45583</v>
      </c>
      <c r="B18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5" s="3" t="str">
        <f>YEAR(KMART_DATA[[#This Row],[Date]])&amp;"-"&amp;TEXT(MONTH(KMART_DATA[[#This Row],[Date]]),"00")</f>
        <v>2024-10</v>
      </c>
      <c r="D1845" s="3" t="s">
        <v>28</v>
      </c>
      <c r="E1845" s="3" t="s">
        <v>199</v>
      </c>
      <c r="F1845" s="3" t="s">
        <v>13</v>
      </c>
      <c r="G18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845" s="3" t="s">
        <v>200</v>
      </c>
      <c r="I1845" s="3" t="s">
        <v>31</v>
      </c>
      <c r="J1845" s="3" t="s">
        <v>42</v>
      </c>
      <c r="K1845" s="3" t="s">
        <v>43</v>
      </c>
      <c r="L1845" s="3" t="s">
        <v>44</v>
      </c>
      <c r="M1845" s="4">
        <v>1.5</v>
      </c>
    </row>
    <row r="1846">
      <c r="A1846" s="2">
        <v>45583</v>
      </c>
      <c r="B18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6" s="3" t="str">
        <f>YEAR(KMART_DATA[[#This Row],[Date]])&amp;"-"&amp;TEXT(MONTH(KMART_DATA[[#This Row],[Date]]),"00")</f>
        <v>2024-10</v>
      </c>
      <c r="D1846" s="3" t="s">
        <v>28</v>
      </c>
      <c r="E1846" s="3" t="s">
        <v>90</v>
      </c>
      <c r="F1846" s="3" t="s">
        <v>10</v>
      </c>
      <c r="G18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46" s="3" t="s">
        <v>91</v>
      </c>
      <c r="I1846" s="3" t="s">
        <v>31</v>
      </c>
      <c r="J1846" s="3" t="s">
        <v>37</v>
      </c>
      <c r="K1846" s="3" t="s">
        <v>43</v>
      </c>
      <c r="L1846" s="3" t="s">
        <v>44</v>
      </c>
      <c r="M1846" s="4">
        <v>2.0</v>
      </c>
    </row>
    <row r="1847">
      <c r="A1847" s="2">
        <v>45583</v>
      </c>
      <c r="B18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7" s="3" t="str">
        <f>YEAR(KMART_DATA[[#This Row],[Date]])&amp;"-"&amp;TEXT(MONTH(KMART_DATA[[#This Row],[Date]]),"00")</f>
        <v>2024-10</v>
      </c>
      <c r="D1847" s="3" t="s">
        <v>45</v>
      </c>
      <c r="E1847" s="3" t="s">
        <v>260</v>
      </c>
      <c r="F1847" s="3" t="s">
        <v>10</v>
      </c>
      <c r="G18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47" s="3" t="s">
        <v>261</v>
      </c>
      <c r="I1847" s="3" t="s">
        <v>31</v>
      </c>
      <c r="J1847" s="3" t="s">
        <v>89</v>
      </c>
      <c r="K1847" s="3" t="s">
        <v>46</v>
      </c>
      <c r="L1847" s="3" t="s">
        <v>47</v>
      </c>
      <c r="M1847" s="4">
        <v>23.96</v>
      </c>
    </row>
    <row r="1848">
      <c r="A1848" s="2">
        <v>45583</v>
      </c>
      <c r="B18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8" s="3" t="str">
        <f>YEAR(KMART_DATA[[#This Row],[Date]])&amp;"-"&amp;TEXT(MONTH(KMART_DATA[[#This Row],[Date]]),"00")</f>
        <v>2024-10</v>
      </c>
      <c r="D1848" s="3" t="s">
        <v>28</v>
      </c>
      <c r="E1848" s="3" t="s">
        <v>179</v>
      </c>
      <c r="F1848" s="3" t="s">
        <v>9</v>
      </c>
      <c r="G18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48" s="3" t="s">
        <v>180</v>
      </c>
      <c r="I1848" s="3" t="s">
        <v>31</v>
      </c>
      <c r="J1848" s="3" t="s">
        <v>99</v>
      </c>
      <c r="K1848" s="3" t="s">
        <v>46</v>
      </c>
      <c r="L1848" s="3" t="s">
        <v>47</v>
      </c>
      <c r="M1848" s="4">
        <v>64.95</v>
      </c>
    </row>
    <row r="1849">
      <c r="A1849" s="2">
        <v>45583</v>
      </c>
      <c r="B18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49" s="3" t="str">
        <f>YEAR(KMART_DATA[[#This Row],[Date]])&amp;"-"&amp;TEXT(MONTH(KMART_DATA[[#This Row],[Date]]),"00")</f>
        <v>2024-10</v>
      </c>
      <c r="D1849" s="3" t="s">
        <v>28</v>
      </c>
      <c r="E1849" s="3" t="s">
        <v>193</v>
      </c>
      <c r="F1849" s="3" t="s">
        <v>9</v>
      </c>
      <c r="G18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49" s="3" t="s">
        <v>194</v>
      </c>
      <c r="I1849" s="3" t="s">
        <v>31</v>
      </c>
      <c r="J1849" s="3" t="s">
        <v>99</v>
      </c>
      <c r="K1849" s="3" t="s">
        <v>57</v>
      </c>
      <c r="L1849" s="3" t="s">
        <v>58</v>
      </c>
      <c r="M1849" s="4">
        <v>128.94</v>
      </c>
    </row>
    <row r="1850">
      <c r="A1850" s="2">
        <v>45583</v>
      </c>
      <c r="B18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0" s="3" t="str">
        <f>YEAR(KMART_DATA[[#This Row],[Date]])&amp;"-"&amp;TEXT(MONTH(KMART_DATA[[#This Row],[Date]]),"00")</f>
        <v>2024-10</v>
      </c>
      <c r="D1850" s="3" t="s">
        <v>45</v>
      </c>
      <c r="E1850" s="3" t="s">
        <v>236</v>
      </c>
      <c r="F1850" s="3" t="s">
        <v>12</v>
      </c>
      <c r="G18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50" s="3" t="s">
        <v>237</v>
      </c>
      <c r="I1850" s="3" t="s">
        <v>31</v>
      </c>
      <c r="J1850" s="3" t="s">
        <v>102</v>
      </c>
      <c r="K1850" s="3" t="s">
        <v>46</v>
      </c>
      <c r="L1850" s="3" t="s">
        <v>47</v>
      </c>
      <c r="M1850" s="4">
        <v>147.86</v>
      </c>
    </row>
    <row r="1851">
      <c r="A1851" s="2">
        <v>45583</v>
      </c>
      <c r="B18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1" s="3" t="str">
        <f>YEAR(KMART_DATA[[#This Row],[Date]])&amp;"-"&amp;TEXT(MONTH(KMART_DATA[[#This Row],[Date]]),"00")</f>
        <v>2024-10</v>
      </c>
      <c r="D1851" s="3" t="s">
        <v>28</v>
      </c>
      <c r="E1851" s="3" t="s">
        <v>110</v>
      </c>
      <c r="F1851" s="3" t="s">
        <v>9</v>
      </c>
      <c r="G18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51" s="3" t="s">
        <v>111</v>
      </c>
      <c r="I1851" s="3" t="s">
        <v>31</v>
      </c>
      <c r="J1851" s="3" t="s">
        <v>81</v>
      </c>
      <c r="K1851" s="3" t="s">
        <v>66</v>
      </c>
      <c r="L1851" s="3" t="s">
        <v>67</v>
      </c>
      <c r="M1851" s="4">
        <v>1477.34</v>
      </c>
    </row>
    <row r="1852">
      <c r="A1852" s="2">
        <v>45583</v>
      </c>
      <c r="B18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2" s="3" t="str">
        <f>YEAR(KMART_DATA[[#This Row],[Date]])&amp;"-"&amp;TEXT(MONTH(KMART_DATA[[#This Row],[Date]]),"00")</f>
        <v>2024-10</v>
      </c>
      <c r="D1852" s="3" t="s">
        <v>28</v>
      </c>
      <c r="E1852" s="3" t="s">
        <v>87</v>
      </c>
      <c r="F1852" s="3" t="s">
        <v>10</v>
      </c>
      <c r="G18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52" s="3" t="s">
        <v>88</v>
      </c>
      <c r="I1852" s="3" t="s">
        <v>31</v>
      </c>
      <c r="J1852" s="3" t="s">
        <v>89</v>
      </c>
      <c r="K1852" s="3" t="s">
        <v>71</v>
      </c>
      <c r="L1852" s="3" t="s">
        <v>72</v>
      </c>
      <c r="M1852" s="4">
        <v>1821.58</v>
      </c>
    </row>
    <row r="1853">
      <c r="A1853" s="2">
        <v>45584</v>
      </c>
      <c r="B18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3" s="3" t="str">
        <f>YEAR(KMART_DATA[[#This Row],[Date]])&amp;"-"&amp;TEXT(MONTH(KMART_DATA[[#This Row],[Date]]),"00")</f>
        <v>2024-10</v>
      </c>
      <c r="D1853" s="3" t="s">
        <v>28</v>
      </c>
      <c r="E1853" s="3" t="s">
        <v>179</v>
      </c>
      <c r="F1853" s="3" t="s">
        <v>9</v>
      </c>
      <c r="G18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53" s="3" t="s">
        <v>180</v>
      </c>
      <c r="I1853" s="3" t="s">
        <v>31</v>
      </c>
      <c r="J1853" s="3" t="s">
        <v>99</v>
      </c>
      <c r="K1853" s="3" t="s">
        <v>43</v>
      </c>
      <c r="L1853" s="3" t="s">
        <v>44</v>
      </c>
      <c r="M1853" s="4">
        <v>20.0</v>
      </c>
    </row>
    <row r="1854">
      <c r="A1854" s="2">
        <v>45584</v>
      </c>
      <c r="B18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4" s="3" t="str">
        <f>YEAR(KMART_DATA[[#This Row],[Date]])&amp;"-"&amp;TEXT(MONTH(KMART_DATA[[#This Row],[Date]]),"00")</f>
        <v>2024-10</v>
      </c>
      <c r="D1854" s="3" t="s">
        <v>28</v>
      </c>
      <c r="E1854" s="3" t="s">
        <v>54</v>
      </c>
      <c r="F1854" s="3" t="s">
        <v>11</v>
      </c>
      <c r="G18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54" s="3" t="s">
        <v>55</v>
      </c>
      <c r="I1854" s="3" t="s">
        <v>31</v>
      </c>
      <c r="J1854" s="3" t="s">
        <v>56</v>
      </c>
      <c r="K1854" s="3" t="s">
        <v>43</v>
      </c>
      <c r="L1854" s="3" t="s">
        <v>44</v>
      </c>
      <c r="M1854" s="4">
        <v>31.5</v>
      </c>
    </row>
    <row r="1855">
      <c r="A1855" s="2">
        <v>45584</v>
      </c>
      <c r="B18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5" s="3" t="str">
        <f>YEAR(KMART_DATA[[#This Row],[Date]])&amp;"-"&amp;TEXT(MONTH(KMART_DATA[[#This Row],[Date]]),"00")</f>
        <v>2024-10</v>
      </c>
      <c r="D1855" s="3" t="s">
        <v>28</v>
      </c>
      <c r="E1855" s="3" t="s">
        <v>189</v>
      </c>
      <c r="F1855" s="3" t="s">
        <v>9</v>
      </c>
      <c r="G18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55" s="3" t="s">
        <v>190</v>
      </c>
      <c r="I1855" s="3" t="s">
        <v>31</v>
      </c>
      <c r="J1855" s="3" t="s">
        <v>81</v>
      </c>
      <c r="K1855" s="3" t="s">
        <v>43</v>
      </c>
      <c r="L1855" s="3" t="s">
        <v>44</v>
      </c>
      <c r="M1855" s="4">
        <v>213.37</v>
      </c>
    </row>
    <row r="1856">
      <c r="A1856" s="2">
        <v>45584</v>
      </c>
      <c r="B18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6" s="3" t="str">
        <f>YEAR(KMART_DATA[[#This Row],[Date]])&amp;"-"&amp;TEXT(MONTH(KMART_DATA[[#This Row],[Date]]),"00")</f>
        <v>2024-10</v>
      </c>
      <c r="D1856" s="3" t="s">
        <v>28</v>
      </c>
      <c r="E1856" s="3" t="s">
        <v>73</v>
      </c>
      <c r="F1856" s="3" t="s">
        <v>9</v>
      </c>
      <c r="G18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56" s="3" t="s">
        <v>74</v>
      </c>
      <c r="I1856" s="3" t="s">
        <v>31</v>
      </c>
      <c r="J1856" s="3" t="s">
        <v>75</v>
      </c>
      <c r="K1856" s="3" t="s">
        <v>46</v>
      </c>
      <c r="L1856" s="3" t="s">
        <v>47</v>
      </c>
      <c r="M1856" s="4">
        <v>460.2</v>
      </c>
    </row>
    <row r="1857">
      <c r="A1857" s="2">
        <v>45584</v>
      </c>
      <c r="B18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7" s="3" t="str">
        <f>YEAR(KMART_DATA[[#This Row],[Date]])&amp;"-"&amp;TEXT(MONTH(KMART_DATA[[#This Row],[Date]]),"00")</f>
        <v>2024-10</v>
      </c>
      <c r="D1857" s="3" t="s">
        <v>28</v>
      </c>
      <c r="E1857" s="3" t="s">
        <v>183</v>
      </c>
      <c r="F1857" s="3" t="s">
        <v>9</v>
      </c>
      <c r="G18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57" s="3" t="s">
        <v>184</v>
      </c>
      <c r="I1857" s="3" t="s">
        <v>31</v>
      </c>
      <c r="J1857" s="3" t="s">
        <v>70</v>
      </c>
      <c r="K1857" s="3" t="s">
        <v>43</v>
      </c>
      <c r="L1857" s="3" t="s">
        <v>44</v>
      </c>
      <c r="M1857" s="4">
        <v>635.62</v>
      </c>
    </row>
    <row r="1858">
      <c r="A1858" s="2">
        <v>45584</v>
      </c>
      <c r="B18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8" s="3" t="str">
        <f>YEAR(KMART_DATA[[#This Row],[Date]])&amp;"-"&amp;TEXT(MONTH(KMART_DATA[[#This Row],[Date]]),"00")</f>
        <v>2024-10</v>
      </c>
      <c r="D1858" s="3" t="s">
        <v>28</v>
      </c>
      <c r="E1858" s="3" t="s">
        <v>62</v>
      </c>
      <c r="F1858" s="3" t="s">
        <v>12</v>
      </c>
      <c r="G18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58" s="3" t="s">
        <v>63</v>
      </c>
      <c r="I1858" s="3" t="s">
        <v>31</v>
      </c>
      <c r="J1858" s="3" t="s">
        <v>50</v>
      </c>
      <c r="K1858" s="3" t="s">
        <v>57</v>
      </c>
      <c r="L1858" s="3" t="s">
        <v>58</v>
      </c>
      <c r="M1858" s="4">
        <v>1532.53</v>
      </c>
    </row>
    <row r="1859">
      <c r="A1859" s="2">
        <v>45584</v>
      </c>
      <c r="B18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59" s="3" t="str">
        <f>YEAR(KMART_DATA[[#This Row],[Date]])&amp;"-"&amp;TEXT(MONTH(KMART_DATA[[#This Row],[Date]]),"00")</f>
        <v>2024-10</v>
      </c>
      <c r="D1859" s="3" t="s">
        <v>28</v>
      </c>
      <c r="E1859" s="3" t="s">
        <v>150</v>
      </c>
      <c r="F1859" s="3" t="s">
        <v>15</v>
      </c>
      <c r="G18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859" s="3" t="s">
        <v>151</v>
      </c>
      <c r="I1859" s="3" t="s">
        <v>31</v>
      </c>
      <c r="J1859" s="3" t="s">
        <v>53</v>
      </c>
      <c r="K1859" s="3" t="s">
        <v>46</v>
      </c>
      <c r="L1859" s="3" t="s">
        <v>47</v>
      </c>
      <c r="M1859" s="4">
        <v>1944.79</v>
      </c>
    </row>
    <row r="1860">
      <c r="A1860" s="2">
        <v>45584</v>
      </c>
      <c r="B18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0" s="3" t="str">
        <f>YEAR(KMART_DATA[[#This Row],[Date]])&amp;"-"&amp;TEXT(MONTH(KMART_DATA[[#This Row],[Date]]),"00")</f>
        <v>2024-10</v>
      </c>
      <c r="D1860" s="3" t="s">
        <v>28</v>
      </c>
      <c r="E1860" s="3" t="s">
        <v>62</v>
      </c>
      <c r="F1860" s="3" t="s">
        <v>12</v>
      </c>
      <c r="G18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60" s="3" t="s">
        <v>63</v>
      </c>
      <c r="I1860" s="3" t="s">
        <v>31</v>
      </c>
      <c r="J1860" s="3" t="s">
        <v>50</v>
      </c>
      <c r="K1860" s="3" t="s">
        <v>123</v>
      </c>
      <c r="L1860" s="3" t="s">
        <v>124</v>
      </c>
      <c r="M1860" s="4">
        <v>6890.95</v>
      </c>
    </row>
    <row r="1861">
      <c r="A1861" s="2">
        <v>45585</v>
      </c>
      <c r="B18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1" s="3" t="str">
        <f>YEAR(KMART_DATA[[#This Row],[Date]])&amp;"-"&amp;TEXT(MONTH(KMART_DATA[[#This Row],[Date]]),"00")</f>
        <v>2024-10</v>
      </c>
      <c r="D1861" s="3" t="s">
        <v>28</v>
      </c>
      <c r="E1861" s="3" t="s">
        <v>127</v>
      </c>
      <c r="F1861" s="3" t="s">
        <v>11</v>
      </c>
      <c r="G18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61" s="3" t="s">
        <v>128</v>
      </c>
      <c r="I1861" s="3" t="s">
        <v>31</v>
      </c>
      <c r="J1861" s="3" t="s">
        <v>78</v>
      </c>
      <c r="K1861" s="3" t="s">
        <v>46</v>
      </c>
      <c r="L1861" s="3" t="s">
        <v>47</v>
      </c>
      <c r="M1861" s="4">
        <v>11.98</v>
      </c>
    </row>
    <row r="1862">
      <c r="A1862" s="2">
        <v>45585</v>
      </c>
      <c r="B18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2" s="3" t="str">
        <f>YEAR(KMART_DATA[[#This Row],[Date]])&amp;"-"&amp;TEXT(MONTH(KMART_DATA[[#This Row],[Date]]),"00")</f>
        <v>2024-10</v>
      </c>
      <c r="D1862" s="3" t="s">
        <v>45</v>
      </c>
      <c r="E1862" s="3" t="s">
        <v>232</v>
      </c>
      <c r="F1862" s="3" t="s">
        <v>9</v>
      </c>
      <c r="G18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62" s="3" t="s">
        <v>233</v>
      </c>
      <c r="I1862" s="3" t="s">
        <v>31</v>
      </c>
      <c r="J1862" s="3" t="s">
        <v>75</v>
      </c>
      <c r="K1862" s="3" t="s">
        <v>71</v>
      </c>
      <c r="L1862" s="3" t="s">
        <v>72</v>
      </c>
      <c r="M1862" s="4">
        <v>79.9</v>
      </c>
    </row>
    <row r="1863">
      <c r="A1863" s="2">
        <v>45585</v>
      </c>
      <c r="B18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3" s="3" t="str">
        <f>YEAR(KMART_DATA[[#This Row],[Date]])&amp;"-"&amp;TEXT(MONTH(KMART_DATA[[#This Row],[Date]]),"00")</f>
        <v>2024-10</v>
      </c>
      <c r="D1863" s="3" t="s">
        <v>28</v>
      </c>
      <c r="E1863" s="3" t="s">
        <v>137</v>
      </c>
      <c r="F1863" s="3" t="s">
        <v>10</v>
      </c>
      <c r="G18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63" s="3" t="s">
        <v>138</v>
      </c>
      <c r="I1863" s="3" t="s">
        <v>31</v>
      </c>
      <c r="J1863" s="3" t="s">
        <v>89</v>
      </c>
      <c r="K1863" s="3" t="s">
        <v>112</v>
      </c>
      <c r="L1863" s="3" t="s">
        <v>113</v>
      </c>
      <c r="M1863" s="4">
        <v>191.58</v>
      </c>
    </row>
    <row r="1864">
      <c r="A1864" s="2">
        <v>45585</v>
      </c>
      <c r="B18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4" s="3" t="str">
        <f>YEAR(KMART_DATA[[#This Row],[Date]])&amp;"-"&amp;TEXT(MONTH(KMART_DATA[[#This Row],[Date]]),"00")</f>
        <v>2024-10</v>
      </c>
      <c r="D1864" s="3" t="s">
        <v>45</v>
      </c>
      <c r="E1864" s="3" t="s">
        <v>40</v>
      </c>
      <c r="F1864" s="3" t="s">
        <v>13</v>
      </c>
      <c r="G18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864" s="3" t="s">
        <v>41</v>
      </c>
      <c r="I1864" s="3" t="s">
        <v>31</v>
      </c>
      <c r="J1864" s="3" t="s">
        <v>42</v>
      </c>
      <c r="K1864" s="3" t="s">
        <v>57</v>
      </c>
      <c r="L1864" s="3" t="s">
        <v>58</v>
      </c>
      <c r="M1864" s="4">
        <v>1784.07</v>
      </c>
    </row>
    <row r="1865">
      <c r="A1865" s="2">
        <v>45586</v>
      </c>
      <c r="B18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5" s="3" t="str">
        <f>YEAR(KMART_DATA[[#This Row],[Date]])&amp;"-"&amp;TEXT(MONTH(KMART_DATA[[#This Row],[Date]]),"00")</f>
        <v>2024-10</v>
      </c>
      <c r="D1865" s="3" t="s">
        <v>45</v>
      </c>
      <c r="E1865" s="3" t="s">
        <v>167</v>
      </c>
      <c r="F1865" s="3" t="s">
        <v>12</v>
      </c>
      <c r="G18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65" s="3" t="s">
        <v>168</v>
      </c>
      <c r="I1865" s="3" t="s">
        <v>31</v>
      </c>
      <c r="J1865" s="3" t="s">
        <v>102</v>
      </c>
      <c r="K1865" s="3" t="s">
        <v>43</v>
      </c>
      <c r="L1865" s="3" t="s">
        <v>44</v>
      </c>
      <c r="M1865" s="4">
        <v>1.0</v>
      </c>
    </row>
    <row r="1866">
      <c r="A1866" s="2">
        <v>45586</v>
      </c>
      <c r="B18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6" s="3" t="str">
        <f>YEAR(KMART_DATA[[#This Row],[Date]])&amp;"-"&amp;TEXT(MONTH(KMART_DATA[[#This Row],[Date]]),"00")</f>
        <v>2024-10</v>
      </c>
      <c r="D1866" s="3" t="s">
        <v>28</v>
      </c>
      <c r="E1866" s="3" t="s">
        <v>177</v>
      </c>
      <c r="F1866" s="3" t="s">
        <v>12</v>
      </c>
      <c r="G18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66" s="3" t="s">
        <v>178</v>
      </c>
      <c r="I1866" s="3" t="s">
        <v>31</v>
      </c>
      <c r="J1866" s="3" t="s">
        <v>162</v>
      </c>
      <c r="K1866" s="3" t="s">
        <v>71</v>
      </c>
      <c r="L1866" s="3" t="s">
        <v>72</v>
      </c>
      <c r="M1866" s="4">
        <v>9.99</v>
      </c>
    </row>
    <row r="1867">
      <c r="A1867" s="2">
        <v>45586</v>
      </c>
      <c r="B18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7" s="3" t="str">
        <f>YEAR(KMART_DATA[[#This Row],[Date]])&amp;"-"&amp;TEXT(MONTH(KMART_DATA[[#This Row],[Date]]),"00")</f>
        <v>2024-10</v>
      </c>
      <c r="D1867" s="3" t="s">
        <v>28</v>
      </c>
      <c r="E1867" s="3" t="s">
        <v>215</v>
      </c>
      <c r="F1867" s="3" t="s">
        <v>15</v>
      </c>
      <c r="G18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867" s="3" t="s">
        <v>216</v>
      </c>
      <c r="I1867" s="3" t="s">
        <v>31</v>
      </c>
      <c r="J1867" s="3" t="s">
        <v>53</v>
      </c>
      <c r="K1867" s="3" t="s">
        <v>46</v>
      </c>
      <c r="L1867" s="3" t="s">
        <v>47</v>
      </c>
      <c r="M1867" s="4">
        <v>17.97</v>
      </c>
    </row>
    <row r="1868">
      <c r="A1868" s="2">
        <v>45586</v>
      </c>
      <c r="B18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8" s="3" t="str">
        <f>YEAR(KMART_DATA[[#This Row],[Date]])&amp;"-"&amp;TEXT(MONTH(KMART_DATA[[#This Row],[Date]]),"00")</f>
        <v>2024-10</v>
      </c>
      <c r="D1868" s="3" t="s">
        <v>45</v>
      </c>
      <c r="E1868" s="3" t="s">
        <v>240</v>
      </c>
      <c r="F1868" s="3" t="s">
        <v>15</v>
      </c>
      <c r="G18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868" s="3" t="s">
        <v>241</v>
      </c>
      <c r="I1868" s="3" t="s">
        <v>31</v>
      </c>
      <c r="J1868" s="3" t="s">
        <v>53</v>
      </c>
      <c r="K1868" s="3" t="s">
        <v>71</v>
      </c>
      <c r="L1868" s="3" t="s">
        <v>72</v>
      </c>
      <c r="M1868" s="4">
        <v>143.89</v>
      </c>
    </row>
    <row r="1869">
      <c r="A1869" s="2">
        <v>45586</v>
      </c>
      <c r="B18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69" s="3" t="str">
        <f>YEAR(KMART_DATA[[#This Row],[Date]])&amp;"-"&amp;TEXT(MONTH(KMART_DATA[[#This Row],[Date]]),"00")</f>
        <v>2024-10</v>
      </c>
      <c r="D1869" s="3" t="s">
        <v>28</v>
      </c>
      <c r="E1869" s="3" t="s">
        <v>201</v>
      </c>
      <c r="F1869" s="3" t="s">
        <v>10</v>
      </c>
      <c r="G18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69" s="3" t="s">
        <v>202</v>
      </c>
      <c r="I1869" s="3" t="s">
        <v>31</v>
      </c>
      <c r="J1869" s="3" t="s">
        <v>89</v>
      </c>
      <c r="K1869" s="3" t="s">
        <v>57</v>
      </c>
      <c r="L1869" s="3" t="s">
        <v>58</v>
      </c>
      <c r="M1869" s="4">
        <v>417.98</v>
      </c>
    </row>
    <row r="1870">
      <c r="A1870" s="2">
        <v>45586</v>
      </c>
      <c r="B18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0" s="3" t="str">
        <f>YEAR(KMART_DATA[[#This Row],[Date]])&amp;"-"&amp;TEXT(MONTH(KMART_DATA[[#This Row],[Date]]),"00")</f>
        <v>2024-10</v>
      </c>
      <c r="D1870" s="3" t="s">
        <v>28</v>
      </c>
      <c r="E1870" s="3" t="s">
        <v>187</v>
      </c>
      <c r="F1870" s="3" t="s">
        <v>11</v>
      </c>
      <c r="G18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70" s="3" t="s">
        <v>188</v>
      </c>
      <c r="I1870" s="3" t="s">
        <v>31</v>
      </c>
      <c r="J1870" s="3" t="s">
        <v>78</v>
      </c>
      <c r="K1870" s="3" t="s">
        <v>95</v>
      </c>
      <c r="L1870" s="3" t="s">
        <v>96</v>
      </c>
      <c r="M1870" s="4">
        <v>432.5</v>
      </c>
    </row>
    <row r="1871">
      <c r="A1871" s="2">
        <v>45586</v>
      </c>
      <c r="B18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1" s="3" t="str">
        <f>YEAR(KMART_DATA[[#This Row],[Date]])&amp;"-"&amp;TEXT(MONTH(KMART_DATA[[#This Row],[Date]]),"00")</f>
        <v>2024-10</v>
      </c>
      <c r="D1871" s="3" t="s">
        <v>28</v>
      </c>
      <c r="E1871" s="3" t="s">
        <v>62</v>
      </c>
      <c r="F1871" s="3" t="s">
        <v>12</v>
      </c>
      <c r="G18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71" s="3" t="s">
        <v>63</v>
      </c>
      <c r="I1871" s="3" t="s">
        <v>31</v>
      </c>
      <c r="J1871" s="3" t="s">
        <v>50</v>
      </c>
      <c r="K1871" s="3" t="s">
        <v>43</v>
      </c>
      <c r="L1871" s="3" t="s">
        <v>44</v>
      </c>
      <c r="M1871" s="4">
        <v>895.92</v>
      </c>
    </row>
    <row r="1872">
      <c r="A1872" s="2">
        <v>45586</v>
      </c>
      <c r="B18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2" s="3" t="str">
        <f>YEAR(KMART_DATA[[#This Row],[Date]])&amp;"-"&amp;TEXT(MONTH(KMART_DATA[[#This Row],[Date]]),"00")</f>
        <v>2024-10</v>
      </c>
      <c r="D1872" s="3" t="s">
        <v>28</v>
      </c>
      <c r="E1872" s="3" t="s">
        <v>197</v>
      </c>
      <c r="F1872" s="3" t="s">
        <v>9</v>
      </c>
      <c r="G18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72" s="3" t="s">
        <v>198</v>
      </c>
      <c r="I1872" s="3" t="s">
        <v>31</v>
      </c>
      <c r="J1872" s="3" t="s">
        <v>107</v>
      </c>
      <c r="K1872" s="3" t="s">
        <v>123</v>
      </c>
      <c r="L1872" s="3" t="s">
        <v>124</v>
      </c>
      <c r="M1872" s="4">
        <v>918.02</v>
      </c>
    </row>
    <row r="1873">
      <c r="A1873" s="2">
        <v>45587</v>
      </c>
      <c r="B18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3" s="3" t="str">
        <f>YEAR(KMART_DATA[[#This Row],[Date]])&amp;"-"&amp;TEXT(MONTH(KMART_DATA[[#This Row],[Date]]),"00")</f>
        <v>2024-10</v>
      </c>
      <c r="D1873" s="3" t="s">
        <v>28</v>
      </c>
      <c r="E1873" s="3" t="s">
        <v>150</v>
      </c>
      <c r="F1873" s="3" t="s">
        <v>15</v>
      </c>
      <c r="G18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873" s="3" t="s">
        <v>151</v>
      </c>
      <c r="I1873" s="3" t="s">
        <v>31</v>
      </c>
      <c r="J1873" s="3" t="s">
        <v>53</v>
      </c>
      <c r="K1873" s="3" t="s">
        <v>71</v>
      </c>
      <c r="L1873" s="3" t="s">
        <v>72</v>
      </c>
      <c r="M1873" s="4">
        <v>145.91</v>
      </c>
    </row>
    <row r="1874">
      <c r="A1874" s="2">
        <v>45587</v>
      </c>
      <c r="B18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4" s="3" t="str">
        <f>YEAR(KMART_DATA[[#This Row],[Date]])&amp;"-"&amp;TEXT(MONTH(KMART_DATA[[#This Row],[Date]]),"00")</f>
        <v>2024-10</v>
      </c>
      <c r="D1874" s="3" t="s">
        <v>45</v>
      </c>
      <c r="E1874" s="3" t="s">
        <v>205</v>
      </c>
      <c r="F1874" s="3" t="s">
        <v>10</v>
      </c>
      <c r="G18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74" s="3" t="s">
        <v>206</v>
      </c>
      <c r="I1874" s="3" t="s">
        <v>31</v>
      </c>
      <c r="J1874" s="3" t="s">
        <v>37</v>
      </c>
      <c r="K1874" s="3" t="s">
        <v>95</v>
      </c>
      <c r="L1874" s="3" t="s">
        <v>96</v>
      </c>
      <c r="M1874" s="4">
        <v>303.72</v>
      </c>
    </row>
    <row r="1875">
      <c r="A1875" s="2">
        <v>45587</v>
      </c>
      <c r="B18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5" s="3" t="str">
        <f>YEAR(KMART_DATA[[#This Row],[Date]])&amp;"-"&amp;TEXT(MONTH(KMART_DATA[[#This Row],[Date]]),"00")</f>
        <v>2024-10</v>
      </c>
      <c r="D1875" s="3" t="s">
        <v>28</v>
      </c>
      <c r="E1875" s="3" t="s">
        <v>114</v>
      </c>
      <c r="F1875" s="3" t="s">
        <v>9</v>
      </c>
      <c r="G18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75" s="3" t="s">
        <v>115</v>
      </c>
      <c r="I1875" s="3" t="s">
        <v>31</v>
      </c>
      <c r="J1875" s="3" t="s">
        <v>99</v>
      </c>
      <c r="K1875" s="3" t="s">
        <v>66</v>
      </c>
      <c r="L1875" s="3" t="s">
        <v>67</v>
      </c>
      <c r="M1875" s="4">
        <v>1809.25</v>
      </c>
    </row>
    <row r="1876">
      <c r="A1876" s="2">
        <v>45588</v>
      </c>
      <c r="B18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6" s="3" t="str">
        <f>YEAR(KMART_DATA[[#This Row],[Date]])&amp;"-"&amp;TEXT(MONTH(KMART_DATA[[#This Row],[Date]]),"00")</f>
        <v>2024-10</v>
      </c>
      <c r="D1876" s="3" t="s">
        <v>45</v>
      </c>
      <c r="E1876" s="3" t="s">
        <v>154</v>
      </c>
      <c r="F1876" s="3" t="s">
        <v>11</v>
      </c>
      <c r="G18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76" s="3" t="s">
        <v>155</v>
      </c>
      <c r="I1876" s="3" t="s">
        <v>31</v>
      </c>
      <c r="J1876" s="3" t="s">
        <v>84</v>
      </c>
      <c r="K1876" s="3" t="s">
        <v>46</v>
      </c>
      <c r="L1876" s="3" t="s">
        <v>47</v>
      </c>
      <c r="M1876" s="4">
        <v>54.62</v>
      </c>
    </row>
    <row r="1877">
      <c r="A1877" s="2">
        <v>45588</v>
      </c>
      <c r="B18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7" s="3" t="str">
        <f>YEAR(KMART_DATA[[#This Row],[Date]])&amp;"-"&amp;TEXT(MONTH(KMART_DATA[[#This Row],[Date]]),"00")</f>
        <v>2024-10</v>
      </c>
      <c r="D1877" s="3" t="s">
        <v>45</v>
      </c>
      <c r="E1877" s="3" t="s">
        <v>105</v>
      </c>
      <c r="F1877" s="3" t="s">
        <v>9</v>
      </c>
      <c r="G18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77" s="3" t="s">
        <v>106</v>
      </c>
      <c r="I1877" s="3" t="s">
        <v>31</v>
      </c>
      <c r="J1877" s="3" t="s">
        <v>107</v>
      </c>
      <c r="K1877" s="3" t="s">
        <v>66</v>
      </c>
      <c r="L1877" s="3" t="s">
        <v>67</v>
      </c>
      <c r="M1877" s="4">
        <v>67.45</v>
      </c>
    </row>
    <row r="1878">
      <c r="A1878" s="2">
        <v>45588</v>
      </c>
      <c r="B18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8" s="3" t="str">
        <f>YEAR(KMART_DATA[[#This Row],[Date]])&amp;"-"&amp;TEXT(MONTH(KMART_DATA[[#This Row],[Date]]),"00")</f>
        <v>2024-10</v>
      </c>
      <c r="D1878" s="3" t="s">
        <v>45</v>
      </c>
      <c r="E1878" s="3" t="s">
        <v>223</v>
      </c>
      <c r="F1878" s="3" t="s">
        <v>10</v>
      </c>
      <c r="G18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78" s="3" t="s">
        <v>224</v>
      </c>
      <c r="I1878" s="3" t="s">
        <v>31</v>
      </c>
      <c r="J1878" s="3" t="s">
        <v>94</v>
      </c>
      <c r="K1878" s="3" t="s">
        <v>33</v>
      </c>
      <c r="L1878" s="3" t="s">
        <v>34</v>
      </c>
      <c r="M1878" s="4">
        <v>538.76</v>
      </c>
    </row>
    <row r="1879">
      <c r="A1879" s="2">
        <v>45588</v>
      </c>
      <c r="B18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79" s="3" t="str">
        <f>YEAR(KMART_DATA[[#This Row],[Date]])&amp;"-"&amp;TEXT(MONTH(KMART_DATA[[#This Row],[Date]]),"00")</f>
        <v>2024-10</v>
      </c>
      <c r="D1879" s="3" t="s">
        <v>28</v>
      </c>
      <c r="E1879" s="3" t="s">
        <v>217</v>
      </c>
      <c r="F1879" s="3" t="s">
        <v>10</v>
      </c>
      <c r="G18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79" s="3" t="s">
        <v>218</v>
      </c>
      <c r="I1879" s="3" t="s">
        <v>31</v>
      </c>
      <c r="J1879" s="3" t="s">
        <v>89</v>
      </c>
      <c r="K1879" s="3" t="s">
        <v>71</v>
      </c>
      <c r="L1879" s="3" t="s">
        <v>72</v>
      </c>
      <c r="M1879" s="4">
        <v>2657.48</v>
      </c>
    </row>
    <row r="1880">
      <c r="A1880" s="2">
        <v>45589</v>
      </c>
      <c r="B18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0" s="3" t="str">
        <f>YEAR(KMART_DATA[[#This Row],[Date]])&amp;"-"&amp;TEXT(MONTH(KMART_DATA[[#This Row],[Date]]),"00")</f>
        <v>2024-10</v>
      </c>
      <c r="D1880" s="3" t="s">
        <v>45</v>
      </c>
      <c r="E1880" s="3" t="s">
        <v>97</v>
      </c>
      <c r="F1880" s="3" t="s">
        <v>9</v>
      </c>
      <c r="G18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80" s="3" t="s">
        <v>98</v>
      </c>
      <c r="I1880" s="3" t="s">
        <v>31</v>
      </c>
      <c r="J1880" s="3" t="s">
        <v>99</v>
      </c>
      <c r="K1880" s="3" t="s">
        <v>95</v>
      </c>
      <c r="L1880" s="3" t="s">
        <v>96</v>
      </c>
      <c r="M1880" s="4">
        <v>6.0</v>
      </c>
    </row>
    <row r="1881">
      <c r="A1881" s="2">
        <v>45589</v>
      </c>
      <c r="B18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1" s="3" t="str">
        <f>YEAR(KMART_DATA[[#This Row],[Date]])&amp;"-"&amp;TEXT(MONTH(KMART_DATA[[#This Row],[Date]]),"00")</f>
        <v>2024-10</v>
      </c>
      <c r="D1881" s="3" t="s">
        <v>45</v>
      </c>
      <c r="E1881" s="3" t="s">
        <v>221</v>
      </c>
      <c r="F1881" s="3" t="s">
        <v>11</v>
      </c>
      <c r="G18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81" s="3" t="s">
        <v>222</v>
      </c>
      <c r="I1881" s="3" t="s">
        <v>31</v>
      </c>
      <c r="J1881" s="3" t="s">
        <v>56</v>
      </c>
      <c r="K1881" s="3" t="s">
        <v>112</v>
      </c>
      <c r="L1881" s="3" t="s">
        <v>113</v>
      </c>
      <c r="M1881" s="4">
        <v>54.89</v>
      </c>
    </row>
    <row r="1882">
      <c r="A1882" s="2">
        <v>45589</v>
      </c>
      <c r="B18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2" s="3" t="str">
        <f>YEAR(KMART_DATA[[#This Row],[Date]])&amp;"-"&amp;TEXT(MONTH(KMART_DATA[[#This Row],[Date]]),"00")</f>
        <v>2024-10</v>
      </c>
      <c r="D1882" s="3" t="s">
        <v>45</v>
      </c>
      <c r="E1882" s="3" t="s">
        <v>160</v>
      </c>
      <c r="F1882" s="3" t="s">
        <v>12</v>
      </c>
      <c r="G18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82" s="3" t="s">
        <v>161</v>
      </c>
      <c r="I1882" s="3" t="s">
        <v>31</v>
      </c>
      <c r="J1882" s="3" t="s">
        <v>162</v>
      </c>
      <c r="K1882" s="3" t="s">
        <v>66</v>
      </c>
      <c r="L1882" s="3" t="s">
        <v>67</v>
      </c>
      <c r="M1882" s="4">
        <v>66.92</v>
      </c>
    </row>
    <row r="1883">
      <c r="A1883" s="2">
        <v>45589</v>
      </c>
      <c r="B18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3" s="3" t="str">
        <f>YEAR(KMART_DATA[[#This Row],[Date]])&amp;"-"&amp;TEXT(MONTH(KMART_DATA[[#This Row],[Date]]),"00")</f>
        <v>2024-10</v>
      </c>
      <c r="D1883" s="3" t="s">
        <v>28</v>
      </c>
      <c r="E1883" s="3" t="s">
        <v>160</v>
      </c>
      <c r="F1883" s="3" t="s">
        <v>12</v>
      </c>
      <c r="G18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83" s="3" t="s">
        <v>161</v>
      </c>
      <c r="I1883" s="3" t="s">
        <v>31</v>
      </c>
      <c r="J1883" s="3" t="s">
        <v>162</v>
      </c>
      <c r="K1883" s="3" t="s">
        <v>95</v>
      </c>
      <c r="L1883" s="3" t="s">
        <v>96</v>
      </c>
      <c r="M1883" s="4">
        <v>294.44</v>
      </c>
    </row>
    <row r="1884">
      <c r="A1884" s="2">
        <v>45589</v>
      </c>
      <c r="B18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4" s="3" t="str">
        <f>YEAR(KMART_DATA[[#This Row],[Date]])&amp;"-"&amp;TEXT(MONTH(KMART_DATA[[#This Row],[Date]]),"00")</f>
        <v>2024-10</v>
      </c>
      <c r="D1884" s="3" t="s">
        <v>28</v>
      </c>
      <c r="E1884" s="3" t="s">
        <v>87</v>
      </c>
      <c r="F1884" s="3" t="s">
        <v>10</v>
      </c>
      <c r="G18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84" s="3" t="s">
        <v>88</v>
      </c>
      <c r="I1884" s="3" t="s">
        <v>31</v>
      </c>
      <c r="J1884" s="3" t="s">
        <v>89</v>
      </c>
      <c r="K1884" s="3" t="s">
        <v>71</v>
      </c>
      <c r="L1884" s="3" t="s">
        <v>72</v>
      </c>
      <c r="M1884" s="4">
        <v>6642.2</v>
      </c>
    </row>
    <row r="1885">
      <c r="A1885" s="2">
        <v>45590</v>
      </c>
      <c r="B18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5" s="3" t="str">
        <f>YEAR(KMART_DATA[[#This Row],[Date]])&amp;"-"&amp;TEXT(MONTH(KMART_DATA[[#This Row],[Date]]),"00")</f>
        <v>2024-10</v>
      </c>
      <c r="D1885" s="3" t="s">
        <v>28</v>
      </c>
      <c r="E1885" s="3" t="s">
        <v>135</v>
      </c>
      <c r="F1885" s="3" t="s">
        <v>16</v>
      </c>
      <c r="G18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885" s="3" t="s">
        <v>136</v>
      </c>
      <c r="I1885" s="3" t="s">
        <v>31</v>
      </c>
      <c r="J1885" s="3" t="s">
        <v>107</v>
      </c>
      <c r="K1885" s="3" t="s">
        <v>112</v>
      </c>
      <c r="L1885" s="3" t="s">
        <v>113</v>
      </c>
      <c r="M1885" s="4">
        <v>5.98</v>
      </c>
    </row>
    <row r="1886">
      <c r="A1886" s="2">
        <v>45590</v>
      </c>
      <c r="B18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6" s="3" t="str">
        <f>YEAR(KMART_DATA[[#This Row],[Date]])&amp;"-"&amp;TEXT(MONTH(KMART_DATA[[#This Row],[Date]]),"00")</f>
        <v>2024-10</v>
      </c>
      <c r="D1886" s="3" t="s">
        <v>28</v>
      </c>
      <c r="E1886" s="3" t="s">
        <v>199</v>
      </c>
      <c r="F1886" s="3" t="s">
        <v>13</v>
      </c>
      <c r="G18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886" s="3" t="s">
        <v>200</v>
      </c>
      <c r="I1886" s="3" t="s">
        <v>31</v>
      </c>
      <c r="J1886" s="3" t="s">
        <v>42</v>
      </c>
      <c r="K1886" s="3" t="s">
        <v>95</v>
      </c>
      <c r="L1886" s="3" t="s">
        <v>96</v>
      </c>
      <c r="M1886" s="4">
        <v>9.99</v>
      </c>
    </row>
    <row r="1887">
      <c r="A1887" s="2">
        <v>45590</v>
      </c>
      <c r="B18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7" s="3" t="str">
        <f>YEAR(KMART_DATA[[#This Row],[Date]])&amp;"-"&amp;TEXT(MONTH(KMART_DATA[[#This Row],[Date]]),"00")</f>
        <v>2024-10</v>
      </c>
      <c r="D1887" s="3" t="s">
        <v>45</v>
      </c>
      <c r="E1887" s="3" t="s">
        <v>103</v>
      </c>
      <c r="F1887" s="3" t="s">
        <v>12</v>
      </c>
      <c r="G18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87" s="3" t="s">
        <v>104</v>
      </c>
      <c r="I1887" s="3" t="s">
        <v>31</v>
      </c>
      <c r="J1887" s="3" t="s">
        <v>102</v>
      </c>
      <c r="K1887" s="3" t="s">
        <v>112</v>
      </c>
      <c r="L1887" s="3" t="s">
        <v>113</v>
      </c>
      <c r="M1887" s="4">
        <v>133.67</v>
      </c>
    </row>
    <row r="1888">
      <c r="A1888" s="2">
        <v>45591</v>
      </c>
      <c r="B18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8" s="3" t="str">
        <f>YEAR(KMART_DATA[[#This Row],[Date]])&amp;"-"&amp;TEXT(MONTH(KMART_DATA[[#This Row],[Date]]),"00")</f>
        <v>2024-10</v>
      </c>
      <c r="D1888" s="3" t="s">
        <v>45</v>
      </c>
      <c r="E1888" s="3" t="s">
        <v>242</v>
      </c>
      <c r="F1888" s="3" t="s">
        <v>10</v>
      </c>
      <c r="G18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88" s="3" t="s">
        <v>243</v>
      </c>
      <c r="I1888" s="3" t="s">
        <v>31</v>
      </c>
      <c r="J1888" s="3" t="s">
        <v>94</v>
      </c>
      <c r="K1888" s="3" t="s">
        <v>38</v>
      </c>
      <c r="L1888" s="3" t="s">
        <v>39</v>
      </c>
      <c r="M1888" s="4">
        <v>2.0</v>
      </c>
    </row>
    <row r="1889">
      <c r="A1889" s="2">
        <v>45591</v>
      </c>
      <c r="B18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89" s="3" t="str">
        <f>YEAR(KMART_DATA[[#This Row],[Date]])&amp;"-"&amp;TEXT(MONTH(KMART_DATA[[#This Row],[Date]]),"00")</f>
        <v>2024-10</v>
      </c>
      <c r="D1889" s="3" t="s">
        <v>28</v>
      </c>
      <c r="E1889" s="3" t="s">
        <v>163</v>
      </c>
      <c r="F1889" s="3" t="s">
        <v>9</v>
      </c>
      <c r="G18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89" s="3" t="s">
        <v>164</v>
      </c>
      <c r="I1889" s="3" t="s">
        <v>31</v>
      </c>
      <c r="J1889" s="3" t="s">
        <v>81</v>
      </c>
      <c r="K1889" s="3" t="s">
        <v>46</v>
      </c>
      <c r="L1889" s="3" t="s">
        <v>47</v>
      </c>
      <c r="M1889" s="4">
        <v>25.5</v>
      </c>
    </row>
    <row r="1890">
      <c r="A1890" s="2">
        <v>45591</v>
      </c>
      <c r="B18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0" s="3" t="str">
        <f>YEAR(KMART_DATA[[#This Row],[Date]])&amp;"-"&amp;TEXT(MONTH(KMART_DATA[[#This Row],[Date]]),"00")</f>
        <v>2024-10</v>
      </c>
      <c r="D1890" s="3" t="s">
        <v>45</v>
      </c>
      <c r="E1890" s="3" t="s">
        <v>173</v>
      </c>
      <c r="F1890" s="3" t="s">
        <v>11</v>
      </c>
      <c r="G18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90" s="3" t="s">
        <v>174</v>
      </c>
      <c r="I1890" s="3" t="s">
        <v>31</v>
      </c>
      <c r="J1890" s="3" t="s">
        <v>61</v>
      </c>
      <c r="K1890" s="3" t="s">
        <v>71</v>
      </c>
      <c r="L1890" s="3" t="s">
        <v>72</v>
      </c>
      <c r="M1890" s="4">
        <v>79.92</v>
      </c>
    </row>
    <row r="1891">
      <c r="A1891" s="2">
        <v>45591</v>
      </c>
      <c r="B18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1" s="3" t="str">
        <f>YEAR(KMART_DATA[[#This Row],[Date]])&amp;"-"&amp;TEXT(MONTH(KMART_DATA[[#This Row],[Date]]),"00")</f>
        <v>2024-10</v>
      </c>
      <c r="D1891" s="3" t="s">
        <v>45</v>
      </c>
      <c r="E1891" s="3" t="s">
        <v>207</v>
      </c>
      <c r="F1891" s="3" t="s">
        <v>11</v>
      </c>
      <c r="G18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91" s="3" t="s">
        <v>208</v>
      </c>
      <c r="I1891" s="3" t="s">
        <v>31</v>
      </c>
      <c r="J1891" s="3" t="s">
        <v>78</v>
      </c>
      <c r="K1891" s="3" t="s">
        <v>33</v>
      </c>
      <c r="L1891" s="3" t="s">
        <v>34</v>
      </c>
      <c r="M1891" s="4">
        <v>180.71</v>
      </c>
    </row>
    <row r="1892">
      <c r="A1892" s="2">
        <v>45591</v>
      </c>
      <c r="B18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2" s="3" t="str">
        <f>YEAR(KMART_DATA[[#This Row],[Date]])&amp;"-"&amp;TEXT(MONTH(KMART_DATA[[#This Row],[Date]]),"00")</f>
        <v>2024-10</v>
      </c>
      <c r="D1892" s="3" t="s">
        <v>28</v>
      </c>
      <c r="E1892" s="3" t="s">
        <v>225</v>
      </c>
      <c r="F1892" s="3" t="s">
        <v>13</v>
      </c>
      <c r="G18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892" s="3" t="s">
        <v>226</v>
      </c>
      <c r="I1892" s="3" t="s">
        <v>31</v>
      </c>
      <c r="J1892" s="3" t="s">
        <v>227</v>
      </c>
      <c r="K1892" s="3" t="s">
        <v>57</v>
      </c>
      <c r="L1892" s="3" t="s">
        <v>58</v>
      </c>
      <c r="M1892" s="4">
        <v>185.81</v>
      </c>
    </row>
    <row r="1893">
      <c r="A1893" s="2">
        <v>45591</v>
      </c>
      <c r="B18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3" s="3" t="str">
        <f>YEAR(KMART_DATA[[#This Row],[Date]])&amp;"-"&amp;TEXT(MONTH(KMART_DATA[[#This Row],[Date]]),"00")</f>
        <v>2024-10</v>
      </c>
      <c r="D1893" s="3" t="s">
        <v>28</v>
      </c>
      <c r="E1893" s="3" t="s">
        <v>152</v>
      </c>
      <c r="F1893" s="3" t="s">
        <v>11</v>
      </c>
      <c r="G18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93" s="3" t="s">
        <v>153</v>
      </c>
      <c r="I1893" s="3" t="s">
        <v>31</v>
      </c>
      <c r="J1893" s="3" t="s">
        <v>61</v>
      </c>
      <c r="K1893" s="3" t="s">
        <v>57</v>
      </c>
      <c r="L1893" s="3" t="s">
        <v>58</v>
      </c>
      <c r="M1893" s="4">
        <v>445.52</v>
      </c>
    </row>
    <row r="1894">
      <c r="A1894" s="2">
        <v>45591</v>
      </c>
      <c r="B18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4" s="3" t="str">
        <f>YEAR(KMART_DATA[[#This Row],[Date]])&amp;"-"&amp;TEXT(MONTH(KMART_DATA[[#This Row],[Date]]),"00")</f>
        <v>2024-10</v>
      </c>
      <c r="D1894" s="3" t="s">
        <v>28</v>
      </c>
      <c r="E1894" s="3" t="s">
        <v>73</v>
      </c>
      <c r="F1894" s="3" t="s">
        <v>9</v>
      </c>
      <c r="G18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894" s="3" t="s">
        <v>74</v>
      </c>
      <c r="I1894" s="3" t="s">
        <v>31</v>
      </c>
      <c r="J1894" s="3" t="s">
        <v>75</v>
      </c>
      <c r="K1894" s="3" t="s">
        <v>95</v>
      </c>
      <c r="L1894" s="3" t="s">
        <v>96</v>
      </c>
      <c r="M1894" s="4">
        <v>639.43</v>
      </c>
    </row>
    <row r="1895">
      <c r="A1895" s="2">
        <v>45591</v>
      </c>
      <c r="B18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5" s="3" t="str">
        <f>YEAR(KMART_DATA[[#This Row],[Date]])&amp;"-"&amp;TEXT(MONTH(KMART_DATA[[#This Row],[Date]]),"00")</f>
        <v>2024-10</v>
      </c>
      <c r="D1895" s="3" t="s">
        <v>28</v>
      </c>
      <c r="E1895" s="3" t="s">
        <v>135</v>
      </c>
      <c r="F1895" s="3" t="s">
        <v>16</v>
      </c>
      <c r="G18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895" s="3" t="s">
        <v>136</v>
      </c>
      <c r="I1895" s="3" t="s">
        <v>31</v>
      </c>
      <c r="J1895" s="3" t="s">
        <v>107</v>
      </c>
      <c r="K1895" s="3" t="s">
        <v>57</v>
      </c>
      <c r="L1895" s="3" t="s">
        <v>58</v>
      </c>
      <c r="M1895" s="4">
        <v>1268.55</v>
      </c>
    </row>
    <row r="1896">
      <c r="A1896" s="2">
        <v>45592</v>
      </c>
      <c r="B18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6" s="3" t="str">
        <f>YEAR(KMART_DATA[[#This Row],[Date]])&amp;"-"&amp;TEXT(MONTH(KMART_DATA[[#This Row],[Date]]),"00")</f>
        <v>2024-10</v>
      </c>
      <c r="D1896" s="3" t="s">
        <v>28</v>
      </c>
      <c r="E1896" s="3" t="s">
        <v>148</v>
      </c>
      <c r="F1896" s="3" t="s">
        <v>12</v>
      </c>
      <c r="G18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96" s="3" t="s">
        <v>149</v>
      </c>
      <c r="I1896" s="3" t="s">
        <v>31</v>
      </c>
      <c r="J1896" s="3" t="s">
        <v>50</v>
      </c>
      <c r="K1896" s="3" t="s">
        <v>123</v>
      </c>
      <c r="L1896" s="3" t="s">
        <v>124</v>
      </c>
      <c r="M1896" s="4">
        <v>16.49</v>
      </c>
    </row>
    <row r="1897">
      <c r="A1897" s="2">
        <v>45592</v>
      </c>
      <c r="B18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7" s="3" t="str">
        <f>YEAR(KMART_DATA[[#This Row],[Date]])&amp;"-"&amp;TEXT(MONTH(KMART_DATA[[#This Row],[Date]]),"00")</f>
        <v>2024-10</v>
      </c>
      <c r="D1897" s="3" t="s">
        <v>28</v>
      </c>
      <c r="E1897" s="3" t="s">
        <v>127</v>
      </c>
      <c r="F1897" s="3" t="s">
        <v>11</v>
      </c>
      <c r="G18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897" s="3" t="s">
        <v>128</v>
      </c>
      <c r="I1897" s="3" t="s">
        <v>31</v>
      </c>
      <c r="J1897" s="3" t="s">
        <v>78</v>
      </c>
      <c r="K1897" s="3" t="s">
        <v>123</v>
      </c>
      <c r="L1897" s="3" t="s">
        <v>124</v>
      </c>
      <c r="M1897" s="4">
        <v>63.92</v>
      </c>
    </row>
    <row r="1898">
      <c r="A1898" s="2">
        <v>45592</v>
      </c>
      <c r="B18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8" s="3" t="str">
        <f>YEAR(KMART_DATA[[#This Row],[Date]])&amp;"-"&amp;TEXT(MONTH(KMART_DATA[[#This Row],[Date]]),"00")</f>
        <v>2024-10</v>
      </c>
      <c r="D1898" s="3" t="s">
        <v>28</v>
      </c>
      <c r="E1898" s="3" t="s">
        <v>129</v>
      </c>
      <c r="F1898" s="3" t="s">
        <v>10</v>
      </c>
      <c r="G18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898" s="3" t="s">
        <v>130</v>
      </c>
      <c r="I1898" s="3" t="s">
        <v>31</v>
      </c>
      <c r="J1898" s="3" t="s">
        <v>120</v>
      </c>
      <c r="K1898" s="3" t="s">
        <v>71</v>
      </c>
      <c r="L1898" s="3" t="s">
        <v>72</v>
      </c>
      <c r="M1898" s="4">
        <v>117.63</v>
      </c>
    </row>
    <row r="1899">
      <c r="A1899" s="2">
        <v>45592</v>
      </c>
      <c r="B18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899" s="3" t="str">
        <f>YEAR(KMART_DATA[[#This Row],[Date]])&amp;"-"&amp;TEXT(MONTH(KMART_DATA[[#This Row],[Date]]),"00")</f>
        <v>2024-10</v>
      </c>
      <c r="D1899" s="3" t="s">
        <v>28</v>
      </c>
      <c r="E1899" s="3" t="s">
        <v>236</v>
      </c>
      <c r="F1899" s="3" t="s">
        <v>12</v>
      </c>
      <c r="G18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899" s="3" t="s">
        <v>237</v>
      </c>
      <c r="I1899" s="3" t="s">
        <v>31</v>
      </c>
      <c r="J1899" s="3" t="s">
        <v>102</v>
      </c>
      <c r="K1899" s="3" t="s">
        <v>33</v>
      </c>
      <c r="L1899" s="3" t="s">
        <v>34</v>
      </c>
      <c r="M1899" s="4">
        <v>319.33</v>
      </c>
    </row>
    <row r="1900">
      <c r="A1900" s="2">
        <v>45592</v>
      </c>
      <c r="B19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0" s="3" t="str">
        <f>YEAR(KMART_DATA[[#This Row],[Date]])&amp;"-"&amp;TEXT(MONTH(KMART_DATA[[#This Row],[Date]]),"00")</f>
        <v>2024-10</v>
      </c>
      <c r="D1900" s="3" t="s">
        <v>28</v>
      </c>
      <c r="E1900" s="3" t="s">
        <v>79</v>
      </c>
      <c r="F1900" s="3" t="s">
        <v>9</v>
      </c>
      <c r="G19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00" s="3" t="s">
        <v>80</v>
      </c>
      <c r="I1900" s="3" t="s">
        <v>31</v>
      </c>
      <c r="J1900" s="3" t="s">
        <v>81</v>
      </c>
      <c r="K1900" s="3" t="s">
        <v>38</v>
      </c>
      <c r="L1900" s="3" t="s">
        <v>39</v>
      </c>
      <c r="M1900" s="4">
        <v>333.7</v>
      </c>
    </row>
    <row r="1901">
      <c r="A1901" s="2">
        <v>45592</v>
      </c>
      <c r="B19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1" s="3" t="str">
        <f>YEAR(KMART_DATA[[#This Row],[Date]])&amp;"-"&amp;TEXT(MONTH(KMART_DATA[[#This Row],[Date]]),"00")</f>
        <v>2024-10</v>
      </c>
      <c r="D1901" s="3" t="s">
        <v>28</v>
      </c>
      <c r="E1901" s="3" t="s">
        <v>197</v>
      </c>
      <c r="F1901" s="3" t="s">
        <v>9</v>
      </c>
      <c r="G19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01" s="3" t="s">
        <v>198</v>
      </c>
      <c r="I1901" s="3" t="s">
        <v>31</v>
      </c>
      <c r="J1901" s="3" t="s">
        <v>107</v>
      </c>
      <c r="K1901" s="3" t="s">
        <v>57</v>
      </c>
      <c r="L1901" s="3" t="s">
        <v>58</v>
      </c>
      <c r="M1901" s="4">
        <v>941.62</v>
      </c>
    </row>
    <row r="1902">
      <c r="A1902" s="2">
        <v>45592</v>
      </c>
      <c r="B19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2" s="3" t="str">
        <f>YEAR(KMART_DATA[[#This Row],[Date]])&amp;"-"&amp;TEXT(MONTH(KMART_DATA[[#This Row],[Date]]),"00")</f>
        <v>2024-10</v>
      </c>
      <c r="D1902" s="3" t="s">
        <v>28</v>
      </c>
      <c r="E1902" s="3" t="s">
        <v>193</v>
      </c>
      <c r="F1902" s="3" t="s">
        <v>9</v>
      </c>
      <c r="G19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02" s="3" t="s">
        <v>194</v>
      </c>
      <c r="I1902" s="3" t="s">
        <v>31</v>
      </c>
      <c r="J1902" s="3" t="s">
        <v>99</v>
      </c>
      <c r="K1902" s="3" t="s">
        <v>71</v>
      </c>
      <c r="L1902" s="3" t="s">
        <v>72</v>
      </c>
      <c r="M1902" s="4">
        <v>1357.43</v>
      </c>
    </row>
    <row r="1903">
      <c r="A1903" s="2">
        <v>45592</v>
      </c>
      <c r="B19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3" s="3" t="str">
        <f>YEAR(KMART_DATA[[#This Row],[Date]])&amp;"-"&amp;TEXT(MONTH(KMART_DATA[[#This Row],[Date]]),"00")</f>
        <v>2024-10</v>
      </c>
      <c r="D1903" s="3" t="s">
        <v>28</v>
      </c>
      <c r="E1903" s="3" t="s">
        <v>118</v>
      </c>
      <c r="F1903" s="3" t="s">
        <v>10</v>
      </c>
      <c r="G19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03" s="3" t="s">
        <v>119</v>
      </c>
      <c r="I1903" s="3" t="s">
        <v>31</v>
      </c>
      <c r="J1903" s="3" t="s">
        <v>120</v>
      </c>
      <c r="K1903" s="3" t="s">
        <v>123</v>
      </c>
      <c r="L1903" s="3" t="s">
        <v>124</v>
      </c>
      <c r="M1903" s="4">
        <v>2485.44</v>
      </c>
    </row>
    <row r="1904">
      <c r="A1904" s="2">
        <v>45593</v>
      </c>
      <c r="B19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4" s="3" t="str">
        <f>YEAR(KMART_DATA[[#This Row],[Date]])&amp;"-"&amp;TEXT(MONTH(KMART_DATA[[#This Row],[Date]]),"00")</f>
        <v>2024-10</v>
      </c>
      <c r="D1904" s="3" t="s">
        <v>28</v>
      </c>
      <c r="E1904" s="3" t="s">
        <v>175</v>
      </c>
      <c r="F1904" s="3" t="s">
        <v>16</v>
      </c>
      <c r="G19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904" s="3" t="s">
        <v>176</v>
      </c>
      <c r="I1904" s="3" t="s">
        <v>31</v>
      </c>
      <c r="J1904" s="3" t="s">
        <v>107</v>
      </c>
      <c r="K1904" s="3" t="s">
        <v>43</v>
      </c>
      <c r="L1904" s="3" t="s">
        <v>44</v>
      </c>
      <c r="M1904" s="4">
        <v>16.98</v>
      </c>
    </row>
    <row r="1905">
      <c r="A1905" s="2">
        <v>45593</v>
      </c>
      <c r="B19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5" s="3" t="str">
        <f>YEAR(KMART_DATA[[#This Row],[Date]])&amp;"-"&amp;TEXT(MONTH(KMART_DATA[[#This Row],[Date]]),"00")</f>
        <v>2024-10</v>
      </c>
      <c r="D1905" s="3" t="s">
        <v>28</v>
      </c>
      <c r="E1905" s="3" t="s">
        <v>76</v>
      </c>
      <c r="F1905" s="3" t="s">
        <v>11</v>
      </c>
      <c r="G19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05" s="3" t="s">
        <v>77</v>
      </c>
      <c r="I1905" s="3" t="s">
        <v>31</v>
      </c>
      <c r="J1905" s="3" t="s">
        <v>78</v>
      </c>
      <c r="K1905" s="3" t="s">
        <v>43</v>
      </c>
      <c r="L1905" s="3" t="s">
        <v>44</v>
      </c>
      <c r="M1905" s="4">
        <v>26.98</v>
      </c>
    </row>
    <row r="1906">
      <c r="A1906" s="2">
        <v>45593</v>
      </c>
      <c r="B19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6" s="3" t="str">
        <f>YEAR(KMART_DATA[[#This Row],[Date]])&amp;"-"&amp;TEXT(MONTH(KMART_DATA[[#This Row],[Date]]),"00")</f>
        <v>2024-10</v>
      </c>
      <c r="D1906" s="3" t="s">
        <v>28</v>
      </c>
      <c r="E1906" s="3" t="s">
        <v>173</v>
      </c>
      <c r="F1906" s="3" t="s">
        <v>11</v>
      </c>
      <c r="G19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06" s="3" t="s">
        <v>174</v>
      </c>
      <c r="I1906" s="3" t="s">
        <v>31</v>
      </c>
      <c r="J1906" s="3" t="s">
        <v>61</v>
      </c>
      <c r="K1906" s="3" t="s">
        <v>38</v>
      </c>
      <c r="L1906" s="3" t="s">
        <v>39</v>
      </c>
      <c r="M1906" s="4">
        <v>35.94</v>
      </c>
    </row>
    <row r="1907">
      <c r="A1907" s="2">
        <v>45593</v>
      </c>
      <c r="B19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7" s="3" t="str">
        <f>YEAR(KMART_DATA[[#This Row],[Date]])&amp;"-"&amp;TEXT(MONTH(KMART_DATA[[#This Row],[Date]]),"00")</f>
        <v>2024-10</v>
      </c>
      <c r="D1907" s="3" t="s">
        <v>45</v>
      </c>
      <c r="E1907" s="3" t="s">
        <v>163</v>
      </c>
      <c r="F1907" s="3" t="s">
        <v>9</v>
      </c>
      <c r="G19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07" s="3" t="s">
        <v>164</v>
      </c>
      <c r="I1907" s="3" t="s">
        <v>31</v>
      </c>
      <c r="J1907" s="3" t="s">
        <v>81</v>
      </c>
      <c r="K1907" s="3" t="s">
        <v>43</v>
      </c>
      <c r="L1907" s="3" t="s">
        <v>44</v>
      </c>
      <c r="M1907" s="4">
        <v>96.91</v>
      </c>
    </row>
    <row r="1908">
      <c r="A1908" s="2">
        <v>45593</v>
      </c>
      <c r="B19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8" s="3" t="str">
        <f>YEAR(KMART_DATA[[#This Row],[Date]])&amp;"-"&amp;TEXT(MONTH(KMART_DATA[[#This Row],[Date]]),"00")</f>
        <v>2024-10</v>
      </c>
      <c r="D1908" s="3" t="s">
        <v>45</v>
      </c>
      <c r="E1908" s="3" t="s">
        <v>118</v>
      </c>
      <c r="F1908" s="3" t="s">
        <v>10</v>
      </c>
      <c r="G19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08" s="3" t="s">
        <v>119</v>
      </c>
      <c r="I1908" s="3" t="s">
        <v>31</v>
      </c>
      <c r="J1908" s="3" t="s">
        <v>120</v>
      </c>
      <c r="K1908" s="3" t="s">
        <v>95</v>
      </c>
      <c r="L1908" s="3" t="s">
        <v>96</v>
      </c>
      <c r="M1908" s="4">
        <v>175.8</v>
      </c>
    </row>
    <row r="1909">
      <c r="A1909" s="2">
        <v>45593</v>
      </c>
      <c r="B19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09" s="3" t="str">
        <f>YEAR(KMART_DATA[[#This Row],[Date]])&amp;"-"&amp;TEXT(MONTH(KMART_DATA[[#This Row],[Date]]),"00")</f>
        <v>2024-10</v>
      </c>
      <c r="D1909" s="3" t="s">
        <v>45</v>
      </c>
      <c r="E1909" s="3" t="s">
        <v>197</v>
      </c>
      <c r="F1909" s="3" t="s">
        <v>9</v>
      </c>
      <c r="G19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09" s="3" t="s">
        <v>198</v>
      </c>
      <c r="I1909" s="3" t="s">
        <v>31</v>
      </c>
      <c r="J1909" s="3" t="s">
        <v>107</v>
      </c>
      <c r="K1909" s="3" t="s">
        <v>66</v>
      </c>
      <c r="L1909" s="3" t="s">
        <v>67</v>
      </c>
      <c r="M1909" s="4">
        <v>191.65</v>
      </c>
    </row>
    <row r="1910">
      <c r="A1910" s="2">
        <v>45593</v>
      </c>
      <c r="B19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0" s="3" t="str">
        <f>YEAR(KMART_DATA[[#This Row],[Date]])&amp;"-"&amp;TEXT(MONTH(KMART_DATA[[#This Row],[Date]]),"00")</f>
        <v>2024-10</v>
      </c>
      <c r="D1910" s="3" t="s">
        <v>28</v>
      </c>
      <c r="E1910" s="3" t="s">
        <v>82</v>
      </c>
      <c r="F1910" s="3" t="s">
        <v>11</v>
      </c>
      <c r="G19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10" s="3" t="s">
        <v>83</v>
      </c>
      <c r="I1910" s="3" t="s">
        <v>31</v>
      </c>
      <c r="J1910" s="3" t="s">
        <v>84</v>
      </c>
      <c r="K1910" s="3" t="s">
        <v>112</v>
      </c>
      <c r="L1910" s="3" t="s">
        <v>113</v>
      </c>
      <c r="M1910" s="4">
        <v>418.54</v>
      </c>
    </row>
    <row r="1911">
      <c r="A1911" s="2">
        <v>45593</v>
      </c>
      <c r="B19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1" s="3" t="str">
        <f>YEAR(KMART_DATA[[#This Row],[Date]])&amp;"-"&amp;TEXT(MONTH(KMART_DATA[[#This Row],[Date]]),"00")</f>
        <v>2024-10</v>
      </c>
      <c r="D1911" s="3" t="s">
        <v>28</v>
      </c>
      <c r="E1911" s="3" t="s">
        <v>199</v>
      </c>
      <c r="F1911" s="3" t="s">
        <v>13</v>
      </c>
      <c r="G19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911" s="3" t="s">
        <v>200</v>
      </c>
      <c r="I1911" s="3" t="s">
        <v>31</v>
      </c>
      <c r="J1911" s="3" t="s">
        <v>42</v>
      </c>
      <c r="K1911" s="3" t="s">
        <v>46</v>
      </c>
      <c r="L1911" s="3" t="s">
        <v>47</v>
      </c>
      <c r="M1911" s="4">
        <v>539.46</v>
      </c>
    </row>
    <row r="1912">
      <c r="A1912" s="2">
        <v>45593</v>
      </c>
      <c r="B19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2" s="3" t="str">
        <f>YEAR(KMART_DATA[[#This Row],[Date]])&amp;"-"&amp;TEXT(MONTH(KMART_DATA[[#This Row],[Date]]),"00")</f>
        <v>2024-10</v>
      </c>
      <c r="D1912" s="3" t="s">
        <v>28</v>
      </c>
      <c r="E1912" s="3" t="s">
        <v>160</v>
      </c>
      <c r="F1912" s="3" t="s">
        <v>12</v>
      </c>
      <c r="G19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912" s="3" t="s">
        <v>161</v>
      </c>
      <c r="I1912" s="3" t="s">
        <v>31</v>
      </c>
      <c r="J1912" s="3" t="s">
        <v>162</v>
      </c>
      <c r="K1912" s="3" t="s">
        <v>33</v>
      </c>
      <c r="L1912" s="3" t="s">
        <v>34</v>
      </c>
      <c r="M1912" s="4">
        <v>1554.86</v>
      </c>
    </row>
    <row r="1913">
      <c r="A1913" s="2">
        <v>45593</v>
      </c>
      <c r="B19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3" s="3" t="str">
        <f>YEAR(KMART_DATA[[#This Row],[Date]])&amp;"-"&amp;TEXT(MONTH(KMART_DATA[[#This Row],[Date]]),"00")</f>
        <v>2024-10</v>
      </c>
      <c r="D1913" s="3" t="s">
        <v>28</v>
      </c>
      <c r="E1913" s="3" t="s">
        <v>160</v>
      </c>
      <c r="F1913" s="3" t="s">
        <v>12</v>
      </c>
      <c r="G19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913" s="3" t="s">
        <v>161</v>
      </c>
      <c r="I1913" s="3" t="s">
        <v>31</v>
      </c>
      <c r="J1913" s="3" t="s">
        <v>162</v>
      </c>
      <c r="K1913" s="3" t="s">
        <v>46</v>
      </c>
      <c r="L1913" s="3" t="s">
        <v>47</v>
      </c>
      <c r="M1913" s="4">
        <v>2839.21</v>
      </c>
    </row>
    <row r="1914">
      <c r="A1914" s="2">
        <v>45594</v>
      </c>
      <c r="B19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4" s="3" t="str">
        <f>YEAR(KMART_DATA[[#This Row],[Date]])&amp;"-"&amp;TEXT(MONTH(KMART_DATA[[#This Row],[Date]]),"00")</f>
        <v>2024-10</v>
      </c>
      <c r="D1914" s="3" t="s">
        <v>28</v>
      </c>
      <c r="E1914" s="3" t="s">
        <v>203</v>
      </c>
      <c r="F1914" s="3" t="s">
        <v>10</v>
      </c>
      <c r="G19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14" s="3" t="s">
        <v>204</v>
      </c>
      <c r="I1914" s="3" t="s">
        <v>31</v>
      </c>
      <c r="J1914" s="3" t="s">
        <v>89</v>
      </c>
      <c r="K1914" s="3" t="s">
        <v>95</v>
      </c>
      <c r="L1914" s="3" t="s">
        <v>96</v>
      </c>
      <c r="M1914" s="4">
        <v>1.0</v>
      </c>
    </row>
    <row r="1915">
      <c r="A1915" s="2">
        <v>45594</v>
      </c>
      <c r="B19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5" s="3" t="str">
        <f>YEAR(KMART_DATA[[#This Row],[Date]])&amp;"-"&amp;TEXT(MONTH(KMART_DATA[[#This Row],[Date]]),"00")</f>
        <v>2024-10</v>
      </c>
      <c r="D1915" s="3" t="s">
        <v>28</v>
      </c>
      <c r="E1915" s="3" t="s">
        <v>156</v>
      </c>
      <c r="F1915" s="3" t="s">
        <v>9</v>
      </c>
      <c r="G19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15" s="3" t="s">
        <v>157</v>
      </c>
      <c r="I1915" s="3" t="s">
        <v>31</v>
      </c>
      <c r="J1915" s="3" t="s">
        <v>75</v>
      </c>
      <c r="K1915" s="3" t="s">
        <v>46</v>
      </c>
      <c r="L1915" s="3" t="s">
        <v>47</v>
      </c>
      <c r="M1915" s="4">
        <v>5.5</v>
      </c>
    </row>
    <row r="1916">
      <c r="A1916" s="2">
        <v>45594</v>
      </c>
      <c r="B19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6" s="3" t="str">
        <f>YEAR(KMART_DATA[[#This Row],[Date]])&amp;"-"&amp;TEXT(MONTH(KMART_DATA[[#This Row],[Date]]),"00")</f>
        <v>2024-10</v>
      </c>
      <c r="D1916" s="3" t="s">
        <v>28</v>
      </c>
      <c r="E1916" s="3" t="s">
        <v>62</v>
      </c>
      <c r="F1916" s="3" t="s">
        <v>12</v>
      </c>
      <c r="G19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916" s="3" t="s">
        <v>63</v>
      </c>
      <c r="I1916" s="3" t="s">
        <v>31</v>
      </c>
      <c r="J1916" s="3" t="s">
        <v>50</v>
      </c>
      <c r="K1916" s="3" t="s">
        <v>46</v>
      </c>
      <c r="L1916" s="3" t="s">
        <v>47</v>
      </c>
      <c r="M1916" s="4">
        <v>52.71</v>
      </c>
    </row>
    <row r="1917">
      <c r="A1917" s="2">
        <v>45594</v>
      </c>
      <c r="B19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7" s="3" t="str">
        <f>YEAR(KMART_DATA[[#This Row],[Date]])&amp;"-"&amp;TEXT(MONTH(KMART_DATA[[#This Row],[Date]]),"00")</f>
        <v>2024-10</v>
      </c>
      <c r="D1917" s="3" t="s">
        <v>45</v>
      </c>
      <c r="E1917" s="3" t="s">
        <v>264</v>
      </c>
      <c r="F1917" s="3" t="s">
        <v>13</v>
      </c>
      <c r="G19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917" s="3" t="s">
        <v>265</v>
      </c>
      <c r="I1917" s="3" t="s">
        <v>31</v>
      </c>
      <c r="J1917" s="3" t="s">
        <v>42</v>
      </c>
      <c r="K1917" s="3" t="s">
        <v>57</v>
      </c>
      <c r="L1917" s="3" t="s">
        <v>58</v>
      </c>
      <c r="M1917" s="4">
        <v>83.48</v>
      </c>
    </row>
    <row r="1918">
      <c r="A1918" s="2">
        <v>45594</v>
      </c>
      <c r="B19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8" s="3" t="str">
        <f>YEAR(KMART_DATA[[#This Row],[Date]])&amp;"-"&amp;TEXT(MONTH(KMART_DATA[[#This Row],[Date]]),"00")</f>
        <v>2024-10</v>
      </c>
      <c r="D1918" s="3" t="s">
        <v>45</v>
      </c>
      <c r="E1918" s="3" t="s">
        <v>152</v>
      </c>
      <c r="F1918" s="3" t="s">
        <v>11</v>
      </c>
      <c r="G19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18" s="3" t="s">
        <v>153</v>
      </c>
      <c r="I1918" s="3" t="s">
        <v>31</v>
      </c>
      <c r="J1918" s="3" t="s">
        <v>61</v>
      </c>
      <c r="K1918" s="3" t="s">
        <v>123</v>
      </c>
      <c r="L1918" s="3" t="s">
        <v>124</v>
      </c>
      <c r="M1918" s="4">
        <v>193.7</v>
      </c>
    </row>
    <row r="1919">
      <c r="A1919" s="2">
        <v>45594</v>
      </c>
      <c r="B19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19" s="3" t="str">
        <f>YEAR(KMART_DATA[[#This Row],[Date]])&amp;"-"&amp;TEXT(MONTH(KMART_DATA[[#This Row],[Date]]),"00")</f>
        <v>2024-10</v>
      </c>
      <c r="D1919" s="3" t="s">
        <v>45</v>
      </c>
      <c r="E1919" s="3" t="s">
        <v>143</v>
      </c>
      <c r="F1919" s="3" t="s">
        <v>14</v>
      </c>
      <c r="G19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919" s="3" t="s">
        <v>144</v>
      </c>
      <c r="I1919" s="3" t="s">
        <v>31</v>
      </c>
      <c r="J1919" s="3" t="s">
        <v>145</v>
      </c>
      <c r="K1919" s="3" t="s">
        <v>33</v>
      </c>
      <c r="L1919" s="3" t="s">
        <v>34</v>
      </c>
      <c r="M1919" s="4">
        <v>633.75</v>
      </c>
    </row>
    <row r="1920">
      <c r="A1920" s="2">
        <v>45594</v>
      </c>
      <c r="B19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0" s="3" t="str">
        <f>YEAR(KMART_DATA[[#This Row],[Date]])&amp;"-"&amp;TEXT(MONTH(KMART_DATA[[#This Row],[Date]]),"00")</f>
        <v>2024-10</v>
      </c>
      <c r="D1920" s="3" t="s">
        <v>28</v>
      </c>
      <c r="E1920" s="3" t="s">
        <v>54</v>
      </c>
      <c r="F1920" s="3" t="s">
        <v>11</v>
      </c>
      <c r="G19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20" s="3" t="s">
        <v>55</v>
      </c>
      <c r="I1920" s="3" t="s">
        <v>31</v>
      </c>
      <c r="J1920" s="3" t="s">
        <v>56</v>
      </c>
      <c r="K1920" s="3" t="s">
        <v>33</v>
      </c>
      <c r="L1920" s="3" t="s">
        <v>34</v>
      </c>
      <c r="M1920" s="4">
        <v>779.49</v>
      </c>
    </row>
    <row r="1921">
      <c r="A1921" s="2">
        <v>45594</v>
      </c>
      <c r="B19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1" s="3" t="str">
        <f>YEAR(KMART_DATA[[#This Row],[Date]])&amp;"-"&amp;TEXT(MONTH(KMART_DATA[[#This Row],[Date]]),"00")</f>
        <v>2024-10</v>
      </c>
      <c r="D1921" s="3" t="s">
        <v>28</v>
      </c>
      <c r="E1921" s="3" t="s">
        <v>211</v>
      </c>
      <c r="F1921" s="3" t="s">
        <v>9</v>
      </c>
      <c r="G19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21" s="3" t="s">
        <v>212</v>
      </c>
      <c r="I1921" s="3" t="s">
        <v>31</v>
      </c>
      <c r="J1921" s="3" t="s">
        <v>75</v>
      </c>
      <c r="K1921" s="3" t="s">
        <v>46</v>
      </c>
      <c r="L1921" s="3" t="s">
        <v>47</v>
      </c>
      <c r="M1921" s="4">
        <v>5409.86</v>
      </c>
    </row>
    <row r="1922">
      <c r="A1922" s="2">
        <v>45595</v>
      </c>
      <c r="B19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2" s="3" t="str">
        <f>YEAR(KMART_DATA[[#This Row],[Date]])&amp;"-"&amp;TEXT(MONTH(KMART_DATA[[#This Row],[Date]]),"00")</f>
        <v>2024-10</v>
      </c>
      <c r="D1922" s="3" t="s">
        <v>45</v>
      </c>
      <c r="E1922" s="3" t="s">
        <v>207</v>
      </c>
      <c r="F1922" s="3" t="s">
        <v>11</v>
      </c>
      <c r="G19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22" s="3" t="s">
        <v>208</v>
      </c>
      <c r="I1922" s="3" t="s">
        <v>31</v>
      </c>
      <c r="J1922" s="3" t="s">
        <v>78</v>
      </c>
      <c r="K1922" s="3" t="s">
        <v>71</v>
      </c>
      <c r="L1922" s="3" t="s">
        <v>72</v>
      </c>
      <c r="M1922" s="4">
        <v>59.9</v>
      </c>
    </row>
    <row r="1923">
      <c r="A1923" s="2">
        <v>45595</v>
      </c>
      <c r="B19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3" s="3" t="str">
        <f>YEAR(KMART_DATA[[#This Row],[Date]])&amp;"-"&amp;TEXT(MONTH(KMART_DATA[[#This Row],[Date]]),"00")</f>
        <v>2024-10</v>
      </c>
      <c r="D1923" s="3" t="s">
        <v>28</v>
      </c>
      <c r="E1923" s="3" t="s">
        <v>193</v>
      </c>
      <c r="F1923" s="3" t="s">
        <v>9</v>
      </c>
      <c r="G19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23" s="3" t="s">
        <v>194</v>
      </c>
      <c r="I1923" s="3" t="s">
        <v>31</v>
      </c>
      <c r="J1923" s="3" t="s">
        <v>99</v>
      </c>
      <c r="K1923" s="3" t="s">
        <v>57</v>
      </c>
      <c r="L1923" s="3" t="s">
        <v>58</v>
      </c>
      <c r="M1923" s="4">
        <v>122.87</v>
      </c>
    </row>
    <row r="1924">
      <c r="A1924" s="2">
        <v>45595</v>
      </c>
      <c r="B19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4" s="3" t="str">
        <f>YEAR(KMART_DATA[[#This Row],[Date]])&amp;"-"&amp;TEXT(MONTH(KMART_DATA[[#This Row],[Date]]),"00")</f>
        <v>2024-10</v>
      </c>
      <c r="D1924" s="3" t="s">
        <v>45</v>
      </c>
      <c r="E1924" s="3" t="s">
        <v>133</v>
      </c>
      <c r="F1924" s="3" t="s">
        <v>10</v>
      </c>
      <c r="G19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24" s="3" t="s">
        <v>134</v>
      </c>
      <c r="I1924" s="3" t="s">
        <v>31</v>
      </c>
      <c r="J1924" s="3" t="s">
        <v>37</v>
      </c>
      <c r="K1924" s="3" t="s">
        <v>112</v>
      </c>
      <c r="L1924" s="3" t="s">
        <v>113</v>
      </c>
      <c r="M1924" s="4">
        <v>177.74</v>
      </c>
    </row>
    <row r="1925">
      <c r="A1925" s="2">
        <v>45595</v>
      </c>
      <c r="B19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5" s="3" t="str">
        <f>YEAR(KMART_DATA[[#This Row],[Date]])&amp;"-"&amp;TEXT(MONTH(KMART_DATA[[#This Row],[Date]]),"00")</f>
        <v>2024-10</v>
      </c>
      <c r="D1925" s="3" t="s">
        <v>45</v>
      </c>
      <c r="E1925" s="3" t="s">
        <v>228</v>
      </c>
      <c r="F1925" s="3" t="s">
        <v>11</v>
      </c>
      <c r="G19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25" s="3" t="s">
        <v>229</v>
      </c>
      <c r="I1925" s="3" t="s">
        <v>31</v>
      </c>
      <c r="J1925" s="3" t="s">
        <v>32</v>
      </c>
      <c r="K1925" s="3" t="s">
        <v>46</v>
      </c>
      <c r="L1925" s="3" t="s">
        <v>47</v>
      </c>
      <c r="M1925" s="4">
        <v>363.72</v>
      </c>
    </row>
    <row r="1926">
      <c r="A1926" s="2">
        <v>45595</v>
      </c>
      <c r="B19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6" s="3" t="str">
        <f>YEAR(KMART_DATA[[#This Row],[Date]])&amp;"-"&amp;TEXT(MONTH(KMART_DATA[[#This Row],[Date]]),"00")</f>
        <v>2024-10</v>
      </c>
      <c r="D1926" s="3" t="s">
        <v>28</v>
      </c>
      <c r="E1926" s="3" t="s">
        <v>250</v>
      </c>
      <c r="F1926" s="3" t="s">
        <v>10</v>
      </c>
      <c r="G19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26" s="3" t="s">
        <v>251</v>
      </c>
      <c r="I1926" s="3" t="s">
        <v>31</v>
      </c>
      <c r="J1926" s="3" t="s">
        <v>37</v>
      </c>
      <c r="K1926" s="3" t="s">
        <v>112</v>
      </c>
      <c r="L1926" s="3" t="s">
        <v>113</v>
      </c>
      <c r="M1926" s="4">
        <v>931.84</v>
      </c>
    </row>
    <row r="1927">
      <c r="A1927" s="2">
        <v>45595</v>
      </c>
      <c r="B19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7" s="3" t="str">
        <f>YEAR(KMART_DATA[[#This Row],[Date]])&amp;"-"&amp;TEXT(MONTH(KMART_DATA[[#This Row],[Date]]),"00")</f>
        <v>2024-10</v>
      </c>
      <c r="D1927" s="3" t="s">
        <v>28</v>
      </c>
      <c r="E1927" s="3" t="s">
        <v>197</v>
      </c>
      <c r="F1927" s="3" t="s">
        <v>9</v>
      </c>
      <c r="G19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27" s="3" t="s">
        <v>198</v>
      </c>
      <c r="I1927" s="3" t="s">
        <v>31</v>
      </c>
      <c r="J1927" s="3" t="s">
        <v>107</v>
      </c>
      <c r="K1927" s="3" t="s">
        <v>112</v>
      </c>
      <c r="L1927" s="3" t="s">
        <v>113</v>
      </c>
      <c r="M1927" s="4">
        <v>1484.61</v>
      </c>
    </row>
    <row r="1928">
      <c r="A1928" s="2">
        <v>45596</v>
      </c>
      <c r="B19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8" s="3" t="str">
        <f>YEAR(KMART_DATA[[#This Row],[Date]])&amp;"-"&amp;TEXT(MONTH(KMART_DATA[[#This Row],[Date]]),"00")</f>
        <v>2024-10</v>
      </c>
      <c r="D1928" s="3" t="s">
        <v>28</v>
      </c>
      <c r="E1928" s="3" t="s">
        <v>92</v>
      </c>
      <c r="F1928" s="3" t="s">
        <v>10</v>
      </c>
      <c r="G19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28" s="3" t="s">
        <v>93</v>
      </c>
      <c r="I1928" s="3" t="s">
        <v>31</v>
      </c>
      <c r="J1928" s="3" t="s">
        <v>94</v>
      </c>
      <c r="K1928" s="3" t="s">
        <v>33</v>
      </c>
      <c r="L1928" s="3" t="s">
        <v>34</v>
      </c>
      <c r="M1928" s="4">
        <v>34.92</v>
      </c>
    </row>
    <row r="1929">
      <c r="A1929" s="2">
        <v>45596</v>
      </c>
      <c r="B19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29" s="3" t="str">
        <f>YEAR(KMART_DATA[[#This Row],[Date]])&amp;"-"&amp;TEXT(MONTH(KMART_DATA[[#This Row],[Date]]),"00")</f>
        <v>2024-10</v>
      </c>
      <c r="D1929" s="3" t="s">
        <v>28</v>
      </c>
      <c r="E1929" s="3" t="s">
        <v>64</v>
      </c>
      <c r="F1929" s="3" t="s">
        <v>11</v>
      </c>
      <c r="G19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29" s="3" t="s">
        <v>65</v>
      </c>
      <c r="I1929" s="3" t="s">
        <v>31</v>
      </c>
      <c r="J1929" s="3" t="s">
        <v>61</v>
      </c>
      <c r="K1929" s="3" t="s">
        <v>38</v>
      </c>
      <c r="L1929" s="3" t="s">
        <v>39</v>
      </c>
      <c r="M1929" s="4">
        <v>283.61</v>
      </c>
    </row>
    <row r="1930">
      <c r="A1930" s="2">
        <v>45596</v>
      </c>
      <c r="B19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0" s="3" t="str">
        <f>YEAR(KMART_DATA[[#This Row],[Date]])&amp;"-"&amp;TEXT(MONTH(KMART_DATA[[#This Row],[Date]]),"00")</f>
        <v>2024-10</v>
      </c>
      <c r="D1930" s="3" t="s">
        <v>28</v>
      </c>
      <c r="E1930" s="3" t="s">
        <v>116</v>
      </c>
      <c r="F1930" s="3" t="s">
        <v>9</v>
      </c>
      <c r="G19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30" s="3" t="s">
        <v>117</v>
      </c>
      <c r="I1930" s="3" t="s">
        <v>31</v>
      </c>
      <c r="J1930" s="3" t="s">
        <v>70</v>
      </c>
      <c r="K1930" s="3" t="s">
        <v>46</v>
      </c>
      <c r="L1930" s="3" t="s">
        <v>47</v>
      </c>
      <c r="M1930" s="4">
        <v>787.88</v>
      </c>
    </row>
    <row r="1931">
      <c r="A1931" s="2">
        <v>45597</v>
      </c>
      <c r="B19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1" s="3" t="str">
        <f>YEAR(KMART_DATA[[#This Row],[Date]])&amp;"-"&amp;TEXT(MONTH(KMART_DATA[[#This Row],[Date]]),"00")</f>
        <v>2024-11</v>
      </c>
      <c r="D1931" s="3" t="s">
        <v>28</v>
      </c>
      <c r="E1931" s="3" t="s">
        <v>135</v>
      </c>
      <c r="F1931" s="3" t="s">
        <v>16</v>
      </c>
      <c r="G19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931" s="3" t="s">
        <v>136</v>
      </c>
      <c r="I1931" s="3" t="s">
        <v>31</v>
      </c>
      <c r="J1931" s="3" t="s">
        <v>107</v>
      </c>
      <c r="K1931" s="3" t="s">
        <v>46</v>
      </c>
      <c r="L1931" s="3" t="s">
        <v>47</v>
      </c>
      <c r="M1931" s="4">
        <v>5.99</v>
      </c>
    </row>
    <row r="1932">
      <c r="A1932" s="2">
        <v>45597</v>
      </c>
      <c r="B19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2" s="3" t="str">
        <f>YEAR(KMART_DATA[[#This Row],[Date]])&amp;"-"&amp;TEXT(MONTH(KMART_DATA[[#This Row],[Date]]),"00")</f>
        <v>2024-11</v>
      </c>
      <c r="D1932" s="3" t="s">
        <v>28</v>
      </c>
      <c r="E1932" s="3" t="s">
        <v>258</v>
      </c>
      <c r="F1932" s="3" t="s">
        <v>14</v>
      </c>
      <c r="G19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932" s="3" t="s">
        <v>259</v>
      </c>
      <c r="I1932" s="3" t="s">
        <v>31</v>
      </c>
      <c r="J1932" s="3" t="s">
        <v>145</v>
      </c>
      <c r="K1932" s="3" t="s">
        <v>43</v>
      </c>
      <c r="L1932" s="3" t="s">
        <v>44</v>
      </c>
      <c r="M1932" s="4">
        <v>53.95</v>
      </c>
    </row>
    <row r="1933">
      <c r="A1933" s="2">
        <v>45597</v>
      </c>
      <c r="B19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3" s="3" t="str">
        <f>YEAR(KMART_DATA[[#This Row],[Date]])&amp;"-"&amp;TEXT(MONTH(KMART_DATA[[#This Row],[Date]]),"00")</f>
        <v>2024-11</v>
      </c>
      <c r="D1933" s="3" t="s">
        <v>28</v>
      </c>
      <c r="E1933" s="3" t="s">
        <v>195</v>
      </c>
      <c r="F1933" s="3" t="s">
        <v>11</v>
      </c>
      <c r="G19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33" s="3" t="s">
        <v>196</v>
      </c>
      <c r="I1933" s="3" t="s">
        <v>31</v>
      </c>
      <c r="J1933" s="3" t="s">
        <v>32</v>
      </c>
      <c r="K1933" s="3" t="s">
        <v>71</v>
      </c>
      <c r="L1933" s="3" t="s">
        <v>72</v>
      </c>
      <c r="M1933" s="4">
        <v>578.91</v>
      </c>
    </row>
    <row r="1934">
      <c r="A1934" s="2">
        <v>45597</v>
      </c>
      <c r="B19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4" s="3" t="str">
        <f>YEAR(KMART_DATA[[#This Row],[Date]])&amp;"-"&amp;TEXT(MONTH(KMART_DATA[[#This Row],[Date]]),"00")</f>
        <v>2024-11</v>
      </c>
      <c r="D1934" s="3" t="s">
        <v>28</v>
      </c>
      <c r="E1934" s="3" t="s">
        <v>177</v>
      </c>
      <c r="F1934" s="3" t="s">
        <v>12</v>
      </c>
      <c r="G19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934" s="3" t="s">
        <v>178</v>
      </c>
      <c r="I1934" s="3" t="s">
        <v>31</v>
      </c>
      <c r="J1934" s="3" t="s">
        <v>162</v>
      </c>
      <c r="K1934" s="3" t="s">
        <v>33</v>
      </c>
      <c r="L1934" s="3" t="s">
        <v>34</v>
      </c>
      <c r="M1934" s="4">
        <v>623.51</v>
      </c>
    </row>
    <row r="1935">
      <c r="A1935" s="2">
        <v>45597</v>
      </c>
      <c r="B19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5" s="3" t="str">
        <f>YEAR(KMART_DATA[[#This Row],[Date]])&amp;"-"&amp;TEXT(MONTH(KMART_DATA[[#This Row],[Date]]),"00")</f>
        <v>2024-11</v>
      </c>
      <c r="D1935" s="3" t="s">
        <v>28</v>
      </c>
      <c r="E1935" s="3" t="s">
        <v>154</v>
      </c>
      <c r="F1935" s="3" t="s">
        <v>11</v>
      </c>
      <c r="G19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35" s="3" t="s">
        <v>155</v>
      </c>
      <c r="I1935" s="3" t="s">
        <v>31</v>
      </c>
      <c r="J1935" s="3" t="s">
        <v>84</v>
      </c>
      <c r="K1935" s="3" t="s">
        <v>43</v>
      </c>
      <c r="L1935" s="3" t="s">
        <v>44</v>
      </c>
      <c r="M1935" s="4">
        <v>699.95</v>
      </c>
    </row>
    <row r="1936">
      <c r="A1936" s="2">
        <v>45598</v>
      </c>
      <c r="B19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6" s="3" t="str">
        <f>YEAR(KMART_DATA[[#This Row],[Date]])&amp;"-"&amp;TEXT(MONTH(KMART_DATA[[#This Row],[Date]]),"00")</f>
        <v>2024-11</v>
      </c>
      <c r="D1936" s="3" t="s">
        <v>45</v>
      </c>
      <c r="E1936" s="3" t="s">
        <v>246</v>
      </c>
      <c r="F1936" s="3" t="s">
        <v>10</v>
      </c>
      <c r="G19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36" s="3" t="s">
        <v>247</v>
      </c>
      <c r="I1936" s="3" t="s">
        <v>31</v>
      </c>
      <c r="J1936" s="3" t="s">
        <v>37</v>
      </c>
      <c r="K1936" s="3" t="s">
        <v>95</v>
      </c>
      <c r="L1936" s="3" t="s">
        <v>96</v>
      </c>
      <c r="M1936" s="4">
        <v>1.79</v>
      </c>
    </row>
    <row r="1937">
      <c r="A1937" s="2">
        <v>45598</v>
      </c>
      <c r="B19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7" s="3" t="str">
        <f>YEAR(KMART_DATA[[#This Row],[Date]])&amp;"-"&amp;TEXT(MONTH(KMART_DATA[[#This Row],[Date]]),"00")</f>
        <v>2024-11</v>
      </c>
      <c r="D1937" s="3" t="s">
        <v>28</v>
      </c>
      <c r="E1937" s="3" t="s">
        <v>154</v>
      </c>
      <c r="F1937" s="3" t="s">
        <v>11</v>
      </c>
      <c r="G19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37" s="3" t="s">
        <v>155</v>
      </c>
      <c r="I1937" s="3" t="s">
        <v>31</v>
      </c>
      <c r="J1937" s="3" t="s">
        <v>84</v>
      </c>
      <c r="K1937" s="3" t="s">
        <v>123</v>
      </c>
      <c r="L1937" s="3" t="s">
        <v>124</v>
      </c>
      <c r="M1937" s="4">
        <v>55.57</v>
      </c>
    </row>
    <row r="1938">
      <c r="A1938" s="2">
        <v>45598</v>
      </c>
      <c r="B19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8" s="3" t="str">
        <f>YEAR(KMART_DATA[[#This Row],[Date]])&amp;"-"&amp;TEXT(MONTH(KMART_DATA[[#This Row],[Date]]),"00")</f>
        <v>2024-11</v>
      </c>
      <c r="D1938" s="3" t="s">
        <v>45</v>
      </c>
      <c r="E1938" s="3" t="s">
        <v>260</v>
      </c>
      <c r="F1938" s="3" t="s">
        <v>10</v>
      </c>
      <c r="G19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38" s="3" t="s">
        <v>261</v>
      </c>
      <c r="I1938" s="3" t="s">
        <v>31</v>
      </c>
      <c r="J1938" s="3" t="s">
        <v>89</v>
      </c>
      <c r="K1938" s="3" t="s">
        <v>71</v>
      </c>
      <c r="L1938" s="3" t="s">
        <v>72</v>
      </c>
      <c r="M1938" s="4">
        <v>93.31</v>
      </c>
    </row>
    <row r="1939">
      <c r="A1939" s="2">
        <v>45598</v>
      </c>
      <c r="B19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39" s="3" t="str">
        <f>YEAR(KMART_DATA[[#This Row],[Date]])&amp;"-"&amp;TEXT(MONTH(KMART_DATA[[#This Row],[Date]]),"00")</f>
        <v>2024-11</v>
      </c>
      <c r="D1939" s="3" t="s">
        <v>28</v>
      </c>
      <c r="E1939" s="3" t="s">
        <v>90</v>
      </c>
      <c r="F1939" s="3" t="s">
        <v>10</v>
      </c>
      <c r="G19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39" s="3" t="s">
        <v>91</v>
      </c>
      <c r="I1939" s="3" t="s">
        <v>31</v>
      </c>
      <c r="J1939" s="3" t="s">
        <v>37</v>
      </c>
      <c r="K1939" s="3" t="s">
        <v>95</v>
      </c>
      <c r="L1939" s="3" t="s">
        <v>96</v>
      </c>
      <c r="M1939" s="4">
        <v>324.63</v>
      </c>
    </row>
    <row r="1940">
      <c r="A1940" s="2">
        <v>45598</v>
      </c>
      <c r="B19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0" s="3" t="str">
        <f>YEAR(KMART_DATA[[#This Row],[Date]])&amp;"-"&amp;TEXT(MONTH(KMART_DATA[[#This Row],[Date]]),"00")</f>
        <v>2024-11</v>
      </c>
      <c r="D1940" s="3" t="s">
        <v>45</v>
      </c>
      <c r="E1940" s="3" t="s">
        <v>62</v>
      </c>
      <c r="F1940" s="3" t="s">
        <v>12</v>
      </c>
      <c r="G19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940" s="3" t="s">
        <v>63</v>
      </c>
      <c r="I1940" s="3" t="s">
        <v>31</v>
      </c>
      <c r="J1940" s="3" t="s">
        <v>50</v>
      </c>
      <c r="K1940" s="3" t="s">
        <v>33</v>
      </c>
      <c r="L1940" s="3" t="s">
        <v>34</v>
      </c>
      <c r="M1940" s="4">
        <v>358.82</v>
      </c>
    </row>
    <row r="1941">
      <c r="A1941" s="2">
        <v>45598</v>
      </c>
      <c r="B19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1" s="3" t="str">
        <f>YEAR(KMART_DATA[[#This Row],[Date]])&amp;"-"&amp;TEXT(MONTH(KMART_DATA[[#This Row],[Date]]),"00")</f>
        <v>2024-11</v>
      </c>
      <c r="D1941" s="3" t="s">
        <v>28</v>
      </c>
      <c r="E1941" s="3" t="s">
        <v>156</v>
      </c>
      <c r="F1941" s="3" t="s">
        <v>9</v>
      </c>
      <c r="G19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41" s="3" t="s">
        <v>157</v>
      </c>
      <c r="I1941" s="3" t="s">
        <v>31</v>
      </c>
      <c r="J1941" s="3" t="s">
        <v>75</v>
      </c>
      <c r="K1941" s="3" t="s">
        <v>38</v>
      </c>
      <c r="L1941" s="3" t="s">
        <v>39</v>
      </c>
      <c r="M1941" s="4">
        <v>469.7</v>
      </c>
    </row>
    <row r="1942">
      <c r="A1942" s="2">
        <v>45598</v>
      </c>
      <c r="B19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2" s="3" t="str">
        <f>YEAR(KMART_DATA[[#This Row],[Date]])&amp;"-"&amp;TEXT(MONTH(KMART_DATA[[#This Row],[Date]]),"00")</f>
        <v>2024-11</v>
      </c>
      <c r="D1942" s="3" t="s">
        <v>28</v>
      </c>
      <c r="E1942" s="3" t="s">
        <v>219</v>
      </c>
      <c r="F1942" s="3" t="s">
        <v>11</v>
      </c>
      <c r="G19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42" s="3" t="s">
        <v>220</v>
      </c>
      <c r="I1942" s="3" t="s">
        <v>31</v>
      </c>
      <c r="J1942" s="3" t="s">
        <v>56</v>
      </c>
      <c r="K1942" s="3" t="s">
        <v>71</v>
      </c>
      <c r="L1942" s="3" t="s">
        <v>72</v>
      </c>
      <c r="M1942" s="4">
        <v>506.61</v>
      </c>
    </row>
    <row r="1943">
      <c r="A1943" s="2">
        <v>45598</v>
      </c>
      <c r="B19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3" s="3" t="str">
        <f>YEAR(KMART_DATA[[#This Row],[Date]])&amp;"-"&amp;TEXT(MONTH(KMART_DATA[[#This Row],[Date]]),"00")</f>
        <v>2024-11</v>
      </c>
      <c r="D1943" s="3" t="s">
        <v>28</v>
      </c>
      <c r="E1943" s="3" t="s">
        <v>82</v>
      </c>
      <c r="F1943" s="3" t="s">
        <v>11</v>
      </c>
      <c r="G19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43" s="3" t="s">
        <v>83</v>
      </c>
      <c r="I1943" s="3" t="s">
        <v>31</v>
      </c>
      <c r="J1943" s="3" t="s">
        <v>84</v>
      </c>
      <c r="K1943" s="3" t="s">
        <v>123</v>
      </c>
      <c r="L1943" s="3" t="s">
        <v>124</v>
      </c>
      <c r="M1943" s="4">
        <v>3581.99</v>
      </c>
    </row>
    <row r="1944">
      <c r="A1944" s="2">
        <v>45599</v>
      </c>
      <c r="B19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4" s="3" t="str">
        <f>YEAR(KMART_DATA[[#This Row],[Date]])&amp;"-"&amp;TEXT(MONTH(KMART_DATA[[#This Row],[Date]]),"00")</f>
        <v>2024-11</v>
      </c>
      <c r="D1944" s="3" t="s">
        <v>28</v>
      </c>
      <c r="E1944" s="3" t="s">
        <v>189</v>
      </c>
      <c r="F1944" s="3" t="s">
        <v>9</v>
      </c>
      <c r="G19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44" s="3" t="s">
        <v>190</v>
      </c>
      <c r="I1944" s="3" t="s">
        <v>31</v>
      </c>
      <c r="J1944" s="3" t="s">
        <v>81</v>
      </c>
      <c r="K1944" s="3" t="s">
        <v>95</v>
      </c>
      <c r="L1944" s="3" t="s">
        <v>96</v>
      </c>
      <c r="M1944" s="4">
        <v>3.0</v>
      </c>
    </row>
    <row r="1945">
      <c r="A1945" s="2">
        <v>45599</v>
      </c>
      <c r="B19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5" s="3" t="str">
        <f>YEAR(KMART_DATA[[#This Row],[Date]])&amp;"-"&amp;TEXT(MONTH(KMART_DATA[[#This Row],[Date]]),"00")</f>
        <v>2024-11</v>
      </c>
      <c r="D1945" s="3" t="s">
        <v>28</v>
      </c>
      <c r="E1945" s="3" t="s">
        <v>179</v>
      </c>
      <c r="F1945" s="3" t="s">
        <v>9</v>
      </c>
      <c r="G19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45" s="3" t="s">
        <v>180</v>
      </c>
      <c r="I1945" s="3" t="s">
        <v>31</v>
      </c>
      <c r="J1945" s="3" t="s">
        <v>99</v>
      </c>
      <c r="K1945" s="3" t="s">
        <v>43</v>
      </c>
      <c r="L1945" s="3" t="s">
        <v>44</v>
      </c>
      <c r="M1945" s="4">
        <v>5.03</v>
      </c>
    </row>
    <row r="1946">
      <c r="A1946" s="2">
        <v>45599</v>
      </c>
      <c r="B19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6" s="3" t="str">
        <f>YEAR(KMART_DATA[[#This Row],[Date]])&amp;"-"&amp;TEXT(MONTH(KMART_DATA[[#This Row],[Date]]),"00")</f>
        <v>2024-11</v>
      </c>
      <c r="D1946" s="3" t="s">
        <v>28</v>
      </c>
      <c r="E1946" s="3" t="s">
        <v>201</v>
      </c>
      <c r="F1946" s="3" t="s">
        <v>10</v>
      </c>
      <c r="G19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46" s="3" t="s">
        <v>202</v>
      </c>
      <c r="I1946" s="3" t="s">
        <v>31</v>
      </c>
      <c r="J1946" s="3" t="s">
        <v>89</v>
      </c>
      <c r="K1946" s="3" t="s">
        <v>71</v>
      </c>
      <c r="L1946" s="3" t="s">
        <v>72</v>
      </c>
      <c r="M1946" s="4">
        <v>16.99</v>
      </c>
    </row>
    <row r="1947">
      <c r="A1947" s="2">
        <v>45599</v>
      </c>
      <c r="B19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7" s="3" t="str">
        <f>YEAR(KMART_DATA[[#This Row],[Date]])&amp;"-"&amp;TEXT(MONTH(KMART_DATA[[#This Row],[Date]]),"00")</f>
        <v>2024-11</v>
      </c>
      <c r="D1947" s="3" t="s">
        <v>28</v>
      </c>
      <c r="E1947" s="3" t="s">
        <v>90</v>
      </c>
      <c r="F1947" s="3" t="s">
        <v>10</v>
      </c>
      <c r="G19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47" s="3" t="s">
        <v>91</v>
      </c>
      <c r="I1947" s="3" t="s">
        <v>31</v>
      </c>
      <c r="J1947" s="3" t="s">
        <v>37</v>
      </c>
      <c r="K1947" s="3" t="s">
        <v>112</v>
      </c>
      <c r="L1947" s="3" t="s">
        <v>113</v>
      </c>
      <c r="M1947" s="4">
        <v>97.84</v>
      </c>
    </row>
    <row r="1948">
      <c r="A1948" s="2">
        <v>45599</v>
      </c>
      <c r="B19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8" s="3" t="str">
        <f>YEAR(KMART_DATA[[#This Row],[Date]])&amp;"-"&amp;TEXT(MONTH(KMART_DATA[[#This Row],[Date]]),"00")</f>
        <v>2024-11</v>
      </c>
      <c r="D1948" s="3" t="s">
        <v>28</v>
      </c>
      <c r="E1948" s="3" t="s">
        <v>179</v>
      </c>
      <c r="F1948" s="3" t="s">
        <v>9</v>
      </c>
      <c r="G19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48" s="3" t="s">
        <v>180</v>
      </c>
      <c r="I1948" s="3" t="s">
        <v>31</v>
      </c>
      <c r="J1948" s="3" t="s">
        <v>99</v>
      </c>
      <c r="K1948" s="3" t="s">
        <v>43</v>
      </c>
      <c r="L1948" s="3" t="s">
        <v>44</v>
      </c>
      <c r="M1948" s="4">
        <v>409.3</v>
      </c>
    </row>
    <row r="1949">
      <c r="A1949" s="2">
        <v>45600</v>
      </c>
      <c r="B19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49" s="3" t="str">
        <f>YEAR(KMART_DATA[[#This Row],[Date]])&amp;"-"&amp;TEXT(MONTH(KMART_DATA[[#This Row],[Date]]),"00")</f>
        <v>2024-11</v>
      </c>
      <c r="D1949" s="3" t="s">
        <v>45</v>
      </c>
      <c r="E1949" s="3" t="s">
        <v>230</v>
      </c>
      <c r="F1949" s="3" t="s">
        <v>13</v>
      </c>
      <c r="G19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949" s="3" t="s">
        <v>231</v>
      </c>
      <c r="I1949" s="3" t="s">
        <v>31</v>
      </c>
      <c r="J1949" s="3" t="s">
        <v>227</v>
      </c>
      <c r="K1949" s="3" t="s">
        <v>46</v>
      </c>
      <c r="L1949" s="3" t="s">
        <v>47</v>
      </c>
      <c r="M1949" s="4">
        <v>111.27</v>
      </c>
    </row>
    <row r="1950">
      <c r="A1950" s="2">
        <v>45600</v>
      </c>
      <c r="B19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0" s="3" t="str">
        <f>YEAR(KMART_DATA[[#This Row],[Date]])&amp;"-"&amp;TEXT(MONTH(KMART_DATA[[#This Row],[Date]]),"00")</f>
        <v>2024-11</v>
      </c>
      <c r="D1950" s="3" t="s">
        <v>28</v>
      </c>
      <c r="E1950" s="3" t="s">
        <v>171</v>
      </c>
      <c r="F1950" s="3" t="s">
        <v>10</v>
      </c>
      <c r="G19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50" s="3" t="s">
        <v>172</v>
      </c>
      <c r="I1950" s="3" t="s">
        <v>31</v>
      </c>
      <c r="J1950" s="3" t="s">
        <v>37</v>
      </c>
      <c r="K1950" s="3" t="s">
        <v>71</v>
      </c>
      <c r="L1950" s="3" t="s">
        <v>72</v>
      </c>
      <c r="M1950" s="4">
        <v>1694.0</v>
      </c>
    </row>
    <row r="1951">
      <c r="A1951" s="2">
        <v>45601</v>
      </c>
      <c r="B19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1" s="3" t="str">
        <f>YEAR(KMART_DATA[[#This Row],[Date]])&amp;"-"&amp;TEXT(MONTH(KMART_DATA[[#This Row],[Date]]),"00")</f>
        <v>2024-11</v>
      </c>
      <c r="D1951" s="3" t="s">
        <v>28</v>
      </c>
      <c r="E1951" s="3" t="s">
        <v>225</v>
      </c>
      <c r="F1951" s="3" t="s">
        <v>13</v>
      </c>
      <c r="G19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951" s="3" t="s">
        <v>226</v>
      </c>
      <c r="I1951" s="3" t="s">
        <v>31</v>
      </c>
      <c r="J1951" s="3" t="s">
        <v>227</v>
      </c>
      <c r="K1951" s="3" t="s">
        <v>112</v>
      </c>
      <c r="L1951" s="3" t="s">
        <v>113</v>
      </c>
      <c r="M1951" s="4">
        <v>197.66</v>
      </c>
    </row>
    <row r="1952">
      <c r="A1952" s="2">
        <v>45601</v>
      </c>
      <c r="B19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2" s="3" t="str">
        <f>YEAR(KMART_DATA[[#This Row],[Date]])&amp;"-"&amp;TEXT(MONTH(KMART_DATA[[#This Row],[Date]]),"00")</f>
        <v>2024-11</v>
      </c>
      <c r="D1952" s="3" t="s">
        <v>28</v>
      </c>
      <c r="E1952" s="3" t="s">
        <v>154</v>
      </c>
      <c r="F1952" s="3" t="s">
        <v>11</v>
      </c>
      <c r="G19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52" s="3" t="s">
        <v>155</v>
      </c>
      <c r="I1952" s="3" t="s">
        <v>31</v>
      </c>
      <c r="J1952" s="3" t="s">
        <v>84</v>
      </c>
      <c r="K1952" s="3" t="s">
        <v>38</v>
      </c>
      <c r="L1952" s="3" t="s">
        <v>39</v>
      </c>
      <c r="M1952" s="4">
        <v>562.51</v>
      </c>
    </row>
    <row r="1953">
      <c r="A1953" s="2">
        <v>45602</v>
      </c>
      <c r="B19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3" s="3" t="str">
        <f>YEAR(KMART_DATA[[#This Row],[Date]])&amp;"-"&amp;TEXT(MONTH(KMART_DATA[[#This Row],[Date]]),"00")</f>
        <v>2024-11</v>
      </c>
      <c r="D1953" s="3" t="s">
        <v>45</v>
      </c>
      <c r="E1953" s="3" t="s">
        <v>64</v>
      </c>
      <c r="F1953" s="3" t="s">
        <v>11</v>
      </c>
      <c r="G19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53" s="3" t="s">
        <v>65</v>
      </c>
      <c r="I1953" s="3" t="s">
        <v>31</v>
      </c>
      <c r="J1953" s="3" t="s">
        <v>61</v>
      </c>
      <c r="K1953" s="3" t="s">
        <v>46</v>
      </c>
      <c r="L1953" s="3" t="s">
        <v>47</v>
      </c>
      <c r="M1953" s="4">
        <v>7.99</v>
      </c>
    </row>
    <row r="1954">
      <c r="A1954" s="2">
        <v>45602</v>
      </c>
      <c r="B19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4" s="3" t="str">
        <f>YEAR(KMART_DATA[[#This Row],[Date]])&amp;"-"&amp;TEXT(MONTH(KMART_DATA[[#This Row],[Date]]),"00")</f>
        <v>2024-11</v>
      </c>
      <c r="D1954" s="3" t="s">
        <v>28</v>
      </c>
      <c r="E1954" s="3" t="s">
        <v>215</v>
      </c>
      <c r="F1954" s="3" t="s">
        <v>15</v>
      </c>
      <c r="G19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954" s="3" t="s">
        <v>216</v>
      </c>
      <c r="I1954" s="3" t="s">
        <v>31</v>
      </c>
      <c r="J1954" s="3" t="s">
        <v>53</v>
      </c>
      <c r="K1954" s="3" t="s">
        <v>71</v>
      </c>
      <c r="L1954" s="3" t="s">
        <v>72</v>
      </c>
      <c r="M1954" s="4">
        <v>441.41</v>
      </c>
    </row>
    <row r="1955">
      <c r="A1955" s="2">
        <v>45602</v>
      </c>
      <c r="B19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5" s="3" t="str">
        <f>YEAR(KMART_DATA[[#This Row],[Date]])&amp;"-"&amp;TEXT(MONTH(KMART_DATA[[#This Row],[Date]]),"00")</f>
        <v>2024-11</v>
      </c>
      <c r="D1955" s="3" t="s">
        <v>28</v>
      </c>
      <c r="E1955" s="3" t="s">
        <v>68</v>
      </c>
      <c r="F1955" s="3" t="s">
        <v>9</v>
      </c>
      <c r="G19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55" s="3" t="s">
        <v>69</v>
      </c>
      <c r="I1955" s="3" t="s">
        <v>31</v>
      </c>
      <c r="J1955" s="3" t="s">
        <v>70</v>
      </c>
      <c r="K1955" s="3" t="s">
        <v>33</v>
      </c>
      <c r="L1955" s="3" t="s">
        <v>34</v>
      </c>
      <c r="M1955" s="4">
        <v>975.52</v>
      </c>
    </row>
    <row r="1956">
      <c r="A1956" s="2">
        <v>45602</v>
      </c>
      <c r="B19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6" s="3" t="str">
        <f>YEAR(KMART_DATA[[#This Row],[Date]])&amp;"-"&amp;TEXT(MONTH(KMART_DATA[[#This Row],[Date]]),"00")</f>
        <v>2024-11</v>
      </c>
      <c r="D1956" s="3" t="s">
        <v>28</v>
      </c>
      <c r="E1956" s="3" t="s">
        <v>264</v>
      </c>
      <c r="F1956" s="3" t="s">
        <v>13</v>
      </c>
      <c r="G19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956" s="3" t="s">
        <v>265</v>
      </c>
      <c r="I1956" s="3" t="s">
        <v>31</v>
      </c>
      <c r="J1956" s="3" t="s">
        <v>42</v>
      </c>
      <c r="K1956" s="3" t="s">
        <v>33</v>
      </c>
      <c r="L1956" s="3" t="s">
        <v>34</v>
      </c>
      <c r="M1956" s="4">
        <v>1017.76</v>
      </c>
    </row>
    <row r="1957">
      <c r="A1957" s="2">
        <v>45602</v>
      </c>
      <c r="B19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7" s="3" t="str">
        <f>YEAR(KMART_DATA[[#This Row],[Date]])&amp;"-"&amp;TEXT(MONTH(KMART_DATA[[#This Row],[Date]]),"00")</f>
        <v>2024-11</v>
      </c>
      <c r="D1957" s="3" t="s">
        <v>28</v>
      </c>
      <c r="E1957" s="3" t="s">
        <v>232</v>
      </c>
      <c r="F1957" s="3" t="s">
        <v>9</v>
      </c>
      <c r="G19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57" s="3" t="s">
        <v>233</v>
      </c>
      <c r="I1957" s="3" t="s">
        <v>31</v>
      </c>
      <c r="J1957" s="3" t="s">
        <v>75</v>
      </c>
      <c r="K1957" s="3" t="s">
        <v>95</v>
      </c>
      <c r="L1957" s="3" t="s">
        <v>96</v>
      </c>
      <c r="M1957" s="4">
        <v>6426.48</v>
      </c>
    </row>
    <row r="1958">
      <c r="A1958" s="2">
        <v>45603</v>
      </c>
      <c r="B19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8" s="3" t="str">
        <f>YEAR(KMART_DATA[[#This Row],[Date]])&amp;"-"&amp;TEXT(MONTH(KMART_DATA[[#This Row],[Date]]),"00")</f>
        <v>2024-11</v>
      </c>
      <c r="D1958" s="3" t="s">
        <v>28</v>
      </c>
      <c r="E1958" s="3" t="s">
        <v>256</v>
      </c>
      <c r="F1958" s="3" t="s">
        <v>9</v>
      </c>
      <c r="G19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58" s="3" t="s">
        <v>257</v>
      </c>
      <c r="I1958" s="3" t="s">
        <v>31</v>
      </c>
      <c r="J1958" s="3" t="s">
        <v>70</v>
      </c>
      <c r="K1958" s="3" t="s">
        <v>38</v>
      </c>
      <c r="L1958" s="3" t="s">
        <v>39</v>
      </c>
      <c r="M1958" s="4">
        <v>32.89</v>
      </c>
    </row>
    <row r="1959">
      <c r="A1959" s="2">
        <v>45603</v>
      </c>
      <c r="B19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59" s="3" t="str">
        <f>YEAR(KMART_DATA[[#This Row],[Date]])&amp;"-"&amp;TEXT(MONTH(KMART_DATA[[#This Row],[Date]]),"00")</f>
        <v>2024-11</v>
      </c>
      <c r="D1959" s="3" t="s">
        <v>45</v>
      </c>
      <c r="E1959" s="3" t="s">
        <v>108</v>
      </c>
      <c r="F1959" s="3" t="s">
        <v>9</v>
      </c>
      <c r="G19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59" s="3" t="s">
        <v>109</v>
      </c>
      <c r="I1959" s="3" t="s">
        <v>31</v>
      </c>
      <c r="J1959" s="3" t="s">
        <v>75</v>
      </c>
      <c r="K1959" s="3" t="s">
        <v>112</v>
      </c>
      <c r="L1959" s="3" t="s">
        <v>113</v>
      </c>
      <c r="M1959" s="4">
        <v>81.59</v>
      </c>
    </row>
    <row r="1960">
      <c r="A1960" s="2">
        <v>45603</v>
      </c>
      <c r="B19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0" s="3" t="str">
        <f>YEAR(KMART_DATA[[#This Row],[Date]])&amp;"-"&amp;TEXT(MONTH(KMART_DATA[[#This Row],[Date]]),"00")</f>
        <v>2024-11</v>
      </c>
      <c r="D1960" s="3" t="s">
        <v>28</v>
      </c>
      <c r="E1960" s="3" t="s">
        <v>90</v>
      </c>
      <c r="F1960" s="3" t="s">
        <v>10</v>
      </c>
      <c r="G19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60" s="3" t="s">
        <v>91</v>
      </c>
      <c r="I1960" s="3" t="s">
        <v>31</v>
      </c>
      <c r="J1960" s="3" t="s">
        <v>37</v>
      </c>
      <c r="K1960" s="3" t="s">
        <v>71</v>
      </c>
      <c r="L1960" s="3" t="s">
        <v>72</v>
      </c>
      <c r="M1960" s="4">
        <v>99.95</v>
      </c>
    </row>
    <row r="1961">
      <c r="A1961" s="2">
        <v>45603</v>
      </c>
      <c r="B19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1" s="3" t="str">
        <f>YEAR(KMART_DATA[[#This Row],[Date]])&amp;"-"&amp;TEXT(MONTH(KMART_DATA[[#This Row],[Date]]),"00")</f>
        <v>2024-11</v>
      </c>
      <c r="D1961" s="3" t="s">
        <v>28</v>
      </c>
      <c r="E1961" s="3" t="s">
        <v>97</v>
      </c>
      <c r="F1961" s="3" t="s">
        <v>9</v>
      </c>
      <c r="G19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61" s="3" t="s">
        <v>98</v>
      </c>
      <c r="I1961" s="3" t="s">
        <v>31</v>
      </c>
      <c r="J1961" s="3" t="s">
        <v>99</v>
      </c>
      <c r="K1961" s="3" t="s">
        <v>66</v>
      </c>
      <c r="L1961" s="3" t="s">
        <v>67</v>
      </c>
      <c r="M1961" s="4">
        <v>163.71</v>
      </c>
    </row>
    <row r="1962">
      <c r="A1962" s="2">
        <v>45603</v>
      </c>
      <c r="B19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2" s="3" t="str">
        <f>YEAR(KMART_DATA[[#This Row],[Date]])&amp;"-"&amp;TEXT(MONTH(KMART_DATA[[#This Row],[Date]]),"00")</f>
        <v>2024-11</v>
      </c>
      <c r="D1962" s="3" t="s">
        <v>28</v>
      </c>
      <c r="E1962" s="3" t="s">
        <v>51</v>
      </c>
      <c r="F1962" s="3" t="s">
        <v>15</v>
      </c>
      <c r="G19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962" s="3" t="s">
        <v>52</v>
      </c>
      <c r="I1962" s="3" t="s">
        <v>31</v>
      </c>
      <c r="J1962" s="3" t="s">
        <v>53</v>
      </c>
      <c r="K1962" s="3" t="s">
        <v>46</v>
      </c>
      <c r="L1962" s="3" t="s">
        <v>47</v>
      </c>
      <c r="M1962" s="4">
        <v>216.71</v>
      </c>
    </row>
    <row r="1963">
      <c r="A1963" s="2">
        <v>45603</v>
      </c>
      <c r="B19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3" s="3" t="str">
        <f>YEAR(KMART_DATA[[#This Row],[Date]])&amp;"-"&amp;TEXT(MONTH(KMART_DATA[[#This Row],[Date]]),"00")</f>
        <v>2024-11</v>
      </c>
      <c r="D1963" s="3" t="s">
        <v>28</v>
      </c>
      <c r="E1963" s="3" t="s">
        <v>108</v>
      </c>
      <c r="F1963" s="3" t="s">
        <v>9</v>
      </c>
      <c r="G19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63" s="3" t="s">
        <v>109</v>
      </c>
      <c r="I1963" s="3" t="s">
        <v>31</v>
      </c>
      <c r="J1963" s="3" t="s">
        <v>75</v>
      </c>
      <c r="K1963" s="3" t="s">
        <v>66</v>
      </c>
      <c r="L1963" s="3" t="s">
        <v>67</v>
      </c>
      <c r="M1963" s="4">
        <v>951.57</v>
      </c>
    </row>
    <row r="1964">
      <c r="A1964" s="2">
        <v>45603</v>
      </c>
      <c r="B19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4" s="3" t="str">
        <f>YEAR(KMART_DATA[[#This Row],[Date]])&amp;"-"&amp;TEXT(MONTH(KMART_DATA[[#This Row],[Date]]),"00")</f>
        <v>2024-11</v>
      </c>
      <c r="D1964" s="3" t="s">
        <v>28</v>
      </c>
      <c r="E1964" s="3" t="s">
        <v>228</v>
      </c>
      <c r="F1964" s="3" t="s">
        <v>11</v>
      </c>
      <c r="G19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64" s="3" t="s">
        <v>229</v>
      </c>
      <c r="I1964" s="3" t="s">
        <v>31</v>
      </c>
      <c r="J1964" s="3" t="s">
        <v>32</v>
      </c>
      <c r="K1964" s="3" t="s">
        <v>95</v>
      </c>
      <c r="L1964" s="3" t="s">
        <v>96</v>
      </c>
      <c r="M1964" s="4">
        <v>1235.45</v>
      </c>
    </row>
    <row r="1965">
      <c r="A1965" s="2">
        <v>45604</v>
      </c>
      <c r="B19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5" s="3" t="str">
        <f>YEAR(KMART_DATA[[#This Row],[Date]])&amp;"-"&amp;TEXT(MONTH(KMART_DATA[[#This Row],[Date]]),"00")</f>
        <v>2024-11</v>
      </c>
      <c r="D1965" s="3" t="s">
        <v>28</v>
      </c>
      <c r="E1965" s="3" t="s">
        <v>246</v>
      </c>
      <c r="F1965" s="3" t="s">
        <v>10</v>
      </c>
      <c r="G19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65" s="3" t="s">
        <v>247</v>
      </c>
      <c r="I1965" s="3" t="s">
        <v>31</v>
      </c>
      <c r="J1965" s="3" t="s">
        <v>37</v>
      </c>
      <c r="K1965" s="3" t="s">
        <v>43</v>
      </c>
      <c r="L1965" s="3" t="s">
        <v>44</v>
      </c>
      <c r="M1965" s="4">
        <v>9.11</v>
      </c>
    </row>
    <row r="1966">
      <c r="A1966" s="2">
        <v>45604</v>
      </c>
      <c r="B19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6" s="3" t="str">
        <f>YEAR(KMART_DATA[[#This Row],[Date]])&amp;"-"&amp;TEXT(MONTH(KMART_DATA[[#This Row],[Date]]),"00")</f>
        <v>2024-11</v>
      </c>
      <c r="D1966" s="3" t="s">
        <v>28</v>
      </c>
      <c r="E1966" s="3" t="s">
        <v>234</v>
      </c>
      <c r="F1966" s="3" t="s">
        <v>9</v>
      </c>
      <c r="G19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66" s="3" t="s">
        <v>235</v>
      </c>
      <c r="I1966" s="3" t="s">
        <v>31</v>
      </c>
      <c r="J1966" s="3" t="s">
        <v>81</v>
      </c>
      <c r="K1966" s="3" t="s">
        <v>38</v>
      </c>
      <c r="L1966" s="3" t="s">
        <v>39</v>
      </c>
      <c r="M1966" s="4">
        <v>27.98</v>
      </c>
    </row>
    <row r="1967">
      <c r="A1967" s="2">
        <v>45604</v>
      </c>
      <c r="B19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7" s="3" t="str">
        <f>YEAR(KMART_DATA[[#This Row],[Date]])&amp;"-"&amp;TEXT(MONTH(KMART_DATA[[#This Row],[Date]]),"00")</f>
        <v>2024-11</v>
      </c>
      <c r="D1967" s="3" t="s">
        <v>28</v>
      </c>
      <c r="E1967" s="3" t="s">
        <v>87</v>
      </c>
      <c r="F1967" s="3" t="s">
        <v>10</v>
      </c>
      <c r="G19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67" s="3" t="s">
        <v>88</v>
      </c>
      <c r="I1967" s="3" t="s">
        <v>31</v>
      </c>
      <c r="J1967" s="3" t="s">
        <v>89</v>
      </c>
      <c r="K1967" s="3" t="s">
        <v>38</v>
      </c>
      <c r="L1967" s="3" t="s">
        <v>39</v>
      </c>
      <c r="M1967" s="4">
        <v>533.91</v>
      </c>
    </row>
    <row r="1968">
      <c r="A1968" s="2">
        <v>45604</v>
      </c>
      <c r="B19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8" s="3" t="str">
        <f>YEAR(KMART_DATA[[#This Row],[Date]])&amp;"-"&amp;TEXT(MONTH(KMART_DATA[[#This Row],[Date]]),"00")</f>
        <v>2024-11</v>
      </c>
      <c r="D1968" s="3" t="s">
        <v>28</v>
      </c>
      <c r="E1968" s="3" t="s">
        <v>90</v>
      </c>
      <c r="F1968" s="3" t="s">
        <v>10</v>
      </c>
      <c r="G19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68" s="3" t="s">
        <v>91</v>
      </c>
      <c r="I1968" s="3" t="s">
        <v>31</v>
      </c>
      <c r="J1968" s="3" t="s">
        <v>37</v>
      </c>
      <c r="K1968" s="3" t="s">
        <v>57</v>
      </c>
      <c r="L1968" s="3" t="s">
        <v>58</v>
      </c>
      <c r="M1968" s="4">
        <v>6511.67</v>
      </c>
    </row>
    <row r="1969">
      <c r="A1969" s="2">
        <v>45605</v>
      </c>
      <c r="B19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69" s="3" t="str">
        <f>YEAR(KMART_DATA[[#This Row],[Date]])&amp;"-"&amp;TEXT(MONTH(KMART_DATA[[#This Row],[Date]]),"00")</f>
        <v>2024-11</v>
      </c>
      <c r="D1969" s="3" t="s">
        <v>28</v>
      </c>
      <c r="E1969" s="3" t="s">
        <v>158</v>
      </c>
      <c r="F1969" s="3" t="s">
        <v>11</v>
      </c>
      <c r="G19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69" s="3" t="s">
        <v>159</v>
      </c>
      <c r="I1969" s="3" t="s">
        <v>31</v>
      </c>
      <c r="J1969" s="3" t="s">
        <v>84</v>
      </c>
      <c r="K1969" s="3" t="s">
        <v>123</v>
      </c>
      <c r="L1969" s="3" t="s">
        <v>124</v>
      </c>
      <c r="M1969" s="4">
        <v>20.97</v>
      </c>
    </row>
    <row r="1970">
      <c r="A1970" s="2">
        <v>45605</v>
      </c>
      <c r="B19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0" s="3" t="str">
        <f>YEAR(KMART_DATA[[#This Row],[Date]])&amp;"-"&amp;TEXT(MONTH(KMART_DATA[[#This Row],[Date]]),"00")</f>
        <v>2024-11</v>
      </c>
      <c r="D1970" s="3" t="s">
        <v>28</v>
      </c>
      <c r="E1970" s="3" t="s">
        <v>244</v>
      </c>
      <c r="F1970" s="3" t="s">
        <v>13</v>
      </c>
      <c r="G19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1970" s="3" t="s">
        <v>245</v>
      </c>
      <c r="I1970" s="3" t="s">
        <v>31</v>
      </c>
      <c r="J1970" s="3" t="s">
        <v>42</v>
      </c>
      <c r="K1970" s="3" t="s">
        <v>112</v>
      </c>
      <c r="L1970" s="3" t="s">
        <v>113</v>
      </c>
      <c r="M1970" s="4">
        <v>23.96</v>
      </c>
    </row>
    <row r="1971">
      <c r="A1971" s="2">
        <v>45605</v>
      </c>
      <c r="B19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1" s="3" t="str">
        <f>YEAR(KMART_DATA[[#This Row],[Date]])&amp;"-"&amp;TEXT(MONTH(KMART_DATA[[#This Row],[Date]]),"00")</f>
        <v>2024-11</v>
      </c>
      <c r="D1971" s="3" t="s">
        <v>28</v>
      </c>
      <c r="E1971" s="3" t="s">
        <v>203</v>
      </c>
      <c r="F1971" s="3" t="s">
        <v>10</v>
      </c>
      <c r="G19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71" s="3" t="s">
        <v>204</v>
      </c>
      <c r="I1971" s="3" t="s">
        <v>31</v>
      </c>
      <c r="J1971" s="3" t="s">
        <v>89</v>
      </c>
      <c r="K1971" s="3" t="s">
        <v>43</v>
      </c>
      <c r="L1971" s="3" t="s">
        <v>44</v>
      </c>
      <c r="M1971" s="4">
        <v>74.91</v>
      </c>
    </row>
    <row r="1972">
      <c r="A1972" s="2">
        <v>45605</v>
      </c>
      <c r="B19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2" s="3" t="str">
        <f>YEAR(KMART_DATA[[#This Row],[Date]])&amp;"-"&amp;TEXT(MONTH(KMART_DATA[[#This Row],[Date]]),"00")</f>
        <v>2024-11</v>
      </c>
      <c r="D1972" s="3" t="s">
        <v>45</v>
      </c>
      <c r="E1972" s="3" t="s">
        <v>133</v>
      </c>
      <c r="F1972" s="3" t="s">
        <v>10</v>
      </c>
      <c r="G19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72" s="3" t="s">
        <v>134</v>
      </c>
      <c r="I1972" s="3" t="s">
        <v>31</v>
      </c>
      <c r="J1972" s="3" t="s">
        <v>37</v>
      </c>
      <c r="K1972" s="3" t="s">
        <v>43</v>
      </c>
      <c r="L1972" s="3" t="s">
        <v>44</v>
      </c>
      <c r="M1972" s="4">
        <v>89.95</v>
      </c>
    </row>
    <row r="1973">
      <c r="A1973" s="2">
        <v>45605</v>
      </c>
      <c r="B19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3" s="3" t="str">
        <f>YEAR(KMART_DATA[[#This Row],[Date]])&amp;"-"&amp;TEXT(MONTH(KMART_DATA[[#This Row],[Date]]),"00")</f>
        <v>2024-11</v>
      </c>
      <c r="D1973" s="3" t="s">
        <v>45</v>
      </c>
      <c r="E1973" s="3" t="s">
        <v>135</v>
      </c>
      <c r="F1973" s="3" t="s">
        <v>16</v>
      </c>
      <c r="G19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973" s="3" t="s">
        <v>136</v>
      </c>
      <c r="I1973" s="3" t="s">
        <v>31</v>
      </c>
      <c r="J1973" s="3" t="s">
        <v>107</v>
      </c>
      <c r="K1973" s="3" t="s">
        <v>95</v>
      </c>
      <c r="L1973" s="3" t="s">
        <v>96</v>
      </c>
      <c r="M1973" s="4">
        <v>366.37</v>
      </c>
    </row>
    <row r="1974">
      <c r="A1974" s="2">
        <v>45606</v>
      </c>
      <c r="B19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4" s="3" t="str">
        <f>YEAR(KMART_DATA[[#This Row],[Date]])&amp;"-"&amp;TEXT(MONTH(KMART_DATA[[#This Row],[Date]]),"00")</f>
        <v>2024-11</v>
      </c>
      <c r="D1974" s="3" t="s">
        <v>28</v>
      </c>
      <c r="E1974" s="3" t="s">
        <v>240</v>
      </c>
      <c r="F1974" s="3" t="s">
        <v>15</v>
      </c>
      <c r="G19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1974" s="3" t="s">
        <v>241</v>
      </c>
      <c r="I1974" s="3" t="s">
        <v>31</v>
      </c>
      <c r="J1974" s="3" t="s">
        <v>53</v>
      </c>
      <c r="K1974" s="3" t="s">
        <v>46</v>
      </c>
      <c r="L1974" s="3" t="s">
        <v>47</v>
      </c>
      <c r="M1974" s="4">
        <v>1.0</v>
      </c>
    </row>
    <row r="1975">
      <c r="A1975" s="2">
        <v>45606</v>
      </c>
      <c r="B19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5" s="3" t="str">
        <f>YEAR(KMART_DATA[[#This Row],[Date]])&amp;"-"&amp;TEXT(MONTH(KMART_DATA[[#This Row],[Date]]),"00")</f>
        <v>2024-11</v>
      </c>
      <c r="D1975" s="3" t="s">
        <v>28</v>
      </c>
      <c r="E1975" s="3" t="s">
        <v>221</v>
      </c>
      <c r="F1975" s="3" t="s">
        <v>11</v>
      </c>
      <c r="G19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75" s="3" t="s">
        <v>222</v>
      </c>
      <c r="I1975" s="3" t="s">
        <v>31</v>
      </c>
      <c r="J1975" s="3" t="s">
        <v>56</v>
      </c>
      <c r="K1975" s="3" t="s">
        <v>71</v>
      </c>
      <c r="L1975" s="3" t="s">
        <v>72</v>
      </c>
      <c r="M1975" s="4">
        <v>4.99</v>
      </c>
    </row>
    <row r="1976">
      <c r="A1976" s="2">
        <v>45606</v>
      </c>
      <c r="B19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6" s="3" t="str">
        <f>YEAR(KMART_DATA[[#This Row],[Date]])&amp;"-"&amp;TEXT(MONTH(KMART_DATA[[#This Row],[Date]]),"00")</f>
        <v>2024-11</v>
      </c>
      <c r="D1976" s="3" t="s">
        <v>28</v>
      </c>
      <c r="E1976" s="3" t="s">
        <v>191</v>
      </c>
      <c r="F1976" s="3" t="s">
        <v>10</v>
      </c>
      <c r="G19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76" s="3" t="s">
        <v>192</v>
      </c>
      <c r="I1976" s="3" t="s">
        <v>31</v>
      </c>
      <c r="J1976" s="3" t="s">
        <v>120</v>
      </c>
      <c r="K1976" s="3" t="s">
        <v>33</v>
      </c>
      <c r="L1976" s="3" t="s">
        <v>34</v>
      </c>
      <c r="M1976" s="4">
        <v>21.96</v>
      </c>
    </row>
    <row r="1977">
      <c r="A1977" s="2">
        <v>45606</v>
      </c>
      <c r="B19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7" s="3" t="str">
        <f>YEAR(KMART_DATA[[#This Row],[Date]])&amp;"-"&amp;TEXT(MONTH(KMART_DATA[[#This Row],[Date]]),"00")</f>
        <v>2024-11</v>
      </c>
      <c r="D1977" s="3" t="s">
        <v>28</v>
      </c>
      <c r="E1977" s="3" t="s">
        <v>205</v>
      </c>
      <c r="F1977" s="3" t="s">
        <v>10</v>
      </c>
      <c r="G19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77" s="3" t="s">
        <v>206</v>
      </c>
      <c r="I1977" s="3" t="s">
        <v>31</v>
      </c>
      <c r="J1977" s="3" t="s">
        <v>37</v>
      </c>
      <c r="K1977" s="3" t="s">
        <v>43</v>
      </c>
      <c r="L1977" s="3" t="s">
        <v>44</v>
      </c>
      <c r="M1977" s="4">
        <v>27.98</v>
      </c>
    </row>
    <row r="1978">
      <c r="A1978" s="2">
        <v>45606</v>
      </c>
      <c r="B19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8" s="3" t="str">
        <f>YEAR(KMART_DATA[[#This Row],[Date]])&amp;"-"&amp;TEXT(MONTH(KMART_DATA[[#This Row],[Date]]),"00")</f>
        <v>2024-11</v>
      </c>
      <c r="D1978" s="3" t="s">
        <v>28</v>
      </c>
      <c r="E1978" s="3" t="s">
        <v>189</v>
      </c>
      <c r="F1978" s="3" t="s">
        <v>9</v>
      </c>
      <c r="G19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78" s="3" t="s">
        <v>190</v>
      </c>
      <c r="I1978" s="3" t="s">
        <v>31</v>
      </c>
      <c r="J1978" s="3" t="s">
        <v>81</v>
      </c>
      <c r="K1978" s="3" t="s">
        <v>112</v>
      </c>
      <c r="L1978" s="3" t="s">
        <v>113</v>
      </c>
      <c r="M1978" s="4">
        <v>50.4</v>
      </c>
    </row>
    <row r="1979">
      <c r="A1979" s="2">
        <v>45606</v>
      </c>
      <c r="B19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79" s="3" t="str">
        <f>YEAR(KMART_DATA[[#This Row],[Date]])&amp;"-"&amp;TEXT(MONTH(KMART_DATA[[#This Row],[Date]]),"00")</f>
        <v>2024-11</v>
      </c>
      <c r="D1979" s="3" t="s">
        <v>28</v>
      </c>
      <c r="E1979" s="3" t="s">
        <v>148</v>
      </c>
      <c r="F1979" s="3" t="s">
        <v>12</v>
      </c>
      <c r="G19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979" s="3" t="s">
        <v>149</v>
      </c>
      <c r="I1979" s="3" t="s">
        <v>31</v>
      </c>
      <c r="J1979" s="3" t="s">
        <v>50</v>
      </c>
      <c r="K1979" s="3" t="s">
        <v>43</v>
      </c>
      <c r="L1979" s="3" t="s">
        <v>44</v>
      </c>
      <c r="M1979" s="4">
        <v>77.0</v>
      </c>
    </row>
    <row r="1980">
      <c r="A1980" s="2">
        <v>45607</v>
      </c>
      <c r="B19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0" s="3" t="str">
        <f>YEAR(KMART_DATA[[#This Row],[Date]])&amp;"-"&amp;TEXT(MONTH(KMART_DATA[[#This Row],[Date]]),"00")</f>
        <v>2024-11</v>
      </c>
      <c r="D1980" s="3" t="s">
        <v>28</v>
      </c>
      <c r="E1980" s="3" t="s">
        <v>135</v>
      </c>
      <c r="F1980" s="3" t="s">
        <v>16</v>
      </c>
      <c r="G19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980" s="3" t="s">
        <v>136</v>
      </c>
      <c r="I1980" s="3" t="s">
        <v>31</v>
      </c>
      <c r="J1980" s="3" t="s">
        <v>107</v>
      </c>
      <c r="K1980" s="3" t="s">
        <v>46</v>
      </c>
      <c r="L1980" s="3" t="s">
        <v>47</v>
      </c>
      <c r="M1980" s="4">
        <v>31.97</v>
      </c>
    </row>
    <row r="1981">
      <c r="A1981" s="2">
        <v>45607</v>
      </c>
      <c r="B19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1" s="3" t="str">
        <f>YEAR(KMART_DATA[[#This Row],[Date]])&amp;"-"&amp;TEXT(MONTH(KMART_DATA[[#This Row],[Date]]),"00")</f>
        <v>2024-11</v>
      </c>
      <c r="D1981" s="3" t="s">
        <v>28</v>
      </c>
      <c r="E1981" s="3" t="s">
        <v>158</v>
      </c>
      <c r="F1981" s="3" t="s">
        <v>11</v>
      </c>
      <c r="G19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81" s="3" t="s">
        <v>159</v>
      </c>
      <c r="I1981" s="3" t="s">
        <v>31</v>
      </c>
      <c r="J1981" s="3" t="s">
        <v>84</v>
      </c>
      <c r="K1981" s="3" t="s">
        <v>123</v>
      </c>
      <c r="L1981" s="3" t="s">
        <v>124</v>
      </c>
      <c r="M1981" s="4">
        <v>64.9</v>
      </c>
    </row>
    <row r="1982">
      <c r="A1982" s="2">
        <v>45607</v>
      </c>
      <c r="B19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2" s="3" t="str">
        <f>YEAR(KMART_DATA[[#This Row],[Date]])&amp;"-"&amp;TEXT(MONTH(KMART_DATA[[#This Row],[Date]]),"00")</f>
        <v>2024-11</v>
      </c>
      <c r="D1982" s="3" t="s">
        <v>28</v>
      </c>
      <c r="E1982" s="3" t="s">
        <v>221</v>
      </c>
      <c r="F1982" s="3" t="s">
        <v>11</v>
      </c>
      <c r="G19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82" s="3" t="s">
        <v>222</v>
      </c>
      <c r="I1982" s="3" t="s">
        <v>31</v>
      </c>
      <c r="J1982" s="3" t="s">
        <v>56</v>
      </c>
      <c r="K1982" s="3" t="s">
        <v>95</v>
      </c>
      <c r="L1982" s="3" t="s">
        <v>96</v>
      </c>
      <c r="M1982" s="4">
        <v>116.71</v>
      </c>
    </row>
    <row r="1983">
      <c r="A1983" s="2">
        <v>45607</v>
      </c>
      <c r="B19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3" s="3" t="str">
        <f>YEAR(KMART_DATA[[#This Row],[Date]])&amp;"-"&amp;TEXT(MONTH(KMART_DATA[[#This Row],[Date]]),"00")</f>
        <v>2024-11</v>
      </c>
      <c r="D1983" s="3" t="s">
        <v>28</v>
      </c>
      <c r="E1983" s="3" t="s">
        <v>258</v>
      </c>
      <c r="F1983" s="3" t="s">
        <v>14</v>
      </c>
      <c r="G19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1983" s="3" t="s">
        <v>259</v>
      </c>
      <c r="I1983" s="3" t="s">
        <v>31</v>
      </c>
      <c r="J1983" s="3" t="s">
        <v>145</v>
      </c>
      <c r="K1983" s="3" t="s">
        <v>95</v>
      </c>
      <c r="L1983" s="3" t="s">
        <v>96</v>
      </c>
      <c r="M1983" s="4">
        <v>152.86</v>
      </c>
    </row>
    <row r="1984">
      <c r="A1984" s="2">
        <v>45607</v>
      </c>
      <c r="B19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4" s="3" t="str">
        <f>YEAR(KMART_DATA[[#This Row],[Date]])&amp;"-"&amp;TEXT(MONTH(KMART_DATA[[#This Row],[Date]]),"00")</f>
        <v>2024-11</v>
      </c>
      <c r="D1984" s="3" t="s">
        <v>28</v>
      </c>
      <c r="E1984" s="3" t="s">
        <v>205</v>
      </c>
      <c r="F1984" s="3" t="s">
        <v>10</v>
      </c>
      <c r="G19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84" s="3" t="s">
        <v>206</v>
      </c>
      <c r="I1984" s="3" t="s">
        <v>31</v>
      </c>
      <c r="J1984" s="3" t="s">
        <v>37</v>
      </c>
      <c r="K1984" s="3" t="s">
        <v>95</v>
      </c>
      <c r="L1984" s="3" t="s">
        <v>96</v>
      </c>
      <c r="M1984" s="4">
        <v>210.05</v>
      </c>
    </row>
    <row r="1985">
      <c r="A1985" s="2">
        <v>45607</v>
      </c>
      <c r="B19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5" s="3" t="str">
        <f>YEAR(KMART_DATA[[#This Row],[Date]])&amp;"-"&amp;TEXT(MONTH(KMART_DATA[[#This Row],[Date]]),"00")</f>
        <v>2024-11</v>
      </c>
      <c r="D1985" s="3" t="s">
        <v>45</v>
      </c>
      <c r="E1985" s="3" t="s">
        <v>62</v>
      </c>
      <c r="F1985" s="3" t="s">
        <v>12</v>
      </c>
      <c r="G19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985" s="3" t="s">
        <v>63</v>
      </c>
      <c r="I1985" s="3" t="s">
        <v>31</v>
      </c>
      <c r="J1985" s="3" t="s">
        <v>50</v>
      </c>
      <c r="K1985" s="3" t="s">
        <v>71</v>
      </c>
      <c r="L1985" s="3" t="s">
        <v>72</v>
      </c>
      <c r="M1985" s="4">
        <v>210.75</v>
      </c>
    </row>
    <row r="1986">
      <c r="A1986" s="2">
        <v>45607</v>
      </c>
      <c r="B19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6" s="3" t="str">
        <f>YEAR(KMART_DATA[[#This Row],[Date]])&amp;"-"&amp;TEXT(MONTH(KMART_DATA[[#This Row],[Date]]),"00")</f>
        <v>2024-11</v>
      </c>
      <c r="D1986" s="3" t="s">
        <v>45</v>
      </c>
      <c r="E1986" s="3" t="s">
        <v>228</v>
      </c>
      <c r="F1986" s="3" t="s">
        <v>11</v>
      </c>
      <c r="G19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86" s="3" t="s">
        <v>229</v>
      </c>
      <c r="I1986" s="3" t="s">
        <v>31</v>
      </c>
      <c r="J1986" s="3" t="s">
        <v>32</v>
      </c>
      <c r="K1986" s="3" t="s">
        <v>112</v>
      </c>
      <c r="L1986" s="3" t="s">
        <v>113</v>
      </c>
      <c r="M1986" s="4">
        <v>226.63</v>
      </c>
    </row>
    <row r="1987">
      <c r="A1987" s="2">
        <v>45607</v>
      </c>
      <c r="B19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7" s="3" t="str">
        <f>YEAR(KMART_DATA[[#This Row],[Date]])&amp;"-"&amp;TEXT(MONTH(KMART_DATA[[#This Row],[Date]]),"00")</f>
        <v>2024-11</v>
      </c>
      <c r="D1987" s="3" t="s">
        <v>45</v>
      </c>
      <c r="E1987" s="3" t="s">
        <v>85</v>
      </c>
      <c r="F1987" s="3" t="s">
        <v>9</v>
      </c>
      <c r="G19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87" s="3" t="s">
        <v>86</v>
      </c>
      <c r="I1987" s="3" t="s">
        <v>31</v>
      </c>
      <c r="J1987" s="3" t="s">
        <v>81</v>
      </c>
      <c r="K1987" s="3" t="s">
        <v>123</v>
      </c>
      <c r="L1987" s="3" t="s">
        <v>124</v>
      </c>
      <c r="M1987" s="4">
        <v>372.48</v>
      </c>
    </row>
    <row r="1988">
      <c r="A1988" s="2">
        <v>45607</v>
      </c>
      <c r="B19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8" s="3" t="str">
        <f>YEAR(KMART_DATA[[#This Row],[Date]])&amp;"-"&amp;TEXT(MONTH(KMART_DATA[[#This Row],[Date]]),"00")</f>
        <v>2024-11</v>
      </c>
      <c r="D1988" s="3" t="s">
        <v>45</v>
      </c>
      <c r="E1988" s="3" t="s">
        <v>85</v>
      </c>
      <c r="F1988" s="3" t="s">
        <v>9</v>
      </c>
      <c r="G19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88" s="3" t="s">
        <v>86</v>
      </c>
      <c r="I1988" s="3" t="s">
        <v>31</v>
      </c>
      <c r="J1988" s="3" t="s">
        <v>81</v>
      </c>
      <c r="K1988" s="3" t="s">
        <v>46</v>
      </c>
      <c r="L1988" s="3" t="s">
        <v>47</v>
      </c>
      <c r="M1988" s="4">
        <v>379.57</v>
      </c>
    </row>
    <row r="1989">
      <c r="A1989" s="2">
        <v>45607</v>
      </c>
      <c r="B19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89" s="3" t="str">
        <f>YEAR(KMART_DATA[[#This Row],[Date]])&amp;"-"&amp;TEXT(MONTH(KMART_DATA[[#This Row],[Date]]),"00")</f>
        <v>2024-11</v>
      </c>
      <c r="D1989" s="3" t="s">
        <v>28</v>
      </c>
      <c r="E1989" s="3" t="s">
        <v>105</v>
      </c>
      <c r="F1989" s="3" t="s">
        <v>9</v>
      </c>
      <c r="G19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89" s="3" t="s">
        <v>106</v>
      </c>
      <c r="I1989" s="3" t="s">
        <v>31</v>
      </c>
      <c r="J1989" s="3" t="s">
        <v>107</v>
      </c>
      <c r="K1989" s="3" t="s">
        <v>71</v>
      </c>
      <c r="L1989" s="3" t="s">
        <v>72</v>
      </c>
      <c r="M1989" s="4">
        <v>2608.59</v>
      </c>
    </row>
    <row r="1990">
      <c r="A1990" s="2">
        <v>45608</v>
      </c>
      <c r="B19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0" s="3" t="str">
        <f>YEAR(KMART_DATA[[#This Row],[Date]])&amp;"-"&amp;TEXT(MONTH(KMART_DATA[[#This Row],[Date]]),"00")</f>
        <v>2024-11</v>
      </c>
      <c r="D1990" s="3" t="s">
        <v>45</v>
      </c>
      <c r="E1990" s="3" t="s">
        <v>211</v>
      </c>
      <c r="F1990" s="3" t="s">
        <v>9</v>
      </c>
      <c r="G19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90" s="3" t="s">
        <v>212</v>
      </c>
      <c r="I1990" s="3" t="s">
        <v>31</v>
      </c>
      <c r="J1990" s="3" t="s">
        <v>75</v>
      </c>
      <c r="K1990" s="3" t="s">
        <v>71</v>
      </c>
      <c r="L1990" s="3" t="s">
        <v>72</v>
      </c>
      <c r="M1990" s="4">
        <v>3.75</v>
      </c>
    </row>
    <row r="1991">
      <c r="A1991" s="2">
        <v>45608</v>
      </c>
      <c r="B19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1" s="3" t="str">
        <f>YEAR(KMART_DATA[[#This Row],[Date]])&amp;"-"&amp;TEXT(MONTH(KMART_DATA[[#This Row],[Date]]),"00")</f>
        <v>2024-11</v>
      </c>
      <c r="D1991" s="3" t="s">
        <v>28</v>
      </c>
      <c r="E1991" s="3" t="s">
        <v>175</v>
      </c>
      <c r="F1991" s="3" t="s">
        <v>16</v>
      </c>
      <c r="G19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1991" s="3" t="s">
        <v>176</v>
      </c>
      <c r="I1991" s="3" t="s">
        <v>31</v>
      </c>
      <c r="J1991" s="3" t="s">
        <v>107</v>
      </c>
      <c r="K1991" s="3" t="s">
        <v>33</v>
      </c>
      <c r="L1991" s="3" t="s">
        <v>34</v>
      </c>
      <c r="M1991" s="4">
        <v>11.97</v>
      </c>
    </row>
    <row r="1992">
      <c r="A1992" s="2">
        <v>45608</v>
      </c>
      <c r="B19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2" s="3" t="str">
        <f>YEAR(KMART_DATA[[#This Row],[Date]])&amp;"-"&amp;TEXT(MONTH(KMART_DATA[[#This Row],[Date]]),"00")</f>
        <v>2024-11</v>
      </c>
      <c r="D1992" s="3" t="s">
        <v>45</v>
      </c>
      <c r="E1992" s="3" t="s">
        <v>246</v>
      </c>
      <c r="F1992" s="3" t="s">
        <v>10</v>
      </c>
      <c r="G19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92" s="3" t="s">
        <v>247</v>
      </c>
      <c r="I1992" s="3" t="s">
        <v>31</v>
      </c>
      <c r="J1992" s="3" t="s">
        <v>37</v>
      </c>
      <c r="K1992" s="3" t="s">
        <v>38</v>
      </c>
      <c r="L1992" s="3" t="s">
        <v>39</v>
      </c>
      <c r="M1992" s="4">
        <v>15.9</v>
      </c>
    </row>
    <row r="1993">
      <c r="A1993" s="2">
        <v>45608</v>
      </c>
      <c r="B19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3" s="3" t="str">
        <f>YEAR(KMART_DATA[[#This Row],[Date]])&amp;"-"&amp;TEXT(MONTH(KMART_DATA[[#This Row],[Date]]),"00")</f>
        <v>2024-11</v>
      </c>
      <c r="D1993" s="3" t="s">
        <v>28</v>
      </c>
      <c r="E1993" s="3" t="s">
        <v>97</v>
      </c>
      <c r="F1993" s="3" t="s">
        <v>9</v>
      </c>
      <c r="G19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1993" s="3" t="s">
        <v>98</v>
      </c>
      <c r="I1993" s="3" t="s">
        <v>31</v>
      </c>
      <c r="J1993" s="3" t="s">
        <v>99</v>
      </c>
      <c r="K1993" s="3" t="s">
        <v>46</v>
      </c>
      <c r="L1993" s="3" t="s">
        <v>47</v>
      </c>
      <c r="M1993" s="4">
        <v>59.3</v>
      </c>
    </row>
    <row r="1994">
      <c r="A1994" s="2">
        <v>45608</v>
      </c>
      <c r="B19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4" s="3" t="str">
        <f>YEAR(KMART_DATA[[#This Row],[Date]])&amp;"-"&amp;TEXT(MONTH(KMART_DATA[[#This Row],[Date]]),"00")</f>
        <v>2024-11</v>
      </c>
      <c r="D1994" s="3" t="s">
        <v>45</v>
      </c>
      <c r="E1994" s="3" t="s">
        <v>201</v>
      </c>
      <c r="F1994" s="3" t="s">
        <v>10</v>
      </c>
      <c r="G19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94" s="3" t="s">
        <v>202</v>
      </c>
      <c r="I1994" s="3" t="s">
        <v>31</v>
      </c>
      <c r="J1994" s="3" t="s">
        <v>89</v>
      </c>
      <c r="K1994" s="3" t="s">
        <v>71</v>
      </c>
      <c r="L1994" s="3" t="s">
        <v>72</v>
      </c>
      <c r="M1994" s="4">
        <v>89.91</v>
      </c>
    </row>
    <row r="1995">
      <c r="A1995" s="2">
        <v>45608</v>
      </c>
      <c r="B19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5" s="3" t="str">
        <f>YEAR(KMART_DATA[[#This Row],[Date]])&amp;"-"&amp;TEXT(MONTH(KMART_DATA[[#This Row],[Date]]),"00")</f>
        <v>2024-11</v>
      </c>
      <c r="D1995" s="3" t="s">
        <v>28</v>
      </c>
      <c r="E1995" s="3" t="s">
        <v>131</v>
      </c>
      <c r="F1995" s="3" t="s">
        <v>11</v>
      </c>
      <c r="G19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1995" s="3" t="s">
        <v>132</v>
      </c>
      <c r="I1995" s="3" t="s">
        <v>31</v>
      </c>
      <c r="J1995" s="3" t="s">
        <v>32</v>
      </c>
      <c r="K1995" s="3" t="s">
        <v>57</v>
      </c>
      <c r="L1995" s="3" t="s">
        <v>58</v>
      </c>
      <c r="M1995" s="4">
        <v>1127.54</v>
      </c>
    </row>
    <row r="1996">
      <c r="A1996" s="2">
        <v>45609</v>
      </c>
      <c r="B19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6" s="3" t="str">
        <f>YEAR(KMART_DATA[[#This Row],[Date]])&amp;"-"&amp;TEXT(MONTH(KMART_DATA[[#This Row],[Date]]),"00")</f>
        <v>2024-11</v>
      </c>
      <c r="D1996" s="3" t="s">
        <v>28</v>
      </c>
      <c r="E1996" s="3" t="s">
        <v>262</v>
      </c>
      <c r="F1996" s="3" t="s">
        <v>10</v>
      </c>
      <c r="G19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96" s="3" t="s">
        <v>263</v>
      </c>
      <c r="I1996" s="3" t="s">
        <v>31</v>
      </c>
      <c r="J1996" s="3" t="s">
        <v>120</v>
      </c>
      <c r="K1996" s="3" t="s">
        <v>38</v>
      </c>
      <c r="L1996" s="3" t="s">
        <v>39</v>
      </c>
      <c r="M1996" s="4">
        <v>39.95</v>
      </c>
    </row>
    <row r="1997">
      <c r="A1997" s="2">
        <v>45609</v>
      </c>
      <c r="B19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7" s="3" t="str">
        <f>YEAR(KMART_DATA[[#This Row],[Date]])&amp;"-"&amp;TEXT(MONTH(KMART_DATA[[#This Row],[Date]]),"00")</f>
        <v>2024-11</v>
      </c>
      <c r="D1997" s="3" t="s">
        <v>28</v>
      </c>
      <c r="E1997" s="3" t="s">
        <v>177</v>
      </c>
      <c r="F1997" s="3" t="s">
        <v>12</v>
      </c>
      <c r="G19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1997" s="3" t="s">
        <v>178</v>
      </c>
      <c r="I1997" s="3" t="s">
        <v>31</v>
      </c>
      <c r="J1997" s="3" t="s">
        <v>162</v>
      </c>
      <c r="K1997" s="3" t="s">
        <v>43</v>
      </c>
      <c r="L1997" s="3" t="s">
        <v>44</v>
      </c>
      <c r="M1997" s="4">
        <v>979.46</v>
      </c>
    </row>
    <row r="1998">
      <c r="A1998" s="2">
        <v>45610</v>
      </c>
      <c r="B19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8" s="3" t="str">
        <f>YEAR(KMART_DATA[[#This Row],[Date]])&amp;"-"&amp;TEXT(MONTH(KMART_DATA[[#This Row],[Date]]),"00")</f>
        <v>2024-11</v>
      </c>
      <c r="D1998" s="3" t="s">
        <v>45</v>
      </c>
      <c r="E1998" s="3" t="s">
        <v>246</v>
      </c>
      <c r="F1998" s="3" t="s">
        <v>10</v>
      </c>
      <c r="G19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98" s="3" t="s">
        <v>247</v>
      </c>
      <c r="I1998" s="3" t="s">
        <v>31</v>
      </c>
      <c r="J1998" s="3" t="s">
        <v>37</v>
      </c>
      <c r="K1998" s="3" t="s">
        <v>46</v>
      </c>
      <c r="L1998" s="3" t="s">
        <v>47</v>
      </c>
      <c r="M1998" s="4">
        <v>3.0</v>
      </c>
    </row>
    <row r="1999">
      <c r="A1999" s="2">
        <v>45610</v>
      </c>
      <c r="B19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1999" s="3" t="str">
        <f>YEAR(KMART_DATA[[#This Row],[Date]])&amp;"-"&amp;TEXT(MONTH(KMART_DATA[[#This Row],[Date]]),"00")</f>
        <v>2024-11</v>
      </c>
      <c r="D1999" s="3" t="s">
        <v>28</v>
      </c>
      <c r="E1999" s="3" t="s">
        <v>262</v>
      </c>
      <c r="F1999" s="3" t="s">
        <v>10</v>
      </c>
      <c r="G19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1999" s="3" t="s">
        <v>263</v>
      </c>
      <c r="I1999" s="3" t="s">
        <v>31</v>
      </c>
      <c r="J1999" s="3" t="s">
        <v>120</v>
      </c>
      <c r="K1999" s="3" t="s">
        <v>33</v>
      </c>
      <c r="L1999" s="3" t="s">
        <v>34</v>
      </c>
      <c r="M1999" s="4">
        <v>15.98</v>
      </c>
    </row>
    <row r="2000">
      <c r="A2000" s="2">
        <v>45610</v>
      </c>
      <c r="B20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0" s="3" t="str">
        <f>YEAR(KMART_DATA[[#This Row],[Date]])&amp;"-"&amp;TEXT(MONTH(KMART_DATA[[#This Row],[Date]]),"00")</f>
        <v>2024-11</v>
      </c>
      <c r="D2000" s="3" t="s">
        <v>28</v>
      </c>
      <c r="E2000" s="3" t="s">
        <v>169</v>
      </c>
      <c r="F2000" s="3" t="s">
        <v>12</v>
      </c>
      <c r="G20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000" s="3" t="s">
        <v>170</v>
      </c>
      <c r="I2000" s="3" t="s">
        <v>31</v>
      </c>
      <c r="J2000" s="3" t="s">
        <v>102</v>
      </c>
      <c r="K2000" s="3" t="s">
        <v>112</v>
      </c>
      <c r="L2000" s="3" t="s">
        <v>113</v>
      </c>
      <c r="M2000" s="4">
        <v>65.8</v>
      </c>
    </row>
    <row r="2001">
      <c r="A2001" s="2">
        <v>45610</v>
      </c>
      <c r="B20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1" s="3" t="str">
        <f>YEAR(KMART_DATA[[#This Row],[Date]])&amp;"-"&amp;TEXT(MONTH(KMART_DATA[[#This Row],[Date]]),"00")</f>
        <v>2024-11</v>
      </c>
      <c r="D2001" s="3" t="s">
        <v>45</v>
      </c>
      <c r="E2001" s="3" t="s">
        <v>205</v>
      </c>
      <c r="F2001" s="3" t="s">
        <v>10</v>
      </c>
      <c r="G20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01" s="3" t="s">
        <v>206</v>
      </c>
      <c r="I2001" s="3" t="s">
        <v>31</v>
      </c>
      <c r="J2001" s="3" t="s">
        <v>37</v>
      </c>
      <c r="K2001" s="3" t="s">
        <v>38</v>
      </c>
      <c r="L2001" s="3" t="s">
        <v>39</v>
      </c>
      <c r="M2001" s="4">
        <v>111.39</v>
      </c>
    </row>
    <row r="2002">
      <c r="A2002" s="2">
        <v>45610</v>
      </c>
      <c r="B20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2" s="3" t="str">
        <f>YEAR(KMART_DATA[[#This Row],[Date]])&amp;"-"&amp;TEXT(MONTH(KMART_DATA[[#This Row],[Date]]),"00")</f>
        <v>2024-11</v>
      </c>
      <c r="D2002" s="3" t="s">
        <v>28</v>
      </c>
      <c r="E2002" s="3" t="s">
        <v>108</v>
      </c>
      <c r="F2002" s="3" t="s">
        <v>9</v>
      </c>
      <c r="G20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02" s="3" t="s">
        <v>109</v>
      </c>
      <c r="I2002" s="3" t="s">
        <v>31</v>
      </c>
      <c r="J2002" s="3" t="s">
        <v>75</v>
      </c>
      <c r="K2002" s="3" t="s">
        <v>95</v>
      </c>
      <c r="L2002" s="3" t="s">
        <v>96</v>
      </c>
      <c r="M2002" s="4">
        <v>386.64</v>
      </c>
    </row>
    <row r="2003">
      <c r="A2003" s="2">
        <v>45610</v>
      </c>
      <c r="B20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3" s="3" t="str">
        <f>YEAR(KMART_DATA[[#This Row],[Date]])&amp;"-"&amp;TEXT(MONTH(KMART_DATA[[#This Row],[Date]]),"00")</f>
        <v>2024-11</v>
      </c>
      <c r="D2003" s="3" t="s">
        <v>28</v>
      </c>
      <c r="E2003" s="3" t="s">
        <v>163</v>
      </c>
      <c r="F2003" s="3" t="s">
        <v>9</v>
      </c>
      <c r="G20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03" s="3" t="s">
        <v>164</v>
      </c>
      <c r="I2003" s="3" t="s">
        <v>31</v>
      </c>
      <c r="J2003" s="3" t="s">
        <v>81</v>
      </c>
      <c r="K2003" s="3" t="s">
        <v>71</v>
      </c>
      <c r="L2003" s="3" t="s">
        <v>72</v>
      </c>
      <c r="M2003" s="4">
        <v>2699.65</v>
      </c>
    </row>
    <row r="2004">
      <c r="A2004" s="2">
        <v>45611</v>
      </c>
      <c r="B20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4" s="3" t="str">
        <f>YEAR(KMART_DATA[[#This Row],[Date]])&amp;"-"&amp;TEXT(MONTH(KMART_DATA[[#This Row],[Date]]),"00")</f>
        <v>2024-11</v>
      </c>
      <c r="D2004" s="3" t="s">
        <v>45</v>
      </c>
      <c r="E2004" s="3" t="s">
        <v>118</v>
      </c>
      <c r="F2004" s="3" t="s">
        <v>10</v>
      </c>
      <c r="G20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04" s="3" t="s">
        <v>119</v>
      </c>
      <c r="I2004" s="3" t="s">
        <v>31</v>
      </c>
      <c r="J2004" s="3" t="s">
        <v>120</v>
      </c>
      <c r="K2004" s="3" t="s">
        <v>71</v>
      </c>
      <c r="L2004" s="3" t="s">
        <v>72</v>
      </c>
      <c r="M2004" s="4">
        <v>29.97</v>
      </c>
    </row>
    <row r="2005">
      <c r="A2005" s="2">
        <v>45611</v>
      </c>
      <c r="B20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5" s="3" t="str">
        <f>YEAR(KMART_DATA[[#This Row],[Date]])&amp;"-"&amp;TEXT(MONTH(KMART_DATA[[#This Row],[Date]]),"00")</f>
        <v>2024-11</v>
      </c>
      <c r="D2005" s="3" t="s">
        <v>28</v>
      </c>
      <c r="E2005" s="3" t="s">
        <v>59</v>
      </c>
      <c r="F2005" s="3" t="s">
        <v>11</v>
      </c>
      <c r="G20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05" s="3" t="s">
        <v>60</v>
      </c>
      <c r="I2005" s="3" t="s">
        <v>31</v>
      </c>
      <c r="J2005" s="3" t="s">
        <v>61</v>
      </c>
      <c r="K2005" s="3" t="s">
        <v>38</v>
      </c>
      <c r="L2005" s="3" t="s">
        <v>39</v>
      </c>
      <c r="M2005" s="4">
        <v>342.24</v>
      </c>
    </row>
    <row r="2006">
      <c r="A2006" s="2">
        <v>45612</v>
      </c>
      <c r="B20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6" s="3" t="str">
        <f>YEAR(KMART_DATA[[#This Row],[Date]])&amp;"-"&amp;TEXT(MONTH(KMART_DATA[[#This Row],[Date]]),"00")</f>
        <v>2024-11</v>
      </c>
      <c r="D2006" s="3" t="s">
        <v>45</v>
      </c>
      <c r="E2006" s="3" t="s">
        <v>125</v>
      </c>
      <c r="F2006" s="3" t="s">
        <v>10</v>
      </c>
      <c r="G20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06" s="3" t="s">
        <v>126</v>
      </c>
      <c r="I2006" s="3" t="s">
        <v>31</v>
      </c>
      <c r="J2006" s="3" t="s">
        <v>94</v>
      </c>
      <c r="K2006" s="3" t="s">
        <v>46</v>
      </c>
      <c r="L2006" s="3" t="s">
        <v>47</v>
      </c>
      <c r="M2006" s="4">
        <v>25.98</v>
      </c>
    </row>
    <row r="2007">
      <c r="A2007" s="2">
        <v>45612</v>
      </c>
      <c r="B20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7" s="3" t="str">
        <f>YEAR(KMART_DATA[[#This Row],[Date]])&amp;"-"&amp;TEXT(MONTH(KMART_DATA[[#This Row],[Date]]),"00")</f>
        <v>2024-11</v>
      </c>
      <c r="D2007" s="3" t="s">
        <v>45</v>
      </c>
      <c r="E2007" s="3" t="s">
        <v>87</v>
      </c>
      <c r="F2007" s="3" t="s">
        <v>10</v>
      </c>
      <c r="G20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07" s="3" t="s">
        <v>88</v>
      </c>
      <c r="I2007" s="3" t="s">
        <v>31</v>
      </c>
      <c r="J2007" s="3" t="s">
        <v>89</v>
      </c>
      <c r="K2007" s="3" t="s">
        <v>123</v>
      </c>
      <c r="L2007" s="3" t="s">
        <v>124</v>
      </c>
      <c r="M2007" s="4">
        <v>39.83</v>
      </c>
    </row>
    <row r="2008">
      <c r="A2008" s="2">
        <v>45612</v>
      </c>
      <c r="B20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8" s="3" t="str">
        <f>YEAR(KMART_DATA[[#This Row],[Date]])&amp;"-"&amp;TEXT(MONTH(KMART_DATA[[#This Row],[Date]]),"00")</f>
        <v>2024-11</v>
      </c>
      <c r="D2008" s="3" t="s">
        <v>28</v>
      </c>
      <c r="E2008" s="3" t="s">
        <v>137</v>
      </c>
      <c r="F2008" s="3" t="s">
        <v>10</v>
      </c>
      <c r="G20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08" s="3" t="s">
        <v>138</v>
      </c>
      <c r="I2008" s="3" t="s">
        <v>31</v>
      </c>
      <c r="J2008" s="3" t="s">
        <v>89</v>
      </c>
      <c r="K2008" s="3" t="s">
        <v>71</v>
      </c>
      <c r="L2008" s="3" t="s">
        <v>72</v>
      </c>
      <c r="M2008" s="4">
        <v>956.9</v>
      </c>
    </row>
    <row r="2009">
      <c r="A2009" s="2">
        <v>45613</v>
      </c>
      <c r="B20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09" s="3" t="str">
        <f>YEAR(KMART_DATA[[#This Row],[Date]])&amp;"-"&amp;TEXT(MONTH(KMART_DATA[[#This Row],[Date]]),"00")</f>
        <v>2024-11</v>
      </c>
      <c r="D2009" s="3" t="s">
        <v>45</v>
      </c>
      <c r="E2009" s="3" t="s">
        <v>154</v>
      </c>
      <c r="F2009" s="3" t="s">
        <v>11</v>
      </c>
      <c r="G20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09" s="3" t="s">
        <v>155</v>
      </c>
      <c r="I2009" s="3" t="s">
        <v>31</v>
      </c>
      <c r="J2009" s="3" t="s">
        <v>84</v>
      </c>
      <c r="K2009" s="3" t="s">
        <v>38</v>
      </c>
      <c r="L2009" s="3" t="s">
        <v>39</v>
      </c>
      <c r="M2009" s="4">
        <v>9.99</v>
      </c>
    </row>
    <row r="2010">
      <c r="A2010" s="2">
        <v>45613</v>
      </c>
      <c r="B20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0" s="3" t="str">
        <f>YEAR(KMART_DATA[[#This Row],[Date]])&amp;"-"&amp;TEXT(MONTH(KMART_DATA[[#This Row],[Date]]),"00")</f>
        <v>2024-11</v>
      </c>
      <c r="D2010" s="3" t="s">
        <v>28</v>
      </c>
      <c r="E2010" s="3" t="s">
        <v>82</v>
      </c>
      <c r="F2010" s="3" t="s">
        <v>11</v>
      </c>
      <c r="G20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10" s="3" t="s">
        <v>83</v>
      </c>
      <c r="I2010" s="3" t="s">
        <v>31</v>
      </c>
      <c r="J2010" s="3" t="s">
        <v>84</v>
      </c>
      <c r="K2010" s="3" t="s">
        <v>43</v>
      </c>
      <c r="L2010" s="3" t="s">
        <v>44</v>
      </c>
      <c r="M2010" s="4">
        <v>147.74</v>
      </c>
    </row>
    <row r="2011">
      <c r="A2011" s="2">
        <v>45613</v>
      </c>
      <c r="B20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1" s="3" t="str">
        <f>YEAR(KMART_DATA[[#This Row],[Date]])&amp;"-"&amp;TEXT(MONTH(KMART_DATA[[#This Row],[Date]]),"00")</f>
        <v>2024-11</v>
      </c>
      <c r="D2011" s="3" t="s">
        <v>28</v>
      </c>
      <c r="E2011" s="3" t="s">
        <v>181</v>
      </c>
      <c r="F2011" s="3" t="s">
        <v>11</v>
      </c>
      <c r="G20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11" s="3" t="s">
        <v>182</v>
      </c>
      <c r="I2011" s="3" t="s">
        <v>31</v>
      </c>
      <c r="J2011" s="3" t="s">
        <v>56</v>
      </c>
      <c r="K2011" s="3" t="s">
        <v>33</v>
      </c>
      <c r="L2011" s="3" t="s">
        <v>34</v>
      </c>
      <c r="M2011" s="4">
        <v>374.38</v>
      </c>
    </row>
    <row r="2012">
      <c r="A2012" s="2">
        <v>45613</v>
      </c>
      <c r="B20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2" s="3" t="str">
        <f>YEAR(KMART_DATA[[#This Row],[Date]])&amp;"-"&amp;TEXT(MONTH(KMART_DATA[[#This Row],[Date]]),"00")</f>
        <v>2024-11</v>
      </c>
      <c r="D2012" s="3" t="s">
        <v>45</v>
      </c>
      <c r="E2012" s="3" t="s">
        <v>258</v>
      </c>
      <c r="F2012" s="3" t="s">
        <v>14</v>
      </c>
      <c r="G20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012" s="3" t="s">
        <v>259</v>
      </c>
      <c r="I2012" s="3" t="s">
        <v>31</v>
      </c>
      <c r="J2012" s="3" t="s">
        <v>145</v>
      </c>
      <c r="K2012" s="3" t="s">
        <v>71</v>
      </c>
      <c r="L2012" s="3" t="s">
        <v>72</v>
      </c>
      <c r="M2012" s="4">
        <v>1124.42</v>
      </c>
    </row>
    <row r="2013">
      <c r="A2013" s="2">
        <v>45614</v>
      </c>
      <c r="B20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3" s="3" t="str">
        <f>YEAR(KMART_DATA[[#This Row],[Date]])&amp;"-"&amp;TEXT(MONTH(KMART_DATA[[#This Row],[Date]]),"00")</f>
        <v>2024-11</v>
      </c>
      <c r="D2013" s="3" t="s">
        <v>28</v>
      </c>
      <c r="E2013" s="3" t="s">
        <v>143</v>
      </c>
      <c r="F2013" s="3" t="s">
        <v>14</v>
      </c>
      <c r="G20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013" s="3" t="s">
        <v>144</v>
      </c>
      <c r="I2013" s="3" t="s">
        <v>31</v>
      </c>
      <c r="J2013" s="3" t="s">
        <v>145</v>
      </c>
      <c r="K2013" s="3" t="s">
        <v>66</v>
      </c>
      <c r="L2013" s="3" t="s">
        <v>67</v>
      </c>
      <c r="M2013" s="4">
        <v>3.99</v>
      </c>
    </row>
    <row r="2014">
      <c r="A2014" s="2">
        <v>45614</v>
      </c>
      <c r="B20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4" s="3" t="str">
        <f>YEAR(KMART_DATA[[#This Row],[Date]])&amp;"-"&amp;TEXT(MONTH(KMART_DATA[[#This Row],[Date]]),"00")</f>
        <v>2024-11</v>
      </c>
      <c r="D2014" s="3" t="s">
        <v>28</v>
      </c>
      <c r="E2014" s="3" t="s">
        <v>207</v>
      </c>
      <c r="F2014" s="3" t="s">
        <v>11</v>
      </c>
      <c r="G20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14" s="3" t="s">
        <v>208</v>
      </c>
      <c r="I2014" s="3" t="s">
        <v>31</v>
      </c>
      <c r="J2014" s="3" t="s">
        <v>78</v>
      </c>
      <c r="K2014" s="3" t="s">
        <v>43</v>
      </c>
      <c r="L2014" s="3" t="s">
        <v>44</v>
      </c>
      <c r="M2014" s="4">
        <v>78.97</v>
      </c>
    </row>
    <row r="2015">
      <c r="A2015" s="2">
        <v>45614</v>
      </c>
      <c r="B20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5" s="3" t="str">
        <f>YEAR(KMART_DATA[[#This Row],[Date]])&amp;"-"&amp;TEXT(MONTH(KMART_DATA[[#This Row],[Date]]),"00")</f>
        <v>2024-11</v>
      </c>
      <c r="D2015" s="3" t="s">
        <v>45</v>
      </c>
      <c r="E2015" s="3" t="s">
        <v>199</v>
      </c>
      <c r="F2015" s="3" t="s">
        <v>13</v>
      </c>
      <c r="G20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015" s="3" t="s">
        <v>200</v>
      </c>
      <c r="I2015" s="3" t="s">
        <v>31</v>
      </c>
      <c r="J2015" s="3" t="s">
        <v>42</v>
      </c>
      <c r="K2015" s="3" t="s">
        <v>43</v>
      </c>
      <c r="L2015" s="3" t="s">
        <v>44</v>
      </c>
      <c r="M2015" s="4">
        <v>177.9</v>
      </c>
    </row>
    <row r="2016">
      <c r="A2016" s="2">
        <v>45614</v>
      </c>
      <c r="B20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6" s="3" t="str">
        <f>YEAR(KMART_DATA[[#This Row],[Date]])&amp;"-"&amp;TEXT(MONTH(KMART_DATA[[#This Row],[Date]]),"00")</f>
        <v>2024-11</v>
      </c>
      <c r="D2016" s="3" t="s">
        <v>45</v>
      </c>
      <c r="E2016" s="3" t="s">
        <v>171</v>
      </c>
      <c r="F2016" s="3" t="s">
        <v>10</v>
      </c>
      <c r="G20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16" s="3" t="s">
        <v>172</v>
      </c>
      <c r="I2016" s="3" t="s">
        <v>31</v>
      </c>
      <c r="J2016" s="3" t="s">
        <v>37</v>
      </c>
      <c r="K2016" s="3" t="s">
        <v>33</v>
      </c>
      <c r="L2016" s="3" t="s">
        <v>34</v>
      </c>
      <c r="M2016" s="4">
        <v>179.66</v>
      </c>
    </row>
    <row r="2017">
      <c r="A2017" s="2">
        <v>45614</v>
      </c>
      <c r="B20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7" s="3" t="str">
        <f>YEAR(KMART_DATA[[#This Row],[Date]])&amp;"-"&amp;TEXT(MONTH(KMART_DATA[[#This Row],[Date]]),"00")</f>
        <v>2024-11</v>
      </c>
      <c r="D2017" s="3" t="s">
        <v>28</v>
      </c>
      <c r="E2017" s="3" t="s">
        <v>211</v>
      </c>
      <c r="F2017" s="3" t="s">
        <v>9</v>
      </c>
      <c r="G20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17" s="3" t="s">
        <v>212</v>
      </c>
      <c r="I2017" s="3" t="s">
        <v>31</v>
      </c>
      <c r="J2017" s="3" t="s">
        <v>75</v>
      </c>
      <c r="K2017" s="3" t="s">
        <v>43</v>
      </c>
      <c r="L2017" s="3" t="s">
        <v>44</v>
      </c>
      <c r="M2017" s="4">
        <v>218.4</v>
      </c>
    </row>
    <row r="2018">
      <c r="A2018" s="2">
        <v>45614</v>
      </c>
      <c r="B20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8" s="3" t="str">
        <f>YEAR(KMART_DATA[[#This Row],[Date]])&amp;"-"&amp;TEXT(MONTH(KMART_DATA[[#This Row],[Date]]),"00")</f>
        <v>2024-11</v>
      </c>
      <c r="D2018" s="3" t="s">
        <v>28</v>
      </c>
      <c r="E2018" s="3" t="s">
        <v>219</v>
      </c>
      <c r="F2018" s="3" t="s">
        <v>11</v>
      </c>
      <c r="G20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18" s="3" t="s">
        <v>220</v>
      </c>
      <c r="I2018" s="3" t="s">
        <v>31</v>
      </c>
      <c r="J2018" s="3" t="s">
        <v>56</v>
      </c>
      <c r="K2018" s="3" t="s">
        <v>33</v>
      </c>
      <c r="L2018" s="3" t="s">
        <v>34</v>
      </c>
      <c r="M2018" s="4">
        <v>427.83</v>
      </c>
    </row>
    <row r="2019">
      <c r="A2019" s="2">
        <v>45614</v>
      </c>
      <c r="B20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19" s="3" t="str">
        <f>YEAR(KMART_DATA[[#This Row],[Date]])&amp;"-"&amp;TEXT(MONTH(KMART_DATA[[#This Row],[Date]]),"00")</f>
        <v>2024-11</v>
      </c>
      <c r="D2019" s="3" t="s">
        <v>28</v>
      </c>
      <c r="E2019" s="3" t="s">
        <v>87</v>
      </c>
      <c r="F2019" s="3" t="s">
        <v>10</v>
      </c>
      <c r="G20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19" s="3" t="s">
        <v>88</v>
      </c>
      <c r="I2019" s="3" t="s">
        <v>31</v>
      </c>
      <c r="J2019" s="3" t="s">
        <v>89</v>
      </c>
      <c r="K2019" s="3" t="s">
        <v>43</v>
      </c>
      <c r="L2019" s="3" t="s">
        <v>44</v>
      </c>
      <c r="M2019" s="4">
        <v>641.58</v>
      </c>
    </row>
    <row r="2020">
      <c r="A2020" s="2">
        <v>45615</v>
      </c>
      <c r="B20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0" s="3" t="str">
        <f>YEAR(KMART_DATA[[#This Row],[Date]])&amp;"-"&amp;TEXT(MONTH(KMART_DATA[[#This Row],[Date]]),"00")</f>
        <v>2024-11</v>
      </c>
      <c r="D2020" s="3" t="s">
        <v>28</v>
      </c>
      <c r="E2020" s="3" t="s">
        <v>213</v>
      </c>
      <c r="F2020" s="3" t="s">
        <v>11</v>
      </c>
      <c r="G20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20" s="3" t="s">
        <v>214</v>
      </c>
      <c r="I2020" s="3" t="s">
        <v>31</v>
      </c>
      <c r="J2020" s="3" t="s">
        <v>32</v>
      </c>
      <c r="K2020" s="3" t="s">
        <v>33</v>
      </c>
      <c r="L2020" s="3" t="s">
        <v>34</v>
      </c>
      <c r="M2020" s="4">
        <v>19.55</v>
      </c>
    </row>
    <row r="2021">
      <c r="A2021" s="2">
        <v>45615</v>
      </c>
      <c r="B20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1" s="3" t="str">
        <f>YEAR(KMART_DATA[[#This Row],[Date]])&amp;"-"&amp;TEXT(MONTH(KMART_DATA[[#This Row],[Date]]),"00")</f>
        <v>2024-11</v>
      </c>
      <c r="D2021" s="3" t="s">
        <v>28</v>
      </c>
      <c r="E2021" s="3" t="s">
        <v>201</v>
      </c>
      <c r="F2021" s="3" t="s">
        <v>10</v>
      </c>
      <c r="G20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21" s="3" t="s">
        <v>202</v>
      </c>
      <c r="I2021" s="3" t="s">
        <v>31</v>
      </c>
      <c r="J2021" s="3" t="s">
        <v>89</v>
      </c>
      <c r="K2021" s="3" t="s">
        <v>43</v>
      </c>
      <c r="L2021" s="3" t="s">
        <v>44</v>
      </c>
      <c r="M2021" s="4">
        <v>19.99</v>
      </c>
    </row>
    <row r="2022">
      <c r="A2022" s="2">
        <v>45615</v>
      </c>
      <c r="B20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2" s="3" t="str">
        <f>YEAR(KMART_DATA[[#This Row],[Date]])&amp;"-"&amp;TEXT(MONTH(KMART_DATA[[#This Row],[Date]]),"00")</f>
        <v>2024-11</v>
      </c>
      <c r="D2022" s="3" t="s">
        <v>28</v>
      </c>
      <c r="E2022" s="3" t="s">
        <v>97</v>
      </c>
      <c r="F2022" s="3" t="s">
        <v>9</v>
      </c>
      <c r="G20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22" s="3" t="s">
        <v>98</v>
      </c>
      <c r="I2022" s="3" t="s">
        <v>31</v>
      </c>
      <c r="J2022" s="3" t="s">
        <v>99</v>
      </c>
      <c r="K2022" s="3" t="s">
        <v>33</v>
      </c>
      <c r="L2022" s="3" t="s">
        <v>34</v>
      </c>
      <c r="M2022" s="4">
        <v>270.0</v>
      </c>
    </row>
    <row r="2023">
      <c r="A2023" s="2">
        <v>45615</v>
      </c>
      <c r="B20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3" s="3" t="str">
        <f>YEAR(KMART_DATA[[#This Row],[Date]])&amp;"-"&amp;TEXT(MONTH(KMART_DATA[[#This Row],[Date]]),"00")</f>
        <v>2024-11</v>
      </c>
      <c r="D2023" s="3" t="s">
        <v>28</v>
      </c>
      <c r="E2023" s="3" t="s">
        <v>175</v>
      </c>
      <c r="F2023" s="3" t="s">
        <v>16</v>
      </c>
      <c r="G20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023" s="3" t="s">
        <v>176</v>
      </c>
      <c r="I2023" s="3" t="s">
        <v>31</v>
      </c>
      <c r="J2023" s="3" t="s">
        <v>107</v>
      </c>
      <c r="K2023" s="3" t="s">
        <v>43</v>
      </c>
      <c r="L2023" s="3" t="s">
        <v>44</v>
      </c>
      <c r="M2023" s="4">
        <v>366.24</v>
      </c>
    </row>
    <row r="2024">
      <c r="A2024" s="2">
        <v>45615</v>
      </c>
      <c r="B20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4" s="3" t="str">
        <f>YEAR(KMART_DATA[[#This Row],[Date]])&amp;"-"&amp;TEXT(MONTH(KMART_DATA[[#This Row],[Date]]),"00")</f>
        <v>2024-11</v>
      </c>
      <c r="D2024" s="3" t="s">
        <v>28</v>
      </c>
      <c r="E2024" s="3" t="s">
        <v>246</v>
      </c>
      <c r="F2024" s="3" t="s">
        <v>10</v>
      </c>
      <c r="G20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24" s="3" t="s">
        <v>247</v>
      </c>
      <c r="I2024" s="3" t="s">
        <v>31</v>
      </c>
      <c r="J2024" s="3" t="s">
        <v>37</v>
      </c>
      <c r="K2024" s="3" t="s">
        <v>43</v>
      </c>
      <c r="L2024" s="3" t="s">
        <v>44</v>
      </c>
      <c r="M2024" s="4">
        <v>419.26</v>
      </c>
    </row>
    <row r="2025">
      <c r="A2025" s="2">
        <v>45615</v>
      </c>
      <c r="B20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5" s="3" t="str">
        <f>YEAR(KMART_DATA[[#This Row],[Date]])&amp;"-"&amp;TEXT(MONTH(KMART_DATA[[#This Row],[Date]]),"00")</f>
        <v>2024-11</v>
      </c>
      <c r="D2025" s="3" t="s">
        <v>28</v>
      </c>
      <c r="E2025" s="3" t="s">
        <v>211</v>
      </c>
      <c r="F2025" s="3" t="s">
        <v>9</v>
      </c>
      <c r="G20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25" s="3" t="s">
        <v>212</v>
      </c>
      <c r="I2025" s="3" t="s">
        <v>31</v>
      </c>
      <c r="J2025" s="3" t="s">
        <v>75</v>
      </c>
      <c r="K2025" s="3" t="s">
        <v>71</v>
      </c>
      <c r="L2025" s="3" t="s">
        <v>72</v>
      </c>
      <c r="M2025" s="4">
        <v>1627.2</v>
      </c>
    </row>
    <row r="2026">
      <c r="A2026" s="2">
        <v>45615</v>
      </c>
      <c r="B20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6" s="3" t="str">
        <f>YEAR(KMART_DATA[[#This Row],[Date]])&amp;"-"&amp;TEXT(MONTH(KMART_DATA[[#This Row],[Date]]),"00")</f>
        <v>2024-11</v>
      </c>
      <c r="D2026" s="3" t="s">
        <v>28</v>
      </c>
      <c r="E2026" s="3" t="s">
        <v>230</v>
      </c>
      <c r="F2026" s="3" t="s">
        <v>13</v>
      </c>
      <c r="G20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026" s="3" t="s">
        <v>231</v>
      </c>
      <c r="I2026" s="3" t="s">
        <v>31</v>
      </c>
      <c r="J2026" s="3" t="s">
        <v>227</v>
      </c>
      <c r="K2026" s="3" t="s">
        <v>71</v>
      </c>
      <c r="L2026" s="3" t="s">
        <v>72</v>
      </c>
      <c r="M2026" s="4">
        <v>2439.57</v>
      </c>
    </row>
    <row r="2027">
      <c r="A2027" s="2">
        <v>45615</v>
      </c>
      <c r="B20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7" s="3" t="str">
        <f>YEAR(KMART_DATA[[#This Row],[Date]])&amp;"-"&amp;TEXT(MONTH(KMART_DATA[[#This Row],[Date]]),"00")</f>
        <v>2024-11</v>
      </c>
      <c r="D2027" s="3" t="s">
        <v>28</v>
      </c>
      <c r="E2027" s="3" t="s">
        <v>232</v>
      </c>
      <c r="F2027" s="3" t="s">
        <v>9</v>
      </c>
      <c r="G20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27" s="3" t="s">
        <v>233</v>
      </c>
      <c r="I2027" s="3" t="s">
        <v>31</v>
      </c>
      <c r="J2027" s="3" t="s">
        <v>75</v>
      </c>
      <c r="K2027" s="3" t="s">
        <v>71</v>
      </c>
      <c r="L2027" s="3" t="s">
        <v>72</v>
      </c>
      <c r="M2027" s="4">
        <v>3157.17</v>
      </c>
    </row>
    <row r="2028">
      <c r="A2028" s="2">
        <v>45616</v>
      </c>
      <c r="B20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8" s="3" t="str">
        <f>YEAR(KMART_DATA[[#This Row],[Date]])&amp;"-"&amp;TEXT(MONTH(KMART_DATA[[#This Row],[Date]]),"00")</f>
        <v>2024-11</v>
      </c>
      <c r="D2028" s="3" t="s">
        <v>28</v>
      </c>
      <c r="E2028" s="3" t="s">
        <v>131</v>
      </c>
      <c r="F2028" s="3" t="s">
        <v>11</v>
      </c>
      <c r="G20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28" s="3" t="s">
        <v>132</v>
      </c>
      <c r="I2028" s="3" t="s">
        <v>31</v>
      </c>
      <c r="J2028" s="3" t="s">
        <v>32</v>
      </c>
      <c r="K2028" s="3" t="s">
        <v>43</v>
      </c>
      <c r="L2028" s="3" t="s">
        <v>44</v>
      </c>
      <c r="M2028" s="4">
        <v>16.0</v>
      </c>
    </row>
    <row r="2029">
      <c r="A2029" s="2">
        <v>45616</v>
      </c>
      <c r="B20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29" s="3" t="str">
        <f>YEAR(KMART_DATA[[#This Row],[Date]])&amp;"-"&amp;TEXT(MONTH(KMART_DATA[[#This Row],[Date]]),"00")</f>
        <v>2024-11</v>
      </c>
      <c r="D2029" s="3" t="s">
        <v>28</v>
      </c>
      <c r="E2029" s="3" t="s">
        <v>240</v>
      </c>
      <c r="F2029" s="3" t="s">
        <v>15</v>
      </c>
      <c r="G20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029" s="3" t="s">
        <v>241</v>
      </c>
      <c r="I2029" s="3" t="s">
        <v>31</v>
      </c>
      <c r="J2029" s="3" t="s">
        <v>53</v>
      </c>
      <c r="K2029" s="3" t="s">
        <v>43</v>
      </c>
      <c r="L2029" s="3" t="s">
        <v>44</v>
      </c>
      <c r="M2029" s="4">
        <v>19.98</v>
      </c>
    </row>
    <row r="2030">
      <c r="A2030" s="2">
        <v>45616</v>
      </c>
      <c r="B20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0" s="3" t="str">
        <f>YEAR(KMART_DATA[[#This Row],[Date]])&amp;"-"&amp;TEXT(MONTH(KMART_DATA[[#This Row],[Date]]),"00")</f>
        <v>2024-11</v>
      </c>
      <c r="D2030" s="3" t="s">
        <v>28</v>
      </c>
      <c r="E2030" s="3" t="s">
        <v>118</v>
      </c>
      <c r="F2030" s="3" t="s">
        <v>10</v>
      </c>
      <c r="G20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30" s="3" t="s">
        <v>119</v>
      </c>
      <c r="I2030" s="3" t="s">
        <v>31</v>
      </c>
      <c r="J2030" s="3" t="s">
        <v>120</v>
      </c>
      <c r="K2030" s="3" t="s">
        <v>66</v>
      </c>
      <c r="L2030" s="3" t="s">
        <v>67</v>
      </c>
      <c r="M2030" s="4">
        <v>27.62</v>
      </c>
    </row>
    <row r="2031">
      <c r="A2031" s="2">
        <v>45616</v>
      </c>
      <c r="B20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1" s="3" t="str">
        <f>YEAR(KMART_DATA[[#This Row],[Date]])&amp;"-"&amp;TEXT(MONTH(KMART_DATA[[#This Row],[Date]]),"00")</f>
        <v>2024-11</v>
      </c>
      <c r="D2031" s="3" t="s">
        <v>45</v>
      </c>
      <c r="E2031" s="3" t="s">
        <v>79</v>
      </c>
      <c r="F2031" s="3" t="s">
        <v>9</v>
      </c>
      <c r="G20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31" s="3" t="s">
        <v>80</v>
      </c>
      <c r="I2031" s="3" t="s">
        <v>31</v>
      </c>
      <c r="J2031" s="3" t="s">
        <v>81</v>
      </c>
      <c r="K2031" s="3" t="s">
        <v>38</v>
      </c>
      <c r="L2031" s="3" t="s">
        <v>39</v>
      </c>
      <c r="M2031" s="4">
        <v>71.88</v>
      </c>
    </row>
    <row r="2032">
      <c r="A2032" s="2">
        <v>45616</v>
      </c>
      <c r="B20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2" s="3" t="str">
        <f>YEAR(KMART_DATA[[#This Row],[Date]])&amp;"-"&amp;TEXT(MONTH(KMART_DATA[[#This Row],[Date]]),"00")</f>
        <v>2024-11</v>
      </c>
      <c r="D2032" s="3" t="s">
        <v>28</v>
      </c>
      <c r="E2032" s="3" t="s">
        <v>54</v>
      </c>
      <c r="F2032" s="3" t="s">
        <v>11</v>
      </c>
      <c r="G20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32" s="3" t="s">
        <v>55</v>
      </c>
      <c r="I2032" s="3" t="s">
        <v>31</v>
      </c>
      <c r="J2032" s="3" t="s">
        <v>56</v>
      </c>
      <c r="K2032" s="3" t="s">
        <v>95</v>
      </c>
      <c r="L2032" s="3" t="s">
        <v>96</v>
      </c>
      <c r="M2032" s="4">
        <v>174.6</v>
      </c>
    </row>
    <row r="2033">
      <c r="A2033" s="2">
        <v>45616</v>
      </c>
      <c r="B20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3" s="3" t="str">
        <f>YEAR(KMART_DATA[[#This Row],[Date]])&amp;"-"&amp;TEXT(MONTH(KMART_DATA[[#This Row],[Date]]),"00")</f>
        <v>2024-11</v>
      </c>
      <c r="D2033" s="3" t="s">
        <v>28</v>
      </c>
      <c r="E2033" s="3" t="s">
        <v>64</v>
      </c>
      <c r="F2033" s="3" t="s">
        <v>11</v>
      </c>
      <c r="G20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33" s="3" t="s">
        <v>65</v>
      </c>
      <c r="I2033" s="3" t="s">
        <v>31</v>
      </c>
      <c r="J2033" s="3" t="s">
        <v>61</v>
      </c>
      <c r="K2033" s="3" t="s">
        <v>33</v>
      </c>
      <c r="L2033" s="3" t="s">
        <v>34</v>
      </c>
      <c r="M2033" s="4">
        <v>323.09</v>
      </c>
    </row>
    <row r="2034">
      <c r="A2034" s="2">
        <v>45616</v>
      </c>
      <c r="B20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4" s="3" t="str">
        <f>YEAR(KMART_DATA[[#This Row],[Date]])&amp;"-"&amp;TEXT(MONTH(KMART_DATA[[#This Row],[Date]]),"00")</f>
        <v>2024-11</v>
      </c>
      <c r="D2034" s="3" t="s">
        <v>28</v>
      </c>
      <c r="E2034" s="3" t="s">
        <v>209</v>
      </c>
      <c r="F2034" s="3" t="s">
        <v>9</v>
      </c>
      <c r="G20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34" s="3" t="s">
        <v>210</v>
      </c>
      <c r="I2034" s="3" t="s">
        <v>31</v>
      </c>
      <c r="J2034" s="3" t="s">
        <v>81</v>
      </c>
      <c r="K2034" s="3" t="s">
        <v>43</v>
      </c>
      <c r="L2034" s="3" t="s">
        <v>44</v>
      </c>
      <c r="M2034" s="4">
        <v>435.71</v>
      </c>
    </row>
    <row r="2035">
      <c r="A2035" s="2">
        <v>45616</v>
      </c>
      <c r="B20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5" s="3" t="str">
        <f>YEAR(KMART_DATA[[#This Row],[Date]])&amp;"-"&amp;TEXT(MONTH(KMART_DATA[[#This Row],[Date]]),"00")</f>
        <v>2024-11</v>
      </c>
      <c r="D2035" s="3" t="s">
        <v>45</v>
      </c>
      <c r="E2035" s="3" t="s">
        <v>201</v>
      </c>
      <c r="F2035" s="3" t="s">
        <v>10</v>
      </c>
      <c r="G20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35" s="3" t="s">
        <v>202</v>
      </c>
      <c r="I2035" s="3" t="s">
        <v>31</v>
      </c>
      <c r="J2035" s="3" t="s">
        <v>89</v>
      </c>
      <c r="K2035" s="3" t="s">
        <v>57</v>
      </c>
      <c r="L2035" s="3" t="s">
        <v>58</v>
      </c>
      <c r="M2035" s="4">
        <v>459.93</v>
      </c>
    </row>
    <row r="2036">
      <c r="A2036" s="2">
        <v>45616</v>
      </c>
      <c r="B20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6" s="3" t="str">
        <f>YEAR(KMART_DATA[[#This Row],[Date]])&amp;"-"&amp;TEXT(MONTH(KMART_DATA[[#This Row],[Date]]),"00")</f>
        <v>2024-11</v>
      </c>
      <c r="D2036" s="3" t="s">
        <v>28</v>
      </c>
      <c r="E2036" s="3" t="s">
        <v>195</v>
      </c>
      <c r="F2036" s="3" t="s">
        <v>11</v>
      </c>
      <c r="G20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36" s="3" t="s">
        <v>196</v>
      </c>
      <c r="I2036" s="3" t="s">
        <v>31</v>
      </c>
      <c r="J2036" s="3" t="s">
        <v>32</v>
      </c>
      <c r="K2036" s="3" t="s">
        <v>71</v>
      </c>
      <c r="L2036" s="3" t="s">
        <v>72</v>
      </c>
      <c r="M2036" s="4">
        <v>522.95</v>
      </c>
    </row>
    <row r="2037">
      <c r="A2037" s="2">
        <v>45616</v>
      </c>
      <c r="B20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7" s="3" t="str">
        <f>YEAR(KMART_DATA[[#This Row],[Date]])&amp;"-"&amp;TEXT(MONTH(KMART_DATA[[#This Row],[Date]]),"00")</f>
        <v>2024-11</v>
      </c>
      <c r="D2037" s="3" t="s">
        <v>28</v>
      </c>
      <c r="E2037" s="3" t="s">
        <v>29</v>
      </c>
      <c r="F2037" s="3" t="s">
        <v>11</v>
      </c>
      <c r="G20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37" s="3" t="s">
        <v>30</v>
      </c>
      <c r="I2037" s="3" t="s">
        <v>31</v>
      </c>
      <c r="J2037" s="3" t="s">
        <v>32</v>
      </c>
      <c r="K2037" s="3" t="s">
        <v>57</v>
      </c>
      <c r="L2037" s="3" t="s">
        <v>58</v>
      </c>
      <c r="M2037" s="4">
        <v>675.86</v>
      </c>
    </row>
    <row r="2038">
      <c r="A2038" s="2">
        <v>45617</v>
      </c>
      <c r="B20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8" s="3" t="str">
        <f>YEAR(KMART_DATA[[#This Row],[Date]])&amp;"-"&amp;TEXT(MONTH(KMART_DATA[[#This Row],[Date]]),"00")</f>
        <v>2024-11</v>
      </c>
      <c r="D2038" s="3" t="s">
        <v>28</v>
      </c>
      <c r="E2038" s="3" t="s">
        <v>175</v>
      </c>
      <c r="F2038" s="3" t="s">
        <v>16</v>
      </c>
      <c r="G20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038" s="3" t="s">
        <v>176</v>
      </c>
      <c r="I2038" s="3" t="s">
        <v>31</v>
      </c>
      <c r="J2038" s="3" t="s">
        <v>107</v>
      </c>
      <c r="K2038" s="3" t="s">
        <v>95</v>
      </c>
      <c r="L2038" s="3" t="s">
        <v>96</v>
      </c>
      <c r="M2038" s="4">
        <v>11.97</v>
      </c>
    </row>
    <row r="2039">
      <c r="A2039" s="2">
        <v>45617</v>
      </c>
      <c r="B20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39" s="3" t="str">
        <f>YEAR(KMART_DATA[[#This Row],[Date]])&amp;"-"&amp;TEXT(MONTH(KMART_DATA[[#This Row],[Date]]),"00")</f>
        <v>2024-11</v>
      </c>
      <c r="D2039" s="3" t="s">
        <v>45</v>
      </c>
      <c r="E2039" s="3" t="s">
        <v>110</v>
      </c>
      <c r="F2039" s="3" t="s">
        <v>9</v>
      </c>
      <c r="G20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39" s="3" t="s">
        <v>111</v>
      </c>
      <c r="I2039" s="3" t="s">
        <v>31</v>
      </c>
      <c r="J2039" s="3" t="s">
        <v>81</v>
      </c>
      <c r="K2039" s="3" t="s">
        <v>71</v>
      </c>
      <c r="L2039" s="3" t="s">
        <v>72</v>
      </c>
      <c r="M2039" s="4">
        <v>19.98</v>
      </c>
    </row>
    <row r="2040">
      <c r="A2040" s="2">
        <v>45617</v>
      </c>
      <c r="B20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0" s="3" t="str">
        <f>YEAR(KMART_DATA[[#This Row],[Date]])&amp;"-"&amp;TEXT(MONTH(KMART_DATA[[#This Row],[Date]]),"00")</f>
        <v>2024-11</v>
      </c>
      <c r="D2040" s="3" t="s">
        <v>28</v>
      </c>
      <c r="E2040" s="3" t="s">
        <v>76</v>
      </c>
      <c r="F2040" s="3" t="s">
        <v>11</v>
      </c>
      <c r="G20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40" s="3" t="s">
        <v>77</v>
      </c>
      <c r="I2040" s="3" t="s">
        <v>31</v>
      </c>
      <c r="J2040" s="3" t="s">
        <v>78</v>
      </c>
      <c r="K2040" s="3" t="s">
        <v>95</v>
      </c>
      <c r="L2040" s="3" t="s">
        <v>96</v>
      </c>
      <c r="M2040" s="4">
        <v>152.67</v>
      </c>
    </row>
    <row r="2041">
      <c r="A2041" s="2">
        <v>45617</v>
      </c>
      <c r="B20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1" s="3" t="str">
        <f>YEAR(KMART_DATA[[#This Row],[Date]])&amp;"-"&amp;TEXT(MONTH(KMART_DATA[[#This Row],[Date]]),"00")</f>
        <v>2024-11</v>
      </c>
      <c r="D2041" s="3" t="s">
        <v>45</v>
      </c>
      <c r="E2041" s="3" t="s">
        <v>116</v>
      </c>
      <c r="F2041" s="3" t="s">
        <v>9</v>
      </c>
      <c r="G20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41" s="3" t="s">
        <v>117</v>
      </c>
      <c r="I2041" s="3" t="s">
        <v>31</v>
      </c>
      <c r="J2041" s="3" t="s">
        <v>70</v>
      </c>
      <c r="K2041" s="3" t="s">
        <v>43</v>
      </c>
      <c r="L2041" s="3" t="s">
        <v>44</v>
      </c>
      <c r="M2041" s="4">
        <v>342.82</v>
      </c>
    </row>
    <row r="2042">
      <c r="A2042" s="2">
        <v>45617</v>
      </c>
      <c r="B20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2" s="3" t="str">
        <f>YEAR(KMART_DATA[[#This Row],[Date]])&amp;"-"&amp;TEXT(MONTH(KMART_DATA[[#This Row],[Date]]),"00")</f>
        <v>2024-11</v>
      </c>
      <c r="D2042" s="3" t="s">
        <v>45</v>
      </c>
      <c r="E2042" s="3" t="s">
        <v>82</v>
      </c>
      <c r="F2042" s="3" t="s">
        <v>11</v>
      </c>
      <c r="G20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42" s="3" t="s">
        <v>83</v>
      </c>
      <c r="I2042" s="3" t="s">
        <v>31</v>
      </c>
      <c r="J2042" s="3" t="s">
        <v>84</v>
      </c>
      <c r="K2042" s="3" t="s">
        <v>71</v>
      </c>
      <c r="L2042" s="3" t="s">
        <v>72</v>
      </c>
      <c r="M2042" s="4">
        <v>1599.84</v>
      </c>
    </row>
    <row r="2043">
      <c r="A2043" s="2">
        <v>45618</v>
      </c>
      <c r="B20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3" s="3" t="str">
        <f>YEAR(KMART_DATA[[#This Row],[Date]])&amp;"-"&amp;TEXT(MONTH(KMART_DATA[[#This Row],[Date]]),"00")</f>
        <v>2024-11</v>
      </c>
      <c r="D2043" s="3" t="s">
        <v>45</v>
      </c>
      <c r="E2043" s="3" t="s">
        <v>97</v>
      </c>
      <c r="F2043" s="3" t="s">
        <v>9</v>
      </c>
      <c r="G20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43" s="3" t="s">
        <v>98</v>
      </c>
      <c r="I2043" s="3" t="s">
        <v>31</v>
      </c>
      <c r="J2043" s="3" t="s">
        <v>99</v>
      </c>
      <c r="K2043" s="3" t="s">
        <v>43</v>
      </c>
      <c r="L2043" s="3" t="s">
        <v>44</v>
      </c>
      <c r="M2043" s="4">
        <v>5.98</v>
      </c>
    </row>
    <row r="2044">
      <c r="A2044" s="2">
        <v>45618</v>
      </c>
      <c r="B20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4" s="3" t="str">
        <f>YEAR(KMART_DATA[[#This Row],[Date]])&amp;"-"&amp;TEXT(MONTH(KMART_DATA[[#This Row],[Date]]),"00")</f>
        <v>2024-11</v>
      </c>
      <c r="D2044" s="3" t="s">
        <v>45</v>
      </c>
      <c r="E2044" s="3" t="s">
        <v>59</v>
      </c>
      <c r="F2044" s="3" t="s">
        <v>11</v>
      </c>
      <c r="G20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44" s="3" t="s">
        <v>60</v>
      </c>
      <c r="I2044" s="3" t="s">
        <v>31</v>
      </c>
      <c r="J2044" s="3" t="s">
        <v>61</v>
      </c>
      <c r="K2044" s="3" t="s">
        <v>33</v>
      </c>
      <c r="L2044" s="3" t="s">
        <v>34</v>
      </c>
      <c r="M2044" s="4">
        <v>14.37</v>
      </c>
    </row>
    <row r="2045">
      <c r="A2045" s="2">
        <v>45618</v>
      </c>
      <c r="B20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5" s="3" t="str">
        <f>YEAR(KMART_DATA[[#This Row],[Date]])&amp;"-"&amp;TEXT(MONTH(KMART_DATA[[#This Row],[Date]]),"00")</f>
        <v>2024-11</v>
      </c>
      <c r="D2045" s="3" t="s">
        <v>28</v>
      </c>
      <c r="E2045" s="3" t="s">
        <v>87</v>
      </c>
      <c r="F2045" s="3" t="s">
        <v>10</v>
      </c>
      <c r="G20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45" s="3" t="s">
        <v>88</v>
      </c>
      <c r="I2045" s="3" t="s">
        <v>31</v>
      </c>
      <c r="J2045" s="3" t="s">
        <v>89</v>
      </c>
      <c r="K2045" s="3" t="s">
        <v>46</v>
      </c>
      <c r="L2045" s="3" t="s">
        <v>47</v>
      </c>
      <c r="M2045" s="4">
        <v>139.86</v>
      </c>
    </row>
    <row r="2046">
      <c r="A2046" s="2">
        <v>45618</v>
      </c>
      <c r="B20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6" s="3" t="str">
        <f>YEAR(KMART_DATA[[#This Row],[Date]])&amp;"-"&amp;TEXT(MONTH(KMART_DATA[[#This Row],[Date]]),"00")</f>
        <v>2024-11</v>
      </c>
      <c r="D2046" s="3" t="s">
        <v>45</v>
      </c>
      <c r="E2046" s="3" t="s">
        <v>125</v>
      </c>
      <c r="F2046" s="3" t="s">
        <v>10</v>
      </c>
      <c r="G20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46" s="3" t="s">
        <v>126</v>
      </c>
      <c r="I2046" s="3" t="s">
        <v>31</v>
      </c>
      <c r="J2046" s="3" t="s">
        <v>94</v>
      </c>
      <c r="K2046" s="3" t="s">
        <v>46</v>
      </c>
      <c r="L2046" s="3" t="s">
        <v>47</v>
      </c>
      <c r="M2046" s="4">
        <v>189.87</v>
      </c>
    </row>
    <row r="2047">
      <c r="A2047" s="2">
        <v>45618</v>
      </c>
      <c r="B20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7" s="3" t="str">
        <f>YEAR(KMART_DATA[[#This Row],[Date]])&amp;"-"&amp;TEXT(MONTH(KMART_DATA[[#This Row],[Date]]),"00")</f>
        <v>2024-11</v>
      </c>
      <c r="D2047" s="3" t="s">
        <v>28</v>
      </c>
      <c r="E2047" s="3" t="s">
        <v>154</v>
      </c>
      <c r="F2047" s="3" t="s">
        <v>11</v>
      </c>
      <c r="G20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47" s="3" t="s">
        <v>155</v>
      </c>
      <c r="I2047" s="3" t="s">
        <v>31</v>
      </c>
      <c r="J2047" s="3" t="s">
        <v>84</v>
      </c>
      <c r="K2047" s="3" t="s">
        <v>95</v>
      </c>
      <c r="L2047" s="3" t="s">
        <v>96</v>
      </c>
      <c r="M2047" s="4">
        <v>5541.11</v>
      </c>
    </row>
    <row r="2048">
      <c r="A2048" s="2">
        <v>45619</v>
      </c>
      <c r="B20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8" s="3" t="str">
        <f>YEAR(KMART_DATA[[#This Row],[Date]])&amp;"-"&amp;TEXT(MONTH(KMART_DATA[[#This Row],[Date]]),"00")</f>
        <v>2024-11</v>
      </c>
      <c r="D2048" s="3" t="s">
        <v>28</v>
      </c>
      <c r="E2048" s="3" t="s">
        <v>158</v>
      </c>
      <c r="F2048" s="3" t="s">
        <v>11</v>
      </c>
      <c r="G20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48" s="3" t="s">
        <v>159</v>
      </c>
      <c r="I2048" s="3" t="s">
        <v>31</v>
      </c>
      <c r="J2048" s="3" t="s">
        <v>84</v>
      </c>
      <c r="K2048" s="3" t="s">
        <v>43</v>
      </c>
      <c r="L2048" s="3" t="s">
        <v>44</v>
      </c>
      <c r="M2048" s="4">
        <v>2.0</v>
      </c>
    </row>
    <row r="2049">
      <c r="A2049" s="2">
        <v>45619</v>
      </c>
      <c r="B20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49" s="3" t="str">
        <f>YEAR(KMART_DATA[[#This Row],[Date]])&amp;"-"&amp;TEXT(MONTH(KMART_DATA[[#This Row],[Date]]),"00")</f>
        <v>2024-11</v>
      </c>
      <c r="D2049" s="3" t="s">
        <v>28</v>
      </c>
      <c r="E2049" s="3" t="s">
        <v>139</v>
      </c>
      <c r="F2049" s="3" t="s">
        <v>10</v>
      </c>
      <c r="G20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49" s="3" t="s">
        <v>140</v>
      </c>
      <c r="I2049" s="3" t="s">
        <v>31</v>
      </c>
      <c r="J2049" s="3" t="s">
        <v>89</v>
      </c>
      <c r="K2049" s="3" t="s">
        <v>33</v>
      </c>
      <c r="L2049" s="3" t="s">
        <v>34</v>
      </c>
      <c r="M2049" s="4">
        <v>94.23</v>
      </c>
    </row>
    <row r="2050">
      <c r="A2050" s="2">
        <v>45619</v>
      </c>
      <c r="B20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0" s="3" t="str">
        <f>YEAR(KMART_DATA[[#This Row],[Date]])&amp;"-"&amp;TEXT(MONTH(KMART_DATA[[#This Row],[Date]]),"00")</f>
        <v>2024-11</v>
      </c>
      <c r="D2050" s="3" t="s">
        <v>28</v>
      </c>
      <c r="E2050" s="3" t="s">
        <v>175</v>
      </c>
      <c r="F2050" s="3" t="s">
        <v>16</v>
      </c>
      <c r="G20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050" s="3" t="s">
        <v>176</v>
      </c>
      <c r="I2050" s="3" t="s">
        <v>31</v>
      </c>
      <c r="J2050" s="3" t="s">
        <v>107</v>
      </c>
      <c r="K2050" s="3" t="s">
        <v>112</v>
      </c>
      <c r="L2050" s="3" t="s">
        <v>113</v>
      </c>
      <c r="M2050" s="4">
        <v>248.51</v>
      </c>
    </row>
    <row r="2051">
      <c r="A2051" s="2">
        <v>45619</v>
      </c>
      <c r="B20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1" s="3" t="str">
        <f>YEAR(KMART_DATA[[#This Row],[Date]])&amp;"-"&amp;TEXT(MONTH(KMART_DATA[[#This Row],[Date]]),"00")</f>
        <v>2024-11</v>
      </c>
      <c r="D2051" s="3" t="s">
        <v>45</v>
      </c>
      <c r="E2051" s="3" t="s">
        <v>148</v>
      </c>
      <c r="F2051" s="3" t="s">
        <v>12</v>
      </c>
      <c r="G20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051" s="3" t="s">
        <v>149</v>
      </c>
      <c r="I2051" s="3" t="s">
        <v>31</v>
      </c>
      <c r="J2051" s="3" t="s">
        <v>50</v>
      </c>
      <c r="K2051" s="3" t="s">
        <v>33</v>
      </c>
      <c r="L2051" s="3" t="s">
        <v>34</v>
      </c>
      <c r="M2051" s="4">
        <v>575.44</v>
      </c>
    </row>
    <row r="2052">
      <c r="A2052" s="2">
        <v>45619</v>
      </c>
      <c r="B20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2" s="3" t="str">
        <f>YEAR(KMART_DATA[[#This Row],[Date]])&amp;"-"&amp;TEXT(MONTH(KMART_DATA[[#This Row],[Date]]),"00")</f>
        <v>2024-11</v>
      </c>
      <c r="D2052" s="3" t="s">
        <v>28</v>
      </c>
      <c r="E2052" s="3" t="s">
        <v>163</v>
      </c>
      <c r="F2052" s="3" t="s">
        <v>9</v>
      </c>
      <c r="G20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52" s="3" t="s">
        <v>164</v>
      </c>
      <c r="I2052" s="3" t="s">
        <v>31</v>
      </c>
      <c r="J2052" s="3" t="s">
        <v>81</v>
      </c>
      <c r="K2052" s="3" t="s">
        <v>43</v>
      </c>
      <c r="L2052" s="3" t="s">
        <v>44</v>
      </c>
      <c r="M2052" s="4">
        <v>641.63</v>
      </c>
    </row>
    <row r="2053">
      <c r="A2053" s="2">
        <v>45619</v>
      </c>
      <c r="B20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3" s="3" t="str">
        <f>YEAR(KMART_DATA[[#This Row],[Date]])&amp;"-"&amp;TEXT(MONTH(KMART_DATA[[#This Row],[Date]]),"00")</f>
        <v>2024-11</v>
      </c>
      <c r="D2053" s="3" t="s">
        <v>45</v>
      </c>
      <c r="E2053" s="3" t="s">
        <v>177</v>
      </c>
      <c r="F2053" s="3" t="s">
        <v>12</v>
      </c>
      <c r="G20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053" s="3" t="s">
        <v>178</v>
      </c>
      <c r="I2053" s="3" t="s">
        <v>31</v>
      </c>
      <c r="J2053" s="3" t="s">
        <v>162</v>
      </c>
      <c r="K2053" s="3" t="s">
        <v>95</v>
      </c>
      <c r="L2053" s="3" t="s">
        <v>96</v>
      </c>
      <c r="M2053" s="4">
        <v>687.46</v>
      </c>
    </row>
    <row r="2054">
      <c r="A2054" s="2">
        <v>45620</v>
      </c>
      <c r="B20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4" s="3" t="str">
        <f>YEAR(KMART_DATA[[#This Row],[Date]])&amp;"-"&amp;TEXT(MONTH(KMART_DATA[[#This Row],[Date]]),"00")</f>
        <v>2024-11</v>
      </c>
      <c r="D2054" s="3" t="s">
        <v>28</v>
      </c>
      <c r="E2054" s="3" t="s">
        <v>90</v>
      </c>
      <c r="F2054" s="3" t="s">
        <v>10</v>
      </c>
      <c r="G20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54" s="3" t="s">
        <v>91</v>
      </c>
      <c r="I2054" s="3" t="s">
        <v>31</v>
      </c>
      <c r="J2054" s="3" t="s">
        <v>37</v>
      </c>
      <c r="K2054" s="3" t="s">
        <v>112</v>
      </c>
      <c r="L2054" s="3" t="s">
        <v>113</v>
      </c>
      <c r="M2054" s="4">
        <v>7.98</v>
      </c>
    </row>
    <row r="2055">
      <c r="A2055" s="2">
        <v>45620</v>
      </c>
      <c r="B20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5" s="3" t="str">
        <f>YEAR(KMART_DATA[[#This Row],[Date]])&amp;"-"&amp;TEXT(MONTH(KMART_DATA[[#This Row],[Date]]),"00")</f>
        <v>2024-11</v>
      </c>
      <c r="D2055" s="3" t="s">
        <v>45</v>
      </c>
      <c r="E2055" s="3" t="s">
        <v>114</v>
      </c>
      <c r="F2055" s="3" t="s">
        <v>9</v>
      </c>
      <c r="G20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55" s="3" t="s">
        <v>115</v>
      </c>
      <c r="I2055" s="3" t="s">
        <v>31</v>
      </c>
      <c r="J2055" s="3" t="s">
        <v>99</v>
      </c>
      <c r="K2055" s="3" t="s">
        <v>95</v>
      </c>
      <c r="L2055" s="3" t="s">
        <v>96</v>
      </c>
      <c r="M2055" s="4">
        <v>11.76</v>
      </c>
    </row>
    <row r="2056">
      <c r="A2056" s="2">
        <v>45620</v>
      </c>
      <c r="B20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6" s="3" t="str">
        <f>YEAR(KMART_DATA[[#This Row],[Date]])&amp;"-"&amp;TEXT(MONTH(KMART_DATA[[#This Row],[Date]]),"00")</f>
        <v>2024-11</v>
      </c>
      <c r="D2056" s="3" t="s">
        <v>45</v>
      </c>
      <c r="E2056" s="3" t="s">
        <v>264</v>
      </c>
      <c r="F2056" s="3" t="s">
        <v>13</v>
      </c>
      <c r="G20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056" s="3" t="s">
        <v>265</v>
      </c>
      <c r="I2056" s="3" t="s">
        <v>31</v>
      </c>
      <c r="J2056" s="3" t="s">
        <v>42</v>
      </c>
      <c r="K2056" s="3" t="s">
        <v>38</v>
      </c>
      <c r="L2056" s="3" t="s">
        <v>39</v>
      </c>
      <c r="M2056" s="4">
        <v>138.86</v>
      </c>
    </row>
    <row r="2057">
      <c r="A2057" s="2">
        <v>45620</v>
      </c>
      <c r="B20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7" s="3" t="str">
        <f>YEAR(KMART_DATA[[#This Row],[Date]])&amp;"-"&amp;TEXT(MONTH(KMART_DATA[[#This Row],[Date]]),"00")</f>
        <v>2024-11</v>
      </c>
      <c r="D2057" s="3" t="s">
        <v>28</v>
      </c>
      <c r="E2057" s="3" t="s">
        <v>230</v>
      </c>
      <c r="F2057" s="3" t="s">
        <v>13</v>
      </c>
      <c r="G20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057" s="3" t="s">
        <v>231</v>
      </c>
      <c r="I2057" s="3" t="s">
        <v>31</v>
      </c>
      <c r="J2057" s="3" t="s">
        <v>227</v>
      </c>
      <c r="K2057" s="3" t="s">
        <v>57</v>
      </c>
      <c r="L2057" s="3" t="s">
        <v>58</v>
      </c>
      <c r="M2057" s="4">
        <v>262.96</v>
      </c>
    </row>
    <row r="2058">
      <c r="A2058" s="2">
        <v>45620</v>
      </c>
      <c r="B20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8" s="3" t="str">
        <f>YEAR(KMART_DATA[[#This Row],[Date]])&amp;"-"&amp;TEXT(MONTH(KMART_DATA[[#This Row],[Date]]),"00")</f>
        <v>2024-11</v>
      </c>
      <c r="D2058" s="3" t="s">
        <v>28</v>
      </c>
      <c r="E2058" s="3" t="s">
        <v>114</v>
      </c>
      <c r="F2058" s="3" t="s">
        <v>9</v>
      </c>
      <c r="G20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58" s="3" t="s">
        <v>115</v>
      </c>
      <c r="I2058" s="3" t="s">
        <v>31</v>
      </c>
      <c r="J2058" s="3" t="s">
        <v>99</v>
      </c>
      <c r="K2058" s="3" t="s">
        <v>112</v>
      </c>
      <c r="L2058" s="3" t="s">
        <v>113</v>
      </c>
      <c r="M2058" s="4">
        <v>311.44</v>
      </c>
    </row>
    <row r="2059">
      <c r="A2059" s="2">
        <v>45620</v>
      </c>
      <c r="B20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59" s="3" t="str">
        <f>YEAR(KMART_DATA[[#This Row],[Date]])&amp;"-"&amp;TEXT(MONTH(KMART_DATA[[#This Row],[Date]]),"00")</f>
        <v>2024-11</v>
      </c>
      <c r="D2059" s="3" t="s">
        <v>45</v>
      </c>
      <c r="E2059" s="3" t="s">
        <v>171</v>
      </c>
      <c r="F2059" s="3" t="s">
        <v>10</v>
      </c>
      <c r="G20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59" s="3" t="s">
        <v>172</v>
      </c>
      <c r="I2059" s="3" t="s">
        <v>31</v>
      </c>
      <c r="J2059" s="3" t="s">
        <v>37</v>
      </c>
      <c r="K2059" s="3" t="s">
        <v>43</v>
      </c>
      <c r="L2059" s="3" t="s">
        <v>44</v>
      </c>
      <c r="M2059" s="4">
        <v>386.17</v>
      </c>
    </row>
    <row r="2060">
      <c r="A2060" s="2">
        <v>45620</v>
      </c>
      <c r="B20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0" s="3" t="str">
        <f>YEAR(KMART_DATA[[#This Row],[Date]])&amp;"-"&amp;TEXT(MONTH(KMART_DATA[[#This Row],[Date]]),"00")</f>
        <v>2024-11</v>
      </c>
      <c r="D2060" s="3" t="s">
        <v>28</v>
      </c>
      <c r="E2060" s="3" t="s">
        <v>195</v>
      </c>
      <c r="F2060" s="3" t="s">
        <v>11</v>
      </c>
      <c r="G20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60" s="3" t="s">
        <v>196</v>
      </c>
      <c r="I2060" s="3" t="s">
        <v>31</v>
      </c>
      <c r="J2060" s="3" t="s">
        <v>32</v>
      </c>
      <c r="K2060" s="3" t="s">
        <v>123</v>
      </c>
      <c r="L2060" s="3" t="s">
        <v>124</v>
      </c>
      <c r="M2060" s="4">
        <v>749.04</v>
      </c>
    </row>
    <row r="2061">
      <c r="A2061" s="2">
        <v>45620</v>
      </c>
      <c r="B20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1" s="3" t="str">
        <f>YEAR(KMART_DATA[[#This Row],[Date]])&amp;"-"&amp;TEXT(MONTH(KMART_DATA[[#This Row],[Date]]),"00")</f>
        <v>2024-11</v>
      </c>
      <c r="D2061" s="3" t="s">
        <v>45</v>
      </c>
      <c r="E2061" s="3" t="s">
        <v>171</v>
      </c>
      <c r="F2061" s="3" t="s">
        <v>10</v>
      </c>
      <c r="G20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61" s="3" t="s">
        <v>172</v>
      </c>
      <c r="I2061" s="3" t="s">
        <v>31</v>
      </c>
      <c r="J2061" s="3" t="s">
        <v>37</v>
      </c>
      <c r="K2061" s="3" t="s">
        <v>57</v>
      </c>
      <c r="L2061" s="3" t="s">
        <v>58</v>
      </c>
      <c r="M2061" s="4">
        <v>1271.74</v>
      </c>
    </row>
    <row r="2062">
      <c r="A2062" s="2">
        <v>45620</v>
      </c>
      <c r="B20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2" s="3" t="str">
        <f>YEAR(KMART_DATA[[#This Row],[Date]])&amp;"-"&amp;TEXT(MONTH(KMART_DATA[[#This Row],[Date]]),"00")</f>
        <v>2024-11</v>
      </c>
      <c r="D2062" s="3" t="s">
        <v>45</v>
      </c>
      <c r="E2062" s="3" t="s">
        <v>262</v>
      </c>
      <c r="F2062" s="3" t="s">
        <v>10</v>
      </c>
      <c r="G20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62" s="3" t="s">
        <v>263</v>
      </c>
      <c r="I2062" s="3" t="s">
        <v>31</v>
      </c>
      <c r="J2062" s="3" t="s">
        <v>120</v>
      </c>
      <c r="K2062" s="3" t="s">
        <v>66</v>
      </c>
      <c r="L2062" s="3" t="s">
        <v>67</v>
      </c>
      <c r="M2062" s="4">
        <v>1985.28</v>
      </c>
    </row>
    <row r="2063">
      <c r="A2063" s="2">
        <v>45620</v>
      </c>
      <c r="B20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3" s="3" t="str">
        <f>YEAR(KMART_DATA[[#This Row],[Date]])&amp;"-"&amp;TEXT(MONTH(KMART_DATA[[#This Row],[Date]]),"00")</f>
        <v>2024-11</v>
      </c>
      <c r="D2063" s="3" t="s">
        <v>28</v>
      </c>
      <c r="E2063" s="3" t="s">
        <v>90</v>
      </c>
      <c r="F2063" s="3" t="s">
        <v>10</v>
      </c>
      <c r="G20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63" s="3" t="s">
        <v>91</v>
      </c>
      <c r="I2063" s="3" t="s">
        <v>31</v>
      </c>
      <c r="J2063" s="3" t="s">
        <v>37</v>
      </c>
      <c r="K2063" s="3" t="s">
        <v>43</v>
      </c>
      <c r="L2063" s="3" t="s">
        <v>44</v>
      </c>
      <c r="M2063" s="4">
        <v>2150.07</v>
      </c>
    </row>
    <row r="2064">
      <c r="A2064" s="2">
        <v>45620</v>
      </c>
      <c r="B20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4" s="3" t="str">
        <f>YEAR(KMART_DATA[[#This Row],[Date]])&amp;"-"&amp;TEXT(MONTH(KMART_DATA[[#This Row],[Date]]),"00")</f>
        <v>2024-11</v>
      </c>
      <c r="D2064" s="3" t="s">
        <v>28</v>
      </c>
      <c r="E2064" s="3" t="s">
        <v>97</v>
      </c>
      <c r="F2064" s="3" t="s">
        <v>9</v>
      </c>
      <c r="G20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64" s="3" t="s">
        <v>98</v>
      </c>
      <c r="I2064" s="3" t="s">
        <v>31</v>
      </c>
      <c r="J2064" s="3" t="s">
        <v>99</v>
      </c>
      <c r="K2064" s="3" t="s">
        <v>57</v>
      </c>
      <c r="L2064" s="3" t="s">
        <v>58</v>
      </c>
      <c r="M2064" s="4">
        <v>2324.24</v>
      </c>
    </row>
    <row r="2065">
      <c r="A2065" s="2">
        <v>45621</v>
      </c>
      <c r="B20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5" s="3" t="str">
        <f>YEAR(KMART_DATA[[#This Row],[Date]])&amp;"-"&amp;TEXT(MONTH(KMART_DATA[[#This Row],[Date]]),"00")</f>
        <v>2024-11</v>
      </c>
      <c r="D2065" s="3" t="s">
        <v>28</v>
      </c>
      <c r="E2065" s="3" t="s">
        <v>183</v>
      </c>
      <c r="F2065" s="3" t="s">
        <v>9</v>
      </c>
      <c r="G20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65" s="3" t="s">
        <v>184</v>
      </c>
      <c r="I2065" s="3" t="s">
        <v>31</v>
      </c>
      <c r="J2065" s="3" t="s">
        <v>70</v>
      </c>
      <c r="K2065" s="3" t="s">
        <v>95</v>
      </c>
      <c r="L2065" s="3" t="s">
        <v>96</v>
      </c>
      <c r="M2065" s="4">
        <v>1.0</v>
      </c>
    </row>
    <row r="2066">
      <c r="A2066" s="2">
        <v>45621</v>
      </c>
      <c r="B20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6" s="3" t="str">
        <f>YEAR(KMART_DATA[[#This Row],[Date]])&amp;"-"&amp;TEXT(MONTH(KMART_DATA[[#This Row],[Date]]),"00")</f>
        <v>2024-11</v>
      </c>
      <c r="D2066" s="3" t="s">
        <v>28</v>
      </c>
      <c r="E2066" s="3" t="s">
        <v>40</v>
      </c>
      <c r="F2066" s="3" t="s">
        <v>13</v>
      </c>
      <c r="G20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066" s="3" t="s">
        <v>41</v>
      </c>
      <c r="I2066" s="3" t="s">
        <v>31</v>
      </c>
      <c r="J2066" s="3" t="s">
        <v>42</v>
      </c>
      <c r="K2066" s="3" t="s">
        <v>123</v>
      </c>
      <c r="L2066" s="3" t="s">
        <v>124</v>
      </c>
      <c r="M2066" s="4">
        <v>5.98</v>
      </c>
    </row>
    <row r="2067">
      <c r="A2067" s="2">
        <v>45621</v>
      </c>
      <c r="B20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7" s="3" t="str">
        <f>YEAR(KMART_DATA[[#This Row],[Date]])&amp;"-"&amp;TEXT(MONTH(KMART_DATA[[#This Row],[Date]]),"00")</f>
        <v>2024-11</v>
      </c>
      <c r="D2067" s="3" t="s">
        <v>28</v>
      </c>
      <c r="E2067" s="3" t="s">
        <v>179</v>
      </c>
      <c r="F2067" s="3" t="s">
        <v>9</v>
      </c>
      <c r="G20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67" s="3" t="s">
        <v>180</v>
      </c>
      <c r="I2067" s="3" t="s">
        <v>31</v>
      </c>
      <c r="J2067" s="3" t="s">
        <v>99</v>
      </c>
      <c r="K2067" s="3" t="s">
        <v>33</v>
      </c>
      <c r="L2067" s="3" t="s">
        <v>34</v>
      </c>
      <c r="M2067" s="4">
        <v>35.91</v>
      </c>
    </row>
    <row r="2068">
      <c r="A2068" s="2">
        <v>45621</v>
      </c>
      <c r="B20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8" s="3" t="str">
        <f>YEAR(KMART_DATA[[#This Row],[Date]])&amp;"-"&amp;TEXT(MONTH(KMART_DATA[[#This Row],[Date]]),"00")</f>
        <v>2024-11</v>
      </c>
      <c r="D2068" s="3" t="s">
        <v>28</v>
      </c>
      <c r="E2068" s="3" t="s">
        <v>252</v>
      </c>
      <c r="F2068" s="3" t="s">
        <v>10</v>
      </c>
      <c r="G20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68" s="3" t="s">
        <v>253</v>
      </c>
      <c r="I2068" s="3" t="s">
        <v>31</v>
      </c>
      <c r="J2068" s="3" t="s">
        <v>94</v>
      </c>
      <c r="K2068" s="3" t="s">
        <v>38</v>
      </c>
      <c r="L2068" s="3" t="s">
        <v>39</v>
      </c>
      <c r="M2068" s="4">
        <v>44.91</v>
      </c>
    </row>
    <row r="2069">
      <c r="A2069" s="2">
        <v>45621</v>
      </c>
      <c r="B20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69" s="3" t="str">
        <f>YEAR(KMART_DATA[[#This Row],[Date]])&amp;"-"&amp;TEXT(MONTH(KMART_DATA[[#This Row],[Date]]),"00")</f>
        <v>2024-11</v>
      </c>
      <c r="D2069" s="3" t="s">
        <v>28</v>
      </c>
      <c r="E2069" s="3" t="s">
        <v>187</v>
      </c>
      <c r="F2069" s="3" t="s">
        <v>11</v>
      </c>
      <c r="G20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69" s="3" t="s">
        <v>188</v>
      </c>
      <c r="I2069" s="3" t="s">
        <v>31</v>
      </c>
      <c r="J2069" s="3" t="s">
        <v>78</v>
      </c>
      <c r="K2069" s="3" t="s">
        <v>123</v>
      </c>
      <c r="L2069" s="3" t="s">
        <v>124</v>
      </c>
      <c r="M2069" s="4">
        <v>62.49</v>
      </c>
    </row>
    <row r="2070">
      <c r="A2070" s="2">
        <v>45621</v>
      </c>
      <c r="B20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0" s="3" t="str">
        <f>YEAR(KMART_DATA[[#This Row],[Date]])&amp;"-"&amp;TEXT(MONTH(KMART_DATA[[#This Row],[Date]]),"00")</f>
        <v>2024-11</v>
      </c>
      <c r="D2070" s="3" t="s">
        <v>28</v>
      </c>
      <c r="E2070" s="3" t="s">
        <v>64</v>
      </c>
      <c r="F2070" s="3" t="s">
        <v>11</v>
      </c>
      <c r="G20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70" s="3" t="s">
        <v>65</v>
      </c>
      <c r="I2070" s="3" t="s">
        <v>31</v>
      </c>
      <c r="J2070" s="3" t="s">
        <v>61</v>
      </c>
      <c r="K2070" s="3" t="s">
        <v>57</v>
      </c>
      <c r="L2070" s="3" t="s">
        <v>58</v>
      </c>
      <c r="M2070" s="4">
        <v>523.76</v>
      </c>
    </row>
    <row r="2071">
      <c r="A2071" s="2">
        <v>45622</v>
      </c>
      <c r="B20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1" s="3" t="str">
        <f>YEAR(KMART_DATA[[#This Row],[Date]])&amp;"-"&amp;TEXT(MONTH(KMART_DATA[[#This Row],[Date]]),"00")</f>
        <v>2024-11</v>
      </c>
      <c r="D2071" s="3" t="s">
        <v>45</v>
      </c>
      <c r="E2071" s="3" t="s">
        <v>244</v>
      </c>
      <c r="F2071" s="3" t="s">
        <v>13</v>
      </c>
      <c r="G20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071" s="3" t="s">
        <v>245</v>
      </c>
      <c r="I2071" s="3" t="s">
        <v>31</v>
      </c>
      <c r="J2071" s="3" t="s">
        <v>42</v>
      </c>
      <c r="K2071" s="3" t="s">
        <v>43</v>
      </c>
      <c r="L2071" s="3" t="s">
        <v>44</v>
      </c>
      <c r="M2071" s="4">
        <v>104.47</v>
      </c>
    </row>
    <row r="2072">
      <c r="A2072" s="2">
        <v>45622</v>
      </c>
      <c r="B20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2" s="3" t="str">
        <f>YEAR(KMART_DATA[[#This Row],[Date]])&amp;"-"&amp;TEXT(MONTH(KMART_DATA[[#This Row],[Date]]),"00")</f>
        <v>2024-11</v>
      </c>
      <c r="D2072" s="3" t="s">
        <v>28</v>
      </c>
      <c r="E2072" s="3" t="s">
        <v>40</v>
      </c>
      <c r="F2072" s="3" t="s">
        <v>13</v>
      </c>
      <c r="G20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072" s="3" t="s">
        <v>41</v>
      </c>
      <c r="I2072" s="3" t="s">
        <v>31</v>
      </c>
      <c r="J2072" s="3" t="s">
        <v>42</v>
      </c>
      <c r="K2072" s="3" t="s">
        <v>71</v>
      </c>
      <c r="L2072" s="3" t="s">
        <v>72</v>
      </c>
      <c r="M2072" s="4">
        <v>327.7</v>
      </c>
    </row>
    <row r="2073">
      <c r="A2073" s="2">
        <v>45623</v>
      </c>
      <c r="B20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3" s="3" t="str">
        <f>YEAR(KMART_DATA[[#This Row],[Date]])&amp;"-"&amp;TEXT(MONTH(KMART_DATA[[#This Row],[Date]]),"00")</f>
        <v>2024-11</v>
      </c>
      <c r="D2073" s="3" t="s">
        <v>45</v>
      </c>
      <c r="E2073" s="3" t="s">
        <v>248</v>
      </c>
      <c r="F2073" s="3" t="s">
        <v>12</v>
      </c>
      <c r="G20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073" s="3" t="s">
        <v>249</v>
      </c>
      <c r="I2073" s="3" t="s">
        <v>31</v>
      </c>
      <c r="J2073" s="3" t="s">
        <v>162</v>
      </c>
      <c r="K2073" s="3" t="s">
        <v>112</v>
      </c>
      <c r="L2073" s="3" t="s">
        <v>113</v>
      </c>
      <c r="M2073" s="4">
        <v>35.88</v>
      </c>
    </row>
    <row r="2074">
      <c r="A2074" s="2">
        <v>45623</v>
      </c>
      <c r="B20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4" s="3" t="str">
        <f>YEAR(KMART_DATA[[#This Row],[Date]])&amp;"-"&amp;TEXT(MONTH(KMART_DATA[[#This Row],[Date]]),"00")</f>
        <v>2024-11</v>
      </c>
      <c r="D2074" s="3" t="s">
        <v>28</v>
      </c>
      <c r="E2074" s="3" t="s">
        <v>165</v>
      </c>
      <c r="F2074" s="3" t="s">
        <v>9</v>
      </c>
      <c r="G20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74" s="3" t="s">
        <v>166</v>
      </c>
      <c r="I2074" s="3" t="s">
        <v>31</v>
      </c>
      <c r="J2074" s="3" t="s">
        <v>99</v>
      </c>
      <c r="K2074" s="3" t="s">
        <v>33</v>
      </c>
      <c r="L2074" s="3" t="s">
        <v>34</v>
      </c>
      <c r="M2074" s="4">
        <v>167.18</v>
      </c>
    </row>
    <row r="2075">
      <c r="A2075" s="2">
        <v>45623</v>
      </c>
      <c r="B20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5" s="3" t="str">
        <f>YEAR(KMART_DATA[[#This Row],[Date]])&amp;"-"&amp;TEXT(MONTH(KMART_DATA[[#This Row],[Date]]),"00")</f>
        <v>2024-11</v>
      </c>
      <c r="D2075" s="3" t="s">
        <v>45</v>
      </c>
      <c r="E2075" s="3" t="s">
        <v>236</v>
      </c>
      <c r="F2075" s="3" t="s">
        <v>12</v>
      </c>
      <c r="G20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075" s="3" t="s">
        <v>237</v>
      </c>
      <c r="I2075" s="3" t="s">
        <v>31</v>
      </c>
      <c r="J2075" s="3" t="s">
        <v>102</v>
      </c>
      <c r="K2075" s="3" t="s">
        <v>95</v>
      </c>
      <c r="L2075" s="3" t="s">
        <v>96</v>
      </c>
      <c r="M2075" s="4">
        <v>239.52</v>
      </c>
    </row>
    <row r="2076">
      <c r="A2076" s="2">
        <v>45623</v>
      </c>
      <c r="B20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6" s="3" t="str">
        <f>YEAR(KMART_DATA[[#This Row],[Date]])&amp;"-"&amp;TEXT(MONTH(KMART_DATA[[#This Row],[Date]]),"00")</f>
        <v>2024-11</v>
      </c>
      <c r="D2076" s="3" t="s">
        <v>45</v>
      </c>
      <c r="E2076" s="3" t="s">
        <v>250</v>
      </c>
      <c r="F2076" s="3" t="s">
        <v>10</v>
      </c>
      <c r="G20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76" s="3" t="s">
        <v>251</v>
      </c>
      <c r="I2076" s="3" t="s">
        <v>31</v>
      </c>
      <c r="J2076" s="3" t="s">
        <v>37</v>
      </c>
      <c r="K2076" s="3" t="s">
        <v>43</v>
      </c>
      <c r="L2076" s="3" t="s">
        <v>44</v>
      </c>
      <c r="M2076" s="4">
        <v>662.1</v>
      </c>
    </row>
    <row r="2077">
      <c r="A2077" s="2">
        <v>45624</v>
      </c>
      <c r="B20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7" s="3" t="str">
        <f>YEAR(KMART_DATA[[#This Row],[Date]])&amp;"-"&amp;TEXT(MONTH(KMART_DATA[[#This Row],[Date]]),"00")</f>
        <v>2024-11</v>
      </c>
      <c r="D2077" s="3" t="s">
        <v>28</v>
      </c>
      <c r="E2077" s="3" t="s">
        <v>187</v>
      </c>
      <c r="F2077" s="3" t="s">
        <v>11</v>
      </c>
      <c r="G20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77" s="3" t="s">
        <v>188</v>
      </c>
      <c r="I2077" s="3" t="s">
        <v>31</v>
      </c>
      <c r="J2077" s="3" t="s">
        <v>78</v>
      </c>
      <c r="K2077" s="3" t="s">
        <v>123</v>
      </c>
      <c r="L2077" s="3" t="s">
        <v>124</v>
      </c>
      <c r="M2077" s="4">
        <v>3.96</v>
      </c>
    </row>
    <row r="2078">
      <c r="A2078" s="2">
        <v>45624</v>
      </c>
      <c r="B20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8" s="3" t="str">
        <f>YEAR(KMART_DATA[[#This Row],[Date]])&amp;"-"&amp;TEXT(MONTH(KMART_DATA[[#This Row],[Date]]),"00")</f>
        <v>2024-11</v>
      </c>
      <c r="D2078" s="3" t="s">
        <v>28</v>
      </c>
      <c r="E2078" s="3" t="s">
        <v>203</v>
      </c>
      <c r="F2078" s="3" t="s">
        <v>10</v>
      </c>
      <c r="G20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78" s="3" t="s">
        <v>204</v>
      </c>
      <c r="I2078" s="3" t="s">
        <v>31</v>
      </c>
      <c r="J2078" s="3" t="s">
        <v>89</v>
      </c>
      <c r="K2078" s="3" t="s">
        <v>71</v>
      </c>
      <c r="L2078" s="3" t="s">
        <v>72</v>
      </c>
      <c r="M2078" s="4">
        <v>41.96</v>
      </c>
    </row>
    <row r="2079">
      <c r="A2079" s="2">
        <v>45624</v>
      </c>
      <c r="B20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79" s="3" t="str">
        <f>YEAR(KMART_DATA[[#This Row],[Date]])&amp;"-"&amp;TEXT(MONTH(KMART_DATA[[#This Row],[Date]]),"00")</f>
        <v>2024-11</v>
      </c>
      <c r="D2079" s="3" t="s">
        <v>28</v>
      </c>
      <c r="E2079" s="3" t="s">
        <v>258</v>
      </c>
      <c r="F2079" s="3" t="s">
        <v>14</v>
      </c>
      <c r="G20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079" s="3" t="s">
        <v>259</v>
      </c>
      <c r="I2079" s="3" t="s">
        <v>31</v>
      </c>
      <c r="J2079" s="3" t="s">
        <v>145</v>
      </c>
      <c r="K2079" s="3" t="s">
        <v>95</v>
      </c>
      <c r="L2079" s="3" t="s">
        <v>96</v>
      </c>
      <c r="M2079" s="4">
        <v>493.06</v>
      </c>
    </row>
    <row r="2080">
      <c r="A2080" s="2">
        <v>45624</v>
      </c>
      <c r="B20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0" s="3" t="str">
        <f>YEAR(KMART_DATA[[#This Row],[Date]])&amp;"-"&amp;TEXT(MONTH(KMART_DATA[[#This Row],[Date]]),"00")</f>
        <v>2024-11</v>
      </c>
      <c r="D2080" s="3" t="s">
        <v>28</v>
      </c>
      <c r="E2080" s="3" t="s">
        <v>236</v>
      </c>
      <c r="F2080" s="3" t="s">
        <v>12</v>
      </c>
      <c r="G20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080" s="3" t="s">
        <v>237</v>
      </c>
      <c r="I2080" s="3" t="s">
        <v>31</v>
      </c>
      <c r="J2080" s="3" t="s">
        <v>102</v>
      </c>
      <c r="K2080" s="3" t="s">
        <v>71</v>
      </c>
      <c r="L2080" s="3" t="s">
        <v>72</v>
      </c>
      <c r="M2080" s="4">
        <v>608.13</v>
      </c>
    </row>
    <row r="2081">
      <c r="A2081" s="2">
        <v>45624</v>
      </c>
      <c r="B20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1" s="3" t="str">
        <f>YEAR(KMART_DATA[[#This Row],[Date]])&amp;"-"&amp;TEXT(MONTH(KMART_DATA[[#This Row],[Date]]),"00")</f>
        <v>2024-11</v>
      </c>
      <c r="D2081" s="3" t="s">
        <v>28</v>
      </c>
      <c r="E2081" s="3" t="s">
        <v>87</v>
      </c>
      <c r="F2081" s="3" t="s">
        <v>10</v>
      </c>
      <c r="G20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81" s="3" t="s">
        <v>88</v>
      </c>
      <c r="I2081" s="3" t="s">
        <v>31</v>
      </c>
      <c r="J2081" s="3" t="s">
        <v>89</v>
      </c>
      <c r="K2081" s="3" t="s">
        <v>38</v>
      </c>
      <c r="L2081" s="3" t="s">
        <v>39</v>
      </c>
      <c r="M2081" s="4">
        <v>966.86</v>
      </c>
    </row>
    <row r="2082">
      <c r="A2082" s="2">
        <v>45624</v>
      </c>
      <c r="B20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2" s="3" t="str">
        <f>YEAR(KMART_DATA[[#This Row],[Date]])&amp;"-"&amp;TEXT(MONTH(KMART_DATA[[#This Row],[Date]]),"00")</f>
        <v>2024-11</v>
      </c>
      <c r="D2082" s="3" t="s">
        <v>28</v>
      </c>
      <c r="E2082" s="3" t="s">
        <v>215</v>
      </c>
      <c r="F2082" s="3" t="s">
        <v>15</v>
      </c>
      <c r="G20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082" s="3" t="s">
        <v>216</v>
      </c>
      <c r="I2082" s="3" t="s">
        <v>31</v>
      </c>
      <c r="J2082" s="3" t="s">
        <v>53</v>
      </c>
      <c r="K2082" s="3" t="s">
        <v>57</v>
      </c>
      <c r="L2082" s="3" t="s">
        <v>58</v>
      </c>
      <c r="M2082" s="4">
        <v>1626.08</v>
      </c>
    </row>
    <row r="2083">
      <c r="A2083" s="2">
        <v>45624</v>
      </c>
      <c r="B20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3" s="3" t="str">
        <f>YEAR(KMART_DATA[[#This Row],[Date]])&amp;"-"&amp;TEXT(MONTH(KMART_DATA[[#This Row],[Date]]),"00")</f>
        <v>2024-11</v>
      </c>
      <c r="D2083" s="3" t="s">
        <v>45</v>
      </c>
      <c r="E2083" s="3" t="s">
        <v>177</v>
      </c>
      <c r="F2083" s="3" t="s">
        <v>12</v>
      </c>
      <c r="G20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083" s="3" t="s">
        <v>178</v>
      </c>
      <c r="I2083" s="3" t="s">
        <v>31</v>
      </c>
      <c r="J2083" s="3" t="s">
        <v>162</v>
      </c>
      <c r="K2083" s="3" t="s">
        <v>57</v>
      </c>
      <c r="L2083" s="3" t="s">
        <v>58</v>
      </c>
      <c r="M2083" s="4">
        <v>3026.71</v>
      </c>
    </row>
    <row r="2084">
      <c r="A2084" s="2">
        <v>45625</v>
      </c>
      <c r="B20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4" s="3" t="str">
        <f>YEAR(KMART_DATA[[#This Row],[Date]])&amp;"-"&amp;TEXT(MONTH(KMART_DATA[[#This Row],[Date]]),"00")</f>
        <v>2024-11</v>
      </c>
      <c r="D2084" s="3" t="s">
        <v>28</v>
      </c>
      <c r="E2084" s="3" t="s">
        <v>143</v>
      </c>
      <c r="F2084" s="3" t="s">
        <v>14</v>
      </c>
      <c r="G20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084" s="3" t="s">
        <v>144</v>
      </c>
      <c r="I2084" s="3" t="s">
        <v>31</v>
      </c>
      <c r="J2084" s="3" t="s">
        <v>145</v>
      </c>
      <c r="K2084" s="3" t="s">
        <v>33</v>
      </c>
      <c r="L2084" s="3" t="s">
        <v>34</v>
      </c>
      <c r="M2084" s="4">
        <v>17.97</v>
      </c>
    </row>
    <row r="2085">
      <c r="A2085" s="2">
        <v>45625</v>
      </c>
      <c r="B20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5" s="3" t="str">
        <f>YEAR(KMART_DATA[[#This Row],[Date]])&amp;"-"&amp;TEXT(MONTH(KMART_DATA[[#This Row],[Date]]),"00")</f>
        <v>2024-11</v>
      </c>
      <c r="D2085" s="3" t="s">
        <v>28</v>
      </c>
      <c r="E2085" s="3" t="s">
        <v>217</v>
      </c>
      <c r="F2085" s="3" t="s">
        <v>10</v>
      </c>
      <c r="G20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85" s="3" t="s">
        <v>218</v>
      </c>
      <c r="I2085" s="3" t="s">
        <v>31</v>
      </c>
      <c r="J2085" s="3" t="s">
        <v>89</v>
      </c>
      <c r="K2085" s="3" t="s">
        <v>123</v>
      </c>
      <c r="L2085" s="3" t="s">
        <v>124</v>
      </c>
      <c r="M2085" s="4">
        <v>84.16</v>
      </c>
    </row>
    <row r="2086">
      <c r="A2086" s="2">
        <v>45625</v>
      </c>
      <c r="B20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6" s="3" t="str">
        <f>YEAR(KMART_DATA[[#This Row],[Date]])&amp;"-"&amp;TEXT(MONTH(KMART_DATA[[#This Row],[Date]]),"00")</f>
        <v>2024-11</v>
      </c>
      <c r="D2086" s="3" t="s">
        <v>45</v>
      </c>
      <c r="E2086" s="3" t="s">
        <v>125</v>
      </c>
      <c r="F2086" s="3" t="s">
        <v>10</v>
      </c>
      <c r="G20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86" s="3" t="s">
        <v>126</v>
      </c>
      <c r="I2086" s="3" t="s">
        <v>31</v>
      </c>
      <c r="J2086" s="3" t="s">
        <v>94</v>
      </c>
      <c r="K2086" s="3" t="s">
        <v>33</v>
      </c>
      <c r="L2086" s="3" t="s">
        <v>34</v>
      </c>
      <c r="M2086" s="4">
        <v>113.89</v>
      </c>
    </row>
    <row r="2087">
      <c r="A2087" s="2">
        <v>45625</v>
      </c>
      <c r="B20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7" s="3" t="str">
        <f>YEAR(KMART_DATA[[#This Row],[Date]])&amp;"-"&amp;TEXT(MONTH(KMART_DATA[[#This Row],[Date]]),"00")</f>
        <v>2024-11</v>
      </c>
      <c r="D2087" s="3" t="s">
        <v>45</v>
      </c>
      <c r="E2087" s="3" t="s">
        <v>92</v>
      </c>
      <c r="F2087" s="3" t="s">
        <v>10</v>
      </c>
      <c r="G20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87" s="3" t="s">
        <v>93</v>
      </c>
      <c r="I2087" s="3" t="s">
        <v>31</v>
      </c>
      <c r="J2087" s="3" t="s">
        <v>94</v>
      </c>
      <c r="K2087" s="3" t="s">
        <v>71</v>
      </c>
      <c r="L2087" s="3" t="s">
        <v>72</v>
      </c>
      <c r="M2087" s="4">
        <v>207.62</v>
      </c>
    </row>
    <row r="2088">
      <c r="A2088" s="2">
        <v>45625</v>
      </c>
      <c r="B20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8" s="3" t="str">
        <f>YEAR(KMART_DATA[[#This Row],[Date]])&amp;"-"&amp;TEXT(MONTH(KMART_DATA[[#This Row],[Date]]),"00")</f>
        <v>2024-11</v>
      </c>
      <c r="D2088" s="3" t="s">
        <v>45</v>
      </c>
      <c r="E2088" s="3" t="s">
        <v>108</v>
      </c>
      <c r="F2088" s="3" t="s">
        <v>9</v>
      </c>
      <c r="G20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88" s="3" t="s">
        <v>109</v>
      </c>
      <c r="I2088" s="3" t="s">
        <v>31</v>
      </c>
      <c r="J2088" s="3" t="s">
        <v>75</v>
      </c>
      <c r="K2088" s="3" t="s">
        <v>33</v>
      </c>
      <c r="L2088" s="3" t="s">
        <v>34</v>
      </c>
      <c r="M2088" s="4">
        <v>301.13</v>
      </c>
    </row>
    <row r="2089">
      <c r="A2089" s="2">
        <v>45625</v>
      </c>
      <c r="B20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89" s="3" t="str">
        <f>YEAR(KMART_DATA[[#This Row],[Date]])&amp;"-"&amp;TEXT(MONTH(KMART_DATA[[#This Row],[Date]]),"00")</f>
        <v>2024-11</v>
      </c>
      <c r="D2089" s="3" t="s">
        <v>28</v>
      </c>
      <c r="E2089" s="3" t="s">
        <v>73</v>
      </c>
      <c r="F2089" s="3" t="s">
        <v>9</v>
      </c>
      <c r="G20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89" s="3" t="s">
        <v>74</v>
      </c>
      <c r="I2089" s="3" t="s">
        <v>31</v>
      </c>
      <c r="J2089" s="3" t="s">
        <v>75</v>
      </c>
      <c r="K2089" s="3" t="s">
        <v>33</v>
      </c>
      <c r="L2089" s="3" t="s">
        <v>34</v>
      </c>
      <c r="M2089" s="4">
        <v>1135.11</v>
      </c>
    </row>
    <row r="2090">
      <c r="A2090" s="2">
        <v>45625</v>
      </c>
      <c r="B20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0" s="3" t="str">
        <f>YEAR(KMART_DATA[[#This Row],[Date]])&amp;"-"&amp;TEXT(MONTH(KMART_DATA[[#This Row],[Date]]),"00")</f>
        <v>2024-11</v>
      </c>
      <c r="D2090" s="3" t="s">
        <v>28</v>
      </c>
      <c r="E2090" s="3" t="s">
        <v>92</v>
      </c>
      <c r="F2090" s="3" t="s">
        <v>10</v>
      </c>
      <c r="G20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90" s="3" t="s">
        <v>93</v>
      </c>
      <c r="I2090" s="3" t="s">
        <v>31</v>
      </c>
      <c r="J2090" s="3" t="s">
        <v>94</v>
      </c>
      <c r="K2090" s="3" t="s">
        <v>95</v>
      </c>
      <c r="L2090" s="3" t="s">
        <v>96</v>
      </c>
      <c r="M2090" s="4">
        <v>1352.06</v>
      </c>
    </row>
    <row r="2091">
      <c r="A2091" s="2">
        <v>45626</v>
      </c>
      <c r="B20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1" s="3" t="str">
        <f>YEAR(KMART_DATA[[#This Row],[Date]])&amp;"-"&amp;TEXT(MONTH(KMART_DATA[[#This Row],[Date]]),"00")</f>
        <v>2024-11</v>
      </c>
      <c r="D2091" s="3" t="s">
        <v>28</v>
      </c>
      <c r="E2091" s="3" t="s">
        <v>258</v>
      </c>
      <c r="F2091" s="3" t="s">
        <v>14</v>
      </c>
      <c r="G20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091" s="3" t="s">
        <v>259</v>
      </c>
      <c r="I2091" s="3" t="s">
        <v>31</v>
      </c>
      <c r="J2091" s="3" t="s">
        <v>145</v>
      </c>
      <c r="K2091" s="3" t="s">
        <v>123</v>
      </c>
      <c r="L2091" s="3" t="s">
        <v>124</v>
      </c>
      <c r="M2091" s="4">
        <v>20.87</v>
      </c>
    </row>
    <row r="2092">
      <c r="A2092" s="2">
        <v>45626</v>
      </c>
      <c r="B20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2" s="3" t="str">
        <f>YEAR(KMART_DATA[[#This Row],[Date]])&amp;"-"&amp;TEXT(MONTH(KMART_DATA[[#This Row],[Date]]),"00")</f>
        <v>2024-11</v>
      </c>
      <c r="D2092" s="3" t="s">
        <v>45</v>
      </c>
      <c r="E2092" s="3" t="s">
        <v>201</v>
      </c>
      <c r="F2092" s="3" t="s">
        <v>10</v>
      </c>
      <c r="G20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92" s="3" t="s">
        <v>202</v>
      </c>
      <c r="I2092" s="3" t="s">
        <v>31</v>
      </c>
      <c r="J2092" s="3" t="s">
        <v>89</v>
      </c>
      <c r="K2092" s="3" t="s">
        <v>71</v>
      </c>
      <c r="L2092" s="3" t="s">
        <v>72</v>
      </c>
      <c r="M2092" s="4">
        <v>183.33</v>
      </c>
    </row>
    <row r="2093">
      <c r="A2093" s="2">
        <v>45626</v>
      </c>
      <c r="B20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3" s="3" t="str">
        <f>YEAR(KMART_DATA[[#This Row],[Date]])&amp;"-"&amp;TEXT(MONTH(KMART_DATA[[#This Row],[Date]]),"00")</f>
        <v>2024-11</v>
      </c>
      <c r="D2093" s="3" t="s">
        <v>45</v>
      </c>
      <c r="E2093" s="3" t="s">
        <v>256</v>
      </c>
      <c r="F2093" s="3" t="s">
        <v>9</v>
      </c>
      <c r="G20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93" s="3" t="s">
        <v>257</v>
      </c>
      <c r="I2093" s="3" t="s">
        <v>31</v>
      </c>
      <c r="J2093" s="3" t="s">
        <v>70</v>
      </c>
      <c r="K2093" s="3" t="s">
        <v>43</v>
      </c>
      <c r="L2093" s="3" t="s">
        <v>44</v>
      </c>
      <c r="M2093" s="4">
        <v>721.02</v>
      </c>
    </row>
    <row r="2094">
      <c r="A2094" s="2">
        <v>45626</v>
      </c>
      <c r="B20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4" s="3" t="str">
        <f>YEAR(KMART_DATA[[#This Row],[Date]])&amp;"-"&amp;TEXT(MONTH(KMART_DATA[[#This Row],[Date]]),"00")</f>
        <v>2024-11</v>
      </c>
      <c r="D2094" s="3" t="s">
        <v>45</v>
      </c>
      <c r="E2094" s="3" t="s">
        <v>179</v>
      </c>
      <c r="F2094" s="3" t="s">
        <v>9</v>
      </c>
      <c r="G20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94" s="3" t="s">
        <v>180</v>
      </c>
      <c r="I2094" s="3" t="s">
        <v>31</v>
      </c>
      <c r="J2094" s="3" t="s">
        <v>99</v>
      </c>
      <c r="K2094" s="3" t="s">
        <v>71</v>
      </c>
      <c r="L2094" s="3" t="s">
        <v>72</v>
      </c>
      <c r="M2094" s="4">
        <v>1254.36</v>
      </c>
    </row>
    <row r="2095">
      <c r="A2095" s="2">
        <v>45626</v>
      </c>
      <c r="B20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5" s="3" t="str">
        <f>YEAR(KMART_DATA[[#This Row],[Date]])&amp;"-"&amp;TEXT(MONTH(KMART_DATA[[#This Row],[Date]]),"00")</f>
        <v>2024-11</v>
      </c>
      <c r="D2095" s="3" t="s">
        <v>28</v>
      </c>
      <c r="E2095" s="3" t="s">
        <v>54</v>
      </c>
      <c r="F2095" s="3" t="s">
        <v>11</v>
      </c>
      <c r="G20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95" s="3" t="s">
        <v>55</v>
      </c>
      <c r="I2095" s="3" t="s">
        <v>31</v>
      </c>
      <c r="J2095" s="3" t="s">
        <v>56</v>
      </c>
      <c r="K2095" s="3" t="s">
        <v>46</v>
      </c>
      <c r="L2095" s="3" t="s">
        <v>47</v>
      </c>
      <c r="M2095" s="4">
        <v>2653.07</v>
      </c>
    </row>
    <row r="2096">
      <c r="A2096" s="2">
        <v>45627</v>
      </c>
      <c r="B20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6" s="3" t="str">
        <f>YEAR(KMART_DATA[[#This Row],[Date]])&amp;"-"&amp;TEXT(MONTH(KMART_DATA[[#This Row],[Date]]),"00")</f>
        <v>2024-12</v>
      </c>
      <c r="D2096" s="3" t="s">
        <v>28</v>
      </c>
      <c r="E2096" s="3" t="s">
        <v>35</v>
      </c>
      <c r="F2096" s="3" t="s">
        <v>10</v>
      </c>
      <c r="G20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096" s="3" t="s">
        <v>36</v>
      </c>
      <c r="I2096" s="3" t="s">
        <v>31</v>
      </c>
      <c r="J2096" s="3" t="s">
        <v>37</v>
      </c>
      <c r="K2096" s="3" t="s">
        <v>95</v>
      </c>
      <c r="L2096" s="3" t="s">
        <v>96</v>
      </c>
      <c r="M2096" s="4">
        <v>25.0</v>
      </c>
    </row>
    <row r="2097">
      <c r="A2097" s="2">
        <v>45627</v>
      </c>
      <c r="B20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7" s="3" t="str">
        <f>YEAR(KMART_DATA[[#This Row],[Date]])&amp;"-"&amp;TEXT(MONTH(KMART_DATA[[#This Row],[Date]]),"00")</f>
        <v>2024-12</v>
      </c>
      <c r="D2097" s="3" t="s">
        <v>28</v>
      </c>
      <c r="E2097" s="3" t="s">
        <v>97</v>
      </c>
      <c r="F2097" s="3" t="s">
        <v>9</v>
      </c>
      <c r="G20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097" s="3" t="s">
        <v>98</v>
      </c>
      <c r="I2097" s="3" t="s">
        <v>31</v>
      </c>
      <c r="J2097" s="3" t="s">
        <v>99</v>
      </c>
      <c r="K2097" s="3" t="s">
        <v>38</v>
      </c>
      <c r="L2097" s="3" t="s">
        <v>39</v>
      </c>
      <c r="M2097" s="4">
        <v>39.95</v>
      </c>
    </row>
    <row r="2098">
      <c r="A2098" s="2">
        <v>45627</v>
      </c>
      <c r="B20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8" s="3" t="str">
        <f>YEAR(KMART_DATA[[#This Row],[Date]])&amp;"-"&amp;TEXT(MONTH(KMART_DATA[[#This Row],[Date]]),"00")</f>
        <v>2024-12</v>
      </c>
      <c r="D2098" s="3" t="s">
        <v>45</v>
      </c>
      <c r="E2098" s="3" t="s">
        <v>207</v>
      </c>
      <c r="F2098" s="3" t="s">
        <v>11</v>
      </c>
      <c r="G20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98" s="3" t="s">
        <v>208</v>
      </c>
      <c r="I2098" s="3" t="s">
        <v>31</v>
      </c>
      <c r="J2098" s="3" t="s">
        <v>78</v>
      </c>
      <c r="K2098" s="3" t="s">
        <v>43</v>
      </c>
      <c r="L2098" s="3" t="s">
        <v>44</v>
      </c>
      <c r="M2098" s="4">
        <v>57.94</v>
      </c>
    </row>
    <row r="2099">
      <c r="A2099" s="2">
        <v>45627</v>
      </c>
      <c r="B20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099" s="3" t="str">
        <f>YEAR(KMART_DATA[[#This Row],[Date]])&amp;"-"&amp;TEXT(MONTH(KMART_DATA[[#This Row],[Date]]),"00")</f>
        <v>2024-12</v>
      </c>
      <c r="D2099" s="3" t="s">
        <v>45</v>
      </c>
      <c r="E2099" s="3" t="s">
        <v>29</v>
      </c>
      <c r="F2099" s="3" t="s">
        <v>11</v>
      </c>
      <c r="G20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099" s="3" t="s">
        <v>30</v>
      </c>
      <c r="I2099" s="3" t="s">
        <v>31</v>
      </c>
      <c r="J2099" s="3" t="s">
        <v>32</v>
      </c>
      <c r="K2099" s="3" t="s">
        <v>43</v>
      </c>
      <c r="L2099" s="3" t="s">
        <v>44</v>
      </c>
      <c r="M2099" s="4">
        <v>64.95</v>
      </c>
    </row>
    <row r="2100">
      <c r="A2100" s="2">
        <v>45627</v>
      </c>
      <c r="B21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0" s="3" t="str">
        <f>YEAR(KMART_DATA[[#This Row],[Date]])&amp;"-"&amp;TEXT(MONTH(KMART_DATA[[#This Row],[Date]]),"00")</f>
        <v>2024-12</v>
      </c>
      <c r="D2100" s="3" t="s">
        <v>28</v>
      </c>
      <c r="E2100" s="3" t="s">
        <v>215</v>
      </c>
      <c r="F2100" s="3" t="s">
        <v>15</v>
      </c>
      <c r="G21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100" s="3" t="s">
        <v>216</v>
      </c>
      <c r="I2100" s="3" t="s">
        <v>31</v>
      </c>
      <c r="J2100" s="3" t="s">
        <v>53</v>
      </c>
      <c r="K2100" s="3" t="s">
        <v>123</v>
      </c>
      <c r="L2100" s="3" t="s">
        <v>124</v>
      </c>
      <c r="M2100" s="4">
        <v>350.41</v>
      </c>
    </row>
    <row r="2101">
      <c r="A2101" s="2">
        <v>45627</v>
      </c>
      <c r="B21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1" s="3" t="str">
        <f>YEAR(KMART_DATA[[#This Row],[Date]])&amp;"-"&amp;TEXT(MONTH(KMART_DATA[[#This Row],[Date]]),"00")</f>
        <v>2024-12</v>
      </c>
      <c r="D2101" s="3" t="s">
        <v>28</v>
      </c>
      <c r="E2101" s="3" t="s">
        <v>256</v>
      </c>
      <c r="F2101" s="3" t="s">
        <v>9</v>
      </c>
      <c r="G21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01" s="3" t="s">
        <v>257</v>
      </c>
      <c r="I2101" s="3" t="s">
        <v>31</v>
      </c>
      <c r="J2101" s="3" t="s">
        <v>70</v>
      </c>
      <c r="K2101" s="3" t="s">
        <v>112</v>
      </c>
      <c r="L2101" s="3" t="s">
        <v>113</v>
      </c>
      <c r="M2101" s="4">
        <v>398.57</v>
      </c>
    </row>
    <row r="2102">
      <c r="A2102" s="2">
        <v>45627</v>
      </c>
      <c r="B21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2" s="3" t="str">
        <f>YEAR(KMART_DATA[[#This Row],[Date]])&amp;"-"&amp;TEXT(MONTH(KMART_DATA[[#This Row],[Date]]),"00")</f>
        <v>2024-12</v>
      </c>
      <c r="D2102" s="3" t="s">
        <v>28</v>
      </c>
      <c r="E2102" s="3" t="s">
        <v>73</v>
      </c>
      <c r="F2102" s="3" t="s">
        <v>9</v>
      </c>
      <c r="G21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02" s="3" t="s">
        <v>74</v>
      </c>
      <c r="I2102" s="3" t="s">
        <v>31</v>
      </c>
      <c r="J2102" s="3" t="s">
        <v>75</v>
      </c>
      <c r="K2102" s="3" t="s">
        <v>46</v>
      </c>
      <c r="L2102" s="3" t="s">
        <v>47</v>
      </c>
      <c r="M2102" s="4">
        <v>990.4</v>
      </c>
    </row>
    <row r="2103">
      <c r="A2103" s="2">
        <v>45628</v>
      </c>
      <c r="B21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3" s="3" t="str">
        <f>YEAR(KMART_DATA[[#This Row],[Date]])&amp;"-"&amp;TEXT(MONTH(KMART_DATA[[#This Row],[Date]]),"00")</f>
        <v>2024-12</v>
      </c>
      <c r="D2103" s="3" t="s">
        <v>28</v>
      </c>
      <c r="E2103" s="3" t="s">
        <v>244</v>
      </c>
      <c r="F2103" s="3" t="s">
        <v>13</v>
      </c>
      <c r="G21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103" s="3" t="s">
        <v>245</v>
      </c>
      <c r="I2103" s="3" t="s">
        <v>31</v>
      </c>
      <c r="J2103" s="3" t="s">
        <v>42</v>
      </c>
      <c r="K2103" s="3" t="s">
        <v>43</v>
      </c>
      <c r="L2103" s="3" t="s">
        <v>44</v>
      </c>
      <c r="M2103" s="4">
        <v>10.0</v>
      </c>
    </row>
    <row r="2104">
      <c r="A2104" s="2">
        <v>45628</v>
      </c>
      <c r="B21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4" s="3" t="str">
        <f>YEAR(KMART_DATA[[#This Row],[Date]])&amp;"-"&amp;TEXT(MONTH(KMART_DATA[[#This Row],[Date]]),"00")</f>
        <v>2024-12</v>
      </c>
      <c r="D2104" s="3" t="s">
        <v>45</v>
      </c>
      <c r="E2104" s="3" t="s">
        <v>242</v>
      </c>
      <c r="F2104" s="3" t="s">
        <v>10</v>
      </c>
      <c r="G21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04" s="3" t="s">
        <v>243</v>
      </c>
      <c r="I2104" s="3" t="s">
        <v>31</v>
      </c>
      <c r="J2104" s="3" t="s">
        <v>94</v>
      </c>
      <c r="K2104" s="3" t="s">
        <v>43</v>
      </c>
      <c r="L2104" s="3" t="s">
        <v>44</v>
      </c>
      <c r="M2104" s="4">
        <v>29.5</v>
      </c>
    </row>
    <row r="2105">
      <c r="A2105" s="2">
        <v>45628</v>
      </c>
      <c r="B21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5" s="3" t="str">
        <f>YEAR(KMART_DATA[[#This Row],[Date]])&amp;"-"&amp;TEXT(MONTH(KMART_DATA[[#This Row],[Date]]),"00")</f>
        <v>2024-12</v>
      </c>
      <c r="D2105" s="3" t="s">
        <v>28</v>
      </c>
      <c r="E2105" s="3" t="s">
        <v>225</v>
      </c>
      <c r="F2105" s="3" t="s">
        <v>13</v>
      </c>
      <c r="G21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105" s="3" t="s">
        <v>226</v>
      </c>
      <c r="I2105" s="3" t="s">
        <v>31</v>
      </c>
      <c r="J2105" s="3" t="s">
        <v>227</v>
      </c>
      <c r="K2105" s="3" t="s">
        <v>43</v>
      </c>
      <c r="L2105" s="3" t="s">
        <v>44</v>
      </c>
      <c r="M2105" s="4">
        <v>46.5</v>
      </c>
    </row>
    <row r="2106">
      <c r="A2106" s="2">
        <v>45628</v>
      </c>
      <c r="B21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6" s="3" t="str">
        <f>YEAR(KMART_DATA[[#This Row],[Date]])&amp;"-"&amp;TEXT(MONTH(KMART_DATA[[#This Row],[Date]]),"00")</f>
        <v>2024-12</v>
      </c>
      <c r="D2106" s="3" t="s">
        <v>28</v>
      </c>
      <c r="E2106" s="3" t="s">
        <v>129</v>
      </c>
      <c r="F2106" s="3" t="s">
        <v>10</v>
      </c>
      <c r="G21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06" s="3" t="s">
        <v>130</v>
      </c>
      <c r="I2106" s="3" t="s">
        <v>31</v>
      </c>
      <c r="J2106" s="3" t="s">
        <v>120</v>
      </c>
      <c r="K2106" s="3" t="s">
        <v>38</v>
      </c>
      <c r="L2106" s="3" t="s">
        <v>39</v>
      </c>
      <c r="M2106" s="4">
        <v>97.81</v>
      </c>
    </row>
    <row r="2107">
      <c r="A2107" s="2">
        <v>45628</v>
      </c>
      <c r="B21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7" s="3" t="str">
        <f>YEAR(KMART_DATA[[#This Row],[Date]])&amp;"-"&amp;TEXT(MONTH(KMART_DATA[[#This Row],[Date]]),"00")</f>
        <v>2024-12</v>
      </c>
      <c r="D2107" s="3" t="s">
        <v>45</v>
      </c>
      <c r="E2107" s="3" t="s">
        <v>148</v>
      </c>
      <c r="F2107" s="3" t="s">
        <v>12</v>
      </c>
      <c r="G21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07" s="3" t="s">
        <v>149</v>
      </c>
      <c r="I2107" s="3" t="s">
        <v>31</v>
      </c>
      <c r="J2107" s="3" t="s">
        <v>50</v>
      </c>
      <c r="K2107" s="3" t="s">
        <v>71</v>
      </c>
      <c r="L2107" s="3" t="s">
        <v>72</v>
      </c>
      <c r="M2107" s="4">
        <v>236.79</v>
      </c>
    </row>
    <row r="2108">
      <c r="A2108" s="2">
        <v>45628</v>
      </c>
      <c r="B21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8" s="3" t="str">
        <f>YEAR(KMART_DATA[[#This Row],[Date]])&amp;"-"&amp;TEXT(MONTH(KMART_DATA[[#This Row],[Date]]),"00")</f>
        <v>2024-12</v>
      </c>
      <c r="D2108" s="3" t="s">
        <v>28</v>
      </c>
      <c r="E2108" s="3" t="s">
        <v>189</v>
      </c>
      <c r="F2108" s="3" t="s">
        <v>9</v>
      </c>
      <c r="G21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08" s="3" t="s">
        <v>190</v>
      </c>
      <c r="I2108" s="3" t="s">
        <v>31</v>
      </c>
      <c r="J2108" s="3" t="s">
        <v>81</v>
      </c>
      <c r="K2108" s="3" t="s">
        <v>123</v>
      </c>
      <c r="L2108" s="3" t="s">
        <v>124</v>
      </c>
      <c r="M2108" s="4">
        <v>363.16</v>
      </c>
    </row>
    <row r="2109">
      <c r="A2109" s="2">
        <v>45628</v>
      </c>
      <c r="B21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09" s="3" t="str">
        <f>YEAR(KMART_DATA[[#This Row],[Date]])&amp;"-"&amp;TEXT(MONTH(KMART_DATA[[#This Row],[Date]]),"00")</f>
        <v>2024-12</v>
      </c>
      <c r="D2109" s="3" t="s">
        <v>28</v>
      </c>
      <c r="E2109" s="3" t="s">
        <v>129</v>
      </c>
      <c r="F2109" s="3" t="s">
        <v>10</v>
      </c>
      <c r="G21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09" s="3" t="s">
        <v>130</v>
      </c>
      <c r="I2109" s="3" t="s">
        <v>31</v>
      </c>
      <c r="J2109" s="3" t="s">
        <v>120</v>
      </c>
      <c r="K2109" s="3" t="s">
        <v>123</v>
      </c>
      <c r="L2109" s="3" t="s">
        <v>124</v>
      </c>
      <c r="M2109" s="4">
        <v>4645.92</v>
      </c>
    </row>
    <row r="2110">
      <c r="A2110" s="2">
        <v>45629</v>
      </c>
      <c r="B21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0" s="3" t="str">
        <f>YEAR(KMART_DATA[[#This Row],[Date]])&amp;"-"&amp;TEXT(MONTH(KMART_DATA[[#This Row],[Date]]),"00")</f>
        <v>2024-12</v>
      </c>
      <c r="D2110" s="3" t="s">
        <v>28</v>
      </c>
      <c r="E2110" s="3" t="s">
        <v>68</v>
      </c>
      <c r="F2110" s="3" t="s">
        <v>9</v>
      </c>
      <c r="G21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10" s="3" t="s">
        <v>69</v>
      </c>
      <c r="I2110" s="3" t="s">
        <v>31</v>
      </c>
      <c r="J2110" s="3" t="s">
        <v>70</v>
      </c>
      <c r="K2110" s="3" t="s">
        <v>95</v>
      </c>
      <c r="L2110" s="3" t="s">
        <v>96</v>
      </c>
      <c r="M2110" s="4">
        <v>1.0</v>
      </c>
    </row>
    <row r="2111">
      <c r="A2111" s="2">
        <v>45629</v>
      </c>
      <c r="B21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1" s="3" t="str">
        <f>YEAR(KMART_DATA[[#This Row],[Date]])&amp;"-"&amp;TEXT(MONTH(KMART_DATA[[#This Row],[Date]]),"00")</f>
        <v>2024-12</v>
      </c>
      <c r="D2111" s="3" t="s">
        <v>45</v>
      </c>
      <c r="E2111" s="3" t="s">
        <v>260</v>
      </c>
      <c r="F2111" s="3" t="s">
        <v>10</v>
      </c>
      <c r="G21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11" s="3" t="s">
        <v>261</v>
      </c>
      <c r="I2111" s="3" t="s">
        <v>31</v>
      </c>
      <c r="J2111" s="3" t="s">
        <v>89</v>
      </c>
      <c r="K2111" s="3" t="s">
        <v>123</v>
      </c>
      <c r="L2111" s="3" t="s">
        <v>124</v>
      </c>
      <c r="M2111" s="4">
        <v>29.98</v>
      </c>
    </row>
    <row r="2112">
      <c r="A2112" s="2">
        <v>45629</v>
      </c>
      <c r="B21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2" s="3" t="str">
        <f>YEAR(KMART_DATA[[#This Row],[Date]])&amp;"-"&amp;TEXT(MONTH(KMART_DATA[[#This Row],[Date]]),"00")</f>
        <v>2024-12</v>
      </c>
      <c r="D2112" s="3" t="s">
        <v>28</v>
      </c>
      <c r="E2112" s="3" t="s">
        <v>183</v>
      </c>
      <c r="F2112" s="3" t="s">
        <v>9</v>
      </c>
      <c r="G21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12" s="3" t="s">
        <v>184</v>
      </c>
      <c r="I2112" s="3" t="s">
        <v>31</v>
      </c>
      <c r="J2112" s="3" t="s">
        <v>70</v>
      </c>
      <c r="K2112" s="3" t="s">
        <v>71</v>
      </c>
      <c r="L2112" s="3" t="s">
        <v>72</v>
      </c>
      <c r="M2112" s="4">
        <v>104.73</v>
      </c>
    </row>
    <row r="2113">
      <c r="A2113" s="2">
        <v>45629</v>
      </c>
      <c r="B21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3" s="3" t="str">
        <f>YEAR(KMART_DATA[[#This Row],[Date]])&amp;"-"&amp;TEXT(MONTH(KMART_DATA[[#This Row],[Date]]),"00")</f>
        <v>2024-12</v>
      </c>
      <c r="D2113" s="3" t="s">
        <v>28</v>
      </c>
      <c r="E2113" s="3" t="s">
        <v>209</v>
      </c>
      <c r="F2113" s="3" t="s">
        <v>9</v>
      </c>
      <c r="G21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13" s="3" t="s">
        <v>210</v>
      </c>
      <c r="I2113" s="3" t="s">
        <v>31</v>
      </c>
      <c r="J2113" s="3" t="s">
        <v>81</v>
      </c>
      <c r="K2113" s="3" t="s">
        <v>43</v>
      </c>
      <c r="L2113" s="3" t="s">
        <v>44</v>
      </c>
      <c r="M2113" s="4">
        <v>160.08</v>
      </c>
    </row>
    <row r="2114">
      <c r="A2114" s="2">
        <v>45629</v>
      </c>
      <c r="B21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4" s="3" t="str">
        <f>YEAR(KMART_DATA[[#This Row],[Date]])&amp;"-"&amp;TEXT(MONTH(KMART_DATA[[#This Row],[Date]]),"00")</f>
        <v>2024-12</v>
      </c>
      <c r="D2114" s="3" t="s">
        <v>45</v>
      </c>
      <c r="E2114" s="3" t="s">
        <v>156</v>
      </c>
      <c r="F2114" s="3" t="s">
        <v>9</v>
      </c>
      <c r="G21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14" s="3" t="s">
        <v>157</v>
      </c>
      <c r="I2114" s="3" t="s">
        <v>31</v>
      </c>
      <c r="J2114" s="3" t="s">
        <v>75</v>
      </c>
      <c r="K2114" s="3" t="s">
        <v>112</v>
      </c>
      <c r="L2114" s="3" t="s">
        <v>113</v>
      </c>
      <c r="M2114" s="4">
        <v>196.49</v>
      </c>
    </row>
    <row r="2115">
      <c r="A2115" s="2">
        <v>45630</v>
      </c>
      <c r="B21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5" s="3" t="str">
        <f>YEAR(KMART_DATA[[#This Row],[Date]])&amp;"-"&amp;TEXT(MONTH(KMART_DATA[[#This Row],[Date]]),"00")</f>
        <v>2024-12</v>
      </c>
      <c r="D2115" s="3" t="s">
        <v>45</v>
      </c>
      <c r="E2115" s="3" t="s">
        <v>211</v>
      </c>
      <c r="F2115" s="3" t="s">
        <v>9</v>
      </c>
      <c r="G21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15" s="3" t="s">
        <v>212</v>
      </c>
      <c r="I2115" s="3" t="s">
        <v>31</v>
      </c>
      <c r="J2115" s="3" t="s">
        <v>75</v>
      </c>
      <c r="K2115" s="3" t="s">
        <v>95</v>
      </c>
      <c r="L2115" s="3" t="s">
        <v>96</v>
      </c>
      <c r="M2115" s="4">
        <v>16.45</v>
      </c>
    </row>
    <row r="2116">
      <c r="A2116" s="2">
        <v>45630</v>
      </c>
      <c r="B21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6" s="3" t="str">
        <f>YEAR(KMART_DATA[[#This Row],[Date]])&amp;"-"&amp;TEXT(MONTH(KMART_DATA[[#This Row],[Date]]),"00")</f>
        <v>2024-12</v>
      </c>
      <c r="D2116" s="3" t="s">
        <v>45</v>
      </c>
      <c r="E2116" s="3" t="s">
        <v>185</v>
      </c>
      <c r="F2116" s="3" t="s">
        <v>12</v>
      </c>
      <c r="G21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16" s="3" t="s">
        <v>186</v>
      </c>
      <c r="I2116" s="3" t="s">
        <v>31</v>
      </c>
      <c r="J2116" s="3" t="s">
        <v>162</v>
      </c>
      <c r="K2116" s="3" t="s">
        <v>57</v>
      </c>
      <c r="L2116" s="3" t="s">
        <v>58</v>
      </c>
      <c r="M2116" s="4">
        <v>278.97</v>
      </c>
    </row>
    <row r="2117">
      <c r="A2117" s="2">
        <v>45630</v>
      </c>
      <c r="B21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7" s="3" t="str">
        <f>YEAR(KMART_DATA[[#This Row],[Date]])&amp;"-"&amp;TEXT(MONTH(KMART_DATA[[#This Row],[Date]]),"00")</f>
        <v>2024-12</v>
      </c>
      <c r="D2117" s="3" t="s">
        <v>28</v>
      </c>
      <c r="E2117" s="3" t="s">
        <v>256</v>
      </c>
      <c r="F2117" s="3" t="s">
        <v>9</v>
      </c>
      <c r="G21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17" s="3" t="s">
        <v>257</v>
      </c>
      <c r="I2117" s="3" t="s">
        <v>31</v>
      </c>
      <c r="J2117" s="3" t="s">
        <v>70</v>
      </c>
      <c r="K2117" s="3" t="s">
        <v>43</v>
      </c>
      <c r="L2117" s="3" t="s">
        <v>44</v>
      </c>
      <c r="M2117" s="4">
        <v>608.35</v>
      </c>
    </row>
    <row r="2118">
      <c r="A2118" s="2">
        <v>45631</v>
      </c>
      <c r="B21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8" s="3" t="str">
        <f>YEAR(KMART_DATA[[#This Row],[Date]])&amp;"-"&amp;TEXT(MONTH(KMART_DATA[[#This Row],[Date]]),"00")</f>
        <v>2024-12</v>
      </c>
      <c r="D2118" s="3" t="s">
        <v>28</v>
      </c>
      <c r="E2118" s="3" t="s">
        <v>219</v>
      </c>
      <c r="F2118" s="3" t="s">
        <v>11</v>
      </c>
      <c r="G21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18" s="3" t="s">
        <v>220</v>
      </c>
      <c r="I2118" s="3" t="s">
        <v>31</v>
      </c>
      <c r="J2118" s="3" t="s">
        <v>56</v>
      </c>
      <c r="K2118" s="3" t="s">
        <v>46</v>
      </c>
      <c r="L2118" s="3" t="s">
        <v>47</v>
      </c>
      <c r="M2118" s="4">
        <v>3.0</v>
      </c>
    </row>
    <row r="2119">
      <c r="A2119" s="2">
        <v>45631</v>
      </c>
      <c r="B21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19" s="3" t="str">
        <f>YEAR(KMART_DATA[[#This Row],[Date]])&amp;"-"&amp;TEXT(MONTH(KMART_DATA[[#This Row],[Date]]),"00")</f>
        <v>2024-12</v>
      </c>
      <c r="D2119" s="3" t="s">
        <v>28</v>
      </c>
      <c r="E2119" s="3" t="s">
        <v>59</v>
      </c>
      <c r="F2119" s="3" t="s">
        <v>11</v>
      </c>
      <c r="G21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19" s="3" t="s">
        <v>60</v>
      </c>
      <c r="I2119" s="3" t="s">
        <v>31</v>
      </c>
      <c r="J2119" s="3" t="s">
        <v>61</v>
      </c>
      <c r="K2119" s="3" t="s">
        <v>123</v>
      </c>
      <c r="L2119" s="3" t="s">
        <v>124</v>
      </c>
      <c r="M2119" s="4">
        <v>33.39</v>
      </c>
    </row>
    <row r="2120">
      <c r="A2120" s="2">
        <v>45631</v>
      </c>
      <c r="B21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0" s="3" t="str">
        <f>YEAR(KMART_DATA[[#This Row],[Date]])&amp;"-"&amp;TEXT(MONTH(KMART_DATA[[#This Row],[Date]]),"00")</f>
        <v>2024-12</v>
      </c>
      <c r="D2120" s="3" t="s">
        <v>28</v>
      </c>
      <c r="E2120" s="3" t="s">
        <v>156</v>
      </c>
      <c r="F2120" s="3" t="s">
        <v>9</v>
      </c>
      <c r="G21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20" s="3" t="s">
        <v>157</v>
      </c>
      <c r="I2120" s="3" t="s">
        <v>31</v>
      </c>
      <c r="J2120" s="3" t="s">
        <v>75</v>
      </c>
      <c r="K2120" s="3" t="s">
        <v>71</v>
      </c>
      <c r="L2120" s="3" t="s">
        <v>72</v>
      </c>
      <c r="M2120" s="4">
        <v>2169.37</v>
      </c>
    </row>
    <row r="2121">
      <c r="A2121" s="2">
        <v>45632</v>
      </c>
      <c r="B21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1" s="3" t="str">
        <f>YEAR(KMART_DATA[[#This Row],[Date]])&amp;"-"&amp;TEXT(MONTH(KMART_DATA[[#This Row],[Date]]),"00")</f>
        <v>2024-12</v>
      </c>
      <c r="D2121" s="3" t="s">
        <v>28</v>
      </c>
      <c r="E2121" s="3" t="s">
        <v>197</v>
      </c>
      <c r="F2121" s="3" t="s">
        <v>9</v>
      </c>
      <c r="G21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21" s="3" t="s">
        <v>198</v>
      </c>
      <c r="I2121" s="3" t="s">
        <v>31</v>
      </c>
      <c r="J2121" s="3" t="s">
        <v>107</v>
      </c>
      <c r="K2121" s="3" t="s">
        <v>43</v>
      </c>
      <c r="L2121" s="3" t="s">
        <v>44</v>
      </c>
      <c r="M2121" s="4">
        <v>16.5</v>
      </c>
    </row>
    <row r="2122">
      <c r="A2122" s="2">
        <v>45632</v>
      </c>
      <c r="B21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2" s="3" t="str">
        <f>YEAR(KMART_DATA[[#This Row],[Date]])&amp;"-"&amp;TEXT(MONTH(KMART_DATA[[#This Row],[Date]]),"00")</f>
        <v>2024-12</v>
      </c>
      <c r="D2122" s="3" t="s">
        <v>28</v>
      </c>
      <c r="E2122" s="3" t="s">
        <v>179</v>
      </c>
      <c r="F2122" s="3" t="s">
        <v>9</v>
      </c>
      <c r="G21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22" s="3" t="s">
        <v>180</v>
      </c>
      <c r="I2122" s="3" t="s">
        <v>31</v>
      </c>
      <c r="J2122" s="3" t="s">
        <v>99</v>
      </c>
      <c r="K2122" s="3" t="s">
        <v>43</v>
      </c>
      <c r="L2122" s="3" t="s">
        <v>44</v>
      </c>
      <c r="M2122" s="4">
        <v>26.81</v>
      </c>
    </row>
    <row r="2123">
      <c r="A2123" s="2">
        <v>45632</v>
      </c>
      <c r="B21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3" s="3" t="str">
        <f>YEAR(KMART_DATA[[#This Row],[Date]])&amp;"-"&amp;TEXT(MONTH(KMART_DATA[[#This Row],[Date]]),"00")</f>
        <v>2024-12</v>
      </c>
      <c r="D2123" s="3" t="s">
        <v>45</v>
      </c>
      <c r="E2123" s="3" t="s">
        <v>236</v>
      </c>
      <c r="F2123" s="3" t="s">
        <v>12</v>
      </c>
      <c r="G21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23" s="3" t="s">
        <v>237</v>
      </c>
      <c r="I2123" s="3" t="s">
        <v>31</v>
      </c>
      <c r="J2123" s="3" t="s">
        <v>102</v>
      </c>
      <c r="K2123" s="3" t="s">
        <v>123</v>
      </c>
      <c r="L2123" s="3" t="s">
        <v>124</v>
      </c>
      <c r="M2123" s="4">
        <v>45.92</v>
      </c>
    </row>
    <row r="2124">
      <c r="A2124" s="2">
        <v>45632</v>
      </c>
      <c r="B21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4" s="3" t="str">
        <f>YEAR(KMART_DATA[[#This Row],[Date]])&amp;"-"&amp;TEXT(MONTH(KMART_DATA[[#This Row],[Date]]),"00")</f>
        <v>2024-12</v>
      </c>
      <c r="D2124" s="3" t="s">
        <v>45</v>
      </c>
      <c r="E2124" s="3" t="s">
        <v>221</v>
      </c>
      <c r="F2124" s="3" t="s">
        <v>11</v>
      </c>
      <c r="G21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24" s="3" t="s">
        <v>222</v>
      </c>
      <c r="I2124" s="3" t="s">
        <v>31</v>
      </c>
      <c r="J2124" s="3" t="s">
        <v>56</v>
      </c>
      <c r="K2124" s="3" t="s">
        <v>43</v>
      </c>
      <c r="L2124" s="3" t="s">
        <v>44</v>
      </c>
      <c r="M2124" s="4">
        <v>47.94</v>
      </c>
    </row>
    <row r="2125">
      <c r="A2125" s="2">
        <v>45632</v>
      </c>
      <c r="B21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5" s="3" t="str">
        <f>YEAR(KMART_DATA[[#This Row],[Date]])&amp;"-"&amp;TEXT(MONTH(KMART_DATA[[#This Row],[Date]]),"00")</f>
        <v>2024-12</v>
      </c>
      <c r="D2125" s="3" t="s">
        <v>28</v>
      </c>
      <c r="E2125" s="3" t="s">
        <v>54</v>
      </c>
      <c r="F2125" s="3" t="s">
        <v>11</v>
      </c>
      <c r="G21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25" s="3" t="s">
        <v>55</v>
      </c>
      <c r="I2125" s="3" t="s">
        <v>31</v>
      </c>
      <c r="J2125" s="3" t="s">
        <v>56</v>
      </c>
      <c r="K2125" s="3" t="s">
        <v>112</v>
      </c>
      <c r="L2125" s="3" t="s">
        <v>113</v>
      </c>
      <c r="M2125" s="4">
        <v>77.35</v>
      </c>
    </row>
    <row r="2126">
      <c r="A2126" s="2">
        <v>45632</v>
      </c>
      <c r="B21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6" s="3" t="str">
        <f>YEAR(KMART_DATA[[#This Row],[Date]])&amp;"-"&amp;TEXT(MONTH(KMART_DATA[[#This Row],[Date]]),"00")</f>
        <v>2024-12</v>
      </c>
      <c r="D2126" s="3" t="s">
        <v>45</v>
      </c>
      <c r="E2126" s="3" t="s">
        <v>35</v>
      </c>
      <c r="F2126" s="3" t="s">
        <v>10</v>
      </c>
      <c r="G21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26" s="3" t="s">
        <v>36</v>
      </c>
      <c r="I2126" s="3" t="s">
        <v>31</v>
      </c>
      <c r="J2126" s="3" t="s">
        <v>37</v>
      </c>
      <c r="K2126" s="3" t="s">
        <v>46</v>
      </c>
      <c r="L2126" s="3" t="s">
        <v>47</v>
      </c>
      <c r="M2126" s="4">
        <v>119.8</v>
      </c>
    </row>
    <row r="2127">
      <c r="A2127" s="2">
        <v>45632</v>
      </c>
      <c r="B21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7" s="3" t="str">
        <f>YEAR(KMART_DATA[[#This Row],[Date]])&amp;"-"&amp;TEXT(MONTH(KMART_DATA[[#This Row],[Date]]),"00")</f>
        <v>2024-12</v>
      </c>
      <c r="D2127" s="3" t="s">
        <v>28</v>
      </c>
      <c r="E2127" s="3" t="s">
        <v>59</v>
      </c>
      <c r="F2127" s="3" t="s">
        <v>11</v>
      </c>
      <c r="G21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27" s="3" t="s">
        <v>60</v>
      </c>
      <c r="I2127" s="3" t="s">
        <v>31</v>
      </c>
      <c r="J2127" s="3" t="s">
        <v>61</v>
      </c>
      <c r="K2127" s="3" t="s">
        <v>95</v>
      </c>
      <c r="L2127" s="3" t="s">
        <v>96</v>
      </c>
      <c r="M2127" s="4">
        <v>238.78</v>
      </c>
    </row>
    <row r="2128">
      <c r="A2128" s="2">
        <v>45632</v>
      </c>
      <c r="B21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8" s="3" t="str">
        <f>YEAR(KMART_DATA[[#This Row],[Date]])&amp;"-"&amp;TEXT(MONTH(KMART_DATA[[#This Row],[Date]]),"00")</f>
        <v>2024-12</v>
      </c>
      <c r="D2128" s="3" t="s">
        <v>28</v>
      </c>
      <c r="E2128" s="3" t="s">
        <v>158</v>
      </c>
      <c r="F2128" s="3" t="s">
        <v>11</v>
      </c>
      <c r="G21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28" s="3" t="s">
        <v>159</v>
      </c>
      <c r="I2128" s="3" t="s">
        <v>31</v>
      </c>
      <c r="J2128" s="3" t="s">
        <v>84</v>
      </c>
      <c r="K2128" s="3" t="s">
        <v>43</v>
      </c>
      <c r="L2128" s="3" t="s">
        <v>44</v>
      </c>
      <c r="M2128" s="4">
        <v>339.24</v>
      </c>
    </row>
    <row r="2129">
      <c r="A2129" s="2">
        <v>45632</v>
      </c>
      <c r="B21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29" s="3" t="str">
        <f>YEAR(KMART_DATA[[#This Row],[Date]])&amp;"-"&amp;TEXT(MONTH(KMART_DATA[[#This Row],[Date]]),"00")</f>
        <v>2024-12</v>
      </c>
      <c r="D2129" s="3" t="s">
        <v>45</v>
      </c>
      <c r="E2129" s="3" t="s">
        <v>177</v>
      </c>
      <c r="F2129" s="3" t="s">
        <v>12</v>
      </c>
      <c r="G21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29" s="3" t="s">
        <v>178</v>
      </c>
      <c r="I2129" s="3" t="s">
        <v>31</v>
      </c>
      <c r="J2129" s="3" t="s">
        <v>162</v>
      </c>
      <c r="K2129" s="3" t="s">
        <v>71</v>
      </c>
      <c r="L2129" s="3" t="s">
        <v>72</v>
      </c>
      <c r="M2129" s="4">
        <v>2604.84</v>
      </c>
    </row>
    <row r="2130">
      <c r="A2130" s="2">
        <v>45633</v>
      </c>
      <c r="B21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0" s="3" t="str">
        <f>YEAR(KMART_DATA[[#This Row],[Date]])&amp;"-"&amp;TEXT(MONTH(KMART_DATA[[#This Row],[Date]]),"00")</f>
        <v>2024-12</v>
      </c>
      <c r="D2130" s="3" t="s">
        <v>28</v>
      </c>
      <c r="E2130" s="3" t="s">
        <v>87</v>
      </c>
      <c r="F2130" s="3" t="s">
        <v>10</v>
      </c>
      <c r="G21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30" s="3" t="s">
        <v>88</v>
      </c>
      <c r="I2130" s="3" t="s">
        <v>31</v>
      </c>
      <c r="J2130" s="3" t="s">
        <v>89</v>
      </c>
      <c r="K2130" s="3" t="s">
        <v>46</v>
      </c>
      <c r="L2130" s="3" t="s">
        <v>47</v>
      </c>
      <c r="M2130" s="4">
        <v>2.0</v>
      </c>
    </row>
    <row r="2131">
      <c r="A2131" s="2">
        <v>45633</v>
      </c>
      <c r="B21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1" s="3" t="str">
        <f>YEAR(KMART_DATA[[#This Row],[Date]])&amp;"-"&amp;TEXT(MONTH(KMART_DATA[[#This Row],[Date]]),"00")</f>
        <v>2024-12</v>
      </c>
      <c r="D2131" s="3" t="s">
        <v>28</v>
      </c>
      <c r="E2131" s="3" t="s">
        <v>76</v>
      </c>
      <c r="F2131" s="3" t="s">
        <v>11</v>
      </c>
      <c r="G21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31" s="3" t="s">
        <v>77</v>
      </c>
      <c r="I2131" s="3" t="s">
        <v>31</v>
      </c>
      <c r="J2131" s="3" t="s">
        <v>78</v>
      </c>
      <c r="K2131" s="3" t="s">
        <v>123</v>
      </c>
      <c r="L2131" s="3" t="s">
        <v>124</v>
      </c>
      <c r="M2131" s="4">
        <v>19.99</v>
      </c>
    </row>
    <row r="2132">
      <c r="A2132" s="2">
        <v>45633</v>
      </c>
      <c r="B21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2" s="3" t="str">
        <f>YEAR(KMART_DATA[[#This Row],[Date]])&amp;"-"&amp;TEXT(MONTH(KMART_DATA[[#This Row],[Date]]),"00")</f>
        <v>2024-12</v>
      </c>
      <c r="D2132" s="3" t="s">
        <v>45</v>
      </c>
      <c r="E2132" s="3" t="s">
        <v>197</v>
      </c>
      <c r="F2132" s="3" t="s">
        <v>9</v>
      </c>
      <c r="G21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32" s="3" t="s">
        <v>198</v>
      </c>
      <c r="I2132" s="3" t="s">
        <v>31</v>
      </c>
      <c r="J2132" s="3" t="s">
        <v>107</v>
      </c>
      <c r="K2132" s="3" t="s">
        <v>95</v>
      </c>
      <c r="L2132" s="3" t="s">
        <v>96</v>
      </c>
      <c r="M2132" s="4">
        <v>65.93</v>
      </c>
    </row>
    <row r="2133">
      <c r="A2133" s="2">
        <v>45633</v>
      </c>
      <c r="B21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3" s="3" t="str">
        <f>YEAR(KMART_DATA[[#This Row],[Date]])&amp;"-"&amp;TEXT(MONTH(KMART_DATA[[#This Row],[Date]]),"00")</f>
        <v>2024-12</v>
      </c>
      <c r="D2133" s="3" t="s">
        <v>45</v>
      </c>
      <c r="E2133" s="3" t="s">
        <v>223</v>
      </c>
      <c r="F2133" s="3" t="s">
        <v>10</v>
      </c>
      <c r="G21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33" s="3" t="s">
        <v>224</v>
      </c>
      <c r="I2133" s="3" t="s">
        <v>31</v>
      </c>
      <c r="J2133" s="3" t="s">
        <v>94</v>
      </c>
      <c r="K2133" s="3" t="s">
        <v>46</v>
      </c>
      <c r="L2133" s="3" t="s">
        <v>47</v>
      </c>
      <c r="M2133" s="4">
        <v>98.9</v>
      </c>
    </row>
    <row r="2134">
      <c r="A2134" s="2">
        <v>45633</v>
      </c>
      <c r="B21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4" s="3" t="str">
        <f>YEAR(KMART_DATA[[#This Row],[Date]])&amp;"-"&amp;TEXT(MONTH(KMART_DATA[[#This Row],[Date]]),"00")</f>
        <v>2024-12</v>
      </c>
      <c r="D2134" s="3" t="s">
        <v>28</v>
      </c>
      <c r="E2134" s="3" t="s">
        <v>219</v>
      </c>
      <c r="F2134" s="3" t="s">
        <v>11</v>
      </c>
      <c r="G21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34" s="3" t="s">
        <v>220</v>
      </c>
      <c r="I2134" s="3" t="s">
        <v>31</v>
      </c>
      <c r="J2134" s="3" t="s">
        <v>56</v>
      </c>
      <c r="K2134" s="3" t="s">
        <v>33</v>
      </c>
      <c r="L2134" s="3" t="s">
        <v>34</v>
      </c>
      <c r="M2134" s="4">
        <v>168.66</v>
      </c>
    </row>
    <row r="2135">
      <c r="A2135" s="2">
        <v>45633</v>
      </c>
      <c r="B21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5" s="3" t="str">
        <f>YEAR(KMART_DATA[[#This Row],[Date]])&amp;"-"&amp;TEXT(MONTH(KMART_DATA[[#This Row],[Date]]),"00")</f>
        <v>2024-12</v>
      </c>
      <c r="D2135" s="3" t="s">
        <v>28</v>
      </c>
      <c r="E2135" s="3" t="s">
        <v>193</v>
      </c>
      <c r="F2135" s="3" t="s">
        <v>9</v>
      </c>
      <c r="G21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35" s="3" t="s">
        <v>194</v>
      </c>
      <c r="I2135" s="3" t="s">
        <v>31</v>
      </c>
      <c r="J2135" s="3" t="s">
        <v>99</v>
      </c>
      <c r="K2135" s="3" t="s">
        <v>71</v>
      </c>
      <c r="L2135" s="3" t="s">
        <v>72</v>
      </c>
      <c r="M2135" s="4">
        <v>1252.62</v>
      </c>
    </row>
    <row r="2136">
      <c r="A2136" s="2">
        <v>45634</v>
      </c>
      <c r="B21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6" s="3" t="str">
        <f>YEAR(KMART_DATA[[#This Row],[Date]])&amp;"-"&amp;TEXT(MONTH(KMART_DATA[[#This Row],[Date]]),"00")</f>
        <v>2024-12</v>
      </c>
      <c r="D2136" s="3" t="s">
        <v>28</v>
      </c>
      <c r="E2136" s="3" t="s">
        <v>146</v>
      </c>
      <c r="F2136" s="3" t="s">
        <v>9</v>
      </c>
      <c r="G21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36" s="3" t="s">
        <v>147</v>
      </c>
      <c r="I2136" s="3" t="s">
        <v>31</v>
      </c>
      <c r="J2136" s="3" t="s">
        <v>75</v>
      </c>
      <c r="K2136" s="3" t="s">
        <v>95</v>
      </c>
      <c r="L2136" s="3" t="s">
        <v>96</v>
      </c>
      <c r="M2136" s="4">
        <v>1.0</v>
      </c>
    </row>
    <row r="2137">
      <c r="A2137" s="2">
        <v>45634</v>
      </c>
      <c r="B21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7" s="3" t="str">
        <f>YEAR(KMART_DATA[[#This Row],[Date]])&amp;"-"&amp;TEXT(MONTH(KMART_DATA[[#This Row],[Date]]),"00")</f>
        <v>2024-12</v>
      </c>
      <c r="D2137" s="3" t="s">
        <v>45</v>
      </c>
      <c r="E2137" s="3" t="s">
        <v>103</v>
      </c>
      <c r="F2137" s="3" t="s">
        <v>12</v>
      </c>
      <c r="G21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37" s="3" t="s">
        <v>104</v>
      </c>
      <c r="I2137" s="3" t="s">
        <v>31</v>
      </c>
      <c r="J2137" s="3" t="s">
        <v>102</v>
      </c>
      <c r="K2137" s="3" t="s">
        <v>123</v>
      </c>
      <c r="L2137" s="3" t="s">
        <v>124</v>
      </c>
      <c r="M2137" s="4">
        <v>58.46</v>
      </c>
    </row>
    <row r="2138">
      <c r="A2138" s="2">
        <v>45634</v>
      </c>
      <c r="B21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8" s="3" t="str">
        <f>YEAR(KMART_DATA[[#This Row],[Date]])&amp;"-"&amp;TEXT(MONTH(KMART_DATA[[#This Row],[Date]]),"00")</f>
        <v>2024-12</v>
      </c>
      <c r="D2138" s="3" t="s">
        <v>45</v>
      </c>
      <c r="E2138" s="3" t="s">
        <v>125</v>
      </c>
      <c r="F2138" s="3" t="s">
        <v>10</v>
      </c>
      <c r="G21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38" s="3" t="s">
        <v>126</v>
      </c>
      <c r="I2138" s="3" t="s">
        <v>31</v>
      </c>
      <c r="J2138" s="3" t="s">
        <v>94</v>
      </c>
      <c r="K2138" s="3" t="s">
        <v>123</v>
      </c>
      <c r="L2138" s="3" t="s">
        <v>124</v>
      </c>
      <c r="M2138" s="4">
        <v>98.13</v>
      </c>
    </row>
    <row r="2139">
      <c r="A2139" s="2">
        <v>45634</v>
      </c>
      <c r="B21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39" s="3" t="str">
        <f>YEAR(KMART_DATA[[#This Row],[Date]])&amp;"-"&amp;TEXT(MONTH(KMART_DATA[[#This Row],[Date]]),"00")</f>
        <v>2024-12</v>
      </c>
      <c r="D2139" s="3" t="s">
        <v>28</v>
      </c>
      <c r="E2139" s="3" t="s">
        <v>193</v>
      </c>
      <c r="F2139" s="3" t="s">
        <v>9</v>
      </c>
      <c r="G21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39" s="3" t="s">
        <v>194</v>
      </c>
      <c r="I2139" s="3" t="s">
        <v>31</v>
      </c>
      <c r="J2139" s="3" t="s">
        <v>99</v>
      </c>
      <c r="K2139" s="3" t="s">
        <v>33</v>
      </c>
      <c r="L2139" s="3" t="s">
        <v>34</v>
      </c>
      <c r="M2139" s="4">
        <v>250.46</v>
      </c>
    </row>
    <row r="2140">
      <c r="A2140" s="2">
        <v>45634</v>
      </c>
      <c r="B21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0" s="3" t="str">
        <f>YEAR(KMART_DATA[[#This Row],[Date]])&amp;"-"&amp;TEXT(MONTH(KMART_DATA[[#This Row],[Date]]),"00")</f>
        <v>2024-12</v>
      </c>
      <c r="D2140" s="3" t="s">
        <v>45</v>
      </c>
      <c r="E2140" s="3" t="s">
        <v>179</v>
      </c>
      <c r="F2140" s="3" t="s">
        <v>9</v>
      </c>
      <c r="G21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40" s="3" t="s">
        <v>180</v>
      </c>
      <c r="I2140" s="3" t="s">
        <v>31</v>
      </c>
      <c r="J2140" s="3" t="s">
        <v>99</v>
      </c>
      <c r="K2140" s="3" t="s">
        <v>95</v>
      </c>
      <c r="L2140" s="3" t="s">
        <v>96</v>
      </c>
      <c r="M2140" s="4">
        <v>10021.37</v>
      </c>
    </row>
    <row r="2141">
      <c r="A2141" s="2">
        <v>45635</v>
      </c>
      <c r="B21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1" s="3" t="str">
        <f>YEAR(KMART_DATA[[#This Row],[Date]])&amp;"-"&amp;TEXT(MONTH(KMART_DATA[[#This Row],[Date]]),"00")</f>
        <v>2024-12</v>
      </c>
      <c r="D2141" s="3" t="s">
        <v>28</v>
      </c>
      <c r="E2141" s="3" t="s">
        <v>256</v>
      </c>
      <c r="F2141" s="3" t="s">
        <v>9</v>
      </c>
      <c r="G21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41" s="3" t="s">
        <v>257</v>
      </c>
      <c r="I2141" s="3" t="s">
        <v>31</v>
      </c>
      <c r="J2141" s="3" t="s">
        <v>70</v>
      </c>
      <c r="K2141" s="3" t="s">
        <v>46</v>
      </c>
      <c r="L2141" s="3" t="s">
        <v>47</v>
      </c>
      <c r="M2141" s="4">
        <v>5.1</v>
      </c>
    </row>
    <row r="2142">
      <c r="A2142" s="2">
        <v>45635</v>
      </c>
      <c r="B21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2" s="3" t="str">
        <f>YEAR(KMART_DATA[[#This Row],[Date]])&amp;"-"&amp;TEXT(MONTH(KMART_DATA[[#This Row],[Date]]),"00")</f>
        <v>2024-12</v>
      </c>
      <c r="D2142" s="3" t="s">
        <v>45</v>
      </c>
      <c r="E2142" s="3" t="s">
        <v>201</v>
      </c>
      <c r="F2142" s="3" t="s">
        <v>10</v>
      </c>
      <c r="G21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42" s="3" t="s">
        <v>202</v>
      </c>
      <c r="I2142" s="3" t="s">
        <v>31</v>
      </c>
      <c r="J2142" s="3" t="s">
        <v>89</v>
      </c>
      <c r="K2142" s="3" t="s">
        <v>112</v>
      </c>
      <c r="L2142" s="3" t="s">
        <v>113</v>
      </c>
      <c r="M2142" s="4">
        <v>65.88</v>
      </c>
    </row>
    <row r="2143">
      <c r="A2143" s="2">
        <v>45635</v>
      </c>
      <c r="B21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3" s="3" t="str">
        <f>YEAR(KMART_DATA[[#This Row],[Date]])&amp;"-"&amp;TEXT(MONTH(KMART_DATA[[#This Row],[Date]]),"00")</f>
        <v>2024-12</v>
      </c>
      <c r="D2143" s="3" t="s">
        <v>28</v>
      </c>
      <c r="E2143" s="3" t="s">
        <v>250</v>
      </c>
      <c r="F2143" s="3" t="s">
        <v>10</v>
      </c>
      <c r="G21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43" s="3" t="s">
        <v>251</v>
      </c>
      <c r="I2143" s="3" t="s">
        <v>31</v>
      </c>
      <c r="J2143" s="3" t="s">
        <v>37</v>
      </c>
      <c r="K2143" s="3" t="s">
        <v>71</v>
      </c>
      <c r="L2143" s="3" t="s">
        <v>72</v>
      </c>
      <c r="M2143" s="4">
        <v>4402.3</v>
      </c>
    </row>
    <row r="2144">
      <c r="A2144" s="2">
        <v>45636</v>
      </c>
      <c r="B21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4" s="3" t="str">
        <f>YEAR(KMART_DATA[[#This Row],[Date]])&amp;"-"&amp;TEXT(MONTH(KMART_DATA[[#This Row],[Date]]),"00")</f>
        <v>2024-12</v>
      </c>
      <c r="D2144" s="3" t="s">
        <v>28</v>
      </c>
      <c r="E2144" s="3" t="s">
        <v>97</v>
      </c>
      <c r="F2144" s="3" t="s">
        <v>9</v>
      </c>
      <c r="G21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44" s="3" t="s">
        <v>98</v>
      </c>
      <c r="I2144" s="3" t="s">
        <v>31</v>
      </c>
      <c r="J2144" s="3" t="s">
        <v>99</v>
      </c>
      <c r="K2144" s="3" t="s">
        <v>38</v>
      </c>
      <c r="L2144" s="3" t="s">
        <v>39</v>
      </c>
      <c r="M2144" s="4">
        <v>43.64</v>
      </c>
    </row>
    <row r="2145">
      <c r="A2145" s="2">
        <v>45636</v>
      </c>
      <c r="B21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5" s="3" t="str">
        <f>YEAR(KMART_DATA[[#This Row],[Date]])&amp;"-"&amp;TEXT(MONTH(KMART_DATA[[#This Row],[Date]]),"00")</f>
        <v>2024-12</v>
      </c>
      <c r="D2145" s="3" t="s">
        <v>28</v>
      </c>
      <c r="E2145" s="3" t="s">
        <v>127</v>
      </c>
      <c r="F2145" s="3" t="s">
        <v>11</v>
      </c>
      <c r="G21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45" s="3" t="s">
        <v>128</v>
      </c>
      <c r="I2145" s="3" t="s">
        <v>31</v>
      </c>
      <c r="J2145" s="3" t="s">
        <v>78</v>
      </c>
      <c r="K2145" s="3" t="s">
        <v>46</v>
      </c>
      <c r="L2145" s="3" t="s">
        <v>47</v>
      </c>
      <c r="M2145" s="4">
        <v>46.96</v>
      </c>
    </row>
    <row r="2146">
      <c r="A2146" s="2">
        <v>45636</v>
      </c>
      <c r="B21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6" s="3" t="str">
        <f>YEAR(KMART_DATA[[#This Row],[Date]])&amp;"-"&amp;TEXT(MONTH(KMART_DATA[[#This Row],[Date]]),"00")</f>
        <v>2024-12</v>
      </c>
      <c r="D2146" s="3" t="s">
        <v>28</v>
      </c>
      <c r="E2146" s="3" t="s">
        <v>189</v>
      </c>
      <c r="F2146" s="3" t="s">
        <v>9</v>
      </c>
      <c r="G21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46" s="3" t="s">
        <v>190</v>
      </c>
      <c r="I2146" s="3" t="s">
        <v>31</v>
      </c>
      <c r="J2146" s="3" t="s">
        <v>81</v>
      </c>
      <c r="K2146" s="3" t="s">
        <v>38</v>
      </c>
      <c r="L2146" s="3" t="s">
        <v>39</v>
      </c>
      <c r="M2146" s="4">
        <v>92.39</v>
      </c>
    </row>
    <row r="2147">
      <c r="A2147" s="2">
        <v>45636</v>
      </c>
      <c r="B21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7" s="3" t="str">
        <f>YEAR(KMART_DATA[[#This Row],[Date]])&amp;"-"&amp;TEXT(MONTH(KMART_DATA[[#This Row],[Date]]),"00")</f>
        <v>2024-12</v>
      </c>
      <c r="D2147" s="3" t="s">
        <v>28</v>
      </c>
      <c r="E2147" s="3" t="s">
        <v>48</v>
      </c>
      <c r="F2147" s="3" t="s">
        <v>12</v>
      </c>
      <c r="G21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47" s="3" t="s">
        <v>49</v>
      </c>
      <c r="I2147" s="3" t="s">
        <v>31</v>
      </c>
      <c r="J2147" s="3" t="s">
        <v>50</v>
      </c>
      <c r="K2147" s="3" t="s">
        <v>33</v>
      </c>
      <c r="L2147" s="3" t="s">
        <v>34</v>
      </c>
      <c r="M2147" s="4">
        <v>194.63</v>
      </c>
    </row>
    <row r="2148">
      <c r="A2148" s="2">
        <v>45636</v>
      </c>
      <c r="B21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8" s="3" t="str">
        <f>YEAR(KMART_DATA[[#This Row],[Date]])&amp;"-"&amp;TEXT(MONTH(KMART_DATA[[#This Row],[Date]]),"00")</f>
        <v>2024-12</v>
      </c>
      <c r="D2148" s="3" t="s">
        <v>28</v>
      </c>
      <c r="E2148" s="3" t="s">
        <v>217</v>
      </c>
      <c r="F2148" s="3" t="s">
        <v>10</v>
      </c>
      <c r="G21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48" s="3" t="s">
        <v>218</v>
      </c>
      <c r="I2148" s="3" t="s">
        <v>31</v>
      </c>
      <c r="J2148" s="3" t="s">
        <v>89</v>
      </c>
      <c r="K2148" s="3" t="s">
        <v>38</v>
      </c>
      <c r="L2148" s="3" t="s">
        <v>39</v>
      </c>
      <c r="M2148" s="4">
        <v>237.59</v>
      </c>
    </row>
    <row r="2149">
      <c r="A2149" s="2">
        <v>45636</v>
      </c>
      <c r="B21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49" s="3" t="str">
        <f>YEAR(KMART_DATA[[#This Row],[Date]])&amp;"-"&amp;TEXT(MONTH(KMART_DATA[[#This Row],[Date]]),"00")</f>
        <v>2024-12</v>
      </c>
      <c r="D2149" s="3" t="s">
        <v>28</v>
      </c>
      <c r="E2149" s="3" t="s">
        <v>51</v>
      </c>
      <c r="F2149" s="3" t="s">
        <v>15</v>
      </c>
      <c r="G21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149" s="3" t="s">
        <v>52</v>
      </c>
      <c r="I2149" s="3" t="s">
        <v>31</v>
      </c>
      <c r="J2149" s="3" t="s">
        <v>53</v>
      </c>
      <c r="K2149" s="3" t="s">
        <v>46</v>
      </c>
      <c r="L2149" s="3" t="s">
        <v>47</v>
      </c>
      <c r="M2149" s="4">
        <v>401.71</v>
      </c>
    </row>
    <row r="2150">
      <c r="A2150" s="2">
        <v>45637</v>
      </c>
      <c r="B21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0" s="3" t="str">
        <f>YEAR(KMART_DATA[[#This Row],[Date]])&amp;"-"&amp;TEXT(MONTH(KMART_DATA[[#This Row],[Date]]),"00")</f>
        <v>2024-12</v>
      </c>
      <c r="D2150" s="3" t="s">
        <v>28</v>
      </c>
      <c r="E2150" s="3" t="s">
        <v>146</v>
      </c>
      <c r="F2150" s="3" t="s">
        <v>9</v>
      </c>
      <c r="G21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50" s="3" t="s">
        <v>147</v>
      </c>
      <c r="I2150" s="3" t="s">
        <v>31</v>
      </c>
      <c r="J2150" s="3" t="s">
        <v>75</v>
      </c>
      <c r="K2150" s="3" t="s">
        <v>71</v>
      </c>
      <c r="L2150" s="3" t="s">
        <v>72</v>
      </c>
      <c r="M2150" s="4">
        <v>7.0</v>
      </c>
    </row>
    <row r="2151">
      <c r="A2151" s="2">
        <v>45637</v>
      </c>
      <c r="B21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1" s="3" t="str">
        <f>YEAR(KMART_DATA[[#This Row],[Date]])&amp;"-"&amp;TEXT(MONTH(KMART_DATA[[#This Row],[Date]]),"00")</f>
        <v>2024-12</v>
      </c>
      <c r="D2151" s="3" t="s">
        <v>45</v>
      </c>
      <c r="E2151" s="3" t="s">
        <v>181</v>
      </c>
      <c r="F2151" s="3" t="s">
        <v>11</v>
      </c>
      <c r="G21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51" s="3" t="s">
        <v>182</v>
      </c>
      <c r="I2151" s="3" t="s">
        <v>31</v>
      </c>
      <c r="J2151" s="3" t="s">
        <v>56</v>
      </c>
      <c r="K2151" s="3" t="s">
        <v>71</v>
      </c>
      <c r="L2151" s="3" t="s">
        <v>72</v>
      </c>
      <c r="M2151" s="4">
        <v>27.97</v>
      </c>
    </row>
    <row r="2152">
      <c r="A2152" s="2">
        <v>45637</v>
      </c>
      <c r="B21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2" s="3" t="str">
        <f>YEAR(KMART_DATA[[#This Row],[Date]])&amp;"-"&amp;TEXT(MONTH(KMART_DATA[[#This Row],[Date]]),"00")</f>
        <v>2024-12</v>
      </c>
      <c r="D2152" s="3" t="s">
        <v>45</v>
      </c>
      <c r="E2152" s="3" t="s">
        <v>187</v>
      </c>
      <c r="F2152" s="3" t="s">
        <v>11</v>
      </c>
      <c r="G21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52" s="3" t="s">
        <v>188</v>
      </c>
      <c r="I2152" s="3" t="s">
        <v>31</v>
      </c>
      <c r="J2152" s="3" t="s">
        <v>78</v>
      </c>
      <c r="K2152" s="3" t="s">
        <v>46</v>
      </c>
      <c r="L2152" s="3" t="s">
        <v>47</v>
      </c>
      <c r="M2152" s="4">
        <v>215.89</v>
      </c>
    </row>
    <row r="2153">
      <c r="A2153" s="2">
        <v>45637</v>
      </c>
      <c r="B21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3" s="3" t="str">
        <f>YEAR(KMART_DATA[[#This Row],[Date]])&amp;"-"&amp;TEXT(MONTH(KMART_DATA[[#This Row],[Date]]),"00")</f>
        <v>2024-12</v>
      </c>
      <c r="D2153" s="3" t="s">
        <v>45</v>
      </c>
      <c r="E2153" s="3" t="s">
        <v>163</v>
      </c>
      <c r="F2153" s="3" t="s">
        <v>9</v>
      </c>
      <c r="G21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53" s="3" t="s">
        <v>164</v>
      </c>
      <c r="I2153" s="3" t="s">
        <v>31</v>
      </c>
      <c r="J2153" s="3" t="s">
        <v>81</v>
      </c>
      <c r="K2153" s="3" t="s">
        <v>95</v>
      </c>
      <c r="L2153" s="3" t="s">
        <v>96</v>
      </c>
      <c r="M2153" s="4">
        <v>485.62</v>
      </c>
    </row>
    <row r="2154">
      <c r="A2154" s="2">
        <v>45637</v>
      </c>
      <c r="B21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4" s="3" t="str">
        <f>YEAR(KMART_DATA[[#This Row],[Date]])&amp;"-"&amp;TEXT(MONTH(KMART_DATA[[#This Row],[Date]]),"00")</f>
        <v>2024-12</v>
      </c>
      <c r="D2154" s="3" t="s">
        <v>28</v>
      </c>
      <c r="E2154" s="3" t="s">
        <v>154</v>
      </c>
      <c r="F2154" s="3" t="s">
        <v>11</v>
      </c>
      <c r="G21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54" s="3" t="s">
        <v>155</v>
      </c>
      <c r="I2154" s="3" t="s">
        <v>31</v>
      </c>
      <c r="J2154" s="3" t="s">
        <v>84</v>
      </c>
      <c r="K2154" s="3" t="s">
        <v>57</v>
      </c>
      <c r="L2154" s="3" t="s">
        <v>58</v>
      </c>
      <c r="M2154" s="4">
        <v>3857.24</v>
      </c>
    </row>
    <row r="2155">
      <c r="A2155" s="2">
        <v>45638</v>
      </c>
      <c r="B21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5" s="3" t="str">
        <f>YEAR(KMART_DATA[[#This Row],[Date]])&amp;"-"&amp;TEXT(MONTH(KMART_DATA[[#This Row],[Date]]),"00")</f>
        <v>2024-12</v>
      </c>
      <c r="D2155" s="3" t="s">
        <v>45</v>
      </c>
      <c r="E2155" s="3" t="s">
        <v>48</v>
      </c>
      <c r="F2155" s="3" t="s">
        <v>12</v>
      </c>
      <c r="G21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55" s="3" t="s">
        <v>49</v>
      </c>
      <c r="I2155" s="3" t="s">
        <v>31</v>
      </c>
      <c r="J2155" s="3" t="s">
        <v>50</v>
      </c>
      <c r="K2155" s="3" t="s">
        <v>71</v>
      </c>
      <c r="L2155" s="3" t="s">
        <v>72</v>
      </c>
      <c r="M2155" s="4">
        <v>10.98</v>
      </c>
    </row>
    <row r="2156">
      <c r="A2156" s="2">
        <v>45638</v>
      </c>
      <c r="B21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6" s="3" t="str">
        <f>YEAR(KMART_DATA[[#This Row],[Date]])&amp;"-"&amp;TEXT(MONTH(KMART_DATA[[#This Row],[Date]]),"00")</f>
        <v>2024-12</v>
      </c>
      <c r="D2156" s="3" t="s">
        <v>28</v>
      </c>
      <c r="E2156" s="3" t="s">
        <v>40</v>
      </c>
      <c r="F2156" s="3" t="s">
        <v>13</v>
      </c>
      <c r="G21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156" s="3" t="s">
        <v>41</v>
      </c>
      <c r="I2156" s="3" t="s">
        <v>31</v>
      </c>
      <c r="J2156" s="3" t="s">
        <v>42</v>
      </c>
      <c r="K2156" s="3" t="s">
        <v>123</v>
      </c>
      <c r="L2156" s="3" t="s">
        <v>124</v>
      </c>
      <c r="M2156" s="4">
        <v>85.86</v>
      </c>
    </row>
    <row r="2157">
      <c r="A2157" s="2">
        <v>45638</v>
      </c>
      <c r="B21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7" s="3" t="str">
        <f>YEAR(KMART_DATA[[#This Row],[Date]])&amp;"-"&amp;TEXT(MONTH(KMART_DATA[[#This Row],[Date]]),"00")</f>
        <v>2024-12</v>
      </c>
      <c r="D2157" s="3" t="s">
        <v>45</v>
      </c>
      <c r="E2157" s="3" t="s">
        <v>181</v>
      </c>
      <c r="F2157" s="3" t="s">
        <v>11</v>
      </c>
      <c r="G21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57" s="3" t="s">
        <v>182</v>
      </c>
      <c r="I2157" s="3" t="s">
        <v>31</v>
      </c>
      <c r="J2157" s="3" t="s">
        <v>56</v>
      </c>
      <c r="K2157" s="3" t="s">
        <v>38</v>
      </c>
      <c r="L2157" s="3" t="s">
        <v>39</v>
      </c>
      <c r="M2157" s="4">
        <v>228.73</v>
      </c>
    </row>
    <row r="2158">
      <c r="A2158" s="2">
        <v>45638</v>
      </c>
      <c r="B21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8" s="3" t="str">
        <f>YEAR(KMART_DATA[[#This Row],[Date]])&amp;"-"&amp;TEXT(MONTH(KMART_DATA[[#This Row],[Date]]),"00")</f>
        <v>2024-12</v>
      </c>
      <c r="D2158" s="3" t="s">
        <v>45</v>
      </c>
      <c r="E2158" s="3" t="s">
        <v>116</v>
      </c>
      <c r="F2158" s="3" t="s">
        <v>9</v>
      </c>
      <c r="G21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58" s="3" t="s">
        <v>117</v>
      </c>
      <c r="I2158" s="3" t="s">
        <v>31</v>
      </c>
      <c r="J2158" s="3" t="s">
        <v>70</v>
      </c>
      <c r="K2158" s="3" t="s">
        <v>71</v>
      </c>
      <c r="L2158" s="3" t="s">
        <v>72</v>
      </c>
      <c r="M2158" s="4">
        <v>367.46</v>
      </c>
    </row>
    <row r="2159">
      <c r="A2159" s="2">
        <v>45638</v>
      </c>
      <c r="B21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59" s="3" t="str">
        <f>YEAR(KMART_DATA[[#This Row],[Date]])&amp;"-"&amp;TEXT(MONTH(KMART_DATA[[#This Row],[Date]]),"00")</f>
        <v>2024-12</v>
      </c>
      <c r="D2159" s="3" t="s">
        <v>45</v>
      </c>
      <c r="E2159" s="3" t="s">
        <v>143</v>
      </c>
      <c r="F2159" s="3" t="s">
        <v>14</v>
      </c>
      <c r="G21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159" s="3" t="s">
        <v>144</v>
      </c>
      <c r="I2159" s="3" t="s">
        <v>31</v>
      </c>
      <c r="J2159" s="3" t="s">
        <v>145</v>
      </c>
      <c r="K2159" s="3" t="s">
        <v>123</v>
      </c>
      <c r="L2159" s="3" t="s">
        <v>124</v>
      </c>
      <c r="M2159" s="4">
        <v>605.63</v>
      </c>
    </row>
    <row r="2160">
      <c r="A2160" s="2">
        <v>45638</v>
      </c>
      <c r="B21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0" s="3" t="str">
        <f>YEAR(KMART_DATA[[#This Row],[Date]])&amp;"-"&amp;TEXT(MONTH(KMART_DATA[[#This Row],[Date]]),"00")</f>
        <v>2024-12</v>
      </c>
      <c r="D2160" s="3" t="s">
        <v>28</v>
      </c>
      <c r="E2160" s="3" t="s">
        <v>51</v>
      </c>
      <c r="F2160" s="3" t="s">
        <v>15</v>
      </c>
      <c r="G21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160" s="3" t="s">
        <v>52</v>
      </c>
      <c r="I2160" s="3" t="s">
        <v>31</v>
      </c>
      <c r="J2160" s="3" t="s">
        <v>53</v>
      </c>
      <c r="K2160" s="3" t="s">
        <v>95</v>
      </c>
      <c r="L2160" s="3" t="s">
        <v>96</v>
      </c>
      <c r="M2160" s="4">
        <v>625.03</v>
      </c>
    </row>
    <row r="2161">
      <c r="A2161" s="2">
        <v>45638</v>
      </c>
      <c r="B21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1" s="3" t="str">
        <f>YEAR(KMART_DATA[[#This Row],[Date]])&amp;"-"&amp;TEXT(MONTH(KMART_DATA[[#This Row],[Date]]),"00")</f>
        <v>2024-12</v>
      </c>
      <c r="D2161" s="3" t="s">
        <v>28</v>
      </c>
      <c r="E2161" s="3" t="s">
        <v>232</v>
      </c>
      <c r="F2161" s="3" t="s">
        <v>9</v>
      </c>
      <c r="G21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61" s="3" t="s">
        <v>233</v>
      </c>
      <c r="I2161" s="3" t="s">
        <v>31</v>
      </c>
      <c r="J2161" s="3" t="s">
        <v>75</v>
      </c>
      <c r="K2161" s="3" t="s">
        <v>123</v>
      </c>
      <c r="L2161" s="3" t="s">
        <v>124</v>
      </c>
      <c r="M2161" s="4">
        <v>2593.02</v>
      </c>
    </row>
    <row r="2162">
      <c r="A2162" s="2">
        <v>45639</v>
      </c>
      <c r="B21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2" s="3" t="str">
        <f>YEAR(KMART_DATA[[#This Row],[Date]])&amp;"-"&amp;TEXT(MONTH(KMART_DATA[[#This Row],[Date]]),"00")</f>
        <v>2024-12</v>
      </c>
      <c r="D2162" s="3" t="s">
        <v>28</v>
      </c>
      <c r="E2162" s="3" t="s">
        <v>169</v>
      </c>
      <c r="F2162" s="3" t="s">
        <v>12</v>
      </c>
      <c r="G21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62" s="3" t="s">
        <v>170</v>
      </c>
      <c r="I2162" s="3" t="s">
        <v>31</v>
      </c>
      <c r="J2162" s="3" t="s">
        <v>102</v>
      </c>
      <c r="K2162" s="3" t="s">
        <v>43</v>
      </c>
      <c r="L2162" s="3" t="s">
        <v>44</v>
      </c>
      <c r="M2162" s="4">
        <v>10.0</v>
      </c>
    </row>
    <row r="2163">
      <c r="A2163" s="2">
        <v>45639</v>
      </c>
      <c r="B21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3" s="3" t="str">
        <f>YEAR(KMART_DATA[[#This Row],[Date]])&amp;"-"&amp;TEXT(MONTH(KMART_DATA[[#This Row],[Date]]),"00")</f>
        <v>2024-12</v>
      </c>
      <c r="D2163" s="3" t="s">
        <v>28</v>
      </c>
      <c r="E2163" s="3" t="s">
        <v>121</v>
      </c>
      <c r="F2163" s="3" t="s">
        <v>11</v>
      </c>
      <c r="G21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63" s="3" t="s">
        <v>122</v>
      </c>
      <c r="I2163" s="3" t="s">
        <v>31</v>
      </c>
      <c r="J2163" s="3" t="s">
        <v>84</v>
      </c>
      <c r="K2163" s="3" t="s">
        <v>43</v>
      </c>
      <c r="L2163" s="3" t="s">
        <v>44</v>
      </c>
      <c r="M2163" s="4">
        <v>31.5</v>
      </c>
    </row>
    <row r="2164">
      <c r="A2164" s="2">
        <v>45640</v>
      </c>
      <c r="B21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4" s="3" t="str">
        <f>YEAR(KMART_DATA[[#This Row],[Date]])&amp;"-"&amp;TEXT(MONTH(KMART_DATA[[#This Row],[Date]]),"00")</f>
        <v>2024-12</v>
      </c>
      <c r="D2164" s="3" t="s">
        <v>45</v>
      </c>
      <c r="E2164" s="3" t="s">
        <v>59</v>
      </c>
      <c r="F2164" s="3" t="s">
        <v>11</v>
      </c>
      <c r="G21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64" s="3" t="s">
        <v>60</v>
      </c>
      <c r="I2164" s="3" t="s">
        <v>31</v>
      </c>
      <c r="J2164" s="3" t="s">
        <v>61</v>
      </c>
      <c r="K2164" s="3" t="s">
        <v>66</v>
      </c>
      <c r="L2164" s="3" t="s">
        <v>67</v>
      </c>
      <c r="M2164" s="4">
        <v>26.41</v>
      </c>
    </row>
    <row r="2165">
      <c r="A2165" s="2">
        <v>45640</v>
      </c>
      <c r="B21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5" s="3" t="str">
        <f>YEAR(KMART_DATA[[#This Row],[Date]])&amp;"-"&amp;TEXT(MONTH(KMART_DATA[[#This Row],[Date]]),"00")</f>
        <v>2024-12</v>
      </c>
      <c r="D2165" s="3" t="s">
        <v>28</v>
      </c>
      <c r="E2165" s="3" t="s">
        <v>125</v>
      </c>
      <c r="F2165" s="3" t="s">
        <v>10</v>
      </c>
      <c r="G21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65" s="3" t="s">
        <v>126</v>
      </c>
      <c r="I2165" s="3" t="s">
        <v>31</v>
      </c>
      <c r="J2165" s="3" t="s">
        <v>94</v>
      </c>
      <c r="K2165" s="3" t="s">
        <v>95</v>
      </c>
      <c r="L2165" s="3" t="s">
        <v>96</v>
      </c>
      <c r="M2165" s="4">
        <v>882.53</v>
      </c>
    </row>
    <row r="2166">
      <c r="A2166" s="2">
        <v>45641</v>
      </c>
      <c r="B21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6" s="3" t="str">
        <f>YEAR(KMART_DATA[[#This Row],[Date]])&amp;"-"&amp;TEXT(MONTH(KMART_DATA[[#This Row],[Date]]),"00")</f>
        <v>2024-12</v>
      </c>
      <c r="D2166" s="3" t="s">
        <v>45</v>
      </c>
      <c r="E2166" s="3" t="s">
        <v>246</v>
      </c>
      <c r="F2166" s="3" t="s">
        <v>10</v>
      </c>
      <c r="G21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66" s="3" t="s">
        <v>247</v>
      </c>
      <c r="I2166" s="3" t="s">
        <v>31</v>
      </c>
      <c r="J2166" s="3" t="s">
        <v>37</v>
      </c>
      <c r="K2166" s="3" t="s">
        <v>33</v>
      </c>
      <c r="L2166" s="3" t="s">
        <v>34</v>
      </c>
      <c r="M2166" s="4">
        <v>2.0</v>
      </c>
    </row>
    <row r="2167">
      <c r="A2167" s="2">
        <v>45641</v>
      </c>
      <c r="B21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7" s="3" t="str">
        <f>YEAR(KMART_DATA[[#This Row],[Date]])&amp;"-"&amp;TEXT(MONTH(KMART_DATA[[#This Row],[Date]]),"00")</f>
        <v>2024-12</v>
      </c>
      <c r="D2167" s="3" t="s">
        <v>28</v>
      </c>
      <c r="E2167" s="3" t="s">
        <v>167</v>
      </c>
      <c r="F2167" s="3" t="s">
        <v>12</v>
      </c>
      <c r="G21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67" s="3" t="s">
        <v>168</v>
      </c>
      <c r="I2167" s="3" t="s">
        <v>31</v>
      </c>
      <c r="J2167" s="3" t="s">
        <v>102</v>
      </c>
      <c r="K2167" s="3" t="s">
        <v>43</v>
      </c>
      <c r="L2167" s="3" t="s">
        <v>44</v>
      </c>
      <c r="M2167" s="4">
        <v>15.5</v>
      </c>
    </row>
    <row r="2168">
      <c r="A2168" s="2">
        <v>45641</v>
      </c>
      <c r="B21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8" s="3" t="str">
        <f>YEAR(KMART_DATA[[#This Row],[Date]])&amp;"-"&amp;TEXT(MONTH(KMART_DATA[[#This Row],[Date]]),"00")</f>
        <v>2024-12</v>
      </c>
      <c r="D2168" s="3" t="s">
        <v>45</v>
      </c>
      <c r="E2168" s="3" t="s">
        <v>167</v>
      </c>
      <c r="F2168" s="3" t="s">
        <v>12</v>
      </c>
      <c r="G21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68" s="3" t="s">
        <v>168</v>
      </c>
      <c r="I2168" s="3" t="s">
        <v>31</v>
      </c>
      <c r="J2168" s="3" t="s">
        <v>102</v>
      </c>
      <c r="K2168" s="3" t="s">
        <v>71</v>
      </c>
      <c r="L2168" s="3" t="s">
        <v>72</v>
      </c>
      <c r="M2168" s="4">
        <v>32.46</v>
      </c>
    </row>
    <row r="2169">
      <c r="A2169" s="2">
        <v>45641</v>
      </c>
      <c r="B21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69" s="3" t="str">
        <f>YEAR(KMART_DATA[[#This Row],[Date]])&amp;"-"&amp;TEXT(MONTH(KMART_DATA[[#This Row],[Date]]),"00")</f>
        <v>2024-12</v>
      </c>
      <c r="D2169" s="3" t="s">
        <v>28</v>
      </c>
      <c r="E2169" s="3" t="s">
        <v>183</v>
      </c>
      <c r="F2169" s="3" t="s">
        <v>9</v>
      </c>
      <c r="G21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69" s="3" t="s">
        <v>184</v>
      </c>
      <c r="I2169" s="3" t="s">
        <v>31</v>
      </c>
      <c r="J2169" s="3" t="s">
        <v>70</v>
      </c>
      <c r="K2169" s="3" t="s">
        <v>46</v>
      </c>
      <c r="L2169" s="3" t="s">
        <v>47</v>
      </c>
      <c r="M2169" s="4">
        <v>60.2</v>
      </c>
    </row>
    <row r="2170">
      <c r="A2170" s="2">
        <v>45641</v>
      </c>
      <c r="B21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0" s="3" t="str">
        <f>YEAR(KMART_DATA[[#This Row],[Date]])&amp;"-"&amp;TEXT(MONTH(KMART_DATA[[#This Row],[Date]]),"00")</f>
        <v>2024-12</v>
      </c>
      <c r="D2170" s="3" t="s">
        <v>28</v>
      </c>
      <c r="E2170" s="3" t="s">
        <v>173</v>
      </c>
      <c r="F2170" s="3" t="s">
        <v>11</v>
      </c>
      <c r="G21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70" s="3" t="s">
        <v>174</v>
      </c>
      <c r="I2170" s="3" t="s">
        <v>31</v>
      </c>
      <c r="J2170" s="3" t="s">
        <v>61</v>
      </c>
      <c r="K2170" s="3" t="s">
        <v>123</v>
      </c>
      <c r="L2170" s="3" t="s">
        <v>124</v>
      </c>
      <c r="M2170" s="4">
        <v>93.85</v>
      </c>
    </row>
    <row r="2171">
      <c r="A2171" s="2">
        <v>45641</v>
      </c>
      <c r="B21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1" s="3" t="str">
        <f>YEAR(KMART_DATA[[#This Row],[Date]])&amp;"-"&amp;TEXT(MONTH(KMART_DATA[[#This Row],[Date]]),"00")</f>
        <v>2024-12</v>
      </c>
      <c r="D2171" s="3" t="s">
        <v>28</v>
      </c>
      <c r="E2171" s="3" t="s">
        <v>219</v>
      </c>
      <c r="F2171" s="3" t="s">
        <v>11</v>
      </c>
      <c r="G21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71" s="3" t="s">
        <v>220</v>
      </c>
      <c r="I2171" s="3" t="s">
        <v>31</v>
      </c>
      <c r="J2171" s="3" t="s">
        <v>56</v>
      </c>
      <c r="K2171" s="3" t="s">
        <v>38</v>
      </c>
      <c r="L2171" s="3" t="s">
        <v>39</v>
      </c>
      <c r="M2171" s="4">
        <v>261.46</v>
      </c>
    </row>
    <row r="2172">
      <c r="A2172" s="2">
        <v>45641</v>
      </c>
      <c r="B21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2" s="3" t="str">
        <f>YEAR(KMART_DATA[[#This Row],[Date]])&amp;"-"&amp;TEXT(MONTH(KMART_DATA[[#This Row],[Date]]),"00")</f>
        <v>2024-12</v>
      </c>
      <c r="D2172" s="3" t="s">
        <v>28</v>
      </c>
      <c r="E2172" s="3" t="s">
        <v>121</v>
      </c>
      <c r="F2172" s="3" t="s">
        <v>11</v>
      </c>
      <c r="G21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72" s="3" t="s">
        <v>122</v>
      </c>
      <c r="I2172" s="3" t="s">
        <v>31</v>
      </c>
      <c r="J2172" s="3" t="s">
        <v>84</v>
      </c>
      <c r="K2172" s="3" t="s">
        <v>71</v>
      </c>
      <c r="L2172" s="3" t="s">
        <v>72</v>
      </c>
      <c r="M2172" s="4">
        <v>279.74</v>
      </c>
    </row>
    <row r="2173">
      <c r="A2173" s="2">
        <v>45641</v>
      </c>
      <c r="B21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3" s="3" t="str">
        <f>YEAR(KMART_DATA[[#This Row],[Date]])&amp;"-"&amp;TEXT(MONTH(KMART_DATA[[#This Row],[Date]]),"00")</f>
        <v>2024-12</v>
      </c>
      <c r="D2173" s="3" t="s">
        <v>28</v>
      </c>
      <c r="E2173" s="3" t="s">
        <v>248</v>
      </c>
      <c r="F2173" s="3" t="s">
        <v>12</v>
      </c>
      <c r="G21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73" s="3" t="s">
        <v>249</v>
      </c>
      <c r="I2173" s="3" t="s">
        <v>31</v>
      </c>
      <c r="J2173" s="3" t="s">
        <v>162</v>
      </c>
      <c r="K2173" s="3" t="s">
        <v>57</v>
      </c>
      <c r="L2173" s="3" t="s">
        <v>58</v>
      </c>
      <c r="M2173" s="4">
        <v>430.81</v>
      </c>
    </row>
    <row r="2174">
      <c r="A2174" s="2">
        <v>45641</v>
      </c>
      <c r="B21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4" s="3" t="str">
        <f>YEAR(KMART_DATA[[#This Row],[Date]])&amp;"-"&amp;TEXT(MONTH(KMART_DATA[[#This Row],[Date]]),"00")</f>
        <v>2024-12</v>
      </c>
      <c r="D2174" s="3" t="s">
        <v>28</v>
      </c>
      <c r="E2174" s="3" t="s">
        <v>175</v>
      </c>
      <c r="F2174" s="3" t="s">
        <v>16</v>
      </c>
      <c r="G21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174" s="3" t="s">
        <v>176</v>
      </c>
      <c r="I2174" s="3" t="s">
        <v>31</v>
      </c>
      <c r="J2174" s="3" t="s">
        <v>107</v>
      </c>
      <c r="K2174" s="3" t="s">
        <v>46</v>
      </c>
      <c r="L2174" s="3" t="s">
        <v>47</v>
      </c>
      <c r="M2174" s="4">
        <v>747.34</v>
      </c>
    </row>
    <row r="2175">
      <c r="A2175" s="2">
        <v>45642</v>
      </c>
      <c r="B21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5" s="3" t="str">
        <f>YEAR(KMART_DATA[[#This Row],[Date]])&amp;"-"&amp;TEXT(MONTH(KMART_DATA[[#This Row],[Date]]),"00")</f>
        <v>2024-12</v>
      </c>
      <c r="D2175" s="3" t="s">
        <v>28</v>
      </c>
      <c r="E2175" s="3" t="s">
        <v>82</v>
      </c>
      <c r="F2175" s="3" t="s">
        <v>11</v>
      </c>
      <c r="G21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75" s="3" t="s">
        <v>83</v>
      </c>
      <c r="I2175" s="3" t="s">
        <v>31</v>
      </c>
      <c r="J2175" s="3" t="s">
        <v>84</v>
      </c>
      <c r="K2175" s="3" t="s">
        <v>43</v>
      </c>
      <c r="L2175" s="3" t="s">
        <v>44</v>
      </c>
      <c r="M2175" s="4">
        <v>25.19</v>
      </c>
    </row>
    <row r="2176">
      <c r="A2176" s="2">
        <v>45642</v>
      </c>
      <c r="B21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6" s="3" t="str">
        <f>YEAR(KMART_DATA[[#This Row],[Date]])&amp;"-"&amp;TEXT(MONTH(KMART_DATA[[#This Row],[Date]]),"00")</f>
        <v>2024-12</v>
      </c>
      <c r="D2176" s="3" t="s">
        <v>28</v>
      </c>
      <c r="E2176" s="3" t="s">
        <v>141</v>
      </c>
      <c r="F2176" s="3" t="s">
        <v>9</v>
      </c>
      <c r="G21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76" s="3" t="s">
        <v>142</v>
      </c>
      <c r="I2176" s="3" t="s">
        <v>31</v>
      </c>
      <c r="J2176" s="3" t="s">
        <v>107</v>
      </c>
      <c r="K2176" s="3" t="s">
        <v>43</v>
      </c>
      <c r="L2176" s="3" t="s">
        <v>44</v>
      </c>
      <c r="M2176" s="4">
        <v>50.0</v>
      </c>
    </row>
    <row r="2177">
      <c r="A2177" s="2">
        <v>45642</v>
      </c>
      <c r="B21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7" s="3" t="str">
        <f>YEAR(KMART_DATA[[#This Row],[Date]])&amp;"-"&amp;TEXT(MONTH(KMART_DATA[[#This Row],[Date]]),"00")</f>
        <v>2024-12</v>
      </c>
      <c r="D2177" s="3" t="s">
        <v>45</v>
      </c>
      <c r="E2177" s="3" t="s">
        <v>133</v>
      </c>
      <c r="F2177" s="3" t="s">
        <v>10</v>
      </c>
      <c r="G21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77" s="3" t="s">
        <v>134</v>
      </c>
      <c r="I2177" s="3" t="s">
        <v>31</v>
      </c>
      <c r="J2177" s="3" t="s">
        <v>37</v>
      </c>
      <c r="K2177" s="3" t="s">
        <v>46</v>
      </c>
      <c r="L2177" s="3" t="s">
        <v>47</v>
      </c>
      <c r="M2177" s="4">
        <v>51.96</v>
      </c>
    </row>
    <row r="2178">
      <c r="A2178" s="2">
        <v>45642</v>
      </c>
      <c r="B21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8" s="3" t="str">
        <f>YEAR(KMART_DATA[[#This Row],[Date]])&amp;"-"&amp;TEXT(MONTH(KMART_DATA[[#This Row],[Date]]),"00")</f>
        <v>2024-12</v>
      </c>
      <c r="D2178" s="3" t="s">
        <v>45</v>
      </c>
      <c r="E2178" s="3" t="s">
        <v>146</v>
      </c>
      <c r="F2178" s="3" t="s">
        <v>9</v>
      </c>
      <c r="G21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78" s="3" t="s">
        <v>147</v>
      </c>
      <c r="I2178" s="3" t="s">
        <v>31</v>
      </c>
      <c r="J2178" s="3" t="s">
        <v>75</v>
      </c>
      <c r="K2178" s="3" t="s">
        <v>46</v>
      </c>
      <c r="L2178" s="3" t="s">
        <v>47</v>
      </c>
      <c r="M2178" s="4">
        <v>115.92</v>
      </c>
    </row>
    <row r="2179">
      <c r="A2179" s="2">
        <v>45643</v>
      </c>
      <c r="B21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79" s="3" t="str">
        <f>YEAR(KMART_DATA[[#This Row],[Date]])&amp;"-"&amp;TEXT(MONTH(KMART_DATA[[#This Row],[Date]]),"00")</f>
        <v>2024-12</v>
      </c>
      <c r="D2179" s="3" t="s">
        <v>28</v>
      </c>
      <c r="E2179" s="3" t="s">
        <v>256</v>
      </c>
      <c r="F2179" s="3" t="s">
        <v>9</v>
      </c>
      <c r="G21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79" s="3" t="s">
        <v>257</v>
      </c>
      <c r="I2179" s="3" t="s">
        <v>31</v>
      </c>
      <c r="J2179" s="3" t="s">
        <v>70</v>
      </c>
      <c r="K2179" s="3" t="s">
        <v>33</v>
      </c>
      <c r="L2179" s="3" t="s">
        <v>34</v>
      </c>
      <c r="M2179" s="4">
        <v>6.96</v>
      </c>
    </row>
    <row r="2180">
      <c r="A2180" s="2">
        <v>45643</v>
      </c>
      <c r="B21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0" s="3" t="str">
        <f>YEAR(KMART_DATA[[#This Row],[Date]])&amp;"-"&amp;TEXT(MONTH(KMART_DATA[[#This Row],[Date]]),"00")</f>
        <v>2024-12</v>
      </c>
      <c r="D2180" s="3" t="s">
        <v>28</v>
      </c>
      <c r="E2180" s="3" t="s">
        <v>234</v>
      </c>
      <c r="F2180" s="3" t="s">
        <v>9</v>
      </c>
      <c r="G21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80" s="3" t="s">
        <v>235</v>
      </c>
      <c r="I2180" s="3" t="s">
        <v>31</v>
      </c>
      <c r="J2180" s="3" t="s">
        <v>81</v>
      </c>
      <c r="K2180" s="3" t="s">
        <v>46</v>
      </c>
      <c r="L2180" s="3" t="s">
        <v>47</v>
      </c>
      <c r="M2180" s="4">
        <v>16.0</v>
      </c>
    </row>
    <row r="2181">
      <c r="A2181" s="2">
        <v>45643</v>
      </c>
      <c r="B21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1" s="3" t="str">
        <f>YEAR(KMART_DATA[[#This Row],[Date]])&amp;"-"&amp;TEXT(MONTH(KMART_DATA[[#This Row],[Date]]),"00")</f>
        <v>2024-12</v>
      </c>
      <c r="D2181" s="3" t="s">
        <v>28</v>
      </c>
      <c r="E2181" s="3" t="s">
        <v>205</v>
      </c>
      <c r="F2181" s="3" t="s">
        <v>10</v>
      </c>
      <c r="G21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81" s="3" t="s">
        <v>206</v>
      </c>
      <c r="I2181" s="3" t="s">
        <v>31</v>
      </c>
      <c r="J2181" s="3" t="s">
        <v>37</v>
      </c>
      <c r="K2181" s="3" t="s">
        <v>123</v>
      </c>
      <c r="L2181" s="3" t="s">
        <v>124</v>
      </c>
      <c r="M2181" s="4">
        <v>114.43</v>
      </c>
    </row>
    <row r="2182">
      <c r="A2182" s="2">
        <v>45643</v>
      </c>
      <c r="B21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2" s="3" t="str">
        <f>YEAR(KMART_DATA[[#This Row],[Date]])&amp;"-"&amp;TEXT(MONTH(KMART_DATA[[#This Row],[Date]]),"00")</f>
        <v>2024-12</v>
      </c>
      <c r="D2182" s="3" t="s">
        <v>28</v>
      </c>
      <c r="E2182" s="3" t="s">
        <v>252</v>
      </c>
      <c r="F2182" s="3" t="s">
        <v>10</v>
      </c>
      <c r="G21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82" s="3" t="s">
        <v>253</v>
      </c>
      <c r="I2182" s="3" t="s">
        <v>31</v>
      </c>
      <c r="J2182" s="3" t="s">
        <v>94</v>
      </c>
      <c r="K2182" s="3" t="s">
        <v>112</v>
      </c>
      <c r="L2182" s="3" t="s">
        <v>113</v>
      </c>
      <c r="M2182" s="4">
        <v>131.83</v>
      </c>
    </row>
    <row r="2183">
      <c r="A2183" s="2">
        <v>45643</v>
      </c>
      <c r="B21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3" s="3" t="str">
        <f>YEAR(KMART_DATA[[#This Row],[Date]])&amp;"-"&amp;TEXT(MONTH(KMART_DATA[[#This Row],[Date]]),"00")</f>
        <v>2024-12</v>
      </c>
      <c r="D2183" s="3" t="s">
        <v>28</v>
      </c>
      <c r="E2183" s="3" t="s">
        <v>121</v>
      </c>
      <c r="F2183" s="3" t="s">
        <v>11</v>
      </c>
      <c r="G21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83" s="3" t="s">
        <v>122</v>
      </c>
      <c r="I2183" s="3" t="s">
        <v>31</v>
      </c>
      <c r="J2183" s="3" t="s">
        <v>84</v>
      </c>
      <c r="K2183" s="3" t="s">
        <v>57</v>
      </c>
      <c r="L2183" s="3" t="s">
        <v>58</v>
      </c>
      <c r="M2183" s="4">
        <v>377.12</v>
      </c>
    </row>
    <row r="2184">
      <c r="A2184" s="2">
        <v>45643</v>
      </c>
      <c r="B21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4" s="3" t="str">
        <f>YEAR(KMART_DATA[[#This Row],[Date]])&amp;"-"&amp;TEXT(MONTH(KMART_DATA[[#This Row],[Date]]),"00")</f>
        <v>2024-12</v>
      </c>
      <c r="D2184" s="3" t="s">
        <v>45</v>
      </c>
      <c r="E2184" s="3" t="s">
        <v>217</v>
      </c>
      <c r="F2184" s="3" t="s">
        <v>10</v>
      </c>
      <c r="G21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84" s="3" t="s">
        <v>218</v>
      </c>
      <c r="I2184" s="3" t="s">
        <v>31</v>
      </c>
      <c r="J2184" s="3" t="s">
        <v>89</v>
      </c>
      <c r="K2184" s="3" t="s">
        <v>95</v>
      </c>
      <c r="L2184" s="3" t="s">
        <v>96</v>
      </c>
      <c r="M2184" s="4">
        <v>435.35</v>
      </c>
    </row>
    <row r="2185">
      <c r="A2185" s="2">
        <v>45643</v>
      </c>
      <c r="B21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5" s="3" t="str">
        <f>YEAR(KMART_DATA[[#This Row],[Date]])&amp;"-"&amp;TEXT(MONTH(KMART_DATA[[#This Row],[Date]]),"00")</f>
        <v>2024-12</v>
      </c>
      <c r="D2185" s="3" t="s">
        <v>28</v>
      </c>
      <c r="E2185" s="3" t="s">
        <v>105</v>
      </c>
      <c r="F2185" s="3" t="s">
        <v>9</v>
      </c>
      <c r="G21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85" s="3" t="s">
        <v>106</v>
      </c>
      <c r="I2185" s="3" t="s">
        <v>31</v>
      </c>
      <c r="J2185" s="3" t="s">
        <v>107</v>
      </c>
      <c r="K2185" s="3" t="s">
        <v>95</v>
      </c>
      <c r="L2185" s="3" t="s">
        <v>96</v>
      </c>
      <c r="M2185" s="4">
        <v>10174.52</v>
      </c>
    </row>
    <row r="2186">
      <c r="A2186" s="2">
        <v>45644</v>
      </c>
      <c r="B21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6" s="3" t="str">
        <f>YEAR(KMART_DATA[[#This Row],[Date]])&amp;"-"&amp;TEXT(MONTH(KMART_DATA[[#This Row],[Date]]),"00")</f>
        <v>2024-12</v>
      </c>
      <c r="D2186" s="3" t="s">
        <v>28</v>
      </c>
      <c r="E2186" s="3" t="s">
        <v>131</v>
      </c>
      <c r="F2186" s="3" t="s">
        <v>11</v>
      </c>
      <c r="G21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86" s="3" t="s">
        <v>132</v>
      </c>
      <c r="I2186" s="3" t="s">
        <v>31</v>
      </c>
      <c r="J2186" s="3" t="s">
        <v>32</v>
      </c>
      <c r="K2186" s="3" t="s">
        <v>43</v>
      </c>
      <c r="L2186" s="3" t="s">
        <v>44</v>
      </c>
      <c r="M2186" s="4">
        <v>36.5</v>
      </c>
    </row>
    <row r="2187">
      <c r="A2187" s="2">
        <v>45644</v>
      </c>
      <c r="B21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7" s="3" t="str">
        <f>YEAR(KMART_DATA[[#This Row],[Date]])&amp;"-"&amp;TEXT(MONTH(KMART_DATA[[#This Row],[Date]]),"00")</f>
        <v>2024-12</v>
      </c>
      <c r="D2187" s="3" t="s">
        <v>28</v>
      </c>
      <c r="E2187" s="3" t="s">
        <v>189</v>
      </c>
      <c r="F2187" s="3" t="s">
        <v>9</v>
      </c>
      <c r="G21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87" s="3" t="s">
        <v>190</v>
      </c>
      <c r="I2187" s="3" t="s">
        <v>31</v>
      </c>
      <c r="J2187" s="3" t="s">
        <v>81</v>
      </c>
      <c r="K2187" s="3" t="s">
        <v>123</v>
      </c>
      <c r="L2187" s="3" t="s">
        <v>124</v>
      </c>
      <c r="M2187" s="4">
        <v>50.36</v>
      </c>
    </row>
    <row r="2188">
      <c r="A2188" s="2">
        <v>45644</v>
      </c>
      <c r="B21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8" s="3" t="str">
        <f>YEAR(KMART_DATA[[#This Row],[Date]])&amp;"-"&amp;TEXT(MONTH(KMART_DATA[[#This Row],[Date]]),"00")</f>
        <v>2024-12</v>
      </c>
      <c r="D2188" s="3" t="s">
        <v>45</v>
      </c>
      <c r="E2188" s="3" t="s">
        <v>108</v>
      </c>
      <c r="F2188" s="3" t="s">
        <v>9</v>
      </c>
      <c r="G21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88" s="3" t="s">
        <v>109</v>
      </c>
      <c r="I2188" s="3" t="s">
        <v>31</v>
      </c>
      <c r="J2188" s="3" t="s">
        <v>75</v>
      </c>
      <c r="K2188" s="3" t="s">
        <v>66</v>
      </c>
      <c r="L2188" s="3" t="s">
        <v>67</v>
      </c>
      <c r="M2188" s="4">
        <v>70.6</v>
      </c>
    </row>
    <row r="2189">
      <c r="A2189" s="2">
        <v>45644</v>
      </c>
      <c r="B21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89" s="3" t="str">
        <f>YEAR(KMART_DATA[[#This Row],[Date]])&amp;"-"&amp;TEXT(MONTH(KMART_DATA[[#This Row],[Date]]),"00")</f>
        <v>2024-12</v>
      </c>
      <c r="D2189" s="3" t="s">
        <v>28</v>
      </c>
      <c r="E2189" s="3" t="s">
        <v>225</v>
      </c>
      <c r="F2189" s="3" t="s">
        <v>13</v>
      </c>
      <c r="G21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189" s="3" t="s">
        <v>226</v>
      </c>
      <c r="I2189" s="3" t="s">
        <v>31</v>
      </c>
      <c r="J2189" s="3" t="s">
        <v>227</v>
      </c>
      <c r="K2189" s="3" t="s">
        <v>46</v>
      </c>
      <c r="L2189" s="3" t="s">
        <v>47</v>
      </c>
      <c r="M2189" s="4">
        <v>777.87</v>
      </c>
    </row>
    <row r="2190">
      <c r="A2190" s="2">
        <v>45644</v>
      </c>
      <c r="B21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0" s="3" t="str">
        <f>YEAR(KMART_DATA[[#This Row],[Date]])&amp;"-"&amp;TEXT(MONTH(KMART_DATA[[#This Row],[Date]]),"00")</f>
        <v>2024-12</v>
      </c>
      <c r="D2190" s="3" t="s">
        <v>28</v>
      </c>
      <c r="E2190" s="3" t="s">
        <v>129</v>
      </c>
      <c r="F2190" s="3" t="s">
        <v>10</v>
      </c>
      <c r="G21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90" s="3" t="s">
        <v>130</v>
      </c>
      <c r="I2190" s="3" t="s">
        <v>31</v>
      </c>
      <c r="J2190" s="3" t="s">
        <v>120</v>
      </c>
      <c r="K2190" s="3" t="s">
        <v>38</v>
      </c>
      <c r="L2190" s="3" t="s">
        <v>39</v>
      </c>
      <c r="M2190" s="4">
        <v>1047.31</v>
      </c>
    </row>
    <row r="2191">
      <c r="A2191" s="2">
        <v>45644</v>
      </c>
      <c r="B21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1" s="3" t="str">
        <f>YEAR(KMART_DATA[[#This Row],[Date]])&amp;"-"&amp;TEXT(MONTH(KMART_DATA[[#This Row],[Date]]),"00")</f>
        <v>2024-12</v>
      </c>
      <c r="D2191" s="3" t="s">
        <v>28</v>
      </c>
      <c r="E2191" s="3" t="s">
        <v>193</v>
      </c>
      <c r="F2191" s="3" t="s">
        <v>9</v>
      </c>
      <c r="G21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191" s="3" t="s">
        <v>194</v>
      </c>
      <c r="I2191" s="3" t="s">
        <v>31</v>
      </c>
      <c r="J2191" s="3" t="s">
        <v>99</v>
      </c>
      <c r="K2191" s="3" t="s">
        <v>123</v>
      </c>
      <c r="L2191" s="3" t="s">
        <v>124</v>
      </c>
      <c r="M2191" s="4">
        <v>2210.16</v>
      </c>
    </row>
    <row r="2192">
      <c r="A2192" s="2">
        <v>45644</v>
      </c>
      <c r="B21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2" s="3" t="str">
        <f>YEAR(KMART_DATA[[#This Row],[Date]])&amp;"-"&amp;TEXT(MONTH(KMART_DATA[[#This Row],[Date]]),"00")</f>
        <v>2024-12</v>
      </c>
      <c r="D2192" s="3" t="s">
        <v>28</v>
      </c>
      <c r="E2192" s="3" t="s">
        <v>250</v>
      </c>
      <c r="F2192" s="3" t="s">
        <v>10</v>
      </c>
      <c r="G21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92" s="3" t="s">
        <v>251</v>
      </c>
      <c r="I2192" s="3" t="s">
        <v>31</v>
      </c>
      <c r="J2192" s="3" t="s">
        <v>37</v>
      </c>
      <c r="K2192" s="3" t="s">
        <v>46</v>
      </c>
      <c r="L2192" s="3" t="s">
        <v>47</v>
      </c>
      <c r="M2192" s="4">
        <v>3914.42</v>
      </c>
    </row>
    <row r="2193">
      <c r="A2193" s="2">
        <v>45644</v>
      </c>
      <c r="B21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3" s="3" t="str">
        <f>YEAR(KMART_DATA[[#This Row],[Date]])&amp;"-"&amp;TEXT(MONTH(KMART_DATA[[#This Row],[Date]]),"00")</f>
        <v>2024-12</v>
      </c>
      <c r="D2193" s="3" t="s">
        <v>28</v>
      </c>
      <c r="E2193" s="3" t="s">
        <v>203</v>
      </c>
      <c r="F2193" s="3" t="s">
        <v>10</v>
      </c>
      <c r="G21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93" s="3" t="s">
        <v>204</v>
      </c>
      <c r="I2193" s="3" t="s">
        <v>31</v>
      </c>
      <c r="J2193" s="3" t="s">
        <v>89</v>
      </c>
      <c r="K2193" s="3" t="s">
        <v>95</v>
      </c>
      <c r="L2193" s="3" t="s">
        <v>96</v>
      </c>
      <c r="M2193" s="4">
        <v>7339.49</v>
      </c>
    </row>
    <row r="2194">
      <c r="A2194" s="2">
        <v>45645</v>
      </c>
      <c r="B21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4" s="3" t="str">
        <f>YEAR(KMART_DATA[[#This Row],[Date]])&amp;"-"&amp;TEXT(MONTH(KMART_DATA[[#This Row],[Date]]),"00")</f>
        <v>2024-12</v>
      </c>
      <c r="D2194" s="3" t="s">
        <v>45</v>
      </c>
      <c r="E2194" s="3" t="s">
        <v>87</v>
      </c>
      <c r="F2194" s="3" t="s">
        <v>10</v>
      </c>
      <c r="G21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94" s="3" t="s">
        <v>88</v>
      </c>
      <c r="I2194" s="3" t="s">
        <v>31</v>
      </c>
      <c r="J2194" s="3" t="s">
        <v>89</v>
      </c>
      <c r="K2194" s="3" t="s">
        <v>38</v>
      </c>
      <c r="L2194" s="3" t="s">
        <v>39</v>
      </c>
      <c r="M2194" s="4">
        <v>23.94</v>
      </c>
    </row>
    <row r="2195">
      <c r="A2195" s="2">
        <v>45645</v>
      </c>
      <c r="B21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5" s="3" t="str">
        <f>YEAR(KMART_DATA[[#This Row],[Date]])&amp;"-"&amp;TEXT(MONTH(KMART_DATA[[#This Row],[Date]]),"00")</f>
        <v>2024-12</v>
      </c>
      <c r="D2195" s="3" t="s">
        <v>45</v>
      </c>
      <c r="E2195" s="3" t="s">
        <v>59</v>
      </c>
      <c r="F2195" s="3" t="s">
        <v>11</v>
      </c>
      <c r="G21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95" s="3" t="s">
        <v>60</v>
      </c>
      <c r="I2195" s="3" t="s">
        <v>31</v>
      </c>
      <c r="J2195" s="3" t="s">
        <v>61</v>
      </c>
      <c r="K2195" s="3" t="s">
        <v>43</v>
      </c>
      <c r="L2195" s="3" t="s">
        <v>44</v>
      </c>
      <c r="M2195" s="4">
        <v>29.39</v>
      </c>
    </row>
    <row r="2196">
      <c r="A2196" s="2">
        <v>45645</v>
      </c>
      <c r="B21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6" s="3" t="str">
        <f>YEAR(KMART_DATA[[#This Row],[Date]])&amp;"-"&amp;TEXT(MONTH(KMART_DATA[[#This Row],[Date]]),"00")</f>
        <v>2024-12</v>
      </c>
      <c r="D2196" s="3" t="s">
        <v>28</v>
      </c>
      <c r="E2196" s="3" t="s">
        <v>100</v>
      </c>
      <c r="F2196" s="3" t="s">
        <v>12</v>
      </c>
      <c r="G21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196" s="3" t="s">
        <v>101</v>
      </c>
      <c r="I2196" s="3" t="s">
        <v>31</v>
      </c>
      <c r="J2196" s="3" t="s">
        <v>102</v>
      </c>
      <c r="K2196" s="3" t="s">
        <v>123</v>
      </c>
      <c r="L2196" s="3" t="s">
        <v>124</v>
      </c>
      <c r="M2196" s="4">
        <v>146.27</v>
      </c>
    </row>
    <row r="2197">
      <c r="A2197" s="2">
        <v>45645</v>
      </c>
      <c r="B21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7" s="3" t="str">
        <f>YEAR(KMART_DATA[[#This Row],[Date]])&amp;"-"&amp;TEXT(MONTH(KMART_DATA[[#This Row],[Date]]),"00")</f>
        <v>2024-12</v>
      </c>
      <c r="D2197" s="3" t="s">
        <v>28</v>
      </c>
      <c r="E2197" s="3" t="s">
        <v>137</v>
      </c>
      <c r="F2197" s="3" t="s">
        <v>10</v>
      </c>
      <c r="G21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197" s="3" t="s">
        <v>138</v>
      </c>
      <c r="I2197" s="3" t="s">
        <v>31</v>
      </c>
      <c r="J2197" s="3" t="s">
        <v>89</v>
      </c>
      <c r="K2197" s="3" t="s">
        <v>43</v>
      </c>
      <c r="L2197" s="3" t="s">
        <v>44</v>
      </c>
      <c r="M2197" s="4">
        <v>259.78</v>
      </c>
    </row>
    <row r="2198">
      <c r="A2198" s="2">
        <v>45645</v>
      </c>
      <c r="B21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8" s="3" t="str">
        <f>YEAR(KMART_DATA[[#This Row],[Date]])&amp;"-"&amp;TEXT(MONTH(KMART_DATA[[#This Row],[Date]]),"00")</f>
        <v>2024-12</v>
      </c>
      <c r="D2198" s="3" t="s">
        <v>28</v>
      </c>
      <c r="E2198" s="3" t="s">
        <v>154</v>
      </c>
      <c r="F2198" s="3" t="s">
        <v>11</v>
      </c>
      <c r="G21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98" s="3" t="s">
        <v>155</v>
      </c>
      <c r="I2198" s="3" t="s">
        <v>31</v>
      </c>
      <c r="J2198" s="3" t="s">
        <v>84</v>
      </c>
      <c r="K2198" s="3" t="s">
        <v>71</v>
      </c>
      <c r="L2198" s="3" t="s">
        <v>72</v>
      </c>
      <c r="M2198" s="4">
        <v>1334.17</v>
      </c>
    </row>
    <row r="2199">
      <c r="A2199" s="2">
        <v>45646</v>
      </c>
      <c r="B21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199" s="3" t="str">
        <f>YEAR(KMART_DATA[[#This Row],[Date]])&amp;"-"&amp;TEXT(MONTH(KMART_DATA[[#This Row],[Date]]),"00")</f>
        <v>2024-12</v>
      </c>
      <c r="D2199" s="3" t="s">
        <v>28</v>
      </c>
      <c r="E2199" s="3" t="s">
        <v>219</v>
      </c>
      <c r="F2199" s="3" t="s">
        <v>11</v>
      </c>
      <c r="G21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199" s="3" t="s">
        <v>220</v>
      </c>
      <c r="I2199" s="3" t="s">
        <v>31</v>
      </c>
      <c r="J2199" s="3" t="s">
        <v>56</v>
      </c>
      <c r="K2199" s="3" t="s">
        <v>33</v>
      </c>
      <c r="L2199" s="3" t="s">
        <v>34</v>
      </c>
      <c r="M2199" s="4">
        <v>17.97</v>
      </c>
    </row>
    <row r="2200">
      <c r="A2200" s="2">
        <v>45646</v>
      </c>
      <c r="B22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0" s="3" t="str">
        <f>YEAR(KMART_DATA[[#This Row],[Date]])&amp;"-"&amp;TEXT(MONTH(KMART_DATA[[#This Row],[Date]]),"00")</f>
        <v>2024-12</v>
      </c>
      <c r="D2200" s="3" t="s">
        <v>28</v>
      </c>
      <c r="E2200" s="3" t="s">
        <v>152</v>
      </c>
      <c r="F2200" s="3" t="s">
        <v>11</v>
      </c>
      <c r="G22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00" s="3" t="s">
        <v>153</v>
      </c>
      <c r="I2200" s="3" t="s">
        <v>31</v>
      </c>
      <c r="J2200" s="3" t="s">
        <v>61</v>
      </c>
      <c r="K2200" s="3" t="s">
        <v>33</v>
      </c>
      <c r="L2200" s="3" t="s">
        <v>34</v>
      </c>
      <c r="M2200" s="4">
        <v>36.97</v>
      </c>
    </row>
    <row r="2201">
      <c r="A2201" s="2">
        <v>45646</v>
      </c>
      <c r="B22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1" s="3" t="str">
        <f>YEAR(KMART_DATA[[#This Row],[Date]])&amp;"-"&amp;TEXT(MONTH(KMART_DATA[[#This Row],[Date]]),"00")</f>
        <v>2024-12</v>
      </c>
      <c r="D2201" s="3" t="s">
        <v>28</v>
      </c>
      <c r="E2201" s="3" t="s">
        <v>242</v>
      </c>
      <c r="F2201" s="3" t="s">
        <v>10</v>
      </c>
      <c r="G22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01" s="3" t="s">
        <v>243</v>
      </c>
      <c r="I2201" s="3" t="s">
        <v>31</v>
      </c>
      <c r="J2201" s="3" t="s">
        <v>94</v>
      </c>
      <c r="K2201" s="3" t="s">
        <v>33</v>
      </c>
      <c r="L2201" s="3" t="s">
        <v>34</v>
      </c>
      <c r="M2201" s="4">
        <v>45.92</v>
      </c>
    </row>
    <row r="2202">
      <c r="A2202" s="2">
        <v>45646</v>
      </c>
      <c r="B22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2" s="3" t="str">
        <f>YEAR(KMART_DATA[[#This Row],[Date]])&amp;"-"&amp;TEXT(MONTH(KMART_DATA[[#This Row],[Date]]),"00")</f>
        <v>2024-12</v>
      </c>
      <c r="D2202" s="3" t="s">
        <v>45</v>
      </c>
      <c r="E2202" s="3" t="s">
        <v>203</v>
      </c>
      <c r="F2202" s="3" t="s">
        <v>10</v>
      </c>
      <c r="G22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02" s="3" t="s">
        <v>204</v>
      </c>
      <c r="I2202" s="3" t="s">
        <v>31</v>
      </c>
      <c r="J2202" s="3" t="s">
        <v>89</v>
      </c>
      <c r="K2202" s="3" t="s">
        <v>112</v>
      </c>
      <c r="L2202" s="3" t="s">
        <v>113</v>
      </c>
      <c r="M2202" s="4">
        <v>299.24</v>
      </c>
    </row>
    <row r="2203">
      <c r="A2203" s="2">
        <v>45646</v>
      </c>
      <c r="B22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3" s="3" t="str">
        <f>YEAR(KMART_DATA[[#This Row],[Date]])&amp;"-"&amp;TEXT(MONTH(KMART_DATA[[#This Row],[Date]]),"00")</f>
        <v>2024-12</v>
      </c>
      <c r="D2203" s="3" t="s">
        <v>28</v>
      </c>
      <c r="E2203" s="3" t="s">
        <v>197</v>
      </c>
      <c r="F2203" s="3" t="s">
        <v>9</v>
      </c>
      <c r="G22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03" s="3" t="s">
        <v>198</v>
      </c>
      <c r="I2203" s="3" t="s">
        <v>31</v>
      </c>
      <c r="J2203" s="3" t="s">
        <v>107</v>
      </c>
      <c r="K2203" s="3" t="s">
        <v>43</v>
      </c>
      <c r="L2203" s="3" t="s">
        <v>44</v>
      </c>
      <c r="M2203" s="4">
        <v>921.46</v>
      </c>
    </row>
    <row r="2204">
      <c r="A2204" s="2">
        <v>45646</v>
      </c>
      <c r="B22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4" s="3" t="str">
        <f>YEAR(KMART_DATA[[#This Row],[Date]])&amp;"-"&amp;TEXT(MONTH(KMART_DATA[[#This Row],[Date]]),"00")</f>
        <v>2024-12</v>
      </c>
      <c r="D2204" s="3" t="s">
        <v>28</v>
      </c>
      <c r="E2204" s="3" t="s">
        <v>40</v>
      </c>
      <c r="F2204" s="3" t="s">
        <v>13</v>
      </c>
      <c r="G22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204" s="3" t="s">
        <v>41</v>
      </c>
      <c r="I2204" s="3" t="s">
        <v>31</v>
      </c>
      <c r="J2204" s="3" t="s">
        <v>42</v>
      </c>
      <c r="K2204" s="3" t="s">
        <v>71</v>
      </c>
      <c r="L2204" s="3" t="s">
        <v>72</v>
      </c>
      <c r="M2204" s="4">
        <v>1242.19</v>
      </c>
    </row>
    <row r="2205">
      <c r="A2205" s="2">
        <v>45647</v>
      </c>
      <c r="B22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5" s="3" t="str">
        <f>YEAR(KMART_DATA[[#This Row],[Date]])&amp;"-"&amp;TEXT(MONTH(KMART_DATA[[#This Row],[Date]]),"00")</f>
        <v>2024-12</v>
      </c>
      <c r="D2205" s="3" t="s">
        <v>28</v>
      </c>
      <c r="E2205" s="3" t="s">
        <v>51</v>
      </c>
      <c r="F2205" s="3" t="s">
        <v>15</v>
      </c>
      <c r="G22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205" s="3" t="s">
        <v>52</v>
      </c>
      <c r="I2205" s="3" t="s">
        <v>31</v>
      </c>
      <c r="J2205" s="3" t="s">
        <v>53</v>
      </c>
      <c r="K2205" s="3" t="s">
        <v>38</v>
      </c>
      <c r="L2205" s="3" t="s">
        <v>39</v>
      </c>
      <c r="M2205" s="4">
        <v>52.95</v>
      </c>
    </row>
    <row r="2206">
      <c r="A2206" s="2">
        <v>45647</v>
      </c>
      <c r="B22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6" s="3" t="str">
        <f>YEAR(KMART_DATA[[#This Row],[Date]])&amp;"-"&amp;TEXT(MONTH(KMART_DATA[[#This Row],[Date]]),"00")</f>
        <v>2024-12</v>
      </c>
      <c r="D2206" s="3" t="s">
        <v>45</v>
      </c>
      <c r="E2206" s="3" t="s">
        <v>125</v>
      </c>
      <c r="F2206" s="3" t="s">
        <v>10</v>
      </c>
      <c r="G22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06" s="3" t="s">
        <v>126</v>
      </c>
      <c r="I2206" s="3" t="s">
        <v>31</v>
      </c>
      <c r="J2206" s="3" t="s">
        <v>94</v>
      </c>
      <c r="K2206" s="3" t="s">
        <v>123</v>
      </c>
      <c r="L2206" s="3" t="s">
        <v>124</v>
      </c>
      <c r="M2206" s="4">
        <v>88.46</v>
      </c>
    </row>
    <row r="2207">
      <c r="A2207" s="2">
        <v>45647</v>
      </c>
      <c r="B22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7" s="3" t="str">
        <f>YEAR(KMART_DATA[[#This Row],[Date]])&amp;"-"&amp;TEXT(MONTH(KMART_DATA[[#This Row],[Date]]),"00")</f>
        <v>2024-12</v>
      </c>
      <c r="D2207" s="3" t="s">
        <v>45</v>
      </c>
      <c r="E2207" s="3" t="s">
        <v>203</v>
      </c>
      <c r="F2207" s="3" t="s">
        <v>10</v>
      </c>
      <c r="G22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07" s="3" t="s">
        <v>204</v>
      </c>
      <c r="I2207" s="3" t="s">
        <v>31</v>
      </c>
      <c r="J2207" s="3" t="s">
        <v>89</v>
      </c>
      <c r="K2207" s="3" t="s">
        <v>95</v>
      </c>
      <c r="L2207" s="3" t="s">
        <v>96</v>
      </c>
      <c r="M2207" s="4">
        <v>213.03</v>
      </c>
    </row>
    <row r="2208">
      <c r="A2208" s="2">
        <v>45647</v>
      </c>
      <c r="B22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8" s="3" t="str">
        <f>YEAR(KMART_DATA[[#This Row],[Date]])&amp;"-"&amp;TEXT(MONTH(KMART_DATA[[#This Row],[Date]]),"00")</f>
        <v>2024-12</v>
      </c>
      <c r="D2208" s="3" t="s">
        <v>28</v>
      </c>
      <c r="E2208" s="3" t="s">
        <v>137</v>
      </c>
      <c r="F2208" s="3" t="s">
        <v>10</v>
      </c>
      <c r="G22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08" s="3" t="s">
        <v>138</v>
      </c>
      <c r="I2208" s="3" t="s">
        <v>31</v>
      </c>
      <c r="J2208" s="3" t="s">
        <v>89</v>
      </c>
      <c r="K2208" s="3" t="s">
        <v>71</v>
      </c>
      <c r="L2208" s="3" t="s">
        <v>72</v>
      </c>
      <c r="M2208" s="4">
        <v>1513.91</v>
      </c>
    </row>
    <row r="2209">
      <c r="A2209" s="2">
        <v>45647</v>
      </c>
      <c r="B22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09" s="3" t="str">
        <f>YEAR(KMART_DATA[[#This Row],[Date]])&amp;"-"&amp;TEXT(MONTH(KMART_DATA[[#This Row],[Date]]),"00")</f>
        <v>2024-12</v>
      </c>
      <c r="D2209" s="3" t="s">
        <v>28</v>
      </c>
      <c r="E2209" s="3" t="s">
        <v>185</v>
      </c>
      <c r="F2209" s="3" t="s">
        <v>12</v>
      </c>
      <c r="G22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09" s="3" t="s">
        <v>186</v>
      </c>
      <c r="I2209" s="3" t="s">
        <v>31</v>
      </c>
      <c r="J2209" s="3" t="s">
        <v>162</v>
      </c>
      <c r="K2209" s="3" t="s">
        <v>46</v>
      </c>
      <c r="L2209" s="3" t="s">
        <v>47</v>
      </c>
      <c r="M2209" s="4">
        <v>1726.45</v>
      </c>
    </row>
    <row r="2210">
      <c r="A2210" s="2">
        <v>45647</v>
      </c>
      <c r="B22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0" s="3" t="str">
        <f>YEAR(KMART_DATA[[#This Row],[Date]])&amp;"-"&amp;TEXT(MONTH(KMART_DATA[[#This Row],[Date]]),"00")</f>
        <v>2024-12</v>
      </c>
      <c r="D2210" s="3" t="s">
        <v>45</v>
      </c>
      <c r="E2210" s="3" t="s">
        <v>177</v>
      </c>
      <c r="F2210" s="3" t="s">
        <v>12</v>
      </c>
      <c r="G22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10" s="3" t="s">
        <v>178</v>
      </c>
      <c r="I2210" s="3" t="s">
        <v>31</v>
      </c>
      <c r="J2210" s="3" t="s">
        <v>162</v>
      </c>
      <c r="K2210" s="3" t="s">
        <v>71</v>
      </c>
      <c r="L2210" s="3" t="s">
        <v>72</v>
      </c>
      <c r="M2210" s="4">
        <v>1765.1</v>
      </c>
    </row>
    <row r="2211">
      <c r="A2211" s="2">
        <v>45647</v>
      </c>
      <c r="B22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1" s="3" t="str">
        <f>YEAR(KMART_DATA[[#This Row],[Date]])&amp;"-"&amp;TEXT(MONTH(KMART_DATA[[#This Row],[Date]]),"00")</f>
        <v>2024-12</v>
      </c>
      <c r="D2211" s="3" t="s">
        <v>28</v>
      </c>
      <c r="E2211" s="3" t="s">
        <v>232</v>
      </c>
      <c r="F2211" s="3" t="s">
        <v>9</v>
      </c>
      <c r="G22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11" s="3" t="s">
        <v>233</v>
      </c>
      <c r="I2211" s="3" t="s">
        <v>31</v>
      </c>
      <c r="J2211" s="3" t="s">
        <v>75</v>
      </c>
      <c r="K2211" s="3" t="s">
        <v>71</v>
      </c>
      <c r="L2211" s="3" t="s">
        <v>72</v>
      </c>
      <c r="M2211" s="4">
        <v>2576.26</v>
      </c>
    </row>
    <row r="2212">
      <c r="A2212" s="2">
        <v>45648</v>
      </c>
      <c r="B22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2" s="3" t="str">
        <f>YEAR(KMART_DATA[[#This Row],[Date]])&amp;"-"&amp;TEXT(MONTH(KMART_DATA[[#This Row],[Date]]),"00")</f>
        <v>2024-12</v>
      </c>
      <c r="D2212" s="3" t="s">
        <v>28</v>
      </c>
      <c r="E2212" s="3" t="s">
        <v>158</v>
      </c>
      <c r="F2212" s="3" t="s">
        <v>11</v>
      </c>
      <c r="G22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12" s="3" t="s">
        <v>159</v>
      </c>
      <c r="I2212" s="3" t="s">
        <v>31</v>
      </c>
      <c r="J2212" s="3" t="s">
        <v>84</v>
      </c>
      <c r="K2212" s="3" t="s">
        <v>46</v>
      </c>
      <c r="L2212" s="3" t="s">
        <v>47</v>
      </c>
      <c r="M2212" s="4">
        <v>62.48</v>
      </c>
    </row>
    <row r="2213">
      <c r="A2213" s="2">
        <v>45648</v>
      </c>
      <c r="B22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3" s="3" t="str">
        <f>YEAR(KMART_DATA[[#This Row],[Date]])&amp;"-"&amp;TEXT(MONTH(KMART_DATA[[#This Row],[Date]]),"00")</f>
        <v>2024-12</v>
      </c>
      <c r="D2213" s="3" t="s">
        <v>28</v>
      </c>
      <c r="E2213" s="3" t="s">
        <v>133</v>
      </c>
      <c r="F2213" s="3" t="s">
        <v>10</v>
      </c>
      <c r="G22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13" s="3" t="s">
        <v>134</v>
      </c>
      <c r="I2213" s="3" t="s">
        <v>31</v>
      </c>
      <c r="J2213" s="3" t="s">
        <v>37</v>
      </c>
      <c r="K2213" s="3" t="s">
        <v>71</v>
      </c>
      <c r="L2213" s="3" t="s">
        <v>72</v>
      </c>
      <c r="M2213" s="4">
        <v>180.83</v>
      </c>
    </row>
    <row r="2214">
      <c r="A2214" s="2">
        <v>45648</v>
      </c>
      <c r="B22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4" s="3" t="str">
        <f>YEAR(KMART_DATA[[#This Row],[Date]])&amp;"-"&amp;TEXT(MONTH(KMART_DATA[[#This Row],[Date]]),"00")</f>
        <v>2024-12</v>
      </c>
      <c r="D2214" s="3" t="s">
        <v>28</v>
      </c>
      <c r="E2214" s="3" t="s">
        <v>87</v>
      </c>
      <c r="F2214" s="3" t="s">
        <v>10</v>
      </c>
      <c r="G22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14" s="3" t="s">
        <v>88</v>
      </c>
      <c r="I2214" s="3" t="s">
        <v>31</v>
      </c>
      <c r="J2214" s="3" t="s">
        <v>89</v>
      </c>
      <c r="K2214" s="3" t="s">
        <v>112</v>
      </c>
      <c r="L2214" s="3" t="s">
        <v>113</v>
      </c>
      <c r="M2214" s="4">
        <v>800.23</v>
      </c>
    </row>
    <row r="2215">
      <c r="A2215" s="2">
        <v>45648</v>
      </c>
      <c r="B22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5" s="3" t="str">
        <f>YEAR(KMART_DATA[[#This Row],[Date]])&amp;"-"&amp;TEXT(MONTH(KMART_DATA[[#This Row],[Date]]),"00")</f>
        <v>2024-12</v>
      </c>
      <c r="D2215" s="3" t="s">
        <v>28</v>
      </c>
      <c r="E2215" s="3" t="s">
        <v>82</v>
      </c>
      <c r="F2215" s="3" t="s">
        <v>11</v>
      </c>
      <c r="G22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15" s="3" t="s">
        <v>83</v>
      </c>
      <c r="I2215" s="3" t="s">
        <v>31</v>
      </c>
      <c r="J2215" s="3" t="s">
        <v>84</v>
      </c>
      <c r="K2215" s="3" t="s">
        <v>66</v>
      </c>
      <c r="L2215" s="3" t="s">
        <v>67</v>
      </c>
      <c r="M2215" s="4">
        <v>1076.07</v>
      </c>
    </row>
    <row r="2216">
      <c r="A2216" s="2">
        <v>45648</v>
      </c>
      <c r="B22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6" s="3" t="str">
        <f>YEAR(KMART_DATA[[#This Row],[Date]])&amp;"-"&amp;TEXT(MONTH(KMART_DATA[[#This Row],[Date]]),"00")</f>
        <v>2024-12</v>
      </c>
      <c r="D2216" s="3" t="s">
        <v>45</v>
      </c>
      <c r="E2216" s="3" t="s">
        <v>179</v>
      </c>
      <c r="F2216" s="3" t="s">
        <v>9</v>
      </c>
      <c r="G22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16" s="3" t="s">
        <v>180</v>
      </c>
      <c r="I2216" s="3" t="s">
        <v>31</v>
      </c>
      <c r="J2216" s="3" t="s">
        <v>99</v>
      </c>
      <c r="K2216" s="3" t="s">
        <v>71</v>
      </c>
      <c r="L2216" s="3" t="s">
        <v>72</v>
      </c>
      <c r="M2216" s="4">
        <v>1497.97</v>
      </c>
    </row>
    <row r="2217">
      <c r="A2217" s="2">
        <v>45649</v>
      </c>
      <c r="B22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7" s="3" t="str">
        <f>YEAR(KMART_DATA[[#This Row],[Date]])&amp;"-"&amp;TEXT(MONTH(KMART_DATA[[#This Row],[Date]]),"00")</f>
        <v>2024-12</v>
      </c>
      <c r="D2217" s="3" t="s">
        <v>45</v>
      </c>
      <c r="E2217" s="3" t="s">
        <v>125</v>
      </c>
      <c r="F2217" s="3" t="s">
        <v>10</v>
      </c>
      <c r="G22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17" s="3" t="s">
        <v>126</v>
      </c>
      <c r="I2217" s="3" t="s">
        <v>31</v>
      </c>
      <c r="J2217" s="3" t="s">
        <v>94</v>
      </c>
      <c r="K2217" s="3" t="s">
        <v>43</v>
      </c>
      <c r="L2217" s="3" t="s">
        <v>44</v>
      </c>
      <c r="M2217" s="4">
        <v>6.99</v>
      </c>
    </row>
    <row r="2218">
      <c r="A2218" s="2">
        <v>45649</v>
      </c>
      <c r="B22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8" s="3" t="str">
        <f>YEAR(KMART_DATA[[#This Row],[Date]])&amp;"-"&amp;TEXT(MONTH(KMART_DATA[[#This Row],[Date]]),"00")</f>
        <v>2024-12</v>
      </c>
      <c r="D2218" s="3" t="s">
        <v>45</v>
      </c>
      <c r="E2218" s="3" t="s">
        <v>225</v>
      </c>
      <c r="F2218" s="3" t="s">
        <v>13</v>
      </c>
      <c r="G22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218" s="3" t="s">
        <v>226</v>
      </c>
      <c r="I2218" s="3" t="s">
        <v>31</v>
      </c>
      <c r="J2218" s="3" t="s">
        <v>227</v>
      </c>
      <c r="K2218" s="3" t="s">
        <v>112</v>
      </c>
      <c r="L2218" s="3" t="s">
        <v>113</v>
      </c>
      <c r="M2218" s="4">
        <v>11.96</v>
      </c>
    </row>
    <row r="2219">
      <c r="A2219" s="2">
        <v>45649</v>
      </c>
      <c r="B22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19" s="3" t="str">
        <f>YEAR(KMART_DATA[[#This Row],[Date]])&amp;"-"&amp;TEXT(MONTH(KMART_DATA[[#This Row],[Date]]),"00")</f>
        <v>2024-12</v>
      </c>
      <c r="D2219" s="3" t="s">
        <v>45</v>
      </c>
      <c r="E2219" s="3" t="s">
        <v>146</v>
      </c>
      <c r="F2219" s="3" t="s">
        <v>9</v>
      </c>
      <c r="G22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19" s="3" t="s">
        <v>147</v>
      </c>
      <c r="I2219" s="3" t="s">
        <v>31</v>
      </c>
      <c r="J2219" s="3" t="s">
        <v>75</v>
      </c>
      <c r="K2219" s="3" t="s">
        <v>38</v>
      </c>
      <c r="L2219" s="3" t="s">
        <v>39</v>
      </c>
      <c r="M2219" s="4">
        <v>77.87</v>
      </c>
    </row>
    <row r="2220">
      <c r="A2220" s="2">
        <v>45649</v>
      </c>
      <c r="B22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0" s="3" t="str">
        <f>YEAR(KMART_DATA[[#This Row],[Date]])&amp;"-"&amp;TEXT(MONTH(KMART_DATA[[#This Row],[Date]]),"00")</f>
        <v>2024-12</v>
      </c>
      <c r="D2220" s="3" t="s">
        <v>28</v>
      </c>
      <c r="E2220" s="3" t="s">
        <v>29</v>
      </c>
      <c r="F2220" s="3" t="s">
        <v>11</v>
      </c>
      <c r="G22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20" s="3" t="s">
        <v>30</v>
      </c>
      <c r="I2220" s="3" t="s">
        <v>31</v>
      </c>
      <c r="J2220" s="3" t="s">
        <v>32</v>
      </c>
      <c r="K2220" s="3" t="s">
        <v>43</v>
      </c>
      <c r="L2220" s="3" t="s">
        <v>44</v>
      </c>
      <c r="M2220" s="4">
        <v>196.82</v>
      </c>
    </row>
    <row r="2221">
      <c r="A2221" s="2">
        <v>45649</v>
      </c>
      <c r="B22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1" s="3" t="str">
        <f>YEAR(KMART_DATA[[#This Row],[Date]])&amp;"-"&amp;TEXT(MONTH(KMART_DATA[[#This Row],[Date]]),"00")</f>
        <v>2024-12</v>
      </c>
      <c r="D2221" s="3" t="s">
        <v>28</v>
      </c>
      <c r="E2221" s="3" t="s">
        <v>252</v>
      </c>
      <c r="F2221" s="3" t="s">
        <v>10</v>
      </c>
      <c r="G22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21" s="3" t="s">
        <v>253</v>
      </c>
      <c r="I2221" s="3" t="s">
        <v>31</v>
      </c>
      <c r="J2221" s="3" t="s">
        <v>94</v>
      </c>
      <c r="K2221" s="3" t="s">
        <v>95</v>
      </c>
      <c r="L2221" s="3" t="s">
        <v>96</v>
      </c>
      <c r="M2221" s="4">
        <v>1425.66</v>
      </c>
    </row>
    <row r="2222">
      <c r="A2222" s="2">
        <v>45649</v>
      </c>
      <c r="B22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2" s="3" t="str">
        <f>YEAR(KMART_DATA[[#This Row],[Date]])&amp;"-"&amp;TEXT(MONTH(KMART_DATA[[#This Row],[Date]]),"00")</f>
        <v>2024-12</v>
      </c>
      <c r="D2222" s="3" t="s">
        <v>28</v>
      </c>
      <c r="E2222" s="3" t="s">
        <v>59</v>
      </c>
      <c r="F2222" s="3" t="s">
        <v>11</v>
      </c>
      <c r="G22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22" s="3" t="s">
        <v>60</v>
      </c>
      <c r="I2222" s="3" t="s">
        <v>31</v>
      </c>
      <c r="J2222" s="3" t="s">
        <v>61</v>
      </c>
      <c r="K2222" s="3" t="s">
        <v>46</v>
      </c>
      <c r="L2222" s="3" t="s">
        <v>47</v>
      </c>
      <c r="M2222" s="4">
        <v>1490.08</v>
      </c>
    </row>
    <row r="2223">
      <c r="A2223" s="2">
        <v>45650</v>
      </c>
      <c r="B22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3" s="3" t="str">
        <f>YEAR(KMART_DATA[[#This Row],[Date]])&amp;"-"&amp;TEXT(MONTH(KMART_DATA[[#This Row],[Date]]),"00")</f>
        <v>2024-12</v>
      </c>
      <c r="D2223" s="3" t="s">
        <v>28</v>
      </c>
      <c r="E2223" s="3" t="s">
        <v>125</v>
      </c>
      <c r="F2223" s="3" t="s">
        <v>10</v>
      </c>
      <c r="G22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23" s="3" t="s">
        <v>126</v>
      </c>
      <c r="I2223" s="3" t="s">
        <v>31</v>
      </c>
      <c r="J2223" s="3" t="s">
        <v>94</v>
      </c>
      <c r="K2223" s="3" t="s">
        <v>95</v>
      </c>
      <c r="L2223" s="3" t="s">
        <v>96</v>
      </c>
      <c r="M2223" s="4">
        <v>3.0</v>
      </c>
    </row>
    <row r="2224">
      <c r="A2224" s="2">
        <v>45650</v>
      </c>
      <c r="B22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4" s="3" t="str">
        <f>YEAR(KMART_DATA[[#This Row],[Date]])&amp;"-"&amp;TEXT(MONTH(KMART_DATA[[#This Row],[Date]]),"00")</f>
        <v>2024-12</v>
      </c>
      <c r="D2224" s="3" t="s">
        <v>28</v>
      </c>
      <c r="E2224" s="3" t="s">
        <v>215</v>
      </c>
      <c r="F2224" s="3" t="s">
        <v>15</v>
      </c>
      <c r="G22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224" s="3" t="s">
        <v>216</v>
      </c>
      <c r="I2224" s="3" t="s">
        <v>31</v>
      </c>
      <c r="J2224" s="3" t="s">
        <v>53</v>
      </c>
      <c r="K2224" s="3" t="s">
        <v>43</v>
      </c>
      <c r="L2224" s="3" t="s">
        <v>44</v>
      </c>
      <c r="M2224" s="4">
        <v>11.5</v>
      </c>
    </row>
    <row r="2225">
      <c r="A2225" s="2">
        <v>45650</v>
      </c>
      <c r="B22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5" s="3" t="str">
        <f>YEAR(KMART_DATA[[#This Row],[Date]])&amp;"-"&amp;TEXT(MONTH(KMART_DATA[[#This Row],[Date]]),"00")</f>
        <v>2024-12</v>
      </c>
      <c r="D2225" s="3" t="s">
        <v>45</v>
      </c>
      <c r="E2225" s="3" t="s">
        <v>82</v>
      </c>
      <c r="F2225" s="3" t="s">
        <v>11</v>
      </c>
      <c r="G22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25" s="3" t="s">
        <v>83</v>
      </c>
      <c r="I2225" s="3" t="s">
        <v>31</v>
      </c>
      <c r="J2225" s="3" t="s">
        <v>84</v>
      </c>
      <c r="K2225" s="3" t="s">
        <v>43</v>
      </c>
      <c r="L2225" s="3" t="s">
        <v>44</v>
      </c>
      <c r="M2225" s="4">
        <v>803.27</v>
      </c>
    </row>
    <row r="2226">
      <c r="A2226" s="2">
        <v>45651</v>
      </c>
      <c r="B22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6" s="3" t="str">
        <f>YEAR(KMART_DATA[[#This Row],[Date]])&amp;"-"&amp;TEXT(MONTH(KMART_DATA[[#This Row],[Date]]),"00")</f>
        <v>2024-12</v>
      </c>
      <c r="D2226" s="3" t="s">
        <v>28</v>
      </c>
      <c r="E2226" s="3" t="s">
        <v>73</v>
      </c>
      <c r="F2226" s="3" t="s">
        <v>9</v>
      </c>
      <c r="G22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26" s="3" t="s">
        <v>74</v>
      </c>
      <c r="I2226" s="3" t="s">
        <v>31</v>
      </c>
      <c r="J2226" s="3" t="s">
        <v>75</v>
      </c>
      <c r="K2226" s="3" t="s">
        <v>43</v>
      </c>
      <c r="L2226" s="3" t="s">
        <v>44</v>
      </c>
      <c r="M2226" s="4">
        <v>3.0</v>
      </c>
    </row>
    <row r="2227">
      <c r="A2227" s="2">
        <v>45651</v>
      </c>
      <c r="B22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7" s="3" t="str">
        <f>YEAR(KMART_DATA[[#This Row],[Date]])&amp;"-"&amp;TEXT(MONTH(KMART_DATA[[#This Row],[Date]]),"00")</f>
        <v>2024-12</v>
      </c>
      <c r="D2227" s="3" t="s">
        <v>28</v>
      </c>
      <c r="E2227" s="3" t="s">
        <v>131</v>
      </c>
      <c r="F2227" s="3" t="s">
        <v>11</v>
      </c>
      <c r="G22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27" s="3" t="s">
        <v>132</v>
      </c>
      <c r="I2227" s="3" t="s">
        <v>31</v>
      </c>
      <c r="J2227" s="3" t="s">
        <v>32</v>
      </c>
      <c r="K2227" s="3" t="s">
        <v>71</v>
      </c>
      <c r="L2227" s="3" t="s">
        <v>72</v>
      </c>
      <c r="M2227" s="4">
        <v>10.7</v>
      </c>
    </row>
    <row r="2228">
      <c r="A2228" s="2">
        <v>45651</v>
      </c>
      <c r="B22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8" s="3" t="str">
        <f>YEAR(KMART_DATA[[#This Row],[Date]])&amp;"-"&amp;TEXT(MONTH(KMART_DATA[[#This Row],[Date]]),"00")</f>
        <v>2024-12</v>
      </c>
      <c r="D2228" s="3" t="s">
        <v>45</v>
      </c>
      <c r="E2228" s="3" t="s">
        <v>133</v>
      </c>
      <c r="F2228" s="3" t="s">
        <v>10</v>
      </c>
      <c r="G22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28" s="3" t="s">
        <v>134</v>
      </c>
      <c r="I2228" s="3" t="s">
        <v>31</v>
      </c>
      <c r="J2228" s="3" t="s">
        <v>37</v>
      </c>
      <c r="K2228" s="3" t="s">
        <v>57</v>
      </c>
      <c r="L2228" s="3" t="s">
        <v>58</v>
      </c>
      <c r="M2228" s="4">
        <v>104.93</v>
      </c>
    </row>
    <row r="2229">
      <c r="A2229" s="2">
        <v>45651</v>
      </c>
      <c r="B22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29" s="3" t="str">
        <f>YEAR(KMART_DATA[[#This Row],[Date]])&amp;"-"&amp;TEXT(MONTH(KMART_DATA[[#This Row],[Date]]),"00")</f>
        <v>2024-12</v>
      </c>
      <c r="D2229" s="3" t="s">
        <v>28</v>
      </c>
      <c r="E2229" s="3" t="s">
        <v>248</v>
      </c>
      <c r="F2229" s="3" t="s">
        <v>12</v>
      </c>
      <c r="G22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29" s="3" t="s">
        <v>249</v>
      </c>
      <c r="I2229" s="3" t="s">
        <v>31</v>
      </c>
      <c r="J2229" s="3" t="s">
        <v>162</v>
      </c>
      <c r="K2229" s="3" t="s">
        <v>33</v>
      </c>
      <c r="L2229" s="3" t="s">
        <v>34</v>
      </c>
      <c r="M2229" s="4">
        <v>313.83</v>
      </c>
    </row>
    <row r="2230">
      <c r="A2230" s="2">
        <v>45651</v>
      </c>
      <c r="B22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0" s="3" t="str">
        <f>YEAR(KMART_DATA[[#This Row],[Date]])&amp;"-"&amp;TEXT(MONTH(KMART_DATA[[#This Row],[Date]]),"00")</f>
        <v>2024-12</v>
      </c>
      <c r="D2230" s="3" t="s">
        <v>28</v>
      </c>
      <c r="E2230" s="3" t="s">
        <v>217</v>
      </c>
      <c r="F2230" s="3" t="s">
        <v>10</v>
      </c>
      <c r="G22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30" s="3" t="s">
        <v>218</v>
      </c>
      <c r="I2230" s="3" t="s">
        <v>31</v>
      </c>
      <c r="J2230" s="3" t="s">
        <v>89</v>
      </c>
      <c r="K2230" s="3" t="s">
        <v>33</v>
      </c>
      <c r="L2230" s="3" t="s">
        <v>34</v>
      </c>
      <c r="M2230" s="4">
        <v>329.27</v>
      </c>
    </row>
    <row r="2231">
      <c r="A2231" s="2">
        <v>45651</v>
      </c>
      <c r="B22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1" s="3" t="str">
        <f>YEAR(KMART_DATA[[#This Row],[Date]])&amp;"-"&amp;TEXT(MONTH(KMART_DATA[[#This Row],[Date]]),"00")</f>
        <v>2024-12</v>
      </c>
      <c r="D2231" s="3" t="s">
        <v>45</v>
      </c>
      <c r="E2231" s="3" t="s">
        <v>90</v>
      </c>
      <c r="F2231" s="3" t="s">
        <v>10</v>
      </c>
      <c r="G22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31" s="3" t="s">
        <v>91</v>
      </c>
      <c r="I2231" s="3" t="s">
        <v>31</v>
      </c>
      <c r="J2231" s="3" t="s">
        <v>37</v>
      </c>
      <c r="K2231" s="3" t="s">
        <v>43</v>
      </c>
      <c r="L2231" s="3" t="s">
        <v>44</v>
      </c>
      <c r="M2231" s="4">
        <v>380.97</v>
      </c>
    </row>
    <row r="2232">
      <c r="A2232" s="2">
        <v>45651</v>
      </c>
      <c r="B22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2" s="3" t="str">
        <f>YEAR(KMART_DATA[[#This Row],[Date]])&amp;"-"&amp;TEXT(MONTH(KMART_DATA[[#This Row],[Date]]),"00")</f>
        <v>2024-12</v>
      </c>
      <c r="D2232" s="3" t="s">
        <v>28</v>
      </c>
      <c r="E2232" s="3" t="s">
        <v>175</v>
      </c>
      <c r="F2232" s="3" t="s">
        <v>16</v>
      </c>
      <c r="G22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232" s="3" t="s">
        <v>176</v>
      </c>
      <c r="I2232" s="3" t="s">
        <v>31</v>
      </c>
      <c r="J2232" s="3" t="s">
        <v>107</v>
      </c>
      <c r="K2232" s="3" t="s">
        <v>43</v>
      </c>
      <c r="L2232" s="3" t="s">
        <v>44</v>
      </c>
      <c r="M2232" s="4">
        <v>611.34</v>
      </c>
    </row>
    <row r="2233">
      <c r="A2233" s="2">
        <v>45651</v>
      </c>
      <c r="B22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3" s="3" t="str">
        <f>YEAR(KMART_DATA[[#This Row],[Date]])&amp;"-"&amp;TEXT(MONTH(KMART_DATA[[#This Row],[Date]]),"00")</f>
        <v>2024-12</v>
      </c>
      <c r="D2233" s="3" t="s">
        <v>28</v>
      </c>
      <c r="E2233" s="3" t="s">
        <v>221</v>
      </c>
      <c r="F2233" s="3" t="s">
        <v>11</v>
      </c>
      <c r="G22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33" s="3" t="s">
        <v>222</v>
      </c>
      <c r="I2233" s="3" t="s">
        <v>31</v>
      </c>
      <c r="J2233" s="3" t="s">
        <v>56</v>
      </c>
      <c r="K2233" s="3" t="s">
        <v>71</v>
      </c>
      <c r="L2233" s="3" t="s">
        <v>72</v>
      </c>
      <c r="M2233" s="4">
        <v>2265.13</v>
      </c>
    </row>
    <row r="2234">
      <c r="A2234" s="2">
        <v>45652</v>
      </c>
      <c r="B22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4" s="3" t="str">
        <f>YEAR(KMART_DATA[[#This Row],[Date]])&amp;"-"&amp;TEXT(MONTH(KMART_DATA[[#This Row],[Date]]),"00")</f>
        <v>2024-12</v>
      </c>
      <c r="D2234" s="3" t="s">
        <v>28</v>
      </c>
      <c r="E2234" s="3" t="s">
        <v>228</v>
      </c>
      <c r="F2234" s="3" t="s">
        <v>11</v>
      </c>
      <c r="G22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34" s="3" t="s">
        <v>229</v>
      </c>
      <c r="I2234" s="3" t="s">
        <v>31</v>
      </c>
      <c r="J2234" s="3" t="s">
        <v>32</v>
      </c>
      <c r="K2234" s="3" t="s">
        <v>43</v>
      </c>
      <c r="L2234" s="3" t="s">
        <v>44</v>
      </c>
      <c r="M2234" s="4">
        <v>18.0</v>
      </c>
    </row>
    <row r="2235">
      <c r="A2235" s="2">
        <v>45652</v>
      </c>
      <c r="B22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5" s="3" t="str">
        <f>YEAR(KMART_DATA[[#This Row],[Date]])&amp;"-"&amp;TEXT(MONTH(KMART_DATA[[#This Row],[Date]]),"00")</f>
        <v>2024-12</v>
      </c>
      <c r="D2235" s="3" t="s">
        <v>45</v>
      </c>
      <c r="E2235" s="3" t="s">
        <v>232</v>
      </c>
      <c r="F2235" s="3" t="s">
        <v>9</v>
      </c>
      <c r="G22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35" s="3" t="s">
        <v>233</v>
      </c>
      <c r="I2235" s="3" t="s">
        <v>31</v>
      </c>
      <c r="J2235" s="3" t="s">
        <v>75</v>
      </c>
      <c r="K2235" s="3" t="s">
        <v>46</v>
      </c>
      <c r="L2235" s="3" t="s">
        <v>47</v>
      </c>
      <c r="M2235" s="4">
        <v>31.96</v>
      </c>
    </row>
    <row r="2236">
      <c r="A2236" s="2">
        <v>45652</v>
      </c>
      <c r="B22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6" s="3" t="str">
        <f>YEAR(KMART_DATA[[#This Row],[Date]])&amp;"-"&amp;TEXT(MONTH(KMART_DATA[[#This Row],[Date]]),"00")</f>
        <v>2024-12</v>
      </c>
      <c r="D2236" s="3" t="s">
        <v>28</v>
      </c>
      <c r="E2236" s="3" t="s">
        <v>40</v>
      </c>
      <c r="F2236" s="3" t="s">
        <v>13</v>
      </c>
      <c r="G22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236" s="3" t="s">
        <v>41</v>
      </c>
      <c r="I2236" s="3" t="s">
        <v>31</v>
      </c>
      <c r="J2236" s="3" t="s">
        <v>42</v>
      </c>
      <c r="K2236" s="3" t="s">
        <v>38</v>
      </c>
      <c r="L2236" s="3" t="s">
        <v>39</v>
      </c>
      <c r="M2236" s="4">
        <v>63.46</v>
      </c>
    </row>
    <row r="2237">
      <c r="A2237" s="2">
        <v>45652</v>
      </c>
      <c r="B22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7" s="3" t="str">
        <f>YEAR(KMART_DATA[[#This Row],[Date]])&amp;"-"&amp;TEXT(MONTH(KMART_DATA[[#This Row],[Date]]),"00")</f>
        <v>2024-12</v>
      </c>
      <c r="D2237" s="3" t="s">
        <v>45</v>
      </c>
      <c r="E2237" s="3" t="s">
        <v>167</v>
      </c>
      <c r="F2237" s="3" t="s">
        <v>12</v>
      </c>
      <c r="G22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37" s="3" t="s">
        <v>168</v>
      </c>
      <c r="I2237" s="3" t="s">
        <v>31</v>
      </c>
      <c r="J2237" s="3" t="s">
        <v>102</v>
      </c>
      <c r="K2237" s="3" t="s">
        <v>71</v>
      </c>
      <c r="L2237" s="3" t="s">
        <v>72</v>
      </c>
      <c r="M2237" s="4">
        <v>104.9</v>
      </c>
    </row>
    <row r="2238">
      <c r="A2238" s="2">
        <v>45652</v>
      </c>
      <c r="B22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8" s="3" t="str">
        <f>YEAR(KMART_DATA[[#This Row],[Date]])&amp;"-"&amp;TEXT(MONTH(KMART_DATA[[#This Row],[Date]]),"00")</f>
        <v>2024-12</v>
      </c>
      <c r="D2238" s="3" t="s">
        <v>28</v>
      </c>
      <c r="E2238" s="3" t="s">
        <v>76</v>
      </c>
      <c r="F2238" s="3" t="s">
        <v>11</v>
      </c>
      <c r="G22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38" s="3" t="s">
        <v>77</v>
      </c>
      <c r="I2238" s="3" t="s">
        <v>31</v>
      </c>
      <c r="J2238" s="3" t="s">
        <v>78</v>
      </c>
      <c r="K2238" s="3" t="s">
        <v>123</v>
      </c>
      <c r="L2238" s="3" t="s">
        <v>124</v>
      </c>
      <c r="M2238" s="4">
        <v>368.1</v>
      </c>
    </row>
    <row r="2239">
      <c r="A2239" s="2">
        <v>45652</v>
      </c>
      <c r="B22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39" s="3" t="str">
        <f>YEAR(KMART_DATA[[#This Row],[Date]])&amp;"-"&amp;TEXT(MONTH(KMART_DATA[[#This Row],[Date]]),"00")</f>
        <v>2024-12</v>
      </c>
      <c r="D2239" s="3" t="s">
        <v>28</v>
      </c>
      <c r="E2239" s="3" t="s">
        <v>131</v>
      </c>
      <c r="F2239" s="3" t="s">
        <v>11</v>
      </c>
      <c r="G22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39" s="3" t="s">
        <v>132</v>
      </c>
      <c r="I2239" s="3" t="s">
        <v>31</v>
      </c>
      <c r="J2239" s="3" t="s">
        <v>32</v>
      </c>
      <c r="K2239" s="3" t="s">
        <v>57</v>
      </c>
      <c r="L2239" s="3" t="s">
        <v>58</v>
      </c>
      <c r="M2239" s="4">
        <v>879.85</v>
      </c>
    </row>
    <row r="2240">
      <c r="A2240" s="2">
        <v>45652</v>
      </c>
      <c r="B22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0" s="3" t="str">
        <f>YEAR(KMART_DATA[[#This Row],[Date]])&amp;"-"&amp;TEXT(MONTH(KMART_DATA[[#This Row],[Date]]),"00")</f>
        <v>2024-12</v>
      </c>
      <c r="D2240" s="3" t="s">
        <v>28</v>
      </c>
      <c r="E2240" s="3" t="s">
        <v>105</v>
      </c>
      <c r="F2240" s="3" t="s">
        <v>9</v>
      </c>
      <c r="G22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40" s="3" t="s">
        <v>106</v>
      </c>
      <c r="I2240" s="3" t="s">
        <v>31</v>
      </c>
      <c r="J2240" s="3" t="s">
        <v>107</v>
      </c>
      <c r="K2240" s="3" t="s">
        <v>38</v>
      </c>
      <c r="L2240" s="3" t="s">
        <v>39</v>
      </c>
      <c r="M2240" s="4">
        <v>1141.61</v>
      </c>
    </row>
    <row r="2241">
      <c r="A2241" s="2">
        <v>45653</v>
      </c>
      <c r="B22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1" s="3" t="str">
        <f>YEAR(KMART_DATA[[#This Row],[Date]])&amp;"-"&amp;TEXT(MONTH(KMART_DATA[[#This Row],[Date]]),"00")</f>
        <v>2024-12</v>
      </c>
      <c r="D2241" s="3" t="s">
        <v>28</v>
      </c>
      <c r="E2241" s="3" t="s">
        <v>158</v>
      </c>
      <c r="F2241" s="3" t="s">
        <v>11</v>
      </c>
      <c r="G22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41" s="3" t="s">
        <v>159</v>
      </c>
      <c r="I2241" s="3" t="s">
        <v>31</v>
      </c>
      <c r="J2241" s="3" t="s">
        <v>84</v>
      </c>
      <c r="K2241" s="3" t="s">
        <v>46</v>
      </c>
      <c r="L2241" s="3" t="s">
        <v>47</v>
      </c>
      <c r="M2241" s="4">
        <v>8.0</v>
      </c>
    </row>
    <row r="2242">
      <c r="A2242" s="2">
        <v>45653</v>
      </c>
      <c r="B22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2" s="3" t="str">
        <f>YEAR(KMART_DATA[[#This Row],[Date]])&amp;"-"&amp;TEXT(MONTH(KMART_DATA[[#This Row],[Date]]),"00")</f>
        <v>2024-12</v>
      </c>
      <c r="D2242" s="3" t="s">
        <v>28</v>
      </c>
      <c r="E2242" s="3" t="s">
        <v>169</v>
      </c>
      <c r="F2242" s="3" t="s">
        <v>12</v>
      </c>
      <c r="G22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42" s="3" t="s">
        <v>170</v>
      </c>
      <c r="I2242" s="3" t="s">
        <v>31</v>
      </c>
      <c r="J2242" s="3" t="s">
        <v>102</v>
      </c>
      <c r="K2242" s="3" t="s">
        <v>123</v>
      </c>
      <c r="L2242" s="3" t="s">
        <v>124</v>
      </c>
      <c r="M2242" s="4">
        <v>57.2</v>
      </c>
    </row>
    <row r="2243">
      <c r="A2243" s="2">
        <v>45653</v>
      </c>
      <c r="B22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3" s="3" t="str">
        <f>YEAR(KMART_DATA[[#This Row],[Date]])&amp;"-"&amp;TEXT(MONTH(KMART_DATA[[#This Row],[Date]]),"00")</f>
        <v>2024-12</v>
      </c>
      <c r="D2243" s="3" t="s">
        <v>45</v>
      </c>
      <c r="E2243" s="3" t="s">
        <v>201</v>
      </c>
      <c r="F2243" s="3" t="s">
        <v>10</v>
      </c>
      <c r="G22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43" s="3" t="s">
        <v>202</v>
      </c>
      <c r="I2243" s="3" t="s">
        <v>31</v>
      </c>
      <c r="J2243" s="3" t="s">
        <v>89</v>
      </c>
      <c r="K2243" s="3" t="s">
        <v>33</v>
      </c>
      <c r="L2243" s="3" t="s">
        <v>34</v>
      </c>
      <c r="M2243" s="4">
        <v>183.61</v>
      </c>
    </row>
    <row r="2244">
      <c r="A2244" s="2">
        <v>45653</v>
      </c>
      <c r="B22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4" s="3" t="str">
        <f>YEAR(KMART_DATA[[#This Row],[Date]])&amp;"-"&amp;TEXT(MONTH(KMART_DATA[[#This Row],[Date]]),"00")</f>
        <v>2024-12</v>
      </c>
      <c r="D2244" s="3" t="s">
        <v>28</v>
      </c>
      <c r="E2244" s="3" t="s">
        <v>171</v>
      </c>
      <c r="F2244" s="3" t="s">
        <v>10</v>
      </c>
      <c r="G22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44" s="3" t="s">
        <v>172</v>
      </c>
      <c r="I2244" s="3" t="s">
        <v>31</v>
      </c>
      <c r="J2244" s="3" t="s">
        <v>37</v>
      </c>
      <c r="K2244" s="3" t="s">
        <v>123</v>
      </c>
      <c r="L2244" s="3" t="s">
        <v>124</v>
      </c>
      <c r="M2244" s="4">
        <v>780.22</v>
      </c>
    </row>
    <row r="2245">
      <c r="A2245" s="2">
        <v>45653</v>
      </c>
      <c r="B22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5" s="3" t="str">
        <f>YEAR(KMART_DATA[[#This Row],[Date]])&amp;"-"&amp;TEXT(MONTH(KMART_DATA[[#This Row],[Date]]),"00")</f>
        <v>2024-12</v>
      </c>
      <c r="D2245" s="3" t="s">
        <v>28</v>
      </c>
      <c r="E2245" s="3" t="s">
        <v>203</v>
      </c>
      <c r="F2245" s="3" t="s">
        <v>10</v>
      </c>
      <c r="G22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45" s="3" t="s">
        <v>204</v>
      </c>
      <c r="I2245" s="3" t="s">
        <v>31</v>
      </c>
      <c r="J2245" s="3" t="s">
        <v>89</v>
      </c>
      <c r="K2245" s="3" t="s">
        <v>71</v>
      </c>
      <c r="L2245" s="3" t="s">
        <v>72</v>
      </c>
      <c r="M2245" s="4">
        <v>2558.73</v>
      </c>
    </row>
    <row r="2246">
      <c r="A2246" s="2">
        <v>45653</v>
      </c>
      <c r="B22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6" s="3" t="str">
        <f>YEAR(KMART_DATA[[#This Row],[Date]])&amp;"-"&amp;TEXT(MONTH(KMART_DATA[[#This Row],[Date]]),"00")</f>
        <v>2024-12</v>
      </c>
      <c r="D2246" s="3" t="s">
        <v>45</v>
      </c>
      <c r="E2246" s="3" t="s">
        <v>179</v>
      </c>
      <c r="F2246" s="3" t="s">
        <v>9</v>
      </c>
      <c r="G22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46" s="3" t="s">
        <v>180</v>
      </c>
      <c r="I2246" s="3" t="s">
        <v>31</v>
      </c>
      <c r="J2246" s="3" t="s">
        <v>99</v>
      </c>
      <c r="K2246" s="3" t="s">
        <v>123</v>
      </c>
      <c r="L2246" s="3" t="s">
        <v>124</v>
      </c>
      <c r="M2246" s="4">
        <v>5761.56</v>
      </c>
    </row>
    <row r="2247">
      <c r="A2247" s="2">
        <v>45654</v>
      </c>
      <c r="B22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7" s="3" t="str">
        <f>YEAR(KMART_DATA[[#This Row],[Date]])&amp;"-"&amp;TEXT(MONTH(KMART_DATA[[#This Row],[Date]]),"00")</f>
        <v>2024-12</v>
      </c>
      <c r="D2247" s="3" t="s">
        <v>28</v>
      </c>
      <c r="E2247" s="3" t="s">
        <v>131</v>
      </c>
      <c r="F2247" s="3" t="s">
        <v>11</v>
      </c>
      <c r="G22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47" s="3" t="s">
        <v>132</v>
      </c>
      <c r="I2247" s="3" t="s">
        <v>31</v>
      </c>
      <c r="J2247" s="3" t="s">
        <v>32</v>
      </c>
      <c r="K2247" s="3" t="s">
        <v>43</v>
      </c>
      <c r="L2247" s="3" t="s">
        <v>44</v>
      </c>
      <c r="M2247" s="4">
        <v>16.39</v>
      </c>
    </row>
    <row r="2248">
      <c r="A2248" s="2">
        <v>45654</v>
      </c>
      <c r="B22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8" s="3" t="str">
        <f>YEAR(KMART_DATA[[#This Row],[Date]])&amp;"-"&amp;TEXT(MONTH(KMART_DATA[[#This Row],[Date]]),"00")</f>
        <v>2024-12</v>
      </c>
      <c r="D2248" s="3" t="s">
        <v>45</v>
      </c>
      <c r="E2248" s="3" t="s">
        <v>114</v>
      </c>
      <c r="F2248" s="3" t="s">
        <v>9</v>
      </c>
      <c r="G22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48" s="3" t="s">
        <v>115</v>
      </c>
      <c r="I2248" s="3" t="s">
        <v>31</v>
      </c>
      <c r="J2248" s="3" t="s">
        <v>99</v>
      </c>
      <c r="K2248" s="3" t="s">
        <v>46</v>
      </c>
      <c r="L2248" s="3" t="s">
        <v>47</v>
      </c>
      <c r="M2248" s="4">
        <v>17.98</v>
      </c>
    </row>
    <row r="2249">
      <c r="A2249" s="2">
        <v>45654</v>
      </c>
      <c r="B22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49" s="3" t="str">
        <f>YEAR(KMART_DATA[[#This Row],[Date]])&amp;"-"&amp;TEXT(MONTH(KMART_DATA[[#This Row],[Date]]),"00")</f>
        <v>2024-12</v>
      </c>
      <c r="D2249" s="3" t="s">
        <v>28</v>
      </c>
      <c r="E2249" s="3" t="s">
        <v>193</v>
      </c>
      <c r="F2249" s="3" t="s">
        <v>9</v>
      </c>
      <c r="G22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49" s="3" t="s">
        <v>194</v>
      </c>
      <c r="I2249" s="3" t="s">
        <v>31</v>
      </c>
      <c r="J2249" s="3" t="s">
        <v>99</v>
      </c>
      <c r="K2249" s="3" t="s">
        <v>46</v>
      </c>
      <c r="L2249" s="3" t="s">
        <v>47</v>
      </c>
      <c r="M2249" s="4">
        <v>65.89</v>
      </c>
    </row>
    <row r="2250">
      <c r="A2250" s="2">
        <v>45654</v>
      </c>
      <c r="B22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0" s="3" t="str">
        <f>YEAR(KMART_DATA[[#This Row],[Date]])&amp;"-"&amp;TEXT(MONTH(KMART_DATA[[#This Row],[Date]]),"00")</f>
        <v>2024-12</v>
      </c>
      <c r="D2250" s="3" t="s">
        <v>28</v>
      </c>
      <c r="E2250" s="3" t="s">
        <v>191</v>
      </c>
      <c r="F2250" s="3" t="s">
        <v>10</v>
      </c>
      <c r="G22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50" s="3" t="s">
        <v>192</v>
      </c>
      <c r="I2250" s="3" t="s">
        <v>31</v>
      </c>
      <c r="J2250" s="3" t="s">
        <v>120</v>
      </c>
      <c r="K2250" s="3" t="s">
        <v>57</v>
      </c>
      <c r="L2250" s="3" t="s">
        <v>58</v>
      </c>
      <c r="M2250" s="4">
        <v>510.8</v>
      </c>
    </row>
    <row r="2251">
      <c r="A2251" s="2">
        <v>45654</v>
      </c>
      <c r="B22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1" s="3" t="str">
        <f>YEAR(KMART_DATA[[#This Row],[Date]])&amp;"-"&amp;TEXT(MONTH(KMART_DATA[[#This Row],[Date]]),"00")</f>
        <v>2024-12</v>
      </c>
      <c r="D2251" s="3" t="s">
        <v>28</v>
      </c>
      <c r="E2251" s="3" t="s">
        <v>238</v>
      </c>
      <c r="F2251" s="3" t="s">
        <v>13</v>
      </c>
      <c r="G22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251" s="3" t="s">
        <v>239</v>
      </c>
      <c r="I2251" s="3" t="s">
        <v>31</v>
      </c>
      <c r="J2251" s="3" t="s">
        <v>42</v>
      </c>
      <c r="K2251" s="3" t="s">
        <v>33</v>
      </c>
      <c r="L2251" s="3" t="s">
        <v>34</v>
      </c>
      <c r="M2251" s="4">
        <v>628.34</v>
      </c>
    </row>
    <row r="2252">
      <c r="A2252" s="2">
        <v>45654</v>
      </c>
      <c r="B22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2" s="3" t="str">
        <f>YEAR(KMART_DATA[[#This Row],[Date]])&amp;"-"&amp;TEXT(MONTH(KMART_DATA[[#This Row],[Date]]),"00")</f>
        <v>2024-12</v>
      </c>
      <c r="D2252" s="3" t="s">
        <v>28</v>
      </c>
      <c r="E2252" s="3" t="s">
        <v>54</v>
      </c>
      <c r="F2252" s="3" t="s">
        <v>11</v>
      </c>
      <c r="G22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52" s="3" t="s">
        <v>55</v>
      </c>
      <c r="I2252" s="3" t="s">
        <v>31</v>
      </c>
      <c r="J2252" s="3" t="s">
        <v>56</v>
      </c>
      <c r="K2252" s="3" t="s">
        <v>71</v>
      </c>
      <c r="L2252" s="3" t="s">
        <v>72</v>
      </c>
      <c r="M2252" s="4">
        <v>995.3</v>
      </c>
    </row>
    <row r="2253">
      <c r="A2253" s="2">
        <v>45654</v>
      </c>
      <c r="B22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3" s="3" t="str">
        <f>YEAR(KMART_DATA[[#This Row],[Date]])&amp;"-"&amp;TEXT(MONTH(KMART_DATA[[#This Row],[Date]]),"00")</f>
        <v>2024-12</v>
      </c>
      <c r="D2253" s="3" t="s">
        <v>28</v>
      </c>
      <c r="E2253" s="3" t="s">
        <v>87</v>
      </c>
      <c r="F2253" s="3" t="s">
        <v>10</v>
      </c>
      <c r="G22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53" s="3" t="s">
        <v>88</v>
      </c>
      <c r="I2253" s="3" t="s">
        <v>31</v>
      </c>
      <c r="J2253" s="3" t="s">
        <v>89</v>
      </c>
      <c r="K2253" s="3" t="s">
        <v>71</v>
      </c>
      <c r="L2253" s="3" t="s">
        <v>72</v>
      </c>
      <c r="M2253" s="4">
        <v>2036.75</v>
      </c>
    </row>
    <row r="2254">
      <c r="A2254" s="2">
        <v>45655</v>
      </c>
      <c r="B22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4" s="3" t="str">
        <f>YEAR(KMART_DATA[[#This Row],[Date]])&amp;"-"&amp;TEXT(MONTH(KMART_DATA[[#This Row],[Date]]),"00")</f>
        <v>2024-12</v>
      </c>
      <c r="D2254" s="3" t="s">
        <v>45</v>
      </c>
      <c r="E2254" s="3" t="s">
        <v>87</v>
      </c>
      <c r="F2254" s="3" t="s">
        <v>10</v>
      </c>
      <c r="G22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54" s="3" t="s">
        <v>88</v>
      </c>
      <c r="I2254" s="3" t="s">
        <v>31</v>
      </c>
      <c r="J2254" s="3" t="s">
        <v>89</v>
      </c>
      <c r="K2254" s="3" t="s">
        <v>46</v>
      </c>
      <c r="L2254" s="3" t="s">
        <v>47</v>
      </c>
      <c r="M2254" s="4">
        <v>21.48</v>
      </c>
    </row>
    <row r="2255">
      <c r="A2255" s="2">
        <v>45655</v>
      </c>
      <c r="B22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5" s="3" t="str">
        <f>YEAR(KMART_DATA[[#This Row],[Date]])&amp;"-"&amp;TEXT(MONTH(KMART_DATA[[#This Row],[Date]]),"00")</f>
        <v>2024-12</v>
      </c>
      <c r="D2255" s="3" t="s">
        <v>28</v>
      </c>
      <c r="E2255" s="3" t="s">
        <v>254</v>
      </c>
      <c r="F2255" s="3" t="s">
        <v>13</v>
      </c>
      <c r="G22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255" s="3" t="s">
        <v>255</v>
      </c>
      <c r="I2255" s="3" t="s">
        <v>31</v>
      </c>
      <c r="J2255" s="3" t="s">
        <v>227</v>
      </c>
      <c r="K2255" s="3" t="s">
        <v>43</v>
      </c>
      <c r="L2255" s="3" t="s">
        <v>44</v>
      </c>
      <c r="M2255" s="4">
        <v>47.0</v>
      </c>
    </row>
    <row r="2256">
      <c r="A2256" s="2">
        <v>45655</v>
      </c>
      <c r="B22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6" s="3" t="str">
        <f>YEAR(KMART_DATA[[#This Row],[Date]])&amp;"-"&amp;TEXT(MONTH(KMART_DATA[[#This Row],[Date]]),"00")</f>
        <v>2024-12</v>
      </c>
      <c r="D2256" s="3" t="s">
        <v>45</v>
      </c>
      <c r="E2256" s="3" t="s">
        <v>143</v>
      </c>
      <c r="F2256" s="3" t="s">
        <v>14</v>
      </c>
      <c r="G22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256" s="3" t="s">
        <v>144</v>
      </c>
      <c r="I2256" s="3" t="s">
        <v>31</v>
      </c>
      <c r="J2256" s="3" t="s">
        <v>145</v>
      </c>
      <c r="K2256" s="3" t="s">
        <v>43</v>
      </c>
      <c r="L2256" s="3" t="s">
        <v>44</v>
      </c>
      <c r="M2256" s="4">
        <v>369.8</v>
      </c>
    </row>
    <row r="2257">
      <c r="A2257" s="2">
        <v>45655</v>
      </c>
      <c r="B22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7" s="3" t="str">
        <f>YEAR(KMART_DATA[[#This Row],[Date]])&amp;"-"&amp;TEXT(MONTH(KMART_DATA[[#This Row],[Date]]),"00")</f>
        <v>2024-12</v>
      </c>
      <c r="D2257" s="3" t="s">
        <v>28</v>
      </c>
      <c r="E2257" s="3" t="s">
        <v>108</v>
      </c>
      <c r="F2257" s="3" t="s">
        <v>9</v>
      </c>
      <c r="G22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57" s="3" t="s">
        <v>109</v>
      </c>
      <c r="I2257" s="3" t="s">
        <v>31</v>
      </c>
      <c r="J2257" s="3" t="s">
        <v>75</v>
      </c>
      <c r="K2257" s="3" t="s">
        <v>95</v>
      </c>
      <c r="L2257" s="3" t="s">
        <v>96</v>
      </c>
      <c r="M2257" s="4">
        <v>3864.94</v>
      </c>
    </row>
    <row r="2258">
      <c r="A2258" s="2">
        <v>45656</v>
      </c>
      <c r="B22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8" s="3" t="str">
        <f>YEAR(KMART_DATA[[#This Row],[Date]])&amp;"-"&amp;TEXT(MONTH(KMART_DATA[[#This Row],[Date]]),"00")</f>
        <v>2024-12</v>
      </c>
      <c r="D2258" s="3" t="s">
        <v>28</v>
      </c>
      <c r="E2258" s="3" t="s">
        <v>87</v>
      </c>
      <c r="F2258" s="3" t="s">
        <v>10</v>
      </c>
      <c r="G22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58" s="3" t="s">
        <v>88</v>
      </c>
      <c r="I2258" s="3" t="s">
        <v>31</v>
      </c>
      <c r="J2258" s="3" t="s">
        <v>89</v>
      </c>
      <c r="K2258" s="3" t="s">
        <v>43</v>
      </c>
      <c r="L2258" s="3" t="s">
        <v>44</v>
      </c>
      <c r="M2258" s="4">
        <v>6.0</v>
      </c>
    </row>
    <row r="2259">
      <c r="A2259" s="2">
        <v>45656</v>
      </c>
      <c r="B22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59" s="3" t="str">
        <f>YEAR(KMART_DATA[[#This Row],[Date]])&amp;"-"&amp;TEXT(MONTH(KMART_DATA[[#This Row],[Date]]),"00")</f>
        <v>2024-12</v>
      </c>
      <c r="D2259" s="3" t="s">
        <v>28</v>
      </c>
      <c r="E2259" s="3" t="s">
        <v>73</v>
      </c>
      <c r="F2259" s="3" t="s">
        <v>9</v>
      </c>
      <c r="G22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59" s="3" t="s">
        <v>74</v>
      </c>
      <c r="I2259" s="3" t="s">
        <v>31</v>
      </c>
      <c r="J2259" s="3" t="s">
        <v>75</v>
      </c>
      <c r="K2259" s="3" t="s">
        <v>123</v>
      </c>
      <c r="L2259" s="3" t="s">
        <v>124</v>
      </c>
      <c r="M2259" s="4">
        <v>126.67</v>
      </c>
    </row>
    <row r="2260">
      <c r="A2260" s="2">
        <v>45656</v>
      </c>
      <c r="B22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0" s="3" t="str">
        <f>YEAR(KMART_DATA[[#This Row],[Date]])&amp;"-"&amp;TEXT(MONTH(KMART_DATA[[#This Row],[Date]]),"00")</f>
        <v>2024-12</v>
      </c>
      <c r="D2260" s="3" t="s">
        <v>28</v>
      </c>
      <c r="E2260" s="3" t="s">
        <v>221</v>
      </c>
      <c r="F2260" s="3" t="s">
        <v>11</v>
      </c>
      <c r="G22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60" s="3" t="s">
        <v>222</v>
      </c>
      <c r="I2260" s="3" t="s">
        <v>31</v>
      </c>
      <c r="J2260" s="3" t="s">
        <v>56</v>
      </c>
      <c r="K2260" s="3" t="s">
        <v>43</v>
      </c>
      <c r="L2260" s="3" t="s">
        <v>44</v>
      </c>
      <c r="M2260" s="4">
        <v>410.5</v>
      </c>
    </row>
    <row r="2261">
      <c r="A2261" s="2">
        <v>45656</v>
      </c>
      <c r="B22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1" s="3" t="str">
        <f>YEAR(KMART_DATA[[#This Row],[Date]])&amp;"-"&amp;TEXT(MONTH(KMART_DATA[[#This Row],[Date]]),"00")</f>
        <v>2024-12</v>
      </c>
      <c r="D2261" s="3" t="s">
        <v>28</v>
      </c>
      <c r="E2261" s="3" t="s">
        <v>51</v>
      </c>
      <c r="F2261" s="3" t="s">
        <v>15</v>
      </c>
      <c r="G22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261" s="3" t="s">
        <v>52</v>
      </c>
      <c r="I2261" s="3" t="s">
        <v>31</v>
      </c>
      <c r="J2261" s="3" t="s">
        <v>53</v>
      </c>
      <c r="K2261" s="3" t="s">
        <v>123</v>
      </c>
      <c r="L2261" s="3" t="s">
        <v>124</v>
      </c>
      <c r="M2261" s="4">
        <v>459.33</v>
      </c>
    </row>
    <row r="2262">
      <c r="A2262" s="2">
        <v>45656</v>
      </c>
      <c r="B22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2" s="3" t="str">
        <f>YEAR(KMART_DATA[[#This Row],[Date]])&amp;"-"&amp;TEXT(MONTH(KMART_DATA[[#This Row],[Date]]),"00")</f>
        <v>2024-12</v>
      </c>
      <c r="D2262" s="3" t="s">
        <v>28</v>
      </c>
      <c r="E2262" s="3" t="s">
        <v>160</v>
      </c>
      <c r="F2262" s="3" t="s">
        <v>12</v>
      </c>
      <c r="G22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62" s="3" t="s">
        <v>161</v>
      </c>
      <c r="I2262" s="3" t="s">
        <v>31</v>
      </c>
      <c r="J2262" s="3" t="s">
        <v>162</v>
      </c>
      <c r="K2262" s="3" t="s">
        <v>38</v>
      </c>
      <c r="L2262" s="3" t="s">
        <v>39</v>
      </c>
      <c r="M2262" s="4">
        <v>1212.09</v>
      </c>
    </row>
    <row r="2263">
      <c r="A2263" s="2">
        <v>45656</v>
      </c>
      <c r="B22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3" s="3" t="str">
        <f>YEAR(KMART_DATA[[#This Row],[Date]])&amp;"-"&amp;TEXT(MONTH(KMART_DATA[[#This Row],[Date]]),"00")</f>
        <v>2024-12</v>
      </c>
      <c r="D2263" s="3" t="s">
        <v>28</v>
      </c>
      <c r="E2263" s="3" t="s">
        <v>246</v>
      </c>
      <c r="F2263" s="3" t="s">
        <v>10</v>
      </c>
      <c r="G22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63" s="3" t="s">
        <v>247</v>
      </c>
      <c r="I2263" s="3" t="s">
        <v>31</v>
      </c>
      <c r="J2263" s="3" t="s">
        <v>37</v>
      </c>
      <c r="K2263" s="3" t="s">
        <v>43</v>
      </c>
      <c r="L2263" s="3" t="s">
        <v>44</v>
      </c>
      <c r="M2263" s="4">
        <v>1317.65</v>
      </c>
    </row>
    <row r="2264">
      <c r="A2264" s="2">
        <v>45656</v>
      </c>
      <c r="B22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4" s="3" t="str">
        <f>YEAR(KMART_DATA[[#This Row],[Date]])&amp;"-"&amp;TEXT(MONTH(KMART_DATA[[#This Row],[Date]]),"00")</f>
        <v>2024-12</v>
      </c>
      <c r="D2264" s="3" t="s">
        <v>45</v>
      </c>
      <c r="E2264" s="3" t="s">
        <v>209</v>
      </c>
      <c r="F2264" s="3" t="s">
        <v>9</v>
      </c>
      <c r="G22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64" s="3" t="s">
        <v>210</v>
      </c>
      <c r="I2264" s="3" t="s">
        <v>31</v>
      </c>
      <c r="J2264" s="3" t="s">
        <v>81</v>
      </c>
      <c r="K2264" s="3" t="s">
        <v>33</v>
      </c>
      <c r="L2264" s="3" t="s">
        <v>34</v>
      </c>
      <c r="M2264" s="4">
        <v>1791.03</v>
      </c>
    </row>
    <row r="2265">
      <c r="A2265" s="2">
        <v>45656</v>
      </c>
      <c r="B22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5" s="3" t="str">
        <f>YEAR(KMART_DATA[[#This Row],[Date]])&amp;"-"&amp;TEXT(MONTH(KMART_DATA[[#This Row],[Date]]),"00")</f>
        <v>2024-12</v>
      </c>
      <c r="D2265" s="3" t="s">
        <v>28</v>
      </c>
      <c r="E2265" s="3" t="s">
        <v>59</v>
      </c>
      <c r="F2265" s="3" t="s">
        <v>11</v>
      </c>
      <c r="G22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65" s="3" t="s">
        <v>60</v>
      </c>
      <c r="I2265" s="3" t="s">
        <v>31</v>
      </c>
      <c r="J2265" s="3" t="s">
        <v>61</v>
      </c>
      <c r="K2265" s="3" t="s">
        <v>71</v>
      </c>
      <c r="L2265" s="3" t="s">
        <v>72</v>
      </c>
      <c r="M2265" s="4">
        <v>2028.3</v>
      </c>
    </row>
    <row r="2266">
      <c r="A2266" s="2">
        <v>45656</v>
      </c>
      <c r="B22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6" s="3" t="str">
        <f>YEAR(KMART_DATA[[#This Row],[Date]])&amp;"-"&amp;TEXT(MONTH(KMART_DATA[[#This Row],[Date]]),"00")</f>
        <v>2024-12</v>
      </c>
      <c r="D2266" s="3" t="s">
        <v>28</v>
      </c>
      <c r="E2266" s="3" t="s">
        <v>232</v>
      </c>
      <c r="F2266" s="3" t="s">
        <v>9</v>
      </c>
      <c r="G22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66" s="3" t="s">
        <v>233</v>
      </c>
      <c r="I2266" s="3" t="s">
        <v>31</v>
      </c>
      <c r="J2266" s="3" t="s">
        <v>75</v>
      </c>
      <c r="K2266" s="3" t="s">
        <v>43</v>
      </c>
      <c r="L2266" s="3" t="s">
        <v>44</v>
      </c>
      <c r="M2266" s="4">
        <v>2075.2</v>
      </c>
    </row>
    <row r="2267">
      <c r="A2267" s="2">
        <v>45657</v>
      </c>
      <c r="B22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7" s="3" t="str">
        <f>YEAR(KMART_DATA[[#This Row],[Date]])&amp;"-"&amp;TEXT(MONTH(KMART_DATA[[#This Row],[Date]]),"00")</f>
        <v>2024-12</v>
      </c>
      <c r="D2267" s="3" t="s">
        <v>45</v>
      </c>
      <c r="E2267" s="3" t="s">
        <v>236</v>
      </c>
      <c r="F2267" s="3" t="s">
        <v>12</v>
      </c>
      <c r="G22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67" s="3" t="s">
        <v>237</v>
      </c>
      <c r="I2267" s="3" t="s">
        <v>31</v>
      </c>
      <c r="J2267" s="3" t="s">
        <v>102</v>
      </c>
      <c r="K2267" s="3" t="s">
        <v>123</v>
      </c>
      <c r="L2267" s="3" t="s">
        <v>124</v>
      </c>
      <c r="M2267" s="4">
        <v>34.97</v>
      </c>
    </row>
    <row r="2268">
      <c r="A2268" s="2">
        <v>45657</v>
      </c>
      <c r="B22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8" s="3" t="str">
        <f>YEAR(KMART_DATA[[#This Row],[Date]])&amp;"-"&amp;TEXT(MONTH(KMART_DATA[[#This Row],[Date]]),"00")</f>
        <v>2024-12</v>
      </c>
      <c r="D2268" s="3" t="s">
        <v>45</v>
      </c>
      <c r="E2268" s="3" t="s">
        <v>238</v>
      </c>
      <c r="F2268" s="3" t="s">
        <v>13</v>
      </c>
      <c r="G22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268" s="3" t="s">
        <v>239</v>
      </c>
      <c r="I2268" s="3" t="s">
        <v>31</v>
      </c>
      <c r="J2268" s="3" t="s">
        <v>42</v>
      </c>
      <c r="K2268" s="3" t="s">
        <v>38</v>
      </c>
      <c r="L2268" s="3" t="s">
        <v>39</v>
      </c>
      <c r="M2268" s="4">
        <v>139.67</v>
      </c>
    </row>
    <row r="2269">
      <c r="A2269" s="2">
        <v>45657</v>
      </c>
      <c r="B22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69" s="3" t="str">
        <f>YEAR(KMART_DATA[[#This Row],[Date]])&amp;"-"&amp;TEXT(MONTH(KMART_DATA[[#This Row],[Date]]),"00")</f>
        <v>2024-12</v>
      </c>
      <c r="D2269" s="3" t="s">
        <v>28</v>
      </c>
      <c r="E2269" s="3" t="s">
        <v>183</v>
      </c>
      <c r="F2269" s="3" t="s">
        <v>9</v>
      </c>
      <c r="G22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69" s="3" t="s">
        <v>184</v>
      </c>
      <c r="I2269" s="3" t="s">
        <v>31</v>
      </c>
      <c r="J2269" s="3" t="s">
        <v>70</v>
      </c>
      <c r="K2269" s="3" t="s">
        <v>112</v>
      </c>
      <c r="L2269" s="3" t="s">
        <v>113</v>
      </c>
      <c r="M2269" s="4">
        <v>169.26</v>
      </c>
    </row>
    <row r="2270">
      <c r="A2270" s="2">
        <v>45657</v>
      </c>
      <c r="B22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0" s="3" t="str">
        <f>YEAR(KMART_DATA[[#This Row],[Date]])&amp;"-"&amp;TEXT(MONTH(KMART_DATA[[#This Row],[Date]]),"00")</f>
        <v>2024-12</v>
      </c>
      <c r="D2270" s="3" t="s">
        <v>45</v>
      </c>
      <c r="E2270" s="3" t="s">
        <v>199</v>
      </c>
      <c r="F2270" s="3" t="s">
        <v>13</v>
      </c>
      <c r="G22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270" s="3" t="s">
        <v>200</v>
      </c>
      <c r="I2270" s="3" t="s">
        <v>31</v>
      </c>
      <c r="J2270" s="3" t="s">
        <v>42</v>
      </c>
      <c r="K2270" s="3" t="s">
        <v>71</v>
      </c>
      <c r="L2270" s="3" t="s">
        <v>72</v>
      </c>
      <c r="M2270" s="4">
        <v>213.92</v>
      </c>
    </row>
    <row r="2271">
      <c r="A2271" s="2">
        <v>45657</v>
      </c>
      <c r="B22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1" s="3" t="str">
        <f>YEAR(KMART_DATA[[#This Row],[Date]])&amp;"-"&amp;TEXT(MONTH(KMART_DATA[[#This Row],[Date]]),"00")</f>
        <v>2024-12</v>
      </c>
      <c r="D2271" s="3" t="s">
        <v>28</v>
      </c>
      <c r="E2271" s="3" t="s">
        <v>121</v>
      </c>
      <c r="F2271" s="3" t="s">
        <v>11</v>
      </c>
      <c r="G22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71" s="3" t="s">
        <v>122</v>
      </c>
      <c r="I2271" s="3" t="s">
        <v>31</v>
      </c>
      <c r="J2271" s="3" t="s">
        <v>84</v>
      </c>
      <c r="K2271" s="3" t="s">
        <v>33</v>
      </c>
      <c r="L2271" s="3" t="s">
        <v>34</v>
      </c>
      <c r="M2271" s="4">
        <v>242.57</v>
      </c>
    </row>
    <row r="2272">
      <c r="A2272" s="2">
        <v>45657</v>
      </c>
      <c r="B22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2" s="3" t="str">
        <f>YEAR(KMART_DATA[[#This Row],[Date]])&amp;"-"&amp;TEXT(MONTH(KMART_DATA[[#This Row],[Date]]),"00")</f>
        <v>2024-12</v>
      </c>
      <c r="D2272" s="3" t="s">
        <v>45</v>
      </c>
      <c r="E2272" s="3" t="s">
        <v>240</v>
      </c>
      <c r="F2272" s="3" t="s">
        <v>15</v>
      </c>
      <c r="G22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272" s="3" t="s">
        <v>241</v>
      </c>
      <c r="I2272" s="3" t="s">
        <v>31</v>
      </c>
      <c r="J2272" s="3" t="s">
        <v>53</v>
      </c>
      <c r="K2272" s="3" t="s">
        <v>38</v>
      </c>
      <c r="L2272" s="3" t="s">
        <v>39</v>
      </c>
      <c r="M2272" s="4">
        <v>410.28</v>
      </c>
    </row>
    <row r="2273">
      <c r="A2273" s="2">
        <v>45657</v>
      </c>
      <c r="B22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3" s="3" t="str">
        <f>YEAR(KMART_DATA[[#This Row],[Date]])&amp;"-"&amp;TEXT(MONTH(KMART_DATA[[#This Row],[Date]]),"00")</f>
        <v>2024-12</v>
      </c>
      <c r="D2273" s="3" t="s">
        <v>28</v>
      </c>
      <c r="E2273" s="3" t="s">
        <v>177</v>
      </c>
      <c r="F2273" s="3" t="s">
        <v>12</v>
      </c>
      <c r="G22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73" s="3" t="s">
        <v>178</v>
      </c>
      <c r="I2273" s="3" t="s">
        <v>31</v>
      </c>
      <c r="J2273" s="3" t="s">
        <v>162</v>
      </c>
      <c r="K2273" s="3" t="s">
        <v>43</v>
      </c>
      <c r="L2273" s="3" t="s">
        <v>44</v>
      </c>
      <c r="M2273" s="4">
        <v>661.89</v>
      </c>
    </row>
    <row r="2274">
      <c r="A2274" s="2">
        <v>45657</v>
      </c>
      <c r="B22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4" s="3" t="str">
        <f>YEAR(KMART_DATA[[#This Row],[Date]])&amp;"-"&amp;TEXT(MONTH(KMART_DATA[[#This Row],[Date]]),"00")</f>
        <v>2024-12</v>
      </c>
      <c r="D2274" s="3" t="s">
        <v>28</v>
      </c>
      <c r="E2274" s="3" t="s">
        <v>264</v>
      </c>
      <c r="F2274" s="3" t="s">
        <v>13</v>
      </c>
      <c r="G22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274" s="3" t="s">
        <v>265</v>
      </c>
      <c r="I2274" s="3" t="s">
        <v>31</v>
      </c>
      <c r="J2274" s="3" t="s">
        <v>42</v>
      </c>
      <c r="K2274" s="3" t="s">
        <v>95</v>
      </c>
      <c r="L2274" s="3" t="s">
        <v>96</v>
      </c>
      <c r="M2274" s="4">
        <v>741.28</v>
      </c>
    </row>
    <row r="2275">
      <c r="A2275" s="2">
        <v>45658</v>
      </c>
      <c r="B22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5" s="3" t="str">
        <f>YEAR(KMART_DATA[[#This Row],[Date]])&amp;"-"&amp;TEXT(MONTH(KMART_DATA[[#This Row],[Date]]),"00")</f>
        <v>2025-01</v>
      </c>
      <c r="D2275" s="3" t="s">
        <v>28</v>
      </c>
      <c r="E2275" s="3" t="s">
        <v>127</v>
      </c>
      <c r="F2275" s="3" t="s">
        <v>11</v>
      </c>
      <c r="G22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75" s="3" t="s">
        <v>128</v>
      </c>
      <c r="I2275" s="3" t="s">
        <v>31</v>
      </c>
      <c r="J2275" s="3" t="s">
        <v>78</v>
      </c>
      <c r="K2275" s="3" t="s">
        <v>33</v>
      </c>
      <c r="L2275" s="3" t="s">
        <v>34</v>
      </c>
      <c r="M2275" s="4">
        <v>5.0</v>
      </c>
    </row>
    <row r="2276">
      <c r="A2276" s="2">
        <v>45658</v>
      </c>
      <c r="B22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6" s="3" t="str">
        <f>YEAR(KMART_DATA[[#This Row],[Date]])&amp;"-"&amp;TEXT(MONTH(KMART_DATA[[#This Row],[Date]]),"00")</f>
        <v>2025-01</v>
      </c>
      <c r="D2276" s="3" t="s">
        <v>28</v>
      </c>
      <c r="E2276" s="3" t="s">
        <v>131</v>
      </c>
      <c r="F2276" s="3" t="s">
        <v>11</v>
      </c>
      <c r="G22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76" s="3" t="s">
        <v>132</v>
      </c>
      <c r="I2276" s="3" t="s">
        <v>31</v>
      </c>
      <c r="J2276" s="3" t="s">
        <v>32</v>
      </c>
      <c r="K2276" s="3" t="s">
        <v>43</v>
      </c>
      <c r="L2276" s="3" t="s">
        <v>44</v>
      </c>
      <c r="M2276" s="4">
        <v>40.98</v>
      </c>
    </row>
    <row r="2277">
      <c r="A2277" s="2">
        <v>45658</v>
      </c>
      <c r="B22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7" s="3" t="str">
        <f>YEAR(KMART_DATA[[#This Row],[Date]])&amp;"-"&amp;TEXT(MONTH(KMART_DATA[[#This Row],[Date]]),"00")</f>
        <v>2025-01</v>
      </c>
      <c r="D2277" s="3" t="s">
        <v>45</v>
      </c>
      <c r="E2277" s="3" t="s">
        <v>203</v>
      </c>
      <c r="F2277" s="3" t="s">
        <v>10</v>
      </c>
      <c r="G22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77" s="3" t="s">
        <v>204</v>
      </c>
      <c r="I2277" s="3" t="s">
        <v>31</v>
      </c>
      <c r="J2277" s="3" t="s">
        <v>89</v>
      </c>
      <c r="K2277" s="3" t="s">
        <v>123</v>
      </c>
      <c r="L2277" s="3" t="s">
        <v>124</v>
      </c>
      <c r="M2277" s="4">
        <v>51.05</v>
      </c>
    </row>
    <row r="2278">
      <c r="A2278" s="2">
        <v>45658</v>
      </c>
      <c r="B22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8" s="3" t="str">
        <f>YEAR(KMART_DATA[[#This Row],[Date]])&amp;"-"&amp;TEXT(MONTH(KMART_DATA[[#This Row],[Date]]),"00")</f>
        <v>2025-01</v>
      </c>
      <c r="D2278" s="3" t="s">
        <v>45</v>
      </c>
      <c r="E2278" s="3" t="s">
        <v>252</v>
      </c>
      <c r="F2278" s="3" t="s">
        <v>10</v>
      </c>
      <c r="G22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78" s="3" t="s">
        <v>253</v>
      </c>
      <c r="I2278" s="3" t="s">
        <v>31</v>
      </c>
      <c r="J2278" s="3" t="s">
        <v>94</v>
      </c>
      <c r="K2278" s="3" t="s">
        <v>112</v>
      </c>
      <c r="L2278" s="3" t="s">
        <v>113</v>
      </c>
      <c r="M2278" s="4">
        <v>62.84</v>
      </c>
    </row>
    <row r="2279">
      <c r="A2279" s="2">
        <v>45658</v>
      </c>
      <c r="B22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79" s="3" t="str">
        <f>YEAR(KMART_DATA[[#This Row],[Date]])&amp;"-"&amp;TEXT(MONTH(KMART_DATA[[#This Row],[Date]]),"00")</f>
        <v>2025-01</v>
      </c>
      <c r="D2279" s="3" t="s">
        <v>28</v>
      </c>
      <c r="E2279" s="3" t="s">
        <v>87</v>
      </c>
      <c r="F2279" s="3" t="s">
        <v>10</v>
      </c>
      <c r="G22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79" s="3" t="s">
        <v>88</v>
      </c>
      <c r="I2279" s="3" t="s">
        <v>31</v>
      </c>
      <c r="J2279" s="3" t="s">
        <v>89</v>
      </c>
      <c r="K2279" s="3" t="s">
        <v>46</v>
      </c>
      <c r="L2279" s="3" t="s">
        <v>47</v>
      </c>
      <c r="M2279" s="4">
        <v>372.78</v>
      </c>
    </row>
    <row r="2280">
      <c r="A2280" s="2">
        <v>45658</v>
      </c>
      <c r="B22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0" s="3" t="str">
        <f>YEAR(KMART_DATA[[#This Row],[Date]])&amp;"-"&amp;TEXT(MONTH(KMART_DATA[[#This Row],[Date]]),"00")</f>
        <v>2025-01</v>
      </c>
      <c r="D2280" s="3" t="s">
        <v>28</v>
      </c>
      <c r="E2280" s="3" t="s">
        <v>133</v>
      </c>
      <c r="F2280" s="3" t="s">
        <v>10</v>
      </c>
      <c r="G22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80" s="3" t="s">
        <v>134</v>
      </c>
      <c r="I2280" s="3" t="s">
        <v>31</v>
      </c>
      <c r="J2280" s="3" t="s">
        <v>37</v>
      </c>
      <c r="K2280" s="3" t="s">
        <v>57</v>
      </c>
      <c r="L2280" s="3" t="s">
        <v>58</v>
      </c>
      <c r="M2280" s="4">
        <v>1434.67</v>
      </c>
    </row>
    <row r="2281">
      <c r="A2281" s="2">
        <v>45658</v>
      </c>
      <c r="B22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1" s="3" t="str">
        <f>YEAR(KMART_DATA[[#This Row],[Date]])&amp;"-"&amp;TEXT(MONTH(KMART_DATA[[#This Row],[Date]]),"00")</f>
        <v>2025-01</v>
      </c>
      <c r="D2281" s="3" t="s">
        <v>28</v>
      </c>
      <c r="E2281" s="3" t="s">
        <v>118</v>
      </c>
      <c r="F2281" s="3" t="s">
        <v>10</v>
      </c>
      <c r="G22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81" s="3" t="s">
        <v>119</v>
      </c>
      <c r="I2281" s="3" t="s">
        <v>31</v>
      </c>
      <c r="J2281" s="3" t="s">
        <v>120</v>
      </c>
      <c r="K2281" s="3" t="s">
        <v>71</v>
      </c>
      <c r="L2281" s="3" t="s">
        <v>72</v>
      </c>
      <c r="M2281" s="4">
        <v>1572.14</v>
      </c>
    </row>
    <row r="2282">
      <c r="A2282" s="2">
        <v>45659</v>
      </c>
      <c r="B22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2" s="3" t="str">
        <f>YEAR(KMART_DATA[[#This Row],[Date]])&amp;"-"&amp;TEXT(MONTH(KMART_DATA[[#This Row],[Date]]),"00")</f>
        <v>2025-01</v>
      </c>
      <c r="D2282" s="3" t="s">
        <v>45</v>
      </c>
      <c r="E2282" s="3" t="s">
        <v>219</v>
      </c>
      <c r="F2282" s="3" t="s">
        <v>11</v>
      </c>
      <c r="G22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82" s="3" t="s">
        <v>220</v>
      </c>
      <c r="I2282" s="3" t="s">
        <v>31</v>
      </c>
      <c r="J2282" s="3" t="s">
        <v>56</v>
      </c>
      <c r="K2282" s="3" t="s">
        <v>38</v>
      </c>
      <c r="L2282" s="3" t="s">
        <v>39</v>
      </c>
      <c r="M2282" s="4">
        <v>30.92</v>
      </c>
    </row>
    <row r="2283">
      <c r="A2283" s="2">
        <v>45659</v>
      </c>
      <c r="B22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3" s="3" t="str">
        <f>YEAR(KMART_DATA[[#This Row],[Date]])&amp;"-"&amp;TEXT(MONTH(KMART_DATA[[#This Row],[Date]]),"00")</f>
        <v>2025-01</v>
      </c>
      <c r="D2283" s="3" t="s">
        <v>28</v>
      </c>
      <c r="E2283" s="3" t="s">
        <v>163</v>
      </c>
      <c r="F2283" s="3" t="s">
        <v>9</v>
      </c>
      <c r="G22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83" s="3" t="s">
        <v>164</v>
      </c>
      <c r="I2283" s="3" t="s">
        <v>31</v>
      </c>
      <c r="J2283" s="3" t="s">
        <v>81</v>
      </c>
      <c r="K2283" s="3" t="s">
        <v>71</v>
      </c>
      <c r="L2283" s="3" t="s">
        <v>72</v>
      </c>
      <c r="M2283" s="4">
        <v>3180.58</v>
      </c>
    </row>
    <row r="2284">
      <c r="A2284" s="2">
        <v>45659</v>
      </c>
      <c r="B22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4" s="3" t="str">
        <f>YEAR(KMART_DATA[[#This Row],[Date]])&amp;"-"&amp;TEXT(MONTH(KMART_DATA[[#This Row],[Date]]),"00")</f>
        <v>2025-01</v>
      </c>
      <c r="D2284" s="3" t="s">
        <v>28</v>
      </c>
      <c r="E2284" s="3" t="s">
        <v>221</v>
      </c>
      <c r="F2284" s="3" t="s">
        <v>11</v>
      </c>
      <c r="G22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84" s="3" t="s">
        <v>222</v>
      </c>
      <c r="I2284" s="3" t="s">
        <v>31</v>
      </c>
      <c r="J2284" s="3" t="s">
        <v>56</v>
      </c>
      <c r="K2284" s="3" t="s">
        <v>123</v>
      </c>
      <c r="L2284" s="3" t="s">
        <v>124</v>
      </c>
      <c r="M2284" s="4">
        <v>6066.26</v>
      </c>
    </row>
    <row r="2285">
      <c r="A2285" s="2">
        <v>45660</v>
      </c>
      <c r="B22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5" s="3" t="str">
        <f>YEAR(KMART_DATA[[#This Row],[Date]])&amp;"-"&amp;TEXT(MONTH(KMART_DATA[[#This Row],[Date]]),"00")</f>
        <v>2025-01</v>
      </c>
      <c r="D2285" s="3" t="s">
        <v>45</v>
      </c>
      <c r="E2285" s="3" t="s">
        <v>82</v>
      </c>
      <c r="F2285" s="3" t="s">
        <v>11</v>
      </c>
      <c r="G22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85" s="3" t="s">
        <v>83</v>
      </c>
      <c r="I2285" s="3" t="s">
        <v>31</v>
      </c>
      <c r="J2285" s="3" t="s">
        <v>84</v>
      </c>
      <c r="K2285" s="3" t="s">
        <v>66</v>
      </c>
      <c r="L2285" s="3" t="s">
        <v>67</v>
      </c>
      <c r="M2285" s="4">
        <v>74.17</v>
      </c>
    </row>
    <row r="2286">
      <c r="A2286" s="2">
        <v>45661</v>
      </c>
      <c r="B22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6" s="3" t="str">
        <f>YEAR(KMART_DATA[[#This Row],[Date]])&amp;"-"&amp;TEXT(MONTH(KMART_DATA[[#This Row],[Date]]),"00")</f>
        <v>2025-01</v>
      </c>
      <c r="D2286" s="3" t="s">
        <v>28</v>
      </c>
      <c r="E2286" s="3" t="s">
        <v>234</v>
      </c>
      <c r="F2286" s="3" t="s">
        <v>9</v>
      </c>
      <c r="G22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86" s="3" t="s">
        <v>235</v>
      </c>
      <c r="I2286" s="3" t="s">
        <v>31</v>
      </c>
      <c r="J2286" s="3" t="s">
        <v>81</v>
      </c>
      <c r="K2286" s="3" t="s">
        <v>43</v>
      </c>
      <c r="L2286" s="3" t="s">
        <v>44</v>
      </c>
      <c r="M2286" s="4">
        <v>1.0</v>
      </c>
    </row>
    <row r="2287">
      <c r="A2287" s="2">
        <v>45661</v>
      </c>
      <c r="B22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7" s="3" t="str">
        <f>YEAR(KMART_DATA[[#This Row],[Date]])&amp;"-"&amp;TEXT(MONTH(KMART_DATA[[#This Row],[Date]]),"00")</f>
        <v>2025-01</v>
      </c>
      <c r="D2287" s="3" t="s">
        <v>28</v>
      </c>
      <c r="E2287" s="3" t="s">
        <v>179</v>
      </c>
      <c r="F2287" s="3" t="s">
        <v>9</v>
      </c>
      <c r="G22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87" s="3" t="s">
        <v>180</v>
      </c>
      <c r="I2287" s="3" t="s">
        <v>31</v>
      </c>
      <c r="J2287" s="3" t="s">
        <v>99</v>
      </c>
      <c r="K2287" s="3" t="s">
        <v>71</v>
      </c>
      <c r="L2287" s="3" t="s">
        <v>72</v>
      </c>
      <c r="M2287" s="4">
        <v>3.88</v>
      </c>
    </row>
    <row r="2288">
      <c r="A2288" s="2">
        <v>45661</v>
      </c>
      <c r="B22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8" s="3" t="str">
        <f>YEAR(KMART_DATA[[#This Row],[Date]])&amp;"-"&amp;TEXT(MONTH(KMART_DATA[[#This Row],[Date]]),"00")</f>
        <v>2025-01</v>
      </c>
      <c r="D2288" s="3" t="s">
        <v>45</v>
      </c>
      <c r="E2288" s="3" t="s">
        <v>187</v>
      </c>
      <c r="F2288" s="3" t="s">
        <v>11</v>
      </c>
      <c r="G22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88" s="3" t="s">
        <v>188</v>
      </c>
      <c r="I2288" s="3" t="s">
        <v>31</v>
      </c>
      <c r="J2288" s="3" t="s">
        <v>78</v>
      </c>
      <c r="K2288" s="3" t="s">
        <v>57</v>
      </c>
      <c r="L2288" s="3" t="s">
        <v>58</v>
      </c>
      <c r="M2288" s="4">
        <v>137.81</v>
      </c>
    </row>
    <row r="2289">
      <c r="A2289" s="2">
        <v>45661</v>
      </c>
      <c r="B22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89" s="3" t="str">
        <f>YEAR(KMART_DATA[[#This Row],[Date]])&amp;"-"&amp;TEXT(MONTH(KMART_DATA[[#This Row],[Date]]),"00")</f>
        <v>2025-01</v>
      </c>
      <c r="D2289" s="3" t="s">
        <v>45</v>
      </c>
      <c r="E2289" s="3" t="s">
        <v>92</v>
      </c>
      <c r="F2289" s="3" t="s">
        <v>10</v>
      </c>
      <c r="G22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89" s="3" t="s">
        <v>93</v>
      </c>
      <c r="I2289" s="3" t="s">
        <v>31</v>
      </c>
      <c r="J2289" s="3" t="s">
        <v>94</v>
      </c>
      <c r="K2289" s="3" t="s">
        <v>33</v>
      </c>
      <c r="L2289" s="3" t="s">
        <v>34</v>
      </c>
      <c r="M2289" s="4">
        <v>667.46</v>
      </c>
    </row>
    <row r="2290">
      <c r="A2290" s="2">
        <v>45661</v>
      </c>
      <c r="B22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0" s="3" t="str">
        <f>YEAR(KMART_DATA[[#This Row],[Date]])&amp;"-"&amp;TEXT(MONTH(KMART_DATA[[#This Row],[Date]]),"00")</f>
        <v>2025-01</v>
      </c>
      <c r="D2290" s="3" t="s">
        <v>28</v>
      </c>
      <c r="E2290" s="3" t="s">
        <v>97</v>
      </c>
      <c r="F2290" s="3" t="s">
        <v>9</v>
      </c>
      <c r="G22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90" s="3" t="s">
        <v>98</v>
      </c>
      <c r="I2290" s="3" t="s">
        <v>31</v>
      </c>
      <c r="J2290" s="3" t="s">
        <v>99</v>
      </c>
      <c r="K2290" s="3" t="s">
        <v>46</v>
      </c>
      <c r="L2290" s="3" t="s">
        <v>47</v>
      </c>
      <c r="M2290" s="4">
        <v>1607.14</v>
      </c>
    </row>
    <row r="2291">
      <c r="A2291" s="2">
        <v>45662</v>
      </c>
      <c r="B22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1" s="3" t="str">
        <f>YEAR(KMART_DATA[[#This Row],[Date]])&amp;"-"&amp;TEXT(MONTH(KMART_DATA[[#This Row],[Date]]),"00")</f>
        <v>2025-01</v>
      </c>
      <c r="D2291" s="3" t="s">
        <v>28</v>
      </c>
      <c r="E2291" s="3" t="s">
        <v>217</v>
      </c>
      <c r="F2291" s="3" t="s">
        <v>10</v>
      </c>
      <c r="G22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91" s="3" t="s">
        <v>218</v>
      </c>
      <c r="I2291" s="3" t="s">
        <v>31</v>
      </c>
      <c r="J2291" s="3" t="s">
        <v>89</v>
      </c>
      <c r="K2291" s="3" t="s">
        <v>46</v>
      </c>
      <c r="L2291" s="3" t="s">
        <v>47</v>
      </c>
      <c r="M2291" s="4">
        <v>12.99</v>
      </c>
    </row>
    <row r="2292">
      <c r="A2292" s="2">
        <v>45662</v>
      </c>
      <c r="B22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2" s="3" t="str">
        <f>YEAR(KMART_DATA[[#This Row],[Date]])&amp;"-"&amp;TEXT(MONTH(KMART_DATA[[#This Row],[Date]]),"00")</f>
        <v>2025-01</v>
      </c>
      <c r="D2292" s="3" t="s">
        <v>45</v>
      </c>
      <c r="E2292" s="3" t="s">
        <v>163</v>
      </c>
      <c r="F2292" s="3" t="s">
        <v>9</v>
      </c>
      <c r="G22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92" s="3" t="s">
        <v>164</v>
      </c>
      <c r="I2292" s="3" t="s">
        <v>31</v>
      </c>
      <c r="J2292" s="3" t="s">
        <v>81</v>
      </c>
      <c r="K2292" s="3" t="s">
        <v>95</v>
      </c>
      <c r="L2292" s="3" t="s">
        <v>96</v>
      </c>
      <c r="M2292" s="4">
        <v>89.32</v>
      </c>
    </row>
    <row r="2293">
      <c r="A2293" s="2">
        <v>45662</v>
      </c>
      <c r="B22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3" s="3" t="str">
        <f>YEAR(KMART_DATA[[#This Row],[Date]])&amp;"-"&amp;TEXT(MONTH(KMART_DATA[[#This Row],[Date]]),"00")</f>
        <v>2025-01</v>
      </c>
      <c r="D2293" s="3" t="s">
        <v>28</v>
      </c>
      <c r="E2293" s="3" t="s">
        <v>262</v>
      </c>
      <c r="F2293" s="3" t="s">
        <v>10</v>
      </c>
      <c r="G22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93" s="3" t="s">
        <v>263</v>
      </c>
      <c r="I2293" s="3" t="s">
        <v>31</v>
      </c>
      <c r="J2293" s="3" t="s">
        <v>120</v>
      </c>
      <c r="K2293" s="3" t="s">
        <v>33</v>
      </c>
      <c r="L2293" s="3" t="s">
        <v>34</v>
      </c>
      <c r="M2293" s="4">
        <v>132.66</v>
      </c>
    </row>
    <row r="2294">
      <c r="A2294" s="2">
        <v>45662</v>
      </c>
      <c r="B22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4" s="3" t="str">
        <f>YEAR(KMART_DATA[[#This Row],[Date]])&amp;"-"&amp;TEXT(MONTH(KMART_DATA[[#This Row],[Date]]),"00")</f>
        <v>2025-01</v>
      </c>
      <c r="D2294" s="3" t="s">
        <v>45</v>
      </c>
      <c r="E2294" s="3" t="s">
        <v>103</v>
      </c>
      <c r="F2294" s="3" t="s">
        <v>12</v>
      </c>
      <c r="G22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294" s="3" t="s">
        <v>104</v>
      </c>
      <c r="I2294" s="3" t="s">
        <v>31</v>
      </c>
      <c r="J2294" s="3" t="s">
        <v>102</v>
      </c>
      <c r="K2294" s="3" t="s">
        <v>33</v>
      </c>
      <c r="L2294" s="3" t="s">
        <v>34</v>
      </c>
      <c r="M2294" s="4">
        <v>340.33</v>
      </c>
    </row>
    <row r="2295">
      <c r="A2295" s="2">
        <v>45662</v>
      </c>
      <c r="B22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5" s="3" t="str">
        <f>YEAR(KMART_DATA[[#This Row],[Date]])&amp;"-"&amp;TEXT(MONTH(KMART_DATA[[#This Row],[Date]]),"00")</f>
        <v>2025-01</v>
      </c>
      <c r="D2295" s="3" t="s">
        <v>28</v>
      </c>
      <c r="E2295" s="3" t="s">
        <v>133</v>
      </c>
      <c r="F2295" s="3" t="s">
        <v>10</v>
      </c>
      <c r="G22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95" s="3" t="s">
        <v>134</v>
      </c>
      <c r="I2295" s="3" t="s">
        <v>31</v>
      </c>
      <c r="J2295" s="3" t="s">
        <v>37</v>
      </c>
      <c r="K2295" s="3" t="s">
        <v>43</v>
      </c>
      <c r="L2295" s="3" t="s">
        <v>44</v>
      </c>
      <c r="M2295" s="4">
        <v>603.43</v>
      </c>
    </row>
    <row r="2296">
      <c r="A2296" s="2">
        <v>45662</v>
      </c>
      <c r="B22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6" s="3" t="str">
        <f>YEAR(KMART_DATA[[#This Row],[Date]])&amp;"-"&amp;TEXT(MONTH(KMART_DATA[[#This Row],[Date]]),"00")</f>
        <v>2025-01</v>
      </c>
      <c r="D2296" s="3" t="s">
        <v>28</v>
      </c>
      <c r="E2296" s="3" t="s">
        <v>82</v>
      </c>
      <c r="F2296" s="3" t="s">
        <v>11</v>
      </c>
      <c r="G22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296" s="3" t="s">
        <v>83</v>
      </c>
      <c r="I2296" s="3" t="s">
        <v>31</v>
      </c>
      <c r="J2296" s="3" t="s">
        <v>84</v>
      </c>
      <c r="K2296" s="3" t="s">
        <v>33</v>
      </c>
      <c r="L2296" s="3" t="s">
        <v>34</v>
      </c>
      <c r="M2296" s="4">
        <v>624.81</v>
      </c>
    </row>
    <row r="2297">
      <c r="A2297" s="2">
        <v>45662</v>
      </c>
      <c r="B22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7" s="3" t="str">
        <f>YEAR(KMART_DATA[[#This Row],[Date]])&amp;"-"&amp;TEXT(MONTH(KMART_DATA[[#This Row],[Date]]),"00")</f>
        <v>2025-01</v>
      </c>
      <c r="D2297" s="3" t="s">
        <v>45</v>
      </c>
      <c r="E2297" s="3" t="s">
        <v>143</v>
      </c>
      <c r="F2297" s="3" t="s">
        <v>14</v>
      </c>
      <c r="G22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297" s="3" t="s">
        <v>144</v>
      </c>
      <c r="I2297" s="3" t="s">
        <v>31</v>
      </c>
      <c r="J2297" s="3" t="s">
        <v>145</v>
      </c>
      <c r="K2297" s="3" t="s">
        <v>43</v>
      </c>
      <c r="L2297" s="3" t="s">
        <v>44</v>
      </c>
      <c r="M2297" s="4">
        <v>632.67</v>
      </c>
    </row>
    <row r="2298">
      <c r="A2298" s="2">
        <v>45662</v>
      </c>
      <c r="B22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8" s="3" t="str">
        <f>YEAR(KMART_DATA[[#This Row],[Date]])&amp;"-"&amp;TEXT(MONTH(KMART_DATA[[#This Row],[Date]]),"00")</f>
        <v>2025-01</v>
      </c>
      <c r="D2298" s="3" t="s">
        <v>28</v>
      </c>
      <c r="E2298" s="3" t="s">
        <v>137</v>
      </c>
      <c r="F2298" s="3" t="s">
        <v>10</v>
      </c>
      <c r="G22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298" s="3" t="s">
        <v>138</v>
      </c>
      <c r="I2298" s="3" t="s">
        <v>31</v>
      </c>
      <c r="J2298" s="3" t="s">
        <v>89</v>
      </c>
      <c r="K2298" s="3" t="s">
        <v>57</v>
      </c>
      <c r="L2298" s="3" t="s">
        <v>58</v>
      </c>
      <c r="M2298" s="4">
        <v>1254.78</v>
      </c>
    </row>
    <row r="2299">
      <c r="A2299" s="2">
        <v>45663</v>
      </c>
      <c r="B22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299" s="3" t="str">
        <f>YEAR(KMART_DATA[[#This Row],[Date]])&amp;"-"&amp;TEXT(MONTH(KMART_DATA[[#This Row],[Date]]),"00")</f>
        <v>2025-01</v>
      </c>
      <c r="D2299" s="3" t="s">
        <v>45</v>
      </c>
      <c r="E2299" s="3" t="s">
        <v>105</v>
      </c>
      <c r="F2299" s="3" t="s">
        <v>9</v>
      </c>
      <c r="G22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299" s="3" t="s">
        <v>106</v>
      </c>
      <c r="I2299" s="3" t="s">
        <v>31</v>
      </c>
      <c r="J2299" s="3" t="s">
        <v>107</v>
      </c>
      <c r="K2299" s="3" t="s">
        <v>71</v>
      </c>
      <c r="L2299" s="3" t="s">
        <v>72</v>
      </c>
      <c r="M2299" s="4">
        <v>7.98</v>
      </c>
    </row>
    <row r="2300">
      <c r="A2300" s="2">
        <v>45663</v>
      </c>
      <c r="B23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0" s="3" t="str">
        <f>YEAR(KMART_DATA[[#This Row],[Date]])&amp;"-"&amp;TEXT(MONTH(KMART_DATA[[#This Row],[Date]]),"00")</f>
        <v>2025-01</v>
      </c>
      <c r="D2300" s="3" t="s">
        <v>45</v>
      </c>
      <c r="E2300" s="3" t="s">
        <v>59</v>
      </c>
      <c r="F2300" s="3" t="s">
        <v>11</v>
      </c>
      <c r="G23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00" s="3" t="s">
        <v>60</v>
      </c>
      <c r="I2300" s="3" t="s">
        <v>31</v>
      </c>
      <c r="J2300" s="3" t="s">
        <v>61</v>
      </c>
      <c r="K2300" s="3" t="s">
        <v>66</v>
      </c>
      <c r="L2300" s="3" t="s">
        <v>67</v>
      </c>
      <c r="M2300" s="4">
        <v>20.18</v>
      </c>
    </row>
    <row r="2301">
      <c r="A2301" s="2">
        <v>45663</v>
      </c>
      <c r="B23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1" s="3" t="str">
        <f>YEAR(KMART_DATA[[#This Row],[Date]])&amp;"-"&amp;TEXT(MONTH(KMART_DATA[[#This Row],[Date]]),"00")</f>
        <v>2025-01</v>
      </c>
      <c r="D2301" s="3" t="s">
        <v>28</v>
      </c>
      <c r="E2301" s="3" t="s">
        <v>114</v>
      </c>
      <c r="F2301" s="3" t="s">
        <v>9</v>
      </c>
      <c r="G23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01" s="3" t="s">
        <v>115</v>
      </c>
      <c r="I2301" s="3" t="s">
        <v>31</v>
      </c>
      <c r="J2301" s="3" t="s">
        <v>99</v>
      </c>
      <c r="K2301" s="3" t="s">
        <v>43</v>
      </c>
      <c r="L2301" s="3" t="s">
        <v>44</v>
      </c>
      <c r="M2301" s="4">
        <v>28.18</v>
      </c>
    </row>
    <row r="2302">
      <c r="A2302" s="2">
        <v>45663</v>
      </c>
      <c r="B23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2" s="3" t="str">
        <f>YEAR(KMART_DATA[[#This Row],[Date]])&amp;"-"&amp;TEXT(MONTH(KMART_DATA[[#This Row],[Date]]),"00")</f>
        <v>2025-01</v>
      </c>
      <c r="D2302" s="3" t="s">
        <v>28</v>
      </c>
      <c r="E2302" s="3" t="s">
        <v>165</v>
      </c>
      <c r="F2302" s="3" t="s">
        <v>9</v>
      </c>
      <c r="G23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02" s="3" t="s">
        <v>166</v>
      </c>
      <c r="I2302" s="3" t="s">
        <v>31</v>
      </c>
      <c r="J2302" s="3" t="s">
        <v>99</v>
      </c>
      <c r="K2302" s="3" t="s">
        <v>57</v>
      </c>
      <c r="L2302" s="3" t="s">
        <v>58</v>
      </c>
      <c r="M2302" s="4">
        <v>39.96</v>
      </c>
    </row>
    <row r="2303">
      <c r="A2303" s="2">
        <v>45663</v>
      </c>
      <c r="B23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3" s="3" t="str">
        <f>YEAR(KMART_DATA[[#This Row],[Date]])&amp;"-"&amp;TEXT(MONTH(KMART_DATA[[#This Row],[Date]]),"00")</f>
        <v>2025-01</v>
      </c>
      <c r="D2303" s="3" t="s">
        <v>28</v>
      </c>
      <c r="E2303" s="3" t="s">
        <v>244</v>
      </c>
      <c r="F2303" s="3" t="s">
        <v>13</v>
      </c>
      <c r="G23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03" s="3" t="s">
        <v>245</v>
      </c>
      <c r="I2303" s="3" t="s">
        <v>31</v>
      </c>
      <c r="J2303" s="3" t="s">
        <v>42</v>
      </c>
      <c r="K2303" s="3" t="s">
        <v>33</v>
      </c>
      <c r="L2303" s="3" t="s">
        <v>34</v>
      </c>
      <c r="M2303" s="4">
        <v>228.95</v>
      </c>
    </row>
    <row r="2304">
      <c r="A2304" s="2">
        <v>45663</v>
      </c>
      <c r="B23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4" s="3" t="str">
        <f>YEAR(KMART_DATA[[#This Row],[Date]])&amp;"-"&amp;TEXT(MONTH(KMART_DATA[[#This Row],[Date]]),"00")</f>
        <v>2025-01</v>
      </c>
      <c r="D2304" s="3" t="s">
        <v>28</v>
      </c>
      <c r="E2304" s="3" t="s">
        <v>246</v>
      </c>
      <c r="F2304" s="3" t="s">
        <v>10</v>
      </c>
      <c r="G23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04" s="3" t="s">
        <v>247</v>
      </c>
      <c r="I2304" s="3" t="s">
        <v>31</v>
      </c>
      <c r="J2304" s="3" t="s">
        <v>37</v>
      </c>
      <c r="K2304" s="3" t="s">
        <v>38</v>
      </c>
      <c r="L2304" s="3" t="s">
        <v>39</v>
      </c>
      <c r="M2304" s="4">
        <v>314.67</v>
      </c>
    </row>
    <row r="2305">
      <c r="A2305" s="2">
        <v>45663</v>
      </c>
      <c r="B23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5" s="3" t="str">
        <f>YEAR(KMART_DATA[[#This Row],[Date]])&amp;"-"&amp;TEXT(MONTH(KMART_DATA[[#This Row],[Date]]),"00")</f>
        <v>2025-01</v>
      </c>
      <c r="D2305" s="3" t="s">
        <v>28</v>
      </c>
      <c r="E2305" s="3" t="s">
        <v>97</v>
      </c>
      <c r="F2305" s="3" t="s">
        <v>9</v>
      </c>
      <c r="G23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05" s="3" t="s">
        <v>98</v>
      </c>
      <c r="I2305" s="3" t="s">
        <v>31</v>
      </c>
      <c r="J2305" s="3" t="s">
        <v>99</v>
      </c>
      <c r="K2305" s="3" t="s">
        <v>123</v>
      </c>
      <c r="L2305" s="3" t="s">
        <v>124</v>
      </c>
      <c r="M2305" s="4">
        <v>4192.27</v>
      </c>
    </row>
    <row r="2306">
      <c r="A2306" s="2">
        <v>45664</v>
      </c>
      <c r="B23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6" s="3" t="str">
        <f>YEAR(KMART_DATA[[#This Row],[Date]])&amp;"-"&amp;TEXT(MONTH(KMART_DATA[[#This Row],[Date]]),"00")</f>
        <v>2025-01</v>
      </c>
      <c r="D2306" s="3" t="s">
        <v>45</v>
      </c>
      <c r="E2306" s="3" t="s">
        <v>181</v>
      </c>
      <c r="F2306" s="3" t="s">
        <v>11</v>
      </c>
      <c r="G23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06" s="3" t="s">
        <v>182</v>
      </c>
      <c r="I2306" s="3" t="s">
        <v>31</v>
      </c>
      <c r="J2306" s="3" t="s">
        <v>56</v>
      </c>
      <c r="K2306" s="3" t="s">
        <v>71</v>
      </c>
      <c r="L2306" s="3" t="s">
        <v>72</v>
      </c>
      <c r="M2306" s="4">
        <v>95.27</v>
      </c>
    </row>
    <row r="2307">
      <c r="A2307" s="2">
        <v>45664</v>
      </c>
      <c r="B23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7" s="3" t="str">
        <f>YEAR(KMART_DATA[[#This Row],[Date]])&amp;"-"&amp;TEXT(MONTH(KMART_DATA[[#This Row],[Date]]),"00")</f>
        <v>2025-01</v>
      </c>
      <c r="D2307" s="3" t="s">
        <v>28</v>
      </c>
      <c r="E2307" s="3" t="s">
        <v>185</v>
      </c>
      <c r="F2307" s="3" t="s">
        <v>12</v>
      </c>
      <c r="G23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307" s="3" t="s">
        <v>186</v>
      </c>
      <c r="I2307" s="3" t="s">
        <v>31</v>
      </c>
      <c r="J2307" s="3" t="s">
        <v>162</v>
      </c>
      <c r="K2307" s="3" t="s">
        <v>38</v>
      </c>
      <c r="L2307" s="3" t="s">
        <v>39</v>
      </c>
      <c r="M2307" s="4">
        <v>177.19</v>
      </c>
    </row>
    <row r="2308">
      <c r="A2308" s="2">
        <v>45664</v>
      </c>
      <c r="B23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8" s="3" t="str">
        <f>YEAR(KMART_DATA[[#This Row],[Date]])&amp;"-"&amp;TEXT(MONTH(KMART_DATA[[#This Row],[Date]]),"00")</f>
        <v>2025-01</v>
      </c>
      <c r="D2308" s="3" t="s">
        <v>45</v>
      </c>
      <c r="E2308" s="3" t="s">
        <v>207</v>
      </c>
      <c r="F2308" s="3" t="s">
        <v>11</v>
      </c>
      <c r="G23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08" s="3" t="s">
        <v>208</v>
      </c>
      <c r="I2308" s="3" t="s">
        <v>31</v>
      </c>
      <c r="J2308" s="3" t="s">
        <v>78</v>
      </c>
      <c r="K2308" s="3" t="s">
        <v>57</v>
      </c>
      <c r="L2308" s="3" t="s">
        <v>58</v>
      </c>
      <c r="M2308" s="4">
        <v>191.08</v>
      </c>
    </row>
    <row r="2309">
      <c r="A2309" s="2">
        <v>45664</v>
      </c>
      <c r="B23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09" s="3" t="str">
        <f>YEAR(KMART_DATA[[#This Row],[Date]])&amp;"-"&amp;TEXT(MONTH(KMART_DATA[[#This Row],[Date]]),"00")</f>
        <v>2025-01</v>
      </c>
      <c r="D2309" s="3" t="s">
        <v>28</v>
      </c>
      <c r="E2309" s="3" t="s">
        <v>256</v>
      </c>
      <c r="F2309" s="3" t="s">
        <v>9</v>
      </c>
      <c r="G23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09" s="3" t="s">
        <v>257</v>
      </c>
      <c r="I2309" s="3" t="s">
        <v>31</v>
      </c>
      <c r="J2309" s="3" t="s">
        <v>70</v>
      </c>
      <c r="K2309" s="3" t="s">
        <v>95</v>
      </c>
      <c r="L2309" s="3" t="s">
        <v>96</v>
      </c>
      <c r="M2309" s="4">
        <v>454.25</v>
      </c>
    </row>
    <row r="2310">
      <c r="A2310" s="2">
        <v>45664</v>
      </c>
      <c r="B23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0" s="3" t="str">
        <f>YEAR(KMART_DATA[[#This Row],[Date]])&amp;"-"&amp;TEXT(MONTH(KMART_DATA[[#This Row],[Date]]),"00")</f>
        <v>2025-01</v>
      </c>
      <c r="D2310" s="3" t="s">
        <v>28</v>
      </c>
      <c r="E2310" s="3" t="s">
        <v>87</v>
      </c>
      <c r="F2310" s="3" t="s">
        <v>10</v>
      </c>
      <c r="G23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10" s="3" t="s">
        <v>88</v>
      </c>
      <c r="I2310" s="3" t="s">
        <v>31</v>
      </c>
      <c r="J2310" s="3" t="s">
        <v>89</v>
      </c>
      <c r="K2310" s="3" t="s">
        <v>112</v>
      </c>
      <c r="L2310" s="3" t="s">
        <v>113</v>
      </c>
      <c r="M2310" s="4">
        <v>1198.24</v>
      </c>
    </row>
    <row r="2311">
      <c r="A2311" s="2">
        <v>45665</v>
      </c>
      <c r="B23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1" s="3" t="str">
        <f>YEAR(KMART_DATA[[#This Row],[Date]])&amp;"-"&amp;TEXT(MONTH(KMART_DATA[[#This Row],[Date]]),"00")</f>
        <v>2025-01</v>
      </c>
      <c r="D2311" s="3" t="s">
        <v>28</v>
      </c>
      <c r="E2311" s="3" t="s">
        <v>146</v>
      </c>
      <c r="F2311" s="3" t="s">
        <v>9</v>
      </c>
      <c r="G23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11" s="3" t="s">
        <v>147</v>
      </c>
      <c r="I2311" s="3" t="s">
        <v>31</v>
      </c>
      <c r="J2311" s="3" t="s">
        <v>75</v>
      </c>
      <c r="K2311" s="3" t="s">
        <v>38</v>
      </c>
      <c r="L2311" s="3" t="s">
        <v>39</v>
      </c>
      <c r="M2311" s="4">
        <v>10.98</v>
      </c>
    </row>
    <row r="2312">
      <c r="A2312" s="2">
        <v>45665</v>
      </c>
      <c r="B23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2" s="3" t="str">
        <f>YEAR(KMART_DATA[[#This Row],[Date]])&amp;"-"&amp;TEXT(MONTH(KMART_DATA[[#This Row],[Date]]),"00")</f>
        <v>2025-01</v>
      </c>
      <c r="D2312" s="3" t="s">
        <v>28</v>
      </c>
      <c r="E2312" s="3" t="s">
        <v>260</v>
      </c>
      <c r="F2312" s="3" t="s">
        <v>10</v>
      </c>
      <c r="G23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12" s="3" t="s">
        <v>261</v>
      </c>
      <c r="I2312" s="3" t="s">
        <v>31</v>
      </c>
      <c r="J2312" s="3" t="s">
        <v>89</v>
      </c>
      <c r="K2312" s="3" t="s">
        <v>71</v>
      </c>
      <c r="L2312" s="3" t="s">
        <v>72</v>
      </c>
      <c r="M2312" s="4">
        <v>11.98</v>
      </c>
    </row>
    <row r="2313">
      <c r="A2313" s="2">
        <v>45665</v>
      </c>
      <c r="B23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3" s="3" t="str">
        <f>YEAR(KMART_DATA[[#This Row],[Date]])&amp;"-"&amp;TEXT(MONTH(KMART_DATA[[#This Row],[Date]]),"00")</f>
        <v>2025-01</v>
      </c>
      <c r="D2313" s="3" t="s">
        <v>28</v>
      </c>
      <c r="E2313" s="3" t="s">
        <v>141</v>
      </c>
      <c r="F2313" s="3" t="s">
        <v>9</v>
      </c>
      <c r="G23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13" s="3" t="s">
        <v>142</v>
      </c>
      <c r="I2313" s="3" t="s">
        <v>31</v>
      </c>
      <c r="J2313" s="3" t="s">
        <v>107</v>
      </c>
      <c r="K2313" s="3" t="s">
        <v>43</v>
      </c>
      <c r="L2313" s="3" t="s">
        <v>44</v>
      </c>
      <c r="M2313" s="4">
        <v>88.5</v>
      </c>
    </row>
    <row r="2314">
      <c r="A2314" s="2">
        <v>45665</v>
      </c>
      <c r="B23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4" s="3" t="str">
        <f>YEAR(KMART_DATA[[#This Row],[Date]])&amp;"-"&amp;TEXT(MONTH(KMART_DATA[[#This Row],[Date]]),"00")</f>
        <v>2025-01</v>
      </c>
      <c r="D2314" s="3" t="s">
        <v>28</v>
      </c>
      <c r="E2314" s="3" t="s">
        <v>135</v>
      </c>
      <c r="F2314" s="3" t="s">
        <v>16</v>
      </c>
      <c r="G23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314" s="3" t="s">
        <v>136</v>
      </c>
      <c r="I2314" s="3" t="s">
        <v>31</v>
      </c>
      <c r="J2314" s="3" t="s">
        <v>107</v>
      </c>
      <c r="K2314" s="3" t="s">
        <v>123</v>
      </c>
      <c r="L2314" s="3" t="s">
        <v>124</v>
      </c>
      <c r="M2314" s="4">
        <v>437.61</v>
      </c>
    </row>
    <row r="2315">
      <c r="A2315" s="2">
        <v>45665</v>
      </c>
      <c r="B23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5" s="3" t="str">
        <f>YEAR(KMART_DATA[[#This Row],[Date]])&amp;"-"&amp;TEXT(MONTH(KMART_DATA[[#This Row],[Date]]),"00")</f>
        <v>2025-01</v>
      </c>
      <c r="D2315" s="3" t="s">
        <v>45</v>
      </c>
      <c r="E2315" s="3" t="s">
        <v>135</v>
      </c>
      <c r="F2315" s="3" t="s">
        <v>16</v>
      </c>
      <c r="G23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315" s="3" t="s">
        <v>136</v>
      </c>
      <c r="I2315" s="3" t="s">
        <v>31</v>
      </c>
      <c r="J2315" s="3" t="s">
        <v>107</v>
      </c>
      <c r="K2315" s="3" t="s">
        <v>57</v>
      </c>
      <c r="L2315" s="3" t="s">
        <v>58</v>
      </c>
      <c r="M2315" s="4">
        <v>741.84</v>
      </c>
    </row>
    <row r="2316">
      <c r="A2316" s="2">
        <v>45665</v>
      </c>
      <c r="B23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6" s="3" t="str">
        <f>YEAR(KMART_DATA[[#This Row],[Date]])&amp;"-"&amp;TEXT(MONTH(KMART_DATA[[#This Row],[Date]]),"00")</f>
        <v>2025-01</v>
      </c>
      <c r="D2316" s="3" t="s">
        <v>28</v>
      </c>
      <c r="E2316" s="3" t="s">
        <v>213</v>
      </c>
      <c r="F2316" s="3" t="s">
        <v>11</v>
      </c>
      <c r="G23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16" s="3" t="s">
        <v>214</v>
      </c>
      <c r="I2316" s="3" t="s">
        <v>31</v>
      </c>
      <c r="J2316" s="3" t="s">
        <v>32</v>
      </c>
      <c r="K2316" s="3" t="s">
        <v>46</v>
      </c>
      <c r="L2316" s="3" t="s">
        <v>47</v>
      </c>
      <c r="M2316" s="4">
        <v>1419.47</v>
      </c>
    </row>
    <row r="2317">
      <c r="A2317" s="2">
        <v>45665</v>
      </c>
      <c r="B23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7" s="3" t="str">
        <f>YEAR(KMART_DATA[[#This Row],[Date]])&amp;"-"&amp;TEXT(MONTH(KMART_DATA[[#This Row],[Date]]),"00")</f>
        <v>2025-01</v>
      </c>
      <c r="D2317" s="3" t="s">
        <v>28</v>
      </c>
      <c r="E2317" s="3" t="s">
        <v>197</v>
      </c>
      <c r="F2317" s="3" t="s">
        <v>9</v>
      </c>
      <c r="G23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17" s="3" t="s">
        <v>198</v>
      </c>
      <c r="I2317" s="3" t="s">
        <v>31</v>
      </c>
      <c r="J2317" s="3" t="s">
        <v>107</v>
      </c>
      <c r="K2317" s="3" t="s">
        <v>43</v>
      </c>
      <c r="L2317" s="3" t="s">
        <v>44</v>
      </c>
      <c r="M2317" s="4">
        <v>2050.27</v>
      </c>
    </row>
    <row r="2318">
      <c r="A2318" s="2">
        <v>45665</v>
      </c>
      <c r="B23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8" s="3" t="str">
        <f>YEAR(KMART_DATA[[#This Row],[Date]])&amp;"-"&amp;TEXT(MONTH(KMART_DATA[[#This Row],[Date]]),"00")</f>
        <v>2025-01</v>
      </c>
      <c r="D2318" s="3" t="s">
        <v>28</v>
      </c>
      <c r="E2318" s="3" t="s">
        <v>187</v>
      </c>
      <c r="F2318" s="3" t="s">
        <v>11</v>
      </c>
      <c r="G23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18" s="3" t="s">
        <v>188</v>
      </c>
      <c r="I2318" s="3" t="s">
        <v>31</v>
      </c>
      <c r="J2318" s="3" t="s">
        <v>78</v>
      </c>
      <c r="K2318" s="3" t="s">
        <v>71</v>
      </c>
      <c r="L2318" s="3" t="s">
        <v>72</v>
      </c>
      <c r="M2318" s="4">
        <v>2367.54</v>
      </c>
    </row>
    <row r="2319">
      <c r="A2319" s="2">
        <v>45665</v>
      </c>
      <c r="B23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19" s="3" t="str">
        <f>YEAR(KMART_DATA[[#This Row],[Date]])&amp;"-"&amp;TEXT(MONTH(KMART_DATA[[#This Row],[Date]]),"00")</f>
        <v>2025-01</v>
      </c>
      <c r="D2319" s="3" t="s">
        <v>28</v>
      </c>
      <c r="E2319" s="3" t="s">
        <v>108</v>
      </c>
      <c r="F2319" s="3" t="s">
        <v>9</v>
      </c>
      <c r="G23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19" s="3" t="s">
        <v>109</v>
      </c>
      <c r="I2319" s="3" t="s">
        <v>31</v>
      </c>
      <c r="J2319" s="3" t="s">
        <v>75</v>
      </c>
      <c r="K2319" s="3" t="s">
        <v>46</v>
      </c>
      <c r="L2319" s="3" t="s">
        <v>47</v>
      </c>
      <c r="M2319" s="4">
        <v>3166.31</v>
      </c>
    </row>
    <row r="2320">
      <c r="A2320" s="2">
        <v>45666</v>
      </c>
      <c r="B23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0" s="3" t="str">
        <f>YEAR(KMART_DATA[[#This Row],[Date]])&amp;"-"&amp;TEXT(MONTH(KMART_DATA[[#This Row],[Date]]),"00")</f>
        <v>2025-01</v>
      </c>
      <c r="D2320" s="3" t="s">
        <v>28</v>
      </c>
      <c r="E2320" s="3" t="s">
        <v>203</v>
      </c>
      <c r="F2320" s="3" t="s">
        <v>10</v>
      </c>
      <c r="G23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20" s="3" t="s">
        <v>204</v>
      </c>
      <c r="I2320" s="3" t="s">
        <v>31</v>
      </c>
      <c r="J2320" s="3" t="s">
        <v>89</v>
      </c>
      <c r="K2320" s="3" t="s">
        <v>33</v>
      </c>
      <c r="L2320" s="3" t="s">
        <v>34</v>
      </c>
      <c r="M2320" s="4">
        <v>2.99</v>
      </c>
    </row>
    <row r="2321">
      <c r="A2321" s="2">
        <v>45666</v>
      </c>
      <c r="B23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1" s="3" t="str">
        <f>YEAR(KMART_DATA[[#This Row],[Date]])&amp;"-"&amp;TEXT(MONTH(KMART_DATA[[#This Row],[Date]]),"00")</f>
        <v>2025-01</v>
      </c>
      <c r="D2321" s="3" t="s">
        <v>45</v>
      </c>
      <c r="E2321" s="3" t="s">
        <v>240</v>
      </c>
      <c r="F2321" s="3" t="s">
        <v>15</v>
      </c>
      <c r="G23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321" s="3" t="s">
        <v>241</v>
      </c>
      <c r="I2321" s="3" t="s">
        <v>31</v>
      </c>
      <c r="J2321" s="3" t="s">
        <v>53</v>
      </c>
      <c r="K2321" s="3" t="s">
        <v>57</v>
      </c>
      <c r="L2321" s="3" t="s">
        <v>58</v>
      </c>
      <c r="M2321" s="4">
        <v>224.85</v>
      </c>
    </row>
    <row r="2322">
      <c r="A2322" s="2">
        <v>45666</v>
      </c>
      <c r="B23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2" s="3" t="str">
        <f>YEAR(KMART_DATA[[#This Row],[Date]])&amp;"-"&amp;TEXT(MONTH(KMART_DATA[[#This Row],[Date]]),"00")</f>
        <v>2025-01</v>
      </c>
      <c r="D2322" s="3" t="s">
        <v>28</v>
      </c>
      <c r="E2322" s="3" t="s">
        <v>133</v>
      </c>
      <c r="F2322" s="3" t="s">
        <v>10</v>
      </c>
      <c r="G23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22" s="3" t="s">
        <v>134</v>
      </c>
      <c r="I2322" s="3" t="s">
        <v>31</v>
      </c>
      <c r="J2322" s="3" t="s">
        <v>37</v>
      </c>
      <c r="K2322" s="3" t="s">
        <v>71</v>
      </c>
      <c r="L2322" s="3" t="s">
        <v>72</v>
      </c>
      <c r="M2322" s="4">
        <v>226.67</v>
      </c>
    </row>
    <row r="2323">
      <c r="A2323" s="2">
        <v>45666</v>
      </c>
      <c r="B23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3" s="3" t="str">
        <f>YEAR(KMART_DATA[[#This Row],[Date]])&amp;"-"&amp;TEXT(MONTH(KMART_DATA[[#This Row],[Date]]),"00")</f>
        <v>2025-01</v>
      </c>
      <c r="D2323" s="3" t="s">
        <v>28</v>
      </c>
      <c r="E2323" s="3" t="s">
        <v>230</v>
      </c>
      <c r="F2323" s="3" t="s">
        <v>13</v>
      </c>
      <c r="G23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23" s="3" t="s">
        <v>231</v>
      </c>
      <c r="I2323" s="3" t="s">
        <v>31</v>
      </c>
      <c r="J2323" s="3" t="s">
        <v>227</v>
      </c>
      <c r="K2323" s="3" t="s">
        <v>46</v>
      </c>
      <c r="L2323" s="3" t="s">
        <v>47</v>
      </c>
      <c r="M2323" s="4">
        <v>441.67</v>
      </c>
    </row>
    <row r="2324">
      <c r="A2324" s="2">
        <v>45666</v>
      </c>
      <c r="B23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4" s="3" t="str">
        <f>YEAR(KMART_DATA[[#This Row],[Date]])&amp;"-"&amp;TEXT(MONTH(KMART_DATA[[#This Row],[Date]]),"00")</f>
        <v>2025-01</v>
      </c>
      <c r="D2324" s="3" t="s">
        <v>28</v>
      </c>
      <c r="E2324" s="3" t="s">
        <v>264</v>
      </c>
      <c r="F2324" s="3" t="s">
        <v>13</v>
      </c>
      <c r="G23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24" s="3" t="s">
        <v>265</v>
      </c>
      <c r="I2324" s="3" t="s">
        <v>31</v>
      </c>
      <c r="J2324" s="3" t="s">
        <v>42</v>
      </c>
      <c r="K2324" s="3" t="s">
        <v>57</v>
      </c>
      <c r="L2324" s="3" t="s">
        <v>58</v>
      </c>
      <c r="M2324" s="4">
        <v>718.24</v>
      </c>
    </row>
    <row r="2325">
      <c r="A2325" s="2">
        <v>45666</v>
      </c>
      <c r="B23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5" s="3" t="str">
        <f>YEAR(KMART_DATA[[#This Row],[Date]])&amp;"-"&amp;TEXT(MONTH(KMART_DATA[[#This Row],[Date]]),"00")</f>
        <v>2025-01</v>
      </c>
      <c r="D2325" s="3" t="s">
        <v>45</v>
      </c>
      <c r="E2325" s="3" t="s">
        <v>189</v>
      </c>
      <c r="F2325" s="3" t="s">
        <v>9</v>
      </c>
      <c r="G23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25" s="3" t="s">
        <v>190</v>
      </c>
      <c r="I2325" s="3" t="s">
        <v>31</v>
      </c>
      <c r="J2325" s="3" t="s">
        <v>81</v>
      </c>
      <c r="K2325" s="3" t="s">
        <v>71</v>
      </c>
      <c r="L2325" s="3" t="s">
        <v>72</v>
      </c>
      <c r="M2325" s="4">
        <v>1892.64</v>
      </c>
    </row>
    <row r="2326">
      <c r="A2326" s="2">
        <v>45667</v>
      </c>
      <c r="B23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6" s="3" t="str">
        <f>YEAR(KMART_DATA[[#This Row],[Date]])&amp;"-"&amp;TEXT(MONTH(KMART_DATA[[#This Row],[Date]]),"00")</f>
        <v>2025-01</v>
      </c>
      <c r="D2326" s="3" t="s">
        <v>28</v>
      </c>
      <c r="E2326" s="3" t="s">
        <v>189</v>
      </c>
      <c r="F2326" s="3" t="s">
        <v>9</v>
      </c>
      <c r="G23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26" s="3" t="s">
        <v>190</v>
      </c>
      <c r="I2326" s="3" t="s">
        <v>31</v>
      </c>
      <c r="J2326" s="3" t="s">
        <v>81</v>
      </c>
      <c r="K2326" s="3" t="s">
        <v>46</v>
      </c>
      <c r="L2326" s="3" t="s">
        <v>47</v>
      </c>
      <c r="M2326" s="4">
        <v>3.0</v>
      </c>
    </row>
    <row r="2327">
      <c r="A2327" s="2">
        <v>45667</v>
      </c>
      <c r="B23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7" s="3" t="str">
        <f>YEAR(KMART_DATA[[#This Row],[Date]])&amp;"-"&amp;TEXT(MONTH(KMART_DATA[[#This Row],[Date]]),"00")</f>
        <v>2025-01</v>
      </c>
      <c r="D2327" s="3" t="s">
        <v>28</v>
      </c>
      <c r="E2327" s="3" t="s">
        <v>256</v>
      </c>
      <c r="F2327" s="3" t="s">
        <v>9</v>
      </c>
      <c r="G23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27" s="3" t="s">
        <v>257</v>
      </c>
      <c r="I2327" s="3" t="s">
        <v>31</v>
      </c>
      <c r="J2327" s="3" t="s">
        <v>70</v>
      </c>
      <c r="K2327" s="3" t="s">
        <v>71</v>
      </c>
      <c r="L2327" s="3" t="s">
        <v>72</v>
      </c>
      <c r="M2327" s="4">
        <v>59.9</v>
      </c>
    </row>
    <row r="2328">
      <c r="A2328" s="2">
        <v>45667</v>
      </c>
      <c r="B23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8" s="3" t="str">
        <f>YEAR(KMART_DATA[[#This Row],[Date]])&amp;"-"&amp;TEXT(MONTH(KMART_DATA[[#This Row],[Date]]),"00")</f>
        <v>2025-01</v>
      </c>
      <c r="D2328" s="3" t="s">
        <v>28</v>
      </c>
      <c r="E2328" s="3" t="s">
        <v>139</v>
      </c>
      <c r="F2328" s="3" t="s">
        <v>10</v>
      </c>
      <c r="G23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28" s="3" t="s">
        <v>140</v>
      </c>
      <c r="I2328" s="3" t="s">
        <v>31</v>
      </c>
      <c r="J2328" s="3" t="s">
        <v>89</v>
      </c>
      <c r="K2328" s="3" t="s">
        <v>43</v>
      </c>
      <c r="L2328" s="3" t="s">
        <v>44</v>
      </c>
      <c r="M2328" s="4">
        <v>149.29</v>
      </c>
    </row>
    <row r="2329">
      <c r="A2329" s="2">
        <v>45668</v>
      </c>
      <c r="B23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29" s="3" t="str">
        <f>YEAR(KMART_DATA[[#This Row],[Date]])&amp;"-"&amp;TEXT(MONTH(KMART_DATA[[#This Row],[Date]]),"00")</f>
        <v>2025-01</v>
      </c>
      <c r="D2329" s="3" t="s">
        <v>45</v>
      </c>
      <c r="E2329" s="3" t="s">
        <v>230</v>
      </c>
      <c r="F2329" s="3" t="s">
        <v>13</v>
      </c>
      <c r="G23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29" s="3" t="s">
        <v>231</v>
      </c>
      <c r="I2329" s="3" t="s">
        <v>31</v>
      </c>
      <c r="J2329" s="3" t="s">
        <v>227</v>
      </c>
      <c r="K2329" s="3" t="s">
        <v>112</v>
      </c>
      <c r="L2329" s="3" t="s">
        <v>113</v>
      </c>
      <c r="M2329" s="4">
        <v>41.93</v>
      </c>
    </row>
    <row r="2330">
      <c r="A2330" s="2">
        <v>45668</v>
      </c>
      <c r="B23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0" s="3" t="str">
        <f>YEAR(KMART_DATA[[#This Row],[Date]])&amp;"-"&amp;TEXT(MONTH(KMART_DATA[[#This Row],[Date]]),"00")</f>
        <v>2025-01</v>
      </c>
      <c r="D2330" s="3" t="s">
        <v>28</v>
      </c>
      <c r="E2330" s="3" t="s">
        <v>223</v>
      </c>
      <c r="F2330" s="3" t="s">
        <v>10</v>
      </c>
      <c r="G23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30" s="3" t="s">
        <v>224</v>
      </c>
      <c r="I2330" s="3" t="s">
        <v>31</v>
      </c>
      <c r="J2330" s="3" t="s">
        <v>94</v>
      </c>
      <c r="K2330" s="3" t="s">
        <v>43</v>
      </c>
      <c r="L2330" s="3" t="s">
        <v>44</v>
      </c>
      <c r="M2330" s="4">
        <v>53.43</v>
      </c>
    </row>
    <row r="2331">
      <c r="A2331" s="2">
        <v>45668</v>
      </c>
      <c r="B23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1" s="3" t="str">
        <f>YEAR(KMART_DATA[[#This Row],[Date]])&amp;"-"&amp;TEXT(MONTH(KMART_DATA[[#This Row],[Date]]),"00")</f>
        <v>2025-01</v>
      </c>
      <c r="D2331" s="3" t="s">
        <v>45</v>
      </c>
      <c r="E2331" s="3" t="s">
        <v>187</v>
      </c>
      <c r="F2331" s="3" t="s">
        <v>11</v>
      </c>
      <c r="G23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31" s="3" t="s">
        <v>188</v>
      </c>
      <c r="I2331" s="3" t="s">
        <v>31</v>
      </c>
      <c r="J2331" s="3" t="s">
        <v>78</v>
      </c>
      <c r="K2331" s="3" t="s">
        <v>71</v>
      </c>
      <c r="L2331" s="3" t="s">
        <v>72</v>
      </c>
      <c r="M2331" s="4">
        <v>139.02</v>
      </c>
    </row>
    <row r="2332">
      <c r="A2332" s="2">
        <v>45668</v>
      </c>
      <c r="B23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2" s="3" t="str">
        <f>YEAR(KMART_DATA[[#This Row],[Date]])&amp;"-"&amp;TEXT(MONTH(KMART_DATA[[#This Row],[Date]]),"00")</f>
        <v>2025-01</v>
      </c>
      <c r="D2332" s="3" t="s">
        <v>28</v>
      </c>
      <c r="E2332" s="3" t="s">
        <v>215</v>
      </c>
      <c r="F2332" s="3" t="s">
        <v>15</v>
      </c>
      <c r="G23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332" s="3" t="s">
        <v>216</v>
      </c>
      <c r="I2332" s="3" t="s">
        <v>31</v>
      </c>
      <c r="J2332" s="3" t="s">
        <v>53</v>
      </c>
      <c r="K2332" s="3" t="s">
        <v>71</v>
      </c>
      <c r="L2332" s="3" t="s">
        <v>72</v>
      </c>
      <c r="M2332" s="4">
        <v>249.38</v>
      </c>
    </row>
    <row r="2333">
      <c r="A2333" s="2">
        <v>45668</v>
      </c>
      <c r="B23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3" s="3" t="str">
        <f>YEAR(KMART_DATA[[#This Row],[Date]])&amp;"-"&amp;TEXT(MONTH(KMART_DATA[[#This Row],[Date]]),"00")</f>
        <v>2025-01</v>
      </c>
      <c r="D2333" s="3" t="s">
        <v>45</v>
      </c>
      <c r="E2333" s="3" t="s">
        <v>171</v>
      </c>
      <c r="F2333" s="3" t="s">
        <v>10</v>
      </c>
      <c r="G23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33" s="3" t="s">
        <v>172</v>
      </c>
      <c r="I2333" s="3" t="s">
        <v>31</v>
      </c>
      <c r="J2333" s="3" t="s">
        <v>37</v>
      </c>
      <c r="K2333" s="3" t="s">
        <v>43</v>
      </c>
      <c r="L2333" s="3" t="s">
        <v>44</v>
      </c>
      <c r="M2333" s="4">
        <v>551.44</v>
      </c>
    </row>
    <row r="2334">
      <c r="A2334" s="2">
        <v>45668</v>
      </c>
      <c r="B23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4" s="3" t="str">
        <f>YEAR(KMART_DATA[[#This Row],[Date]])&amp;"-"&amp;TEXT(MONTH(KMART_DATA[[#This Row],[Date]]),"00")</f>
        <v>2025-01</v>
      </c>
      <c r="D2334" s="3" t="s">
        <v>28</v>
      </c>
      <c r="E2334" s="3" t="s">
        <v>183</v>
      </c>
      <c r="F2334" s="3" t="s">
        <v>9</v>
      </c>
      <c r="G23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34" s="3" t="s">
        <v>184</v>
      </c>
      <c r="I2334" s="3" t="s">
        <v>31</v>
      </c>
      <c r="J2334" s="3" t="s">
        <v>70</v>
      </c>
      <c r="K2334" s="3" t="s">
        <v>71</v>
      </c>
      <c r="L2334" s="3" t="s">
        <v>72</v>
      </c>
      <c r="M2334" s="4">
        <v>1473.54</v>
      </c>
    </row>
    <row r="2335">
      <c r="A2335" s="2">
        <v>45668</v>
      </c>
      <c r="B23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5" s="3" t="str">
        <f>YEAR(KMART_DATA[[#This Row],[Date]])&amp;"-"&amp;TEXT(MONTH(KMART_DATA[[#This Row],[Date]]),"00")</f>
        <v>2025-01</v>
      </c>
      <c r="D2335" s="3" t="s">
        <v>28</v>
      </c>
      <c r="E2335" s="3" t="s">
        <v>246</v>
      </c>
      <c r="F2335" s="3" t="s">
        <v>10</v>
      </c>
      <c r="G23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35" s="3" t="s">
        <v>247</v>
      </c>
      <c r="I2335" s="3" t="s">
        <v>31</v>
      </c>
      <c r="J2335" s="3" t="s">
        <v>37</v>
      </c>
      <c r="K2335" s="3" t="s">
        <v>123</v>
      </c>
      <c r="L2335" s="3" t="s">
        <v>124</v>
      </c>
      <c r="M2335" s="4">
        <v>2628.37</v>
      </c>
    </row>
    <row r="2336">
      <c r="A2336" s="2">
        <v>45668</v>
      </c>
      <c r="B23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6" s="3" t="str">
        <f>YEAR(KMART_DATA[[#This Row],[Date]])&amp;"-"&amp;TEXT(MONTH(KMART_DATA[[#This Row],[Date]]),"00")</f>
        <v>2025-01</v>
      </c>
      <c r="D2336" s="3" t="s">
        <v>28</v>
      </c>
      <c r="E2336" s="3" t="s">
        <v>232</v>
      </c>
      <c r="F2336" s="3" t="s">
        <v>9</v>
      </c>
      <c r="G23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36" s="3" t="s">
        <v>233</v>
      </c>
      <c r="I2336" s="3" t="s">
        <v>31</v>
      </c>
      <c r="J2336" s="3" t="s">
        <v>75</v>
      </c>
      <c r="K2336" s="3" t="s">
        <v>57</v>
      </c>
      <c r="L2336" s="3" t="s">
        <v>58</v>
      </c>
      <c r="M2336" s="4">
        <v>3773.65</v>
      </c>
    </row>
    <row r="2337">
      <c r="A2337" s="2">
        <v>45669</v>
      </c>
      <c r="B23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7" s="3" t="str">
        <f>YEAR(KMART_DATA[[#This Row],[Date]])&amp;"-"&amp;TEXT(MONTH(KMART_DATA[[#This Row],[Date]]),"00")</f>
        <v>2025-01</v>
      </c>
      <c r="D2337" s="3" t="s">
        <v>28</v>
      </c>
      <c r="E2337" s="3" t="s">
        <v>85</v>
      </c>
      <c r="F2337" s="3" t="s">
        <v>9</v>
      </c>
      <c r="G23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37" s="3" t="s">
        <v>86</v>
      </c>
      <c r="I2337" s="3" t="s">
        <v>31</v>
      </c>
      <c r="J2337" s="3" t="s">
        <v>81</v>
      </c>
      <c r="K2337" s="3" t="s">
        <v>95</v>
      </c>
      <c r="L2337" s="3" t="s">
        <v>96</v>
      </c>
      <c r="M2337" s="4">
        <v>8.94</v>
      </c>
    </row>
    <row r="2338">
      <c r="A2338" s="2">
        <v>45669</v>
      </c>
      <c r="B23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8" s="3" t="str">
        <f>YEAR(KMART_DATA[[#This Row],[Date]])&amp;"-"&amp;TEXT(MONTH(KMART_DATA[[#This Row],[Date]]),"00")</f>
        <v>2025-01</v>
      </c>
      <c r="D2338" s="3" t="s">
        <v>45</v>
      </c>
      <c r="E2338" s="3" t="s">
        <v>110</v>
      </c>
      <c r="F2338" s="3" t="s">
        <v>9</v>
      </c>
      <c r="G23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38" s="3" t="s">
        <v>111</v>
      </c>
      <c r="I2338" s="3" t="s">
        <v>31</v>
      </c>
      <c r="J2338" s="3" t="s">
        <v>81</v>
      </c>
      <c r="K2338" s="3" t="s">
        <v>66</v>
      </c>
      <c r="L2338" s="3" t="s">
        <v>67</v>
      </c>
      <c r="M2338" s="4">
        <v>31.84</v>
      </c>
    </row>
    <row r="2339">
      <c r="A2339" s="2">
        <v>45669</v>
      </c>
      <c r="B23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39" s="3" t="str">
        <f>YEAR(KMART_DATA[[#This Row],[Date]])&amp;"-"&amp;TEXT(MONTH(KMART_DATA[[#This Row],[Date]]),"00")</f>
        <v>2025-01</v>
      </c>
      <c r="D2339" s="3" t="s">
        <v>28</v>
      </c>
      <c r="E2339" s="3" t="s">
        <v>258</v>
      </c>
      <c r="F2339" s="3" t="s">
        <v>14</v>
      </c>
      <c r="G23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339" s="3" t="s">
        <v>259</v>
      </c>
      <c r="I2339" s="3" t="s">
        <v>31</v>
      </c>
      <c r="J2339" s="3" t="s">
        <v>145</v>
      </c>
      <c r="K2339" s="3" t="s">
        <v>123</v>
      </c>
      <c r="L2339" s="3" t="s">
        <v>124</v>
      </c>
      <c r="M2339" s="4">
        <v>35.0</v>
      </c>
    </row>
    <row r="2340">
      <c r="A2340" s="2">
        <v>45669</v>
      </c>
      <c r="B23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0" s="3" t="str">
        <f>YEAR(KMART_DATA[[#This Row],[Date]])&amp;"-"&amp;TEXT(MONTH(KMART_DATA[[#This Row],[Date]]),"00")</f>
        <v>2025-01</v>
      </c>
      <c r="D2340" s="3" t="s">
        <v>45</v>
      </c>
      <c r="E2340" s="3" t="s">
        <v>197</v>
      </c>
      <c r="F2340" s="3" t="s">
        <v>9</v>
      </c>
      <c r="G23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40" s="3" t="s">
        <v>198</v>
      </c>
      <c r="I2340" s="3" t="s">
        <v>31</v>
      </c>
      <c r="J2340" s="3" t="s">
        <v>107</v>
      </c>
      <c r="K2340" s="3" t="s">
        <v>57</v>
      </c>
      <c r="L2340" s="3" t="s">
        <v>58</v>
      </c>
      <c r="M2340" s="4">
        <v>77.94</v>
      </c>
    </row>
    <row r="2341">
      <c r="A2341" s="2">
        <v>45669</v>
      </c>
      <c r="B23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1" s="3" t="str">
        <f>YEAR(KMART_DATA[[#This Row],[Date]])&amp;"-"&amp;TEXT(MONTH(KMART_DATA[[#This Row],[Date]]),"00")</f>
        <v>2025-01</v>
      </c>
      <c r="D2341" s="3" t="s">
        <v>45</v>
      </c>
      <c r="E2341" s="3" t="s">
        <v>197</v>
      </c>
      <c r="F2341" s="3" t="s">
        <v>9</v>
      </c>
      <c r="G23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41" s="3" t="s">
        <v>198</v>
      </c>
      <c r="I2341" s="3" t="s">
        <v>31</v>
      </c>
      <c r="J2341" s="3" t="s">
        <v>107</v>
      </c>
      <c r="K2341" s="3" t="s">
        <v>71</v>
      </c>
      <c r="L2341" s="3" t="s">
        <v>72</v>
      </c>
      <c r="M2341" s="4">
        <v>124.89</v>
      </c>
    </row>
    <row r="2342">
      <c r="A2342" s="2">
        <v>45669</v>
      </c>
      <c r="B23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2" s="3" t="str">
        <f>YEAR(KMART_DATA[[#This Row],[Date]])&amp;"-"&amp;TEXT(MONTH(KMART_DATA[[#This Row],[Date]]),"00")</f>
        <v>2025-01</v>
      </c>
      <c r="D2342" s="3" t="s">
        <v>28</v>
      </c>
      <c r="E2342" s="3" t="s">
        <v>189</v>
      </c>
      <c r="F2342" s="3" t="s">
        <v>9</v>
      </c>
      <c r="G23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42" s="3" t="s">
        <v>190</v>
      </c>
      <c r="I2342" s="3" t="s">
        <v>31</v>
      </c>
      <c r="J2342" s="3" t="s">
        <v>81</v>
      </c>
      <c r="K2342" s="3" t="s">
        <v>112</v>
      </c>
      <c r="L2342" s="3" t="s">
        <v>113</v>
      </c>
      <c r="M2342" s="4">
        <v>150.59</v>
      </c>
    </row>
    <row r="2343">
      <c r="A2343" s="2">
        <v>45669</v>
      </c>
      <c r="B23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3" s="3" t="str">
        <f>YEAR(KMART_DATA[[#This Row],[Date]])&amp;"-"&amp;TEXT(MONTH(KMART_DATA[[#This Row],[Date]]),"00")</f>
        <v>2025-01</v>
      </c>
      <c r="D2343" s="3" t="s">
        <v>28</v>
      </c>
      <c r="E2343" s="3" t="s">
        <v>100</v>
      </c>
      <c r="F2343" s="3" t="s">
        <v>12</v>
      </c>
      <c r="G23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343" s="3" t="s">
        <v>101</v>
      </c>
      <c r="I2343" s="3" t="s">
        <v>31</v>
      </c>
      <c r="J2343" s="3" t="s">
        <v>102</v>
      </c>
      <c r="K2343" s="3" t="s">
        <v>33</v>
      </c>
      <c r="L2343" s="3" t="s">
        <v>34</v>
      </c>
      <c r="M2343" s="4">
        <v>150.61</v>
      </c>
    </row>
    <row r="2344">
      <c r="A2344" s="2">
        <v>45669</v>
      </c>
      <c r="B23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4" s="3" t="str">
        <f>YEAR(KMART_DATA[[#This Row],[Date]])&amp;"-"&amp;TEXT(MONTH(KMART_DATA[[#This Row],[Date]]),"00")</f>
        <v>2025-01</v>
      </c>
      <c r="D2344" s="3" t="s">
        <v>45</v>
      </c>
      <c r="E2344" s="3" t="s">
        <v>228</v>
      </c>
      <c r="F2344" s="3" t="s">
        <v>11</v>
      </c>
      <c r="G23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44" s="3" t="s">
        <v>229</v>
      </c>
      <c r="I2344" s="3" t="s">
        <v>31</v>
      </c>
      <c r="J2344" s="3" t="s">
        <v>32</v>
      </c>
      <c r="K2344" s="3" t="s">
        <v>43</v>
      </c>
      <c r="L2344" s="3" t="s">
        <v>44</v>
      </c>
      <c r="M2344" s="4">
        <v>206.82</v>
      </c>
    </row>
    <row r="2345">
      <c r="A2345" s="2">
        <v>45669</v>
      </c>
      <c r="B23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5" s="3" t="str">
        <f>YEAR(KMART_DATA[[#This Row],[Date]])&amp;"-"&amp;TEXT(MONTH(KMART_DATA[[#This Row],[Date]]),"00")</f>
        <v>2025-01</v>
      </c>
      <c r="D2345" s="3" t="s">
        <v>28</v>
      </c>
      <c r="E2345" s="3" t="s">
        <v>73</v>
      </c>
      <c r="F2345" s="3" t="s">
        <v>9</v>
      </c>
      <c r="G23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45" s="3" t="s">
        <v>74</v>
      </c>
      <c r="I2345" s="3" t="s">
        <v>31</v>
      </c>
      <c r="J2345" s="3" t="s">
        <v>75</v>
      </c>
      <c r="K2345" s="3" t="s">
        <v>71</v>
      </c>
      <c r="L2345" s="3" t="s">
        <v>72</v>
      </c>
      <c r="M2345" s="4">
        <v>742.91</v>
      </c>
    </row>
    <row r="2346">
      <c r="A2346" s="2">
        <v>45670</v>
      </c>
      <c r="B23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6" s="3" t="str">
        <f>YEAR(KMART_DATA[[#This Row],[Date]])&amp;"-"&amp;TEXT(MONTH(KMART_DATA[[#This Row],[Date]]),"00")</f>
        <v>2025-01</v>
      </c>
      <c r="D2346" s="3" t="s">
        <v>28</v>
      </c>
      <c r="E2346" s="3" t="s">
        <v>191</v>
      </c>
      <c r="F2346" s="3" t="s">
        <v>10</v>
      </c>
      <c r="G23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46" s="3" t="s">
        <v>192</v>
      </c>
      <c r="I2346" s="3" t="s">
        <v>31</v>
      </c>
      <c r="J2346" s="3" t="s">
        <v>120</v>
      </c>
      <c r="K2346" s="3" t="s">
        <v>123</v>
      </c>
      <c r="L2346" s="3" t="s">
        <v>124</v>
      </c>
      <c r="M2346" s="4">
        <v>33.38</v>
      </c>
    </row>
    <row r="2347">
      <c r="A2347" s="2">
        <v>45670</v>
      </c>
      <c r="B23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7" s="3" t="str">
        <f>YEAR(KMART_DATA[[#This Row],[Date]])&amp;"-"&amp;TEXT(MONTH(KMART_DATA[[#This Row],[Date]]),"00")</f>
        <v>2025-01</v>
      </c>
      <c r="D2347" s="3" t="s">
        <v>28</v>
      </c>
      <c r="E2347" s="3" t="s">
        <v>195</v>
      </c>
      <c r="F2347" s="3" t="s">
        <v>11</v>
      </c>
      <c r="G23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47" s="3" t="s">
        <v>196</v>
      </c>
      <c r="I2347" s="3" t="s">
        <v>31</v>
      </c>
      <c r="J2347" s="3" t="s">
        <v>32</v>
      </c>
      <c r="K2347" s="3" t="s">
        <v>95</v>
      </c>
      <c r="L2347" s="3" t="s">
        <v>96</v>
      </c>
      <c r="M2347" s="4">
        <v>344.17</v>
      </c>
    </row>
    <row r="2348">
      <c r="A2348" s="2">
        <v>45670</v>
      </c>
      <c r="B23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8" s="3" t="str">
        <f>YEAR(KMART_DATA[[#This Row],[Date]])&amp;"-"&amp;TEXT(MONTH(KMART_DATA[[#This Row],[Date]]),"00")</f>
        <v>2025-01</v>
      </c>
      <c r="D2348" s="3" t="s">
        <v>45</v>
      </c>
      <c r="E2348" s="3" t="s">
        <v>228</v>
      </c>
      <c r="F2348" s="3" t="s">
        <v>11</v>
      </c>
      <c r="G23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48" s="3" t="s">
        <v>229</v>
      </c>
      <c r="I2348" s="3" t="s">
        <v>31</v>
      </c>
      <c r="J2348" s="3" t="s">
        <v>32</v>
      </c>
      <c r="K2348" s="3" t="s">
        <v>71</v>
      </c>
      <c r="L2348" s="3" t="s">
        <v>72</v>
      </c>
      <c r="M2348" s="4">
        <v>452.36</v>
      </c>
    </row>
    <row r="2349">
      <c r="A2349" s="2">
        <v>45670</v>
      </c>
      <c r="B23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49" s="3" t="str">
        <f>YEAR(KMART_DATA[[#This Row],[Date]])&amp;"-"&amp;TEXT(MONTH(KMART_DATA[[#This Row],[Date]]),"00")</f>
        <v>2025-01</v>
      </c>
      <c r="D2349" s="3" t="s">
        <v>28</v>
      </c>
      <c r="E2349" s="3" t="s">
        <v>232</v>
      </c>
      <c r="F2349" s="3" t="s">
        <v>9</v>
      </c>
      <c r="G23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49" s="3" t="s">
        <v>233</v>
      </c>
      <c r="I2349" s="3" t="s">
        <v>31</v>
      </c>
      <c r="J2349" s="3" t="s">
        <v>75</v>
      </c>
      <c r="K2349" s="3" t="s">
        <v>123</v>
      </c>
      <c r="L2349" s="3" t="s">
        <v>124</v>
      </c>
      <c r="M2349" s="4">
        <v>499.73</v>
      </c>
    </row>
    <row r="2350">
      <c r="A2350" s="2">
        <v>45670</v>
      </c>
      <c r="B23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0" s="3" t="str">
        <f>YEAR(KMART_DATA[[#This Row],[Date]])&amp;"-"&amp;TEXT(MONTH(KMART_DATA[[#This Row],[Date]]),"00")</f>
        <v>2025-01</v>
      </c>
      <c r="D2350" s="3" t="s">
        <v>45</v>
      </c>
      <c r="E2350" s="3" t="s">
        <v>256</v>
      </c>
      <c r="F2350" s="3" t="s">
        <v>9</v>
      </c>
      <c r="G23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50" s="3" t="s">
        <v>257</v>
      </c>
      <c r="I2350" s="3" t="s">
        <v>31</v>
      </c>
      <c r="J2350" s="3" t="s">
        <v>70</v>
      </c>
      <c r="K2350" s="3" t="s">
        <v>71</v>
      </c>
      <c r="L2350" s="3" t="s">
        <v>72</v>
      </c>
      <c r="M2350" s="4">
        <v>3688.24</v>
      </c>
    </row>
    <row r="2351">
      <c r="A2351" s="2">
        <v>45671</v>
      </c>
      <c r="B23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1" s="3" t="str">
        <f>YEAR(KMART_DATA[[#This Row],[Date]])&amp;"-"&amp;TEXT(MONTH(KMART_DATA[[#This Row],[Date]]),"00")</f>
        <v>2025-01</v>
      </c>
      <c r="D2351" s="3" t="s">
        <v>45</v>
      </c>
      <c r="E2351" s="3" t="s">
        <v>108</v>
      </c>
      <c r="F2351" s="3" t="s">
        <v>9</v>
      </c>
      <c r="G23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51" s="3" t="s">
        <v>109</v>
      </c>
      <c r="I2351" s="3" t="s">
        <v>31</v>
      </c>
      <c r="J2351" s="3" t="s">
        <v>75</v>
      </c>
      <c r="K2351" s="3" t="s">
        <v>38</v>
      </c>
      <c r="L2351" s="3" t="s">
        <v>39</v>
      </c>
      <c r="M2351" s="4">
        <v>14.11</v>
      </c>
    </row>
    <row r="2352">
      <c r="A2352" s="2">
        <v>45671</v>
      </c>
      <c r="B23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2" s="3" t="str">
        <f>YEAR(KMART_DATA[[#This Row],[Date]])&amp;"-"&amp;TEXT(MONTH(KMART_DATA[[#This Row],[Date]]),"00")</f>
        <v>2025-01</v>
      </c>
      <c r="D2352" s="3" t="s">
        <v>28</v>
      </c>
      <c r="E2352" s="3" t="s">
        <v>230</v>
      </c>
      <c r="F2352" s="3" t="s">
        <v>13</v>
      </c>
      <c r="G23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52" s="3" t="s">
        <v>231</v>
      </c>
      <c r="I2352" s="3" t="s">
        <v>31</v>
      </c>
      <c r="J2352" s="3" t="s">
        <v>227</v>
      </c>
      <c r="K2352" s="3" t="s">
        <v>57</v>
      </c>
      <c r="L2352" s="3" t="s">
        <v>58</v>
      </c>
      <c r="M2352" s="4">
        <v>537.77</v>
      </c>
    </row>
    <row r="2353">
      <c r="A2353" s="2">
        <v>45671</v>
      </c>
      <c r="B23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3" s="3" t="str">
        <f>YEAR(KMART_DATA[[#This Row],[Date]])&amp;"-"&amp;TEXT(MONTH(KMART_DATA[[#This Row],[Date]]),"00")</f>
        <v>2025-01</v>
      </c>
      <c r="D2353" s="3" t="s">
        <v>28</v>
      </c>
      <c r="E2353" s="3" t="s">
        <v>203</v>
      </c>
      <c r="F2353" s="3" t="s">
        <v>10</v>
      </c>
      <c r="G23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53" s="3" t="s">
        <v>204</v>
      </c>
      <c r="I2353" s="3" t="s">
        <v>31</v>
      </c>
      <c r="J2353" s="3" t="s">
        <v>89</v>
      </c>
      <c r="K2353" s="3" t="s">
        <v>43</v>
      </c>
      <c r="L2353" s="3" t="s">
        <v>44</v>
      </c>
      <c r="M2353" s="4">
        <v>2494.43</v>
      </c>
    </row>
    <row r="2354">
      <c r="A2354" s="2">
        <v>45671</v>
      </c>
      <c r="B23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4" s="3" t="str">
        <f>YEAR(KMART_DATA[[#This Row],[Date]])&amp;"-"&amp;TEXT(MONTH(KMART_DATA[[#This Row],[Date]]),"00")</f>
        <v>2025-01</v>
      </c>
      <c r="D2354" s="3" t="s">
        <v>45</v>
      </c>
      <c r="E2354" s="3" t="s">
        <v>209</v>
      </c>
      <c r="F2354" s="3" t="s">
        <v>9</v>
      </c>
      <c r="G23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54" s="3" t="s">
        <v>210</v>
      </c>
      <c r="I2354" s="3" t="s">
        <v>31</v>
      </c>
      <c r="J2354" s="3" t="s">
        <v>81</v>
      </c>
      <c r="K2354" s="3" t="s">
        <v>57</v>
      </c>
      <c r="L2354" s="3" t="s">
        <v>58</v>
      </c>
      <c r="M2354" s="4">
        <v>3464.83</v>
      </c>
    </row>
    <row r="2355">
      <c r="A2355" s="2">
        <v>45671</v>
      </c>
      <c r="B23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5" s="3" t="str">
        <f>YEAR(KMART_DATA[[#This Row],[Date]])&amp;"-"&amp;TEXT(MONTH(KMART_DATA[[#This Row],[Date]]),"00")</f>
        <v>2025-01</v>
      </c>
      <c r="D2355" s="3" t="s">
        <v>28</v>
      </c>
      <c r="E2355" s="3" t="s">
        <v>160</v>
      </c>
      <c r="F2355" s="3" t="s">
        <v>12</v>
      </c>
      <c r="G23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355" s="3" t="s">
        <v>161</v>
      </c>
      <c r="I2355" s="3" t="s">
        <v>31</v>
      </c>
      <c r="J2355" s="3" t="s">
        <v>162</v>
      </c>
      <c r="K2355" s="3" t="s">
        <v>123</v>
      </c>
      <c r="L2355" s="3" t="s">
        <v>124</v>
      </c>
      <c r="M2355" s="4">
        <v>3969.24</v>
      </c>
    </row>
    <row r="2356">
      <c r="A2356" s="2">
        <v>45672</v>
      </c>
      <c r="B23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6" s="3" t="str">
        <f>YEAR(KMART_DATA[[#This Row],[Date]])&amp;"-"&amp;TEXT(MONTH(KMART_DATA[[#This Row],[Date]]),"00")</f>
        <v>2025-01</v>
      </c>
      <c r="D2356" s="3" t="s">
        <v>28</v>
      </c>
      <c r="E2356" s="3" t="s">
        <v>133</v>
      </c>
      <c r="F2356" s="3" t="s">
        <v>10</v>
      </c>
      <c r="G23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56" s="3" t="s">
        <v>134</v>
      </c>
      <c r="I2356" s="3" t="s">
        <v>31</v>
      </c>
      <c r="J2356" s="3" t="s">
        <v>37</v>
      </c>
      <c r="K2356" s="3" t="s">
        <v>123</v>
      </c>
      <c r="L2356" s="3" t="s">
        <v>124</v>
      </c>
      <c r="M2356" s="4">
        <v>43.97</v>
      </c>
    </row>
    <row r="2357">
      <c r="A2357" s="2">
        <v>45672</v>
      </c>
      <c r="B23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7" s="3" t="str">
        <f>YEAR(KMART_DATA[[#This Row],[Date]])&amp;"-"&amp;TEXT(MONTH(KMART_DATA[[#This Row],[Date]]),"00")</f>
        <v>2025-01</v>
      </c>
      <c r="D2357" s="3" t="s">
        <v>45</v>
      </c>
      <c r="E2357" s="3" t="s">
        <v>205</v>
      </c>
      <c r="F2357" s="3" t="s">
        <v>10</v>
      </c>
      <c r="G23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57" s="3" t="s">
        <v>206</v>
      </c>
      <c r="I2357" s="3" t="s">
        <v>31</v>
      </c>
      <c r="J2357" s="3" t="s">
        <v>37</v>
      </c>
      <c r="K2357" s="3" t="s">
        <v>46</v>
      </c>
      <c r="L2357" s="3" t="s">
        <v>47</v>
      </c>
      <c r="M2357" s="4">
        <v>65.89</v>
      </c>
    </row>
    <row r="2358">
      <c r="A2358" s="2">
        <v>45672</v>
      </c>
      <c r="B23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8" s="3" t="str">
        <f>YEAR(KMART_DATA[[#This Row],[Date]])&amp;"-"&amp;TEXT(MONTH(KMART_DATA[[#This Row],[Date]]),"00")</f>
        <v>2025-01</v>
      </c>
      <c r="D2358" s="3" t="s">
        <v>45</v>
      </c>
      <c r="E2358" s="3" t="s">
        <v>62</v>
      </c>
      <c r="F2358" s="3" t="s">
        <v>12</v>
      </c>
      <c r="G23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358" s="3" t="s">
        <v>63</v>
      </c>
      <c r="I2358" s="3" t="s">
        <v>31</v>
      </c>
      <c r="J2358" s="3" t="s">
        <v>50</v>
      </c>
      <c r="K2358" s="3" t="s">
        <v>71</v>
      </c>
      <c r="L2358" s="3" t="s">
        <v>72</v>
      </c>
      <c r="M2358" s="4">
        <v>155.0</v>
      </c>
    </row>
    <row r="2359">
      <c r="A2359" s="2">
        <v>45672</v>
      </c>
      <c r="B23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59" s="3" t="str">
        <f>YEAR(KMART_DATA[[#This Row],[Date]])&amp;"-"&amp;TEXT(MONTH(KMART_DATA[[#This Row],[Date]]),"00")</f>
        <v>2025-01</v>
      </c>
      <c r="D2359" s="3" t="s">
        <v>28</v>
      </c>
      <c r="E2359" s="3" t="s">
        <v>262</v>
      </c>
      <c r="F2359" s="3" t="s">
        <v>10</v>
      </c>
      <c r="G23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59" s="3" t="s">
        <v>263</v>
      </c>
      <c r="I2359" s="3" t="s">
        <v>31</v>
      </c>
      <c r="J2359" s="3" t="s">
        <v>120</v>
      </c>
      <c r="K2359" s="3" t="s">
        <v>71</v>
      </c>
      <c r="L2359" s="3" t="s">
        <v>72</v>
      </c>
      <c r="M2359" s="4">
        <v>202.87</v>
      </c>
    </row>
    <row r="2360">
      <c r="A2360" s="2">
        <v>45672</v>
      </c>
      <c r="B23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0" s="3" t="str">
        <f>YEAR(KMART_DATA[[#This Row],[Date]])&amp;"-"&amp;TEXT(MONTH(KMART_DATA[[#This Row],[Date]]),"00")</f>
        <v>2025-01</v>
      </c>
      <c r="D2360" s="3" t="s">
        <v>28</v>
      </c>
      <c r="E2360" s="3" t="s">
        <v>183</v>
      </c>
      <c r="F2360" s="3" t="s">
        <v>9</v>
      </c>
      <c r="G23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60" s="3" t="s">
        <v>184</v>
      </c>
      <c r="I2360" s="3" t="s">
        <v>31</v>
      </c>
      <c r="J2360" s="3" t="s">
        <v>70</v>
      </c>
      <c r="K2360" s="3" t="s">
        <v>38</v>
      </c>
      <c r="L2360" s="3" t="s">
        <v>39</v>
      </c>
      <c r="M2360" s="4">
        <v>276.58</v>
      </c>
    </row>
    <row r="2361">
      <c r="A2361" s="2">
        <v>45672</v>
      </c>
      <c r="B23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1" s="3" t="str">
        <f>YEAR(KMART_DATA[[#This Row],[Date]])&amp;"-"&amp;TEXT(MONTH(KMART_DATA[[#This Row],[Date]]),"00")</f>
        <v>2025-01</v>
      </c>
      <c r="D2361" s="3" t="s">
        <v>28</v>
      </c>
      <c r="E2361" s="3" t="s">
        <v>163</v>
      </c>
      <c r="F2361" s="3" t="s">
        <v>9</v>
      </c>
      <c r="G23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61" s="3" t="s">
        <v>164</v>
      </c>
      <c r="I2361" s="3" t="s">
        <v>31</v>
      </c>
      <c r="J2361" s="3" t="s">
        <v>81</v>
      </c>
      <c r="K2361" s="3" t="s">
        <v>43</v>
      </c>
      <c r="L2361" s="3" t="s">
        <v>44</v>
      </c>
      <c r="M2361" s="4">
        <v>1761.79</v>
      </c>
    </row>
    <row r="2362">
      <c r="A2362" s="2">
        <v>45672</v>
      </c>
      <c r="B23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2" s="3" t="str">
        <f>YEAR(KMART_DATA[[#This Row],[Date]])&amp;"-"&amp;TEXT(MONTH(KMART_DATA[[#This Row],[Date]]),"00")</f>
        <v>2025-01</v>
      </c>
      <c r="D2362" s="3" t="s">
        <v>28</v>
      </c>
      <c r="E2362" s="3" t="s">
        <v>82</v>
      </c>
      <c r="F2362" s="3" t="s">
        <v>11</v>
      </c>
      <c r="G23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62" s="3" t="s">
        <v>83</v>
      </c>
      <c r="I2362" s="3" t="s">
        <v>31</v>
      </c>
      <c r="J2362" s="3" t="s">
        <v>84</v>
      </c>
      <c r="K2362" s="3" t="s">
        <v>57</v>
      </c>
      <c r="L2362" s="3" t="s">
        <v>58</v>
      </c>
      <c r="M2362" s="4">
        <v>3763.51</v>
      </c>
    </row>
    <row r="2363">
      <c r="A2363" s="2">
        <v>45673</v>
      </c>
      <c r="B23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3" s="3" t="str">
        <f>YEAR(KMART_DATA[[#This Row],[Date]])&amp;"-"&amp;TEXT(MONTH(KMART_DATA[[#This Row],[Date]]),"00")</f>
        <v>2025-01</v>
      </c>
      <c r="D2363" s="3" t="s">
        <v>28</v>
      </c>
      <c r="E2363" s="3" t="s">
        <v>118</v>
      </c>
      <c r="F2363" s="3" t="s">
        <v>10</v>
      </c>
      <c r="G23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63" s="3" t="s">
        <v>119</v>
      </c>
      <c r="I2363" s="3" t="s">
        <v>31</v>
      </c>
      <c r="J2363" s="3" t="s">
        <v>120</v>
      </c>
      <c r="K2363" s="3" t="s">
        <v>46</v>
      </c>
      <c r="L2363" s="3" t="s">
        <v>47</v>
      </c>
      <c r="M2363" s="4">
        <v>1.0</v>
      </c>
    </row>
    <row r="2364">
      <c r="A2364" s="2">
        <v>45673</v>
      </c>
      <c r="B23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4" s="3" t="str">
        <f>YEAR(KMART_DATA[[#This Row],[Date]])&amp;"-"&amp;TEXT(MONTH(KMART_DATA[[#This Row],[Date]]),"00")</f>
        <v>2025-01</v>
      </c>
      <c r="D2364" s="3" t="s">
        <v>28</v>
      </c>
      <c r="E2364" s="3" t="s">
        <v>110</v>
      </c>
      <c r="F2364" s="3" t="s">
        <v>9</v>
      </c>
      <c r="G23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64" s="3" t="s">
        <v>111</v>
      </c>
      <c r="I2364" s="3" t="s">
        <v>31</v>
      </c>
      <c r="J2364" s="3" t="s">
        <v>81</v>
      </c>
      <c r="K2364" s="3" t="s">
        <v>38</v>
      </c>
      <c r="L2364" s="3" t="s">
        <v>39</v>
      </c>
      <c r="M2364" s="4">
        <v>798.23</v>
      </c>
    </row>
    <row r="2365">
      <c r="A2365" s="2">
        <v>45673</v>
      </c>
      <c r="B23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5" s="3" t="str">
        <f>YEAR(KMART_DATA[[#This Row],[Date]])&amp;"-"&amp;TEXT(MONTH(KMART_DATA[[#This Row],[Date]]),"00")</f>
        <v>2025-01</v>
      </c>
      <c r="D2365" s="3" t="s">
        <v>45</v>
      </c>
      <c r="E2365" s="3" t="s">
        <v>256</v>
      </c>
      <c r="F2365" s="3" t="s">
        <v>9</v>
      </c>
      <c r="G23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65" s="3" t="s">
        <v>257</v>
      </c>
      <c r="I2365" s="3" t="s">
        <v>31</v>
      </c>
      <c r="J2365" s="3" t="s">
        <v>70</v>
      </c>
      <c r="K2365" s="3" t="s">
        <v>71</v>
      </c>
      <c r="L2365" s="3" t="s">
        <v>72</v>
      </c>
      <c r="M2365" s="4">
        <v>1492.09</v>
      </c>
    </row>
    <row r="2366">
      <c r="A2366" s="2">
        <v>45673</v>
      </c>
      <c r="B23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6" s="3" t="str">
        <f>YEAR(KMART_DATA[[#This Row],[Date]])&amp;"-"&amp;TEXT(MONTH(KMART_DATA[[#This Row],[Date]]),"00")</f>
        <v>2025-01</v>
      </c>
      <c r="D2366" s="3" t="s">
        <v>28</v>
      </c>
      <c r="E2366" s="3" t="s">
        <v>221</v>
      </c>
      <c r="F2366" s="3" t="s">
        <v>11</v>
      </c>
      <c r="G23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66" s="3" t="s">
        <v>222</v>
      </c>
      <c r="I2366" s="3" t="s">
        <v>31</v>
      </c>
      <c r="J2366" s="3" t="s">
        <v>56</v>
      </c>
      <c r="K2366" s="3" t="s">
        <v>43</v>
      </c>
      <c r="L2366" s="3" t="s">
        <v>44</v>
      </c>
      <c r="M2366" s="4">
        <v>1882.03</v>
      </c>
    </row>
    <row r="2367">
      <c r="A2367" s="2">
        <v>45674</v>
      </c>
      <c r="B23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7" s="3" t="str">
        <f>YEAR(KMART_DATA[[#This Row],[Date]])&amp;"-"&amp;TEXT(MONTH(KMART_DATA[[#This Row],[Date]]),"00")</f>
        <v>2025-01</v>
      </c>
      <c r="D2367" s="3" t="s">
        <v>45</v>
      </c>
      <c r="E2367" s="3" t="s">
        <v>73</v>
      </c>
      <c r="F2367" s="3" t="s">
        <v>9</v>
      </c>
      <c r="G23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67" s="3" t="s">
        <v>74</v>
      </c>
      <c r="I2367" s="3" t="s">
        <v>31</v>
      </c>
      <c r="J2367" s="3" t="s">
        <v>75</v>
      </c>
      <c r="K2367" s="3" t="s">
        <v>71</v>
      </c>
      <c r="L2367" s="3" t="s">
        <v>72</v>
      </c>
      <c r="M2367" s="4">
        <v>14.99</v>
      </c>
    </row>
    <row r="2368">
      <c r="A2368" s="2">
        <v>45674</v>
      </c>
      <c r="B23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8" s="3" t="str">
        <f>YEAR(KMART_DATA[[#This Row],[Date]])&amp;"-"&amp;TEXT(MONTH(KMART_DATA[[#This Row],[Date]]),"00")</f>
        <v>2025-01</v>
      </c>
      <c r="D2368" s="3" t="s">
        <v>28</v>
      </c>
      <c r="E2368" s="3" t="s">
        <v>177</v>
      </c>
      <c r="F2368" s="3" t="s">
        <v>12</v>
      </c>
      <c r="G23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368" s="3" t="s">
        <v>178</v>
      </c>
      <c r="I2368" s="3" t="s">
        <v>31</v>
      </c>
      <c r="J2368" s="3" t="s">
        <v>162</v>
      </c>
      <c r="K2368" s="3" t="s">
        <v>38</v>
      </c>
      <c r="L2368" s="3" t="s">
        <v>39</v>
      </c>
      <c r="M2368" s="4">
        <v>18.97</v>
      </c>
    </row>
    <row r="2369">
      <c r="A2369" s="2">
        <v>45674</v>
      </c>
      <c r="B23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69" s="3" t="str">
        <f>YEAR(KMART_DATA[[#This Row],[Date]])&amp;"-"&amp;TEXT(MONTH(KMART_DATA[[#This Row],[Date]]),"00")</f>
        <v>2025-01</v>
      </c>
      <c r="D2369" s="3" t="s">
        <v>28</v>
      </c>
      <c r="E2369" s="3" t="s">
        <v>238</v>
      </c>
      <c r="F2369" s="3" t="s">
        <v>13</v>
      </c>
      <c r="G23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69" s="3" t="s">
        <v>239</v>
      </c>
      <c r="I2369" s="3" t="s">
        <v>31</v>
      </c>
      <c r="J2369" s="3" t="s">
        <v>42</v>
      </c>
      <c r="K2369" s="3" t="s">
        <v>43</v>
      </c>
      <c r="L2369" s="3" t="s">
        <v>44</v>
      </c>
      <c r="M2369" s="4">
        <v>51.98</v>
      </c>
    </row>
    <row r="2370">
      <c r="A2370" s="2">
        <v>45674</v>
      </c>
      <c r="B23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0" s="3" t="str">
        <f>YEAR(KMART_DATA[[#This Row],[Date]])&amp;"-"&amp;TEXT(MONTH(KMART_DATA[[#This Row],[Date]]),"00")</f>
        <v>2025-01</v>
      </c>
      <c r="D2370" s="3" t="s">
        <v>45</v>
      </c>
      <c r="E2370" s="3" t="s">
        <v>68</v>
      </c>
      <c r="F2370" s="3" t="s">
        <v>9</v>
      </c>
      <c r="G23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70" s="3" t="s">
        <v>69</v>
      </c>
      <c r="I2370" s="3" t="s">
        <v>31</v>
      </c>
      <c r="J2370" s="3" t="s">
        <v>70</v>
      </c>
      <c r="K2370" s="3" t="s">
        <v>123</v>
      </c>
      <c r="L2370" s="3" t="s">
        <v>124</v>
      </c>
      <c r="M2370" s="4">
        <v>74.95</v>
      </c>
    </row>
    <row r="2371">
      <c r="A2371" s="2">
        <v>45674</v>
      </c>
      <c r="B23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1" s="3" t="str">
        <f>YEAR(KMART_DATA[[#This Row],[Date]])&amp;"-"&amp;TEXT(MONTH(KMART_DATA[[#This Row],[Date]]),"00")</f>
        <v>2025-01</v>
      </c>
      <c r="D2371" s="3" t="s">
        <v>28</v>
      </c>
      <c r="E2371" s="3" t="s">
        <v>137</v>
      </c>
      <c r="F2371" s="3" t="s">
        <v>10</v>
      </c>
      <c r="G23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71" s="3" t="s">
        <v>138</v>
      </c>
      <c r="I2371" s="3" t="s">
        <v>31</v>
      </c>
      <c r="J2371" s="3" t="s">
        <v>89</v>
      </c>
      <c r="K2371" s="3" t="s">
        <v>33</v>
      </c>
      <c r="L2371" s="3" t="s">
        <v>34</v>
      </c>
      <c r="M2371" s="4">
        <v>95.85</v>
      </c>
    </row>
    <row r="2372">
      <c r="A2372" s="2">
        <v>45674</v>
      </c>
      <c r="B23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2" s="3" t="str">
        <f>YEAR(KMART_DATA[[#This Row],[Date]])&amp;"-"&amp;TEXT(MONTH(KMART_DATA[[#This Row],[Date]]),"00")</f>
        <v>2025-01</v>
      </c>
      <c r="D2372" s="3" t="s">
        <v>28</v>
      </c>
      <c r="E2372" s="3" t="s">
        <v>193</v>
      </c>
      <c r="F2372" s="3" t="s">
        <v>9</v>
      </c>
      <c r="G23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72" s="3" t="s">
        <v>194</v>
      </c>
      <c r="I2372" s="3" t="s">
        <v>31</v>
      </c>
      <c r="J2372" s="3" t="s">
        <v>99</v>
      </c>
      <c r="K2372" s="3" t="s">
        <v>123</v>
      </c>
      <c r="L2372" s="3" t="s">
        <v>124</v>
      </c>
      <c r="M2372" s="4">
        <v>1517.04</v>
      </c>
    </row>
    <row r="2373">
      <c r="A2373" s="2">
        <v>45675</v>
      </c>
      <c r="B23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3" s="3" t="str">
        <f>YEAR(KMART_DATA[[#This Row],[Date]])&amp;"-"&amp;TEXT(MONTH(KMART_DATA[[#This Row],[Date]]),"00")</f>
        <v>2025-01</v>
      </c>
      <c r="D2373" s="3" t="s">
        <v>28</v>
      </c>
      <c r="E2373" s="3" t="s">
        <v>76</v>
      </c>
      <c r="F2373" s="3" t="s">
        <v>11</v>
      </c>
      <c r="G23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73" s="3" t="s">
        <v>77</v>
      </c>
      <c r="I2373" s="3" t="s">
        <v>31</v>
      </c>
      <c r="J2373" s="3" t="s">
        <v>78</v>
      </c>
      <c r="K2373" s="3" t="s">
        <v>95</v>
      </c>
      <c r="L2373" s="3" t="s">
        <v>96</v>
      </c>
      <c r="M2373" s="4">
        <v>3.0</v>
      </c>
    </row>
    <row r="2374">
      <c r="A2374" s="2">
        <v>45675</v>
      </c>
      <c r="B23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4" s="3" t="str">
        <f>YEAR(KMART_DATA[[#This Row],[Date]])&amp;"-"&amp;TEXT(MONTH(KMART_DATA[[#This Row],[Date]]),"00")</f>
        <v>2025-01</v>
      </c>
      <c r="D2374" s="3" t="s">
        <v>28</v>
      </c>
      <c r="E2374" s="3" t="s">
        <v>217</v>
      </c>
      <c r="F2374" s="3" t="s">
        <v>10</v>
      </c>
      <c r="G23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74" s="3" t="s">
        <v>218</v>
      </c>
      <c r="I2374" s="3" t="s">
        <v>31</v>
      </c>
      <c r="J2374" s="3" t="s">
        <v>89</v>
      </c>
      <c r="K2374" s="3" t="s">
        <v>46</v>
      </c>
      <c r="L2374" s="3" t="s">
        <v>47</v>
      </c>
      <c r="M2374" s="4">
        <v>241.33</v>
      </c>
    </row>
    <row r="2375">
      <c r="A2375" s="2">
        <v>45675</v>
      </c>
      <c r="B23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5" s="3" t="str">
        <f>YEAR(KMART_DATA[[#This Row],[Date]])&amp;"-"&amp;TEXT(MONTH(KMART_DATA[[#This Row],[Date]]),"00")</f>
        <v>2025-01</v>
      </c>
      <c r="D2375" s="3" t="s">
        <v>28</v>
      </c>
      <c r="E2375" s="3" t="s">
        <v>207</v>
      </c>
      <c r="F2375" s="3" t="s">
        <v>11</v>
      </c>
      <c r="G23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75" s="3" t="s">
        <v>208</v>
      </c>
      <c r="I2375" s="3" t="s">
        <v>31</v>
      </c>
      <c r="J2375" s="3" t="s">
        <v>78</v>
      </c>
      <c r="K2375" s="3" t="s">
        <v>71</v>
      </c>
      <c r="L2375" s="3" t="s">
        <v>72</v>
      </c>
      <c r="M2375" s="4">
        <v>2571.9</v>
      </c>
    </row>
    <row r="2376">
      <c r="A2376" s="2">
        <v>45676</v>
      </c>
      <c r="B23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6" s="3" t="str">
        <f>YEAR(KMART_DATA[[#This Row],[Date]])&amp;"-"&amp;TEXT(MONTH(KMART_DATA[[#This Row],[Date]]),"00")</f>
        <v>2025-01</v>
      </c>
      <c r="D2376" s="3" t="s">
        <v>28</v>
      </c>
      <c r="E2376" s="3" t="s">
        <v>133</v>
      </c>
      <c r="F2376" s="3" t="s">
        <v>10</v>
      </c>
      <c r="G23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76" s="3" t="s">
        <v>134</v>
      </c>
      <c r="I2376" s="3" t="s">
        <v>31</v>
      </c>
      <c r="J2376" s="3" t="s">
        <v>37</v>
      </c>
      <c r="K2376" s="3" t="s">
        <v>123</v>
      </c>
      <c r="L2376" s="3" t="s">
        <v>124</v>
      </c>
      <c r="M2376" s="4">
        <v>4.5</v>
      </c>
    </row>
    <row r="2377">
      <c r="A2377" s="2">
        <v>45676</v>
      </c>
      <c r="B23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7" s="3" t="str">
        <f>YEAR(KMART_DATA[[#This Row],[Date]])&amp;"-"&amp;TEXT(MONTH(KMART_DATA[[#This Row],[Date]]),"00")</f>
        <v>2025-01</v>
      </c>
      <c r="D2377" s="3" t="s">
        <v>28</v>
      </c>
      <c r="E2377" s="3" t="s">
        <v>105</v>
      </c>
      <c r="F2377" s="3" t="s">
        <v>9</v>
      </c>
      <c r="G23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77" s="3" t="s">
        <v>106</v>
      </c>
      <c r="I2377" s="3" t="s">
        <v>31</v>
      </c>
      <c r="J2377" s="3" t="s">
        <v>107</v>
      </c>
      <c r="K2377" s="3" t="s">
        <v>95</v>
      </c>
      <c r="L2377" s="3" t="s">
        <v>96</v>
      </c>
      <c r="M2377" s="4">
        <v>5.4</v>
      </c>
    </row>
    <row r="2378">
      <c r="A2378" s="2">
        <v>45676</v>
      </c>
      <c r="B23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8" s="3" t="str">
        <f>YEAR(KMART_DATA[[#This Row],[Date]])&amp;"-"&amp;TEXT(MONTH(KMART_DATA[[#This Row],[Date]]),"00")</f>
        <v>2025-01</v>
      </c>
      <c r="D2378" s="3" t="s">
        <v>28</v>
      </c>
      <c r="E2378" s="3" t="s">
        <v>244</v>
      </c>
      <c r="F2378" s="3" t="s">
        <v>13</v>
      </c>
      <c r="G23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78" s="3" t="s">
        <v>245</v>
      </c>
      <c r="I2378" s="3" t="s">
        <v>31</v>
      </c>
      <c r="J2378" s="3" t="s">
        <v>42</v>
      </c>
      <c r="K2378" s="3" t="s">
        <v>123</v>
      </c>
      <c r="L2378" s="3" t="s">
        <v>124</v>
      </c>
      <c r="M2378" s="4">
        <v>133.77</v>
      </c>
    </row>
    <row r="2379">
      <c r="A2379" s="2">
        <v>45676</v>
      </c>
      <c r="B23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79" s="3" t="str">
        <f>YEAR(KMART_DATA[[#This Row],[Date]])&amp;"-"&amp;TEXT(MONTH(KMART_DATA[[#This Row],[Date]]),"00")</f>
        <v>2025-01</v>
      </c>
      <c r="D2379" s="3" t="s">
        <v>45</v>
      </c>
      <c r="E2379" s="3" t="s">
        <v>90</v>
      </c>
      <c r="F2379" s="3" t="s">
        <v>10</v>
      </c>
      <c r="G23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79" s="3" t="s">
        <v>91</v>
      </c>
      <c r="I2379" s="3" t="s">
        <v>31</v>
      </c>
      <c r="J2379" s="3" t="s">
        <v>37</v>
      </c>
      <c r="K2379" s="3" t="s">
        <v>43</v>
      </c>
      <c r="L2379" s="3" t="s">
        <v>44</v>
      </c>
      <c r="M2379" s="4">
        <v>809.47</v>
      </c>
    </row>
    <row r="2380">
      <c r="A2380" s="2">
        <v>45676</v>
      </c>
      <c r="B23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0" s="3" t="str">
        <f>YEAR(KMART_DATA[[#This Row],[Date]])&amp;"-"&amp;TEXT(MONTH(KMART_DATA[[#This Row],[Date]]),"00")</f>
        <v>2025-01</v>
      </c>
      <c r="D2380" s="3" t="s">
        <v>45</v>
      </c>
      <c r="E2380" s="3" t="s">
        <v>217</v>
      </c>
      <c r="F2380" s="3" t="s">
        <v>10</v>
      </c>
      <c r="G23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80" s="3" t="s">
        <v>218</v>
      </c>
      <c r="I2380" s="3" t="s">
        <v>31</v>
      </c>
      <c r="J2380" s="3" t="s">
        <v>89</v>
      </c>
      <c r="K2380" s="3" t="s">
        <v>46</v>
      </c>
      <c r="L2380" s="3" t="s">
        <v>47</v>
      </c>
      <c r="M2380" s="4">
        <v>1500.08</v>
      </c>
    </row>
    <row r="2381">
      <c r="A2381" s="2">
        <v>45677</v>
      </c>
      <c r="B23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1" s="3" t="str">
        <f>YEAR(KMART_DATA[[#This Row],[Date]])&amp;"-"&amp;TEXT(MONTH(KMART_DATA[[#This Row],[Date]]),"00")</f>
        <v>2025-01</v>
      </c>
      <c r="D2381" s="3" t="s">
        <v>45</v>
      </c>
      <c r="E2381" s="3" t="s">
        <v>108</v>
      </c>
      <c r="F2381" s="3" t="s">
        <v>9</v>
      </c>
      <c r="G23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81" s="3" t="s">
        <v>109</v>
      </c>
      <c r="I2381" s="3" t="s">
        <v>31</v>
      </c>
      <c r="J2381" s="3" t="s">
        <v>75</v>
      </c>
      <c r="K2381" s="3" t="s">
        <v>112</v>
      </c>
      <c r="L2381" s="3" t="s">
        <v>113</v>
      </c>
      <c r="M2381" s="4">
        <v>99.44</v>
      </c>
    </row>
    <row r="2382">
      <c r="A2382" s="2">
        <v>45677</v>
      </c>
      <c r="B23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2" s="3" t="str">
        <f>YEAR(KMART_DATA[[#This Row],[Date]])&amp;"-"&amp;TEXT(MONTH(KMART_DATA[[#This Row],[Date]]),"00")</f>
        <v>2025-01</v>
      </c>
      <c r="D2382" s="3" t="s">
        <v>45</v>
      </c>
      <c r="E2382" s="3" t="s">
        <v>215</v>
      </c>
      <c r="F2382" s="3" t="s">
        <v>15</v>
      </c>
      <c r="G23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382" s="3" t="s">
        <v>216</v>
      </c>
      <c r="I2382" s="3" t="s">
        <v>31</v>
      </c>
      <c r="J2382" s="3" t="s">
        <v>53</v>
      </c>
      <c r="K2382" s="3" t="s">
        <v>123</v>
      </c>
      <c r="L2382" s="3" t="s">
        <v>124</v>
      </c>
      <c r="M2382" s="4">
        <v>209.62</v>
      </c>
    </row>
    <row r="2383">
      <c r="A2383" s="2">
        <v>45677</v>
      </c>
      <c r="B23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3" s="3" t="str">
        <f>YEAR(KMART_DATA[[#This Row],[Date]])&amp;"-"&amp;TEXT(MONTH(KMART_DATA[[#This Row],[Date]]),"00")</f>
        <v>2025-01</v>
      </c>
      <c r="D2383" s="3" t="s">
        <v>28</v>
      </c>
      <c r="E2383" s="3" t="s">
        <v>108</v>
      </c>
      <c r="F2383" s="3" t="s">
        <v>9</v>
      </c>
      <c r="G23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83" s="3" t="s">
        <v>109</v>
      </c>
      <c r="I2383" s="3" t="s">
        <v>31</v>
      </c>
      <c r="J2383" s="3" t="s">
        <v>75</v>
      </c>
      <c r="K2383" s="3" t="s">
        <v>57</v>
      </c>
      <c r="L2383" s="3" t="s">
        <v>58</v>
      </c>
      <c r="M2383" s="4">
        <v>339.69</v>
      </c>
    </row>
    <row r="2384">
      <c r="A2384" s="2">
        <v>45677</v>
      </c>
      <c r="B23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4" s="3" t="str">
        <f>YEAR(KMART_DATA[[#This Row],[Date]])&amp;"-"&amp;TEXT(MONTH(KMART_DATA[[#This Row],[Date]]),"00")</f>
        <v>2025-01</v>
      </c>
      <c r="D2384" s="3" t="s">
        <v>45</v>
      </c>
      <c r="E2384" s="3" t="s">
        <v>146</v>
      </c>
      <c r="F2384" s="3" t="s">
        <v>9</v>
      </c>
      <c r="G23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84" s="3" t="s">
        <v>147</v>
      </c>
      <c r="I2384" s="3" t="s">
        <v>31</v>
      </c>
      <c r="J2384" s="3" t="s">
        <v>75</v>
      </c>
      <c r="K2384" s="3" t="s">
        <v>38</v>
      </c>
      <c r="L2384" s="3" t="s">
        <v>39</v>
      </c>
      <c r="M2384" s="4">
        <v>612.42</v>
      </c>
    </row>
    <row r="2385">
      <c r="A2385" s="2">
        <v>45677</v>
      </c>
      <c r="B23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5" s="3" t="str">
        <f>YEAR(KMART_DATA[[#This Row],[Date]])&amp;"-"&amp;TEXT(MONTH(KMART_DATA[[#This Row],[Date]]),"00")</f>
        <v>2025-01</v>
      </c>
      <c r="D2385" s="3" t="s">
        <v>45</v>
      </c>
      <c r="E2385" s="3" t="s">
        <v>127</v>
      </c>
      <c r="F2385" s="3" t="s">
        <v>11</v>
      </c>
      <c r="G23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85" s="3" t="s">
        <v>128</v>
      </c>
      <c r="I2385" s="3" t="s">
        <v>31</v>
      </c>
      <c r="J2385" s="3" t="s">
        <v>78</v>
      </c>
      <c r="K2385" s="3" t="s">
        <v>57</v>
      </c>
      <c r="L2385" s="3" t="s">
        <v>58</v>
      </c>
      <c r="M2385" s="4">
        <v>674.89</v>
      </c>
    </row>
    <row r="2386">
      <c r="A2386" s="2">
        <v>45678</v>
      </c>
      <c r="B23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6" s="3" t="str">
        <f>YEAR(KMART_DATA[[#This Row],[Date]])&amp;"-"&amp;TEXT(MONTH(KMART_DATA[[#This Row],[Date]]),"00")</f>
        <v>2025-01</v>
      </c>
      <c r="D2386" s="3" t="s">
        <v>28</v>
      </c>
      <c r="E2386" s="3" t="s">
        <v>240</v>
      </c>
      <c r="F2386" s="3" t="s">
        <v>15</v>
      </c>
      <c r="G23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386" s="3" t="s">
        <v>241</v>
      </c>
      <c r="I2386" s="3" t="s">
        <v>31</v>
      </c>
      <c r="J2386" s="3" t="s">
        <v>53</v>
      </c>
      <c r="K2386" s="3" t="s">
        <v>112</v>
      </c>
      <c r="L2386" s="3" t="s">
        <v>113</v>
      </c>
      <c r="M2386" s="4">
        <v>11.98</v>
      </c>
    </row>
    <row r="2387">
      <c r="A2387" s="2">
        <v>45678</v>
      </c>
      <c r="B23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7" s="3" t="str">
        <f>YEAR(KMART_DATA[[#This Row],[Date]])&amp;"-"&amp;TEXT(MONTH(KMART_DATA[[#This Row],[Date]]),"00")</f>
        <v>2025-01</v>
      </c>
      <c r="D2387" s="3" t="s">
        <v>28</v>
      </c>
      <c r="E2387" s="3" t="s">
        <v>209</v>
      </c>
      <c r="F2387" s="3" t="s">
        <v>9</v>
      </c>
      <c r="G23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87" s="3" t="s">
        <v>210</v>
      </c>
      <c r="I2387" s="3" t="s">
        <v>31</v>
      </c>
      <c r="J2387" s="3" t="s">
        <v>81</v>
      </c>
      <c r="K2387" s="3" t="s">
        <v>38</v>
      </c>
      <c r="L2387" s="3" t="s">
        <v>39</v>
      </c>
      <c r="M2387" s="4">
        <v>39.05</v>
      </c>
    </row>
    <row r="2388">
      <c r="A2388" s="2">
        <v>45678</v>
      </c>
      <c r="B23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8" s="3" t="str">
        <f>YEAR(KMART_DATA[[#This Row],[Date]])&amp;"-"&amp;TEXT(MONTH(KMART_DATA[[#This Row],[Date]]),"00")</f>
        <v>2025-01</v>
      </c>
      <c r="D2388" s="3" t="s">
        <v>28</v>
      </c>
      <c r="E2388" s="3" t="s">
        <v>234</v>
      </c>
      <c r="F2388" s="3" t="s">
        <v>9</v>
      </c>
      <c r="G23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88" s="3" t="s">
        <v>235</v>
      </c>
      <c r="I2388" s="3" t="s">
        <v>31</v>
      </c>
      <c r="J2388" s="3" t="s">
        <v>81</v>
      </c>
      <c r="K2388" s="3" t="s">
        <v>112</v>
      </c>
      <c r="L2388" s="3" t="s">
        <v>113</v>
      </c>
      <c r="M2388" s="4">
        <v>133.77</v>
      </c>
    </row>
    <row r="2389">
      <c r="A2389" s="2">
        <v>45678</v>
      </c>
      <c r="B23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89" s="3" t="str">
        <f>YEAR(KMART_DATA[[#This Row],[Date]])&amp;"-"&amp;TEXT(MONTH(KMART_DATA[[#This Row],[Date]]),"00")</f>
        <v>2025-01</v>
      </c>
      <c r="D2389" s="3" t="s">
        <v>28</v>
      </c>
      <c r="E2389" s="3" t="s">
        <v>121</v>
      </c>
      <c r="F2389" s="3" t="s">
        <v>11</v>
      </c>
      <c r="G23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89" s="3" t="s">
        <v>122</v>
      </c>
      <c r="I2389" s="3" t="s">
        <v>31</v>
      </c>
      <c r="J2389" s="3" t="s">
        <v>84</v>
      </c>
      <c r="K2389" s="3" t="s">
        <v>43</v>
      </c>
      <c r="L2389" s="3" t="s">
        <v>44</v>
      </c>
      <c r="M2389" s="4">
        <v>153.62</v>
      </c>
    </row>
    <row r="2390">
      <c r="A2390" s="2">
        <v>45678</v>
      </c>
      <c r="B23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0" s="3" t="str">
        <f>YEAR(KMART_DATA[[#This Row],[Date]])&amp;"-"&amp;TEXT(MONTH(KMART_DATA[[#This Row],[Date]]),"00")</f>
        <v>2025-01</v>
      </c>
      <c r="D2390" s="3" t="s">
        <v>28</v>
      </c>
      <c r="E2390" s="3" t="s">
        <v>177</v>
      </c>
      <c r="F2390" s="3" t="s">
        <v>12</v>
      </c>
      <c r="G23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390" s="3" t="s">
        <v>178</v>
      </c>
      <c r="I2390" s="3" t="s">
        <v>31</v>
      </c>
      <c r="J2390" s="3" t="s">
        <v>162</v>
      </c>
      <c r="K2390" s="3" t="s">
        <v>71</v>
      </c>
      <c r="L2390" s="3" t="s">
        <v>72</v>
      </c>
      <c r="M2390" s="4">
        <v>248.59</v>
      </c>
    </row>
    <row r="2391">
      <c r="A2391" s="2">
        <v>45678</v>
      </c>
      <c r="B23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1" s="3" t="str">
        <f>YEAR(KMART_DATA[[#This Row],[Date]])&amp;"-"&amp;TEXT(MONTH(KMART_DATA[[#This Row],[Date]]),"00")</f>
        <v>2025-01</v>
      </c>
      <c r="D2391" s="3" t="s">
        <v>28</v>
      </c>
      <c r="E2391" s="3" t="s">
        <v>169</v>
      </c>
      <c r="F2391" s="3" t="s">
        <v>12</v>
      </c>
      <c r="G23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391" s="3" t="s">
        <v>170</v>
      </c>
      <c r="I2391" s="3" t="s">
        <v>31</v>
      </c>
      <c r="J2391" s="3" t="s">
        <v>102</v>
      </c>
      <c r="K2391" s="3" t="s">
        <v>46</v>
      </c>
      <c r="L2391" s="3" t="s">
        <v>47</v>
      </c>
      <c r="M2391" s="4">
        <v>340.21</v>
      </c>
    </row>
    <row r="2392">
      <c r="A2392" s="2">
        <v>45678</v>
      </c>
      <c r="B23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2" s="3" t="str">
        <f>YEAR(KMART_DATA[[#This Row],[Date]])&amp;"-"&amp;TEXT(MONTH(KMART_DATA[[#This Row],[Date]]),"00")</f>
        <v>2025-01</v>
      </c>
      <c r="D2392" s="3" t="s">
        <v>28</v>
      </c>
      <c r="E2392" s="3" t="s">
        <v>232</v>
      </c>
      <c r="F2392" s="3" t="s">
        <v>9</v>
      </c>
      <c r="G23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92" s="3" t="s">
        <v>233</v>
      </c>
      <c r="I2392" s="3" t="s">
        <v>31</v>
      </c>
      <c r="J2392" s="3" t="s">
        <v>75</v>
      </c>
      <c r="K2392" s="3" t="s">
        <v>112</v>
      </c>
      <c r="L2392" s="3" t="s">
        <v>113</v>
      </c>
      <c r="M2392" s="4">
        <v>1048.31</v>
      </c>
    </row>
    <row r="2393">
      <c r="A2393" s="2">
        <v>45679</v>
      </c>
      <c r="B23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3" s="3" t="str">
        <f>YEAR(KMART_DATA[[#This Row],[Date]])&amp;"-"&amp;TEXT(MONTH(KMART_DATA[[#This Row],[Date]]),"00")</f>
        <v>2025-01</v>
      </c>
      <c r="D2393" s="3" t="s">
        <v>28</v>
      </c>
      <c r="E2393" s="3" t="s">
        <v>110</v>
      </c>
      <c r="F2393" s="3" t="s">
        <v>9</v>
      </c>
      <c r="G23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93" s="3" t="s">
        <v>111</v>
      </c>
      <c r="I2393" s="3" t="s">
        <v>31</v>
      </c>
      <c r="J2393" s="3" t="s">
        <v>81</v>
      </c>
      <c r="K2393" s="3" t="s">
        <v>43</v>
      </c>
      <c r="L2393" s="3" t="s">
        <v>44</v>
      </c>
      <c r="M2393" s="4">
        <v>2.99</v>
      </c>
    </row>
    <row r="2394">
      <c r="A2394" s="2">
        <v>45680</v>
      </c>
      <c r="B23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4" s="3" t="str">
        <f>YEAR(KMART_DATA[[#This Row],[Date]])&amp;"-"&amp;TEXT(MONTH(KMART_DATA[[#This Row],[Date]]),"00")</f>
        <v>2025-01</v>
      </c>
      <c r="D2394" s="3" t="s">
        <v>45</v>
      </c>
      <c r="E2394" s="3" t="s">
        <v>225</v>
      </c>
      <c r="F2394" s="3" t="s">
        <v>13</v>
      </c>
      <c r="G23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94" s="3" t="s">
        <v>226</v>
      </c>
      <c r="I2394" s="3" t="s">
        <v>31</v>
      </c>
      <c r="J2394" s="3" t="s">
        <v>227</v>
      </c>
      <c r="K2394" s="3" t="s">
        <v>123</v>
      </c>
      <c r="L2394" s="3" t="s">
        <v>124</v>
      </c>
      <c r="M2394" s="4">
        <v>13.95</v>
      </c>
    </row>
    <row r="2395">
      <c r="A2395" s="2">
        <v>45680</v>
      </c>
      <c r="B23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5" s="3" t="str">
        <f>YEAR(KMART_DATA[[#This Row],[Date]])&amp;"-"&amp;TEXT(MONTH(KMART_DATA[[#This Row],[Date]]),"00")</f>
        <v>2025-01</v>
      </c>
      <c r="D2395" s="3" t="s">
        <v>28</v>
      </c>
      <c r="E2395" s="3" t="s">
        <v>160</v>
      </c>
      <c r="F2395" s="3" t="s">
        <v>12</v>
      </c>
      <c r="G23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395" s="3" t="s">
        <v>161</v>
      </c>
      <c r="I2395" s="3" t="s">
        <v>31</v>
      </c>
      <c r="J2395" s="3" t="s">
        <v>162</v>
      </c>
      <c r="K2395" s="3" t="s">
        <v>95</v>
      </c>
      <c r="L2395" s="3" t="s">
        <v>96</v>
      </c>
      <c r="M2395" s="4">
        <v>61.1</v>
      </c>
    </row>
    <row r="2396">
      <c r="A2396" s="2">
        <v>45680</v>
      </c>
      <c r="B23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6" s="3" t="str">
        <f>YEAR(KMART_DATA[[#This Row],[Date]])&amp;"-"&amp;TEXT(MONTH(KMART_DATA[[#This Row],[Date]]),"00")</f>
        <v>2025-01</v>
      </c>
      <c r="D2396" s="3" t="s">
        <v>28</v>
      </c>
      <c r="E2396" s="3" t="s">
        <v>82</v>
      </c>
      <c r="F2396" s="3" t="s">
        <v>11</v>
      </c>
      <c r="G23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396" s="3" t="s">
        <v>83</v>
      </c>
      <c r="I2396" s="3" t="s">
        <v>31</v>
      </c>
      <c r="J2396" s="3" t="s">
        <v>84</v>
      </c>
      <c r="K2396" s="3" t="s">
        <v>43</v>
      </c>
      <c r="L2396" s="3" t="s">
        <v>44</v>
      </c>
      <c r="M2396" s="4">
        <v>350.22</v>
      </c>
    </row>
    <row r="2397">
      <c r="A2397" s="2">
        <v>45680</v>
      </c>
      <c r="B23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7" s="3" t="str">
        <f>YEAR(KMART_DATA[[#This Row],[Date]])&amp;"-"&amp;TEXT(MONTH(KMART_DATA[[#This Row],[Date]]),"00")</f>
        <v>2025-01</v>
      </c>
      <c r="D2397" s="3" t="s">
        <v>45</v>
      </c>
      <c r="E2397" s="3" t="s">
        <v>141</v>
      </c>
      <c r="F2397" s="3" t="s">
        <v>9</v>
      </c>
      <c r="G23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397" s="3" t="s">
        <v>142</v>
      </c>
      <c r="I2397" s="3" t="s">
        <v>31</v>
      </c>
      <c r="J2397" s="3" t="s">
        <v>107</v>
      </c>
      <c r="K2397" s="3" t="s">
        <v>46</v>
      </c>
      <c r="L2397" s="3" t="s">
        <v>47</v>
      </c>
      <c r="M2397" s="4">
        <v>464.53</v>
      </c>
    </row>
    <row r="2398">
      <c r="A2398" s="2">
        <v>45681</v>
      </c>
      <c r="B23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8" s="3" t="str">
        <f>YEAR(KMART_DATA[[#This Row],[Date]])&amp;"-"&amp;TEXT(MONTH(KMART_DATA[[#This Row],[Date]]),"00")</f>
        <v>2025-01</v>
      </c>
      <c r="D2398" s="3" t="s">
        <v>28</v>
      </c>
      <c r="E2398" s="3" t="s">
        <v>199</v>
      </c>
      <c r="F2398" s="3" t="s">
        <v>13</v>
      </c>
      <c r="G23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398" s="3" t="s">
        <v>200</v>
      </c>
      <c r="I2398" s="3" t="s">
        <v>31</v>
      </c>
      <c r="J2398" s="3" t="s">
        <v>42</v>
      </c>
      <c r="K2398" s="3" t="s">
        <v>43</v>
      </c>
      <c r="L2398" s="3" t="s">
        <v>44</v>
      </c>
      <c r="M2398" s="4">
        <v>46.0</v>
      </c>
    </row>
    <row r="2399">
      <c r="A2399" s="2">
        <v>45681</v>
      </c>
      <c r="B23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399" s="3" t="str">
        <f>YEAR(KMART_DATA[[#This Row],[Date]])&amp;"-"&amp;TEXT(MONTH(KMART_DATA[[#This Row],[Date]]),"00")</f>
        <v>2025-01</v>
      </c>
      <c r="D2399" s="3" t="s">
        <v>45</v>
      </c>
      <c r="E2399" s="3" t="s">
        <v>87</v>
      </c>
      <c r="F2399" s="3" t="s">
        <v>10</v>
      </c>
      <c r="G23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399" s="3" t="s">
        <v>88</v>
      </c>
      <c r="I2399" s="3" t="s">
        <v>31</v>
      </c>
      <c r="J2399" s="3" t="s">
        <v>89</v>
      </c>
      <c r="K2399" s="3" t="s">
        <v>57</v>
      </c>
      <c r="L2399" s="3" t="s">
        <v>58</v>
      </c>
      <c r="M2399" s="4">
        <v>65.5</v>
      </c>
    </row>
    <row r="2400">
      <c r="A2400" s="2">
        <v>45681</v>
      </c>
      <c r="B24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0" s="3" t="str">
        <f>YEAR(KMART_DATA[[#This Row],[Date]])&amp;"-"&amp;TEXT(MONTH(KMART_DATA[[#This Row],[Date]]),"00")</f>
        <v>2025-01</v>
      </c>
      <c r="D2400" s="3" t="s">
        <v>45</v>
      </c>
      <c r="E2400" s="3" t="s">
        <v>260</v>
      </c>
      <c r="F2400" s="3" t="s">
        <v>10</v>
      </c>
      <c r="G24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00" s="3" t="s">
        <v>261</v>
      </c>
      <c r="I2400" s="3" t="s">
        <v>31</v>
      </c>
      <c r="J2400" s="3" t="s">
        <v>89</v>
      </c>
      <c r="K2400" s="3" t="s">
        <v>123</v>
      </c>
      <c r="L2400" s="3" t="s">
        <v>124</v>
      </c>
      <c r="M2400" s="4">
        <v>104.5</v>
      </c>
    </row>
    <row r="2401">
      <c r="A2401" s="2">
        <v>45681</v>
      </c>
      <c r="B24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1" s="3" t="str">
        <f>YEAR(KMART_DATA[[#This Row],[Date]])&amp;"-"&amp;TEXT(MONTH(KMART_DATA[[#This Row],[Date]]),"00")</f>
        <v>2025-01</v>
      </c>
      <c r="D2401" s="3" t="s">
        <v>28</v>
      </c>
      <c r="E2401" s="3" t="s">
        <v>100</v>
      </c>
      <c r="F2401" s="3" t="s">
        <v>12</v>
      </c>
      <c r="G24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01" s="3" t="s">
        <v>101</v>
      </c>
      <c r="I2401" s="3" t="s">
        <v>31</v>
      </c>
      <c r="J2401" s="3" t="s">
        <v>102</v>
      </c>
      <c r="K2401" s="3" t="s">
        <v>95</v>
      </c>
      <c r="L2401" s="3" t="s">
        <v>96</v>
      </c>
      <c r="M2401" s="4">
        <v>232.67</v>
      </c>
    </row>
    <row r="2402">
      <c r="A2402" s="2">
        <v>45681</v>
      </c>
      <c r="B24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2" s="3" t="str">
        <f>YEAR(KMART_DATA[[#This Row],[Date]])&amp;"-"&amp;TEXT(MONTH(KMART_DATA[[#This Row],[Date]]),"00")</f>
        <v>2025-01</v>
      </c>
      <c r="D2402" s="3" t="s">
        <v>45</v>
      </c>
      <c r="E2402" s="3" t="s">
        <v>141</v>
      </c>
      <c r="F2402" s="3" t="s">
        <v>9</v>
      </c>
      <c r="G24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02" s="3" t="s">
        <v>142</v>
      </c>
      <c r="I2402" s="3" t="s">
        <v>31</v>
      </c>
      <c r="J2402" s="3" t="s">
        <v>107</v>
      </c>
      <c r="K2402" s="3" t="s">
        <v>38</v>
      </c>
      <c r="L2402" s="3" t="s">
        <v>39</v>
      </c>
      <c r="M2402" s="4">
        <v>255.38</v>
      </c>
    </row>
    <row r="2403">
      <c r="A2403" s="2">
        <v>45681</v>
      </c>
      <c r="B24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3" s="3" t="str">
        <f>YEAR(KMART_DATA[[#This Row],[Date]])&amp;"-"&amp;TEXT(MONTH(KMART_DATA[[#This Row],[Date]]),"00")</f>
        <v>2025-01</v>
      </c>
      <c r="D2403" s="3" t="s">
        <v>28</v>
      </c>
      <c r="E2403" s="3" t="s">
        <v>215</v>
      </c>
      <c r="F2403" s="3" t="s">
        <v>15</v>
      </c>
      <c r="G24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403" s="3" t="s">
        <v>216</v>
      </c>
      <c r="I2403" s="3" t="s">
        <v>31</v>
      </c>
      <c r="J2403" s="3" t="s">
        <v>53</v>
      </c>
      <c r="K2403" s="3" t="s">
        <v>33</v>
      </c>
      <c r="L2403" s="3" t="s">
        <v>34</v>
      </c>
      <c r="M2403" s="4">
        <v>592.31</v>
      </c>
    </row>
    <row r="2404">
      <c r="A2404" s="2">
        <v>45681</v>
      </c>
      <c r="B24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4" s="3" t="str">
        <f>YEAR(KMART_DATA[[#This Row],[Date]])&amp;"-"&amp;TEXT(MONTH(KMART_DATA[[#This Row],[Date]]),"00")</f>
        <v>2025-01</v>
      </c>
      <c r="D2404" s="3" t="s">
        <v>28</v>
      </c>
      <c r="E2404" s="3" t="s">
        <v>154</v>
      </c>
      <c r="F2404" s="3" t="s">
        <v>11</v>
      </c>
      <c r="G24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04" s="3" t="s">
        <v>155</v>
      </c>
      <c r="I2404" s="3" t="s">
        <v>31</v>
      </c>
      <c r="J2404" s="3" t="s">
        <v>84</v>
      </c>
      <c r="K2404" s="3" t="s">
        <v>95</v>
      </c>
      <c r="L2404" s="3" t="s">
        <v>96</v>
      </c>
      <c r="M2404" s="4">
        <v>623.13</v>
      </c>
    </row>
    <row r="2405">
      <c r="A2405" s="2">
        <v>45681</v>
      </c>
      <c r="B24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5" s="3" t="str">
        <f>YEAR(KMART_DATA[[#This Row],[Date]])&amp;"-"&amp;TEXT(MONTH(KMART_DATA[[#This Row],[Date]]),"00")</f>
        <v>2025-01</v>
      </c>
      <c r="D2405" s="3" t="s">
        <v>45</v>
      </c>
      <c r="E2405" s="3" t="s">
        <v>100</v>
      </c>
      <c r="F2405" s="3" t="s">
        <v>12</v>
      </c>
      <c r="G24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05" s="3" t="s">
        <v>101</v>
      </c>
      <c r="I2405" s="3" t="s">
        <v>31</v>
      </c>
      <c r="J2405" s="3" t="s">
        <v>102</v>
      </c>
      <c r="K2405" s="3" t="s">
        <v>95</v>
      </c>
      <c r="L2405" s="3" t="s">
        <v>96</v>
      </c>
      <c r="M2405" s="4">
        <v>887.64</v>
      </c>
    </row>
    <row r="2406">
      <c r="A2406" s="2">
        <v>45681</v>
      </c>
      <c r="B24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6" s="3" t="str">
        <f>YEAR(KMART_DATA[[#This Row],[Date]])&amp;"-"&amp;TEXT(MONTH(KMART_DATA[[#This Row],[Date]]),"00")</f>
        <v>2025-01</v>
      </c>
      <c r="D2406" s="3" t="s">
        <v>45</v>
      </c>
      <c r="E2406" s="3" t="s">
        <v>179</v>
      </c>
      <c r="F2406" s="3" t="s">
        <v>9</v>
      </c>
      <c r="G24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06" s="3" t="s">
        <v>180</v>
      </c>
      <c r="I2406" s="3" t="s">
        <v>31</v>
      </c>
      <c r="J2406" s="3" t="s">
        <v>99</v>
      </c>
      <c r="K2406" s="3" t="s">
        <v>43</v>
      </c>
      <c r="L2406" s="3" t="s">
        <v>44</v>
      </c>
      <c r="M2406" s="4">
        <v>1540.18</v>
      </c>
    </row>
    <row r="2407">
      <c r="A2407" s="2">
        <v>45682</v>
      </c>
      <c r="B24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7" s="3" t="str">
        <f>YEAR(KMART_DATA[[#This Row],[Date]])&amp;"-"&amp;TEXT(MONTH(KMART_DATA[[#This Row],[Date]]),"00")</f>
        <v>2025-01</v>
      </c>
      <c r="D2407" s="3" t="s">
        <v>28</v>
      </c>
      <c r="E2407" s="3" t="s">
        <v>262</v>
      </c>
      <c r="F2407" s="3" t="s">
        <v>10</v>
      </c>
      <c r="G24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07" s="3" t="s">
        <v>263</v>
      </c>
      <c r="I2407" s="3" t="s">
        <v>31</v>
      </c>
      <c r="J2407" s="3" t="s">
        <v>120</v>
      </c>
      <c r="K2407" s="3" t="s">
        <v>43</v>
      </c>
      <c r="L2407" s="3" t="s">
        <v>44</v>
      </c>
      <c r="M2407" s="4">
        <v>7.99</v>
      </c>
    </row>
    <row r="2408">
      <c r="A2408" s="2">
        <v>45682</v>
      </c>
      <c r="B24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8" s="3" t="str">
        <f>YEAR(KMART_DATA[[#This Row],[Date]])&amp;"-"&amp;TEXT(MONTH(KMART_DATA[[#This Row],[Date]]),"00")</f>
        <v>2025-01</v>
      </c>
      <c r="D2408" s="3" t="s">
        <v>45</v>
      </c>
      <c r="E2408" s="3" t="s">
        <v>160</v>
      </c>
      <c r="F2408" s="3" t="s">
        <v>12</v>
      </c>
      <c r="G24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08" s="3" t="s">
        <v>161</v>
      </c>
      <c r="I2408" s="3" t="s">
        <v>31</v>
      </c>
      <c r="J2408" s="3" t="s">
        <v>162</v>
      </c>
      <c r="K2408" s="3" t="s">
        <v>46</v>
      </c>
      <c r="L2408" s="3" t="s">
        <v>47</v>
      </c>
      <c r="M2408" s="4">
        <v>8.99</v>
      </c>
    </row>
    <row r="2409">
      <c r="A2409" s="2">
        <v>45682</v>
      </c>
      <c r="B24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09" s="3" t="str">
        <f>YEAR(KMART_DATA[[#This Row],[Date]])&amp;"-"&amp;TEXT(MONTH(KMART_DATA[[#This Row],[Date]]),"00")</f>
        <v>2025-01</v>
      </c>
      <c r="D2409" s="3" t="s">
        <v>45</v>
      </c>
      <c r="E2409" s="3" t="s">
        <v>236</v>
      </c>
      <c r="F2409" s="3" t="s">
        <v>12</v>
      </c>
      <c r="G24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09" s="3" t="s">
        <v>237</v>
      </c>
      <c r="I2409" s="3" t="s">
        <v>31</v>
      </c>
      <c r="J2409" s="3" t="s">
        <v>102</v>
      </c>
      <c r="K2409" s="3" t="s">
        <v>71</v>
      </c>
      <c r="L2409" s="3" t="s">
        <v>72</v>
      </c>
      <c r="M2409" s="4">
        <v>11.0</v>
      </c>
    </row>
    <row r="2410">
      <c r="A2410" s="2">
        <v>45682</v>
      </c>
      <c r="B24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0" s="3" t="str">
        <f>YEAR(KMART_DATA[[#This Row],[Date]])&amp;"-"&amp;TEXT(MONTH(KMART_DATA[[#This Row],[Date]]),"00")</f>
        <v>2025-01</v>
      </c>
      <c r="D2410" s="3" t="s">
        <v>28</v>
      </c>
      <c r="E2410" s="3" t="s">
        <v>254</v>
      </c>
      <c r="F2410" s="3" t="s">
        <v>13</v>
      </c>
      <c r="G24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410" s="3" t="s">
        <v>255</v>
      </c>
      <c r="I2410" s="3" t="s">
        <v>31</v>
      </c>
      <c r="J2410" s="3" t="s">
        <v>227</v>
      </c>
      <c r="K2410" s="3" t="s">
        <v>43</v>
      </c>
      <c r="L2410" s="3" t="s">
        <v>44</v>
      </c>
      <c r="M2410" s="4">
        <v>119.92</v>
      </c>
    </row>
    <row r="2411">
      <c r="A2411" s="2">
        <v>45682</v>
      </c>
      <c r="B24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1" s="3" t="str">
        <f>YEAR(KMART_DATA[[#This Row],[Date]])&amp;"-"&amp;TEXT(MONTH(KMART_DATA[[#This Row],[Date]]),"00")</f>
        <v>2025-01</v>
      </c>
      <c r="D2411" s="3" t="s">
        <v>28</v>
      </c>
      <c r="E2411" s="3" t="s">
        <v>54</v>
      </c>
      <c r="F2411" s="3" t="s">
        <v>11</v>
      </c>
      <c r="G24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11" s="3" t="s">
        <v>55</v>
      </c>
      <c r="I2411" s="3" t="s">
        <v>31</v>
      </c>
      <c r="J2411" s="3" t="s">
        <v>56</v>
      </c>
      <c r="K2411" s="3" t="s">
        <v>57</v>
      </c>
      <c r="L2411" s="3" t="s">
        <v>58</v>
      </c>
      <c r="M2411" s="4">
        <v>178.39</v>
      </c>
    </row>
    <row r="2412">
      <c r="A2412" s="2">
        <v>45682</v>
      </c>
      <c r="B24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2" s="3" t="str">
        <f>YEAR(KMART_DATA[[#This Row],[Date]])&amp;"-"&amp;TEXT(MONTH(KMART_DATA[[#This Row],[Date]]),"00")</f>
        <v>2025-01</v>
      </c>
      <c r="D2412" s="3" t="s">
        <v>45</v>
      </c>
      <c r="E2412" s="3" t="s">
        <v>85</v>
      </c>
      <c r="F2412" s="3" t="s">
        <v>9</v>
      </c>
      <c r="G24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12" s="3" t="s">
        <v>86</v>
      </c>
      <c r="I2412" s="3" t="s">
        <v>31</v>
      </c>
      <c r="J2412" s="3" t="s">
        <v>81</v>
      </c>
      <c r="K2412" s="3" t="s">
        <v>71</v>
      </c>
      <c r="L2412" s="3" t="s">
        <v>72</v>
      </c>
      <c r="M2412" s="4">
        <v>236.66</v>
      </c>
    </row>
    <row r="2413">
      <c r="A2413" s="2">
        <v>45682</v>
      </c>
      <c r="B24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3" s="3" t="str">
        <f>YEAR(KMART_DATA[[#This Row],[Date]])&amp;"-"&amp;TEXT(MONTH(KMART_DATA[[#This Row],[Date]]),"00")</f>
        <v>2025-01</v>
      </c>
      <c r="D2413" s="3" t="s">
        <v>28</v>
      </c>
      <c r="E2413" s="3" t="s">
        <v>244</v>
      </c>
      <c r="F2413" s="3" t="s">
        <v>13</v>
      </c>
      <c r="G24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413" s="3" t="s">
        <v>245</v>
      </c>
      <c r="I2413" s="3" t="s">
        <v>31</v>
      </c>
      <c r="J2413" s="3" t="s">
        <v>42</v>
      </c>
      <c r="K2413" s="3" t="s">
        <v>46</v>
      </c>
      <c r="L2413" s="3" t="s">
        <v>47</v>
      </c>
      <c r="M2413" s="4">
        <v>313.74</v>
      </c>
    </row>
    <row r="2414">
      <c r="A2414" s="2">
        <v>45682</v>
      </c>
      <c r="B24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4" s="3" t="str">
        <f>YEAR(KMART_DATA[[#This Row],[Date]])&amp;"-"&amp;TEXT(MONTH(KMART_DATA[[#This Row],[Date]]),"00")</f>
        <v>2025-01</v>
      </c>
      <c r="D2414" s="3" t="s">
        <v>45</v>
      </c>
      <c r="E2414" s="3" t="s">
        <v>256</v>
      </c>
      <c r="F2414" s="3" t="s">
        <v>9</v>
      </c>
      <c r="G24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14" s="3" t="s">
        <v>257</v>
      </c>
      <c r="I2414" s="3" t="s">
        <v>31</v>
      </c>
      <c r="J2414" s="3" t="s">
        <v>70</v>
      </c>
      <c r="K2414" s="3" t="s">
        <v>112</v>
      </c>
      <c r="L2414" s="3" t="s">
        <v>113</v>
      </c>
      <c r="M2414" s="4">
        <v>1739.97</v>
      </c>
    </row>
    <row r="2415">
      <c r="A2415" s="2">
        <v>45683</v>
      </c>
      <c r="B24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5" s="3" t="str">
        <f>YEAR(KMART_DATA[[#This Row],[Date]])&amp;"-"&amp;TEXT(MONTH(KMART_DATA[[#This Row],[Date]]),"00")</f>
        <v>2025-01</v>
      </c>
      <c r="D2415" s="3" t="s">
        <v>28</v>
      </c>
      <c r="E2415" s="3" t="s">
        <v>232</v>
      </c>
      <c r="F2415" s="3" t="s">
        <v>9</v>
      </c>
      <c r="G24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15" s="3" t="s">
        <v>233</v>
      </c>
      <c r="I2415" s="3" t="s">
        <v>31</v>
      </c>
      <c r="J2415" s="3" t="s">
        <v>75</v>
      </c>
      <c r="K2415" s="3" t="s">
        <v>112</v>
      </c>
      <c r="L2415" s="3" t="s">
        <v>113</v>
      </c>
      <c r="M2415" s="4">
        <v>1.9</v>
      </c>
    </row>
    <row r="2416">
      <c r="A2416" s="2">
        <v>45683</v>
      </c>
      <c r="B24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6" s="3" t="str">
        <f>YEAR(KMART_DATA[[#This Row],[Date]])&amp;"-"&amp;TEXT(MONTH(KMART_DATA[[#This Row],[Date]]),"00")</f>
        <v>2025-01</v>
      </c>
      <c r="D2416" s="3" t="s">
        <v>28</v>
      </c>
      <c r="E2416" s="3" t="s">
        <v>177</v>
      </c>
      <c r="F2416" s="3" t="s">
        <v>12</v>
      </c>
      <c r="G24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16" s="3" t="s">
        <v>178</v>
      </c>
      <c r="I2416" s="3" t="s">
        <v>31</v>
      </c>
      <c r="J2416" s="3" t="s">
        <v>162</v>
      </c>
      <c r="K2416" s="3" t="s">
        <v>123</v>
      </c>
      <c r="L2416" s="3" t="s">
        <v>124</v>
      </c>
      <c r="M2416" s="4">
        <v>14.73</v>
      </c>
    </row>
    <row r="2417">
      <c r="A2417" s="2">
        <v>45683</v>
      </c>
      <c r="B24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7" s="3" t="str">
        <f>YEAR(KMART_DATA[[#This Row],[Date]])&amp;"-"&amp;TEXT(MONTH(KMART_DATA[[#This Row],[Date]]),"00")</f>
        <v>2025-01</v>
      </c>
      <c r="D2417" s="3" t="s">
        <v>28</v>
      </c>
      <c r="E2417" s="3" t="s">
        <v>154</v>
      </c>
      <c r="F2417" s="3" t="s">
        <v>11</v>
      </c>
      <c r="G24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17" s="3" t="s">
        <v>155</v>
      </c>
      <c r="I2417" s="3" t="s">
        <v>31</v>
      </c>
      <c r="J2417" s="3" t="s">
        <v>84</v>
      </c>
      <c r="K2417" s="3" t="s">
        <v>57</v>
      </c>
      <c r="L2417" s="3" t="s">
        <v>58</v>
      </c>
      <c r="M2417" s="4">
        <v>116.86</v>
      </c>
    </row>
    <row r="2418">
      <c r="A2418" s="2">
        <v>45683</v>
      </c>
      <c r="B24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8" s="3" t="str">
        <f>YEAR(KMART_DATA[[#This Row],[Date]])&amp;"-"&amp;TEXT(MONTH(KMART_DATA[[#This Row],[Date]]),"00")</f>
        <v>2025-01</v>
      </c>
      <c r="D2418" s="3" t="s">
        <v>28</v>
      </c>
      <c r="E2418" s="3" t="s">
        <v>165</v>
      </c>
      <c r="F2418" s="3" t="s">
        <v>9</v>
      </c>
      <c r="G24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18" s="3" t="s">
        <v>166</v>
      </c>
      <c r="I2418" s="3" t="s">
        <v>31</v>
      </c>
      <c r="J2418" s="3" t="s">
        <v>99</v>
      </c>
      <c r="K2418" s="3" t="s">
        <v>43</v>
      </c>
      <c r="L2418" s="3" t="s">
        <v>44</v>
      </c>
      <c r="M2418" s="4">
        <v>249.91</v>
      </c>
    </row>
    <row r="2419">
      <c r="A2419" s="2">
        <v>45683</v>
      </c>
      <c r="B24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19" s="3" t="str">
        <f>YEAR(KMART_DATA[[#This Row],[Date]])&amp;"-"&amp;TEXT(MONTH(KMART_DATA[[#This Row],[Date]]),"00")</f>
        <v>2025-01</v>
      </c>
      <c r="D2419" s="3" t="s">
        <v>28</v>
      </c>
      <c r="E2419" s="3" t="s">
        <v>181</v>
      </c>
      <c r="F2419" s="3" t="s">
        <v>11</v>
      </c>
      <c r="G24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19" s="3" t="s">
        <v>182</v>
      </c>
      <c r="I2419" s="3" t="s">
        <v>31</v>
      </c>
      <c r="J2419" s="3" t="s">
        <v>56</v>
      </c>
      <c r="K2419" s="3" t="s">
        <v>95</v>
      </c>
      <c r="L2419" s="3" t="s">
        <v>96</v>
      </c>
      <c r="M2419" s="4">
        <v>369.36</v>
      </c>
    </row>
    <row r="2420">
      <c r="A2420" s="2">
        <v>45683</v>
      </c>
      <c r="B24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0" s="3" t="str">
        <f>YEAR(KMART_DATA[[#This Row],[Date]])&amp;"-"&amp;TEXT(MONTH(KMART_DATA[[#This Row],[Date]]),"00")</f>
        <v>2025-01</v>
      </c>
      <c r="D2420" s="3" t="s">
        <v>28</v>
      </c>
      <c r="E2420" s="3" t="s">
        <v>76</v>
      </c>
      <c r="F2420" s="3" t="s">
        <v>11</v>
      </c>
      <c r="G24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20" s="3" t="s">
        <v>77</v>
      </c>
      <c r="I2420" s="3" t="s">
        <v>31</v>
      </c>
      <c r="J2420" s="3" t="s">
        <v>78</v>
      </c>
      <c r="K2420" s="3" t="s">
        <v>95</v>
      </c>
      <c r="L2420" s="3" t="s">
        <v>96</v>
      </c>
      <c r="M2420" s="4">
        <v>748.43</v>
      </c>
    </row>
    <row r="2421">
      <c r="A2421" s="2">
        <v>45684</v>
      </c>
      <c r="B24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1" s="3" t="str">
        <f>YEAR(KMART_DATA[[#This Row],[Date]])&amp;"-"&amp;TEXT(MONTH(KMART_DATA[[#This Row],[Date]]),"00")</f>
        <v>2025-01</v>
      </c>
      <c r="D2421" s="3" t="s">
        <v>45</v>
      </c>
      <c r="E2421" s="3" t="s">
        <v>183</v>
      </c>
      <c r="F2421" s="3" t="s">
        <v>9</v>
      </c>
      <c r="G24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21" s="3" t="s">
        <v>184</v>
      </c>
      <c r="I2421" s="3" t="s">
        <v>31</v>
      </c>
      <c r="J2421" s="3" t="s">
        <v>70</v>
      </c>
      <c r="K2421" s="3" t="s">
        <v>71</v>
      </c>
      <c r="L2421" s="3" t="s">
        <v>72</v>
      </c>
      <c r="M2421" s="4">
        <v>5.54</v>
      </c>
    </row>
    <row r="2422">
      <c r="A2422" s="2">
        <v>45684</v>
      </c>
      <c r="B24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2" s="3" t="str">
        <f>YEAR(KMART_DATA[[#This Row],[Date]])&amp;"-"&amp;TEXT(MONTH(KMART_DATA[[#This Row],[Date]]),"00")</f>
        <v>2025-01</v>
      </c>
      <c r="D2422" s="3" t="s">
        <v>28</v>
      </c>
      <c r="E2422" s="3" t="s">
        <v>129</v>
      </c>
      <c r="F2422" s="3" t="s">
        <v>10</v>
      </c>
      <c r="G24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22" s="3" t="s">
        <v>130</v>
      </c>
      <c r="I2422" s="3" t="s">
        <v>31</v>
      </c>
      <c r="J2422" s="3" t="s">
        <v>120</v>
      </c>
      <c r="K2422" s="3" t="s">
        <v>33</v>
      </c>
      <c r="L2422" s="3" t="s">
        <v>34</v>
      </c>
      <c r="M2422" s="4">
        <v>31.93</v>
      </c>
    </row>
    <row r="2423">
      <c r="A2423" s="2">
        <v>45684</v>
      </c>
      <c r="B24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3" s="3" t="str">
        <f>YEAR(KMART_DATA[[#This Row],[Date]])&amp;"-"&amp;TEXT(MONTH(KMART_DATA[[#This Row],[Date]]),"00")</f>
        <v>2025-01</v>
      </c>
      <c r="D2423" s="3" t="s">
        <v>45</v>
      </c>
      <c r="E2423" s="3" t="s">
        <v>264</v>
      </c>
      <c r="F2423" s="3" t="s">
        <v>13</v>
      </c>
      <c r="G24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423" s="3" t="s">
        <v>265</v>
      </c>
      <c r="I2423" s="3" t="s">
        <v>31</v>
      </c>
      <c r="J2423" s="3" t="s">
        <v>42</v>
      </c>
      <c r="K2423" s="3" t="s">
        <v>46</v>
      </c>
      <c r="L2423" s="3" t="s">
        <v>47</v>
      </c>
      <c r="M2423" s="4">
        <v>39.97</v>
      </c>
    </row>
    <row r="2424">
      <c r="A2424" s="2">
        <v>45684</v>
      </c>
      <c r="B24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4" s="3" t="str">
        <f>YEAR(KMART_DATA[[#This Row],[Date]])&amp;"-"&amp;TEXT(MONTH(KMART_DATA[[#This Row],[Date]]),"00")</f>
        <v>2025-01</v>
      </c>
      <c r="D2424" s="3" t="s">
        <v>45</v>
      </c>
      <c r="E2424" s="3" t="s">
        <v>219</v>
      </c>
      <c r="F2424" s="3" t="s">
        <v>11</v>
      </c>
      <c r="G24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24" s="3" t="s">
        <v>220</v>
      </c>
      <c r="I2424" s="3" t="s">
        <v>31</v>
      </c>
      <c r="J2424" s="3" t="s">
        <v>56</v>
      </c>
      <c r="K2424" s="3" t="s">
        <v>112</v>
      </c>
      <c r="L2424" s="3" t="s">
        <v>113</v>
      </c>
      <c r="M2424" s="4">
        <v>60.88</v>
      </c>
    </row>
    <row r="2425">
      <c r="A2425" s="2">
        <v>45684</v>
      </c>
      <c r="B24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5" s="3" t="str">
        <f>YEAR(KMART_DATA[[#This Row],[Date]])&amp;"-"&amp;TEXT(MONTH(KMART_DATA[[#This Row],[Date]]),"00")</f>
        <v>2025-01</v>
      </c>
      <c r="D2425" s="3" t="s">
        <v>28</v>
      </c>
      <c r="E2425" s="3" t="s">
        <v>135</v>
      </c>
      <c r="F2425" s="3" t="s">
        <v>16</v>
      </c>
      <c r="G24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425" s="3" t="s">
        <v>136</v>
      </c>
      <c r="I2425" s="3" t="s">
        <v>31</v>
      </c>
      <c r="J2425" s="3" t="s">
        <v>107</v>
      </c>
      <c r="K2425" s="3" t="s">
        <v>123</v>
      </c>
      <c r="L2425" s="3" t="s">
        <v>124</v>
      </c>
      <c r="M2425" s="4">
        <v>81.8</v>
      </c>
    </row>
    <row r="2426">
      <c r="A2426" s="2">
        <v>45684</v>
      </c>
      <c r="B24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6" s="3" t="str">
        <f>YEAR(KMART_DATA[[#This Row],[Date]])&amp;"-"&amp;TEXT(MONTH(KMART_DATA[[#This Row],[Date]]),"00")</f>
        <v>2025-01</v>
      </c>
      <c r="D2426" s="3" t="s">
        <v>28</v>
      </c>
      <c r="E2426" s="3" t="s">
        <v>197</v>
      </c>
      <c r="F2426" s="3" t="s">
        <v>9</v>
      </c>
      <c r="G24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26" s="3" t="s">
        <v>198</v>
      </c>
      <c r="I2426" s="3" t="s">
        <v>31</v>
      </c>
      <c r="J2426" s="3" t="s">
        <v>107</v>
      </c>
      <c r="K2426" s="3" t="s">
        <v>57</v>
      </c>
      <c r="L2426" s="3" t="s">
        <v>58</v>
      </c>
      <c r="M2426" s="4">
        <v>185.33</v>
      </c>
    </row>
    <row r="2427">
      <c r="A2427" s="2">
        <v>45684</v>
      </c>
      <c r="B24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7" s="3" t="str">
        <f>YEAR(KMART_DATA[[#This Row],[Date]])&amp;"-"&amp;TEXT(MONTH(KMART_DATA[[#This Row],[Date]]),"00")</f>
        <v>2025-01</v>
      </c>
      <c r="D2427" s="3" t="s">
        <v>28</v>
      </c>
      <c r="E2427" s="3" t="s">
        <v>195</v>
      </c>
      <c r="F2427" s="3" t="s">
        <v>11</v>
      </c>
      <c r="G24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27" s="3" t="s">
        <v>196</v>
      </c>
      <c r="I2427" s="3" t="s">
        <v>31</v>
      </c>
      <c r="J2427" s="3" t="s">
        <v>32</v>
      </c>
      <c r="K2427" s="3" t="s">
        <v>71</v>
      </c>
      <c r="L2427" s="3" t="s">
        <v>72</v>
      </c>
      <c r="M2427" s="4">
        <v>357.74</v>
      </c>
    </row>
    <row r="2428">
      <c r="A2428" s="2">
        <v>45684</v>
      </c>
      <c r="B24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8" s="3" t="str">
        <f>YEAR(KMART_DATA[[#This Row],[Date]])&amp;"-"&amp;TEXT(MONTH(KMART_DATA[[#This Row],[Date]]),"00")</f>
        <v>2025-01</v>
      </c>
      <c r="D2428" s="3" t="s">
        <v>28</v>
      </c>
      <c r="E2428" s="3" t="s">
        <v>48</v>
      </c>
      <c r="F2428" s="3" t="s">
        <v>12</v>
      </c>
      <c r="G24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28" s="3" t="s">
        <v>49</v>
      </c>
      <c r="I2428" s="3" t="s">
        <v>31</v>
      </c>
      <c r="J2428" s="3" t="s">
        <v>50</v>
      </c>
      <c r="K2428" s="3" t="s">
        <v>123</v>
      </c>
      <c r="L2428" s="3" t="s">
        <v>124</v>
      </c>
      <c r="M2428" s="4">
        <v>369.26</v>
      </c>
    </row>
    <row r="2429">
      <c r="A2429" s="2">
        <v>45684</v>
      </c>
      <c r="B24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29" s="3" t="str">
        <f>YEAR(KMART_DATA[[#This Row],[Date]])&amp;"-"&amp;TEXT(MONTH(KMART_DATA[[#This Row],[Date]]),"00")</f>
        <v>2025-01</v>
      </c>
      <c r="D2429" s="3" t="s">
        <v>45</v>
      </c>
      <c r="E2429" s="3" t="s">
        <v>234</v>
      </c>
      <c r="F2429" s="3" t="s">
        <v>9</v>
      </c>
      <c r="G24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29" s="3" t="s">
        <v>235</v>
      </c>
      <c r="I2429" s="3" t="s">
        <v>31</v>
      </c>
      <c r="J2429" s="3" t="s">
        <v>81</v>
      </c>
      <c r="K2429" s="3" t="s">
        <v>57</v>
      </c>
      <c r="L2429" s="3" t="s">
        <v>58</v>
      </c>
      <c r="M2429" s="4">
        <v>746.06</v>
      </c>
    </row>
    <row r="2430">
      <c r="A2430" s="2">
        <v>45684</v>
      </c>
      <c r="B24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0" s="3" t="str">
        <f>YEAR(KMART_DATA[[#This Row],[Date]])&amp;"-"&amp;TEXT(MONTH(KMART_DATA[[#This Row],[Date]]),"00")</f>
        <v>2025-01</v>
      </c>
      <c r="D2430" s="3" t="s">
        <v>45</v>
      </c>
      <c r="E2430" s="3" t="s">
        <v>262</v>
      </c>
      <c r="F2430" s="3" t="s">
        <v>10</v>
      </c>
      <c r="G24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30" s="3" t="s">
        <v>263</v>
      </c>
      <c r="I2430" s="3" t="s">
        <v>31</v>
      </c>
      <c r="J2430" s="3" t="s">
        <v>120</v>
      </c>
      <c r="K2430" s="3" t="s">
        <v>43</v>
      </c>
      <c r="L2430" s="3" t="s">
        <v>44</v>
      </c>
      <c r="M2430" s="4">
        <v>1217.67</v>
      </c>
    </row>
    <row r="2431">
      <c r="A2431" s="2">
        <v>45684</v>
      </c>
      <c r="B24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1" s="3" t="str">
        <f>YEAR(KMART_DATA[[#This Row],[Date]])&amp;"-"&amp;TEXT(MONTH(KMART_DATA[[#This Row],[Date]]),"00")</f>
        <v>2025-01</v>
      </c>
      <c r="D2431" s="3" t="s">
        <v>28</v>
      </c>
      <c r="E2431" s="3" t="s">
        <v>250</v>
      </c>
      <c r="F2431" s="3" t="s">
        <v>10</v>
      </c>
      <c r="G24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31" s="3" t="s">
        <v>251</v>
      </c>
      <c r="I2431" s="3" t="s">
        <v>31</v>
      </c>
      <c r="J2431" s="3" t="s">
        <v>37</v>
      </c>
      <c r="K2431" s="3" t="s">
        <v>71</v>
      </c>
      <c r="L2431" s="3" t="s">
        <v>72</v>
      </c>
      <c r="M2431" s="4">
        <v>2070.02</v>
      </c>
    </row>
    <row r="2432">
      <c r="A2432" s="2">
        <v>45685</v>
      </c>
      <c r="B24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2" s="3" t="str">
        <f>YEAR(KMART_DATA[[#This Row],[Date]])&amp;"-"&amp;TEXT(MONTH(KMART_DATA[[#This Row],[Date]]),"00")</f>
        <v>2025-01</v>
      </c>
      <c r="D2432" s="3" t="s">
        <v>45</v>
      </c>
      <c r="E2432" s="3" t="s">
        <v>185</v>
      </c>
      <c r="F2432" s="3" t="s">
        <v>12</v>
      </c>
      <c r="G24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32" s="3" t="s">
        <v>186</v>
      </c>
      <c r="I2432" s="3" t="s">
        <v>31</v>
      </c>
      <c r="J2432" s="3" t="s">
        <v>162</v>
      </c>
      <c r="K2432" s="3" t="s">
        <v>57</v>
      </c>
      <c r="L2432" s="3" t="s">
        <v>58</v>
      </c>
      <c r="M2432" s="4">
        <v>65.89</v>
      </c>
    </row>
    <row r="2433">
      <c r="A2433" s="2">
        <v>45685</v>
      </c>
      <c r="B24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3" s="3" t="str">
        <f>YEAR(KMART_DATA[[#This Row],[Date]])&amp;"-"&amp;TEXT(MONTH(KMART_DATA[[#This Row],[Date]]),"00")</f>
        <v>2025-01</v>
      </c>
      <c r="D2433" s="3" t="s">
        <v>28</v>
      </c>
      <c r="E2433" s="3" t="s">
        <v>256</v>
      </c>
      <c r="F2433" s="3" t="s">
        <v>9</v>
      </c>
      <c r="G24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33" s="3" t="s">
        <v>257</v>
      </c>
      <c r="I2433" s="3" t="s">
        <v>31</v>
      </c>
      <c r="J2433" s="3" t="s">
        <v>70</v>
      </c>
      <c r="K2433" s="3" t="s">
        <v>38</v>
      </c>
      <c r="L2433" s="3" t="s">
        <v>39</v>
      </c>
      <c r="M2433" s="4">
        <v>555.23</v>
      </c>
    </row>
    <row r="2434">
      <c r="A2434" s="2">
        <v>45685</v>
      </c>
      <c r="B24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4" s="3" t="str">
        <f>YEAR(KMART_DATA[[#This Row],[Date]])&amp;"-"&amp;TEXT(MONTH(KMART_DATA[[#This Row],[Date]]),"00")</f>
        <v>2025-01</v>
      </c>
      <c r="D2434" s="3" t="s">
        <v>28</v>
      </c>
      <c r="E2434" s="3" t="s">
        <v>92</v>
      </c>
      <c r="F2434" s="3" t="s">
        <v>10</v>
      </c>
      <c r="G24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34" s="3" t="s">
        <v>93</v>
      </c>
      <c r="I2434" s="3" t="s">
        <v>31</v>
      </c>
      <c r="J2434" s="3" t="s">
        <v>94</v>
      </c>
      <c r="K2434" s="3" t="s">
        <v>95</v>
      </c>
      <c r="L2434" s="3" t="s">
        <v>96</v>
      </c>
      <c r="M2434" s="4">
        <v>1274.13</v>
      </c>
    </row>
    <row r="2435">
      <c r="A2435" s="2">
        <v>45686</v>
      </c>
      <c r="B24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5" s="3" t="str">
        <f>YEAR(KMART_DATA[[#This Row],[Date]])&amp;"-"&amp;TEXT(MONTH(KMART_DATA[[#This Row],[Date]]),"00")</f>
        <v>2025-01</v>
      </c>
      <c r="D2435" s="3" t="s">
        <v>28</v>
      </c>
      <c r="E2435" s="3" t="s">
        <v>177</v>
      </c>
      <c r="F2435" s="3" t="s">
        <v>12</v>
      </c>
      <c r="G24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35" s="3" t="s">
        <v>178</v>
      </c>
      <c r="I2435" s="3" t="s">
        <v>31</v>
      </c>
      <c r="J2435" s="3" t="s">
        <v>162</v>
      </c>
      <c r="K2435" s="3" t="s">
        <v>71</v>
      </c>
      <c r="L2435" s="3" t="s">
        <v>72</v>
      </c>
      <c r="M2435" s="4">
        <v>3.0</v>
      </c>
    </row>
    <row r="2436">
      <c r="A2436" s="2">
        <v>45686</v>
      </c>
      <c r="B24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6" s="3" t="str">
        <f>YEAR(KMART_DATA[[#This Row],[Date]])&amp;"-"&amp;TEXT(MONTH(KMART_DATA[[#This Row],[Date]]),"00")</f>
        <v>2025-01</v>
      </c>
      <c r="D2436" s="3" t="s">
        <v>45</v>
      </c>
      <c r="E2436" s="3" t="s">
        <v>201</v>
      </c>
      <c r="F2436" s="3" t="s">
        <v>10</v>
      </c>
      <c r="G24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36" s="3" t="s">
        <v>202</v>
      </c>
      <c r="I2436" s="3" t="s">
        <v>31</v>
      </c>
      <c r="J2436" s="3" t="s">
        <v>89</v>
      </c>
      <c r="K2436" s="3" t="s">
        <v>46</v>
      </c>
      <c r="L2436" s="3" t="s">
        <v>47</v>
      </c>
      <c r="M2436" s="4">
        <v>23.97</v>
      </c>
    </row>
    <row r="2437">
      <c r="A2437" s="2">
        <v>45686</v>
      </c>
      <c r="B24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7" s="3" t="str">
        <f>YEAR(KMART_DATA[[#This Row],[Date]])&amp;"-"&amp;TEXT(MONTH(KMART_DATA[[#This Row],[Date]]),"00")</f>
        <v>2025-01</v>
      </c>
      <c r="D2437" s="3" t="s">
        <v>28</v>
      </c>
      <c r="E2437" s="3" t="s">
        <v>201</v>
      </c>
      <c r="F2437" s="3" t="s">
        <v>10</v>
      </c>
      <c r="G24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37" s="3" t="s">
        <v>202</v>
      </c>
      <c r="I2437" s="3" t="s">
        <v>31</v>
      </c>
      <c r="J2437" s="3" t="s">
        <v>89</v>
      </c>
      <c r="K2437" s="3" t="s">
        <v>43</v>
      </c>
      <c r="L2437" s="3" t="s">
        <v>44</v>
      </c>
      <c r="M2437" s="4">
        <v>26.98</v>
      </c>
    </row>
    <row r="2438">
      <c r="A2438" s="2">
        <v>45686</v>
      </c>
      <c r="B24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8" s="3" t="str">
        <f>YEAR(KMART_DATA[[#This Row],[Date]])&amp;"-"&amp;TEXT(MONTH(KMART_DATA[[#This Row],[Date]]),"00")</f>
        <v>2025-01</v>
      </c>
      <c r="D2438" s="3" t="s">
        <v>28</v>
      </c>
      <c r="E2438" s="3" t="s">
        <v>230</v>
      </c>
      <c r="F2438" s="3" t="s">
        <v>13</v>
      </c>
      <c r="G24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438" s="3" t="s">
        <v>231</v>
      </c>
      <c r="I2438" s="3" t="s">
        <v>31</v>
      </c>
      <c r="J2438" s="3" t="s">
        <v>227</v>
      </c>
      <c r="K2438" s="3" t="s">
        <v>95</v>
      </c>
      <c r="L2438" s="3" t="s">
        <v>96</v>
      </c>
      <c r="M2438" s="4">
        <v>413.48</v>
      </c>
    </row>
    <row r="2439">
      <c r="A2439" s="2">
        <v>45687</v>
      </c>
      <c r="B24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39" s="3" t="str">
        <f>YEAR(KMART_DATA[[#This Row],[Date]])&amp;"-"&amp;TEXT(MONTH(KMART_DATA[[#This Row],[Date]]),"00")</f>
        <v>2025-01</v>
      </c>
      <c r="D2439" s="3" t="s">
        <v>28</v>
      </c>
      <c r="E2439" s="3" t="s">
        <v>68</v>
      </c>
      <c r="F2439" s="3" t="s">
        <v>9</v>
      </c>
      <c r="G24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39" s="3" t="s">
        <v>69</v>
      </c>
      <c r="I2439" s="3" t="s">
        <v>31</v>
      </c>
      <c r="J2439" s="3" t="s">
        <v>70</v>
      </c>
      <c r="K2439" s="3" t="s">
        <v>38</v>
      </c>
      <c r="L2439" s="3" t="s">
        <v>39</v>
      </c>
      <c r="M2439" s="4">
        <v>6.99</v>
      </c>
    </row>
    <row r="2440">
      <c r="A2440" s="2">
        <v>45687</v>
      </c>
      <c r="B24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0" s="3" t="str">
        <f>YEAR(KMART_DATA[[#This Row],[Date]])&amp;"-"&amp;TEXT(MONTH(KMART_DATA[[#This Row],[Date]]),"00")</f>
        <v>2025-01</v>
      </c>
      <c r="D2440" s="3" t="s">
        <v>45</v>
      </c>
      <c r="E2440" s="3" t="s">
        <v>105</v>
      </c>
      <c r="F2440" s="3" t="s">
        <v>9</v>
      </c>
      <c r="G24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40" s="3" t="s">
        <v>106</v>
      </c>
      <c r="I2440" s="3" t="s">
        <v>31</v>
      </c>
      <c r="J2440" s="3" t="s">
        <v>107</v>
      </c>
      <c r="K2440" s="3" t="s">
        <v>112</v>
      </c>
      <c r="L2440" s="3" t="s">
        <v>113</v>
      </c>
      <c r="M2440" s="4">
        <v>21.94</v>
      </c>
    </row>
    <row r="2441">
      <c r="A2441" s="2">
        <v>45687</v>
      </c>
      <c r="B24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1" s="3" t="str">
        <f>YEAR(KMART_DATA[[#This Row],[Date]])&amp;"-"&amp;TEXT(MONTH(KMART_DATA[[#This Row],[Date]]),"00")</f>
        <v>2025-01</v>
      </c>
      <c r="D2441" s="3" t="s">
        <v>28</v>
      </c>
      <c r="E2441" s="3" t="s">
        <v>225</v>
      </c>
      <c r="F2441" s="3" t="s">
        <v>13</v>
      </c>
      <c r="G24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441" s="3" t="s">
        <v>226</v>
      </c>
      <c r="I2441" s="3" t="s">
        <v>31</v>
      </c>
      <c r="J2441" s="3" t="s">
        <v>227</v>
      </c>
      <c r="K2441" s="3" t="s">
        <v>43</v>
      </c>
      <c r="L2441" s="3" t="s">
        <v>44</v>
      </c>
      <c r="M2441" s="4">
        <v>24.46</v>
      </c>
    </row>
    <row r="2442">
      <c r="A2442" s="2">
        <v>45687</v>
      </c>
      <c r="B24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2" s="3" t="str">
        <f>YEAR(KMART_DATA[[#This Row],[Date]])&amp;"-"&amp;TEXT(MONTH(KMART_DATA[[#This Row],[Date]]),"00")</f>
        <v>2025-01</v>
      </c>
      <c r="D2442" s="3" t="s">
        <v>45</v>
      </c>
      <c r="E2442" s="3" t="s">
        <v>121</v>
      </c>
      <c r="F2442" s="3" t="s">
        <v>11</v>
      </c>
      <c r="G24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42" s="3" t="s">
        <v>122</v>
      </c>
      <c r="I2442" s="3" t="s">
        <v>31</v>
      </c>
      <c r="J2442" s="3" t="s">
        <v>84</v>
      </c>
      <c r="K2442" s="3" t="s">
        <v>43</v>
      </c>
      <c r="L2442" s="3" t="s">
        <v>44</v>
      </c>
      <c r="M2442" s="4">
        <v>60.44</v>
      </c>
    </row>
    <row r="2443">
      <c r="A2443" s="2">
        <v>45687</v>
      </c>
      <c r="B24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3" s="3" t="str">
        <f>YEAR(KMART_DATA[[#This Row],[Date]])&amp;"-"&amp;TEXT(MONTH(KMART_DATA[[#This Row],[Date]]),"00")</f>
        <v>2025-01</v>
      </c>
      <c r="D2443" s="3" t="s">
        <v>28</v>
      </c>
      <c r="E2443" s="3" t="s">
        <v>160</v>
      </c>
      <c r="F2443" s="3" t="s">
        <v>12</v>
      </c>
      <c r="G24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43" s="3" t="s">
        <v>161</v>
      </c>
      <c r="I2443" s="3" t="s">
        <v>31</v>
      </c>
      <c r="J2443" s="3" t="s">
        <v>162</v>
      </c>
      <c r="K2443" s="3" t="s">
        <v>123</v>
      </c>
      <c r="L2443" s="3" t="s">
        <v>124</v>
      </c>
      <c r="M2443" s="4">
        <v>100.83</v>
      </c>
    </row>
    <row r="2444">
      <c r="A2444" s="2">
        <v>45687</v>
      </c>
      <c r="B24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4" s="3" t="str">
        <f>YEAR(KMART_DATA[[#This Row],[Date]])&amp;"-"&amp;TEXT(MONTH(KMART_DATA[[#This Row],[Date]]),"00")</f>
        <v>2025-01</v>
      </c>
      <c r="D2444" s="3" t="s">
        <v>28</v>
      </c>
      <c r="E2444" s="3" t="s">
        <v>150</v>
      </c>
      <c r="F2444" s="3" t="s">
        <v>15</v>
      </c>
      <c r="G24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444" s="3" t="s">
        <v>151</v>
      </c>
      <c r="I2444" s="3" t="s">
        <v>31</v>
      </c>
      <c r="J2444" s="3" t="s">
        <v>53</v>
      </c>
      <c r="K2444" s="3" t="s">
        <v>57</v>
      </c>
      <c r="L2444" s="3" t="s">
        <v>58</v>
      </c>
      <c r="M2444" s="4">
        <v>1522.74</v>
      </c>
    </row>
    <row r="2445">
      <c r="A2445" s="2">
        <v>45688</v>
      </c>
      <c r="B24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5" s="3" t="str">
        <f>YEAR(KMART_DATA[[#This Row],[Date]])&amp;"-"&amp;TEXT(MONTH(KMART_DATA[[#This Row],[Date]]),"00")</f>
        <v>2025-01</v>
      </c>
      <c r="D2445" s="3" t="s">
        <v>45</v>
      </c>
      <c r="E2445" s="3" t="s">
        <v>264</v>
      </c>
      <c r="F2445" s="3" t="s">
        <v>13</v>
      </c>
      <c r="G24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445" s="3" t="s">
        <v>265</v>
      </c>
      <c r="I2445" s="3" t="s">
        <v>31</v>
      </c>
      <c r="J2445" s="3" t="s">
        <v>42</v>
      </c>
      <c r="K2445" s="3" t="s">
        <v>71</v>
      </c>
      <c r="L2445" s="3" t="s">
        <v>72</v>
      </c>
      <c r="M2445" s="4">
        <v>46.93</v>
      </c>
    </row>
    <row r="2446">
      <c r="A2446" s="2">
        <v>45688</v>
      </c>
      <c r="B24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6" s="3" t="str">
        <f>YEAR(KMART_DATA[[#This Row],[Date]])&amp;"-"&amp;TEXT(MONTH(KMART_DATA[[#This Row],[Date]]),"00")</f>
        <v>2025-01</v>
      </c>
      <c r="D2446" s="3" t="s">
        <v>45</v>
      </c>
      <c r="E2446" s="3" t="s">
        <v>163</v>
      </c>
      <c r="F2446" s="3" t="s">
        <v>9</v>
      </c>
      <c r="G24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46" s="3" t="s">
        <v>164</v>
      </c>
      <c r="I2446" s="3" t="s">
        <v>31</v>
      </c>
      <c r="J2446" s="3" t="s">
        <v>81</v>
      </c>
      <c r="K2446" s="3" t="s">
        <v>38</v>
      </c>
      <c r="L2446" s="3" t="s">
        <v>39</v>
      </c>
      <c r="M2446" s="4">
        <v>111.86</v>
      </c>
    </row>
    <row r="2447">
      <c r="A2447" s="2">
        <v>45688</v>
      </c>
      <c r="B24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7" s="3" t="str">
        <f>YEAR(KMART_DATA[[#This Row],[Date]])&amp;"-"&amp;TEXT(MONTH(KMART_DATA[[#This Row],[Date]]),"00")</f>
        <v>2025-01</v>
      </c>
      <c r="D2447" s="3" t="s">
        <v>28</v>
      </c>
      <c r="E2447" s="3" t="s">
        <v>152</v>
      </c>
      <c r="F2447" s="3" t="s">
        <v>11</v>
      </c>
      <c r="G24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47" s="3" t="s">
        <v>153</v>
      </c>
      <c r="I2447" s="3" t="s">
        <v>31</v>
      </c>
      <c r="J2447" s="3" t="s">
        <v>61</v>
      </c>
      <c r="K2447" s="3" t="s">
        <v>95</v>
      </c>
      <c r="L2447" s="3" t="s">
        <v>96</v>
      </c>
      <c r="M2447" s="4">
        <v>173.71</v>
      </c>
    </row>
    <row r="2448">
      <c r="A2448" s="2">
        <v>45688</v>
      </c>
      <c r="B24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8" s="3" t="str">
        <f>YEAR(KMART_DATA[[#This Row],[Date]])&amp;"-"&amp;TEXT(MONTH(KMART_DATA[[#This Row],[Date]]),"00")</f>
        <v>2025-01</v>
      </c>
      <c r="D2448" s="3" t="s">
        <v>28</v>
      </c>
      <c r="E2448" s="3" t="s">
        <v>133</v>
      </c>
      <c r="F2448" s="3" t="s">
        <v>10</v>
      </c>
      <c r="G24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48" s="3" t="s">
        <v>134</v>
      </c>
      <c r="I2448" s="3" t="s">
        <v>31</v>
      </c>
      <c r="J2448" s="3" t="s">
        <v>37</v>
      </c>
      <c r="K2448" s="3" t="s">
        <v>57</v>
      </c>
      <c r="L2448" s="3" t="s">
        <v>58</v>
      </c>
      <c r="M2448" s="4">
        <v>579.89</v>
      </c>
    </row>
    <row r="2449">
      <c r="A2449" s="2">
        <v>45688</v>
      </c>
      <c r="B24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49" s="3" t="str">
        <f>YEAR(KMART_DATA[[#This Row],[Date]])&amp;"-"&amp;TEXT(MONTH(KMART_DATA[[#This Row],[Date]]),"00")</f>
        <v>2025-01</v>
      </c>
      <c r="D2449" s="3" t="s">
        <v>28</v>
      </c>
      <c r="E2449" s="3" t="s">
        <v>232</v>
      </c>
      <c r="F2449" s="3" t="s">
        <v>9</v>
      </c>
      <c r="G24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49" s="3" t="s">
        <v>233</v>
      </c>
      <c r="I2449" s="3" t="s">
        <v>31</v>
      </c>
      <c r="J2449" s="3" t="s">
        <v>75</v>
      </c>
      <c r="K2449" s="3" t="s">
        <v>112</v>
      </c>
      <c r="L2449" s="3" t="s">
        <v>113</v>
      </c>
      <c r="M2449" s="4">
        <v>915.76</v>
      </c>
    </row>
    <row r="2450">
      <c r="A2450" s="2">
        <v>45689</v>
      </c>
      <c r="B24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0" s="3" t="str">
        <f>YEAR(KMART_DATA[[#This Row],[Date]])&amp;"-"&amp;TEXT(MONTH(KMART_DATA[[#This Row],[Date]]),"00")</f>
        <v>2025-02</v>
      </c>
      <c r="D2450" s="3" t="s">
        <v>45</v>
      </c>
      <c r="E2450" s="3" t="s">
        <v>108</v>
      </c>
      <c r="F2450" s="3" t="s">
        <v>9</v>
      </c>
      <c r="G24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50" s="3" t="s">
        <v>109</v>
      </c>
      <c r="I2450" s="3" t="s">
        <v>31</v>
      </c>
      <c r="J2450" s="3" t="s">
        <v>75</v>
      </c>
      <c r="K2450" s="3" t="s">
        <v>112</v>
      </c>
      <c r="L2450" s="3" t="s">
        <v>113</v>
      </c>
      <c r="M2450" s="4">
        <v>53.91</v>
      </c>
    </row>
    <row r="2451">
      <c r="A2451" s="2">
        <v>45689</v>
      </c>
      <c r="B24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1" s="3" t="str">
        <f>YEAR(KMART_DATA[[#This Row],[Date]])&amp;"-"&amp;TEXT(MONTH(KMART_DATA[[#This Row],[Date]]),"00")</f>
        <v>2025-02</v>
      </c>
      <c r="D2451" s="3" t="s">
        <v>45</v>
      </c>
      <c r="E2451" s="3" t="s">
        <v>236</v>
      </c>
      <c r="F2451" s="3" t="s">
        <v>12</v>
      </c>
      <c r="G24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51" s="3" t="s">
        <v>237</v>
      </c>
      <c r="I2451" s="3" t="s">
        <v>31</v>
      </c>
      <c r="J2451" s="3" t="s">
        <v>102</v>
      </c>
      <c r="K2451" s="3" t="s">
        <v>43</v>
      </c>
      <c r="L2451" s="3" t="s">
        <v>44</v>
      </c>
      <c r="M2451" s="4">
        <v>165.82</v>
      </c>
    </row>
    <row r="2452">
      <c r="A2452" s="2">
        <v>45689</v>
      </c>
      <c r="B24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2" s="3" t="str">
        <f>YEAR(KMART_DATA[[#This Row],[Date]])&amp;"-"&amp;TEXT(MONTH(KMART_DATA[[#This Row],[Date]]),"00")</f>
        <v>2025-02</v>
      </c>
      <c r="D2452" s="3" t="s">
        <v>28</v>
      </c>
      <c r="E2452" s="3" t="s">
        <v>73</v>
      </c>
      <c r="F2452" s="3" t="s">
        <v>9</v>
      </c>
      <c r="G24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52" s="3" t="s">
        <v>74</v>
      </c>
      <c r="I2452" s="3" t="s">
        <v>31</v>
      </c>
      <c r="J2452" s="3" t="s">
        <v>75</v>
      </c>
      <c r="K2452" s="3" t="s">
        <v>43</v>
      </c>
      <c r="L2452" s="3" t="s">
        <v>44</v>
      </c>
      <c r="M2452" s="4">
        <v>243.74</v>
      </c>
    </row>
    <row r="2453">
      <c r="A2453" s="2">
        <v>45689</v>
      </c>
      <c r="B24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3" s="3" t="str">
        <f>YEAR(KMART_DATA[[#This Row],[Date]])&amp;"-"&amp;TEXT(MONTH(KMART_DATA[[#This Row],[Date]]),"00")</f>
        <v>2025-02</v>
      </c>
      <c r="D2453" s="3" t="s">
        <v>28</v>
      </c>
      <c r="E2453" s="3" t="s">
        <v>258</v>
      </c>
      <c r="F2453" s="3" t="s">
        <v>14</v>
      </c>
      <c r="G24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453" s="3" t="s">
        <v>259</v>
      </c>
      <c r="I2453" s="3" t="s">
        <v>31</v>
      </c>
      <c r="J2453" s="3" t="s">
        <v>145</v>
      </c>
      <c r="K2453" s="3" t="s">
        <v>33</v>
      </c>
      <c r="L2453" s="3" t="s">
        <v>34</v>
      </c>
      <c r="M2453" s="4">
        <v>339.19</v>
      </c>
    </row>
    <row r="2454">
      <c r="A2454" s="2">
        <v>45689</v>
      </c>
      <c r="B24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4" s="3" t="str">
        <f>YEAR(KMART_DATA[[#This Row],[Date]])&amp;"-"&amp;TEXT(MONTH(KMART_DATA[[#This Row],[Date]]),"00")</f>
        <v>2025-02</v>
      </c>
      <c r="D2454" s="3" t="s">
        <v>45</v>
      </c>
      <c r="E2454" s="3" t="s">
        <v>148</v>
      </c>
      <c r="F2454" s="3" t="s">
        <v>12</v>
      </c>
      <c r="G24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54" s="3" t="s">
        <v>149</v>
      </c>
      <c r="I2454" s="3" t="s">
        <v>31</v>
      </c>
      <c r="J2454" s="3" t="s">
        <v>50</v>
      </c>
      <c r="K2454" s="3" t="s">
        <v>123</v>
      </c>
      <c r="L2454" s="3" t="s">
        <v>124</v>
      </c>
      <c r="M2454" s="4">
        <v>356.68</v>
      </c>
    </row>
    <row r="2455">
      <c r="A2455" s="2">
        <v>45689</v>
      </c>
      <c r="B24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5" s="3" t="str">
        <f>YEAR(KMART_DATA[[#This Row],[Date]])&amp;"-"&amp;TEXT(MONTH(KMART_DATA[[#This Row],[Date]]),"00")</f>
        <v>2025-02</v>
      </c>
      <c r="D2455" s="3" t="s">
        <v>28</v>
      </c>
      <c r="E2455" s="3" t="s">
        <v>252</v>
      </c>
      <c r="F2455" s="3" t="s">
        <v>10</v>
      </c>
      <c r="G24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55" s="3" t="s">
        <v>253</v>
      </c>
      <c r="I2455" s="3" t="s">
        <v>31</v>
      </c>
      <c r="J2455" s="3" t="s">
        <v>94</v>
      </c>
      <c r="K2455" s="3" t="s">
        <v>71</v>
      </c>
      <c r="L2455" s="3" t="s">
        <v>72</v>
      </c>
      <c r="M2455" s="4">
        <v>501.53</v>
      </c>
    </row>
    <row r="2456">
      <c r="A2456" s="2">
        <v>45689</v>
      </c>
      <c r="B24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6" s="3" t="str">
        <f>YEAR(KMART_DATA[[#This Row],[Date]])&amp;"-"&amp;TEXT(MONTH(KMART_DATA[[#This Row],[Date]]),"00")</f>
        <v>2025-02</v>
      </c>
      <c r="D2456" s="3" t="s">
        <v>28</v>
      </c>
      <c r="E2456" s="3" t="s">
        <v>169</v>
      </c>
      <c r="F2456" s="3" t="s">
        <v>12</v>
      </c>
      <c r="G24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56" s="3" t="s">
        <v>170</v>
      </c>
      <c r="I2456" s="3" t="s">
        <v>31</v>
      </c>
      <c r="J2456" s="3" t="s">
        <v>102</v>
      </c>
      <c r="K2456" s="3" t="s">
        <v>71</v>
      </c>
      <c r="L2456" s="3" t="s">
        <v>72</v>
      </c>
      <c r="M2456" s="4">
        <v>870.48</v>
      </c>
    </row>
    <row r="2457">
      <c r="A2457" s="2">
        <v>45690</v>
      </c>
      <c r="B24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7" s="3" t="str">
        <f>YEAR(KMART_DATA[[#This Row],[Date]])&amp;"-"&amp;TEXT(MONTH(KMART_DATA[[#This Row],[Date]]),"00")</f>
        <v>2025-02</v>
      </c>
      <c r="D2457" s="3" t="s">
        <v>28</v>
      </c>
      <c r="E2457" s="3" t="s">
        <v>193</v>
      </c>
      <c r="F2457" s="3" t="s">
        <v>9</v>
      </c>
      <c r="G24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57" s="3" t="s">
        <v>194</v>
      </c>
      <c r="I2457" s="3" t="s">
        <v>31</v>
      </c>
      <c r="J2457" s="3" t="s">
        <v>99</v>
      </c>
      <c r="K2457" s="3" t="s">
        <v>95</v>
      </c>
      <c r="L2457" s="3" t="s">
        <v>96</v>
      </c>
      <c r="M2457" s="4">
        <v>200.44</v>
      </c>
    </row>
    <row r="2458">
      <c r="A2458" s="2">
        <v>45690</v>
      </c>
      <c r="B24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8" s="3" t="str">
        <f>YEAR(KMART_DATA[[#This Row],[Date]])&amp;"-"&amp;TEXT(MONTH(KMART_DATA[[#This Row],[Date]]),"00")</f>
        <v>2025-02</v>
      </c>
      <c r="D2458" s="3" t="s">
        <v>28</v>
      </c>
      <c r="E2458" s="3" t="s">
        <v>82</v>
      </c>
      <c r="F2458" s="3" t="s">
        <v>11</v>
      </c>
      <c r="G24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58" s="3" t="s">
        <v>83</v>
      </c>
      <c r="I2458" s="3" t="s">
        <v>31</v>
      </c>
      <c r="J2458" s="3" t="s">
        <v>84</v>
      </c>
      <c r="K2458" s="3" t="s">
        <v>71</v>
      </c>
      <c r="L2458" s="3" t="s">
        <v>72</v>
      </c>
      <c r="M2458" s="4">
        <v>4236.43</v>
      </c>
    </row>
    <row r="2459">
      <c r="A2459" s="2">
        <v>45691</v>
      </c>
      <c r="B24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59" s="3" t="str">
        <f>YEAR(KMART_DATA[[#This Row],[Date]])&amp;"-"&amp;TEXT(MONTH(KMART_DATA[[#This Row],[Date]]),"00")</f>
        <v>2025-02</v>
      </c>
      <c r="D2459" s="3" t="s">
        <v>28</v>
      </c>
      <c r="E2459" s="3" t="s">
        <v>76</v>
      </c>
      <c r="F2459" s="3" t="s">
        <v>11</v>
      </c>
      <c r="G24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59" s="3" t="s">
        <v>77</v>
      </c>
      <c r="I2459" s="3" t="s">
        <v>31</v>
      </c>
      <c r="J2459" s="3" t="s">
        <v>78</v>
      </c>
      <c r="K2459" s="3" t="s">
        <v>38</v>
      </c>
      <c r="L2459" s="3" t="s">
        <v>39</v>
      </c>
      <c r="M2459" s="4">
        <v>5.99</v>
      </c>
    </row>
    <row r="2460">
      <c r="A2460" s="2">
        <v>45691</v>
      </c>
      <c r="B24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0" s="3" t="str">
        <f>YEAR(KMART_DATA[[#This Row],[Date]])&amp;"-"&amp;TEXT(MONTH(KMART_DATA[[#This Row],[Date]]),"00")</f>
        <v>2025-02</v>
      </c>
      <c r="D2460" s="3" t="s">
        <v>28</v>
      </c>
      <c r="E2460" s="3" t="s">
        <v>165</v>
      </c>
      <c r="F2460" s="3" t="s">
        <v>9</v>
      </c>
      <c r="G24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60" s="3" t="s">
        <v>166</v>
      </c>
      <c r="I2460" s="3" t="s">
        <v>31</v>
      </c>
      <c r="J2460" s="3" t="s">
        <v>99</v>
      </c>
      <c r="K2460" s="3" t="s">
        <v>123</v>
      </c>
      <c r="L2460" s="3" t="s">
        <v>124</v>
      </c>
      <c r="M2460" s="4">
        <v>10.98</v>
      </c>
    </row>
    <row r="2461">
      <c r="A2461" s="2">
        <v>45691</v>
      </c>
      <c r="B24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1" s="3" t="str">
        <f>YEAR(KMART_DATA[[#This Row],[Date]])&amp;"-"&amp;TEXT(MONTH(KMART_DATA[[#This Row],[Date]]),"00")</f>
        <v>2025-02</v>
      </c>
      <c r="D2461" s="3" t="s">
        <v>28</v>
      </c>
      <c r="E2461" s="3" t="s">
        <v>175</v>
      </c>
      <c r="F2461" s="3" t="s">
        <v>16</v>
      </c>
      <c r="G24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461" s="3" t="s">
        <v>176</v>
      </c>
      <c r="I2461" s="3" t="s">
        <v>31</v>
      </c>
      <c r="J2461" s="3" t="s">
        <v>107</v>
      </c>
      <c r="K2461" s="3" t="s">
        <v>71</v>
      </c>
      <c r="L2461" s="3" t="s">
        <v>72</v>
      </c>
      <c r="M2461" s="4">
        <v>46.91</v>
      </c>
    </row>
    <row r="2462">
      <c r="A2462" s="2">
        <v>45692</v>
      </c>
      <c r="B24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2" s="3" t="str">
        <f>YEAR(KMART_DATA[[#This Row],[Date]])&amp;"-"&amp;TEXT(MONTH(KMART_DATA[[#This Row],[Date]]),"00")</f>
        <v>2025-02</v>
      </c>
      <c r="D2462" s="3" t="s">
        <v>28</v>
      </c>
      <c r="E2462" s="3" t="s">
        <v>165</v>
      </c>
      <c r="F2462" s="3" t="s">
        <v>9</v>
      </c>
      <c r="G24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62" s="3" t="s">
        <v>166</v>
      </c>
      <c r="I2462" s="3" t="s">
        <v>31</v>
      </c>
      <c r="J2462" s="3" t="s">
        <v>99</v>
      </c>
      <c r="K2462" s="3" t="s">
        <v>46</v>
      </c>
      <c r="L2462" s="3" t="s">
        <v>47</v>
      </c>
      <c r="M2462" s="4">
        <v>50.97</v>
      </c>
    </row>
    <row r="2463">
      <c r="A2463" s="2">
        <v>45692</v>
      </c>
      <c r="B24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3" s="3" t="str">
        <f>YEAR(KMART_DATA[[#This Row],[Date]])&amp;"-"&amp;TEXT(MONTH(KMART_DATA[[#This Row],[Date]]),"00")</f>
        <v>2025-02</v>
      </c>
      <c r="D2463" s="3" t="s">
        <v>28</v>
      </c>
      <c r="E2463" s="3" t="s">
        <v>148</v>
      </c>
      <c r="F2463" s="3" t="s">
        <v>12</v>
      </c>
      <c r="G24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63" s="3" t="s">
        <v>149</v>
      </c>
      <c r="I2463" s="3" t="s">
        <v>31</v>
      </c>
      <c r="J2463" s="3" t="s">
        <v>50</v>
      </c>
      <c r="K2463" s="3" t="s">
        <v>43</v>
      </c>
      <c r="L2463" s="3" t="s">
        <v>44</v>
      </c>
      <c r="M2463" s="4">
        <v>159.91</v>
      </c>
    </row>
    <row r="2464">
      <c r="A2464" s="2">
        <v>45692</v>
      </c>
      <c r="B24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4" s="3" t="str">
        <f>YEAR(KMART_DATA[[#This Row],[Date]])&amp;"-"&amp;TEXT(MONTH(KMART_DATA[[#This Row],[Date]]),"00")</f>
        <v>2025-02</v>
      </c>
      <c r="D2464" s="3" t="s">
        <v>28</v>
      </c>
      <c r="E2464" s="3" t="s">
        <v>82</v>
      </c>
      <c r="F2464" s="3" t="s">
        <v>11</v>
      </c>
      <c r="G24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64" s="3" t="s">
        <v>83</v>
      </c>
      <c r="I2464" s="3" t="s">
        <v>31</v>
      </c>
      <c r="J2464" s="3" t="s">
        <v>84</v>
      </c>
      <c r="K2464" s="3" t="s">
        <v>43</v>
      </c>
      <c r="L2464" s="3" t="s">
        <v>44</v>
      </c>
      <c r="M2464" s="4">
        <v>208.14</v>
      </c>
    </row>
    <row r="2465">
      <c r="A2465" s="2">
        <v>45692</v>
      </c>
      <c r="B24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5" s="3" t="str">
        <f>YEAR(KMART_DATA[[#This Row],[Date]])&amp;"-"&amp;TEXT(MONTH(KMART_DATA[[#This Row],[Date]]),"00")</f>
        <v>2025-02</v>
      </c>
      <c r="D2465" s="3" t="s">
        <v>28</v>
      </c>
      <c r="E2465" s="3" t="s">
        <v>169</v>
      </c>
      <c r="F2465" s="3" t="s">
        <v>12</v>
      </c>
      <c r="G24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65" s="3" t="s">
        <v>170</v>
      </c>
      <c r="I2465" s="3" t="s">
        <v>31</v>
      </c>
      <c r="J2465" s="3" t="s">
        <v>102</v>
      </c>
      <c r="K2465" s="3" t="s">
        <v>57</v>
      </c>
      <c r="L2465" s="3" t="s">
        <v>58</v>
      </c>
      <c r="M2465" s="4">
        <v>541.14</v>
      </c>
    </row>
    <row r="2466">
      <c r="A2466" s="2">
        <v>45693</v>
      </c>
      <c r="B24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6" s="3" t="str">
        <f>YEAR(KMART_DATA[[#This Row],[Date]])&amp;"-"&amp;TEXT(MONTH(KMART_DATA[[#This Row],[Date]]),"00")</f>
        <v>2025-02</v>
      </c>
      <c r="D2466" s="3" t="s">
        <v>28</v>
      </c>
      <c r="E2466" s="3" t="s">
        <v>87</v>
      </c>
      <c r="F2466" s="3" t="s">
        <v>10</v>
      </c>
      <c r="G24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66" s="3" t="s">
        <v>88</v>
      </c>
      <c r="I2466" s="3" t="s">
        <v>31</v>
      </c>
      <c r="J2466" s="3" t="s">
        <v>89</v>
      </c>
      <c r="K2466" s="3" t="s">
        <v>95</v>
      </c>
      <c r="L2466" s="3" t="s">
        <v>96</v>
      </c>
      <c r="M2466" s="4">
        <v>1.99</v>
      </c>
    </row>
    <row r="2467">
      <c r="A2467" s="2">
        <v>45693</v>
      </c>
      <c r="B24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7" s="3" t="str">
        <f>YEAR(KMART_DATA[[#This Row],[Date]])&amp;"-"&amp;TEXT(MONTH(KMART_DATA[[#This Row],[Date]]),"00")</f>
        <v>2025-02</v>
      </c>
      <c r="D2467" s="3" t="s">
        <v>28</v>
      </c>
      <c r="E2467" s="3" t="s">
        <v>105</v>
      </c>
      <c r="F2467" s="3" t="s">
        <v>9</v>
      </c>
      <c r="G24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67" s="3" t="s">
        <v>106</v>
      </c>
      <c r="I2467" s="3" t="s">
        <v>31</v>
      </c>
      <c r="J2467" s="3" t="s">
        <v>107</v>
      </c>
      <c r="K2467" s="3" t="s">
        <v>95</v>
      </c>
      <c r="L2467" s="3" t="s">
        <v>96</v>
      </c>
      <c r="M2467" s="4">
        <v>3.99</v>
      </c>
    </row>
    <row r="2468">
      <c r="A2468" s="2">
        <v>45693</v>
      </c>
      <c r="B24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8" s="3" t="str">
        <f>YEAR(KMART_DATA[[#This Row],[Date]])&amp;"-"&amp;TEXT(MONTH(KMART_DATA[[#This Row],[Date]]),"00")</f>
        <v>2025-02</v>
      </c>
      <c r="D2468" s="3" t="s">
        <v>45</v>
      </c>
      <c r="E2468" s="3" t="s">
        <v>207</v>
      </c>
      <c r="F2468" s="3" t="s">
        <v>11</v>
      </c>
      <c r="G24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68" s="3" t="s">
        <v>208</v>
      </c>
      <c r="I2468" s="3" t="s">
        <v>31</v>
      </c>
      <c r="J2468" s="3" t="s">
        <v>78</v>
      </c>
      <c r="K2468" s="3" t="s">
        <v>95</v>
      </c>
      <c r="L2468" s="3" t="s">
        <v>96</v>
      </c>
      <c r="M2468" s="4">
        <v>124.75</v>
      </c>
    </row>
    <row r="2469">
      <c r="A2469" s="2">
        <v>45693</v>
      </c>
      <c r="B24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69" s="3" t="str">
        <f>YEAR(KMART_DATA[[#This Row],[Date]])&amp;"-"&amp;TEXT(MONTH(KMART_DATA[[#This Row],[Date]]),"00")</f>
        <v>2025-02</v>
      </c>
      <c r="D2469" s="3" t="s">
        <v>28</v>
      </c>
      <c r="E2469" s="3" t="s">
        <v>139</v>
      </c>
      <c r="F2469" s="3" t="s">
        <v>10</v>
      </c>
      <c r="G24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69" s="3" t="s">
        <v>140</v>
      </c>
      <c r="I2469" s="3" t="s">
        <v>31</v>
      </c>
      <c r="J2469" s="3" t="s">
        <v>89</v>
      </c>
      <c r="K2469" s="3" t="s">
        <v>71</v>
      </c>
      <c r="L2469" s="3" t="s">
        <v>72</v>
      </c>
      <c r="M2469" s="4">
        <v>140.39</v>
      </c>
    </row>
    <row r="2470">
      <c r="A2470" s="2">
        <v>45693</v>
      </c>
      <c r="B24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0" s="3" t="str">
        <f>YEAR(KMART_DATA[[#This Row],[Date]])&amp;"-"&amp;TEXT(MONTH(KMART_DATA[[#This Row],[Date]]),"00")</f>
        <v>2025-02</v>
      </c>
      <c r="D2470" s="3" t="s">
        <v>28</v>
      </c>
      <c r="E2470" s="3" t="s">
        <v>110</v>
      </c>
      <c r="F2470" s="3" t="s">
        <v>9</v>
      </c>
      <c r="G24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70" s="3" t="s">
        <v>111</v>
      </c>
      <c r="I2470" s="3" t="s">
        <v>31</v>
      </c>
      <c r="J2470" s="3" t="s">
        <v>81</v>
      </c>
      <c r="K2470" s="3" t="s">
        <v>38</v>
      </c>
      <c r="L2470" s="3" t="s">
        <v>39</v>
      </c>
      <c r="M2470" s="4">
        <v>511.24</v>
      </c>
    </row>
    <row r="2471">
      <c r="A2471" s="2">
        <v>45694</v>
      </c>
      <c r="B24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1" s="3" t="str">
        <f>YEAR(KMART_DATA[[#This Row],[Date]])&amp;"-"&amp;TEXT(MONTH(KMART_DATA[[#This Row],[Date]]),"00")</f>
        <v>2025-02</v>
      </c>
      <c r="D2471" s="3" t="s">
        <v>28</v>
      </c>
      <c r="E2471" s="3" t="s">
        <v>213</v>
      </c>
      <c r="F2471" s="3" t="s">
        <v>11</v>
      </c>
      <c r="G24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71" s="3" t="s">
        <v>214</v>
      </c>
      <c r="I2471" s="3" t="s">
        <v>31</v>
      </c>
      <c r="J2471" s="3" t="s">
        <v>32</v>
      </c>
      <c r="K2471" s="3" t="s">
        <v>43</v>
      </c>
      <c r="L2471" s="3" t="s">
        <v>44</v>
      </c>
      <c r="M2471" s="4">
        <v>14.99</v>
      </c>
    </row>
    <row r="2472">
      <c r="A2472" s="2">
        <v>45694</v>
      </c>
      <c r="B24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2" s="3" t="str">
        <f>YEAR(KMART_DATA[[#This Row],[Date]])&amp;"-"&amp;TEXT(MONTH(KMART_DATA[[#This Row],[Date]]),"00")</f>
        <v>2025-02</v>
      </c>
      <c r="D2472" s="3" t="s">
        <v>45</v>
      </c>
      <c r="E2472" s="3" t="s">
        <v>252</v>
      </c>
      <c r="F2472" s="3" t="s">
        <v>10</v>
      </c>
      <c r="G24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72" s="3" t="s">
        <v>253</v>
      </c>
      <c r="I2472" s="3" t="s">
        <v>31</v>
      </c>
      <c r="J2472" s="3" t="s">
        <v>94</v>
      </c>
      <c r="K2472" s="3" t="s">
        <v>43</v>
      </c>
      <c r="L2472" s="3" t="s">
        <v>44</v>
      </c>
      <c r="M2472" s="4">
        <v>78.97</v>
      </c>
    </row>
    <row r="2473">
      <c r="A2473" s="2">
        <v>45694</v>
      </c>
      <c r="B24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3" s="3" t="str">
        <f>YEAR(KMART_DATA[[#This Row],[Date]])&amp;"-"&amp;TEXT(MONTH(KMART_DATA[[#This Row],[Date]]),"00")</f>
        <v>2025-02</v>
      </c>
      <c r="D2473" s="3" t="s">
        <v>28</v>
      </c>
      <c r="E2473" s="3" t="s">
        <v>250</v>
      </c>
      <c r="F2473" s="3" t="s">
        <v>10</v>
      </c>
      <c r="G24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73" s="3" t="s">
        <v>251</v>
      </c>
      <c r="I2473" s="3" t="s">
        <v>31</v>
      </c>
      <c r="J2473" s="3" t="s">
        <v>37</v>
      </c>
      <c r="K2473" s="3" t="s">
        <v>46</v>
      </c>
      <c r="L2473" s="3" t="s">
        <v>47</v>
      </c>
      <c r="M2473" s="4">
        <v>1930.67</v>
      </c>
    </row>
    <row r="2474">
      <c r="A2474" s="2">
        <v>45694</v>
      </c>
      <c r="B24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4" s="3" t="str">
        <f>YEAR(KMART_DATA[[#This Row],[Date]])&amp;"-"&amp;TEXT(MONTH(KMART_DATA[[#This Row],[Date]]),"00")</f>
        <v>2025-02</v>
      </c>
      <c r="D2474" s="3" t="s">
        <v>28</v>
      </c>
      <c r="E2474" s="3" t="s">
        <v>201</v>
      </c>
      <c r="F2474" s="3" t="s">
        <v>10</v>
      </c>
      <c r="G24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74" s="3" t="s">
        <v>202</v>
      </c>
      <c r="I2474" s="3" t="s">
        <v>31</v>
      </c>
      <c r="J2474" s="3" t="s">
        <v>89</v>
      </c>
      <c r="K2474" s="3" t="s">
        <v>71</v>
      </c>
      <c r="L2474" s="3" t="s">
        <v>72</v>
      </c>
      <c r="M2474" s="4">
        <v>2560.05</v>
      </c>
    </row>
    <row r="2475">
      <c r="A2475" s="2">
        <v>45694</v>
      </c>
      <c r="B24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5" s="3" t="str">
        <f>YEAR(KMART_DATA[[#This Row],[Date]])&amp;"-"&amp;TEXT(MONTH(KMART_DATA[[#This Row],[Date]]),"00")</f>
        <v>2025-02</v>
      </c>
      <c r="D2475" s="3" t="s">
        <v>45</v>
      </c>
      <c r="E2475" s="3" t="s">
        <v>179</v>
      </c>
      <c r="F2475" s="3" t="s">
        <v>9</v>
      </c>
      <c r="G24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75" s="3" t="s">
        <v>180</v>
      </c>
      <c r="I2475" s="3" t="s">
        <v>31</v>
      </c>
      <c r="J2475" s="3" t="s">
        <v>99</v>
      </c>
      <c r="K2475" s="3" t="s">
        <v>57</v>
      </c>
      <c r="L2475" s="3" t="s">
        <v>58</v>
      </c>
      <c r="M2475" s="4">
        <v>7207.76</v>
      </c>
    </row>
    <row r="2476">
      <c r="A2476" s="2">
        <v>45695</v>
      </c>
      <c r="B24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6" s="3" t="str">
        <f>YEAR(KMART_DATA[[#This Row],[Date]])&amp;"-"&amp;TEXT(MONTH(KMART_DATA[[#This Row],[Date]]),"00")</f>
        <v>2025-02</v>
      </c>
      <c r="D2476" s="3" t="s">
        <v>28</v>
      </c>
      <c r="E2476" s="3" t="s">
        <v>35</v>
      </c>
      <c r="F2476" s="3" t="s">
        <v>10</v>
      </c>
      <c r="G24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76" s="3" t="s">
        <v>36</v>
      </c>
      <c r="I2476" s="3" t="s">
        <v>31</v>
      </c>
      <c r="J2476" s="3" t="s">
        <v>37</v>
      </c>
      <c r="K2476" s="3" t="s">
        <v>46</v>
      </c>
      <c r="L2476" s="3" t="s">
        <v>47</v>
      </c>
      <c r="M2476" s="4">
        <v>12.99</v>
      </c>
    </row>
    <row r="2477">
      <c r="A2477" s="2">
        <v>45695</v>
      </c>
      <c r="B24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7" s="3" t="str">
        <f>YEAR(KMART_DATA[[#This Row],[Date]])&amp;"-"&amp;TEXT(MONTH(KMART_DATA[[#This Row],[Date]]),"00")</f>
        <v>2025-02</v>
      </c>
      <c r="D2477" s="3" t="s">
        <v>45</v>
      </c>
      <c r="E2477" s="3" t="s">
        <v>205</v>
      </c>
      <c r="F2477" s="3" t="s">
        <v>10</v>
      </c>
      <c r="G24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77" s="3" t="s">
        <v>206</v>
      </c>
      <c r="I2477" s="3" t="s">
        <v>31</v>
      </c>
      <c r="J2477" s="3" t="s">
        <v>37</v>
      </c>
      <c r="K2477" s="3" t="s">
        <v>33</v>
      </c>
      <c r="L2477" s="3" t="s">
        <v>34</v>
      </c>
      <c r="M2477" s="4">
        <v>98.95</v>
      </c>
    </row>
    <row r="2478">
      <c r="A2478" s="2">
        <v>45696</v>
      </c>
      <c r="B24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8" s="3" t="str">
        <f>YEAR(KMART_DATA[[#This Row],[Date]])&amp;"-"&amp;TEXT(MONTH(KMART_DATA[[#This Row],[Date]]),"00")</f>
        <v>2025-02</v>
      </c>
      <c r="D2478" s="3" t="s">
        <v>28</v>
      </c>
      <c r="E2478" s="3" t="s">
        <v>141</v>
      </c>
      <c r="F2478" s="3" t="s">
        <v>9</v>
      </c>
      <c r="G24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78" s="3" t="s">
        <v>142</v>
      </c>
      <c r="I2478" s="3" t="s">
        <v>31</v>
      </c>
      <c r="J2478" s="3" t="s">
        <v>107</v>
      </c>
      <c r="K2478" s="3" t="s">
        <v>112</v>
      </c>
      <c r="L2478" s="3" t="s">
        <v>113</v>
      </c>
      <c r="M2478" s="4">
        <v>13.97</v>
      </c>
    </row>
    <row r="2479">
      <c r="A2479" s="2">
        <v>45696</v>
      </c>
      <c r="B24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79" s="3" t="str">
        <f>YEAR(KMART_DATA[[#This Row],[Date]])&amp;"-"&amp;TEXT(MONTH(KMART_DATA[[#This Row],[Date]]),"00")</f>
        <v>2025-02</v>
      </c>
      <c r="D2479" s="3" t="s">
        <v>28</v>
      </c>
      <c r="E2479" s="3" t="s">
        <v>221</v>
      </c>
      <c r="F2479" s="3" t="s">
        <v>11</v>
      </c>
      <c r="G24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79" s="3" t="s">
        <v>222</v>
      </c>
      <c r="I2479" s="3" t="s">
        <v>31</v>
      </c>
      <c r="J2479" s="3" t="s">
        <v>56</v>
      </c>
      <c r="K2479" s="3" t="s">
        <v>66</v>
      </c>
      <c r="L2479" s="3" t="s">
        <v>67</v>
      </c>
      <c r="M2479" s="4">
        <v>25.79</v>
      </c>
    </row>
    <row r="2480">
      <c r="A2480" s="2">
        <v>45696</v>
      </c>
      <c r="B24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0" s="3" t="str">
        <f>YEAR(KMART_DATA[[#This Row],[Date]])&amp;"-"&amp;TEXT(MONTH(KMART_DATA[[#This Row],[Date]]),"00")</f>
        <v>2025-02</v>
      </c>
      <c r="D2480" s="3" t="s">
        <v>45</v>
      </c>
      <c r="E2480" s="3" t="s">
        <v>221</v>
      </c>
      <c r="F2480" s="3" t="s">
        <v>11</v>
      </c>
      <c r="G24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80" s="3" t="s">
        <v>222</v>
      </c>
      <c r="I2480" s="3" t="s">
        <v>31</v>
      </c>
      <c r="J2480" s="3" t="s">
        <v>56</v>
      </c>
      <c r="K2480" s="3" t="s">
        <v>43</v>
      </c>
      <c r="L2480" s="3" t="s">
        <v>44</v>
      </c>
      <c r="M2480" s="4">
        <v>91.34</v>
      </c>
    </row>
    <row r="2481">
      <c r="A2481" s="2">
        <v>45696</v>
      </c>
      <c r="B24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1" s="3" t="str">
        <f>YEAR(KMART_DATA[[#This Row],[Date]])&amp;"-"&amp;TEXT(MONTH(KMART_DATA[[#This Row],[Date]]),"00")</f>
        <v>2025-02</v>
      </c>
      <c r="D2481" s="3" t="s">
        <v>28</v>
      </c>
      <c r="E2481" s="3" t="s">
        <v>213</v>
      </c>
      <c r="F2481" s="3" t="s">
        <v>11</v>
      </c>
      <c r="G24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81" s="3" t="s">
        <v>214</v>
      </c>
      <c r="I2481" s="3" t="s">
        <v>31</v>
      </c>
      <c r="J2481" s="3" t="s">
        <v>32</v>
      </c>
      <c r="K2481" s="3" t="s">
        <v>95</v>
      </c>
      <c r="L2481" s="3" t="s">
        <v>96</v>
      </c>
      <c r="M2481" s="4">
        <v>124.8</v>
      </c>
    </row>
    <row r="2482">
      <c r="A2482" s="2">
        <v>45696</v>
      </c>
      <c r="B24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2" s="3" t="str">
        <f>YEAR(KMART_DATA[[#This Row],[Date]])&amp;"-"&amp;TEXT(MONTH(KMART_DATA[[#This Row],[Date]]),"00")</f>
        <v>2025-02</v>
      </c>
      <c r="D2482" s="3" t="s">
        <v>28</v>
      </c>
      <c r="E2482" s="3" t="s">
        <v>207</v>
      </c>
      <c r="F2482" s="3" t="s">
        <v>11</v>
      </c>
      <c r="G24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82" s="3" t="s">
        <v>208</v>
      </c>
      <c r="I2482" s="3" t="s">
        <v>31</v>
      </c>
      <c r="J2482" s="3" t="s">
        <v>78</v>
      </c>
      <c r="K2482" s="3" t="s">
        <v>33</v>
      </c>
      <c r="L2482" s="3" t="s">
        <v>34</v>
      </c>
      <c r="M2482" s="4">
        <v>192.67</v>
      </c>
    </row>
    <row r="2483">
      <c r="A2483" s="2">
        <v>45696</v>
      </c>
      <c r="B24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3" s="3" t="str">
        <f>YEAR(KMART_DATA[[#This Row],[Date]])&amp;"-"&amp;TEXT(MONTH(KMART_DATA[[#This Row],[Date]]),"00")</f>
        <v>2025-02</v>
      </c>
      <c r="D2483" s="3" t="s">
        <v>28</v>
      </c>
      <c r="E2483" s="3" t="s">
        <v>156</v>
      </c>
      <c r="F2483" s="3" t="s">
        <v>9</v>
      </c>
      <c r="G24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83" s="3" t="s">
        <v>157</v>
      </c>
      <c r="I2483" s="3" t="s">
        <v>31</v>
      </c>
      <c r="J2483" s="3" t="s">
        <v>75</v>
      </c>
      <c r="K2483" s="3" t="s">
        <v>46</v>
      </c>
      <c r="L2483" s="3" t="s">
        <v>47</v>
      </c>
      <c r="M2483" s="4">
        <v>6156.31</v>
      </c>
    </row>
    <row r="2484">
      <c r="A2484" s="2">
        <v>45697</v>
      </c>
      <c r="B24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4" s="3" t="str">
        <f>YEAR(KMART_DATA[[#This Row],[Date]])&amp;"-"&amp;TEXT(MONTH(KMART_DATA[[#This Row],[Date]]),"00")</f>
        <v>2025-02</v>
      </c>
      <c r="D2484" s="3" t="s">
        <v>28</v>
      </c>
      <c r="E2484" s="3" t="s">
        <v>238</v>
      </c>
      <c r="F2484" s="3" t="s">
        <v>13</v>
      </c>
      <c r="G24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484" s="3" t="s">
        <v>239</v>
      </c>
      <c r="I2484" s="3" t="s">
        <v>31</v>
      </c>
      <c r="J2484" s="3" t="s">
        <v>42</v>
      </c>
      <c r="K2484" s="3" t="s">
        <v>112</v>
      </c>
      <c r="L2484" s="3" t="s">
        <v>113</v>
      </c>
      <c r="M2484" s="4">
        <v>19.96</v>
      </c>
    </row>
    <row r="2485">
      <c r="A2485" s="2">
        <v>45697</v>
      </c>
      <c r="B24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5" s="3" t="str">
        <f>YEAR(KMART_DATA[[#This Row],[Date]])&amp;"-"&amp;TEXT(MONTH(KMART_DATA[[#This Row],[Date]]),"00")</f>
        <v>2025-02</v>
      </c>
      <c r="D2485" s="3" t="s">
        <v>28</v>
      </c>
      <c r="E2485" s="3" t="s">
        <v>264</v>
      </c>
      <c r="F2485" s="3" t="s">
        <v>13</v>
      </c>
      <c r="G24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485" s="3" t="s">
        <v>265</v>
      </c>
      <c r="I2485" s="3" t="s">
        <v>31</v>
      </c>
      <c r="J2485" s="3" t="s">
        <v>42</v>
      </c>
      <c r="K2485" s="3" t="s">
        <v>123</v>
      </c>
      <c r="L2485" s="3" t="s">
        <v>124</v>
      </c>
      <c r="M2485" s="4">
        <v>86.48</v>
      </c>
    </row>
    <row r="2486">
      <c r="A2486" s="2">
        <v>45697</v>
      </c>
      <c r="B24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6" s="3" t="str">
        <f>YEAR(KMART_DATA[[#This Row],[Date]])&amp;"-"&amp;TEXT(MONTH(KMART_DATA[[#This Row],[Date]]),"00")</f>
        <v>2025-02</v>
      </c>
      <c r="D2486" s="3" t="s">
        <v>28</v>
      </c>
      <c r="E2486" s="3" t="s">
        <v>160</v>
      </c>
      <c r="F2486" s="3" t="s">
        <v>12</v>
      </c>
      <c r="G24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86" s="3" t="s">
        <v>161</v>
      </c>
      <c r="I2486" s="3" t="s">
        <v>31</v>
      </c>
      <c r="J2486" s="3" t="s">
        <v>162</v>
      </c>
      <c r="K2486" s="3" t="s">
        <v>57</v>
      </c>
      <c r="L2486" s="3" t="s">
        <v>58</v>
      </c>
      <c r="M2486" s="4">
        <v>176.79</v>
      </c>
    </row>
    <row r="2487">
      <c r="A2487" s="2">
        <v>45697</v>
      </c>
      <c r="B24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7" s="3" t="str">
        <f>YEAR(KMART_DATA[[#This Row],[Date]])&amp;"-"&amp;TEXT(MONTH(KMART_DATA[[#This Row],[Date]]),"00")</f>
        <v>2025-02</v>
      </c>
      <c r="D2487" s="3" t="s">
        <v>28</v>
      </c>
      <c r="E2487" s="3" t="s">
        <v>217</v>
      </c>
      <c r="F2487" s="3" t="s">
        <v>10</v>
      </c>
      <c r="G24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87" s="3" t="s">
        <v>218</v>
      </c>
      <c r="I2487" s="3" t="s">
        <v>31</v>
      </c>
      <c r="J2487" s="3" t="s">
        <v>89</v>
      </c>
      <c r="K2487" s="3" t="s">
        <v>71</v>
      </c>
      <c r="L2487" s="3" t="s">
        <v>72</v>
      </c>
      <c r="M2487" s="4">
        <v>248.3</v>
      </c>
    </row>
    <row r="2488">
      <c r="A2488" s="2">
        <v>45698</v>
      </c>
      <c r="B24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8" s="3" t="str">
        <f>YEAR(KMART_DATA[[#This Row],[Date]])&amp;"-"&amp;TEXT(MONTH(KMART_DATA[[#This Row],[Date]]),"00")</f>
        <v>2025-02</v>
      </c>
      <c r="D2488" s="3" t="s">
        <v>28</v>
      </c>
      <c r="E2488" s="3" t="s">
        <v>187</v>
      </c>
      <c r="F2488" s="3" t="s">
        <v>11</v>
      </c>
      <c r="G24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88" s="3" t="s">
        <v>188</v>
      </c>
      <c r="I2488" s="3" t="s">
        <v>31</v>
      </c>
      <c r="J2488" s="3" t="s">
        <v>78</v>
      </c>
      <c r="K2488" s="3" t="s">
        <v>112</v>
      </c>
      <c r="L2488" s="3" t="s">
        <v>113</v>
      </c>
      <c r="M2488" s="4">
        <v>3.0</v>
      </c>
    </row>
    <row r="2489">
      <c r="A2489" s="2">
        <v>45698</v>
      </c>
      <c r="B24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89" s="3" t="str">
        <f>YEAR(KMART_DATA[[#This Row],[Date]])&amp;"-"&amp;TEXT(MONTH(KMART_DATA[[#This Row],[Date]]),"00")</f>
        <v>2025-02</v>
      </c>
      <c r="D2489" s="3" t="s">
        <v>28</v>
      </c>
      <c r="E2489" s="3" t="s">
        <v>48</v>
      </c>
      <c r="F2489" s="3" t="s">
        <v>12</v>
      </c>
      <c r="G24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489" s="3" t="s">
        <v>49</v>
      </c>
      <c r="I2489" s="3" t="s">
        <v>31</v>
      </c>
      <c r="J2489" s="3" t="s">
        <v>50</v>
      </c>
      <c r="K2489" s="3" t="s">
        <v>43</v>
      </c>
      <c r="L2489" s="3" t="s">
        <v>44</v>
      </c>
      <c r="M2489" s="4">
        <v>39.97</v>
      </c>
    </row>
    <row r="2490">
      <c r="A2490" s="2">
        <v>45698</v>
      </c>
      <c r="B24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0" s="3" t="str">
        <f>YEAR(KMART_DATA[[#This Row],[Date]])&amp;"-"&amp;TEXT(MONTH(KMART_DATA[[#This Row],[Date]]),"00")</f>
        <v>2025-02</v>
      </c>
      <c r="D2490" s="3" t="s">
        <v>28</v>
      </c>
      <c r="E2490" s="3" t="s">
        <v>131</v>
      </c>
      <c r="F2490" s="3" t="s">
        <v>11</v>
      </c>
      <c r="G24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90" s="3" t="s">
        <v>132</v>
      </c>
      <c r="I2490" s="3" t="s">
        <v>31</v>
      </c>
      <c r="J2490" s="3" t="s">
        <v>32</v>
      </c>
      <c r="K2490" s="3" t="s">
        <v>123</v>
      </c>
      <c r="L2490" s="3" t="s">
        <v>124</v>
      </c>
      <c r="M2490" s="4">
        <v>49.94</v>
      </c>
    </row>
    <row r="2491">
      <c r="A2491" s="2">
        <v>45698</v>
      </c>
      <c r="B24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1" s="3" t="str">
        <f>YEAR(KMART_DATA[[#This Row],[Date]])&amp;"-"&amp;TEXT(MONTH(KMART_DATA[[#This Row],[Date]]),"00")</f>
        <v>2025-02</v>
      </c>
      <c r="D2491" s="3" t="s">
        <v>28</v>
      </c>
      <c r="E2491" s="3" t="s">
        <v>195</v>
      </c>
      <c r="F2491" s="3" t="s">
        <v>11</v>
      </c>
      <c r="G24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91" s="3" t="s">
        <v>196</v>
      </c>
      <c r="I2491" s="3" t="s">
        <v>31</v>
      </c>
      <c r="J2491" s="3" t="s">
        <v>32</v>
      </c>
      <c r="K2491" s="3" t="s">
        <v>46</v>
      </c>
      <c r="L2491" s="3" t="s">
        <v>47</v>
      </c>
      <c r="M2491" s="4">
        <v>359.89</v>
      </c>
    </row>
    <row r="2492">
      <c r="A2492" s="2">
        <v>45698</v>
      </c>
      <c r="B24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2" s="3" t="str">
        <f>YEAR(KMART_DATA[[#This Row],[Date]])&amp;"-"&amp;TEXT(MONTH(KMART_DATA[[#This Row],[Date]]),"00")</f>
        <v>2025-02</v>
      </c>
      <c r="D2492" s="3" t="s">
        <v>28</v>
      </c>
      <c r="E2492" s="3" t="s">
        <v>110</v>
      </c>
      <c r="F2492" s="3" t="s">
        <v>9</v>
      </c>
      <c r="G24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92" s="3" t="s">
        <v>111</v>
      </c>
      <c r="I2492" s="3" t="s">
        <v>31</v>
      </c>
      <c r="J2492" s="3" t="s">
        <v>81</v>
      </c>
      <c r="K2492" s="3" t="s">
        <v>95</v>
      </c>
      <c r="L2492" s="3" t="s">
        <v>96</v>
      </c>
      <c r="M2492" s="4">
        <v>371.73</v>
      </c>
    </row>
    <row r="2493">
      <c r="A2493" s="2">
        <v>45698</v>
      </c>
      <c r="B24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3" s="3" t="str">
        <f>YEAR(KMART_DATA[[#This Row],[Date]])&amp;"-"&amp;TEXT(MONTH(KMART_DATA[[#This Row],[Date]]),"00")</f>
        <v>2025-02</v>
      </c>
      <c r="D2493" s="3" t="s">
        <v>45</v>
      </c>
      <c r="E2493" s="3" t="s">
        <v>262</v>
      </c>
      <c r="F2493" s="3" t="s">
        <v>10</v>
      </c>
      <c r="G24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93" s="3" t="s">
        <v>263</v>
      </c>
      <c r="I2493" s="3" t="s">
        <v>31</v>
      </c>
      <c r="J2493" s="3" t="s">
        <v>120</v>
      </c>
      <c r="K2493" s="3" t="s">
        <v>38</v>
      </c>
      <c r="L2493" s="3" t="s">
        <v>39</v>
      </c>
      <c r="M2493" s="4">
        <v>706.49</v>
      </c>
    </row>
    <row r="2494">
      <c r="A2494" s="2">
        <v>45698</v>
      </c>
      <c r="B24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4" s="3" t="str">
        <f>YEAR(KMART_DATA[[#This Row],[Date]])&amp;"-"&amp;TEXT(MONTH(KMART_DATA[[#This Row],[Date]]),"00")</f>
        <v>2025-02</v>
      </c>
      <c r="D2494" s="3" t="s">
        <v>28</v>
      </c>
      <c r="E2494" s="3" t="s">
        <v>105</v>
      </c>
      <c r="F2494" s="3" t="s">
        <v>9</v>
      </c>
      <c r="G24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94" s="3" t="s">
        <v>106</v>
      </c>
      <c r="I2494" s="3" t="s">
        <v>31</v>
      </c>
      <c r="J2494" s="3" t="s">
        <v>107</v>
      </c>
      <c r="K2494" s="3" t="s">
        <v>71</v>
      </c>
      <c r="L2494" s="3" t="s">
        <v>72</v>
      </c>
      <c r="M2494" s="4">
        <v>2394.22</v>
      </c>
    </row>
    <row r="2495">
      <c r="A2495" s="2">
        <v>45699</v>
      </c>
      <c r="B24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5" s="3" t="str">
        <f>YEAR(KMART_DATA[[#This Row],[Date]])&amp;"-"&amp;TEXT(MONTH(KMART_DATA[[#This Row],[Date]]),"00")</f>
        <v>2025-02</v>
      </c>
      <c r="D2495" s="3" t="s">
        <v>28</v>
      </c>
      <c r="E2495" s="3" t="s">
        <v>207</v>
      </c>
      <c r="F2495" s="3" t="s">
        <v>11</v>
      </c>
      <c r="G24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95" s="3" t="s">
        <v>208</v>
      </c>
      <c r="I2495" s="3" t="s">
        <v>31</v>
      </c>
      <c r="J2495" s="3" t="s">
        <v>78</v>
      </c>
      <c r="K2495" s="3" t="s">
        <v>71</v>
      </c>
      <c r="L2495" s="3" t="s">
        <v>72</v>
      </c>
      <c r="M2495" s="4">
        <v>6.5</v>
      </c>
    </row>
    <row r="2496">
      <c r="A2496" s="2">
        <v>45699</v>
      </c>
      <c r="B24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6" s="3" t="str">
        <f>YEAR(KMART_DATA[[#This Row],[Date]])&amp;"-"&amp;TEXT(MONTH(KMART_DATA[[#This Row],[Date]]),"00")</f>
        <v>2025-02</v>
      </c>
      <c r="D2496" s="3" t="s">
        <v>28</v>
      </c>
      <c r="E2496" s="3" t="s">
        <v>73</v>
      </c>
      <c r="F2496" s="3" t="s">
        <v>9</v>
      </c>
      <c r="G24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96" s="3" t="s">
        <v>74</v>
      </c>
      <c r="I2496" s="3" t="s">
        <v>31</v>
      </c>
      <c r="J2496" s="3" t="s">
        <v>75</v>
      </c>
      <c r="K2496" s="3" t="s">
        <v>43</v>
      </c>
      <c r="L2496" s="3" t="s">
        <v>44</v>
      </c>
      <c r="M2496" s="4">
        <v>25.98</v>
      </c>
    </row>
    <row r="2497">
      <c r="A2497" s="2">
        <v>45699</v>
      </c>
      <c r="B24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7" s="3" t="str">
        <f>YEAR(KMART_DATA[[#This Row],[Date]])&amp;"-"&amp;TEXT(MONTH(KMART_DATA[[#This Row],[Date]]),"00")</f>
        <v>2025-02</v>
      </c>
      <c r="D2497" s="3" t="s">
        <v>45</v>
      </c>
      <c r="E2497" s="3" t="s">
        <v>252</v>
      </c>
      <c r="F2497" s="3" t="s">
        <v>10</v>
      </c>
      <c r="G24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497" s="3" t="s">
        <v>253</v>
      </c>
      <c r="I2497" s="3" t="s">
        <v>31</v>
      </c>
      <c r="J2497" s="3" t="s">
        <v>94</v>
      </c>
      <c r="K2497" s="3" t="s">
        <v>38</v>
      </c>
      <c r="L2497" s="3" t="s">
        <v>39</v>
      </c>
      <c r="M2497" s="4">
        <v>157.45</v>
      </c>
    </row>
    <row r="2498">
      <c r="A2498" s="2">
        <v>45699</v>
      </c>
      <c r="B24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8" s="3" t="str">
        <f>YEAR(KMART_DATA[[#This Row],[Date]])&amp;"-"&amp;TEXT(MONTH(KMART_DATA[[#This Row],[Date]]),"00")</f>
        <v>2025-02</v>
      </c>
      <c r="D2498" s="3" t="s">
        <v>28</v>
      </c>
      <c r="E2498" s="3" t="s">
        <v>163</v>
      </c>
      <c r="F2498" s="3" t="s">
        <v>9</v>
      </c>
      <c r="G24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498" s="3" t="s">
        <v>164</v>
      </c>
      <c r="I2498" s="3" t="s">
        <v>31</v>
      </c>
      <c r="J2498" s="3" t="s">
        <v>81</v>
      </c>
      <c r="K2498" s="3" t="s">
        <v>71</v>
      </c>
      <c r="L2498" s="3" t="s">
        <v>72</v>
      </c>
      <c r="M2498" s="4">
        <v>521.82</v>
      </c>
    </row>
    <row r="2499">
      <c r="A2499" s="2">
        <v>45699</v>
      </c>
      <c r="B24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499" s="3" t="str">
        <f>YEAR(KMART_DATA[[#This Row],[Date]])&amp;"-"&amp;TEXT(MONTH(KMART_DATA[[#This Row],[Date]]),"00")</f>
        <v>2025-02</v>
      </c>
      <c r="D2499" s="3" t="s">
        <v>28</v>
      </c>
      <c r="E2499" s="3" t="s">
        <v>64</v>
      </c>
      <c r="F2499" s="3" t="s">
        <v>11</v>
      </c>
      <c r="G24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499" s="3" t="s">
        <v>65</v>
      </c>
      <c r="I2499" s="3" t="s">
        <v>31</v>
      </c>
      <c r="J2499" s="3" t="s">
        <v>61</v>
      </c>
      <c r="K2499" s="3" t="s">
        <v>43</v>
      </c>
      <c r="L2499" s="3" t="s">
        <v>44</v>
      </c>
      <c r="M2499" s="4">
        <v>641.61</v>
      </c>
    </row>
    <row r="2500">
      <c r="A2500" s="2">
        <v>45699</v>
      </c>
      <c r="B25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0" s="3" t="str">
        <f>YEAR(KMART_DATA[[#This Row],[Date]])&amp;"-"&amp;TEXT(MONTH(KMART_DATA[[#This Row],[Date]]),"00")</f>
        <v>2025-02</v>
      </c>
      <c r="D2500" s="3" t="s">
        <v>28</v>
      </c>
      <c r="E2500" s="3" t="s">
        <v>105</v>
      </c>
      <c r="F2500" s="3" t="s">
        <v>9</v>
      </c>
      <c r="G25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00" s="3" t="s">
        <v>106</v>
      </c>
      <c r="I2500" s="3" t="s">
        <v>31</v>
      </c>
      <c r="J2500" s="3" t="s">
        <v>107</v>
      </c>
      <c r="K2500" s="3" t="s">
        <v>38</v>
      </c>
      <c r="L2500" s="3" t="s">
        <v>39</v>
      </c>
      <c r="M2500" s="4">
        <v>692.31</v>
      </c>
    </row>
    <row r="2501">
      <c r="A2501" s="2">
        <v>45699</v>
      </c>
      <c r="B25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1" s="3" t="str">
        <f>YEAR(KMART_DATA[[#This Row],[Date]])&amp;"-"&amp;TEXT(MONTH(KMART_DATA[[#This Row],[Date]]),"00")</f>
        <v>2025-02</v>
      </c>
      <c r="D2501" s="3" t="s">
        <v>28</v>
      </c>
      <c r="E2501" s="3" t="s">
        <v>108</v>
      </c>
      <c r="F2501" s="3" t="s">
        <v>9</v>
      </c>
      <c r="G25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01" s="3" t="s">
        <v>109</v>
      </c>
      <c r="I2501" s="3" t="s">
        <v>31</v>
      </c>
      <c r="J2501" s="3" t="s">
        <v>75</v>
      </c>
      <c r="K2501" s="3" t="s">
        <v>123</v>
      </c>
      <c r="L2501" s="3" t="s">
        <v>124</v>
      </c>
      <c r="M2501" s="4">
        <v>727.33</v>
      </c>
    </row>
    <row r="2502">
      <c r="A2502" s="2">
        <v>45699</v>
      </c>
      <c r="B25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2" s="3" t="str">
        <f>YEAR(KMART_DATA[[#This Row],[Date]])&amp;"-"&amp;TEXT(MONTH(KMART_DATA[[#This Row],[Date]]),"00")</f>
        <v>2025-02</v>
      </c>
      <c r="D2502" s="3" t="s">
        <v>28</v>
      </c>
      <c r="E2502" s="3" t="s">
        <v>64</v>
      </c>
      <c r="F2502" s="3" t="s">
        <v>11</v>
      </c>
      <c r="G25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02" s="3" t="s">
        <v>65</v>
      </c>
      <c r="I2502" s="3" t="s">
        <v>31</v>
      </c>
      <c r="J2502" s="3" t="s">
        <v>61</v>
      </c>
      <c r="K2502" s="3" t="s">
        <v>46</v>
      </c>
      <c r="L2502" s="3" t="s">
        <v>47</v>
      </c>
      <c r="M2502" s="4">
        <v>1043.78</v>
      </c>
    </row>
    <row r="2503">
      <c r="A2503" s="2">
        <v>45700</v>
      </c>
      <c r="B25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3" s="3" t="str">
        <f>YEAR(KMART_DATA[[#This Row],[Date]])&amp;"-"&amp;TEXT(MONTH(KMART_DATA[[#This Row],[Date]]),"00")</f>
        <v>2025-02</v>
      </c>
      <c r="D2503" s="3" t="s">
        <v>28</v>
      </c>
      <c r="E2503" s="3" t="s">
        <v>189</v>
      </c>
      <c r="F2503" s="3" t="s">
        <v>9</v>
      </c>
      <c r="G25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03" s="3" t="s">
        <v>190</v>
      </c>
      <c r="I2503" s="3" t="s">
        <v>31</v>
      </c>
      <c r="J2503" s="3" t="s">
        <v>81</v>
      </c>
      <c r="K2503" s="3" t="s">
        <v>95</v>
      </c>
      <c r="L2503" s="3" t="s">
        <v>96</v>
      </c>
      <c r="M2503" s="4">
        <v>49.9</v>
      </c>
    </row>
    <row r="2504">
      <c r="A2504" s="2">
        <v>45700</v>
      </c>
      <c r="B25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4" s="3" t="str">
        <f>YEAR(KMART_DATA[[#This Row],[Date]])&amp;"-"&amp;TEXT(MONTH(KMART_DATA[[#This Row],[Date]]),"00")</f>
        <v>2025-02</v>
      </c>
      <c r="D2504" s="3" t="s">
        <v>45</v>
      </c>
      <c r="E2504" s="3" t="s">
        <v>262</v>
      </c>
      <c r="F2504" s="3" t="s">
        <v>10</v>
      </c>
      <c r="G25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04" s="3" t="s">
        <v>263</v>
      </c>
      <c r="I2504" s="3" t="s">
        <v>31</v>
      </c>
      <c r="J2504" s="3" t="s">
        <v>120</v>
      </c>
      <c r="K2504" s="3" t="s">
        <v>71</v>
      </c>
      <c r="L2504" s="3" t="s">
        <v>72</v>
      </c>
      <c r="M2504" s="4">
        <v>4340.58</v>
      </c>
    </row>
    <row r="2505">
      <c r="A2505" s="2">
        <v>45701</v>
      </c>
      <c r="B25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5" s="3" t="str">
        <f>YEAR(KMART_DATA[[#This Row],[Date]])&amp;"-"&amp;TEXT(MONTH(KMART_DATA[[#This Row],[Date]]),"00")</f>
        <v>2025-02</v>
      </c>
      <c r="D2505" s="3" t="s">
        <v>28</v>
      </c>
      <c r="E2505" s="3" t="s">
        <v>205</v>
      </c>
      <c r="F2505" s="3" t="s">
        <v>10</v>
      </c>
      <c r="G25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05" s="3" t="s">
        <v>206</v>
      </c>
      <c r="I2505" s="3" t="s">
        <v>31</v>
      </c>
      <c r="J2505" s="3" t="s">
        <v>37</v>
      </c>
      <c r="K2505" s="3" t="s">
        <v>71</v>
      </c>
      <c r="L2505" s="3" t="s">
        <v>72</v>
      </c>
      <c r="M2505" s="4">
        <v>7.99</v>
      </c>
    </row>
    <row r="2506">
      <c r="A2506" s="2">
        <v>45701</v>
      </c>
      <c r="B25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6" s="3" t="str">
        <f>YEAR(KMART_DATA[[#This Row],[Date]])&amp;"-"&amp;TEXT(MONTH(KMART_DATA[[#This Row],[Date]]),"00")</f>
        <v>2025-02</v>
      </c>
      <c r="D2506" s="3" t="s">
        <v>28</v>
      </c>
      <c r="E2506" s="3" t="s">
        <v>79</v>
      </c>
      <c r="F2506" s="3" t="s">
        <v>9</v>
      </c>
      <c r="G25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06" s="3" t="s">
        <v>80</v>
      </c>
      <c r="I2506" s="3" t="s">
        <v>31</v>
      </c>
      <c r="J2506" s="3" t="s">
        <v>81</v>
      </c>
      <c r="K2506" s="3" t="s">
        <v>43</v>
      </c>
      <c r="L2506" s="3" t="s">
        <v>44</v>
      </c>
      <c r="M2506" s="4">
        <v>453.55</v>
      </c>
    </row>
    <row r="2507">
      <c r="A2507" s="2">
        <v>45701</v>
      </c>
      <c r="B25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7" s="3" t="str">
        <f>YEAR(KMART_DATA[[#This Row],[Date]])&amp;"-"&amp;TEXT(MONTH(KMART_DATA[[#This Row],[Date]]),"00")</f>
        <v>2025-02</v>
      </c>
      <c r="D2507" s="3" t="s">
        <v>45</v>
      </c>
      <c r="E2507" s="3" t="s">
        <v>116</v>
      </c>
      <c r="F2507" s="3" t="s">
        <v>9</v>
      </c>
      <c r="G25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07" s="3" t="s">
        <v>117</v>
      </c>
      <c r="I2507" s="3" t="s">
        <v>31</v>
      </c>
      <c r="J2507" s="3" t="s">
        <v>70</v>
      </c>
      <c r="K2507" s="3" t="s">
        <v>33</v>
      </c>
      <c r="L2507" s="3" t="s">
        <v>34</v>
      </c>
      <c r="M2507" s="4">
        <v>566.74</v>
      </c>
    </row>
    <row r="2508">
      <c r="A2508" s="2">
        <v>45701</v>
      </c>
      <c r="B25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8" s="3" t="str">
        <f>YEAR(KMART_DATA[[#This Row],[Date]])&amp;"-"&amp;TEXT(MONTH(KMART_DATA[[#This Row],[Date]]),"00")</f>
        <v>2025-02</v>
      </c>
      <c r="D2508" s="3" t="s">
        <v>28</v>
      </c>
      <c r="E2508" s="3" t="s">
        <v>135</v>
      </c>
      <c r="F2508" s="3" t="s">
        <v>16</v>
      </c>
      <c r="G25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508" s="3" t="s">
        <v>136</v>
      </c>
      <c r="I2508" s="3" t="s">
        <v>31</v>
      </c>
      <c r="J2508" s="3" t="s">
        <v>107</v>
      </c>
      <c r="K2508" s="3" t="s">
        <v>33</v>
      </c>
      <c r="L2508" s="3" t="s">
        <v>34</v>
      </c>
      <c r="M2508" s="4">
        <v>771.81</v>
      </c>
    </row>
    <row r="2509">
      <c r="A2509" s="2">
        <v>45701</v>
      </c>
      <c r="B25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09" s="3" t="str">
        <f>YEAR(KMART_DATA[[#This Row],[Date]])&amp;"-"&amp;TEXT(MONTH(KMART_DATA[[#This Row],[Date]]),"00")</f>
        <v>2025-02</v>
      </c>
      <c r="D2509" s="3" t="s">
        <v>45</v>
      </c>
      <c r="E2509" s="3" t="s">
        <v>262</v>
      </c>
      <c r="F2509" s="3" t="s">
        <v>10</v>
      </c>
      <c r="G25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09" s="3" t="s">
        <v>263</v>
      </c>
      <c r="I2509" s="3" t="s">
        <v>31</v>
      </c>
      <c r="J2509" s="3" t="s">
        <v>120</v>
      </c>
      <c r="K2509" s="3" t="s">
        <v>71</v>
      </c>
      <c r="L2509" s="3" t="s">
        <v>72</v>
      </c>
      <c r="M2509" s="4">
        <v>1421.04</v>
      </c>
    </row>
    <row r="2510">
      <c r="A2510" s="2">
        <v>45702</v>
      </c>
      <c r="B25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0" s="3" t="str">
        <f>YEAR(KMART_DATA[[#This Row],[Date]])&amp;"-"&amp;TEXT(MONTH(KMART_DATA[[#This Row],[Date]]),"00")</f>
        <v>2025-02</v>
      </c>
      <c r="D2510" s="3" t="s">
        <v>28</v>
      </c>
      <c r="E2510" s="3" t="s">
        <v>240</v>
      </c>
      <c r="F2510" s="3" t="s">
        <v>15</v>
      </c>
      <c r="G25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510" s="3" t="s">
        <v>241</v>
      </c>
      <c r="I2510" s="3" t="s">
        <v>31</v>
      </c>
      <c r="J2510" s="3" t="s">
        <v>53</v>
      </c>
      <c r="K2510" s="3" t="s">
        <v>38</v>
      </c>
      <c r="L2510" s="3" t="s">
        <v>39</v>
      </c>
      <c r="M2510" s="4">
        <v>135.84</v>
      </c>
    </row>
    <row r="2511">
      <c r="A2511" s="2">
        <v>45702</v>
      </c>
      <c r="B25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1" s="3" t="str">
        <f>YEAR(KMART_DATA[[#This Row],[Date]])&amp;"-"&amp;TEXT(MONTH(KMART_DATA[[#This Row],[Date]]),"00")</f>
        <v>2025-02</v>
      </c>
      <c r="D2511" s="3" t="s">
        <v>28</v>
      </c>
      <c r="E2511" s="3" t="s">
        <v>121</v>
      </c>
      <c r="F2511" s="3" t="s">
        <v>11</v>
      </c>
      <c r="G25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11" s="3" t="s">
        <v>122</v>
      </c>
      <c r="I2511" s="3" t="s">
        <v>31</v>
      </c>
      <c r="J2511" s="3" t="s">
        <v>84</v>
      </c>
      <c r="K2511" s="3" t="s">
        <v>95</v>
      </c>
      <c r="L2511" s="3" t="s">
        <v>96</v>
      </c>
      <c r="M2511" s="4">
        <v>414.75</v>
      </c>
    </row>
    <row r="2512">
      <c r="A2512" s="2">
        <v>45702</v>
      </c>
      <c r="B25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2" s="3" t="str">
        <f>YEAR(KMART_DATA[[#This Row],[Date]])&amp;"-"&amp;TEXT(MONTH(KMART_DATA[[#This Row],[Date]]),"00")</f>
        <v>2025-02</v>
      </c>
      <c r="D2512" s="3" t="s">
        <v>28</v>
      </c>
      <c r="E2512" s="3" t="s">
        <v>129</v>
      </c>
      <c r="F2512" s="3" t="s">
        <v>10</v>
      </c>
      <c r="G25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12" s="3" t="s">
        <v>130</v>
      </c>
      <c r="I2512" s="3" t="s">
        <v>31</v>
      </c>
      <c r="J2512" s="3" t="s">
        <v>120</v>
      </c>
      <c r="K2512" s="3" t="s">
        <v>95</v>
      </c>
      <c r="L2512" s="3" t="s">
        <v>96</v>
      </c>
      <c r="M2512" s="4">
        <v>467.8</v>
      </c>
    </row>
    <row r="2513">
      <c r="A2513" s="2">
        <v>45702</v>
      </c>
      <c r="B25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3" s="3" t="str">
        <f>YEAR(KMART_DATA[[#This Row],[Date]])&amp;"-"&amp;TEXT(MONTH(KMART_DATA[[#This Row],[Date]]),"00")</f>
        <v>2025-02</v>
      </c>
      <c r="D2513" s="3" t="s">
        <v>45</v>
      </c>
      <c r="E2513" s="3" t="s">
        <v>250</v>
      </c>
      <c r="F2513" s="3" t="s">
        <v>10</v>
      </c>
      <c r="G25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13" s="3" t="s">
        <v>251</v>
      </c>
      <c r="I2513" s="3" t="s">
        <v>31</v>
      </c>
      <c r="J2513" s="3" t="s">
        <v>37</v>
      </c>
      <c r="K2513" s="3" t="s">
        <v>38</v>
      </c>
      <c r="L2513" s="3" t="s">
        <v>39</v>
      </c>
      <c r="M2513" s="4">
        <v>901.29</v>
      </c>
    </row>
    <row r="2514">
      <c r="A2514" s="2">
        <v>45702</v>
      </c>
      <c r="B25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4" s="3" t="str">
        <f>YEAR(KMART_DATA[[#This Row],[Date]])&amp;"-"&amp;TEXT(MONTH(KMART_DATA[[#This Row],[Date]]),"00")</f>
        <v>2025-02</v>
      </c>
      <c r="D2514" s="3" t="s">
        <v>28</v>
      </c>
      <c r="E2514" s="3" t="s">
        <v>223</v>
      </c>
      <c r="F2514" s="3" t="s">
        <v>10</v>
      </c>
      <c r="G25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14" s="3" t="s">
        <v>224</v>
      </c>
      <c r="I2514" s="3" t="s">
        <v>31</v>
      </c>
      <c r="J2514" s="3" t="s">
        <v>94</v>
      </c>
      <c r="K2514" s="3" t="s">
        <v>71</v>
      </c>
      <c r="L2514" s="3" t="s">
        <v>72</v>
      </c>
      <c r="M2514" s="4">
        <v>1005.53</v>
      </c>
    </row>
    <row r="2515">
      <c r="A2515" s="2">
        <v>45702</v>
      </c>
      <c r="B25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5" s="3" t="str">
        <f>YEAR(KMART_DATA[[#This Row],[Date]])&amp;"-"&amp;TEXT(MONTH(KMART_DATA[[#This Row],[Date]]),"00")</f>
        <v>2025-02</v>
      </c>
      <c r="D2515" s="3" t="s">
        <v>28</v>
      </c>
      <c r="E2515" s="3" t="s">
        <v>203</v>
      </c>
      <c r="F2515" s="3" t="s">
        <v>10</v>
      </c>
      <c r="G25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15" s="3" t="s">
        <v>204</v>
      </c>
      <c r="I2515" s="3" t="s">
        <v>31</v>
      </c>
      <c r="J2515" s="3" t="s">
        <v>89</v>
      </c>
      <c r="K2515" s="3" t="s">
        <v>71</v>
      </c>
      <c r="L2515" s="3" t="s">
        <v>72</v>
      </c>
      <c r="M2515" s="4">
        <v>1050.08</v>
      </c>
    </row>
    <row r="2516">
      <c r="A2516" s="2">
        <v>45702</v>
      </c>
      <c r="B25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6" s="3" t="str">
        <f>YEAR(KMART_DATA[[#This Row],[Date]])&amp;"-"&amp;TEXT(MONTH(KMART_DATA[[#This Row],[Date]]),"00")</f>
        <v>2025-02</v>
      </c>
      <c r="D2516" s="3" t="s">
        <v>28</v>
      </c>
      <c r="E2516" s="3" t="s">
        <v>129</v>
      </c>
      <c r="F2516" s="3" t="s">
        <v>10</v>
      </c>
      <c r="G25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16" s="3" t="s">
        <v>130</v>
      </c>
      <c r="I2516" s="3" t="s">
        <v>31</v>
      </c>
      <c r="J2516" s="3" t="s">
        <v>120</v>
      </c>
      <c r="K2516" s="3" t="s">
        <v>71</v>
      </c>
      <c r="L2516" s="3" t="s">
        <v>72</v>
      </c>
      <c r="M2516" s="4">
        <v>1167.53</v>
      </c>
    </row>
    <row r="2517">
      <c r="A2517" s="2">
        <v>45702</v>
      </c>
      <c r="B25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7" s="3" t="str">
        <f>YEAR(KMART_DATA[[#This Row],[Date]])&amp;"-"&amp;TEXT(MONTH(KMART_DATA[[#This Row],[Date]]),"00")</f>
        <v>2025-02</v>
      </c>
      <c r="D2517" s="3" t="s">
        <v>28</v>
      </c>
      <c r="E2517" s="3" t="s">
        <v>221</v>
      </c>
      <c r="F2517" s="3" t="s">
        <v>11</v>
      </c>
      <c r="G25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17" s="3" t="s">
        <v>222</v>
      </c>
      <c r="I2517" s="3" t="s">
        <v>31</v>
      </c>
      <c r="J2517" s="3" t="s">
        <v>56</v>
      </c>
      <c r="K2517" s="3" t="s">
        <v>71</v>
      </c>
      <c r="L2517" s="3" t="s">
        <v>72</v>
      </c>
      <c r="M2517" s="4">
        <v>2064.23</v>
      </c>
    </row>
    <row r="2518">
      <c r="A2518" s="2">
        <v>45702</v>
      </c>
      <c r="B25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8" s="3" t="str">
        <f>YEAR(KMART_DATA[[#This Row],[Date]])&amp;"-"&amp;TEXT(MONTH(KMART_DATA[[#This Row],[Date]]),"00")</f>
        <v>2025-02</v>
      </c>
      <c r="D2518" s="3" t="s">
        <v>28</v>
      </c>
      <c r="E2518" s="3" t="s">
        <v>139</v>
      </c>
      <c r="F2518" s="3" t="s">
        <v>10</v>
      </c>
      <c r="G25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18" s="3" t="s">
        <v>140</v>
      </c>
      <c r="I2518" s="3" t="s">
        <v>31</v>
      </c>
      <c r="J2518" s="3" t="s">
        <v>89</v>
      </c>
      <c r="K2518" s="3" t="s">
        <v>71</v>
      </c>
      <c r="L2518" s="3" t="s">
        <v>72</v>
      </c>
      <c r="M2518" s="4">
        <v>2682.17</v>
      </c>
    </row>
    <row r="2519">
      <c r="A2519" s="2">
        <v>45703</v>
      </c>
      <c r="B25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19" s="3" t="str">
        <f>YEAR(KMART_DATA[[#This Row],[Date]])&amp;"-"&amp;TEXT(MONTH(KMART_DATA[[#This Row],[Date]]),"00")</f>
        <v>2025-02</v>
      </c>
      <c r="D2519" s="3" t="s">
        <v>28</v>
      </c>
      <c r="E2519" s="3" t="s">
        <v>62</v>
      </c>
      <c r="F2519" s="3" t="s">
        <v>12</v>
      </c>
      <c r="G25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519" s="3" t="s">
        <v>63</v>
      </c>
      <c r="I2519" s="3" t="s">
        <v>31</v>
      </c>
      <c r="J2519" s="3" t="s">
        <v>50</v>
      </c>
      <c r="K2519" s="3" t="s">
        <v>38</v>
      </c>
      <c r="L2519" s="3" t="s">
        <v>39</v>
      </c>
      <c r="M2519" s="4">
        <v>9.98</v>
      </c>
    </row>
    <row r="2520">
      <c r="A2520" s="2">
        <v>45703</v>
      </c>
      <c r="B25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0" s="3" t="str">
        <f>YEAR(KMART_DATA[[#This Row],[Date]])&amp;"-"&amp;TEXT(MONTH(KMART_DATA[[#This Row],[Date]]),"00")</f>
        <v>2025-02</v>
      </c>
      <c r="D2520" s="3" t="s">
        <v>45</v>
      </c>
      <c r="E2520" s="3" t="s">
        <v>187</v>
      </c>
      <c r="F2520" s="3" t="s">
        <v>11</v>
      </c>
      <c r="G25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20" s="3" t="s">
        <v>188</v>
      </c>
      <c r="I2520" s="3" t="s">
        <v>31</v>
      </c>
      <c r="J2520" s="3" t="s">
        <v>78</v>
      </c>
      <c r="K2520" s="3" t="s">
        <v>33</v>
      </c>
      <c r="L2520" s="3" t="s">
        <v>34</v>
      </c>
      <c r="M2520" s="4">
        <v>11.97</v>
      </c>
    </row>
    <row r="2521">
      <c r="A2521" s="2">
        <v>45703</v>
      </c>
      <c r="B25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1" s="3" t="str">
        <f>YEAR(KMART_DATA[[#This Row],[Date]])&amp;"-"&amp;TEXT(MONTH(KMART_DATA[[#This Row],[Date]]),"00")</f>
        <v>2025-02</v>
      </c>
      <c r="D2521" s="3" t="s">
        <v>28</v>
      </c>
      <c r="E2521" s="3" t="s">
        <v>209</v>
      </c>
      <c r="F2521" s="3" t="s">
        <v>9</v>
      </c>
      <c r="G25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21" s="3" t="s">
        <v>210</v>
      </c>
      <c r="I2521" s="3" t="s">
        <v>31</v>
      </c>
      <c r="J2521" s="3" t="s">
        <v>81</v>
      </c>
      <c r="K2521" s="3" t="s">
        <v>33</v>
      </c>
      <c r="L2521" s="3" t="s">
        <v>34</v>
      </c>
      <c r="M2521" s="4">
        <v>23.0</v>
      </c>
    </row>
    <row r="2522">
      <c r="A2522" s="2">
        <v>45703</v>
      </c>
      <c r="B25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2" s="3" t="str">
        <f>YEAR(KMART_DATA[[#This Row],[Date]])&amp;"-"&amp;TEXT(MONTH(KMART_DATA[[#This Row],[Date]]),"00")</f>
        <v>2025-02</v>
      </c>
      <c r="D2522" s="3" t="s">
        <v>28</v>
      </c>
      <c r="E2522" s="3" t="s">
        <v>139</v>
      </c>
      <c r="F2522" s="3" t="s">
        <v>10</v>
      </c>
      <c r="G25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22" s="3" t="s">
        <v>140</v>
      </c>
      <c r="I2522" s="3" t="s">
        <v>31</v>
      </c>
      <c r="J2522" s="3" t="s">
        <v>89</v>
      </c>
      <c r="K2522" s="3" t="s">
        <v>33</v>
      </c>
      <c r="L2522" s="3" t="s">
        <v>34</v>
      </c>
      <c r="M2522" s="4">
        <v>31.92</v>
      </c>
    </row>
    <row r="2523">
      <c r="A2523" s="2">
        <v>45703</v>
      </c>
      <c r="B25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3" s="3" t="str">
        <f>YEAR(KMART_DATA[[#This Row],[Date]])&amp;"-"&amp;TEXT(MONTH(KMART_DATA[[#This Row],[Date]]),"00")</f>
        <v>2025-02</v>
      </c>
      <c r="D2523" s="3" t="s">
        <v>28</v>
      </c>
      <c r="E2523" s="3" t="s">
        <v>92</v>
      </c>
      <c r="F2523" s="3" t="s">
        <v>10</v>
      </c>
      <c r="G25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23" s="3" t="s">
        <v>93</v>
      </c>
      <c r="I2523" s="3" t="s">
        <v>31</v>
      </c>
      <c r="J2523" s="3" t="s">
        <v>94</v>
      </c>
      <c r="K2523" s="3" t="s">
        <v>123</v>
      </c>
      <c r="L2523" s="3" t="s">
        <v>124</v>
      </c>
      <c r="M2523" s="4">
        <v>121.76</v>
      </c>
    </row>
    <row r="2524">
      <c r="A2524" s="2">
        <v>45703</v>
      </c>
      <c r="B25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4" s="3" t="str">
        <f>YEAR(KMART_DATA[[#This Row],[Date]])&amp;"-"&amp;TEXT(MONTH(KMART_DATA[[#This Row],[Date]]),"00")</f>
        <v>2025-02</v>
      </c>
      <c r="D2524" s="3" t="s">
        <v>28</v>
      </c>
      <c r="E2524" s="3" t="s">
        <v>40</v>
      </c>
      <c r="F2524" s="3" t="s">
        <v>13</v>
      </c>
      <c r="G25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24" s="3" t="s">
        <v>41</v>
      </c>
      <c r="I2524" s="3" t="s">
        <v>31</v>
      </c>
      <c r="J2524" s="3" t="s">
        <v>42</v>
      </c>
      <c r="K2524" s="3" t="s">
        <v>71</v>
      </c>
      <c r="L2524" s="3" t="s">
        <v>72</v>
      </c>
      <c r="M2524" s="4">
        <v>212.8</v>
      </c>
    </row>
    <row r="2525">
      <c r="A2525" s="2">
        <v>45703</v>
      </c>
      <c r="B25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5" s="3" t="str">
        <f>YEAR(KMART_DATA[[#This Row],[Date]])&amp;"-"&amp;TEXT(MONTH(KMART_DATA[[#This Row],[Date]]),"00")</f>
        <v>2025-02</v>
      </c>
      <c r="D2525" s="3" t="s">
        <v>28</v>
      </c>
      <c r="E2525" s="3" t="s">
        <v>256</v>
      </c>
      <c r="F2525" s="3" t="s">
        <v>9</v>
      </c>
      <c r="G25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25" s="3" t="s">
        <v>257</v>
      </c>
      <c r="I2525" s="3" t="s">
        <v>31</v>
      </c>
      <c r="J2525" s="3" t="s">
        <v>70</v>
      </c>
      <c r="K2525" s="3" t="s">
        <v>112</v>
      </c>
      <c r="L2525" s="3" t="s">
        <v>113</v>
      </c>
      <c r="M2525" s="4">
        <v>234.91</v>
      </c>
    </row>
    <row r="2526">
      <c r="A2526" s="2">
        <v>45703</v>
      </c>
      <c r="B25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6" s="3" t="str">
        <f>YEAR(KMART_DATA[[#This Row],[Date]])&amp;"-"&amp;TEXT(MONTH(KMART_DATA[[#This Row],[Date]]),"00")</f>
        <v>2025-02</v>
      </c>
      <c r="D2526" s="3" t="s">
        <v>28</v>
      </c>
      <c r="E2526" s="3" t="s">
        <v>137</v>
      </c>
      <c r="F2526" s="3" t="s">
        <v>10</v>
      </c>
      <c r="G25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26" s="3" t="s">
        <v>138</v>
      </c>
      <c r="I2526" s="3" t="s">
        <v>31</v>
      </c>
      <c r="J2526" s="3" t="s">
        <v>89</v>
      </c>
      <c r="K2526" s="3" t="s">
        <v>95</v>
      </c>
      <c r="L2526" s="3" t="s">
        <v>96</v>
      </c>
      <c r="M2526" s="4">
        <v>313.61</v>
      </c>
    </row>
    <row r="2527">
      <c r="A2527" s="2">
        <v>45703</v>
      </c>
      <c r="B25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7" s="3" t="str">
        <f>YEAR(KMART_DATA[[#This Row],[Date]])&amp;"-"&amp;TEXT(MONTH(KMART_DATA[[#This Row],[Date]]),"00")</f>
        <v>2025-02</v>
      </c>
      <c r="D2527" s="3" t="s">
        <v>28</v>
      </c>
      <c r="E2527" s="3" t="s">
        <v>187</v>
      </c>
      <c r="F2527" s="3" t="s">
        <v>11</v>
      </c>
      <c r="G25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27" s="3" t="s">
        <v>188</v>
      </c>
      <c r="I2527" s="3" t="s">
        <v>31</v>
      </c>
      <c r="J2527" s="3" t="s">
        <v>78</v>
      </c>
      <c r="K2527" s="3" t="s">
        <v>33</v>
      </c>
      <c r="L2527" s="3" t="s">
        <v>34</v>
      </c>
      <c r="M2527" s="4">
        <v>487.58</v>
      </c>
    </row>
    <row r="2528">
      <c r="A2528" s="2">
        <v>45703</v>
      </c>
      <c r="B25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8" s="3" t="str">
        <f>YEAR(KMART_DATA[[#This Row],[Date]])&amp;"-"&amp;TEXT(MONTH(KMART_DATA[[#This Row],[Date]]),"00")</f>
        <v>2025-02</v>
      </c>
      <c r="D2528" s="3" t="s">
        <v>28</v>
      </c>
      <c r="E2528" s="3" t="s">
        <v>199</v>
      </c>
      <c r="F2528" s="3" t="s">
        <v>13</v>
      </c>
      <c r="G25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28" s="3" t="s">
        <v>200</v>
      </c>
      <c r="I2528" s="3" t="s">
        <v>31</v>
      </c>
      <c r="J2528" s="3" t="s">
        <v>42</v>
      </c>
      <c r="K2528" s="3" t="s">
        <v>57</v>
      </c>
      <c r="L2528" s="3" t="s">
        <v>58</v>
      </c>
      <c r="M2528" s="4">
        <v>1325.69</v>
      </c>
    </row>
    <row r="2529">
      <c r="A2529" s="2">
        <v>45704</v>
      </c>
      <c r="B25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29" s="3" t="str">
        <f>YEAR(KMART_DATA[[#This Row],[Date]])&amp;"-"&amp;TEXT(MONTH(KMART_DATA[[#This Row],[Date]]),"00")</f>
        <v>2025-02</v>
      </c>
      <c r="D2529" s="3" t="s">
        <v>45</v>
      </c>
      <c r="E2529" s="3" t="s">
        <v>201</v>
      </c>
      <c r="F2529" s="3" t="s">
        <v>10</v>
      </c>
      <c r="G25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29" s="3" t="s">
        <v>202</v>
      </c>
      <c r="I2529" s="3" t="s">
        <v>31</v>
      </c>
      <c r="J2529" s="3" t="s">
        <v>89</v>
      </c>
      <c r="K2529" s="3" t="s">
        <v>43</v>
      </c>
      <c r="L2529" s="3" t="s">
        <v>44</v>
      </c>
      <c r="M2529" s="4">
        <v>21.0</v>
      </c>
    </row>
    <row r="2530">
      <c r="A2530" s="2">
        <v>45704</v>
      </c>
      <c r="B25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0" s="3" t="str">
        <f>YEAR(KMART_DATA[[#This Row],[Date]])&amp;"-"&amp;TEXT(MONTH(KMART_DATA[[#This Row],[Date]]),"00")</f>
        <v>2025-02</v>
      </c>
      <c r="D2530" s="3" t="s">
        <v>28</v>
      </c>
      <c r="E2530" s="3" t="s">
        <v>68</v>
      </c>
      <c r="F2530" s="3" t="s">
        <v>9</v>
      </c>
      <c r="G25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30" s="3" t="s">
        <v>69</v>
      </c>
      <c r="I2530" s="3" t="s">
        <v>31</v>
      </c>
      <c r="J2530" s="3" t="s">
        <v>70</v>
      </c>
      <c r="K2530" s="3" t="s">
        <v>33</v>
      </c>
      <c r="L2530" s="3" t="s">
        <v>34</v>
      </c>
      <c r="M2530" s="4">
        <v>115.71</v>
      </c>
    </row>
    <row r="2531">
      <c r="A2531" s="2">
        <v>45705</v>
      </c>
      <c r="B25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1" s="3" t="str">
        <f>YEAR(KMART_DATA[[#This Row],[Date]])&amp;"-"&amp;TEXT(MONTH(KMART_DATA[[#This Row],[Date]]),"00")</f>
        <v>2025-02</v>
      </c>
      <c r="D2531" s="3" t="s">
        <v>28</v>
      </c>
      <c r="E2531" s="3" t="s">
        <v>254</v>
      </c>
      <c r="F2531" s="3" t="s">
        <v>13</v>
      </c>
      <c r="G25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31" s="3" t="s">
        <v>255</v>
      </c>
      <c r="I2531" s="3" t="s">
        <v>31</v>
      </c>
      <c r="J2531" s="3" t="s">
        <v>227</v>
      </c>
      <c r="K2531" s="3" t="s">
        <v>71</v>
      </c>
      <c r="L2531" s="3" t="s">
        <v>72</v>
      </c>
      <c r="M2531" s="4">
        <v>11.98</v>
      </c>
    </row>
    <row r="2532">
      <c r="A2532" s="2">
        <v>45705</v>
      </c>
      <c r="B25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2" s="3" t="str">
        <f>YEAR(KMART_DATA[[#This Row],[Date]])&amp;"-"&amp;TEXT(MONTH(KMART_DATA[[#This Row],[Date]]),"00")</f>
        <v>2025-02</v>
      </c>
      <c r="D2532" s="3" t="s">
        <v>28</v>
      </c>
      <c r="E2532" s="3" t="s">
        <v>73</v>
      </c>
      <c r="F2532" s="3" t="s">
        <v>9</v>
      </c>
      <c r="G25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32" s="3" t="s">
        <v>74</v>
      </c>
      <c r="I2532" s="3" t="s">
        <v>31</v>
      </c>
      <c r="J2532" s="3" t="s">
        <v>75</v>
      </c>
      <c r="K2532" s="3" t="s">
        <v>123</v>
      </c>
      <c r="L2532" s="3" t="s">
        <v>124</v>
      </c>
      <c r="M2532" s="4">
        <v>76.9</v>
      </c>
    </row>
    <row r="2533">
      <c r="A2533" s="2">
        <v>45705</v>
      </c>
      <c r="B25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3" s="3" t="str">
        <f>YEAR(KMART_DATA[[#This Row],[Date]])&amp;"-"&amp;TEXT(MONTH(KMART_DATA[[#This Row],[Date]]),"00")</f>
        <v>2025-02</v>
      </c>
      <c r="D2533" s="3" t="s">
        <v>28</v>
      </c>
      <c r="E2533" s="3" t="s">
        <v>181</v>
      </c>
      <c r="F2533" s="3" t="s">
        <v>11</v>
      </c>
      <c r="G25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33" s="3" t="s">
        <v>182</v>
      </c>
      <c r="I2533" s="3" t="s">
        <v>31</v>
      </c>
      <c r="J2533" s="3" t="s">
        <v>56</v>
      </c>
      <c r="K2533" s="3" t="s">
        <v>38</v>
      </c>
      <c r="L2533" s="3" t="s">
        <v>39</v>
      </c>
      <c r="M2533" s="4">
        <v>403.25</v>
      </c>
    </row>
    <row r="2534">
      <c r="A2534" s="2">
        <v>45705</v>
      </c>
      <c r="B25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4" s="3" t="str">
        <f>YEAR(KMART_DATA[[#This Row],[Date]])&amp;"-"&amp;TEXT(MONTH(KMART_DATA[[#This Row],[Date]]),"00")</f>
        <v>2025-02</v>
      </c>
      <c r="D2534" s="3" t="s">
        <v>28</v>
      </c>
      <c r="E2534" s="3" t="s">
        <v>35</v>
      </c>
      <c r="F2534" s="3" t="s">
        <v>10</v>
      </c>
      <c r="G25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34" s="3" t="s">
        <v>36</v>
      </c>
      <c r="I2534" s="3" t="s">
        <v>31</v>
      </c>
      <c r="J2534" s="3" t="s">
        <v>37</v>
      </c>
      <c r="K2534" s="3" t="s">
        <v>123</v>
      </c>
      <c r="L2534" s="3" t="s">
        <v>124</v>
      </c>
      <c r="M2534" s="4">
        <v>739.65</v>
      </c>
    </row>
    <row r="2535">
      <c r="A2535" s="2">
        <v>45705</v>
      </c>
      <c r="B25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5" s="3" t="str">
        <f>YEAR(KMART_DATA[[#This Row],[Date]])&amp;"-"&amp;TEXT(MONTH(KMART_DATA[[#This Row],[Date]]),"00")</f>
        <v>2025-02</v>
      </c>
      <c r="D2535" s="3" t="s">
        <v>28</v>
      </c>
      <c r="E2535" s="3" t="s">
        <v>105</v>
      </c>
      <c r="F2535" s="3" t="s">
        <v>9</v>
      </c>
      <c r="G25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35" s="3" t="s">
        <v>106</v>
      </c>
      <c r="I2535" s="3" t="s">
        <v>31</v>
      </c>
      <c r="J2535" s="3" t="s">
        <v>107</v>
      </c>
      <c r="K2535" s="3" t="s">
        <v>123</v>
      </c>
      <c r="L2535" s="3" t="s">
        <v>124</v>
      </c>
      <c r="M2535" s="4">
        <v>2914.87</v>
      </c>
    </row>
    <row r="2536">
      <c r="A2536" s="2">
        <v>45706</v>
      </c>
      <c r="B25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6" s="3" t="str">
        <f>YEAR(KMART_DATA[[#This Row],[Date]])&amp;"-"&amp;TEXT(MONTH(KMART_DATA[[#This Row],[Date]]),"00")</f>
        <v>2025-02</v>
      </c>
      <c r="D2536" s="3" t="s">
        <v>45</v>
      </c>
      <c r="E2536" s="3" t="s">
        <v>203</v>
      </c>
      <c r="F2536" s="3" t="s">
        <v>10</v>
      </c>
      <c r="G25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36" s="3" t="s">
        <v>204</v>
      </c>
      <c r="I2536" s="3" t="s">
        <v>31</v>
      </c>
      <c r="J2536" s="3" t="s">
        <v>89</v>
      </c>
      <c r="K2536" s="3" t="s">
        <v>123</v>
      </c>
      <c r="L2536" s="3" t="s">
        <v>124</v>
      </c>
      <c r="M2536" s="4">
        <v>79.95</v>
      </c>
    </row>
    <row r="2537">
      <c r="A2537" s="2">
        <v>45706</v>
      </c>
      <c r="B25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7" s="3" t="str">
        <f>YEAR(KMART_DATA[[#This Row],[Date]])&amp;"-"&amp;TEXT(MONTH(KMART_DATA[[#This Row],[Date]]),"00")</f>
        <v>2025-02</v>
      </c>
      <c r="D2537" s="3" t="s">
        <v>45</v>
      </c>
      <c r="E2537" s="3" t="s">
        <v>133</v>
      </c>
      <c r="F2537" s="3" t="s">
        <v>10</v>
      </c>
      <c r="G25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37" s="3" t="s">
        <v>134</v>
      </c>
      <c r="I2537" s="3" t="s">
        <v>31</v>
      </c>
      <c r="J2537" s="3" t="s">
        <v>37</v>
      </c>
      <c r="K2537" s="3" t="s">
        <v>33</v>
      </c>
      <c r="L2537" s="3" t="s">
        <v>34</v>
      </c>
      <c r="M2537" s="4">
        <v>148.33</v>
      </c>
    </row>
    <row r="2538">
      <c r="A2538" s="2">
        <v>45706</v>
      </c>
      <c r="B25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8" s="3" t="str">
        <f>YEAR(KMART_DATA[[#This Row],[Date]])&amp;"-"&amp;TEXT(MONTH(KMART_DATA[[#This Row],[Date]]),"00")</f>
        <v>2025-02</v>
      </c>
      <c r="D2538" s="3" t="s">
        <v>45</v>
      </c>
      <c r="E2538" s="3" t="s">
        <v>240</v>
      </c>
      <c r="F2538" s="3" t="s">
        <v>15</v>
      </c>
      <c r="G25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538" s="3" t="s">
        <v>241</v>
      </c>
      <c r="I2538" s="3" t="s">
        <v>31</v>
      </c>
      <c r="J2538" s="3" t="s">
        <v>53</v>
      </c>
      <c r="K2538" s="3" t="s">
        <v>57</v>
      </c>
      <c r="L2538" s="3" t="s">
        <v>58</v>
      </c>
      <c r="M2538" s="4">
        <v>394.56</v>
      </c>
    </row>
    <row r="2539">
      <c r="A2539" s="2">
        <v>45706</v>
      </c>
      <c r="B25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39" s="3" t="str">
        <f>YEAR(KMART_DATA[[#This Row],[Date]])&amp;"-"&amp;TEXT(MONTH(KMART_DATA[[#This Row],[Date]]),"00")</f>
        <v>2025-02</v>
      </c>
      <c r="D2539" s="3" t="s">
        <v>45</v>
      </c>
      <c r="E2539" s="3" t="s">
        <v>234</v>
      </c>
      <c r="F2539" s="3" t="s">
        <v>9</v>
      </c>
      <c r="G25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39" s="3" t="s">
        <v>235</v>
      </c>
      <c r="I2539" s="3" t="s">
        <v>31</v>
      </c>
      <c r="J2539" s="3" t="s">
        <v>81</v>
      </c>
      <c r="K2539" s="3" t="s">
        <v>123</v>
      </c>
      <c r="L2539" s="3" t="s">
        <v>124</v>
      </c>
      <c r="M2539" s="4">
        <v>414.34</v>
      </c>
    </row>
    <row r="2540">
      <c r="A2540" s="2">
        <v>45706</v>
      </c>
      <c r="B25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0" s="3" t="str">
        <f>YEAR(KMART_DATA[[#This Row],[Date]])&amp;"-"&amp;TEXT(MONTH(KMART_DATA[[#This Row],[Date]]),"00")</f>
        <v>2025-02</v>
      </c>
      <c r="D2540" s="3" t="s">
        <v>28</v>
      </c>
      <c r="E2540" s="3" t="s">
        <v>97</v>
      </c>
      <c r="F2540" s="3" t="s">
        <v>9</v>
      </c>
      <c r="G25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40" s="3" t="s">
        <v>98</v>
      </c>
      <c r="I2540" s="3" t="s">
        <v>31</v>
      </c>
      <c r="J2540" s="3" t="s">
        <v>99</v>
      </c>
      <c r="K2540" s="3" t="s">
        <v>43</v>
      </c>
      <c r="L2540" s="3" t="s">
        <v>44</v>
      </c>
      <c r="M2540" s="4">
        <v>1077.37</v>
      </c>
    </row>
    <row r="2541">
      <c r="A2541" s="2">
        <v>45706</v>
      </c>
      <c r="B25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1" s="3" t="str">
        <f>YEAR(KMART_DATA[[#This Row],[Date]])&amp;"-"&amp;TEXT(MONTH(KMART_DATA[[#This Row],[Date]]),"00")</f>
        <v>2025-02</v>
      </c>
      <c r="D2541" s="3" t="s">
        <v>28</v>
      </c>
      <c r="E2541" s="3" t="s">
        <v>250</v>
      </c>
      <c r="F2541" s="3" t="s">
        <v>10</v>
      </c>
      <c r="G25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41" s="3" t="s">
        <v>251</v>
      </c>
      <c r="I2541" s="3" t="s">
        <v>31</v>
      </c>
      <c r="J2541" s="3" t="s">
        <v>37</v>
      </c>
      <c r="K2541" s="3" t="s">
        <v>71</v>
      </c>
      <c r="L2541" s="3" t="s">
        <v>72</v>
      </c>
      <c r="M2541" s="4">
        <v>1085.72</v>
      </c>
    </row>
    <row r="2542">
      <c r="A2542" s="2">
        <v>45706</v>
      </c>
      <c r="B25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2" s="3" t="str">
        <f>YEAR(KMART_DATA[[#This Row],[Date]])&amp;"-"&amp;TEXT(MONTH(KMART_DATA[[#This Row],[Date]]),"00")</f>
        <v>2025-02</v>
      </c>
      <c r="D2542" s="3" t="s">
        <v>28</v>
      </c>
      <c r="E2542" s="3" t="s">
        <v>156</v>
      </c>
      <c r="F2542" s="3" t="s">
        <v>9</v>
      </c>
      <c r="G25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42" s="3" t="s">
        <v>157</v>
      </c>
      <c r="I2542" s="3" t="s">
        <v>31</v>
      </c>
      <c r="J2542" s="3" t="s">
        <v>75</v>
      </c>
      <c r="K2542" s="3" t="s">
        <v>123</v>
      </c>
      <c r="L2542" s="3" t="s">
        <v>124</v>
      </c>
      <c r="M2542" s="4">
        <v>2972.07</v>
      </c>
    </row>
    <row r="2543">
      <c r="A2543" s="2">
        <v>45707</v>
      </c>
      <c r="B25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3" s="3" t="str">
        <f>YEAR(KMART_DATA[[#This Row],[Date]])&amp;"-"&amp;TEXT(MONTH(KMART_DATA[[#This Row],[Date]]),"00")</f>
        <v>2025-02</v>
      </c>
      <c r="D2543" s="3" t="s">
        <v>28</v>
      </c>
      <c r="E2543" s="3" t="s">
        <v>234</v>
      </c>
      <c r="F2543" s="3" t="s">
        <v>9</v>
      </c>
      <c r="G25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43" s="3" t="s">
        <v>235</v>
      </c>
      <c r="I2543" s="3" t="s">
        <v>31</v>
      </c>
      <c r="J2543" s="3" t="s">
        <v>81</v>
      </c>
      <c r="K2543" s="3" t="s">
        <v>43</v>
      </c>
      <c r="L2543" s="3" t="s">
        <v>44</v>
      </c>
      <c r="M2543" s="4">
        <v>3.0</v>
      </c>
    </row>
    <row r="2544">
      <c r="A2544" s="2">
        <v>45707</v>
      </c>
      <c r="B25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4" s="3" t="str">
        <f>YEAR(KMART_DATA[[#This Row],[Date]])&amp;"-"&amp;TEXT(MONTH(KMART_DATA[[#This Row],[Date]]),"00")</f>
        <v>2025-02</v>
      </c>
      <c r="D2544" s="3" t="s">
        <v>28</v>
      </c>
      <c r="E2544" s="3" t="s">
        <v>228</v>
      </c>
      <c r="F2544" s="3" t="s">
        <v>11</v>
      </c>
      <c r="G25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44" s="3" t="s">
        <v>229</v>
      </c>
      <c r="I2544" s="3" t="s">
        <v>31</v>
      </c>
      <c r="J2544" s="3" t="s">
        <v>32</v>
      </c>
      <c r="K2544" s="3" t="s">
        <v>38</v>
      </c>
      <c r="L2544" s="3" t="s">
        <v>39</v>
      </c>
      <c r="M2544" s="4">
        <v>14.95</v>
      </c>
    </row>
    <row r="2545">
      <c r="A2545" s="2">
        <v>45707</v>
      </c>
      <c r="B25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5" s="3" t="str">
        <f>YEAR(KMART_DATA[[#This Row],[Date]])&amp;"-"&amp;TEXT(MONTH(KMART_DATA[[#This Row],[Date]]),"00")</f>
        <v>2025-02</v>
      </c>
      <c r="D2545" s="3" t="s">
        <v>28</v>
      </c>
      <c r="E2545" s="3" t="s">
        <v>260</v>
      </c>
      <c r="F2545" s="3" t="s">
        <v>10</v>
      </c>
      <c r="G25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45" s="3" t="s">
        <v>261</v>
      </c>
      <c r="I2545" s="3" t="s">
        <v>31</v>
      </c>
      <c r="J2545" s="3" t="s">
        <v>89</v>
      </c>
      <c r="K2545" s="3" t="s">
        <v>38</v>
      </c>
      <c r="L2545" s="3" t="s">
        <v>39</v>
      </c>
      <c r="M2545" s="4">
        <v>16.5</v>
      </c>
    </row>
    <row r="2546">
      <c r="A2546" s="2">
        <v>45707</v>
      </c>
      <c r="B25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6" s="3" t="str">
        <f>YEAR(KMART_DATA[[#This Row],[Date]])&amp;"-"&amp;TEXT(MONTH(KMART_DATA[[#This Row],[Date]]),"00")</f>
        <v>2025-02</v>
      </c>
      <c r="D2546" s="3" t="s">
        <v>45</v>
      </c>
      <c r="E2546" s="3" t="s">
        <v>133</v>
      </c>
      <c r="F2546" s="3" t="s">
        <v>10</v>
      </c>
      <c r="G25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46" s="3" t="s">
        <v>134</v>
      </c>
      <c r="I2546" s="3" t="s">
        <v>31</v>
      </c>
      <c r="J2546" s="3" t="s">
        <v>37</v>
      </c>
      <c r="K2546" s="3" t="s">
        <v>95</v>
      </c>
      <c r="L2546" s="3" t="s">
        <v>96</v>
      </c>
      <c r="M2546" s="4">
        <v>94.81</v>
      </c>
    </row>
    <row r="2547">
      <c r="A2547" s="2">
        <v>45707</v>
      </c>
      <c r="B25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7" s="3" t="str">
        <f>YEAR(KMART_DATA[[#This Row],[Date]])&amp;"-"&amp;TEXT(MONTH(KMART_DATA[[#This Row],[Date]]),"00")</f>
        <v>2025-02</v>
      </c>
      <c r="D2547" s="3" t="s">
        <v>45</v>
      </c>
      <c r="E2547" s="3" t="s">
        <v>223</v>
      </c>
      <c r="F2547" s="3" t="s">
        <v>10</v>
      </c>
      <c r="G25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47" s="3" t="s">
        <v>224</v>
      </c>
      <c r="I2547" s="3" t="s">
        <v>31</v>
      </c>
      <c r="J2547" s="3" t="s">
        <v>94</v>
      </c>
      <c r="K2547" s="3" t="s">
        <v>43</v>
      </c>
      <c r="L2547" s="3" t="s">
        <v>44</v>
      </c>
      <c r="M2547" s="4">
        <v>103.92</v>
      </c>
    </row>
    <row r="2548">
      <c r="A2548" s="2">
        <v>45707</v>
      </c>
      <c r="B25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8" s="3" t="str">
        <f>YEAR(KMART_DATA[[#This Row],[Date]])&amp;"-"&amp;TEXT(MONTH(KMART_DATA[[#This Row],[Date]]),"00")</f>
        <v>2025-02</v>
      </c>
      <c r="D2548" s="3" t="s">
        <v>45</v>
      </c>
      <c r="E2548" s="3" t="s">
        <v>173</v>
      </c>
      <c r="F2548" s="3" t="s">
        <v>11</v>
      </c>
      <c r="G25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48" s="3" t="s">
        <v>174</v>
      </c>
      <c r="I2548" s="3" t="s">
        <v>31</v>
      </c>
      <c r="J2548" s="3" t="s">
        <v>61</v>
      </c>
      <c r="K2548" s="3" t="s">
        <v>43</v>
      </c>
      <c r="L2548" s="3" t="s">
        <v>44</v>
      </c>
      <c r="M2548" s="4">
        <v>109.95</v>
      </c>
    </row>
    <row r="2549">
      <c r="A2549" s="2">
        <v>45707</v>
      </c>
      <c r="B25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49" s="3" t="str">
        <f>YEAR(KMART_DATA[[#This Row],[Date]])&amp;"-"&amp;TEXT(MONTH(KMART_DATA[[#This Row],[Date]]),"00")</f>
        <v>2025-02</v>
      </c>
      <c r="D2549" s="3" t="s">
        <v>28</v>
      </c>
      <c r="E2549" s="3" t="s">
        <v>121</v>
      </c>
      <c r="F2549" s="3" t="s">
        <v>11</v>
      </c>
      <c r="G25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49" s="3" t="s">
        <v>122</v>
      </c>
      <c r="I2549" s="3" t="s">
        <v>31</v>
      </c>
      <c r="J2549" s="3" t="s">
        <v>84</v>
      </c>
      <c r="K2549" s="3" t="s">
        <v>95</v>
      </c>
      <c r="L2549" s="3" t="s">
        <v>96</v>
      </c>
      <c r="M2549" s="4">
        <v>364.65</v>
      </c>
    </row>
    <row r="2550">
      <c r="A2550" s="2">
        <v>45707</v>
      </c>
      <c r="B25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0" s="3" t="str">
        <f>YEAR(KMART_DATA[[#This Row],[Date]])&amp;"-"&amp;TEXT(MONTH(KMART_DATA[[#This Row],[Date]]),"00")</f>
        <v>2025-02</v>
      </c>
      <c r="D2550" s="3" t="s">
        <v>28</v>
      </c>
      <c r="E2550" s="3" t="s">
        <v>154</v>
      </c>
      <c r="F2550" s="3" t="s">
        <v>11</v>
      </c>
      <c r="G25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50" s="3" t="s">
        <v>155</v>
      </c>
      <c r="I2550" s="3" t="s">
        <v>31</v>
      </c>
      <c r="J2550" s="3" t="s">
        <v>84</v>
      </c>
      <c r="K2550" s="3" t="s">
        <v>33</v>
      </c>
      <c r="L2550" s="3" t="s">
        <v>34</v>
      </c>
      <c r="M2550" s="4">
        <v>442.54</v>
      </c>
    </row>
    <row r="2551">
      <c r="A2551" s="2">
        <v>45707</v>
      </c>
      <c r="B25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1" s="3" t="str">
        <f>YEAR(KMART_DATA[[#This Row],[Date]])&amp;"-"&amp;TEXT(MONTH(KMART_DATA[[#This Row],[Date]]),"00")</f>
        <v>2025-02</v>
      </c>
      <c r="D2551" s="3" t="s">
        <v>28</v>
      </c>
      <c r="E2551" s="3" t="s">
        <v>236</v>
      </c>
      <c r="F2551" s="3" t="s">
        <v>12</v>
      </c>
      <c r="G25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551" s="3" t="s">
        <v>237</v>
      </c>
      <c r="I2551" s="3" t="s">
        <v>31</v>
      </c>
      <c r="J2551" s="3" t="s">
        <v>102</v>
      </c>
      <c r="K2551" s="3" t="s">
        <v>71</v>
      </c>
      <c r="L2551" s="3" t="s">
        <v>72</v>
      </c>
      <c r="M2551" s="4">
        <v>500.48</v>
      </c>
    </row>
    <row r="2552">
      <c r="A2552" s="2">
        <v>45707</v>
      </c>
      <c r="B25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2" s="3" t="str">
        <f>YEAR(KMART_DATA[[#This Row],[Date]])&amp;"-"&amp;TEXT(MONTH(KMART_DATA[[#This Row],[Date]]),"00")</f>
        <v>2025-02</v>
      </c>
      <c r="D2552" s="3" t="s">
        <v>28</v>
      </c>
      <c r="E2552" s="3" t="s">
        <v>211</v>
      </c>
      <c r="F2552" s="3" t="s">
        <v>9</v>
      </c>
      <c r="G25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52" s="3" t="s">
        <v>212</v>
      </c>
      <c r="I2552" s="3" t="s">
        <v>31</v>
      </c>
      <c r="J2552" s="3" t="s">
        <v>75</v>
      </c>
      <c r="K2552" s="3" t="s">
        <v>43</v>
      </c>
      <c r="L2552" s="3" t="s">
        <v>44</v>
      </c>
      <c r="M2552" s="4">
        <v>610.65</v>
      </c>
    </row>
    <row r="2553">
      <c r="A2553" s="2">
        <v>45708</v>
      </c>
      <c r="B25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3" s="3" t="str">
        <f>YEAR(KMART_DATA[[#This Row],[Date]])&amp;"-"&amp;TEXT(MONTH(KMART_DATA[[#This Row],[Date]]),"00")</f>
        <v>2025-02</v>
      </c>
      <c r="D2553" s="3" t="s">
        <v>28</v>
      </c>
      <c r="E2553" s="3" t="s">
        <v>150</v>
      </c>
      <c r="F2553" s="3" t="s">
        <v>15</v>
      </c>
      <c r="G25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553" s="3" t="s">
        <v>151</v>
      </c>
      <c r="I2553" s="3" t="s">
        <v>31</v>
      </c>
      <c r="J2553" s="3" t="s">
        <v>53</v>
      </c>
      <c r="K2553" s="3" t="s">
        <v>43</v>
      </c>
      <c r="L2553" s="3" t="s">
        <v>44</v>
      </c>
      <c r="M2553" s="4">
        <v>36.5</v>
      </c>
    </row>
    <row r="2554">
      <c r="A2554" s="2">
        <v>45708</v>
      </c>
      <c r="B25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4" s="3" t="str">
        <f>YEAR(KMART_DATA[[#This Row],[Date]])&amp;"-"&amp;TEXT(MONTH(KMART_DATA[[#This Row],[Date]]),"00")</f>
        <v>2025-02</v>
      </c>
      <c r="D2554" s="3" t="s">
        <v>45</v>
      </c>
      <c r="E2554" s="3" t="s">
        <v>79</v>
      </c>
      <c r="F2554" s="3" t="s">
        <v>9</v>
      </c>
      <c r="G25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54" s="3" t="s">
        <v>80</v>
      </c>
      <c r="I2554" s="3" t="s">
        <v>31</v>
      </c>
      <c r="J2554" s="3" t="s">
        <v>81</v>
      </c>
      <c r="K2554" s="3" t="s">
        <v>123</v>
      </c>
      <c r="L2554" s="3" t="s">
        <v>124</v>
      </c>
      <c r="M2554" s="4">
        <v>96.81</v>
      </c>
    </row>
    <row r="2555">
      <c r="A2555" s="2">
        <v>45708</v>
      </c>
      <c r="B25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5" s="3" t="str">
        <f>YEAR(KMART_DATA[[#This Row],[Date]])&amp;"-"&amp;TEXT(MONTH(KMART_DATA[[#This Row],[Date]]),"00")</f>
        <v>2025-02</v>
      </c>
      <c r="D2555" s="3" t="s">
        <v>28</v>
      </c>
      <c r="E2555" s="3" t="s">
        <v>158</v>
      </c>
      <c r="F2555" s="3" t="s">
        <v>11</v>
      </c>
      <c r="G25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55" s="3" t="s">
        <v>159</v>
      </c>
      <c r="I2555" s="3" t="s">
        <v>31</v>
      </c>
      <c r="J2555" s="3" t="s">
        <v>84</v>
      </c>
      <c r="K2555" s="3" t="s">
        <v>46</v>
      </c>
      <c r="L2555" s="3" t="s">
        <v>47</v>
      </c>
      <c r="M2555" s="4">
        <v>204.85</v>
      </c>
    </row>
    <row r="2556">
      <c r="A2556" s="2">
        <v>45708</v>
      </c>
      <c r="B25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6" s="3" t="str">
        <f>YEAR(KMART_DATA[[#This Row],[Date]])&amp;"-"&amp;TEXT(MONTH(KMART_DATA[[#This Row],[Date]]),"00")</f>
        <v>2025-02</v>
      </c>
      <c r="D2556" s="3" t="s">
        <v>28</v>
      </c>
      <c r="E2556" s="3" t="s">
        <v>64</v>
      </c>
      <c r="F2556" s="3" t="s">
        <v>11</v>
      </c>
      <c r="G25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56" s="3" t="s">
        <v>65</v>
      </c>
      <c r="I2556" s="3" t="s">
        <v>31</v>
      </c>
      <c r="J2556" s="3" t="s">
        <v>61</v>
      </c>
      <c r="K2556" s="3" t="s">
        <v>123</v>
      </c>
      <c r="L2556" s="3" t="s">
        <v>124</v>
      </c>
      <c r="M2556" s="4">
        <v>379.52</v>
      </c>
    </row>
    <row r="2557">
      <c r="A2557" s="2">
        <v>45708</v>
      </c>
      <c r="B25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7" s="3" t="str">
        <f>YEAR(KMART_DATA[[#This Row],[Date]])&amp;"-"&amp;TEXT(MONTH(KMART_DATA[[#This Row],[Date]]),"00")</f>
        <v>2025-02</v>
      </c>
      <c r="D2557" s="3" t="s">
        <v>28</v>
      </c>
      <c r="E2557" s="3" t="s">
        <v>29</v>
      </c>
      <c r="F2557" s="3" t="s">
        <v>11</v>
      </c>
      <c r="G25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57" s="3" t="s">
        <v>30</v>
      </c>
      <c r="I2557" s="3" t="s">
        <v>31</v>
      </c>
      <c r="J2557" s="3" t="s">
        <v>32</v>
      </c>
      <c r="K2557" s="3" t="s">
        <v>33</v>
      </c>
      <c r="L2557" s="3" t="s">
        <v>34</v>
      </c>
      <c r="M2557" s="4">
        <v>565.22</v>
      </c>
    </row>
    <row r="2558">
      <c r="A2558" s="2">
        <v>45708</v>
      </c>
      <c r="B25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8" s="3" t="str">
        <f>YEAR(KMART_DATA[[#This Row],[Date]])&amp;"-"&amp;TEXT(MONTH(KMART_DATA[[#This Row],[Date]]),"00")</f>
        <v>2025-02</v>
      </c>
      <c r="D2558" s="3" t="s">
        <v>28</v>
      </c>
      <c r="E2558" s="3" t="s">
        <v>207</v>
      </c>
      <c r="F2558" s="3" t="s">
        <v>11</v>
      </c>
      <c r="G25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58" s="3" t="s">
        <v>208</v>
      </c>
      <c r="I2558" s="3" t="s">
        <v>31</v>
      </c>
      <c r="J2558" s="3" t="s">
        <v>78</v>
      </c>
      <c r="K2558" s="3" t="s">
        <v>57</v>
      </c>
      <c r="L2558" s="3" t="s">
        <v>58</v>
      </c>
      <c r="M2558" s="4">
        <v>723.53</v>
      </c>
    </row>
    <row r="2559">
      <c r="A2559" s="2">
        <v>45708</v>
      </c>
      <c r="B25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59" s="3" t="str">
        <f>YEAR(KMART_DATA[[#This Row],[Date]])&amp;"-"&amp;TEXT(MONTH(KMART_DATA[[#This Row],[Date]]),"00")</f>
        <v>2025-02</v>
      </c>
      <c r="D2559" s="3" t="s">
        <v>28</v>
      </c>
      <c r="E2559" s="3" t="s">
        <v>156</v>
      </c>
      <c r="F2559" s="3" t="s">
        <v>9</v>
      </c>
      <c r="G25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59" s="3" t="s">
        <v>157</v>
      </c>
      <c r="I2559" s="3" t="s">
        <v>31</v>
      </c>
      <c r="J2559" s="3" t="s">
        <v>75</v>
      </c>
      <c r="K2559" s="3" t="s">
        <v>57</v>
      </c>
      <c r="L2559" s="3" t="s">
        <v>58</v>
      </c>
      <c r="M2559" s="4">
        <v>1780.12</v>
      </c>
    </row>
    <row r="2560">
      <c r="A2560" s="2">
        <v>45708</v>
      </c>
      <c r="B25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0" s="3" t="str">
        <f>YEAR(KMART_DATA[[#This Row],[Date]])&amp;"-"&amp;TEXT(MONTH(KMART_DATA[[#This Row],[Date]]),"00")</f>
        <v>2025-02</v>
      </c>
      <c r="D2560" s="3" t="s">
        <v>28</v>
      </c>
      <c r="E2560" s="3" t="s">
        <v>64</v>
      </c>
      <c r="F2560" s="3" t="s">
        <v>11</v>
      </c>
      <c r="G25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60" s="3" t="s">
        <v>65</v>
      </c>
      <c r="I2560" s="3" t="s">
        <v>31</v>
      </c>
      <c r="J2560" s="3" t="s">
        <v>61</v>
      </c>
      <c r="K2560" s="3" t="s">
        <v>95</v>
      </c>
      <c r="L2560" s="3" t="s">
        <v>96</v>
      </c>
      <c r="M2560" s="4">
        <v>4100.71</v>
      </c>
    </row>
    <row r="2561">
      <c r="A2561" s="2">
        <v>45709</v>
      </c>
      <c r="B25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1" s="3" t="str">
        <f>YEAR(KMART_DATA[[#This Row],[Date]])&amp;"-"&amp;TEXT(MONTH(KMART_DATA[[#This Row],[Date]]),"00")</f>
        <v>2025-02</v>
      </c>
      <c r="D2561" s="3" t="s">
        <v>28</v>
      </c>
      <c r="E2561" s="3" t="s">
        <v>191</v>
      </c>
      <c r="F2561" s="3" t="s">
        <v>10</v>
      </c>
      <c r="G25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61" s="3" t="s">
        <v>192</v>
      </c>
      <c r="I2561" s="3" t="s">
        <v>31</v>
      </c>
      <c r="J2561" s="3" t="s">
        <v>120</v>
      </c>
      <c r="K2561" s="3" t="s">
        <v>43</v>
      </c>
      <c r="L2561" s="3" t="s">
        <v>44</v>
      </c>
      <c r="M2561" s="4">
        <v>17.99</v>
      </c>
    </row>
    <row r="2562">
      <c r="A2562" s="2">
        <v>45709</v>
      </c>
      <c r="B25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2" s="3" t="str">
        <f>YEAR(KMART_DATA[[#This Row],[Date]])&amp;"-"&amp;TEXT(MONTH(KMART_DATA[[#This Row],[Date]]),"00")</f>
        <v>2025-02</v>
      </c>
      <c r="D2562" s="3" t="s">
        <v>45</v>
      </c>
      <c r="E2562" s="3" t="s">
        <v>114</v>
      </c>
      <c r="F2562" s="3" t="s">
        <v>9</v>
      </c>
      <c r="G25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62" s="3" t="s">
        <v>115</v>
      </c>
      <c r="I2562" s="3" t="s">
        <v>31</v>
      </c>
      <c r="J2562" s="3" t="s">
        <v>99</v>
      </c>
      <c r="K2562" s="3" t="s">
        <v>33</v>
      </c>
      <c r="L2562" s="3" t="s">
        <v>34</v>
      </c>
      <c r="M2562" s="4">
        <v>32.67</v>
      </c>
    </row>
    <row r="2563">
      <c r="A2563" s="2">
        <v>45709</v>
      </c>
      <c r="B25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3" s="3" t="str">
        <f>YEAR(KMART_DATA[[#This Row],[Date]])&amp;"-"&amp;TEXT(MONTH(KMART_DATA[[#This Row],[Date]]),"00")</f>
        <v>2025-02</v>
      </c>
      <c r="D2563" s="3" t="s">
        <v>28</v>
      </c>
      <c r="E2563" s="3" t="s">
        <v>129</v>
      </c>
      <c r="F2563" s="3" t="s">
        <v>10</v>
      </c>
      <c r="G25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63" s="3" t="s">
        <v>130</v>
      </c>
      <c r="I2563" s="3" t="s">
        <v>31</v>
      </c>
      <c r="J2563" s="3" t="s">
        <v>120</v>
      </c>
      <c r="K2563" s="3" t="s">
        <v>95</v>
      </c>
      <c r="L2563" s="3" t="s">
        <v>96</v>
      </c>
      <c r="M2563" s="4">
        <v>209.65</v>
      </c>
    </row>
    <row r="2564">
      <c r="A2564" s="2">
        <v>45709</v>
      </c>
      <c r="B25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4" s="3" t="str">
        <f>YEAR(KMART_DATA[[#This Row],[Date]])&amp;"-"&amp;TEXT(MONTH(KMART_DATA[[#This Row],[Date]]),"00")</f>
        <v>2025-02</v>
      </c>
      <c r="D2564" s="3" t="s">
        <v>28</v>
      </c>
      <c r="E2564" s="3" t="s">
        <v>250</v>
      </c>
      <c r="F2564" s="3" t="s">
        <v>10</v>
      </c>
      <c r="G25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64" s="3" t="s">
        <v>251</v>
      </c>
      <c r="I2564" s="3" t="s">
        <v>31</v>
      </c>
      <c r="J2564" s="3" t="s">
        <v>37</v>
      </c>
      <c r="K2564" s="3" t="s">
        <v>33</v>
      </c>
      <c r="L2564" s="3" t="s">
        <v>34</v>
      </c>
      <c r="M2564" s="4">
        <v>2202.71</v>
      </c>
    </row>
    <row r="2565">
      <c r="A2565" s="2">
        <v>45710</v>
      </c>
      <c r="B25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5" s="3" t="str">
        <f>YEAR(KMART_DATA[[#This Row],[Date]])&amp;"-"&amp;TEXT(MONTH(KMART_DATA[[#This Row],[Date]]),"00")</f>
        <v>2025-02</v>
      </c>
      <c r="D2565" s="3" t="s">
        <v>28</v>
      </c>
      <c r="E2565" s="3" t="s">
        <v>215</v>
      </c>
      <c r="F2565" s="3" t="s">
        <v>15</v>
      </c>
      <c r="G25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565" s="3" t="s">
        <v>216</v>
      </c>
      <c r="I2565" s="3" t="s">
        <v>31</v>
      </c>
      <c r="J2565" s="3" t="s">
        <v>53</v>
      </c>
      <c r="K2565" s="3" t="s">
        <v>95</v>
      </c>
      <c r="L2565" s="3" t="s">
        <v>96</v>
      </c>
      <c r="M2565" s="4">
        <v>2.0</v>
      </c>
    </row>
    <row r="2566">
      <c r="A2566" s="2">
        <v>45710</v>
      </c>
      <c r="B25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6" s="3" t="str">
        <f>YEAR(KMART_DATA[[#This Row],[Date]])&amp;"-"&amp;TEXT(MONTH(KMART_DATA[[#This Row],[Date]]),"00")</f>
        <v>2025-02</v>
      </c>
      <c r="D2566" s="3" t="s">
        <v>28</v>
      </c>
      <c r="E2566" s="3" t="s">
        <v>264</v>
      </c>
      <c r="F2566" s="3" t="s">
        <v>13</v>
      </c>
      <c r="G25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66" s="3" t="s">
        <v>265</v>
      </c>
      <c r="I2566" s="3" t="s">
        <v>31</v>
      </c>
      <c r="J2566" s="3" t="s">
        <v>42</v>
      </c>
      <c r="K2566" s="3" t="s">
        <v>43</v>
      </c>
      <c r="L2566" s="3" t="s">
        <v>44</v>
      </c>
      <c r="M2566" s="4">
        <v>29.01</v>
      </c>
    </row>
    <row r="2567">
      <c r="A2567" s="2">
        <v>45710</v>
      </c>
      <c r="B25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7" s="3" t="str">
        <f>YEAR(KMART_DATA[[#This Row],[Date]])&amp;"-"&amp;TEXT(MONTH(KMART_DATA[[#This Row],[Date]]),"00")</f>
        <v>2025-02</v>
      </c>
      <c r="D2567" s="3" t="s">
        <v>45</v>
      </c>
      <c r="E2567" s="3" t="s">
        <v>230</v>
      </c>
      <c r="F2567" s="3" t="s">
        <v>13</v>
      </c>
      <c r="G25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67" s="3" t="s">
        <v>231</v>
      </c>
      <c r="I2567" s="3" t="s">
        <v>31</v>
      </c>
      <c r="J2567" s="3" t="s">
        <v>227</v>
      </c>
      <c r="K2567" s="3" t="s">
        <v>43</v>
      </c>
      <c r="L2567" s="3" t="s">
        <v>44</v>
      </c>
      <c r="M2567" s="4">
        <v>29.98</v>
      </c>
    </row>
    <row r="2568">
      <c r="A2568" s="2">
        <v>45710</v>
      </c>
      <c r="B25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8" s="3" t="str">
        <f>YEAR(KMART_DATA[[#This Row],[Date]])&amp;"-"&amp;TEXT(MONTH(KMART_DATA[[#This Row],[Date]]),"00")</f>
        <v>2025-02</v>
      </c>
      <c r="D2568" s="3" t="s">
        <v>28</v>
      </c>
      <c r="E2568" s="3" t="s">
        <v>254</v>
      </c>
      <c r="F2568" s="3" t="s">
        <v>13</v>
      </c>
      <c r="G25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68" s="3" t="s">
        <v>255</v>
      </c>
      <c r="I2568" s="3" t="s">
        <v>31</v>
      </c>
      <c r="J2568" s="3" t="s">
        <v>227</v>
      </c>
      <c r="K2568" s="3" t="s">
        <v>38</v>
      </c>
      <c r="L2568" s="3" t="s">
        <v>39</v>
      </c>
      <c r="M2568" s="4">
        <v>75.05</v>
      </c>
    </row>
    <row r="2569">
      <c r="A2569" s="2">
        <v>45710</v>
      </c>
      <c r="B25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69" s="3" t="str">
        <f>YEAR(KMART_DATA[[#This Row],[Date]])&amp;"-"&amp;TEXT(MONTH(KMART_DATA[[#This Row],[Date]]),"00")</f>
        <v>2025-02</v>
      </c>
      <c r="D2569" s="3" t="s">
        <v>28</v>
      </c>
      <c r="E2569" s="3" t="s">
        <v>29</v>
      </c>
      <c r="F2569" s="3" t="s">
        <v>11</v>
      </c>
      <c r="G25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69" s="3" t="s">
        <v>30</v>
      </c>
      <c r="I2569" s="3" t="s">
        <v>31</v>
      </c>
      <c r="J2569" s="3" t="s">
        <v>32</v>
      </c>
      <c r="K2569" s="3" t="s">
        <v>71</v>
      </c>
      <c r="L2569" s="3" t="s">
        <v>72</v>
      </c>
      <c r="M2569" s="4">
        <v>127.87</v>
      </c>
    </row>
    <row r="2570">
      <c r="A2570" s="2">
        <v>45710</v>
      </c>
      <c r="B25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0" s="3" t="str">
        <f>YEAR(KMART_DATA[[#This Row],[Date]])&amp;"-"&amp;TEXT(MONTH(KMART_DATA[[#This Row],[Date]]),"00")</f>
        <v>2025-02</v>
      </c>
      <c r="D2570" s="3" t="s">
        <v>45</v>
      </c>
      <c r="E2570" s="3" t="s">
        <v>40</v>
      </c>
      <c r="F2570" s="3" t="s">
        <v>13</v>
      </c>
      <c r="G25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70" s="3" t="s">
        <v>41</v>
      </c>
      <c r="I2570" s="3" t="s">
        <v>31</v>
      </c>
      <c r="J2570" s="3" t="s">
        <v>42</v>
      </c>
      <c r="K2570" s="3" t="s">
        <v>43</v>
      </c>
      <c r="L2570" s="3" t="s">
        <v>44</v>
      </c>
      <c r="M2570" s="4">
        <v>277.74</v>
      </c>
    </row>
    <row r="2571">
      <c r="A2571" s="2">
        <v>45710</v>
      </c>
      <c r="B25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1" s="3" t="str">
        <f>YEAR(KMART_DATA[[#This Row],[Date]])&amp;"-"&amp;TEXT(MONTH(KMART_DATA[[#This Row],[Date]]),"00")</f>
        <v>2025-02</v>
      </c>
      <c r="D2571" s="3" t="s">
        <v>28</v>
      </c>
      <c r="E2571" s="3" t="s">
        <v>177</v>
      </c>
      <c r="F2571" s="3" t="s">
        <v>12</v>
      </c>
      <c r="G25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571" s="3" t="s">
        <v>178</v>
      </c>
      <c r="I2571" s="3" t="s">
        <v>31</v>
      </c>
      <c r="J2571" s="3" t="s">
        <v>162</v>
      </c>
      <c r="K2571" s="3" t="s">
        <v>66</v>
      </c>
      <c r="L2571" s="3" t="s">
        <v>67</v>
      </c>
      <c r="M2571" s="4">
        <v>591.76</v>
      </c>
    </row>
    <row r="2572">
      <c r="A2572" s="2">
        <v>45710</v>
      </c>
      <c r="B25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2" s="3" t="str">
        <f>YEAR(KMART_DATA[[#This Row],[Date]])&amp;"-"&amp;TEXT(MONTH(KMART_DATA[[#This Row],[Date]]),"00")</f>
        <v>2025-02</v>
      </c>
      <c r="D2572" s="3" t="s">
        <v>28</v>
      </c>
      <c r="E2572" s="3" t="s">
        <v>160</v>
      </c>
      <c r="F2572" s="3" t="s">
        <v>12</v>
      </c>
      <c r="G25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572" s="3" t="s">
        <v>161</v>
      </c>
      <c r="I2572" s="3" t="s">
        <v>31</v>
      </c>
      <c r="J2572" s="3" t="s">
        <v>162</v>
      </c>
      <c r="K2572" s="3" t="s">
        <v>71</v>
      </c>
      <c r="L2572" s="3" t="s">
        <v>72</v>
      </c>
      <c r="M2572" s="4">
        <v>3397.31</v>
      </c>
    </row>
    <row r="2573">
      <c r="A2573" s="2">
        <v>45710</v>
      </c>
      <c r="B25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3" s="3" t="str">
        <f>YEAR(KMART_DATA[[#This Row],[Date]])&amp;"-"&amp;TEXT(MONTH(KMART_DATA[[#This Row],[Date]]),"00")</f>
        <v>2025-02</v>
      </c>
      <c r="D2573" s="3" t="s">
        <v>28</v>
      </c>
      <c r="E2573" s="3" t="s">
        <v>219</v>
      </c>
      <c r="F2573" s="3" t="s">
        <v>11</v>
      </c>
      <c r="G25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73" s="3" t="s">
        <v>220</v>
      </c>
      <c r="I2573" s="3" t="s">
        <v>31</v>
      </c>
      <c r="J2573" s="3" t="s">
        <v>56</v>
      </c>
      <c r="K2573" s="3" t="s">
        <v>123</v>
      </c>
      <c r="L2573" s="3" t="s">
        <v>124</v>
      </c>
      <c r="M2573" s="4">
        <v>3761.32</v>
      </c>
    </row>
    <row r="2574">
      <c r="A2574" s="2">
        <v>45711</v>
      </c>
      <c r="B25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4" s="3" t="str">
        <f>YEAR(KMART_DATA[[#This Row],[Date]])&amp;"-"&amp;TEXT(MONTH(KMART_DATA[[#This Row],[Date]]),"00")</f>
        <v>2025-02</v>
      </c>
      <c r="D2574" s="3" t="s">
        <v>28</v>
      </c>
      <c r="E2574" s="3" t="s">
        <v>209</v>
      </c>
      <c r="F2574" s="3" t="s">
        <v>9</v>
      </c>
      <c r="G25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74" s="3" t="s">
        <v>210</v>
      </c>
      <c r="I2574" s="3" t="s">
        <v>31</v>
      </c>
      <c r="J2574" s="3" t="s">
        <v>81</v>
      </c>
      <c r="K2574" s="3" t="s">
        <v>46</v>
      </c>
      <c r="L2574" s="3" t="s">
        <v>47</v>
      </c>
      <c r="M2574" s="4">
        <v>6.0</v>
      </c>
    </row>
    <row r="2575">
      <c r="A2575" s="2">
        <v>45711</v>
      </c>
      <c r="B25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5" s="3" t="str">
        <f>YEAR(KMART_DATA[[#This Row],[Date]])&amp;"-"&amp;TEXT(MONTH(KMART_DATA[[#This Row],[Date]]),"00")</f>
        <v>2025-02</v>
      </c>
      <c r="D2575" s="3" t="s">
        <v>28</v>
      </c>
      <c r="E2575" s="3" t="s">
        <v>175</v>
      </c>
      <c r="F2575" s="3" t="s">
        <v>16</v>
      </c>
      <c r="G25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575" s="3" t="s">
        <v>176</v>
      </c>
      <c r="I2575" s="3" t="s">
        <v>31</v>
      </c>
      <c r="J2575" s="3" t="s">
        <v>107</v>
      </c>
      <c r="K2575" s="3" t="s">
        <v>43</v>
      </c>
      <c r="L2575" s="3" t="s">
        <v>44</v>
      </c>
      <c r="M2575" s="4">
        <v>14.12</v>
      </c>
    </row>
    <row r="2576">
      <c r="A2576" s="2">
        <v>45711</v>
      </c>
      <c r="B25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6" s="3" t="str">
        <f>YEAR(KMART_DATA[[#This Row],[Date]])&amp;"-"&amp;TEXT(MONTH(KMART_DATA[[#This Row],[Date]]),"00")</f>
        <v>2025-02</v>
      </c>
      <c r="D2576" s="3" t="s">
        <v>28</v>
      </c>
      <c r="E2576" s="3" t="s">
        <v>201</v>
      </c>
      <c r="F2576" s="3" t="s">
        <v>10</v>
      </c>
      <c r="G25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76" s="3" t="s">
        <v>202</v>
      </c>
      <c r="I2576" s="3" t="s">
        <v>31</v>
      </c>
      <c r="J2576" s="3" t="s">
        <v>89</v>
      </c>
      <c r="K2576" s="3" t="s">
        <v>71</v>
      </c>
      <c r="L2576" s="3" t="s">
        <v>72</v>
      </c>
      <c r="M2576" s="4">
        <v>257.93</v>
      </c>
    </row>
    <row r="2577">
      <c r="A2577" s="2">
        <v>45711</v>
      </c>
      <c r="B25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7" s="3" t="str">
        <f>YEAR(KMART_DATA[[#This Row],[Date]])&amp;"-"&amp;TEXT(MONTH(KMART_DATA[[#This Row],[Date]]),"00")</f>
        <v>2025-02</v>
      </c>
      <c r="D2577" s="3" t="s">
        <v>28</v>
      </c>
      <c r="E2577" s="3" t="s">
        <v>97</v>
      </c>
      <c r="F2577" s="3" t="s">
        <v>9</v>
      </c>
      <c r="G25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77" s="3" t="s">
        <v>98</v>
      </c>
      <c r="I2577" s="3" t="s">
        <v>31</v>
      </c>
      <c r="J2577" s="3" t="s">
        <v>99</v>
      </c>
      <c r="K2577" s="3" t="s">
        <v>43</v>
      </c>
      <c r="L2577" s="3" t="s">
        <v>44</v>
      </c>
      <c r="M2577" s="4">
        <v>700.38</v>
      </c>
    </row>
    <row r="2578">
      <c r="A2578" s="2">
        <v>45711</v>
      </c>
      <c r="B25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8" s="3" t="str">
        <f>YEAR(KMART_DATA[[#This Row],[Date]])&amp;"-"&amp;TEXT(MONTH(KMART_DATA[[#This Row],[Date]]),"00")</f>
        <v>2025-02</v>
      </c>
      <c r="D2578" s="3" t="s">
        <v>45</v>
      </c>
      <c r="E2578" s="3" t="s">
        <v>240</v>
      </c>
      <c r="F2578" s="3" t="s">
        <v>15</v>
      </c>
      <c r="G25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578" s="3" t="s">
        <v>241</v>
      </c>
      <c r="I2578" s="3" t="s">
        <v>31</v>
      </c>
      <c r="J2578" s="3" t="s">
        <v>53</v>
      </c>
      <c r="K2578" s="3" t="s">
        <v>57</v>
      </c>
      <c r="L2578" s="3" t="s">
        <v>58</v>
      </c>
      <c r="M2578" s="4">
        <v>1853.17</v>
      </c>
    </row>
    <row r="2579">
      <c r="A2579" s="2">
        <v>45712</v>
      </c>
      <c r="B25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79" s="3" t="str">
        <f>YEAR(KMART_DATA[[#This Row],[Date]])&amp;"-"&amp;TEXT(MONTH(KMART_DATA[[#This Row],[Date]]),"00")</f>
        <v>2025-02</v>
      </c>
      <c r="D2579" s="3" t="s">
        <v>28</v>
      </c>
      <c r="E2579" s="3" t="s">
        <v>114</v>
      </c>
      <c r="F2579" s="3" t="s">
        <v>9</v>
      </c>
      <c r="G25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79" s="3" t="s">
        <v>115</v>
      </c>
      <c r="I2579" s="3" t="s">
        <v>31</v>
      </c>
      <c r="J2579" s="3" t="s">
        <v>99</v>
      </c>
      <c r="K2579" s="3" t="s">
        <v>43</v>
      </c>
      <c r="L2579" s="3" t="s">
        <v>44</v>
      </c>
      <c r="M2579" s="4">
        <v>8.5</v>
      </c>
    </row>
    <row r="2580">
      <c r="A2580" s="2">
        <v>45712</v>
      </c>
      <c r="B25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0" s="3" t="str">
        <f>YEAR(KMART_DATA[[#This Row],[Date]])&amp;"-"&amp;TEXT(MONTH(KMART_DATA[[#This Row],[Date]]),"00")</f>
        <v>2025-02</v>
      </c>
      <c r="D2580" s="3" t="s">
        <v>28</v>
      </c>
      <c r="E2580" s="3" t="s">
        <v>201</v>
      </c>
      <c r="F2580" s="3" t="s">
        <v>10</v>
      </c>
      <c r="G25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80" s="3" t="s">
        <v>202</v>
      </c>
      <c r="I2580" s="3" t="s">
        <v>31</v>
      </c>
      <c r="J2580" s="3" t="s">
        <v>89</v>
      </c>
      <c r="K2580" s="3" t="s">
        <v>38</v>
      </c>
      <c r="L2580" s="3" t="s">
        <v>39</v>
      </c>
      <c r="M2580" s="4">
        <v>62.15</v>
      </c>
    </row>
    <row r="2581">
      <c r="A2581" s="2">
        <v>45712</v>
      </c>
      <c r="B25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1" s="3" t="str">
        <f>YEAR(KMART_DATA[[#This Row],[Date]])&amp;"-"&amp;TEXT(MONTH(KMART_DATA[[#This Row],[Date]]),"00")</f>
        <v>2025-02</v>
      </c>
      <c r="D2581" s="3" t="s">
        <v>45</v>
      </c>
      <c r="E2581" s="3" t="s">
        <v>108</v>
      </c>
      <c r="F2581" s="3" t="s">
        <v>9</v>
      </c>
      <c r="G25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81" s="3" t="s">
        <v>109</v>
      </c>
      <c r="I2581" s="3" t="s">
        <v>31</v>
      </c>
      <c r="J2581" s="3" t="s">
        <v>75</v>
      </c>
      <c r="K2581" s="3" t="s">
        <v>38</v>
      </c>
      <c r="L2581" s="3" t="s">
        <v>39</v>
      </c>
      <c r="M2581" s="4">
        <v>105.47</v>
      </c>
    </row>
    <row r="2582">
      <c r="A2582" s="2">
        <v>45712</v>
      </c>
      <c r="B25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2" s="3" t="str">
        <f>YEAR(KMART_DATA[[#This Row],[Date]])&amp;"-"&amp;TEXT(MONTH(KMART_DATA[[#This Row],[Date]]),"00")</f>
        <v>2025-02</v>
      </c>
      <c r="D2582" s="3" t="s">
        <v>28</v>
      </c>
      <c r="E2582" s="3" t="s">
        <v>154</v>
      </c>
      <c r="F2582" s="3" t="s">
        <v>11</v>
      </c>
      <c r="G25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82" s="3" t="s">
        <v>155</v>
      </c>
      <c r="I2582" s="3" t="s">
        <v>31</v>
      </c>
      <c r="J2582" s="3" t="s">
        <v>84</v>
      </c>
      <c r="K2582" s="3" t="s">
        <v>43</v>
      </c>
      <c r="L2582" s="3" t="s">
        <v>44</v>
      </c>
      <c r="M2582" s="4">
        <v>348.15</v>
      </c>
    </row>
    <row r="2583">
      <c r="A2583" s="2">
        <v>45712</v>
      </c>
      <c r="B25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3" s="3" t="str">
        <f>YEAR(KMART_DATA[[#This Row],[Date]])&amp;"-"&amp;TEXT(MONTH(KMART_DATA[[#This Row],[Date]]),"00")</f>
        <v>2025-02</v>
      </c>
      <c r="D2583" s="3" t="s">
        <v>45</v>
      </c>
      <c r="E2583" s="3" t="s">
        <v>262</v>
      </c>
      <c r="F2583" s="3" t="s">
        <v>10</v>
      </c>
      <c r="G25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83" s="3" t="s">
        <v>263</v>
      </c>
      <c r="I2583" s="3" t="s">
        <v>31</v>
      </c>
      <c r="J2583" s="3" t="s">
        <v>120</v>
      </c>
      <c r="K2583" s="3" t="s">
        <v>43</v>
      </c>
      <c r="L2583" s="3" t="s">
        <v>44</v>
      </c>
      <c r="M2583" s="4">
        <v>940.21</v>
      </c>
    </row>
    <row r="2584">
      <c r="A2584" s="2">
        <v>45712</v>
      </c>
      <c r="B25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4" s="3" t="str">
        <f>YEAR(KMART_DATA[[#This Row],[Date]])&amp;"-"&amp;TEXT(MONTH(KMART_DATA[[#This Row],[Date]]),"00")</f>
        <v>2025-02</v>
      </c>
      <c r="D2584" s="3" t="s">
        <v>45</v>
      </c>
      <c r="E2584" s="3" t="s">
        <v>262</v>
      </c>
      <c r="F2584" s="3" t="s">
        <v>10</v>
      </c>
      <c r="G25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84" s="3" t="s">
        <v>263</v>
      </c>
      <c r="I2584" s="3" t="s">
        <v>31</v>
      </c>
      <c r="J2584" s="3" t="s">
        <v>120</v>
      </c>
      <c r="K2584" s="3" t="s">
        <v>71</v>
      </c>
      <c r="L2584" s="3" t="s">
        <v>72</v>
      </c>
      <c r="M2584" s="4">
        <v>2967.76</v>
      </c>
    </row>
    <row r="2585">
      <c r="A2585" s="2">
        <v>45713</v>
      </c>
      <c r="B25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5" s="3" t="str">
        <f>YEAR(KMART_DATA[[#This Row],[Date]])&amp;"-"&amp;TEXT(MONTH(KMART_DATA[[#This Row],[Date]]),"00")</f>
        <v>2025-02</v>
      </c>
      <c r="D2585" s="3" t="s">
        <v>45</v>
      </c>
      <c r="E2585" s="3" t="s">
        <v>121</v>
      </c>
      <c r="F2585" s="3" t="s">
        <v>11</v>
      </c>
      <c r="G25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85" s="3" t="s">
        <v>122</v>
      </c>
      <c r="I2585" s="3" t="s">
        <v>31</v>
      </c>
      <c r="J2585" s="3" t="s">
        <v>84</v>
      </c>
      <c r="K2585" s="3" t="s">
        <v>123</v>
      </c>
      <c r="L2585" s="3" t="s">
        <v>124</v>
      </c>
      <c r="M2585" s="4">
        <v>47.97</v>
      </c>
    </row>
    <row r="2586">
      <c r="A2586" s="2">
        <v>45713</v>
      </c>
      <c r="B25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6" s="3" t="str">
        <f>YEAR(KMART_DATA[[#This Row],[Date]])&amp;"-"&amp;TEXT(MONTH(KMART_DATA[[#This Row],[Date]]),"00")</f>
        <v>2025-02</v>
      </c>
      <c r="D2586" s="3" t="s">
        <v>28</v>
      </c>
      <c r="E2586" s="3" t="s">
        <v>240</v>
      </c>
      <c r="F2586" s="3" t="s">
        <v>15</v>
      </c>
      <c r="G25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586" s="3" t="s">
        <v>241</v>
      </c>
      <c r="I2586" s="3" t="s">
        <v>31</v>
      </c>
      <c r="J2586" s="3" t="s">
        <v>53</v>
      </c>
      <c r="K2586" s="3" t="s">
        <v>38</v>
      </c>
      <c r="L2586" s="3" t="s">
        <v>39</v>
      </c>
      <c r="M2586" s="4">
        <v>80.95</v>
      </c>
    </row>
    <row r="2587">
      <c r="A2587" s="2">
        <v>45713</v>
      </c>
      <c r="B25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7" s="3" t="str">
        <f>YEAR(KMART_DATA[[#This Row],[Date]])&amp;"-"&amp;TEXT(MONTH(KMART_DATA[[#This Row],[Date]]),"00")</f>
        <v>2025-02</v>
      </c>
      <c r="D2587" s="3" t="s">
        <v>45</v>
      </c>
      <c r="E2587" s="3" t="s">
        <v>79</v>
      </c>
      <c r="F2587" s="3" t="s">
        <v>9</v>
      </c>
      <c r="G25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87" s="3" t="s">
        <v>80</v>
      </c>
      <c r="I2587" s="3" t="s">
        <v>31</v>
      </c>
      <c r="J2587" s="3" t="s">
        <v>81</v>
      </c>
      <c r="K2587" s="3" t="s">
        <v>46</v>
      </c>
      <c r="L2587" s="3" t="s">
        <v>47</v>
      </c>
      <c r="M2587" s="4">
        <v>123.91</v>
      </c>
    </row>
    <row r="2588">
      <c r="A2588" s="2">
        <v>45713</v>
      </c>
      <c r="B25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8" s="3" t="str">
        <f>YEAR(KMART_DATA[[#This Row],[Date]])&amp;"-"&amp;TEXT(MONTH(KMART_DATA[[#This Row],[Date]]),"00")</f>
        <v>2025-02</v>
      </c>
      <c r="D2588" s="3" t="s">
        <v>45</v>
      </c>
      <c r="E2588" s="3" t="s">
        <v>246</v>
      </c>
      <c r="F2588" s="3" t="s">
        <v>10</v>
      </c>
      <c r="G25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88" s="3" t="s">
        <v>247</v>
      </c>
      <c r="I2588" s="3" t="s">
        <v>31</v>
      </c>
      <c r="J2588" s="3" t="s">
        <v>37</v>
      </c>
      <c r="K2588" s="3" t="s">
        <v>43</v>
      </c>
      <c r="L2588" s="3" t="s">
        <v>44</v>
      </c>
      <c r="M2588" s="4">
        <v>171.16</v>
      </c>
    </row>
    <row r="2589">
      <c r="A2589" s="2">
        <v>45713</v>
      </c>
      <c r="B25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89" s="3" t="str">
        <f>YEAR(KMART_DATA[[#This Row],[Date]])&amp;"-"&amp;TEXT(MONTH(KMART_DATA[[#This Row],[Date]]),"00")</f>
        <v>2025-02</v>
      </c>
      <c r="D2589" s="3" t="s">
        <v>28</v>
      </c>
      <c r="E2589" s="3" t="s">
        <v>173</v>
      </c>
      <c r="F2589" s="3" t="s">
        <v>11</v>
      </c>
      <c r="G25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89" s="3" t="s">
        <v>174</v>
      </c>
      <c r="I2589" s="3" t="s">
        <v>31</v>
      </c>
      <c r="J2589" s="3" t="s">
        <v>61</v>
      </c>
      <c r="K2589" s="3" t="s">
        <v>57</v>
      </c>
      <c r="L2589" s="3" t="s">
        <v>58</v>
      </c>
      <c r="M2589" s="4">
        <v>1610.69</v>
      </c>
    </row>
    <row r="2590">
      <c r="A2590" s="2">
        <v>45713</v>
      </c>
      <c r="B25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0" s="3" t="str">
        <f>YEAR(KMART_DATA[[#This Row],[Date]])&amp;"-"&amp;TEXT(MONTH(KMART_DATA[[#This Row],[Date]]),"00")</f>
        <v>2025-02</v>
      </c>
      <c r="D2590" s="3" t="s">
        <v>28</v>
      </c>
      <c r="E2590" s="3" t="s">
        <v>225</v>
      </c>
      <c r="F2590" s="3" t="s">
        <v>13</v>
      </c>
      <c r="G25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90" s="3" t="s">
        <v>226</v>
      </c>
      <c r="I2590" s="3" t="s">
        <v>31</v>
      </c>
      <c r="J2590" s="3" t="s">
        <v>227</v>
      </c>
      <c r="K2590" s="3" t="s">
        <v>71</v>
      </c>
      <c r="L2590" s="3" t="s">
        <v>72</v>
      </c>
      <c r="M2590" s="4">
        <v>2257.4</v>
      </c>
    </row>
    <row r="2591">
      <c r="A2591" s="2">
        <v>45714</v>
      </c>
      <c r="B25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1" s="3" t="str">
        <f>YEAR(KMART_DATA[[#This Row],[Date]])&amp;"-"&amp;TEXT(MONTH(KMART_DATA[[#This Row],[Date]]),"00")</f>
        <v>2025-02</v>
      </c>
      <c r="D2591" s="3" t="s">
        <v>45</v>
      </c>
      <c r="E2591" s="3" t="s">
        <v>246</v>
      </c>
      <c r="F2591" s="3" t="s">
        <v>10</v>
      </c>
      <c r="G25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91" s="3" t="s">
        <v>247</v>
      </c>
      <c r="I2591" s="3" t="s">
        <v>31</v>
      </c>
      <c r="J2591" s="3" t="s">
        <v>37</v>
      </c>
      <c r="K2591" s="3" t="s">
        <v>57</v>
      </c>
      <c r="L2591" s="3" t="s">
        <v>58</v>
      </c>
      <c r="M2591" s="4">
        <v>9.99</v>
      </c>
    </row>
    <row r="2592">
      <c r="A2592" s="2">
        <v>45714</v>
      </c>
      <c r="B25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2" s="3" t="str">
        <f>YEAR(KMART_DATA[[#This Row],[Date]])&amp;"-"&amp;TEXT(MONTH(KMART_DATA[[#This Row],[Date]]),"00")</f>
        <v>2025-02</v>
      </c>
      <c r="D2592" s="3" t="s">
        <v>45</v>
      </c>
      <c r="E2592" s="3" t="s">
        <v>48</v>
      </c>
      <c r="F2592" s="3" t="s">
        <v>12</v>
      </c>
      <c r="G25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592" s="3" t="s">
        <v>49</v>
      </c>
      <c r="I2592" s="3" t="s">
        <v>31</v>
      </c>
      <c r="J2592" s="3" t="s">
        <v>50</v>
      </c>
      <c r="K2592" s="3" t="s">
        <v>38</v>
      </c>
      <c r="L2592" s="3" t="s">
        <v>39</v>
      </c>
      <c r="M2592" s="4">
        <v>19.98</v>
      </c>
    </row>
    <row r="2593">
      <c r="A2593" s="2">
        <v>45714</v>
      </c>
      <c r="B25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3" s="3" t="str">
        <f>YEAR(KMART_DATA[[#This Row],[Date]])&amp;"-"&amp;TEXT(MONTH(KMART_DATA[[#This Row],[Date]]),"00")</f>
        <v>2025-02</v>
      </c>
      <c r="D2593" s="3" t="s">
        <v>28</v>
      </c>
      <c r="E2593" s="3" t="s">
        <v>217</v>
      </c>
      <c r="F2593" s="3" t="s">
        <v>10</v>
      </c>
      <c r="G25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93" s="3" t="s">
        <v>218</v>
      </c>
      <c r="I2593" s="3" t="s">
        <v>31</v>
      </c>
      <c r="J2593" s="3" t="s">
        <v>89</v>
      </c>
      <c r="K2593" s="3" t="s">
        <v>112</v>
      </c>
      <c r="L2593" s="3" t="s">
        <v>113</v>
      </c>
      <c r="M2593" s="4">
        <v>24.95</v>
      </c>
    </row>
    <row r="2594">
      <c r="A2594" s="2">
        <v>45714</v>
      </c>
      <c r="B25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4" s="3" t="str">
        <f>YEAR(KMART_DATA[[#This Row],[Date]])&amp;"-"&amp;TEXT(MONTH(KMART_DATA[[#This Row],[Date]]),"00")</f>
        <v>2025-02</v>
      </c>
      <c r="D2594" s="3" t="s">
        <v>28</v>
      </c>
      <c r="E2594" s="3" t="s">
        <v>199</v>
      </c>
      <c r="F2594" s="3" t="s">
        <v>13</v>
      </c>
      <c r="G25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94" s="3" t="s">
        <v>200</v>
      </c>
      <c r="I2594" s="3" t="s">
        <v>31</v>
      </c>
      <c r="J2594" s="3" t="s">
        <v>42</v>
      </c>
      <c r="K2594" s="3" t="s">
        <v>112</v>
      </c>
      <c r="L2594" s="3" t="s">
        <v>113</v>
      </c>
      <c r="M2594" s="4">
        <v>54.92</v>
      </c>
    </row>
    <row r="2595">
      <c r="A2595" s="2">
        <v>45714</v>
      </c>
      <c r="B25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5" s="3" t="str">
        <f>YEAR(KMART_DATA[[#This Row],[Date]])&amp;"-"&amp;TEXT(MONTH(KMART_DATA[[#This Row],[Date]]),"00")</f>
        <v>2025-02</v>
      </c>
      <c r="D2595" s="3" t="s">
        <v>28</v>
      </c>
      <c r="E2595" s="3" t="s">
        <v>219</v>
      </c>
      <c r="F2595" s="3" t="s">
        <v>11</v>
      </c>
      <c r="G25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595" s="3" t="s">
        <v>220</v>
      </c>
      <c r="I2595" s="3" t="s">
        <v>31</v>
      </c>
      <c r="J2595" s="3" t="s">
        <v>56</v>
      </c>
      <c r="K2595" s="3" t="s">
        <v>43</v>
      </c>
      <c r="L2595" s="3" t="s">
        <v>44</v>
      </c>
      <c r="M2595" s="4">
        <v>462.24</v>
      </c>
    </row>
    <row r="2596">
      <c r="A2596" s="2">
        <v>45715</v>
      </c>
      <c r="B25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6" s="3" t="str">
        <f>YEAR(KMART_DATA[[#This Row],[Date]])&amp;"-"&amp;TEXT(MONTH(KMART_DATA[[#This Row],[Date]]),"00")</f>
        <v>2025-02</v>
      </c>
      <c r="D2596" s="3" t="s">
        <v>28</v>
      </c>
      <c r="E2596" s="3" t="s">
        <v>183</v>
      </c>
      <c r="F2596" s="3" t="s">
        <v>9</v>
      </c>
      <c r="G25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596" s="3" t="s">
        <v>184</v>
      </c>
      <c r="I2596" s="3" t="s">
        <v>31</v>
      </c>
      <c r="J2596" s="3" t="s">
        <v>70</v>
      </c>
      <c r="K2596" s="3" t="s">
        <v>123</v>
      </c>
      <c r="L2596" s="3" t="s">
        <v>124</v>
      </c>
      <c r="M2596" s="4">
        <v>2.98</v>
      </c>
    </row>
    <row r="2597">
      <c r="A2597" s="2">
        <v>45715</v>
      </c>
      <c r="B25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7" s="3" t="str">
        <f>YEAR(KMART_DATA[[#This Row],[Date]])&amp;"-"&amp;TEXT(MONTH(KMART_DATA[[#This Row],[Date]]),"00")</f>
        <v>2025-02</v>
      </c>
      <c r="D2597" s="3" t="s">
        <v>28</v>
      </c>
      <c r="E2597" s="3" t="s">
        <v>250</v>
      </c>
      <c r="F2597" s="3" t="s">
        <v>10</v>
      </c>
      <c r="G25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597" s="3" t="s">
        <v>251</v>
      </c>
      <c r="I2597" s="3" t="s">
        <v>31</v>
      </c>
      <c r="J2597" s="3" t="s">
        <v>37</v>
      </c>
      <c r="K2597" s="3" t="s">
        <v>112</v>
      </c>
      <c r="L2597" s="3" t="s">
        <v>113</v>
      </c>
      <c r="M2597" s="4">
        <v>11.97</v>
      </c>
    </row>
    <row r="2598">
      <c r="A2598" s="2">
        <v>45715</v>
      </c>
      <c r="B25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8" s="3" t="str">
        <f>YEAR(KMART_DATA[[#This Row],[Date]])&amp;"-"&amp;TEXT(MONTH(KMART_DATA[[#This Row],[Date]]),"00")</f>
        <v>2025-02</v>
      </c>
      <c r="D2598" s="3" t="s">
        <v>28</v>
      </c>
      <c r="E2598" s="3" t="s">
        <v>264</v>
      </c>
      <c r="F2598" s="3" t="s">
        <v>13</v>
      </c>
      <c r="G25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598" s="3" t="s">
        <v>265</v>
      </c>
      <c r="I2598" s="3" t="s">
        <v>31</v>
      </c>
      <c r="J2598" s="3" t="s">
        <v>42</v>
      </c>
      <c r="K2598" s="3" t="s">
        <v>38</v>
      </c>
      <c r="L2598" s="3" t="s">
        <v>39</v>
      </c>
      <c r="M2598" s="4">
        <v>15.98</v>
      </c>
    </row>
    <row r="2599">
      <c r="A2599" s="2">
        <v>45715</v>
      </c>
      <c r="B25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599" s="3" t="str">
        <f>YEAR(KMART_DATA[[#This Row],[Date]])&amp;"-"&amp;TEXT(MONTH(KMART_DATA[[#This Row],[Date]]),"00")</f>
        <v>2025-02</v>
      </c>
      <c r="D2599" s="3" t="s">
        <v>28</v>
      </c>
      <c r="E2599" s="3" t="s">
        <v>143</v>
      </c>
      <c r="F2599" s="3" t="s">
        <v>14</v>
      </c>
      <c r="G25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599" s="3" t="s">
        <v>144</v>
      </c>
      <c r="I2599" s="3" t="s">
        <v>31</v>
      </c>
      <c r="J2599" s="3" t="s">
        <v>145</v>
      </c>
      <c r="K2599" s="3" t="s">
        <v>95</v>
      </c>
      <c r="L2599" s="3" t="s">
        <v>96</v>
      </c>
      <c r="M2599" s="4">
        <v>36.08</v>
      </c>
    </row>
    <row r="2600">
      <c r="A2600" s="2">
        <v>45715</v>
      </c>
      <c r="B26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0" s="3" t="str">
        <f>YEAR(KMART_DATA[[#This Row],[Date]])&amp;"-"&amp;TEXT(MONTH(KMART_DATA[[#This Row],[Date]]),"00")</f>
        <v>2025-02</v>
      </c>
      <c r="D2600" s="3" t="s">
        <v>45</v>
      </c>
      <c r="E2600" s="3" t="s">
        <v>185</v>
      </c>
      <c r="F2600" s="3" t="s">
        <v>12</v>
      </c>
      <c r="G26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00" s="3" t="s">
        <v>186</v>
      </c>
      <c r="I2600" s="3" t="s">
        <v>31</v>
      </c>
      <c r="J2600" s="3" t="s">
        <v>162</v>
      </c>
      <c r="K2600" s="3" t="s">
        <v>43</v>
      </c>
      <c r="L2600" s="3" t="s">
        <v>44</v>
      </c>
      <c r="M2600" s="4">
        <v>43.96</v>
      </c>
    </row>
    <row r="2601">
      <c r="A2601" s="2">
        <v>45715</v>
      </c>
      <c r="B26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1" s="3" t="str">
        <f>YEAR(KMART_DATA[[#This Row],[Date]])&amp;"-"&amp;TEXT(MONTH(KMART_DATA[[#This Row],[Date]]),"00")</f>
        <v>2025-02</v>
      </c>
      <c r="D2601" s="3" t="s">
        <v>45</v>
      </c>
      <c r="E2601" s="3" t="s">
        <v>207</v>
      </c>
      <c r="F2601" s="3" t="s">
        <v>11</v>
      </c>
      <c r="G26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01" s="3" t="s">
        <v>208</v>
      </c>
      <c r="I2601" s="3" t="s">
        <v>31</v>
      </c>
      <c r="J2601" s="3" t="s">
        <v>78</v>
      </c>
      <c r="K2601" s="3" t="s">
        <v>123</v>
      </c>
      <c r="L2601" s="3" t="s">
        <v>124</v>
      </c>
      <c r="M2601" s="4">
        <v>90.95</v>
      </c>
    </row>
    <row r="2602">
      <c r="A2602" s="2">
        <v>45715</v>
      </c>
      <c r="B26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2" s="3" t="str">
        <f>YEAR(KMART_DATA[[#This Row],[Date]])&amp;"-"&amp;TEXT(MONTH(KMART_DATA[[#This Row],[Date]]),"00")</f>
        <v>2025-02</v>
      </c>
      <c r="D2602" s="3" t="s">
        <v>28</v>
      </c>
      <c r="E2602" s="3" t="s">
        <v>256</v>
      </c>
      <c r="F2602" s="3" t="s">
        <v>9</v>
      </c>
      <c r="G26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02" s="3" t="s">
        <v>257</v>
      </c>
      <c r="I2602" s="3" t="s">
        <v>31</v>
      </c>
      <c r="J2602" s="3" t="s">
        <v>70</v>
      </c>
      <c r="K2602" s="3" t="s">
        <v>66</v>
      </c>
      <c r="L2602" s="3" t="s">
        <v>67</v>
      </c>
      <c r="M2602" s="4">
        <v>100.38</v>
      </c>
    </row>
    <row r="2603">
      <c r="A2603" s="2">
        <v>45715</v>
      </c>
      <c r="B26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3" s="3" t="str">
        <f>YEAR(KMART_DATA[[#This Row],[Date]])&amp;"-"&amp;TEXT(MONTH(KMART_DATA[[#This Row],[Date]]),"00")</f>
        <v>2025-02</v>
      </c>
      <c r="D2603" s="3" t="s">
        <v>28</v>
      </c>
      <c r="E2603" s="3" t="s">
        <v>264</v>
      </c>
      <c r="F2603" s="3" t="s">
        <v>13</v>
      </c>
      <c r="G26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603" s="3" t="s">
        <v>265</v>
      </c>
      <c r="I2603" s="3" t="s">
        <v>31</v>
      </c>
      <c r="J2603" s="3" t="s">
        <v>42</v>
      </c>
      <c r="K2603" s="3" t="s">
        <v>43</v>
      </c>
      <c r="L2603" s="3" t="s">
        <v>44</v>
      </c>
      <c r="M2603" s="4">
        <v>231.76</v>
      </c>
    </row>
    <row r="2604">
      <c r="A2604" s="2">
        <v>45715</v>
      </c>
      <c r="B26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4" s="3" t="str">
        <f>YEAR(KMART_DATA[[#This Row],[Date]])&amp;"-"&amp;TEXT(MONTH(KMART_DATA[[#This Row],[Date]]),"00")</f>
        <v>2025-02</v>
      </c>
      <c r="D2604" s="3" t="s">
        <v>45</v>
      </c>
      <c r="E2604" s="3" t="s">
        <v>127</v>
      </c>
      <c r="F2604" s="3" t="s">
        <v>11</v>
      </c>
      <c r="G26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04" s="3" t="s">
        <v>128</v>
      </c>
      <c r="I2604" s="3" t="s">
        <v>31</v>
      </c>
      <c r="J2604" s="3" t="s">
        <v>78</v>
      </c>
      <c r="K2604" s="3" t="s">
        <v>112</v>
      </c>
      <c r="L2604" s="3" t="s">
        <v>113</v>
      </c>
      <c r="M2604" s="4">
        <v>346.88</v>
      </c>
    </row>
    <row r="2605">
      <c r="A2605" s="2">
        <v>45715</v>
      </c>
      <c r="B26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5" s="3" t="str">
        <f>YEAR(KMART_DATA[[#This Row],[Date]])&amp;"-"&amp;TEXT(MONTH(KMART_DATA[[#This Row],[Date]]),"00")</f>
        <v>2025-02</v>
      </c>
      <c r="D2605" s="3" t="s">
        <v>28</v>
      </c>
      <c r="E2605" s="3" t="s">
        <v>156</v>
      </c>
      <c r="F2605" s="3" t="s">
        <v>9</v>
      </c>
      <c r="G26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05" s="3" t="s">
        <v>157</v>
      </c>
      <c r="I2605" s="3" t="s">
        <v>31</v>
      </c>
      <c r="J2605" s="3" t="s">
        <v>75</v>
      </c>
      <c r="K2605" s="3" t="s">
        <v>66</v>
      </c>
      <c r="L2605" s="3" t="s">
        <v>67</v>
      </c>
      <c r="M2605" s="4">
        <v>1115.45</v>
      </c>
    </row>
    <row r="2606">
      <c r="A2606" s="2">
        <v>45716</v>
      </c>
      <c r="B26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6" s="3" t="str">
        <f>YEAR(KMART_DATA[[#This Row],[Date]])&amp;"-"&amp;TEXT(MONTH(KMART_DATA[[#This Row],[Date]]),"00")</f>
        <v>2025-02</v>
      </c>
      <c r="D2606" s="3" t="s">
        <v>45</v>
      </c>
      <c r="E2606" s="3" t="s">
        <v>183</v>
      </c>
      <c r="F2606" s="3" t="s">
        <v>9</v>
      </c>
      <c r="G26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06" s="3" t="s">
        <v>184</v>
      </c>
      <c r="I2606" s="3" t="s">
        <v>31</v>
      </c>
      <c r="J2606" s="3" t="s">
        <v>70</v>
      </c>
      <c r="K2606" s="3" t="s">
        <v>71</v>
      </c>
      <c r="L2606" s="3" t="s">
        <v>72</v>
      </c>
      <c r="M2606" s="4">
        <v>23.94</v>
      </c>
    </row>
    <row r="2607">
      <c r="A2607" s="2">
        <v>45716</v>
      </c>
      <c r="B26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7" s="3" t="str">
        <f>YEAR(KMART_DATA[[#This Row],[Date]])&amp;"-"&amp;TEXT(MONTH(KMART_DATA[[#This Row],[Date]]),"00")</f>
        <v>2025-02</v>
      </c>
      <c r="D2607" s="3" t="s">
        <v>28</v>
      </c>
      <c r="E2607" s="3" t="s">
        <v>197</v>
      </c>
      <c r="F2607" s="3" t="s">
        <v>9</v>
      </c>
      <c r="G26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07" s="3" t="s">
        <v>198</v>
      </c>
      <c r="I2607" s="3" t="s">
        <v>31</v>
      </c>
      <c r="J2607" s="3" t="s">
        <v>107</v>
      </c>
      <c r="K2607" s="3" t="s">
        <v>112</v>
      </c>
      <c r="L2607" s="3" t="s">
        <v>113</v>
      </c>
      <c r="M2607" s="4">
        <v>83.18</v>
      </c>
    </row>
    <row r="2608">
      <c r="A2608" s="2">
        <v>45716</v>
      </c>
      <c r="B26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8" s="3" t="str">
        <f>YEAR(KMART_DATA[[#This Row],[Date]])&amp;"-"&amp;TEXT(MONTH(KMART_DATA[[#This Row],[Date]]),"00")</f>
        <v>2025-02</v>
      </c>
      <c r="D2608" s="3" t="s">
        <v>28</v>
      </c>
      <c r="E2608" s="3" t="s">
        <v>181</v>
      </c>
      <c r="F2608" s="3" t="s">
        <v>11</v>
      </c>
      <c r="G26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08" s="3" t="s">
        <v>182</v>
      </c>
      <c r="I2608" s="3" t="s">
        <v>31</v>
      </c>
      <c r="J2608" s="3" t="s">
        <v>56</v>
      </c>
      <c r="K2608" s="3" t="s">
        <v>112</v>
      </c>
      <c r="L2608" s="3" t="s">
        <v>113</v>
      </c>
      <c r="M2608" s="4">
        <v>345.52</v>
      </c>
    </row>
    <row r="2609">
      <c r="A2609" s="2">
        <v>45716</v>
      </c>
      <c r="B26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09" s="3" t="str">
        <f>YEAR(KMART_DATA[[#This Row],[Date]])&amp;"-"&amp;TEXT(MONTH(KMART_DATA[[#This Row],[Date]]),"00")</f>
        <v>2025-02</v>
      </c>
      <c r="D2609" s="3" t="s">
        <v>28</v>
      </c>
      <c r="E2609" s="3" t="s">
        <v>181</v>
      </c>
      <c r="F2609" s="3" t="s">
        <v>11</v>
      </c>
      <c r="G26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09" s="3" t="s">
        <v>182</v>
      </c>
      <c r="I2609" s="3" t="s">
        <v>31</v>
      </c>
      <c r="J2609" s="3" t="s">
        <v>56</v>
      </c>
      <c r="K2609" s="3" t="s">
        <v>33</v>
      </c>
      <c r="L2609" s="3" t="s">
        <v>34</v>
      </c>
      <c r="M2609" s="4">
        <v>503.37</v>
      </c>
    </row>
    <row r="2610">
      <c r="A2610" s="2">
        <v>45716</v>
      </c>
      <c r="B26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0" s="3" t="str">
        <f>YEAR(KMART_DATA[[#This Row],[Date]])&amp;"-"&amp;TEXT(MONTH(KMART_DATA[[#This Row],[Date]]),"00")</f>
        <v>2025-02</v>
      </c>
      <c r="D2610" s="3" t="s">
        <v>28</v>
      </c>
      <c r="E2610" s="3" t="s">
        <v>199</v>
      </c>
      <c r="F2610" s="3" t="s">
        <v>13</v>
      </c>
      <c r="G26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610" s="3" t="s">
        <v>200</v>
      </c>
      <c r="I2610" s="3" t="s">
        <v>31</v>
      </c>
      <c r="J2610" s="3" t="s">
        <v>42</v>
      </c>
      <c r="K2610" s="3" t="s">
        <v>95</v>
      </c>
      <c r="L2610" s="3" t="s">
        <v>96</v>
      </c>
      <c r="M2610" s="4">
        <v>634.0</v>
      </c>
    </row>
    <row r="2611">
      <c r="A2611" s="2">
        <v>45716</v>
      </c>
      <c r="B26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1" s="3" t="str">
        <f>YEAR(KMART_DATA[[#This Row],[Date]])&amp;"-"&amp;TEXT(MONTH(KMART_DATA[[#This Row],[Date]]),"00")</f>
        <v>2025-02</v>
      </c>
      <c r="D2611" s="3" t="s">
        <v>28</v>
      </c>
      <c r="E2611" s="3" t="s">
        <v>250</v>
      </c>
      <c r="F2611" s="3" t="s">
        <v>10</v>
      </c>
      <c r="G26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11" s="3" t="s">
        <v>251</v>
      </c>
      <c r="I2611" s="3" t="s">
        <v>31</v>
      </c>
      <c r="J2611" s="3" t="s">
        <v>37</v>
      </c>
      <c r="K2611" s="3" t="s">
        <v>95</v>
      </c>
      <c r="L2611" s="3" t="s">
        <v>96</v>
      </c>
      <c r="M2611" s="4">
        <v>848.59</v>
      </c>
    </row>
    <row r="2612">
      <c r="A2612" s="2">
        <v>45716</v>
      </c>
      <c r="B26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2" s="3" t="str">
        <f>YEAR(KMART_DATA[[#This Row],[Date]])&amp;"-"&amp;TEXT(MONTH(KMART_DATA[[#This Row],[Date]]),"00")</f>
        <v>2025-02</v>
      </c>
      <c r="D2612" s="3" t="s">
        <v>28</v>
      </c>
      <c r="E2612" s="3" t="s">
        <v>51</v>
      </c>
      <c r="F2612" s="3" t="s">
        <v>15</v>
      </c>
      <c r="G26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612" s="3" t="s">
        <v>52</v>
      </c>
      <c r="I2612" s="3" t="s">
        <v>31</v>
      </c>
      <c r="J2612" s="3" t="s">
        <v>53</v>
      </c>
      <c r="K2612" s="3" t="s">
        <v>71</v>
      </c>
      <c r="L2612" s="3" t="s">
        <v>72</v>
      </c>
      <c r="M2612" s="4">
        <v>1140.44</v>
      </c>
    </row>
    <row r="2613">
      <c r="A2613" s="2">
        <v>45716</v>
      </c>
      <c r="B26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3" s="3" t="str">
        <f>YEAR(KMART_DATA[[#This Row],[Date]])&amp;"-"&amp;TEXT(MONTH(KMART_DATA[[#This Row],[Date]]),"00")</f>
        <v>2025-02</v>
      </c>
      <c r="D2613" s="3" t="s">
        <v>28</v>
      </c>
      <c r="E2613" s="3" t="s">
        <v>62</v>
      </c>
      <c r="F2613" s="3" t="s">
        <v>12</v>
      </c>
      <c r="G26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13" s="3" t="s">
        <v>63</v>
      </c>
      <c r="I2613" s="3" t="s">
        <v>31</v>
      </c>
      <c r="J2613" s="3" t="s">
        <v>50</v>
      </c>
      <c r="K2613" s="3" t="s">
        <v>46</v>
      </c>
      <c r="L2613" s="3" t="s">
        <v>47</v>
      </c>
      <c r="M2613" s="4">
        <v>5620.15</v>
      </c>
    </row>
    <row r="2614">
      <c r="A2614" s="2">
        <v>45717</v>
      </c>
      <c r="B26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4" s="3" t="str">
        <f>YEAR(KMART_DATA[[#This Row],[Date]])&amp;"-"&amp;TEXT(MONTH(KMART_DATA[[#This Row],[Date]]),"00")</f>
        <v>2025-03</v>
      </c>
      <c r="D2614" s="3" t="s">
        <v>45</v>
      </c>
      <c r="E2614" s="3" t="s">
        <v>108</v>
      </c>
      <c r="F2614" s="3" t="s">
        <v>9</v>
      </c>
      <c r="G26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14" s="3" t="s">
        <v>109</v>
      </c>
      <c r="I2614" s="3" t="s">
        <v>31</v>
      </c>
      <c r="J2614" s="3" t="s">
        <v>75</v>
      </c>
      <c r="K2614" s="3" t="s">
        <v>33</v>
      </c>
      <c r="L2614" s="3" t="s">
        <v>34</v>
      </c>
      <c r="M2614" s="4">
        <v>10.78</v>
      </c>
    </row>
    <row r="2615">
      <c r="A2615" s="2">
        <v>45717</v>
      </c>
      <c r="B26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5" s="3" t="str">
        <f>YEAR(KMART_DATA[[#This Row],[Date]])&amp;"-"&amp;TEXT(MONTH(KMART_DATA[[#This Row],[Date]]),"00")</f>
        <v>2025-03</v>
      </c>
      <c r="D2615" s="3" t="s">
        <v>28</v>
      </c>
      <c r="E2615" s="3" t="s">
        <v>100</v>
      </c>
      <c r="F2615" s="3" t="s">
        <v>12</v>
      </c>
      <c r="G26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15" s="3" t="s">
        <v>101</v>
      </c>
      <c r="I2615" s="3" t="s">
        <v>31</v>
      </c>
      <c r="J2615" s="3" t="s">
        <v>102</v>
      </c>
      <c r="K2615" s="3" t="s">
        <v>43</v>
      </c>
      <c r="L2615" s="3" t="s">
        <v>44</v>
      </c>
      <c r="M2615" s="4">
        <v>119.91</v>
      </c>
    </row>
    <row r="2616">
      <c r="A2616" s="2">
        <v>45717</v>
      </c>
      <c r="B26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6" s="3" t="str">
        <f>YEAR(KMART_DATA[[#This Row],[Date]])&amp;"-"&amp;TEXT(MONTH(KMART_DATA[[#This Row],[Date]]),"00")</f>
        <v>2025-03</v>
      </c>
      <c r="D2616" s="3" t="s">
        <v>28</v>
      </c>
      <c r="E2616" s="3" t="s">
        <v>105</v>
      </c>
      <c r="F2616" s="3" t="s">
        <v>9</v>
      </c>
      <c r="G26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16" s="3" t="s">
        <v>106</v>
      </c>
      <c r="I2616" s="3" t="s">
        <v>31</v>
      </c>
      <c r="J2616" s="3" t="s">
        <v>107</v>
      </c>
      <c r="K2616" s="3" t="s">
        <v>123</v>
      </c>
      <c r="L2616" s="3" t="s">
        <v>124</v>
      </c>
      <c r="M2616" s="4">
        <v>225.73</v>
      </c>
    </row>
    <row r="2617">
      <c r="A2617" s="2">
        <v>45717</v>
      </c>
      <c r="B26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7" s="3" t="str">
        <f>YEAR(KMART_DATA[[#This Row],[Date]])&amp;"-"&amp;TEXT(MONTH(KMART_DATA[[#This Row],[Date]]),"00")</f>
        <v>2025-03</v>
      </c>
      <c r="D2617" s="3" t="s">
        <v>45</v>
      </c>
      <c r="E2617" s="3" t="s">
        <v>82</v>
      </c>
      <c r="F2617" s="3" t="s">
        <v>11</v>
      </c>
      <c r="G26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17" s="3" t="s">
        <v>83</v>
      </c>
      <c r="I2617" s="3" t="s">
        <v>31</v>
      </c>
      <c r="J2617" s="3" t="s">
        <v>84</v>
      </c>
      <c r="K2617" s="3" t="s">
        <v>33</v>
      </c>
      <c r="L2617" s="3" t="s">
        <v>34</v>
      </c>
      <c r="M2617" s="4">
        <v>2440.42</v>
      </c>
    </row>
    <row r="2618">
      <c r="A2618" s="2">
        <v>45717</v>
      </c>
      <c r="B26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8" s="3" t="str">
        <f>YEAR(KMART_DATA[[#This Row],[Date]])&amp;"-"&amp;TEXT(MONTH(KMART_DATA[[#This Row],[Date]]),"00")</f>
        <v>2025-03</v>
      </c>
      <c r="D2618" s="3" t="s">
        <v>28</v>
      </c>
      <c r="E2618" s="3" t="s">
        <v>197</v>
      </c>
      <c r="F2618" s="3" t="s">
        <v>9</v>
      </c>
      <c r="G26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18" s="3" t="s">
        <v>198</v>
      </c>
      <c r="I2618" s="3" t="s">
        <v>31</v>
      </c>
      <c r="J2618" s="3" t="s">
        <v>107</v>
      </c>
      <c r="K2618" s="3" t="s">
        <v>66</v>
      </c>
      <c r="L2618" s="3" t="s">
        <v>67</v>
      </c>
      <c r="M2618" s="4">
        <v>2485.36</v>
      </c>
    </row>
    <row r="2619">
      <c r="A2619" s="2">
        <v>45718</v>
      </c>
      <c r="B26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19" s="3" t="str">
        <f>YEAR(KMART_DATA[[#This Row],[Date]])&amp;"-"&amp;TEXT(MONTH(KMART_DATA[[#This Row],[Date]]),"00")</f>
        <v>2025-03</v>
      </c>
      <c r="D2619" s="3" t="s">
        <v>28</v>
      </c>
      <c r="E2619" s="3" t="s">
        <v>236</v>
      </c>
      <c r="F2619" s="3" t="s">
        <v>12</v>
      </c>
      <c r="G26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19" s="3" t="s">
        <v>237</v>
      </c>
      <c r="I2619" s="3" t="s">
        <v>31</v>
      </c>
      <c r="J2619" s="3" t="s">
        <v>102</v>
      </c>
      <c r="K2619" s="3" t="s">
        <v>43</v>
      </c>
      <c r="L2619" s="3" t="s">
        <v>44</v>
      </c>
      <c r="M2619" s="4">
        <v>4.5</v>
      </c>
    </row>
    <row r="2620">
      <c r="A2620" s="2">
        <v>45718</v>
      </c>
      <c r="B26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0" s="3" t="str">
        <f>YEAR(KMART_DATA[[#This Row],[Date]])&amp;"-"&amp;TEXT(MONTH(KMART_DATA[[#This Row],[Date]]),"00")</f>
        <v>2025-03</v>
      </c>
      <c r="D2620" s="3" t="s">
        <v>28</v>
      </c>
      <c r="E2620" s="3" t="s">
        <v>150</v>
      </c>
      <c r="F2620" s="3" t="s">
        <v>15</v>
      </c>
      <c r="G26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620" s="3" t="s">
        <v>151</v>
      </c>
      <c r="I2620" s="3" t="s">
        <v>31</v>
      </c>
      <c r="J2620" s="3" t="s">
        <v>53</v>
      </c>
      <c r="K2620" s="3" t="s">
        <v>112</v>
      </c>
      <c r="L2620" s="3" t="s">
        <v>113</v>
      </c>
      <c r="M2620" s="4">
        <v>260.57</v>
      </c>
    </row>
    <row r="2621">
      <c r="A2621" s="2">
        <v>45718</v>
      </c>
      <c r="B26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1" s="3" t="str">
        <f>YEAR(KMART_DATA[[#This Row],[Date]])&amp;"-"&amp;TEXT(MONTH(KMART_DATA[[#This Row],[Date]]),"00")</f>
        <v>2025-03</v>
      </c>
      <c r="D2621" s="3" t="s">
        <v>28</v>
      </c>
      <c r="E2621" s="3" t="s">
        <v>248</v>
      </c>
      <c r="F2621" s="3" t="s">
        <v>12</v>
      </c>
      <c r="G26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21" s="3" t="s">
        <v>249</v>
      </c>
      <c r="I2621" s="3" t="s">
        <v>31</v>
      </c>
      <c r="J2621" s="3" t="s">
        <v>162</v>
      </c>
      <c r="K2621" s="3" t="s">
        <v>123</v>
      </c>
      <c r="L2621" s="3" t="s">
        <v>124</v>
      </c>
      <c r="M2621" s="4">
        <v>747.3</v>
      </c>
    </row>
    <row r="2622">
      <c r="A2622" s="2">
        <v>45718</v>
      </c>
      <c r="B26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2" s="3" t="str">
        <f>YEAR(KMART_DATA[[#This Row],[Date]])&amp;"-"&amp;TEXT(MONTH(KMART_DATA[[#This Row],[Date]]),"00")</f>
        <v>2025-03</v>
      </c>
      <c r="D2622" s="3" t="s">
        <v>28</v>
      </c>
      <c r="E2622" s="3" t="s">
        <v>246</v>
      </c>
      <c r="F2622" s="3" t="s">
        <v>10</v>
      </c>
      <c r="G26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22" s="3" t="s">
        <v>247</v>
      </c>
      <c r="I2622" s="3" t="s">
        <v>31</v>
      </c>
      <c r="J2622" s="3" t="s">
        <v>37</v>
      </c>
      <c r="K2622" s="3" t="s">
        <v>71</v>
      </c>
      <c r="L2622" s="3" t="s">
        <v>72</v>
      </c>
      <c r="M2622" s="4">
        <v>1405.27</v>
      </c>
    </row>
    <row r="2623">
      <c r="A2623" s="2">
        <v>45718</v>
      </c>
      <c r="B26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3" s="3" t="str">
        <f>YEAR(KMART_DATA[[#This Row],[Date]])&amp;"-"&amp;TEXT(MONTH(KMART_DATA[[#This Row],[Date]]),"00")</f>
        <v>2025-03</v>
      </c>
      <c r="D2623" s="3" t="s">
        <v>28</v>
      </c>
      <c r="E2623" s="3" t="s">
        <v>221</v>
      </c>
      <c r="F2623" s="3" t="s">
        <v>11</v>
      </c>
      <c r="G26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23" s="3" t="s">
        <v>222</v>
      </c>
      <c r="I2623" s="3" t="s">
        <v>31</v>
      </c>
      <c r="J2623" s="3" t="s">
        <v>56</v>
      </c>
      <c r="K2623" s="3" t="s">
        <v>57</v>
      </c>
      <c r="L2623" s="3" t="s">
        <v>58</v>
      </c>
      <c r="M2623" s="4">
        <v>3625.08</v>
      </c>
    </row>
    <row r="2624">
      <c r="A2624" s="2">
        <v>45719</v>
      </c>
      <c r="B26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4" s="3" t="str">
        <f>YEAR(KMART_DATA[[#This Row],[Date]])&amp;"-"&amp;TEXT(MONTH(KMART_DATA[[#This Row],[Date]]),"00")</f>
        <v>2025-03</v>
      </c>
      <c r="D2624" s="3" t="s">
        <v>28</v>
      </c>
      <c r="E2624" s="3" t="s">
        <v>250</v>
      </c>
      <c r="F2624" s="3" t="s">
        <v>10</v>
      </c>
      <c r="G26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24" s="3" t="s">
        <v>251</v>
      </c>
      <c r="I2624" s="3" t="s">
        <v>31</v>
      </c>
      <c r="J2624" s="3" t="s">
        <v>37</v>
      </c>
      <c r="K2624" s="3" t="s">
        <v>71</v>
      </c>
      <c r="L2624" s="3" t="s">
        <v>72</v>
      </c>
      <c r="M2624" s="4">
        <v>9.98</v>
      </c>
    </row>
    <row r="2625">
      <c r="A2625" s="2">
        <v>45719</v>
      </c>
      <c r="B26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5" s="3" t="str">
        <f>YEAR(KMART_DATA[[#This Row],[Date]])&amp;"-"&amp;TEXT(MONTH(KMART_DATA[[#This Row],[Date]]),"00")</f>
        <v>2025-03</v>
      </c>
      <c r="D2625" s="3" t="s">
        <v>28</v>
      </c>
      <c r="E2625" s="3" t="s">
        <v>258</v>
      </c>
      <c r="F2625" s="3" t="s">
        <v>14</v>
      </c>
      <c r="G26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625" s="3" t="s">
        <v>259</v>
      </c>
      <c r="I2625" s="3" t="s">
        <v>31</v>
      </c>
      <c r="J2625" s="3" t="s">
        <v>145</v>
      </c>
      <c r="K2625" s="3" t="s">
        <v>38</v>
      </c>
      <c r="L2625" s="3" t="s">
        <v>39</v>
      </c>
      <c r="M2625" s="4">
        <v>13.99</v>
      </c>
    </row>
    <row r="2626">
      <c r="A2626" s="2">
        <v>45719</v>
      </c>
      <c r="B26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6" s="3" t="str">
        <f>YEAR(KMART_DATA[[#This Row],[Date]])&amp;"-"&amp;TEXT(MONTH(KMART_DATA[[#This Row],[Date]]),"00")</f>
        <v>2025-03</v>
      </c>
      <c r="D2626" s="3" t="s">
        <v>28</v>
      </c>
      <c r="E2626" s="3" t="s">
        <v>175</v>
      </c>
      <c r="F2626" s="3" t="s">
        <v>16</v>
      </c>
      <c r="G26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626" s="3" t="s">
        <v>176</v>
      </c>
      <c r="I2626" s="3" t="s">
        <v>31</v>
      </c>
      <c r="J2626" s="3" t="s">
        <v>107</v>
      </c>
      <c r="K2626" s="3" t="s">
        <v>43</v>
      </c>
      <c r="L2626" s="3" t="s">
        <v>44</v>
      </c>
      <c r="M2626" s="4">
        <v>20.59</v>
      </c>
    </row>
    <row r="2627">
      <c r="A2627" s="2">
        <v>45719</v>
      </c>
      <c r="B26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7" s="3" t="str">
        <f>YEAR(KMART_DATA[[#This Row],[Date]])&amp;"-"&amp;TEXT(MONTH(KMART_DATA[[#This Row],[Date]]),"00")</f>
        <v>2025-03</v>
      </c>
      <c r="D2627" s="3" t="s">
        <v>28</v>
      </c>
      <c r="E2627" s="3" t="s">
        <v>223</v>
      </c>
      <c r="F2627" s="3" t="s">
        <v>10</v>
      </c>
      <c r="G26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27" s="3" t="s">
        <v>224</v>
      </c>
      <c r="I2627" s="3" t="s">
        <v>31</v>
      </c>
      <c r="J2627" s="3" t="s">
        <v>94</v>
      </c>
      <c r="K2627" s="3" t="s">
        <v>71</v>
      </c>
      <c r="L2627" s="3" t="s">
        <v>72</v>
      </c>
      <c r="M2627" s="4">
        <v>35.91</v>
      </c>
    </row>
    <row r="2628">
      <c r="A2628" s="2">
        <v>45719</v>
      </c>
      <c r="B26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8" s="3" t="str">
        <f>YEAR(KMART_DATA[[#This Row],[Date]])&amp;"-"&amp;TEXT(MONTH(KMART_DATA[[#This Row],[Date]]),"00")</f>
        <v>2025-03</v>
      </c>
      <c r="D2628" s="3" t="s">
        <v>28</v>
      </c>
      <c r="E2628" s="3" t="s">
        <v>100</v>
      </c>
      <c r="F2628" s="3" t="s">
        <v>12</v>
      </c>
      <c r="G26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28" s="3" t="s">
        <v>101</v>
      </c>
      <c r="I2628" s="3" t="s">
        <v>31</v>
      </c>
      <c r="J2628" s="3" t="s">
        <v>102</v>
      </c>
      <c r="K2628" s="3" t="s">
        <v>38</v>
      </c>
      <c r="L2628" s="3" t="s">
        <v>39</v>
      </c>
      <c r="M2628" s="4">
        <v>169.19</v>
      </c>
    </row>
    <row r="2629">
      <c r="A2629" s="2">
        <v>45719</v>
      </c>
      <c r="B26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29" s="3" t="str">
        <f>YEAR(KMART_DATA[[#This Row],[Date]])&amp;"-"&amp;TEXT(MONTH(KMART_DATA[[#This Row],[Date]]),"00")</f>
        <v>2025-03</v>
      </c>
      <c r="D2629" s="3" t="s">
        <v>45</v>
      </c>
      <c r="E2629" s="3" t="s">
        <v>143</v>
      </c>
      <c r="F2629" s="3" t="s">
        <v>14</v>
      </c>
      <c r="G26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629" s="3" t="s">
        <v>144</v>
      </c>
      <c r="I2629" s="3" t="s">
        <v>31</v>
      </c>
      <c r="J2629" s="3" t="s">
        <v>145</v>
      </c>
      <c r="K2629" s="3" t="s">
        <v>33</v>
      </c>
      <c r="L2629" s="3" t="s">
        <v>34</v>
      </c>
      <c r="M2629" s="4">
        <v>215.45</v>
      </c>
    </row>
    <row r="2630">
      <c r="A2630" s="2">
        <v>45719</v>
      </c>
      <c r="B26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0" s="3" t="str">
        <f>YEAR(KMART_DATA[[#This Row],[Date]])&amp;"-"&amp;TEXT(MONTH(KMART_DATA[[#This Row],[Date]]),"00")</f>
        <v>2025-03</v>
      </c>
      <c r="D2630" s="3" t="s">
        <v>28</v>
      </c>
      <c r="E2630" s="3" t="s">
        <v>160</v>
      </c>
      <c r="F2630" s="3" t="s">
        <v>12</v>
      </c>
      <c r="G26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30" s="3" t="s">
        <v>161</v>
      </c>
      <c r="I2630" s="3" t="s">
        <v>31</v>
      </c>
      <c r="J2630" s="3" t="s">
        <v>162</v>
      </c>
      <c r="K2630" s="3" t="s">
        <v>46</v>
      </c>
      <c r="L2630" s="3" t="s">
        <v>47</v>
      </c>
      <c r="M2630" s="4">
        <v>237.81</v>
      </c>
    </row>
    <row r="2631">
      <c r="A2631" s="2">
        <v>45719</v>
      </c>
      <c r="B26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1" s="3" t="str">
        <f>YEAR(KMART_DATA[[#This Row],[Date]])&amp;"-"&amp;TEXT(MONTH(KMART_DATA[[#This Row],[Date]]),"00")</f>
        <v>2025-03</v>
      </c>
      <c r="D2631" s="3" t="s">
        <v>28</v>
      </c>
      <c r="E2631" s="3" t="s">
        <v>248</v>
      </c>
      <c r="F2631" s="3" t="s">
        <v>12</v>
      </c>
      <c r="G26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31" s="3" t="s">
        <v>249</v>
      </c>
      <c r="I2631" s="3" t="s">
        <v>31</v>
      </c>
      <c r="J2631" s="3" t="s">
        <v>162</v>
      </c>
      <c r="K2631" s="3" t="s">
        <v>46</v>
      </c>
      <c r="L2631" s="3" t="s">
        <v>47</v>
      </c>
      <c r="M2631" s="4">
        <v>288.22</v>
      </c>
    </row>
    <row r="2632">
      <c r="A2632" s="2">
        <v>45720</v>
      </c>
      <c r="B26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2" s="3" t="str">
        <f>YEAR(KMART_DATA[[#This Row],[Date]])&amp;"-"&amp;TEXT(MONTH(KMART_DATA[[#This Row],[Date]]),"00")</f>
        <v>2025-03</v>
      </c>
      <c r="D2632" s="3" t="s">
        <v>28</v>
      </c>
      <c r="E2632" s="3" t="s">
        <v>135</v>
      </c>
      <c r="F2632" s="3" t="s">
        <v>16</v>
      </c>
      <c r="G26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632" s="3" t="s">
        <v>136</v>
      </c>
      <c r="I2632" s="3" t="s">
        <v>31</v>
      </c>
      <c r="J2632" s="3" t="s">
        <v>107</v>
      </c>
      <c r="K2632" s="3" t="s">
        <v>43</v>
      </c>
      <c r="L2632" s="3" t="s">
        <v>44</v>
      </c>
      <c r="M2632" s="4">
        <v>14.99</v>
      </c>
    </row>
    <row r="2633">
      <c r="A2633" s="2">
        <v>45720</v>
      </c>
      <c r="B26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3" s="3" t="str">
        <f>YEAR(KMART_DATA[[#This Row],[Date]])&amp;"-"&amp;TEXT(MONTH(KMART_DATA[[#This Row],[Date]]),"00")</f>
        <v>2025-03</v>
      </c>
      <c r="D2633" s="3" t="s">
        <v>45</v>
      </c>
      <c r="E2633" s="3" t="s">
        <v>207</v>
      </c>
      <c r="F2633" s="3" t="s">
        <v>11</v>
      </c>
      <c r="G26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33" s="3" t="s">
        <v>208</v>
      </c>
      <c r="I2633" s="3" t="s">
        <v>31</v>
      </c>
      <c r="J2633" s="3" t="s">
        <v>78</v>
      </c>
      <c r="K2633" s="3" t="s">
        <v>46</v>
      </c>
      <c r="L2633" s="3" t="s">
        <v>47</v>
      </c>
      <c r="M2633" s="4">
        <v>35.94</v>
      </c>
    </row>
    <row r="2634">
      <c r="A2634" s="2">
        <v>45720</v>
      </c>
      <c r="B26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4" s="3" t="str">
        <f>YEAR(KMART_DATA[[#This Row],[Date]])&amp;"-"&amp;TEXT(MONTH(KMART_DATA[[#This Row],[Date]]),"00")</f>
        <v>2025-03</v>
      </c>
      <c r="D2634" s="3" t="s">
        <v>28</v>
      </c>
      <c r="E2634" s="3" t="s">
        <v>167</v>
      </c>
      <c r="F2634" s="3" t="s">
        <v>12</v>
      </c>
      <c r="G26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34" s="3" t="s">
        <v>168</v>
      </c>
      <c r="I2634" s="3" t="s">
        <v>31</v>
      </c>
      <c r="J2634" s="3" t="s">
        <v>102</v>
      </c>
      <c r="K2634" s="3" t="s">
        <v>43</v>
      </c>
      <c r="L2634" s="3" t="s">
        <v>44</v>
      </c>
      <c r="M2634" s="4">
        <v>245.63</v>
      </c>
    </row>
    <row r="2635">
      <c r="A2635" s="2">
        <v>45720</v>
      </c>
      <c r="B26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5" s="3" t="str">
        <f>YEAR(KMART_DATA[[#This Row],[Date]])&amp;"-"&amp;TEXT(MONTH(KMART_DATA[[#This Row],[Date]]),"00")</f>
        <v>2025-03</v>
      </c>
      <c r="D2635" s="3" t="s">
        <v>28</v>
      </c>
      <c r="E2635" s="3" t="s">
        <v>154</v>
      </c>
      <c r="F2635" s="3" t="s">
        <v>11</v>
      </c>
      <c r="G26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35" s="3" t="s">
        <v>155</v>
      </c>
      <c r="I2635" s="3" t="s">
        <v>31</v>
      </c>
      <c r="J2635" s="3" t="s">
        <v>84</v>
      </c>
      <c r="K2635" s="3" t="s">
        <v>46</v>
      </c>
      <c r="L2635" s="3" t="s">
        <v>47</v>
      </c>
      <c r="M2635" s="4">
        <v>282.05</v>
      </c>
    </row>
    <row r="2636">
      <c r="A2636" s="2">
        <v>45720</v>
      </c>
      <c r="B26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6" s="3" t="str">
        <f>YEAR(KMART_DATA[[#This Row],[Date]])&amp;"-"&amp;TEXT(MONTH(KMART_DATA[[#This Row],[Date]]),"00")</f>
        <v>2025-03</v>
      </c>
      <c r="D2636" s="3" t="s">
        <v>28</v>
      </c>
      <c r="E2636" s="3" t="s">
        <v>209</v>
      </c>
      <c r="F2636" s="3" t="s">
        <v>9</v>
      </c>
      <c r="G26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36" s="3" t="s">
        <v>210</v>
      </c>
      <c r="I2636" s="3" t="s">
        <v>31</v>
      </c>
      <c r="J2636" s="3" t="s">
        <v>81</v>
      </c>
      <c r="K2636" s="3" t="s">
        <v>95</v>
      </c>
      <c r="L2636" s="3" t="s">
        <v>96</v>
      </c>
      <c r="M2636" s="4">
        <v>358.43</v>
      </c>
    </row>
    <row r="2637">
      <c r="A2637" s="2">
        <v>45721</v>
      </c>
      <c r="B26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7" s="3" t="str">
        <f>YEAR(KMART_DATA[[#This Row],[Date]])&amp;"-"&amp;TEXT(MONTH(KMART_DATA[[#This Row],[Date]]),"00")</f>
        <v>2025-03</v>
      </c>
      <c r="D2637" s="3" t="s">
        <v>28</v>
      </c>
      <c r="E2637" s="3" t="s">
        <v>73</v>
      </c>
      <c r="F2637" s="3" t="s">
        <v>9</v>
      </c>
      <c r="G26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37" s="3" t="s">
        <v>74</v>
      </c>
      <c r="I2637" s="3" t="s">
        <v>31</v>
      </c>
      <c r="J2637" s="3" t="s">
        <v>75</v>
      </c>
      <c r="K2637" s="3" t="s">
        <v>46</v>
      </c>
      <c r="L2637" s="3" t="s">
        <v>47</v>
      </c>
      <c r="M2637" s="4">
        <v>29.95</v>
      </c>
    </row>
    <row r="2638">
      <c r="A2638" s="2">
        <v>45722</v>
      </c>
      <c r="B26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8" s="3" t="str">
        <f>YEAR(KMART_DATA[[#This Row],[Date]])&amp;"-"&amp;TEXT(MONTH(KMART_DATA[[#This Row],[Date]]),"00")</f>
        <v>2025-03</v>
      </c>
      <c r="D2638" s="3" t="s">
        <v>28</v>
      </c>
      <c r="E2638" s="3" t="s">
        <v>248</v>
      </c>
      <c r="F2638" s="3" t="s">
        <v>12</v>
      </c>
      <c r="G26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38" s="3" t="s">
        <v>249</v>
      </c>
      <c r="I2638" s="3" t="s">
        <v>31</v>
      </c>
      <c r="J2638" s="3" t="s">
        <v>162</v>
      </c>
      <c r="K2638" s="3" t="s">
        <v>43</v>
      </c>
      <c r="L2638" s="3" t="s">
        <v>44</v>
      </c>
      <c r="M2638" s="4">
        <v>42.0</v>
      </c>
    </row>
    <row r="2639">
      <c r="A2639" s="2">
        <v>45722</v>
      </c>
      <c r="B26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39" s="3" t="str">
        <f>YEAR(KMART_DATA[[#This Row],[Date]])&amp;"-"&amp;TEXT(MONTH(KMART_DATA[[#This Row],[Date]]),"00")</f>
        <v>2025-03</v>
      </c>
      <c r="D2639" s="3" t="s">
        <v>28</v>
      </c>
      <c r="E2639" s="3" t="s">
        <v>82</v>
      </c>
      <c r="F2639" s="3" t="s">
        <v>11</v>
      </c>
      <c r="G26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39" s="3" t="s">
        <v>83</v>
      </c>
      <c r="I2639" s="3" t="s">
        <v>31</v>
      </c>
      <c r="J2639" s="3" t="s">
        <v>84</v>
      </c>
      <c r="K2639" s="3" t="s">
        <v>33</v>
      </c>
      <c r="L2639" s="3" t="s">
        <v>34</v>
      </c>
      <c r="M2639" s="4">
        <v>317.88</v>
      </c>
    </row>
    <row r="2640">
      <c r="A2640" s="2">
        <v>45723</v>
      </c>
      <c r="B26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0" s="3" t="str">
        <f>YEAR(KMART_DATA[[#This Row],[Date]])&amp;"-"&amp;TEXT(MONTH(KMART_DATA[[#This Row],[Date]]),"00")</f>
        <v>2025-03</v>
      </c>
      <c r="D2640" s="3" t="s">
        <v>28</v>
      </c>
      <c r="E2640" s="3" t="s">
        <v>158</v>
      </c>
      <c r="F2640" s="3" t="s">
        <v>11</v>
      </c>
      <c r="G26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40" s="3" t="s">
        <v>159</v>
      </c>
      <c r="I2640" s="3" t="s">
        <v>31</v>
      </c>
      <c r="J2640" s="3" t="s">
        <v>84</v>
      </c>
      <c r="K2640" s="3" t="s">
        <v>57</v>
      </c>
      <c r="L2640" s="3" t="s">
        <v>58</v>
      </c>
      <c r="M2640" s="4">
        <v>25.98</v>
      </c>
    </row>
    <row r="2641">
      <c r="A2641" s="2">
        <v>45723</v>
      </c>
      <c r="B26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1" s="3" t="str">
        <f>YEAR(KMART_DATA[[#This Row],[Date]])&amp;"-"&amp;TEXT(MONTH(KMART_DATA[[#This Row],[Date]]),"00")</f>
        <v>2025-03</v>
      </c>
      <c r="D2641" s="3" t="s">
        <v>28</v>
      </c>
      <c r="E2641" s="3" t="s">
        <v>68</v>
      </c>
      <c r="F2641" s="3" t="s">
        <v>9</v>
      </c>
      <c r="G26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41" s="3" t="s">
        <v>69</v>
      </c>
      <c r="I2641" s="3" t="s">
        <v>31</v>
      </c>
      <c r="J2641" s="3" t="s">
        <v>70</v>
      </c>
      <c r="K2641" s="3" t="s">
        <v>43</v>
      </c>
      <c r="L2641" s="3" t="s">
        <v>44</v>
      </c>
      <c r="M2641" s="4">
        <v>30.9</v>
      </c>
    </row>
    <row r="2642">
      <c r="A2642" s="2">
        <v>45723</v>
      </c>
      <c r="B26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2" s="3" t="str">
        <f>YEAR(KMART_DATA[[#This Row],[Date]])&amp;"-"&amp;TEXT(MONTH(KMART_DATA[[#This Row],[Date]]),"00")</f>
        <v>2025-03</v>
      </c>
      <c r="D2642" s="3" t="s">
        <v>45</v>
      </c>
      <c r="E2642" s="3" t="s">
        <v>207</v>
      </c>
      <c r="F2642" s="3" t="s">
        <v>11</v>
      </c>
      <c r="G26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42" s="3" t="s">
        <v>208</v>
      </c>
      <c r="I2642" s="3" t="s">
        <v>31</v>
      </c>
      <c r="J2642" s="3" t="s">
        <v>78</v>
      </c>
      <c r="K2642" s="3" t="s">
        <v>46</v>
      </c>
      <c r="L2642" s="3" t="s">
        <v>47</v>
      </c>
      <c r="M2642" s="4">
        <v>57.66</v>
      </c>
    </row>
    <row r="2643">
      <c r="A2643" s="2">
        <v>45723</v>
      </c>
      <c r="B26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3" s="3" t="str">
        <f>YEAR(KMART_DATA[[#This Row],[Date]])&amp;"-"&amp;TEXT(MONTH(KMART_DATA[[#This Row],[Date]]),"00")</f>
        <v>2025-03</v>
      </c>
      <c r="D2643" s="3" t="s">
        <v>28</v>
      </c>
      <c r="E2643" s="3" t="s">
        <v>215</v>
      </c>
      <c r="F2643" s="3" t="s">
        <v>15</v>
      </c>
      <c r="G26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643" s="3" t="s">
        <v>216</v>
      </c>
      <c r="I2643" s="3" t="s">
        <v>31</v>
      </c>
      <c r="J2643" s="3" t="s">
        <v>53</v>
      </c>
      <c r="K2643" s="3" t="s">
        <v>95</v>
      </c>
      <c r="L2643" s="3" t="s">
        <v>96</v>
      </c>
      <c r="M2643" s="4">
        <v>224.8</v>
      </c>
    </row>
    <row r="2644">
      <c r="A2644" s="2">
        <v>45723</v>
      </c>
      <c r="B26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4" s="3" t="str">
        <f>YEAR(KMART_DATA[[#This Row],[Date]])&amp;"-"&amp;TEXT(MONTH(KMART_DATA[[#This Row],[Date]]),"00")</f>
        <v>2025-03</v>
      </c>
      <c r="D2644" s="3" t="s">
        <v>28</v>
      </c>
      <c r="E2644" s="3" t="s">
        <v>232</v>
      </c>
      <c r="F2644" s="3" t="s">
        <v>9</v>
      </c>
      <c r="G26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44" s="3" t="s">
        <v>233</v>
      </c>
      <c r="I2644" s="3" t="s">
        <v>31</v>
      </c>
      <c r="J2644" s="3" t="s">
        <v>75</v>
      </c>
      <c r="K2644" s="3" t="s">
        <v>33</v>
      </c>
      <c r="L2644" s="3" t="s">
        <v>34</v>
      </c>
      <c r="M2644" s="4">
        <v>362.14</v>
      </c>
    </row>
    <row r="2645">
      <c r="A2645" s="2">
        <v>45723</v>
      </c>
      <c r="B26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5" s="3" t="str">
        <f>YEAR(KMART_DATA[[#This Row],[Date]])&amp;"-"&amp;TEXT(MONTH(KMART_DATA[[#This Row],[Date]]),"00")</f>
        <v>2025-03</v>
      </c>
      <c r="D2645" s="3" t="s">
        <v>28</v>
      </c>
      <c r="E2645" s="3" t="s">
        <v>181</v>
      </c>
      <c r="F2645" s="3" t="s">
        <v>11</v>
      </c>
      <c r="G26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45" s="3" t="s">
        <v>182</v>
      </c>
      <c r="I2645" s="3" t="s">
        <v>31</v>
      </c>
      <c r="J2645" s="3" t="s">
        <v>56</v>
      </c>
      <c r="K2645" s="3" t="s">
        <v>43</v>
      </c>
      <c r="L2645" s="3" t="s">
        <v>44</v>
      </c>
      <c r="M2645" s="4">
        <v>803.81</v>
      </c>
    </row>
    <row r="2646">
      <c r="A2646" s="2">
        <v>45723</v>
      </c>
      <c r="B26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6" s="3" t="str">
        <f>YEAR(KMART_DATA[[#This Row],[Date]])&amp;"-"&amp;TEXT(MONTH(KMART_DATA[[#This Row],[Date]]),"00")</f>
        <v>2025-03</v>
      </c>
      <c r="D2646" s="3" t="s">
        <v>28</v>
      </c>
      <c r="E2646" s="3" t="s">
        <v>156</v>
      </c>
      <c r="F2646" s="3" t="s">
        <v>9</v>
      </c>
      <c r="G26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46" s="3" t="s">
        <v>157</v>
      </c>
      <c r="I2646" s="3" t="s">
        <v>31</v>
      </c>
      <c r="J2646" s="3" t="s">
        <v>75</v>
      </c>
      <c r="K2646" s="3" t="s">
        <v>46</v>
      </c>
      <c r="L2646" s="3" t="s">
        <v>47</v>
      </c>
      <c r="M2646" s="4">
        <v>1180.13</v>
      </c>
    </row>
    <row r="2647">
      <c r="A2647" s="2">
        <v>45724</v>
      </c>
      <c r="B26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7" s="3" t="str">
        <f>YEAR(KMART_DATA[[#This Row],[Date]])&amp;"-"&amp;TEXT(MONTH(KMART_DATA[[#This Row],[Date]]),"00")</f>
        <v>2025-03</v>
      </c>
      <c r="D2647" s="3" t="s">
        <v>28</v>
      </c>
      <c r="E2647" s="3" t="s">
        <v>228</v>
      </c>
      <c r="F2647" s="3" t="s">
        <v>11</v>
      </c>
      <c r="G26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47" s="3" t="s">
        <v>229</v>
      </c>
      <c r="I2647" s="3" t="s">
        <v>31</v>
      </c>
      <c r="J2647" s="3" t="s">
        <v>32</v>
      </c>
      <c r="K2647" s="3" t="s">
        <v>123</v>
      </c>
      <c r="L2647" s="3" t="s">
        <v>124</v>
      </c>
      <c r="M2647" s="4">
        <v>13.99</v>
      </c>
    </row>
    <row r="2648">
      <c r="A2648" s="2">
        <v>45725</v>
      </c>
      <c r="B26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8" s="3" t="str">
        <f>YEAR(KMART_DATA[[#This Row],[Date]])&amp;"-"&amp;TEXT(MONTH(KMART_DATA[[#This Row],[Date]]),"00")</f>
        <v>2025-03</v>
      </c>
      <c r="D2648" s="3" t="s">
        <v>28</v>
      </c>
      <c r="E2648" s="3" t="s">
        <v>82</v>
      </c>
      <c r="F2648" s="3" t="s">
        <v>11</v>
      </c>
      <c r="G26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48" s="3" t="s">
        <v>83</v>
      </c>
      <c r="I2648" s="3" t="s">
        <v>31</v>
      </c>
      <c r="J2648" s="3" t="s">
        <v>84</v>
      </c>
      <c r="K2648" s="3" t="s">
        <v>95</v>
      </c>
      <c r="L2648" s="3" t="s">
        <v>96</v>
      </c>
      <c r="M2648" s="4">
        <v>1.6</v>
      </c>
    </row>
    <row r="2649">
      <c r="A2649" s="2">
        <v>45725</v>
      </c>
      <c r="B26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49" s="3" t="str">
        <f>YEAR(KMART_DATA[[#This Row],[Date]])&amp;"-"&amp;TEXT(MONTH(KMART_DATA[[#This Row],[Date]]),"00")</f>
        <v>2025-03</v>
      </c>
      <c r="D2649" s="3" t="s">
        <v>28</v>
      </c>
      <c r="E2649" s="3" t="s">
        <v>189</v>
      </c>
      <c r="F2649" s="3" t="s">
        <v>9</v>
      </c>
      <c r="G26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49" s="3" t="s">
        <v>190</v>
      </c>
      <c r="I2649" s="3" t="s">
        <v>31</v>
      </c>
      <c r="J2649" s="3" t="s">
        <v>81</v>
      </c>
      <c r="K2649" s="3" t="s">
        <v>38</v>
      </c>
      <c r="L2649" s="3" t="s">
        <v>39</v>
      </c>
      <c r="M2649" s="4">
        <v>95.73</v>
      </c>
    </row>
    <row r="2650">
      <c r="A2650" s="2">
        <v>45725</v>
      </c>
      <c r="B26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0" s="3" t="str">
        <f>YEAR(KMART_DATA[[#This Row],[Date]])&amp;"-"&amp;TEXT(MONTH(KMART_DATA[[#This Row],[Date]]),"00")</f>
        <v>2025-03</v>
      </c>
      <c r="D2650" s="3" t="s">
        <v>45</v>
      </c>
      <c r="E2650" s="3" t="s">
        <v>250</v>
      </c>
      <c r="F2650" s="3" t="s">
        <v>10</v>
      </c>
      <c r="G26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50" s="3" t="s">
        <v>251</v>
      </c>
      <c r="I2650" s="3" t="s">
        <v>31</v>
      </c>
      <c r="J2650" s="3" t="s">
        <v>37</v>
      </c>
      <c r="K2650" s="3" t="s">
        <v>38</v>
      </c>
      <c r="L2650" s="3" t="s">
        <v>39</v>
      </c>
      <c r="M2650" s="4">
        <v>403.37</v>
      </c>
    </row>
    <row r="2651">
      <c r="A2651" s="2">
        <v>45725</v>
      </c>
      <c r="B26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1" s="3" t="str">
        <f>YEAR(KMART_DATA[[#This Row],[Date]])&amp;"-"&amp;TEXT(MONTH(KMART_DATA[[#This Row],[Date]]),"00")</f>
        <v>2025-03</v>
      </c>
      <c r="D2651" s="3" t="s">
        <v>28</v>
      </c>
      <c r="E2651" s="3" t="s">
        <v>150</v>
      </c>
      <c r="F2651" s="3" t="s">
        <v>15</v>
      </c>
      <c r="G26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651" s="3" t="s">
        <v>151</v>
      </c>
      <c r="I2651" s="3" t="s">
        <v>31</v>
      </c>
      <c r="J2651" s="3" t="s">
        <v>53</v>
      </c>
      <c r="K2651" s="3" t="s">
        <v>95</v>
      </c>
      <c r="L2651" s="3" t="s">
        <v>96</v>
      </c>
      <c r="M2651" s="4">
        <v>1294.73</v>
      </c>
    </row>
    <row r="2652">
      <c r="A2652" s="2">
        <v>45726</v>
      </c>
      <c r="B26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2" s="3" t="str">
        <f>YEAR(KMART_DATA[[#This Row],[Date]])&amp;"-"&amp;TEXT(MONTH(KMART_DATA[[#This Row],[Date]]),"00")</f>
        <v>2025-03</v>
      </c>
      <c r="D2652" s="3" t="s">
        <v>28</v>
      </c>
      <c r="E2652" s="3" t="s">
        <v>234</v>
      </c>
      <c r="F2652" s="3" t="s">
        <v>9</v>
      </c>
      <c r="G26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52" s="3" t="s">
        <v>235</v>
      </c>
      <c r="I2652" s="3" t="s">
        <v>31</v>
      </c>
      <c r="J2652" s="3" t="s">
        <v>81</v>
      </c>
      <c r="K2652" s="3" t="s">
        <v>33</v>
      </c>
      <c r="L2652" s="3" t="s">
        <v>34</v>
      </c>
      <c r="M2652" s="4">
        <v>19.95</v>
      </c>
    </row>
    <row r="2653">
      <c r="A2653" s="2">
        <v>45726</v>
      </c>
      <c r="B26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3" s="3" t="str">
        <f>YEAR(KMART_DATA[[#This Row],[Date]])&amp;"-"&amp;TEXT(MONTH(KMART_DATA[[#This Row],[Date]]),"00")</f>
        <v>2025-03</v>
      </c>
      <c r="D2653" s="3" t="s">
        <v>28</v>
      </c>
      <c r="E2653" s="3" t="s">
        <v>228</v>
      </c>
      <c r="F2653" s="3" t="s">
        <v>11</v>
      </c>
      <c r="G26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53" s="3" t="s">
        <v>229</v>
      </c>
      <c r="I2653" s="3" t="s">
        <v>31</v>
      </c>
      <c r="J2653" s="3" t="s">
        <v>32</v>
      </c>
      <c r="K2653" s="3" t="s">
        <v>43</v>
      </c>
      <c r="L2653" s="3" t="s">
        <v>44</v>
      </c>
      <c r="M2653" s="4">
        <v>27.98</v>
      </c>
    </row>
    <row r="2654">
      <c r="A2654" s="2">
        <v>45726</v>
      </c>
      <c r="B26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4" s="3" t="str">
        <f>YEAR(KMART_DATA[[#This Row],[Date]])&amp;"-"&amp;TEXT(MONTH(KMART_DATA[[#This Row],[Date]]),"00")</f>
        <v>2025-03</v>
      </c>
      <c r="D2654" s="3" t="s">
        <v>45</v>
      </c>
      <c r="E2654" s="3" t="s">
        <v>211</v>
      </c>
      <c r="F2654" s="3" t="s">
        <v>9</v>
      </c>
      <c r="G26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54" s="3" t="s">
        <v>212</v>
      </c>
      <c r="I2654" s="3" t="s">
        <v>31</v>
      </c>
      <c r="J2654" s="3" t="s">
        <v>75</v>
      </c>
      <c r="K2654" s="3" t="s">
        <v>123</v>
      </c>
      <c r="L2654" s="3" t="s">
        <v>124</v>
      </c>
      <c r="M2654" s="4">
        <v>31.92</v>
      </c>
    </row>
    <row r="2655">
      <c r="A2655" s="2">
        <v>45726</v>
      </c>
      <c r="B26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5" s="3" t="str">
        <f>YEAR(KMART_DATA[[#This Row],[Date]])&amp;"-"&amp;TEXT(MONTH(KMART_DATA[[#This Row],[Date]]),"00")</f>
        <v>2025-03</v>
      </c>
      <c r="D2655" s="3" t="s">
        <v>28</v>
      </c>
      <c r="E2655" s="3" t="s">
        <v>105</v>
      </c>
      <c r="F2655" s="3" t="s">
        <v>9</v>
      </c>
      <c r="G26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55" s="3" t="s">
        <v>106</v>
      </c>
      <c r="I2655" s="3" t="s">
        <v>31</v>
      </c>
      <c r="J2655" s="3" t="s">
        <v>107</v>
      </c>
      <c r="K2655" s="3" t="s">
        <v>33</v>
      </c>
      <c r="L2655" s="3" t="s">
        <v>34</v>
      </c>
      <c r="M2655" s="4">
        <v>87.63</v>
      </c>
    </row>
    <row r="2656">
      <c r="A2656" s="2">
        <v>45726</v>
      </c>
      <c r="B26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6" s="3" t="str">
        <f>YEAR(KMART_DATA[[#This Row],[Date]])&amp;"-"&amp;TEXT(MONTH(KMART_DATA[[#This Row],[Date]]),"00")</f>
        <v>2025-03</v>
      </c>
      <c r="D2656" s="3" t="s">
        <v>28</v>
      </c>
      <c r="E2656" s="3" t="s">
        <v>223</v>
      </c>
      <c r="F2656" s="3" t="s">
        <v>10</v>
      </c>
      <c r="G26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56" s="3" t="s">
        <v>224</v>
      </c>
      <c r="I2656" s="3" t="s">
        <v>31</v>
      </c>
      <c r="J2656" s="3" t="s">
        <v>94</v>
      </c>
      <c r="K2656" s="3" t="s">
        <v>123</v>
      </c>
      <c r="L2656" s="3" t="s">
        <v>124</v>
      </c>
      <c r="M2656" s="4">
        <v>168.05</v>
      </c>
    </row>
    <row r="2657">
      <c r="A2657" s="2">
        <v>45726</v>
      </c>
      <c r="B26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7" s="3" t="str">
        <f>YEAR(KMART_DATA[[#This Row],[Date]])&amp;"-"&amp;TEXT(MONTH(KMART_DATA[[#This Row],[Date]]),"00")</f>
        <v>2025-03</v>
      </c>
      <c r="D2657" s="3" t="s">
        <v>45</v>
      </c>
      <c r="E2657" s="3" t="s">
        <v>103</v>
      </c>
      <c r="F2657" s="3" t="s">
        <v>12</v>
      </c>
      <c r="G26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57" s="3" t="s">
        <v>104</v>
      </c>
      <c r="I2657" s="3" t="s">
        <v>31</v>
      </c>
      <c r="J2657" s="3" t="s">
        <v>102</v>
      </c>
      <c r="K2657" s="3" t="s">
        <v>38</v>
      </c>
      <c r="L2657" s="3" t="s">
        <v>39</v>
      </c>
      <c r="M2657" s="4">
        <v>198.07</v>
      </c>
    </row>
    <row r="2658">
      <c r="A2658" s="2">
        <v>45726</v>
      </c>
      <c r="B26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8" s="3" t="str">
        <f>YEAR(KMART_DATA[[#This Row],[Date]])&amp;"-"&amp;TEXT(MONTH(KMART_DATA[[#This Row],[Date]]),"00")</f>
        <v>2025-03</v>
      </c>
      <c r="D2658" s="3" t="s">
        <v>28</v>
      </c>
      <c r="E2658" s="3" t="s">
        <v>242</v>
      </c>
      <c r="F2658" s="3" t="s">
        <v>10</v>
      </c>
      <c r="G26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58" s="3" t="s">
        <v>243</v>
      </c>
      <c r="I2658" s="3" t="s">
        <v>31</v>
      </c>
      <c r="J2658" s="3" t="s">
        <v>94</v>
      </c>
      <c r="K2658" s="3" t="s">
        <v>71</v>
      </c>
      <c r="L2658" s="3" t="s">
        <v>72</v>
      </c>
      <c r="M2658" s="4">
        <v>501.01</v>
      </c>
    </row>
    <row r="2659">
      <c r="A2659" s="2">
        <v>45726</v>
      </c>
      <c r="B26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59" s="3" t="str">
        <f>YEAR(KMART_DATA[[#This Row],[Date]])&amp;"-"&amp;TEXT(MONTH(KMART_DATA[[#This Row],[Date]]),"00")</f>
        <v>2025-03</v>
      </c>
      <c r="D2659" s="3" t="s">
        <v>28</v>
      </c>
      <c r="E2659" s="3" t="s">
        <v>252</v>
      </c>
      <c r="F2659" s="3" t="s">
        <v>10</v>
      </c>
      <c r="G26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59" s="3" t="s">
        <v>253</v>
      </c>
      <c r="I2659" s="3" t="s">
        <v>31</v>
      </c>
      <c r="J2659" s="3" t="s">
        <v>94</v>
      </c>
      <c r="K2659" s="3" t="s">
        <v>46</v>
      </c>
      <c r="L2659" s="3" t="s">
        <v>47</v>
      </c>
      <c r="M2659" s="4">
        <v>651.2</v>
      </c>
    </row>
    <row r="2660">
      <c r="A2660" s="2">
        <v>45726</v>
      </c>
      <c r="B26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0" s="3" t="str">
        <f>YEAR(KMART_DATA[[#This Row],[Date]])&amp;"-"&amp;TEXT(MONTH(KMART_DATA[[#This Row],[Date]]),"00")</f>
        <v>2025-03</v>
      </c>
      <c r="D2660" s="3" t="s">
        <v>28</v>
      </c>
      <c r="E2660" s="3" t="s">
        <v>105</v>
      </c>
      <c r="F2660" s="3" t="s">
        <v>9</v>
      </c>
      <c r="G26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60" s="3" t="s">
        <v>106</v>
      </c>
      <c r="I2660" s="3" t="s">
        <v>31</v>
      </c>
      <c r="J2660" s="3" t="s">
        <v>107</v>
      </c>
      <c r="K2660" s="3" t="s">
        <v>43</v>
      </c>
      <c r="L2660" s="3" t="s">
        <v>44</v>
      </c>
      <c r="M2660" s="4">
        <v>671.75</v>
      </c>
    </row>
    <row r="2661">
      <c r="A2661" s="2">
        <v>45726</v>
      </c>
      <c r="B26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1" s="3" t="str">
        <f>YEAR(KMART_DATA[[#This Row],[Date]])&amp;"-"&amp;TEXT(MONTH(KMART_DATA[[#This Row],[Date]]),"00")</f>
        <v>2025-03</v>
      </c>
      <c r="D2661" s="3" t="s">
        <v>28</v>
      </c>
      <c r="E2661" s="3" t="s">
        <v>238</v>
      </c>
      <c r="F2661" s="3" t="s">
        <v>13</v>
      </c>
      <c r="G26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661" s="3" t="s">
        <v>239</v>
      </c>
      <c r="I2661" s="3" t="s">
        <v>31</v>
      </c>
      <c r="J2661" s="3" t="s">
        <v>42</v>
      </c>
      <c r="K2661" s="3" t="s">
        <v>95</v>
      </c>
      <c r="L2661" s="3" t="s">
        <v>96</v>
      </c>
      <c r="M2661" s="4">
        <v>929.83</v>
      </c>
    </row>
    <row r="2662">
      <c r="A2662" s="2">
        <v>45726</v>
      </c>
      <c r="B26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2" s="3" t="str">
        <f>YEAR(KMART_DATA[[#This Row],[Date]])&amp;"-"&amp;TEXT(MONTH(KMART_DATA[[#This Row],[Date]]),"00")</f>
        <v>2025-03</v>
      </c>
      <c r="D2662" s="3" t="s">
        <v>28</v>
      </c>
      <c r="E2662" s="3" t="s">
        <v>35</v>
      </c>
      <c r="F2662" s="3" t="s">
        <v>10</v>
      </c>
      <c r="G26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62" s="3" t="s">
        <v>36</v>
      </c>
      <c r="I2662" s="3" t="s">
        <v>31</v>
      </c>
      <c r="J2662" s="3" t="s">
        <v>37</v>
      </c>
      <c r="K2662" s="3" t="s">
        <v>46</v>
      </c>
      <c r="L2662" s="3" t="s">
        <v>47</v>
      </c>
      <c r="M2662" s="4">
        <v>2866.87</v>
      </c>
    </row>
    <row r="2663">
      <c r="A2663" s="2">
        <v>45727</v>
      </c>
      <c r="B26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3" s="3" t="str">
        <f>YEAR(KMART_DATA[[#This Row],[Date]])&amp;"-"&amp;TEXT(MONTH(KMART_DATA[[#This Row],[Date]]),"00")</f>
        <v>2025-03</v>
      </c>
      <c r="D2663" s="3" t="s">
        <v>28</v>
      </c>
      <c r="E2663" s="3" t="s">
        <v>173</v>
      </c>
      <c r="F2663" s="3" t="s">
        <v>11</v>
      </c>
      <c r="G26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63" s="3" t="s">
        <v>174</v>
      </c>
      <c r="I2663" s="3" t="s">
        <v>31</v>
      </c>
      <c r="J2663" s="3" t="s">
        <v>61</v>
      </c>
      <c r="K2663" s="3" t="s">
        <v>46</v>
      </c>
      <c r="L2663" s="3" t="s">
        <v>47</v>
      </c>
      <c r="M2663" s="4">
        <v>51.96</v>
      </c>
    </row>
    <row r="2664">
      <c r="A2664" s="2">
        <v>45727</v>
      </c>
      <c r="B26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4" s="3" t="str">
        <f>YEAR(KMART_DATA[[#This Row],[Date]])&amp;"-"&amp;TEXT(MONTH(KMART_DATA[[#This Row],[Date]]),"00")</f>
        <v>2025-03</v>
      </c>
      <c r="D2664" s="3" t="s">
        <v>45</v>
      </c>
      <c r="E2664" s="3" t="s">
        <v>85</v>
      </c>
      <c r="F2664" s="3" t="s">
        <v>9</v>
      </c>
      <c r="G26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64" s="3" t="s">
        <v>86</v>
      </c>
      <c r="I2664" s="3" t="s">
        <v>31</v>
      </c>
      <c r="J2664" s="3" t="s">
        <v>81</v>
      </c>
      <c r="K2664" s="3" t="s">
        <v>33</v>
      </c>
      <c r="L2664" s="3" t="s">
        <v>34</v>
      </c>
      <c r="M2664" s="4">
        <v>95.76</v>
      </c>
    </row>
    <row r="2665">
      <c r="A2665" s="2">
        <v>45727</v>
      </c>
      <c r="B26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5" s="3" t="str">
        <f>YEAR(KMART_DATA[[#This Row],[Date]])&amp;"-"&amp;TEXT(MONTH(KMART_DATA[[#This Row],[Date]]),"00")</f>
        <v>2025-03</v>
      </c>
      <c r="D2665" s="3" t="s">
        <v>28</v>
      </c>
      <c r="E2665" s="3" t="s">
        <v>193</v>
      </c>
      <c r="F2665" s="3" t="s">
        <v>9</v>
      </c>
      <c r="G26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65" s="3" t="s">
        <v>194</v>
      </c>
      <c r="I2665" s="3" t="s">
        <v>31</v>
      </c>
      <c r="J2665" s="3" t="s">
        <v>99</v>
      </c>
      <c r="K2665" s="3" t="s">
        <v>71</v>
      </c>
      <c r="L2665" s="3" t="s">
        <v>72</v>
      </c>
      <c r="M2665" s="4">
        <v>148.89</v>
      </c>
    </row>
    <row r="2666">
      <c r="A2666" s="2">
        <v>45727</v>
      </c>
      <c r="B26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6" s="3" t="str">
        <f>YEAR(KMART_DATA[[#This Row],[Date]])&amp;"-"&amp;TEXT(MONTH(KMART_DATA[[#This Row],[Date]]),"00")</f>
        <v>2025-03</v>
      </c>
      <c r="D2666" s="3" t="s">
        <v>28</v>
      </c>
      <c r="E2666" s="3" t="s">
        <v>199</v>
      </c>
      <c r="F2666" s="3" t="s">
        <v>13</v>
      </c>
      <c r="G26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666" s="3" t="s">
        <v>200</v>
      </c>
      <c r="I2666" s="3" t="s">
        <v>31</v>
      </c>
      <c r="J2666" s="3" t="s">
        <v>42</v>
      </c>
      <c r="K2666" s="3" t="s">
        <v>95</v>
      </c>
      <c r="L2666" s="3" t="s">
        <v>96</v>
      </c>
      <c r="M2666" s="4">
        <v>942.95</v>
      </c>
    </row>
    <row r="2667">
      <c r="A2667" s="2">
        <v>45727</v>
      </c>
      <c r="B26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7" s="3" t="str">
        <f>YEAR(KMART_DATA[[#This Row],[Date]])&amp;"-"&amp;TEXT(MONTH(KMART_DATA[[#This Row],[Date]]),"00")</f>
        <v>2025-03</v>
      </c>
      <c r="D2667" s="3" t="s">
        <v>28</v>
      </c>
      <c r="E2667" s="3" t="s">
        <v>260</v>
      </c>
      <c r="F2667" s="3" t="s">
        <v>10</v>
      </c>
      <c r="G26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67" s="3" t="s">
        <v>261</v>
      </c>
      <c r="I2667" s="3" t="s">
        <v>31</v>
      </c>
      <c r="J2667" s="3" t="s">
        <v>89</v>
      </c>
      <c r="K2667" s="3" t="s">
        <v>57</v>
      </c>
      <c r="L2667" s="3" t="s">
        <v>58</v>
      </c>
      <c r="M2667" s="4">
        <v>1139.74</v>
      </c>
    </row>
    <row r="2668">
      <c r="A2668" s="2">
        <v>45727</v>
      </c>
      <c r="B26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8" s="3" t="str">
        <f>YEAR(KMART_DATA[[#This Row],[Date]])&amp;"-"&amp;TEXT(MONTH(KMART_DATA[[#This Row],[Date]]),"00")</f>
        <v>2025-03</v>
      </c>
      <c r="D2668" s="3" t="s">
        <v>28</v>
      </c>
      <c r="E2668" s="3" t="s">
        <v>240</v>
      </c>
      <c r="F2668" s="3" t="s">
        <v>15</v>
      </c>
      <c r="G26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668" s="3" t="s">
        <v>241</v>
      </c>
      <c r="I2668" s="3" t="s">
        <v>31</v>
      </c>
      <c r="J2668" s="3" t="s">
        <v>53</v>
      </c>
      <c r="K2668" s="3" t="s">
        <v>71</v>
      </c>
      <c r="L2668" s="3" t="s">
        <v>72</v>
      </c>
      <c r="M2668" s="4">
        <v>3417.23</v>
      </c>
    </row>
    <row r="2669">
      <c r="A2669" s="2">
        <v>45728</v>
      </c>
      <c r="B26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69" s="3" t="str">
        <f>YEAR(KMART_DATA[[#This Row],[Date]])&amp;"-"&amp;TEXT(MONTH(KMART_DATA[[#This Row],[Date]]),"00")</f>
        <v>2025-03</v>
      </c>
      <c r="D2669" s="3" t="s">
        <v>45</v>
      </c>
      <c r="E2669" s="3" t="s">
        <v>175</v>
      </c>
      <c r="F2669" s="3" t="s">
        <v>16</v>
      </c>
      <c r="G26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669" s="3" t="s">
        <v>176</v>
      </c>
      <c r="I2669" s="3" t="s">
        <v>31</v>
      </c>
      <c r="J2669" s="3" t="s">
        <v>107</v>
      </c>
      <c r="K2669" s="3" t="s">
        <v>95</v>
      </c>
      <c r="L2669" s="3" t="s">
        <v>96</v>
      </c>
      <c r="M2669" s="4">
        <v>2.49</v>
      </c>
    </row>
    <row r="2670">
      <c r="A2670" s="2">
        <v>45728</v>
      </c>
      <c r="B26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0" s="3" t="str">
        <f>YEAR(KMART_DATA[[#This Row],[Date]])&amp;"-"&amp;TEXT(MONTH(KMART_DATA[[#This Row],[Date]]),"00")</f>
        <v>2025-03</v>
      </c>
      <c r="D2670" s="3" t="s">
        <v>28</v>
      </c>
      <c r="E2670" s="3" t="s">
        <v>90</v>
      </c>
      <c r="F2670" s="3" t="s">
        <v>10</v>
      </c>
      <c r="G26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70" s="3" t="s">
        <v>91</v>
      </c>
      <c r="I2670" s="3" t="s">
        <v>31</v>
      </c>
      <c r="J2670" s="3" t="s">
        <v>37</v>
      </c>
      <c r="K2670" s="3" t="s">
        <v>46</v>
      </c>
      <c r="L2670" s="3" t="s">
        <v>47</v>
      </c>
      <c r="M2670" s="4">
        <v>29.95</v>
      </c>
    </row>
    <row r="2671">
      <c r="A2671" s="2">
        <v>45728</v>
      </c>
      <c r="B26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1" s="3" t="str">
        <f>YEAR(KMART_DATA[[#This Row],[Date]])&amp;"-"&amp;TEXT(MONTH(KMART_DATA[[#This Row],[Date]]),"00")</f>
        <v>2025-03</v>
      </c>
      <c r="D2671" s="3" t="s">
        <v>28</v>
      </c>
      <c r="E2671" s="3" t="s">
        <v>40</v>
      </c>
      <c r="F2671" s="3" t="s">
        <v>13</v>
      </c>
      <c r="G26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671" s="3" t="s">
        <v>41</v>
      </c>
      <c r="I2671" s="3" t="s">
        <v>31</v>
      </c>
      <c r="J2671" s="3" t="s">
        <v>42</v>
      </c>
      <c r="K2671" s="3" t="s">
        <v>43</v>
      </c>
      <c r="L2671" s="3" t="s">
        <v>44</v>
      </c>
      <c r="M2671" s="4">
        <v>181.32</v>
      </c>
    </row>
    <row r="2672">
      <c r="A2672" s="2">
        <v>45728</v>
      </c>
      <c r="B26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2" s="3" t="str">
        <f>YEAR(KMART_DATA[[#This Row],[Date]])&amp;"-"&amp;TEXT(MONTH(KMART_DATA[[#This Row],[Date]]),"00")</f>
        <v>2025-03</v>
      </c>
      <c r="D2672" s="3" t="s">
        <v>28</v>
      </c>
      <c r="E2672" s="3" t="s">
        <v>105</v>
      </c>
      <c r="F2672" s="3" t="s">
        <v>9</v>
      </c>
      <c r="G26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72" s="3" t="s">
        <v>106</v>
      </c>
      <c r="I2672" s="3" t="s">
        <v>31</v>
      </c>
      <c r="J2672" s="3" t="s">
        <v>107</v>
      </c>
      <c r="K2672" s="3" t="s">
        <v>33</v>
      </c>
      <c r="L2672" s="3" t="s">
        <v>34</v>
      </c>
      <c r="M2672" s="4">
        <v>398.48</v>
      </c>
    </row>
    <row r="2673">
      <c r="A2673" s="2">
        <v>45728</v>
      </c>
      <c r="B26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3" s="3" t="str">
        <f>YEAR(KMART_DATA[[#This Row],[Date]])&amp;"-"&amp;TEXT(MONTH(KMART_DATA[[#This Row],[Date]]),"00")</f>
        <v>2025-03</v>
      </c>
      <c r="D2673" s="3" t="s">
        <v>28</v>
      </c>
      <c r="E2673" s="3" t="s">
        <v>150</v>
      </c>
      <c r="F2673" s="3" t="s">
        <v>15</v>
      </c>
      <c r="G26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673" s="3" t="s">
        <v>151</v>
      </c>
      <c r="I2673" s="3" t="s">
        <v>31</v>
      </c>
      <c r="J2673" s="3" t="s">
        <v>53</v>
      </c>
      <c r="K2673" s="3" t="s">
        <v>71</v>
      </c>
      <c r="L2673" s="3" t="s">
        <v>72</v>
      </c>
      <c r="M2673" s="4">
        <v>724.66</v>
      </c>
    </row>
    <row r="2674">
      <c r="A2674" s="2">
        <v>45729</v>
      </c>
      <c r="B26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4" s="3" t="str">
        <f>YEAR(KMART_DATA[[#This Row],[Date]])&amp;"-"&amp;TEXT(MONTH(KMART_DATA[[#This Row],[Date]]),"00")</f>
        <v>2025-03</v>
      </c>
      <c r="D2674" s="3" t="s">
        <v>28</v>
      </c>
      <c r="E2674" s="3" t="s">
        <v>163</v>
      </c>
      <c r="F2674" s="3" t="s">
        <v>9</v>
      </c>
      <c r="G26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74" s="3" t="s">
        <v>164</v>
      </c>
      <c r="I2674" s="3" t="s">
        <v>31</v>
      </c>
      <c r="J2674" s="3" t="s">
        <v>81</v>
      </c>
      <c r="K2674" s="3" t="s">
        <v>95</v>
      </c>
      <c r="L2674" s="3" t="s">
        <v>96</v>
      </c>
      <c r="M2674" s="4">
        <v>2.99</v>
      </c>
    </row>
    <row r="2675">
      <c r="A2675" s="2">
        <v>45729</v>
      </c>
      <c r="B26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5" s="3" t="str">
        <f>YEAR(KMART_DATA[[#This Row],[Date]])&amp;"-"&amp;TEXT(MONTH(KMART_DATA[[#This Row],[Date]]),"00")</f>
        <v>2025-03</v>
      </c>
      <c r="D2675" s="3" t="s">
        <v>28</v>
      </c>
      <c r="E2675" s="3" t="s">
        <v>92</v>
      </c>
      <c r="F2675" s="3" t="s">
        <v>10</v>
      </c>
      <c r="G26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75" s="3" t="s">
        <v>93</v>
      </c>
      <c r="I2675" s="3" t="s">
        <v>31</v>
      </c>
      <c r="J2675" s="3" t="s">
        <v>94</v>
      </c>
      <c r="K2675" s="3" t="s">
        <v>43</v>
      </c>
      <c r="L2675" s="3" t="s">
        <v>44</v>
      </c>
      <c r="M2675" s="4">
        <v>31.49</v>
      </c>
    </row>
    <row r="2676">
      <c r="A2676" s="2">
        <v>45729</v>
      </c>
      <c r="B26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6" s="3" t="str">
        <f>YEAR(KMART_DATA[[#This Row],[Date]])&amp;"-"&amp;TEXT(MONTH(KMART_DATA[[#This Row],[Date]]),"00")</f>
        <v>2025-03</v>
      </c>
      <c r="D2676" s="3" t="s">
        <v>28</v>
      </c>
      <c r="E2676" s="3" t="s">
        <v>238</v>
      </c>
      <c r="F2676" s="3" t="s">
        <v>13</v>
      </c>
      <c r="G26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676" s="3" t="s">
        <v>239</v>
      </c>
      <c r="I2676" s="3" t="s">
        <v>31</v>
      </c>
      <c r="J2676" s="3" t="s">
        <v>42</v>
      </c>
      <c r="K2676" s="3" t="s">
        <v>112</v>
      </c>
      <c r="L2676" s="3" t="s">
        <v>113</v>
      </c>
      <c r="M2676" s="4">
        <v>71.39</v>
      </c>
    </row>
    <row r="2677">
      <c r="A2677" s="2">
        <v>45729</v>
      </c>
      <c r="B26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7" s="3" t="str">
        <f>YEAR(KMART_DATA[[#This Row],[Date]])&amp;"-"&amp;TEXT(MONTH(KMART_DATA[[#This Row],[Date]]),"00")</f>
        <v>2025-03</v>
      </c>
      <c r="D2677" s="3" t="s">
        <v>28</v>
      </c>
      <c r="E2677" s="3" t="s">
        <v>68</v>
      </c>
      <c r="F2677" s="3" t="s">
        <v>9</v>
      </c>
      <c r="G26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77" s="3" t="s">
        <v>69</v>
      </c>
      <c r="I2677" s="3" t="s">
        <v>31</v>
      </c>
      <c r="J2677" s="3" t="s">
        <v>70</v>
      </c>
      <c r="K2677" s="3" t="s">
        <v>112</v>
      </c>
      <c r="L2677" s="3" t="s">
        <v>113</v>
      </c>
      <c r="M2677" s="4">
        <v>386.15</v>
      </c>
    </row>
    <row r="2678">
      <c r="A2678" s="2">
        <v>45729</v>
      </c>
      <c r="B26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8" s="3" t="str">
        <f>YEAR(KMART_DATA[[#This Row],[Date]])&amp;"-"&amp;TEXT(MONTH(KMART_DATA[[#This Row],[Date]]),"00")</f>
        <v>2025-03</v>
      </c>
      <c r="D2678" s="3" t="s">
        <v>28</v>
      </c>
      <c r="E2678" s="3" t="s">
        <v>173</v>
      </c>
      <c r="F2678" s="3" t="s">
        <v>11</v>
      </c>
      <c r="G26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78" s="3" t="s">
        <v>174</v>
      </c>
      <c r="I2678" s="3" t="s">
        <v>31</v>
      </c>
      <c r="J2678" s="3" t="s">
        <v>61</v>
      </c>
      <c r="K2678" s="3" t="s">
        <v>71</v>
      </c>
      <c r="L2678" s="3" t="s">
        <v>72</v>
      </c>
      <c r="M2678" s="4">
        <v>462.49</v>
      </c>
    </row>
    <row r="2679">
      <c r="A2679" s="2">
        <v>45729</v>
      </c>
      <c r="B26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79" s="3" t="str">
        <f>YEAR(KMART_DATA[[#This Row],[Date]])&amp;"-"&amp;TEXT(MONTH(KMART_DATA[[#This Row],[Date]]),"00")</f>
        <v>2025-03</v>
      </c>
      <c r="D2679" s="3" t="s">
        <v>28</v>
      </c>
      <c r="E2679" s="3" t="s">
        <v>232</v>
      </c>
      <c r="F2679" s="3" t="s">
        <v>9</v>
      </c>
      <c r="G26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79" s="3" t="s">
        <v>233</v>
      </c>
      <c r="I2679" s="3" t="s">
        <v>31</v>
      </c>
      <c r="J2679" s="3" t="s">
        <v>75</v>
      </c>
      <c r="K2679" s="3" t="s">
        <v>66</v>
      </c>
      <c r="L2679" s="3" t="s">
        <v>67</v>
      </c>
      <c r="M2679" s="4">
        <v>891.4</v>
      </c>
    </row>
    <row r="2680">
      <c r="A2680" s="2">
        <v>45729</v>
      </c>
      <c r="B26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0" s="3" t="str">
        <f>YEAR(KMART_DATA[[#This Row],[Date]])&amp;"-"&amp;TEXT(MONTH(KMART_DATA[[#This Row],[Date]]),"00")</f>
        <v>2025-03</v>
      </c>
      <c r="D2680" s="3" t="s">
        <v>28</v>
      </c>
      <c r="E2680" s="3" t="s">
        <v>108</v>
      </c>
      <c r="F2680" s="3" t="s">
        <v>9</v>
      </c>
      <c r="G26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80" s="3" t="s">
        <v>109</v>
      </c>
      <c r="I2680" s="3" t="s">
        <v>31</v>
      </c>
      <c r="J2680" s="3" t="s">
        <v>75</v>
      </c>
      <c r="K2680" s="3" t="s">
        <v>43</v>
      </c>
      <c r="L2680" s="3" t="s">
        <v>44</v>
      </c>
      <c r="M2680" s="4">
        <v>1331.95</v>
      </c>
    </row>
    <row r="2681">
      <c r="A2681" s="2">
        <v>45729</v>
      </c>
      <c r="B26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1" s="3" t="str">
        <f>YEAR(KMART_DATA[[#This Row],[Date]])&amp;"-"&amp;TEXT(MONTH(KMART_DATA[[#This Row],[Date]]),"00")</f>
        <v>2025-03</v>
      </c>
      <c r="D2681" s="3" t="s">
        <v>28</v>
      </c>
      <c r="E2681" s="3" t="s">
        <v>154</v>
      </c>
      <c r="F2681" s="3" t="s">
        <v>11</v>
      </c>
      <c r="G26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81" s="3" t="s">
        <v>155</v>
      </c>
      <c r="I2681" s="3" t="s">
        <v>31</v>
      </c>
      <c r="J2681" s="3" t="s">
        <v>84</v>
      </c>
      <c r="K2681" s="3" t="s">
        <v>123</v>
      </c>
      <c r="L2681" s="3" t="s">
        <v>124</v>
      </c>
      <c r="M2681" s="4">
        <v>3229.35</v>
      </c>
    </row>
    <row r="2682">
      <c r="A2682" s="2">
        <v>45730</v>
      </c>
      <c r="B26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2" s="3" t="str">
        <f>YEAR(KMART_DATA[[#This Row],[Date]])&amp;"-"&amp;TEXT(MONTH(KMART_DATA[[#This Row],[Date]]),"00")</f>
        <v>2025-03</v>
      </c>
      <c r="D2682" s="3" t="s">
        <v>45</v>
      </c>
      <c r="E2682" s="3" t="s">
        <v>197</v>
      </c>
      <c r="F2682" s="3" t="s">
        <v>9</v>
      </c>
      <c r="G26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82" s="3" t="s">
        <v>198</v>
      </c>
      <c r="I2682" s="3" t="s">
        <v>31</v>
      </c>
      <c r="J2682" s="3" t="s">
        <v>107</v>
      </c>
      <c r="K2682" s="3" t="s">
        <v>95</v>
      </c>
      <c r="L2682" s="3" t="s">
        <v>96</v>
      </c>
      <c r="M2682" s="4">
        <v>127.82</v>
      </c>
    </row>
    <row r="2683">
      <c r="A2683" s="2">
        <v>45730</v>
      </c>
      <c r="B26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3" s="3" t="str">
        <f>YEAR(KMART_DATA[[#This Row],[Date]])&amp;"-"&amp;TEXT(MONTH(KMART_DATA[[#This Row],[Date]]),"00")</f>
        <v>2025-03</v>
      </c>
      <c r="D2683" s="3" t="s">
        <v>28</v>
      </c>
      <c r="E2683" s="3" t="s">
        <v>64</v>
      </c>
      <c r="F2683" s="3" t="s">
        <v>11</v>
      </c>
      <c r="G26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83" s="3" t="s">
        <v>65</v>
      </c>
      <c r="I2683" s="3" t="s">
        <v>31</v>
      </c>
      <c r="J2683" s="3" t="s">
        <v>61</v>
      </c>
      <c r="K2683" s="3" t="s">
        <v>95</v>
      </c>
      <c r="L2683" s="3" t="s">
        <v>96</v>
      </c>
      <c r="M2683" s="4">
        <v>315.27</v>
      </c>
    </row>
    <row r="2684">
      <c r="A2684" s="2">
        <v>45730</v>
      </c>
      <c r="B26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4" s="3" t="str">
        <f>YEAR(KMART_DATA[[#This Row],[Date]])&amp;"-"&amp;TEXT(MONTH(KMART_DATA[[#This Row],[Date]]),"00")</f>
        <v>2025-03</v>
      </c>
      <c r="D2684" s="3" t="s">
        <v>28</v>
      </c>
      <c r="E2684" s="3" t="s">
        <v>152</v>
      </c>
      <c r="F2684" s="3" t="s">
        <v>11</v>
      </c>
      <c r="G26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84" s="3" t="s">
        <v>153</v>
      </c>
      <c r="I2684" s="3" t="s">
        <v>31</v>
      </c>
      <c r="J2684" s="3" t="s">
        <v>61</v>
      </c>
      <c r="K2684" s="3" t="s">
        <v>57</v>
      </c>
      <c r="L2684" s="3" t="s">
        <v>58</v>
      </c>
      <c r="M2684" s="4">
        <v>678.63</v>
      </c>
    </row>
    <row r="2685">
      <c r="A2685" s="2">
        <v>45730</v>
      </c>
      <c r="B26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5" s="3" t="str">
        <f>YEAR(KMART_DATA[[#This Row],[Date]])&amp;"-"&amp;TEXT(MONTH(KMART_DATA[[#This Row],[Date]]),"00")</f>
        <v>2025-03</v>
      </c>
      <c r="D2685" s="3" t="s">
        <v>28</v>
      </c>
      <c r="E2685" s="3" t="s">
        <v>35</v>
      </c>
      <c r="F2685" s="3" t="s">
        <v>10</v>
      </c>
      <c r="G26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85" s="3" t="s">
        <v>36</v>
      </c>
      <c r="I2685" s="3" t="s">
        <v>31</v>
      </c>
      <c r="J2685" s="3" t="s">
        <v>37</v>
      </c>
      <c r="K2685" s="3" t="s">
        <v>71</v>
      </c>
      <c r="L2685" s="3" t="s">
        <v>72</v>
      </c>
      <c r="M2685" s="4">
        <v>1049.07</v>
      </c>
    </row>
    <row r="2686">
      <c r="A2686" s="2">
        <v>45730</v>
      </c>
      <c r="B26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6" s="3" t="str">
        <f>YEAR(KMART_DATA[[#This Row],[Date]])&amp;"-"&amp;TEXT(MONTH(KMART_DATA[[#This Row],[Date]]),"00")</f>
        <v>2025-03</v>
      </c>
      <c r="D2686" s="3" t="s">
        <v>28</v>
      </c>
      <c r="E2686" s="3" t="s">
        <v>85</v>
      </c>
      <c r="F2686" s="3" t="s">
        <v>9</v>
      </c>
      <c r="G26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86" s="3" t="s">
        <v>86</v>
      </c>
      <c r="I2686" s="3" t="s">
        <v>31</v>
      </c>
      <c r="J2686" s="3" t="s">
        <v>81</v>
      </c>
      <c r="K2686" s="3" t="s">
        <v>46</v>
      </c>
      <c r="L2686" s="3" t="s">
        <v>47</v>
      </c>
      <c r="M2686" s="4">
        <v>1088.47</v>
      </c>
    </row>
    <row r="2687">
      <c r="A2687" s="2">
        <v>45730</v>
      </c>
      <c r="B26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7" s="3" t="str">
        <f>YEAR(KMART_DATA[[#This Row],[Date]])&amp;"-"&amp;TEXT(MONTH(KMART_DATA[[#This Row],[Date]]),"00")</f>
        <v>2025-03</v>
      </c>
      <c r="D2687" s="3" t="s">
        <v>28</v>
      </c>
      <c r="E2687" s="3" t="s">
        <v>160</v>
      </c>
      <c r="F2687" s="3" t="s">
        <v>12</v>
      </c>
      <c r="G26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87" s="3" t="s">
        <v>161</v>
      </c>
      <c r="I2687" s="3" t="s">
        <v>31</v>
      </c>
      <c r="J2687" s="3" t="s">
        <v>162</v>
      </c>
      <c r="K2687" s="3" t="s">
        <v>95</v>
      </c>
      <c r="L2687" s="3" t="s">
        <v>96</v>
      </c>
      <c r="M2687" s="4">
        <v>4908.06</v>
      </c>
    </row>
    <row r="2688">
      <c r="A2688" s="2">
        <v>45730</v>
      </c>
      <c r="B26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8" s="3" t="str">
        <f>YEAR(KMART_DATA[[#This Row],[Date]])&amp;"-"&amp;TEXT(MONTH(KMART_DATA[[#This Row],[Date]]),"00")</f>
        <v>2025-03</v>
      </c>
      <c r="D2688" s="3" t="s">
        <v>28</v>
      </c>
      <c r="E2688" s="3" t="s">
        <v>211</v>
      </c>
      <c r="F2688" s="3" t="s">
        <v>9</v>
      </c>
      <c r="G26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88" s="3" t="s">
        <v>212</v>
      </c>
      <c r="I2688" s="3" t="s">
        <v>31</v>
      </c>
      <c r="J2688" s="3" t="s">
        <v>75</v>
      </c>
      <c r="K2688" s="3" t="s">
        <v>57</v>
      </c>
      <c r="L2688" s="3" t="s">
        <v>58</v>
      </c>
      <c r="M2688" s="4">
        <v>6198.02</v>
      </c>
    </row>
    <row r="2689">
      <c r="A2689" s="2">
        <v>45731</v>
      </c>
      <c r="B26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89" s="3" t="str">
        <f>YEAR(KMART_DATA[[#This Row],[Date]])&amp;"-"&amp;TEXT(MONTH(KMART_DATA[[#This Row],[Date]]),"00")</f>
        <v>2025-03</v>
      </c>
      <c r="D2689" s="3" t="s">
        <v>28</v>
      </c>
      <c r="E2689" s="3" t="s">
        <v>250</v>
      </c>
      <c r="F2689" s="3" t="s">
        <v>10</v>
      </c>
      <c r="G26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89" s="3" t="s">
        <v>251</v>
      </c>
      <c r="I2689" s="3" t="s">
        <v>31</v>
      </c>
      <c r="J2689" s="3" t="s">
        <v>37</v>
      </c>
      <c r="K2689" s="3" t="s">
        <v>43</v>
      </c>
      <c r="L2689" s="3" t="s">
        <v>44</v>
      </c>
      <c r="M2689" s="4">
        <v>45.89</v>
      </c>
    </row>
    <row r="2690">
      <c r="A2690" s="2">
        <v>45731</v>
      </c>
      <c r="B26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0" s="3" t="str">
        <f>YEAR(KMART_DATA[[#This Row],[Date]])&amp;"-"&amp;TEXT(MONTH(KMART_DATA[[#This Row],[Date]]),"00")</f>
        <v>2025-03</v>
      </c>
      <c r="D2690" s="3" t="s">
        <v>28</v>
      </c>
      <c r="E2690" s="3" t="s">
        <v>248</v>
      </c>
      <c r="F2690" s="3" t="s">
        <v>12</v>
      </c>
      <c r="G26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690" s="3" t="s">
        <v>249</v>
      </c>
      <c r="I2690" s="3" t="s">
        <v>31</v>
      </c>
      <c r="J2690" s="3" t="s">
        <v>162</v>
      </c>
      <c r="K2690" s="3" t="s">
        <v>43</v>
      </c>
      <c r="L2690" s="3" t="s">
        <v>44</v>
      </c>
      <c r="M2690" s="4">
        <v>48.0</v>
      </c>
    </row>
    <row r="2691">
      <c r="A2691" s="2">
        <v>45731</v>
      </c>
      <c r="B26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1" s="3" t="str">
        <f>YEAR(KMART_DATA[[#This Row],[Date]])&amp;"-"&amp;TEXT(MONTH(KMART_DATA[[#This Row],[Date]]),"00")</f>
        <v>2025-03</v>
      </c>
      <c r="D2691" s="3" t="s">
        <v>28</v>
      </c>
      <c r="E2691" s="3" t="s">
        <v>156</v>
      </c>
      <c r="F2691" s="3" t="s">
        <v>9</v>
      </c>
      <c r="G26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91" s="3" t="s">
        <v>157</v>
      </c>
      <c r="I2691" s="3" t="s">
        <v>31</v>
      </c>
      <c r="J2691" s="3" t="s">
        <v>75</v>
      </c>
      <c r="K2691" s="3" t="s">
        <v>46</v>
      </c>
      <c r="L2691" s="3" t="s">
        <v>47</v>
      </c>
      <c r="M2691" s="4">
        <v>53.0</v>
      </c>
    </row>
    <row r="2692">
      <c r="A2692" s="2">
        <v>45731</v>
      </c>
      <c r="B26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2" s="3" t="str">
        <f>YEAR(KMART_DATA[[#This Row],[Date]])&amp;"-"&amp;TEXT(MONTH(KMART_DATA[[#This Row],[Date]]),"00")</f>
        <v>2025-03</v>
      </c>
      <c r="D2692" s="3" t="s">
        <v>28</v>
      </c>
      <c r="E2692" s="3" t="s">
        <v>217</v>
      </c>
      <c r="F2692" s="3" t="s">
        <v>10</v>
      </c>
      <c r="G26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92" s="3" t="s">
        <v>218</v>
      </c>
      <c r="I2692" s="3" t="s">
        <v>31</v>
      </c>
      <c r="J2692" s="3" t="s">
        <v>89</v>
      </c>
      <c r="K2692" s="3" t="s">
        <v>43</v>
      </c>
      <c r="L2692" s="3" t="s">
        <v>44</v>
      </c>
      <c r="M2692" s="4">
        <v>90.44</v>
      </c>
    </row>
    <row r="2693">
      <c r="A2693" s="2">
        <v>45731</v>
      </c>
      <c r="B26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3" s="3" t="str">
        <f>YEAR(KMART_DATA[[#This Row],[Date]])&amp;"-"&amp;TEXT(MONTH(KMART_DATA[[#This Row],[Date]]),"00")</f>
        <v>2025-03</v>
      </c>
      <c r="D2693" s="3" t="s">
        <v>28</v>
      </c>
      <c r="E2693" s="3" t="s">
        <v>232</v>
      </c>
      <c r="F2693" s="3" t="s">
        <v>9</v>
      </c>
      <c r="G26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93" s="3" t="s">
        <v>233</v>
      </c>
      <c r="I2693" s="3" t="s">
        <v>31</v>
      </c>
      <c r="J2693" s="3" t="s">
        <v>75</v>
      </c>
      <c r="K2693" s="3" t="s">
        <v>95</v>
      </c>
      <c r="L2693" s="3" t="s">
        <v>96</v>
      </c>
      <c r="M2693" s="4">
        <v>112.0</v>
      </c>
    </row>
    <row r="2694">
      <c r="A2694" s="2">
        <v>45731</v>
      </c>
      <c r="B26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4" s="3" t="str">
        <f>YEAR(KMART_DATA[[#This Row],[Date]])&amp;"-"&amp;TEXT(MONTH(KMART_DATA[[#This Row],[Date]]),"00")</f>
        <v>2025-03</v>
      </c>
      <c r="D2694" s="3" t="s">
        <v>45</v>
      </c>
      <c r="E2694" s="3" t="s">
        <v>250</v>
      </c>
      <c r="F2694" s="3" t="s">
        <v>10</v>
      </c>
      <c r="G26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694" s="3" t="s">
        <v>251</v>
      </c>
      <c r="I2694" s="3" t="s">
        <v>31</v>
      </c>
      <c r="J2694" s="3" t="s">
        <v>37</v>
      </c>
      <c r="K2694" s="3" t="s">
        <v>112</v>
      </c>
      <c r="L2694" s="3" t="s">
        <v>113</v>
      </c>
      <c r="M2694" s="4">
        <v>417.07</v>
      </c>
    </row>
    <row r="2695">
      <c r="A2695" s="2">
        <v>45731</v>
      </c>
      <c r="B26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5" s="3" t="str">
        <f>YEAR(KMART_DATA[[#This Row],[Date]])&amp;"-"&amp;TEXT(MONTH(KMART_DATA[[#This Row],[Date]]),"00")</f>
        <v>2025-03</v>
      </c>
      <c r="D2695" s="3" t="s">
        <v>28</v>
      </c>
      <c r="E2695" s="3" t="s">
        <v>110</v>
      </c>
      <c r="F2695" s="3" t="s">
        <v>9</v>
      </c>
      <c r="G26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95" s="3" t="s">
        <v>111</v>
      </c>
      <c r="I2695" s="3" t="s">
        <v>31</v>
      </c>
      <c r="J2695" s="3" t="s">
        <v>81</v>
      </c>
      <c r="K2695" s="3" t="s">
        <v>43</v>
      </c>
      <c r="L2695" s="3" t="s">
        <v>44</v>
      </c>
      <c r="M2695" s="4">
        <v>3650.85</v>
      </c>
    </row>
    <row r="2696">
      <c r="A2696" s="2">
        <v>45732</v>
      </c>
      <c r="B26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6" s="3" t="str">
        <f>YEAR(KMART_DATA[[#This Row],[Date]])&amp;"-"&amp;TEXT(MONTH(KMART_DATA[[#This Row],[Date]]),"00")</f>
        <v>2025-03</v>
      </c>
      <c r="D2696" s="3" t="s">
        <v>28</v>
      </c>
      <c r="E2696" s="3" t="s">
        <v>189</v>
      </c>
      <c r="F2696" s="3" t="s">
        <v>9</v>
      </c>
      <c r="G26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696" s="3" t="s">
        <v>190</v>
      </c>
      <c r="I2696" s="3" t="s">
        <v>31</v>
      </c>
      <c r="J2696" s="3" t="s">
        <v>81</v>
      </c>
      <c r="K2696" s="3" t="s">
        <v>71</v>
      </c>
      <c r="L2696" s="3" t="s">
        <v>72</v>
      </c>
      <c r="M2696" s="4">
        <v>3.0</v>
      </c>
    </row>
    <row r="2697">
      <c r="A2697" s="2">
        <v>45732</v>
      </c>
      <c r="B26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7" s="3" t="str">
        <f>YEAR(KMART_DATA[[#This Row],[Date]])&amp;"-"&amp;TEXT(MONTH(KMART_DATA[[#This Row],[Date]]),"00")</f>
        <v>2025-03</v>
      </c>
      <c r="D2697" s="3" t="s">
        <v>28</v>
      </c>
      <c r="E2697" s="3" t="s">
        <v>59</v>
      </c>
      <c r="F2697" s="3" t="s">
        <v>11</v>
      </c>
      <c r="G26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697" s="3" t="s">
        <v>60</v>
      </c>
      <c r="I2697" s="3" t="s">
        <v>31</v>
      </c>
      <c r="J2697" s="3" t="s">
        <v>61</v>
      </c>
      <c r="K2697" s="3" t="s">
        <v>33</v>
      </c>
      <c r="L2697" s="3" t="s">
        <v>34</v>
      </c>
      <c r="M2697" s="4">
        <v>366.19</v>
      </c>
    </row>
    <row r="2698">
      <c r="A2698" s="2">
        <v>45732</v>
      </c>
      <c r="B26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8" s="3" t="str">
        <f>YEAR(KMART_DATA[[#This Row],[Date]])&amp;"-"&amp;TEXT(MONTH(KMART_DATA[[#This Row],[Date]]),"00")</f>
        <v>2025-03</v>
      </c>
      <c r="D2698" s="3" t="s">
        <v>28</v>
      </c>
      <c r="E2698" s="3" t="s">
        <v>143</v>
      </c>
      <c r="F2698" s="3" t="s">
        <v>14</v>
      </c>
      <c r="G26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698" s="3" t="s">
        <v>144</v>
      </c>
      <c r="I2698" s="3" t="s">
        <v>31</v>
      </c>
      <c r="J2698" s="3" t="s">
        <v>145</v>
      </c>
      <c r="K2698" s="3" t="s">
        <v>71</v>
      </c>
      <c r="L2698" s="3" t="s">
        <v>72</v>
      </c>
      <c r="M2698" s="4">
        <v>2210.59</v>
      </c>
    </row>
    <row r="2699">
      <c r="A2699" s="2">
        <v>45733</v>
      </c>
      <c r="B26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699" s="3" t="str">
        <f>YEAR(KMART_DATA[[#This Row],[Date]])&amp;"-"&amp;TEXT(MONTH(KMART_DATA[[#This Row],[Date]]),"00")</f>
        <v>2025-03</v>
      </c>
      <c r="D2699" s="3" t="s">
        <v>45</v>
      </c>
      <c r="E2699" s="3" t="s">
        <v>150</v>
      </c>
      <c r="F2699" s="3" t="s">
        <v>15</v>
      </c>
      <c r="G26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699" s="3" t="s">
        <v>151</v>
      </c>
      <c r="I2699" s="3" t="s">
        <v>31</v>
      </c>
      <c r="J2699" s="3" t="s">
        <v>53</v>
      </c>
      <c r="K2699" s="3" t="s">
        <v>71</v>
      </c>
      <c r="L2699" s="3" t="s">
        <v>72</v>
      </c>
      <c r="M2699" s="4">
        <v>26.97</v>
      </c>
    </row>
    <row r="2700">
      <c r="A2700" s="2">
        <v>45733</v>
      </c>
      <c r="B27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0" s="3" t="str">
        <f>YEAR(KMART_DATA[[#This Row],[Date]])&amp;"-"&amp;TEXT(MONTH(KMART_DATA[[#This Row],[Date]]),"00")</f>
        <v>2025-03</v>
      </c>
      <c r="D2700" s="3" t="s">
        <v>45</v>
      </c>
      <c r="E2700" s="3" t="s">
        <v>68</v>
      </c>
      <c r="F2700" s="3" t="s">
        <v>9</v>
      </c>
      <c r="G27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00" s="3" t="s">
        <v>69</v>
      </c>
      <c r="I2700" s="3" t="s">
        <v>31</v>
      </c>
      <c r="J2700" s="3" t="s">
        <v>70</v>
      </c>
      <c r="K2700" s="3" t="s">
        <v>112</v>
      </c>
      <c r="L2700" s="3" t="s">
        <v>113</v>
      </c>
      <c r="M2700" s="4">
        <v>39.95</v>
      </c>
    </row>
    <row r="2701">
      <c r="A2701" s="2">
        <v>45733</v>
      </c>
      <c r="B27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1" s="3" t="str">
        <f>YEAR(KMART_DATA[[#This Row],[Date]])&amp;"-"&amp;TEXT(MONTH(KMART_DATA[[#This Row],[Date]]),"00")</f>
        <v>2025-03</v>
      </c>
      <c r="D2701" s="3" t="s">
        <v>28</v>
      </c>
      <c r="E2701" s="3" t="s">
        <v>248</v>
      </c>
      <c r="F2701" s="3" t="s">
        <v>12</v>
      </c>
      <c r="G27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01" s="3" t="s">
        <v>249</v>
      </c>
      <c r="I2701" s="3" t="s">
        <v>31</v>
      </c>
      <c r="J2701" s="3" t="s">
        <v>162</v>
      </c>
      <c r="K2701" s="3" t="s">
        <v>43</v>
      </c>
      <c r="L2701" s="3" t="s">
        <v>44</v>
      </c>
      <c r="M2701" s="4">
        <v>109.91</v>
      </c>
    </row>
    <row r="2702">
      <c r="A2702" s="2">
        <v>45734</v>
      </c>
      <c r="B27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2" s="3" t="str">
        <f>YEAR(KMART_DATA[[#This Row],[Date]])&amp;"-"&amp;TEXT(MONTH(KMART_DATA[[#This Row],[Date]]),"00")</f>
        <v>2025-03</v>
      </c>
      <c r="D2702" s="3" t="s">
        <v>28</v>
      </c>
      <c r="E2702" s="3" t="s">
        <v>258</v>
      </c>
      <c r="F2702" s="3" t="s">
        <v>14</v>
      </c>
      <c r="G27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702" s="3" t="s">
        <v>259</v>
      </c>
      <c r="I2702" s="3" t="s">
        <v>31</v>
      </c>
      <c r="J2702" s="3" t="s">
        <v>145</v>
      </c>
      <c r="K2702" s="3" t="s">
        <v>33</v>
      </c>
      <c r="L2702" s="3" t="s">
        <v>34</v>
      </c>
      <c r="M2702" s="4">
        <v>13.27</v>
      </c>
    </row>
    <row r="2703">
      <c r="A2703" s="2">
        <v>45734</v>
      </c>
      <c r="B27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3" s="3" t="str">
        <f>YEAR(KMART_DATA[[#This Row],[Date]])&amp;"-"&amp;TEXT(MONTH(KMART_DATA[[#This Row],[Date]]),"00")</f>
        <v>2025-03</v>
      </c>
      <c r="D2703" s="3" t="s">
        <v>45</v>
      </c>
      <c r="E2703" s="3" t="s">
        <v>211</v>
      </c>
      <c r="F2703" s="3" t="s">
        <v>9</v>
      </c>
      <c r="G27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03" s="3" t="s">
        <v>212</v>
      </c>
      <c r="I2703" s="3" t="s">
        <v>31</v>
      </c>
      <c r="J2703" s="3" t="s">
        <v>75</v>
      </c>
      <c r="K2703" s="3" t="s">
        <v>38</v>
      </c>
      <c r="L2703" s="3" t="s">
        <v>39</v>
      </c>
      <c r="M2703" s="4">
        <v>17.97</v>
      </c>
    </row>
    <row r="2704">
      <c r="A2704" s="2">
        <v>45734</v>
      </c>
      <c r="B27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4" s="3" t="str">
        <f>YEAR(KMART_DATA[[#This Row],[Date]])&amp;"-"&amp;TEXT(MONTH(KMART_DATA[[#This Row],[Date]]),"00")</f>
        <v>2025-03</v>
      </c>
      <c r="D2704" s="3" t="s">
        <v>28</v>
      </c>
      <c r="E2704" s="3" t="s">
        <v>165</v>
      </c>
      <c r="F2704" s="3" t="s">
        <v>9</v>
      </c>
      <c r="G27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04" s="3" t="s">
        <v>166</v>
      </c>
      <c r="I2704" s="3" t="s">
        <v>31</v>
      </c>
      <c r="J2704" s="3" t="s">
        <v>99</v>
      </c>
      <c r="K2704" s="3" t="s">
        <v>43</v>
      </c>
      <c r="L2704" s="3" t="s">
        <v>44</v>
      </c>
      <c r="M2704" s="4">
        <v>245.79</v>
      </c>
    </row>
    <row r="2705">
      <c r="A2705" s="2">
        <v>45734</v>
      </c>
      <c r="B27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5" s="3" t="str">
        <f>YEAR(KMART_DATA[[#This Row],[Date]])&amp;"-"&amp;TEXT(MONTH(KMART_DATA[[#This Row],[Date]]),"00")</f>
        <v>2025-03</v>
      </c>
      <c r="D2705" s="3" t="s">
        <v>45</v>
      </c>
      <c r="E2705" s="3" t="s">
        <v>90</v>
      </c>
      <c r="F2705" s="3" t="s">
        <v>10</v>
      </c>
      <c r="G27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05" s="3" t="s">
        <v>91</v>
      </c>
      <c r="I2705" s="3" t="s">
        <v>31</v>
      </c>
      <c r="J2705" s="3" t="s">
        <v>37</v>
      </c>
      <c r="K2705" s="3" t="s">
        <v>57</v>
      </c>
      <c r="L2705" s="3" t="s">
        <v>58</v>
      </c>
      <c r="M2705" s="4">
        <v>1007.15</v>
      </c>
    </row>
    <row r="2706">
      <c r="A2706" s="2">
        <v>45734</v>
      </c>
      <c r="B27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6" s="3" t="str">
        <f>YEAR(KMART_DATA[[#This Row],[Date]])&amp;"-"&amp;TEXT(MONTH(KMART_DATA[[#This Row],[Date]]),"00")</f>
        <v>2025-03</v>
      </c>
      <c r="D2706" s="3" t="s">
        <v>28</v>
      </c>
      <c r="E2706" s="3" t="s">
        <v>203</v>
      </c>
      <c r="F2706" s="3" t="s">
        <v>10</v>
      </c>
      <c r="G27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06" s="3" t="s">
        <v>204</v>
      </c>
      <c r="I2706" s="3" t="s">
        <v>31</v>
      </c>
      <c r="J2706" s="3" t="s">
        <v>89</v>
      </c>
      <c r="K2706" s="3" t="s">
        <v>33</v>
      </c>
      <c r="L2706" s="3" t="s">
        <v>34</v>
      </c>
      <c r="M2706" s="4">
        <v>2268.62</v>
      </c>
    </row>
    <row r="2707">
      <c r="A2707" s="2">
        <v>45735</v>
      </c>
      <c r="B27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7" s="3" t="str">
        <f>YEAR(KMART_DATA[[#This Row],[Date]])&amp;"-"&amp;TEXT(MONTH(KMART_DATA[[#This Row],[Date]]),"00")</f>
        <v>2025-03</v>
      </c>
      <c r="D2707" s="3" t="s">
        <v>28</v>
      </c>
      <c r="E2707" s="3" t="s">
        <v>217</v>
      </c>
      <c r="F2707" s="3" t="s">
        <v>10</v>
      </c>
      <c r="G27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07" s="3" t="s">
        <v>218</v>
      </c>
      <c r="I2707" s="3" t="s">
        <v>31</v>
      </c>
      <c r="J2707" s="3" t="s">
        <v>89</v>
      </c>
      <c r="K2707" s="3" t="s">
        <v>112</v>
      </c>
      <c r="L2707" s="3" t="s">
        <v>113</v>
      </c>
      <c r="M2707" s="4">
        <v>16.91</v>
      </c>
    </row>
    <row r="2708">
      <c r="A2708" s="2">
        <v>45735</v>
      </c>
      <c r="B27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8" s="3" t="str">
        <f>YEAR(KMART_DATA[[#This Row],[Date]])&amp;"-"&amp;TEXT(MONTH(KMART_DATA[[#This Row],[Date]]),"00")</f>
        <v>2025-03</v>
      </c>
      <c r="D2708" s="3" t="s">
        <v>45</v>
      </c>
      <c r="E2708" s="3" t="s">
        <v>183</v>
      </c>
      <c r="F2708" s="3" t="s">
        <v>9</v>
      </c>
      <c r="G27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08" s="3" t="s">
        <v>184</v>
      </c>
      <c r="I2708" s="3" t="s">
        <v>31</v>
      </c>
      <c r="J2708" s="3" t="s">
        <v>70</v>
      </c>
      <c r="K2708" s="3" t="s">
        <v>66</v>
      </c>
      <c r="L2708" s="3" t="s">
        <v>67</v>
      </c>
      <c r="M2708" s="4">
        <v>48.09</v>
      </c>
    </row>
    <row r="2709">
      <c r="A2709" s="2">
        <v>45735</v>
      </c>
      <c r="B27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09" s="3" t="str">
        <f>YEAR(KMART_DATA[[#This Row],[Date]])&amp;"-"&amp;TEXT(MONTH(KMART_DATA[[#This Row],[Date]]),"00")</f>
        <v>2025-03</v>
      </c>
      <c r="D2709" s="3" t="s">
        <v>28</v>
      </c>
      <c r="E2709" s="3" t="s">
        <v>167</v>
      </c>
      <c r="F2709" s="3" t="s">
        <v>12</v>
      </c>
      <c r="G27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09" s="3" t="s">
        <v>168</v>
      </c>
      <c r="I2709" s="3" t="s">
        <v>31</v>
      </c>
      <c r="J2709" s="3" t="s">
        <v>102</v>
      </c>
      <c r="K2709" s="3" t="s">
        <v>71</v>
      </c>
      <c r="L2709" s="3" t="s">
        <v>72</v>
      </c>
      <c r="M2709" s="4">
        <v>194.85</v>
      </c>
    </row>
    <row r="2710">
      <c r="A2710" s="2">
        <v>45735</v>
      </c>
      <c r="B27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0" s="3" t="str">
        <f>YEAR(KMART_DATA[[#This Row],[Date]])&amp;"-"&amp;TEXT(MONTH(KMART_DATA[[#This Row],[Date]]),"00")</f>
        <v>2025-03</v>
      </c>
      <c r="D2710" s="3" t="s">
        <v>28</v>
      </c>
      <c r="E2710" s="3" t="s">
        <v>264</v>
      </c>
      <c r="F2710" s="3" t="s">
        <v>13</v>
      </c>
      <c r="G27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710" s="3" t="s">
        <v>265</v>
      </c>
      <c r="I2710" s="3" t="s">
        <v>31</v>
      </c>
      <c r="J2710" s="3" t="s">
        <v>42</v>
      </c>
      <c r="K2710" s="3" t="s">
        <v>123</v>
      </c>
      <c r="L2710" s="3" t="s">
        <v>124</v>
      </c>
      <c r="M2710" s="4">
        <v>306.89</v>
      </c>
    </row>
    <row r="2711">
      <c r="A2711" s="2">
        <v>45735</v>
      </c>
      <c r="B27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1" s="3" t="str">
        <f>YEAR(KMART_DATA[[#This Row],[Date]])&amp;"-"&amp;TEXT(MONTH(KMART_DATA[[#This Row],[Date]]),"00")</f>
        <v>2025-03</v>
      </c>
      <c r="D2711" s="3" t="s">
        <v>28</v>
      </c>
      <c r="E2711" s="3" t="s">
        <v>177</v>
      </c>
      <c r="F2711" s="3" t="s">
        <v>12</v>
      </c>
      <c r="G27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11" s="3" t="s">
        <v>178</v>
      </c>
      <c r="I2711" s="3" t="s">
        <v>31</v>
      </c>
      <c r="J2711" s="3" t="s">
        <v>162</v>
      </c>
      <c r="K2711" s="3" t="s">
        <v>95</v>
      </c>
      <c r="L2711" s="3" t="s">
        <v>96</v>
      </c>
      <c r="M2711" s="4">
        <v>1066.9</v>
      </c>
    </row>
    <row r="2712">
      <c r="A2712" s="2">
        <v>45735</v>
      </c>
      <c r="B27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2" s="3" t="str">
        <f>YEAR(KMART_DATA[[#This Row],[Date]])&amp;"-"&amp;TEXT(MONTH(KMART_DATA[[#This Row],[Date]]),"00")</f>
        <v>2025-03</v>
      </c>
      <c r="D2712" s="3" t="s">
        <v>28</v>
      </c>
      <c r="E2712" s="3" t="s">
        <v>35</v>
      </c>
      <c r="F2712" s="3" t="s">
        <v>10</v>
      </c>
      <c r="G27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12" s="3" t="s">
        <v>36</v>
      </c>
      <c r="I2712" s="3" t="s">
        <v>31</v>
      </c>
      <c r="J2712" s="3" t="s">
        <v>37</v>
      </c>
      <c r="K2712" s="3" t="s">
        <v>95</v>
      </c>
      <c r="L2712" s="3" t="s">
        <v>96</v>
      </c>
      <c r="M2712" s="4">
        <v>1644.09</v>
      </c>
    </row>
    <row r="2713">
      <c r="A2713" s="2">
        <v>45736</v>
      </c>
      <c r="B27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3" s="3" t="str">
        <f>YEAR(KMART_DATA[[#This Row],[Date]])&amp;"-"&amp;TEXT(MONTH(KMART_DATA[[#This Row],[Date]]),"00")</f>
        <v>2025-03</v>
      </c>
      <c r="D2713" s="3" t="s">
        <v>28</v>
      </c>
      <c r="E2713" s="3" t="s">
        <v>35</v>
      </c>
      <c r="F2713" s="3" t="s">
        <v>10</v>
      </c>
      <c r="G27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13" s="3" t="s">
        <v>36</v>
      </c>
      <c r="I2713" s="3" t="s">
        <v>31</v>
      </c>
      <c r="J2713" s="3" t="s">
        <v>37</v>
      </c>
      <c r="K2713" s="3" t="s">
        <v>33</v>
      </c>
      <c r="L2713" s="3" t="s">
        <v>34</v>
      </c>
      <c r="M2713" s="4">
        <v>62.91</v>
      </c>
    </row>
    <row r="2714">
      <c r="A2714" s="2">
        <v>45736</v>
      </c>
      <c r="B27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4" s="3" t="str">
        <f>YEAR(KMART_DATA[[#This Row],[Date]])&amp;"-"&amp;TEXT(MONTH(KMART_DATA[[#This Row],[Date]]),"00")</f>
        <v>2025-03</v>
      </c>
      <c r="D2714" s="3" t="s">
        <v>28</v>
      </c>
      <c r="E2714" s="3" t="s">
        <v>240</v>
      </c>
      <c r="F2714" s="3" t="s">
        <v>15</v>
      </c>
      <c r="G27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714" s="3" t="s">
        <v>241</v>
      </c>
      <c r="I2714" s="3" t="s">
        <v>31</v>
      </c>
      <c r="J2714" s="3" t="s">
        <v>53</v>
      </c>
      <c r="K2714" s="3" t="s">
        <v>46</v>
      </c>
      <c r="L2714" s="3" t="s">
        <v>47</v>
      </c>
      <c r="M2714" s="4">
        <v>77.94</v>
      </c>
    </row>
    <row r="2715">
      <c r="A2715" s="2">
        <v>45736</v>
      </c>
      <c r="B27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5" s="3" t="str">
        <f>YEAR(KMART_DATA[[#This Row],[Date]])&amp;"-"&amp;TEXT(MONTH(KMART_DATA[[#This Row],[Date]]),"00")</f>
        <v>2025-03</v>
      </c>
      <c r="D2715" s="3" t="s">
        <v>28</v>
      </c>
      <c r="E2715" s="3" t="s">
        <v>73</v>
      </c>
      <c r="F2715" s="3" t="s">
        <v>9</v>
      </c>
      <c r="G27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15" s="3" t="s">
        <v>74</v>
      </c>
      <c r="I2715" s="3" t="s">
        <v>31</v>
      </c>
      <c r="J2715" s="3" t="s">
        <v>75</v>
      </c>
      <c r="K2715" s="3" t="s">
        <v>112</v>
      </c>
      <c r="L2715" s="3" t="s">
        <v>113</v>
      </c>
      <c r="M2715" s="4">
        <v>349.18</v>
      </c>
    </row>
    <row r="2716">
      <c r="A2716" s="2">
        <v>45736</v>
      </c>
      <c r="B27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6" s="3" t="str">
        <f>YEAR(KMART_DATA[[#This Row],[Date]])&amp;"-"&amp;TEXT(MONTH(KMART_DATA[[#This Row],[Date]]),"00")</f>
        <v>2025-03</v>
      </c>
      <c r="D2716" s="3" t="s">
        <v>28</v>
      </c>
      <c r="E2716" s="3" t="s">
        <v>240</v>
      </c>
      <c r="F2716" s="3" t="s">
        <v>15</v>
      </c>
      <c r="G27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716" s="3" t="s">
        <v>241</v>
      </c>
      <c r="I2716" s="3" t="s">
        <v>31</v>
      </c>
      <c r="J2716" s="3" t="s">
        <v>53</v>
      </c>
      <c r="K2716" s="3" t="s">
        <v>46</v>
      </c>
      <c r="L2716" s="3" t="s">
        <v>47</v>
      </c>
      <c r="M2716" s="4">
        <v>1343.96</v>
      </c>
    </row>
    <row r="2717">
      <c r="A2717" s="2">
        <v>45736</v>
      </c>
      <c r="B27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7" s="3" t="str">
        <f>YEAR(KMART_DATA[[#This Row],[Date]])&amp;"-"&amp;TEXT(MONTH(KMART_DATA[[#This Row],[Date]]),"00")</f>
        <v>2025-03</v>
      </c>
      <c r="D2717" s="3" t="s">
        <v>45</v>
      </c>
      <c r="E2717" s="3" t="s">
        <v>148</v>
      </c>
      <c r="F2717" s="3" t="s">
        <v>12</v>
      </c>
      <c r="G27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17" s="3" t="s">
        <v>149</v>
      </c>
      <c r="I2717" s="3" t="s">
        <v>31</v>
      </c>
      <c r="J2717" s="3" t="s">
        <v>50</v>
      </c>
      <c r="K2717" s="3" t="s">
        <v>46</v>
      </c>
      <c r="L2717" s="3" t="s">
        <v>47</v>
      </c>
      <c r="M2717" s="4">
        <v>1416.15</v>
      </c>
    </row>
    <row r="2718">
      <c r="A2718" s="2">
        <v>45737</v>
      </c>
      <c r="B27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8" s="3" t="str">
        <f>YEAR(KMART_DATA[[#This Row],[Date]])&amp;"-"&amp;TEXT(MONTH(KMART_DATA[[#This Row],[Date]]),"00")</f>
        <v>2025-03</v>
      </c>
      <c r="D2718" s="3" t="s">
        <v>28</v>
      </c>
      <c r="E2718" s="3" t="s">
        <v>203</v>
      </c>
      <c r="F2718" s="3" t="s">
        <v>10</v>
      </c>
      <c r="G27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18" s="3" t="s">
        <v>204</v>
      </c>
      <c r="I2718" s="3" t="s">
        <v>31</v>
      </c>
      <c r="J2718" s="3" t="s">
        <v>89</v>
      </c>
      <c r="K2718" s="3" t="s">
        <v>33</v>
      </c>
      <c r="L2718" s="3" t="s">
        <v>34</v>
      </c>
      <c r="M2718" s="4">
        <v>33.94</v>
      </c>
    </row>
    <row r="2719">
      <c r="A2719" s="2">
        <v>45737</v>
      </c>
      <c r="B27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19" s="3" t="str">
        <f>YEAR(KMART_DATA[[#This Row],[Date]])&amp;"-"&amp;TEXT(MONTH(KMART_DATA[[#This Row],[Date]]),"00")</f>
        <v>2025-03</v>
      </c>
      <c r="D2719" s="3" t="s">
        <v>28</v>
      </c>
      <c r="E2719" s="3" t="s">
        <v>234</v>
      </c>
      <c r="F2719" s="3" t="s">
        <v>9</v>
      </c>
      <c r="G27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19" s="3" t="s">
        <v>235</v>
      </c>
      <c r="I2719" s="3" t="s">
        <v>31</v>
      </c>
      <c r="J2719" s="3" t="s">
        <v>81</v>
      </c>
      <c r="K2719" s="3" t="s">
        <v>57</v>
      </c>
      <c r="L2719" s="3" t="s">
        <v>58</v>
      </c>
      <c r="M2719" s="4">
        <v>51.96</v>
      </c>
    </row>
    <row r="2720">
      <c r="A2720" s="2">
        <v>45737</v>
      </c>
      <c r="B27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0" s="3" t="str">
        <f>YEAR(KMART_DATA[[#This Row],[Date]])&amp;"-"&amp;TEXT(MONTH(KMART_DATA[[#This Row],[Date]]),"00")</f>
        <v>2025-03</v>
      </c>
      <c r="D2720" s="3" t="s">
        <v>45</v>
      </c>
      <c r="E2720" s="3" t="s">
        <v>62</v>
      </c>
      <c r="F2720" s="3" t="s">
        <v>12</v>
      </c>
      <c r="G27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20" s="3" t="s">
        <v>63</v>
      </c>
      <c r="I2720" s="3" t="s">
        <v>31</v>
      </c>
      <c r="J2720" s="3" t="s">
        <v>50</v>
      </c>
      <c r="K2720" s="3" t="s">
        <v>43</v>
      </c>
      <c r="L2720" s="3" t="s">
        <v>44</v>
      </c>
      <c r="M2720" s="4">
        <v>293.67</v>
      </c>
    </row>
    <row r="2721">
      <c r="A2721" s="2">
        <v>45737</v>
      </c>
      <c r="B27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1" s="3" t="str">
        <f>YEAR(KMART_DATA[[#This Row],[Date]])&amp;"-"&amp;TEXT(MONTH(KMART_DATA[[#This Row],[Date]]),"00")</f>
        <v>2025-03</v>
      </c>
      <c r="D2721" s="3" t="s">
        <v>45</v>
      </c>
      <c r="E2721" s="3" t="s">
        <v>114</v>
      </c>
      <c r="F2721" s="3" t="s">
        <v>9</v>
      </c>
      <c r="G27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21" s="3" t="s">
        <v>115</v>
      </c>
      <c r="I2721" s="3" t="s">
        <v>31</v>
      </c>
      <c r="J2721" s="3" t="s">
        <v>99</v>
      </c>
      <c r="K2721" s="3" t="s">
        <v>95</v>
      </c>
      <c r="L2721" s="3" t="s">
        <v>96</v>
      </c>
      <c r="M2721" s="4">
        <v>379.43</v>
      </c>
    </row>
    <row r="2722">
      <c r="A2722" s="2">
        <v>45737</v>
      </c>
      <c r="B27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2" s="3" t="str">
        <f>YEAR(KMART_DATA[[#This Row],[Date]])&amp;"-"&amp;TEXT(MONTH(KMART_DATA[[#This Row],[Date]]),"00")</f>
        <v>2025-03</v>
      </c>
      <c r="D2722" s="3" t="s">
        <v>28</v>
      </c>
      <c r="E2722" s="3" t="s">
        <v>62</v>
      </c>
      <c r="F2722" s="3" t="s">
        <v>12</v>
      </c>
      <c r="G27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22" s="3" t="s">
        <v>63</v>
      </c>
      <c r="I2722" s="3" t="s">
        <v>31</v>
      </c>
      <c r="J2722" s="3" t="s">
        <v>50</v>
      </c>
      <c r="K2722" s="3" t="s">
        <v>43</v>
      </c>
      <c r="L2722" s="3" t="s">
        <v>44</v>
      </c>
      <c r="M2722" s="4">
        <v>1335.79</v>
      </c>
    </row>
    <row r="2723">
      <c r="A2723" s="2">
        <v>45737</v>
      </c>
      <c r="B27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3" s="3" t="str">
        <f>YEAR(KMART_DATA[[#This Row],[Date]])&amp;"-"&amp;TEXT(MONTH(KMART_DATA[[#This Row],[Date]]),"00")</f>
        <v>2025-03</v>
      </c>
      <c r="D2723" s="3" t="s">
        <v>28</v>
      </c>
      <c r="E2723" s="3" t="s">
        <v>97</v>
      </c>
      <c r="F2723" s="3" t="s">
        <v>9</v>
      </c>
      <c r="G27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23" s="3" t="s">
        <v>98</v>
      </c>
      <c r="I2723" s="3" t="s">
        <v>31</v>
      </c>
      <c r="J2723" s="3" t="s">
        <v>99</v>
      </c>
      <c r="K2723" s="3" t="s">
        <v>71</v>
      </c>
      <c r="L2723" s="3" t="s">
        <v>72</v>
      </c>
      <c r="M2723" s="4">
        <v>2005.4</v>
      </c>
    </row>
    <row r="2724">
      <c r="A2724" s="2">
        <v>45737</v>
      </c>
      <c r="B27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4" s="3" t="str">
        <f>YEAR(KMART_DATA[[#This Row],[Date]])&amp;"-"&amp;TEXT(MONTH(KMART_DATA[[#This Row],[Date]]),"00")</f>
        <v>2025-03</v>
      </c>
      <c r="D2724" s="3" t="s">
        <v>28</v>
      </c>
      <c r="E2724" s="3" t="s">
        <v>97</v>
      </c>
      <c r="F2724" s="3" t="s">
        <v>9</v>
      </c>
      <c r="G27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24" s="3" t="s">
        <v>98</v>
      </c>
      <c r="I2724" s="3" t="s">
        <v>31</v>
      </c>
      <c r="J2724" s="3" t="s">
        <v>99</v>
      </c>
      <c r="K2724" s="3" t="s">
        <v>33</v>
      </c>
      <c r="L2724" s="3" t="s">
        <v>34</v>
      </c>
      <c r="M2724" s="4">
        <v>3492.91</v>
      </c>
    </row>
    <row r="2725">
      <c r="A2725" s="2">
        <v>45738</v>
      </c>
      <c r="B27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5" s="3" t="str">
        <f>YEAR(KMART_DATA[[#This Row],[Date]])&amp;"-"&amp;TEXT(MONTH(KMART_DATA[[#This Row],[Date]]),"00")</f>
        <v>2025-03</v>
      </c>
      <c r="D2725" s="3" t="s">
        <v>28</v>
      </c>
      <c r="E2725" s="3" t="s">
        <v>238</v>
      </c>
      <c r="F2725" s="3" t="s">
        <v>13</v>
      </c>
      <c r="G27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725" s="3" t="s">
        <v>239</v>
      </c>
      <c r="I2725" s="3" t="s">
        <v>31</v>
      </c>
      <c r="J2725" s="3" t="s">
        <v>42</v>
      </c>
      <c r="K2725" s="3" t="s">
        <v>46</v>
      </c>
      <c r="L2725" s="3" t="s">
        <v>47</v>
      </c>
      <c r="M2725" s="4">
        <v>2.5</v>
      </c>
    </row>
    <row r="2726">
      <c r="A2726" s="2">
        <v>45738</v>
      </c>
      <c r="B27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6" s="3" t="str">
        <f>YEAR(KMART_DATA[[#This Row],[Date]])&amp;"-"&amp;TEXT(MONTH(KMART_DATA[[#This Row],[Date]]),"00")</f>
        <v>2025-03</v>
      </c>
      <c r="D2726" s="3" t="s">
        <v>28</v>
      </c>
      <c r="E2726" s="3" t="s">
        <v>189</v>
      </c>
      <c r="F2726" s="3" t="s">
        <v>9</v>
      </c>
      <c r="G27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26" s="3" t="s">
        <v>190</v>
      </c>
      <c r="I2726" s="3" t="s">
        <v>31</v>
      </c>
      <c r="J2726" s="3" t="s">
        <v>81</v>
      </c>
      <c r="K2726" s="3" t="s">
        <v>38</v>
      </c>
      <c r="L2726" s="3" t="s">
        <v>39</v>
      </c>
      <c r="M2726" s="4">
        <v>4.0</v>
      </c>
    </row>
    <row r="2727">
      <c r="A2727" s="2">
        <v>45738</v>
      </c>
      <c r="B27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7" s="3" t="str">
        <f>YEAR(KMART_DATA[[#This Row],[Date]])&amp;"-"&amp;TEXT(MONTH(KMART_DATA[[#This Row],[Date]]),"00")</f>
        <v>2025-03</v>
      </c>
      <c r="D2727" s="3" t="s">
        <v>28</v>
      </c>
      <c r="E2727" s="3" t="s">
        <v>165</v>
      </c>
      <c r="F2727" s="3" t="s">
        <v>9</v>
      </c>
      <c r="G27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27" s="3" t="s">
        <v>166</v>
      </c>
      <c r="I2727" s="3" t="s">
        <v>31</v>
      </c>
      <c r="J2727" s="3" t="s">
        <v>99</v>
      </c>
      <c r="K2727" s="3" t="s">
        <v>43</v>
      </c>
      <c r="L2727" s="3" t="s">
        <v>44</v>
      </c>
      <c r="M2727" s="4">
        <v>7.0</v>
      </c>
    </row>
    <row r="2728">
      <c r="A2728" s="2">
        <v>45738</v>
      </c>
      <c r="B27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8" s="3" t="str">
        <f>YEAR(KMART_DATA[[#This Row],[Date]])&amp;"-"&amp;TEXT(MONTH(KMART_DATA[[#This Row],[Date]]),"00")</f>
        <v>2025-03</v>
      </c>
      <c r="D2728" s="3" t="s">
        <v>45</v>
      </c>
      <c r="E2728" s="3" t="s">
        <v>175</v>
      </c>
      <c r="F2728" s="3" t="s">
        <v>16</v>
      </c>
      <c r="G27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728" s="3" t="s">
        <v>176</v>
      </c>
      <c r="I2728" s="3" t="s">
        <v>31</v>
      </c>
      <c r="J2728" s="3" t="s">
        <v>107</v>
      </c>
      <c r="K2728" s="3" t="s">
        <v>71</v>
      </c>
      <c r="L2728" s="3" t="s">
        <v>72</v>
      </c>
      <c r="M2728" s="4">
        <v>12.77</v>
      </c>
    </row>
    <row r="2729">
      <c r="A2729" s="2">
        <v>45738</v>
      </c>
      <c r="B27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29" s="3" t="str">
        <f>YEAR(KMART_DATA[[#This Row],[Date]])&amp;"-"&amp;TEXT(MONTH(KMART_DATA[[#This Row],[Date]]),"00")</f>
        <v>2025-03</v>
      </c>
      <c r="D2729" s="3" t="s">
        <v>45</v>
      </c>
      <c r="E2729" s="3" t="s">
        <v>141</v>
      </c>
      <c r="F2729" s="3" t="s">
        <v>9</v>
      </c>
      <c r="G27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29" s="3" t="s">
        <v>142</v>
      </c>
      <c r="I2729" s="3" t="s">
        <v>31</v>
      </c>
      <c r="J2729" s="3" t="s">
        <v>107</v>
      </c>
      <c r="K2729" s="3" t="s">
        <v>71</v>
      </c>
      <c r="L2729" s="3" t="s">
        <v>72</v>
      </c>
      <c r="M2729" s="4">
        <v>91.83</v>
      </c>
    </row>
    <row r="2730">
      <c r="A2730" s="2">
        <v>45738</v>
      </c>
      <c r="B27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0" s="3" t="str">
        <f>YEAR(KMART_DATA[[#This Row],[Date]])&amp;"-"&amp;TEXT(MONTH(KMART_DATA[[#This Row],[Date]]),"00")</f>
        <v>2025-03</v>
      </c>
      <c r="D2730" s="3" t="s">
        <v>45</v>
      </c>
      <c r="E2730" s="3" t="s">
        <v>125</v>
      </c>
      <c r="F2730" s="3" t="s">
        <v>10</v>
      </c>
      <c r="G27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30" s="3" t="s">
        <v>126</v>
      </c>
      <c r="I2730" s="3" t="s">
        <v>31</v>
      </c>
      <c r="J2730" s="3" t="s">
        <v>94</v>
      </c>
      <c r="K2730" s="3" t="s">
        <v>71</v>
      </c>
      <c r="L2730" s="3" t="s">
        <v>72</v>
      </c>
      <c r="M2730" s="4">
        <v>96.83</v>
      </c>
    </row>
    <row r="2731">
      <c r="A2731" s="2">
        <v>45738</v>
      </c>
      <c r="B27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1" s="3" t="str">
        <f>YEAR(KMART_DATA[[#This Row],[Date]])&amp;"-"&amp;TEXT(MONTH(KMART_DATA[[#This Row],[Date]]),"00")</f>
        <v>2025-03</v>
      </c>
      <c r="D2731" s="3" t="s">
        <v>45</v>
      </c>
      <c r="E2731" s="3" t="s">
        <v>197</v>
      </c>
      <c r="F2731" s="3" t="s">
        <v>9</v>
      </c>
      <c r="G27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31" s="3" t="s">
        <v>198</v>
      </c>
      <c r="I2731" s="3" t="s">
        <v>31</v>
      </c>
      <c r="J2731" s="3" t="s">
        <v>107</v>
      </c>
      <c r="K2731" s="3" t="s">
        <v>71</v>
      </c>
      <c r="L2731" s="3" t="s">
        <v>72</v>
      </c>
      <c r="M2731" s="4">
        <v>109.89</v>
      </c>
    </row>
    <row r="2732">
      <c r="A2732" s="2">
        <v>45738</v>
      </c>
      <c r="B27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2" s="3" t="str">
        <f>YEAR(KMART_DATA[[#This Row],[Date]])&amp;"-"&amp;TEXT(MONTH(KMART_DATA[[#This Row],[Date]]),"00")</f>
        <v>2025-03</v>
      </c>
      <c r="D2732" s="3" t="s">
        <v>45</v>
      </c>
      <c r="E2732" s="3" t="s">
        <v>143</v>
      </c>
      <c r="F2732" s="3" t="s">
        <v>14</v>
      </c>
      <c r="G27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732" s="3" t="s">
        <v>144</v>
      </c>
      <c r="I2732" s="3" t="s">
        <v>31</v>
      </c>
      <c r="J2732" s="3" t="s">
        <v>145</v>
      </c>
      <c r="K2732" s="3" t="s">
        <v>123</v>
      </c>
      <c r="L2732" s="3" t="s">
        <v>124</v>
      </c>
      <c r="M2732" s="4">
        <v>485.74</v>
      </c>
    </row>
    <row r="2733">
      <c r="A2733" s="2">
        <v>45738</v>
      </c>
      <c r="B27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3" s="3" t="str">
        <f>YEAR(KMART_DATA[[#This Row],[Date]])&amp;"-"&amp;TEXT(MONTH(KMART_DATA[[#This Row],[Date]]),"00")</f>
        <v>2025-03</v>
      </c>
      <c r="D2733" s="3" t="s">
        <v>28</v>
      </c>
      <c r="E2733" s="3" t="s">
        <v>90</v>
      </c>
      <c r="F2733" s="3" t="s">
        <v>10</v>
      </c>
      <c r="G27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33" s="3" t="s">
        <v>91</v>
      </c>
      <c r="I2733" s="3" t="s">
        <v>31</v>
      </c>
      <c r="J2733" s="3" t="s">
        <v>37</v>
      </c>
      <c r="K2733" s="3" t="s">
        <v>71</v>
      </c>
      <c r="L2733" s="3" t="s">
        <v>72</v>
      </c>
      <c r="M2733" s="4">
        <v>5647.9</v>
      </c>
    </row>
    <row r="2734">
      <c r="A2734" s="2">
        <v>45739</v>
      </c>
      <c r="B27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4" s="3" t="str">
        <f>YEAR(KMART_DATA[[#This Row],[Date]])&amp;"-"&amp;TEXT(MONTH(KMART_DATA[[#This Row],[Date]]),"00")</f>
        <v>2025-03</v>
      </c>
      <c r="D2734" s="3" t="s">
        <v>28</v>
      </c>
      <c r="E2734" s="3" t="s">
        <v>199</v>
      </c>
      <c r="F2734" s="3" t="s">
        <v>13</v>
      </c>
      <c r="G27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734" s="3" t="s">
        <v>200</v>
      </c>
      <c r="I2734" s="3" t="s">
        <v>31</v>
      </c>
      <c r="J2734" s="3" t="s">
        <v>42</v>
      </c>
      <c r="K2734" s="3" t="s">
        <v>43</v>
      </c>
      <c r="L2734" s="3" t="s">
        <v>44</v>
      </c>
      <c r="M2734" s="4">
        <v>11.0</v>
      </c>
    </row>
    <row r="2735">
      <c r="A2735" s="2">
        <v>45739</v>
      </c>
      <c r="B27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5" s="3" t="str">
        <f>YEAR(KMART_DATA[[#This Row],[Date]])&amp;"-"&amp;TEXT(MONTH(KMART_DATA[[#This Row],[Date]]),"00")</f>
        <v>2025-03</v>
      </c>
      <c r="D2735" s="3" t="s">
        <v>28</v>
      </c>
      <c r="E2735" s="3" t="s">
        <v>97</v>
      </c>
      <c r="F2735" s="3" t="s">
        <v>9</v>
      </c>
      <c r="G27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35" s="3" t="s">
        <v>98</v>
      </c>
      <c r="I2735" s="3" t="s">
        <v>31</v>
      </c>
      <c r="J2735" s="3" t="s">
        <v>99</v>
      </c>
      <c r="K2735" s="3" t="s">
        <v>43</v>
      </c>
      <c r="L2735" s="3" t="s">
        <v>44</v>
      </c>
      <c r="M2735" s="4">
        <v>92.89</v>
      </c>
    </row>
    <row r="2736">
      <c r="A2736" s="2">
        <v>45739</v>
      </c>
      <c r="B27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6" s="3" t="str">
        <f>YEAR(KMART_DATA[[#This Row],[Date]])&amp;"-"&amp;TEXT(MONTH(KMART_DATA[[#This Row],[Date]]),"00")</f>
        <v>2025-03</v>
      </c>
      <c r="D2736" s="3" t="s">
        <v>28</v>
      </c>
      <c r="E2736" s="3" t="s">
        <v>68</v>
      </c>
      <c r="F2736" s="3" t="s">
        <v>9</v>
      </c>
      <c r="G27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36" s="3" t="s">
        <v>69</v>
      </c>
      <c r="I2736" s="3" t="s">
        <v>31</v>
      </c>
      <c r="J2736" s="3" t="s">
        <v>70</v>
      </c>
      <c r="K2736" s="3" t="s">
        <v>57</v>
      </c>
      <c r="L2736" s="3" t="s">
        <v>58</v>
      </c>
      <c r="M2736" s="4">
        <v>179.82</v>
      </c>
    </row>
    <row r="2737">
      <c r="A2737" s="2">
        <v>45739</v>
      </c>
      <c r="B27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7" s="3" t="str">
        <f>YEAR(KMART_DATA[[#This Row],[Date]])&amp;"-"&amp;TEXT(MONTH(KMART_DATA[[#This Row],[Date]]),"00")</f>
        <v>2025-03</v>
      </c>
      <c r="D2737" s="3" t="s">
        <v>28</v>
      </c>
      <c r="E2737" s="3" t="s">
        <v>116</v>
      </c>
      <c r="F2737" s="3" t="s">
        <v>9</v>
      </c>
      <c r="G27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37" s="3" t="s">
        <v>117</v>
      </c>
      <c r="I2737" s="3" t="s">
        <v>31</v>
      </c>
      <c r="J2737" s="3" t="s">
        <v>70</v>
      </c>
      <c r="K2737" s="3" t="s">
        <v>95</v>
      </c>
      <c r="L2737" s="3" t="s">
        <v>96</v>
      </c>
      <c r="M2737" s="4">
        <v>1084.98</v>
      </c>
    </row>
    <row r="2738">
      <c r="A2738" s="2">
        <v>45740</v>
      </c>
      <c r="B27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8" s="3" t="str">
        <f>YEAR(KMART_DATA[[#This Row],[Date]])&amp;"-"&amp;TEXT(MONTH(KMART_DATA[[#This Row],[Date]]),"00")</f>
        <v>2025-03</v>
      </c>
      <c r="D2738" s="3" t="s">
        <v>45</v>
      </c>
      <c r="E2738" s="3" t="s">
        <v>260</v>
      </c>
      <c r="F2738" s="3" t="s">
        <v>10</v>
      </c>
      <c r="G27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38" s="3" t="s">
        <v>261</v>
      </c>
      <c r="I2738" s="3" t="s">
        <v>31</v>
      </c>
      <c r="J2738" s="3" t="s">
        <v>89</v>
      </c>
      <c r="K2738" s="3" t="s">
        <v>71</v>
      </c>
      <c r="L2738" s="3" t="s">
        <v>72</v>
      </c>
      <c r="M2738" s="4">
        <v>49.95</v>
      </c>
    </row>
    <row r="2739">
      <c r="A2739" s="2">
        <v>45740</v>
      </c>
      <c r="B27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39" s="3" t="str">
        <f>YEAR(KMART_DATA[[#This Row],[Date]])&amp;"-"&amp;TEXT(MONTH(KMART_DATA[[#This Row],[Date]]),"00")</f>
        <v>2025-03</v>
      </c>
      <c r="D2739" s="3" t="s">
        <v>45</v>
      </c>
      <c r="E2739" s="3" t="s">
        <v>116</v>
      </c>
      <c r="F2739" s="3" t="s">
        <v>9</v>
      </c>
      <c r="G27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39" s="3" t="s">
        <v>117</v>
      </c>
      <c r="I2739" s="3" t="s">
        <v>31</v>
      </c>
      <c r="J2739" s="3" t="s">
        <v>70</v>
      </c>
      <c r="K2739" s="3" t="s">
        <v>123</v>
      </c>
      <c r="L2739" s="3" t="s">
        <v>124</v>
      </c>
      <c r="M2739" s="4">
        <v>105.82</v>
      </c>
    </row>
    <row r="2740">
      <c r="A2740" s="2">
        <v>45740</v>
      </c>
      <c r="B27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0" s="3" t="str">
        <f>YEAR(KMART_DATA[[#This Row],[Date]])&amp;"-"&amp;TEXT(MONTH(KMART_DATA[[#This Row],[Date]]),"00")</f>
        <v>2025-03</v>
      </c>
      <c r="D2740" s="3" t="s">
        <v>28</v>
      </c>
      <c r="E2740" s="3" t="s">
        <v>232</v>
      </c>
      <c r="F2740" s="3" t="s">
        <v>9</v>
      </c>
      <c r="G27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40" s="3" t="s">
        <v>233</v>
      </c>
      <c r="I2740" s="3" t="s">
        <v>31</v>
      </c>
      <c r="J2740" s="3" t="s">
        <v>75</v>
      </c>
      <c r="K2740" s="3" t="s">
        <v>38</v>
      </c>
      <c r="L2740" s="3" t="s">
        <v>39</v>
      </c>
      <c r="M2740" s="4">
        <v>130.99</v>
      </c>
    </row>
    <row r="2741">
      <c r="A2741" s="2">
        <v>45740</v>
      </c>
      <c r="B27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1" s="3" t="str">
        <f>YEAR(KMART_DATA[[#This Row],[Date]])&amp;"-"&amp;TEXT(MONTH(KMART_DATA[[#This Row],[Date]]),"00")</f>
        <v>2025-03</v>
      </c>
      <c r="D2741" s="3" t="s">
        <v>45</v>
      </c>
      <c r="E2741" s="3" t="s">
        <v>40</v>
      </c>
      <c r="F2741" s="3" t="s">
        <v>13</v>
      </c>
      <c r="G27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741" s="3" t="s">
        <v>41</v>
      </c>
      <c r="I2741" s="3" t="s">
        <v>31</v>
      </c>
      <c r="J2741" s="3" t="s">
        <v>42</v>
      </c>
      <c r="K2741" s="3" t="s">
        <v>46</v>
      </c>
      <c r="L2741" s="3" t="s">
        <v>47</v>
      </c>
      <c r="M2741" s="4">
        <v>223.72</v>
      </c>
    </row>
    <row r="2742">
      <c r="A2742" s="2">
        <v>45740</v>
      </c>
      <c r="B27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2" s="3" t="str">
        <f>YEAR(KMART_DATA[[#This Row],[Date]])&amp;"-"&amp;TEXT(MONTH(KMART_DATA[[#This Row],[Date]]),"00")</f>
        <v>2025-03</v>
      </c>
      <c r="D2742" s="3" t="s">
        <v>28</v>
      </c>
      <c r="E2742" s="3" t="s">
        <v>165</v>
      </c>
      <c r="F2742" s="3" t="s">
        <v>9</v>
      </c>
      <c r="G27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42" s="3" t="s">
        <v>166</v>
      </c>
      <c r="I2742" s="3" t="s">
        <v>31</v>
      </c>
      <c r="J2742" s="3" t="s">
        <v>99</v>
      </c>
      <c r="K2742" s="3" t="s">
        <v>112</v>
      </c>
      <c r="L2742" s="3" t="s">
        <v>113</v>
      </c>
      <c r="M2742" s="4">
        <v>271.34</v>
      </c>
    </row>
    <row r="2743">
      <c r="A2743" s="2">
        <v>45740</v>
      </c>
      <c r="B27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3" s="3" t="str">
        <f>YEAR(KMART_DATA[[#This Row],[Date]])&amp;"-"&amp;TEXT(MONTH(KMART_DATA[[#This Row],[Date]]),"00")</f>
        <v>2025-03</v>
      </c>
      <c r="D2743" s="3" t="s">
        <v>45</v>
      </c>
      <c r="E2743" s="3" t="s">
        <v>260</v>
      </c>
      <c r="F2743" s="3" t="s">
        <v>10</v>
      </c>
      <c r="G27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43" s="3" t="s">
        <v>261</v>
      </c>
      <c r="I2743" s="3" t="s">
        <v>31</v>
      </c>
      <c r="J2743" s="3" t="s">
        <v>89</v>
      </c>
      <c r="K2743" s="3" t="s">
        <v>33</v>
      </c>
      <c r="L2743" s="3" t="s">
        <v>34</v>
      </c>
      <c r="M2743" s="4">
        <v>332.25</v>
      </c>
    </row>
    <row r="2744">
      <c r="A2744" s="2">
        <v>45740</v>
      </c>
      <c r="B27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4" s="3" t="str">
        <f>YEAR(KMART_DATA[[#This Row],[Date]])&amp;"-"&amp;TEXT(MONTH(KMART_DATA[[#This Row],[Date]]),"00")</f>
        <v>2025-03</v>
      </c>
      <c r="D2744" s="3" t="s">
        <v>45</v>
      </c>
      <c r="E2744" s="3" t="s">
        <v>156</v>
      </c>
      <c r="F2744" s="3" t="s">
        <v>9</v>
      </c>
      <c r="G27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44" s="3" t="s">
        <v>157</v>
      </c>
      <c r="I2744" s="3" t="s">
        <v>31</v>
      </c>
      <c r="J2744" s="3" t="s">
        <v>75</v>
      </c>
      <c r="K2744" s="3" t="s">
        <v>43</v>
      </c>
      <c r="L2744" s="3" t="s">
        <v>44</v>
      </c>
      <c r="M2744" s="4">
        <v>374.61</v>
      </c>
    </row>
    <row r="2745">
      <c r="A2745" s="2">
        <v>45740</v>
      </c>
      <c r="B27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5" s="3" t="str">
        <f>YEAR(KMART_DATA[[#This Row],[Date]])&amp;"-"&amp;TEXT(MONTH(KMART_DATA[[#This Row],[Date]]),"00")</f>
        <v>2025-03</v>
      </c>
      <c r="D2745" s="3" t="s">
        <v>28</v>
      </c>
      <c r="E2745" s="3" t="s">
        <v>179</v>
      </c>
      <c r="F2745" s="3" t="s">
        <v>9</v>
      </c>
      <c r="G27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45" s="3" t="s">
        <v>180</v>
      </c>
      <c r="I2745" s="3" t="s">
        <v>31</v>
      </c>
      <c r="J2745" s="3" t="s">
        <v>99</v>
      </c>
      <c r="K2745" s="3" t="s">
        <v>38</v>
      </c>
      <c r="L2745" s="3" t="s">
        <v>39</v>
      </c>
      <c r="M2745" s="4">
        <v>475.81</v>
      </c>
    </row>
    <row r="2746">
      <c r="A2746" s="2">
        <v>45740</v>
      </c>
      <c r="B27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6" s="3" t="str">
        <f>YEAR(KMART_DATA[[#This Row],[Date]])&amp;"-"&amp;TEXT(MONTH(KMART_DATA[[#This Row],[Date]]),"00")</f>
        <v>2025-03</v>
      </c>
      <c r="D2746" s="3" t="s">
        <v>28</v>
      </c>
      <c r="E2746" s="3" t="s">
        <v>193</v>
      </c>
      <c r="F2746" s="3" t="s">
        <v>9</v>
      </c>
      <c r="G27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46" s="3" t="s">
        <v>194</v>
      </c>
      <c r="I2746" s="3" t="s">
        <v>31</v>
      </c>
      <c r="J2746" s="3" t="s">
        <v>99</v>
      </c>
      <c r="K2746" s="3" t="s">
        <v>95</v>
      </c>
      <c r="L2746" s="3" t="s">
        <v>96</v>
      </c>
      <c r="M2746" s="4">
        <v>2537.63</v>
      </c>
    </row>
    <row r="2747">
      <c r="A2747" s="2">
        <v>45740</v>
      </c>
      <c r="B27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7" s="3" t="str">
        <f>YEAR(KMART_DATA[[#This Row],[Date]])&amp;"-"&amp;TEXT(MONTH(KMART_DATA[[#This Row],[Date]]),"00")</f>
        <v>2025-03</v>
      </c>
      <c r="D2747" s="3" t="s">
        <v>28</v>
      </c>
      <c r="E2747" s="3" t="s">
        <v>97</v>
      </c>
      <c r="F2747" s="3" t="s">
        <v>9</v>
      </c>
      <c r="G27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47" s="3" t="s">
        <v>98</v>
      </c>
      <c r="I2747" s="3" t="s">
        <v>31</v>
      </c>
      <c r="J2747" s="3" t="s">
        <v>99</v>
      </c>
      <c r="K2747" s="3" t="s">
        <v>46</v>
      </c>
      <c r="L2747" s="3" t="s">
        <v>47</v>
      </c>
      <c r="M2747" s="4">
        <v>4830.82</v>
      </c>
    </row>
    <row r="2748">
      <c r="A2748" s="2">
        <v>45740</v>
      </c>
      <c r="B27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8" s="3" t="str">
        <f>YEAR(KMART_DATA[[#This Row],[Date]])&amp;"-"&amp;TEXT(MONTH(KMART_DATA[[#This Row],[Date]]),"00")</f>
        <v>2025-03</v>
      </c>
      <c r="D2748" s="3" t="s">
        <v>28</v>
      </c>
      <c r="E2748" s="3" t="s">
        <v>163</v>
      </c>
      <c r="F2748" s="3" t="s">
        <v>9</v>
      </c>
      <c r="G27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48" s="3" t="s">
        <v>164</v>
      </c>
      <c r="I2748" s="3" t="s">
        <v>31</v>
      </c>
      <c r="J2748" s="3" t="s">
        <v>81</v>
      </c>
      <c r="K2748" s="3" t="s">
        <v>95</v>
      </c>
      <c r="L2748" s="3" t="s">
        <v>96</v>
      </c>
      <c r="M2748" s="4">
        <v>9522.95</v>
      </c>
    </row>
    <row r="2749">
      <c r="A2749" s="2">
        <v>45741</v>
      </c>
      <c r="B27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49" s="3" t="str">
        <f>YEAR(KMART_DATA[[#This Row],[Date]])&amp;"-"&amp;TEXT(MONTH(KMART_DATA[[#This Row],[Date]]),"00")</f>
        <v>2025-03</v>
      </c>
      <c r="D2749" s="3" t="s">
        <v>45</v>
      </c>
      <c r="E2749" s="3" t="s">
        <v>87</v>
      </c>
      <c r="F2749" s="3" t="s">
        <v>10</v>
      </c>
      <c r="G27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49" s="3" t="s">
        <v>88</v>
      </c>
      <c r="I2749" s="3" t="s">
        <v>31</v>
      </c>
      <c r="J2749" s="3" t="s">
        <v>89</v>
      </c>
      <c r="K2749" s="3" t="s">
        <v>66</v>
      </c>
      <c r="L2749" s="3" t="s">
        <v>67</v>
      </c>
      <c r="M2749" s="4">
        <v>125.13</v>
      </c>
    </row>
    <row r="2750">
      <c r="A2750" s="2">
        <v>45742</v>
      </c>
      <c r="B27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0" s="3" t="str">
        <f>YEAR(KMART_DATA[[#This Row],[Date]])&amp;"-"&amp;TEXT(MONTH(KMART_DATA[[#This Row],[Date]]),"00")</f>
        <v>2025-03</v>
      </c>
      <c r="D2750" s="3" t="s">
        <v>28</v>
      </c>
      <c r="E2750" s="3" t="s">
        <v>242</v>
      </c>
      <c r="F2750" s="3" t="s">
        <v>10</v>
      </c>
      <c r="G27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50" s="3" t="s">
        <v>243</v>
      </c>
      <c r="I2750" s="3" t="s">
        <v>31</v>
      </c>
      <c r="J2750" s="3" t="s">
        <v>94</v>
      </c>
      <c r="K2750" s="3" t="s">
        <v>57</v>
      </c>
      <c r="L2750" s="3" t="s">
        <v>58</v>
      </c>
      <c r="M2750" s="4">
        <v>144.08</v>
      </c>
    </row>
    <row r="2751">
      <c r="A2751" s="2">
        <v>45742</v>
      </c>
      <c r="B27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1" s="3" t="str">
        <f>YEAR(KMART_DATA[[#This Row],[Date]])&amp;"-"&amp;TEXT(MONTH(KMART_DATA[[#This Row],[Date]]),"00")</f>
        <v>2025-03</v>
      </c>
      <c r="D2751" s="3" t="s">
        <v>28</v>
      </c>
      <c r="E2751" s="3" t="s">
        <v>193</v>
      </c>
      <c r="F2751" s="3" t="s">
        <v>9</v>
      </c>
      <c r="G27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51" s="3" t="s">
        <v>194</v>
      </c>
      <c r="I2751" s="3" t="s">
        <v>31</v>
      </c>
      <c r="J2751" s="3" t="s">
        <v>99</v>
      </c>
      <c r="K2751" s="3" t="s">
        <v>38</v>
      </c>
      <c r="L2751" s="3" t="s">
        <v>39</v>
      </c>
      <c r="M2751" s="4">
        <v>161.12</v>
      </c>
    </row>
    <row r="2752">
      <c r="A2752" s="2">
        <v>45742</v>
      </c>
      <c r="B27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2" s="3" t="str">
        <f>YEAR(KMART_DATA[[#This Row],[Date]])&amp;"-"&amp;TEXT(MONTH(KMART_DATA[[#This Row],[Date]]),"00")</f>
        <v>2025-03</v>
      </c>
      <c r="D2752" s="3" t="s">
        <v>45</v>
      </c>
      <c r="E2752" s="3" t="s">
        <v>156</v>
      </c>
      <c r="F2752" s="3" t="s">
        <v>9</v>
      </c>
      <c r="G27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52" s="3" t="s">
        <v>157</v>
      </c>
      <c r="I2752" s="3" t="s">
        <v>31</v>
      </c>
      <c r="J2752" s="3" t="s">
        <v>75</v>
      </c>
      <c r="K2752" s="3" t="s">
        <v>43</v>
      </c>
      <c r="L2752" s="3" t="s">
        <v>44</v>
      </c>
      <c r="M2752" s="4">
        <v>182.98</v>
      </c>
    </row>
    <row r="2753">
      <c r="A2753" s="2">
        <v>45742</v>
      </c>
      <c r="B27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3" s="3" t="str">
        <f>YEAR(KMART_DATA[[#This Row],[Date]])&amp;"-"&amp;TEXT(MONTH(KMART_DATA[[#This Row],[Date]]),"00")</f>
        <v>2025-03</v>
      </c>
      <c r="D2753" s="3" t="s">
        <v>28</v>
      </c>
      <c r="E2753" s="3" t="s">
        <v>191</v>
      </c>
      <c r="F2753" s="3" t="s">
        <v>10</v>
      </c>
      <c r="G27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53" s="3" t="s">
        <v>192</v>
      </c>
      <c r="I2753" s="3" t="s">
        <v>31</v>
      </c>
      <c r="J2753" s="3" t="s">
        <v>120</v>
      </c>
      <c r="K2753" s="3" t="s">
        <v>33</v>
      </c>
      <c r="L2753" s="3" t="s">
        <v>34</v>
      </c>
      <c r="M2753" s="4">
        <v>493.6</v>
      </c>
    </row>
    <row r="2754">
      <c r="A2754" s="2">
        <v>45743</v>
      </c>
      <c r="B27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4" s="3" t="str">
        <f>YEAR(KMART_DATA[[#This Row],[Date]])&amp;"-"&amp;TEXT(MONTH(KMART_DATA[[#This Row],[Date]]),"00")</f>
        <v>2025-03</v>
      </c>
      <c r="D2754" s="3" t="s">
        <v>28</v>
      </c>
      <c r="E2754" s="3" t="s">
        <v>234</v>
      </c>
      <c r="F2754" s="3" t="s">
        <v>9</v>
      </c>
      <c r="G27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54" s="3" t="s">
        <v>235</v>
      </c>
      <c r="I2754" s="3" t="s">
        <v>31</v>
      </c>
      <c r="J2754" s="3" t="s">
        <v>81</v>
      </c>
      <c r="K2754" s="3" t="s">
        <v>43</v>
      </c>
      <c r="L2754" s="3" t="s">
        <v>44</v>
      </c>
      <c r="M2754" s="4">
        <v>9.98</v>
      </c>
    </row>
    <row r="2755">
      <c r="A2755" s="2">
        <v>45743</v>
      </c>
      <c r="B27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5" s="3" t="str">
        <f>YEAR(KMART_DATA[[#This Row],[Date]])&amp;"-"&amp;TEXT(MONTH(KMART_DATA[[#This Row],[Date]]),"00")</f>
        <v>2025-03</v>
      </c>
      <c r="D2755" s="3" t="s">
        <v>28</v>
      </c>
      <c r="E2755" s="3" t="s">
        <v>118</v>
      </c>
      <c r="F2755" s="3" t="s">
        <v>10</v>
      </c>
      <c r="G27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55" s="3" t="s">
        <v>119</v>
      </c>
      <c r="I2755" s="3" t="s">
        <v>31</v>
      </c>
      <c r="J2755" s="3" t="s">
        <v>120</v>
      </c>
      <c r="K2755" s="3" t="s">
        <v>123</v>
      </c>
      <c r="L2755" s="3" t="s">
        <v>124</v>
      </c>
      <c r="M2755" s="4">
        <v>20.9</v>
      </c>
    </row>
    <row r="2756">
      <c r="A2756" s="2">
        <v>45743</v>
      </c>
      <c r="B27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6" s="3" t="str">
        <f>YEAR(KMART_DATA[[#This Row],[Date]])&amp;"-"&amp;TEXT(MONTH(KMART_DATA[[#This Row],[Date]]),"00")</f>
        <v>2025-03</v>
      </c>
      <c r="D2756" s="3" t="s">
        <v>28</v>
      </c>
      <c r="E2756" s="3" t="s">
        <v>114</v>
      </c>
      <c r="F2756" s="3" t="s">
        <v>9</v>
      </c>
      <c r="G27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56" s="3" t="s">
        <v>115</v>
      </c>
      <c r="I2756" s="3" t="s">
        <v>31</v>
      </c>
      <c r="J2756" s="3" t="s">
        <v>99</v>
      </c>
      <c r="K2756" s="3" t="s">
        <v>43</v>
      </c>
      <c r="L2756" s="3" t="s">
        <v>44</v>
      </c>
      <c r="M2756" s="4">
        <v>463.48</v>
      </c>
    </row>
    <row r="2757">
      <c r="A2757" s="2">
        <v>45743</v>
      </c>
      <c r="B27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7" s="3" t="str">
        <f>YEAR(KMART_DATA[[#This Row],[Date]])&amp;"-"&amp;TEXT(MONTH(KMART_DATA[[#This Row],[Date]]),"00")</f>
        <v>2025-03</v>
      </c>
      <c r="D2757" s="3" t="s">
        <v>28</v>
      </c>
      <c r="E2757" s="3" t="s">
        <v>221</v>
      </c>
      <c r="F2757" s="3" t="s">
        <v>11</v>
      </c>
      <c r="G27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57" s="3" t="s">
        <v>222</v>
      </c>
      <c r="I2757" s="3" t="s">
        <v>31</v>
      </c>
      <c r="J2757" s="3" t="s">
        <v>56</v>
      </c>
      <c r="K2757" s="3" t="s">
        <v>38</v>
      </c>
      <c r="L2757" s="3" t="s">
        <v>39</v>
      </c>
      <c r="M2757" s="4">
        <v>612.32</v>
      </c>
    </row>
    <row r="2758">
      <c r="A2758" s="2">
        <v>45744</v>
      </c>
      <c r="B27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8" s="3" t="str">
        <f>YEAR(KMART_DATA[[#This Row],[Date]])&amp;"-"&amp;TEXT(MONTH(KMART_DATA[[#This Row],[Date]]),"00")</f>
        <v>2025-03</v>
      </c>
      <c r="D2758" s="3" t="s">
        <v>28</v>
      </c>
      <c r="E2758" s="3" t="s">
        <v>97</v>
      </c>
      <c r="F2758" s="3" t="s">
        <v>9</v>
      </c>
      <c r="G27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58" s="3" t="s">
        <v>98</v>
      </c>
      <c r="I2758" s="3" t="s">
        <v>31</v>
      </c>
      <c r="J2758" s="3" t="s">
        <v>99</v>
      </c>
      <c r="K2758" s="3" t="s">
        <v>112</v>
      </c>
      <c r="L2758" s="3" t="s">
        <v>113</v>
      </c>
      <c r="M2758" s="4">
        <v>9.95</v>
      </c>
    </row>
    <row r="2759">
      <c r="A2759" s="2">
        <v>45744</v>
      </c>
      <c r="B27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59" s="3" t="str">
        <f>YEAR(KMART_DATA[[#This Row],[Date]])&amp;"-"&amp;TEXT(MONTH(KMART_DATA[[#This Row],[Date]]),"00")</f>
        <v>2025-03</v>
      </c>
      <c r="D2759" s="3" t="s">
        <v>45</v>
      </c>
      <c r="E2759" s="3" t="s">
        <v>197</v>
      </c>
      <c r="F2759" s="3" t="s">
        <v>9</v>
      </c>
      <c r="G27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59" s="3" t="s">
        <v>198</v>
      </c>
      <c r="I2759" s="3" t="s">
        <v>31</v>
      </c>
      <c r="J2759" s="3" t="s">
        <v>107</v>
      </c>
      <c r="K2759" s="3" t="s">
        <v>38</v>
      </c>
      <c r="L2759" s="3" t="s">
        <v>39</v>
      </c>
      <c r="M2759" s="4">
        <v>76.88</v>
      </c>
    </row>
    <row r="2760">
      <c r="A2760" s="2">
        <v>45744</v>
      </c>
      <c r="B27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0" s="3" t="str">
        <f>YEAR(KMART_DATA[[#This Row],[Date]])&amp;"-"&amp;TEXT(MONTH(KMART_DATA[[#This Row],[Date]]),"00")</f>
        <v>2025-03</v>
      </c>
      <c r="D2760" s="3" t="s">
        <v>45</v>
      </c>
      <c r="E2760" s="3" t="s">
        <v>201</v>
      </c>
      <c r="F2760" s="3" t="s">
        <v>10</v>
      </c>
      <c r="G27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60" s="3" t="s">
        <v>202</v>
      </c>
      <c r="I2760" s="3" t="s">
        <v>31</v>
      </c>
      <c r="J2760" s="3" t="s">
        <v>89</v>
      </c>
      <c r="K2760" s="3" t="s">
        <v>46</v>
      </c>
      <c r="L2760" s="3" t="s">
        <v>47</v>
      </c>
      <c r="M2760" s="4">
        <v>77.87</v>
      </c>
    </row>
    <row r="2761">
      <c r="A2761" s="2">
        <v>45744</v>
      </c>
      <c r="B27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1" s="3" t="str">
        <f>YEAR(KMART_DATA[[#This Row],[Date]])&amp;"-"&amp;TEXT(MONTH(KMART_DATA[[#This Row],[Date]]),"00")</f>
        <v>2025-03</v>
      </c>
      <c r="D2761" s="3" t="s">
        <v>28</v>
      </c>
      <c r="E2761" s="3" t="s">
        <v>48</v>
      </c>
      <c r="F2761" s="3" t="s">
        <v>12</v>
      </c>
      <c r="G27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61" s="3" t="s">
        <v>49</v>
      </c>
      <c r="I2761" s="3" t="s">
        <v>31</v>
      </c>
      <c r="J2761" s="3" t="s">
        <v>50</v>
      </c>
      <c r="K2761" s="3" t="s">
        <v>57</v>
      </c>
      <c r="L2761" s="3" t="s">
        <v>58</v>
      </c>
      <c r="M2761" s="4">
        <v>349.97</v>
      </c>
    </row>
    <row r="2762">
      <c r="A2762" s="2">
        <v>45744</v>
      </c>
      <c r="B27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2" s="3" t="str">
        <f>YEAR(KMART_DATA[[#This Row],[Date]])&amp;"-"&amp;TEXT(MONTH(KMART_DATA[[#This Row],[Date]]),"00")</f>
        <v>2025-03</v>
      </c>
      <c r="D2762" s="3" t="s">
        <v>45</v>
      </c>
      <c r="E2762" s="3" t="s">
        <v>90</v>
      </c>
      <c r="F2762" s="3" t="s">
        <v>10</v>
      </c>
      <c r="G27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62" s="3" t="s">
        <v>91</v>
      </c>
      <c r="I2762" s="3" t="s">
        <v>31</v>
      </c>
      <c r="J2762" s="3" t="s">
        <v>37</v>
      </c>
      <c r="K2762" s="3" t="s">
        <v>123</v>
      </c>
      <c r="L2762" s="3" t="s">
        <v>124</v>
      </c>
      <c r="M2762" s="4">
        <v>858.89</v>
      </c>
    </row>
    <row r="2763">
      <c r="A2763" s="2">
        <v>45744</v>
      </c>
      <c r="B27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3" s="3" t="str">
        <f>YEAR(KMART_DATA[[#This Row],[Date]])&amp;"-"&amp;TEXT(MONTH(KMART_DATA[[#This Row],[Date]]),"00")</f>
        <v>2025-03</v>
      </c>
      <c r="D2763" s="3" t="s">
        <v>28</v>
      </c>
      <c r="E2763" s="3" t="s">
        <v>211</v>
      </c>
      <c r="F2763" s="3" t="s">
        <v>9</v>
      </c>
      <c r="G27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63" s="3" t="s">
        <v>212</v>
      </c>
      <c r="I2763" s="3" t="s">
        <v>31</v>
      </c>
      <c r="J2763" s="3" t="s">
        <v>75</v>
      </c>
      <c r="K2763" s="3" t="s">
        <v>33</v>
      </c>
      <c r="L2763" s="3" t="s">
        <v>34</v>
      </c>
      <c r="M2763" s="4">
        <v>2494.33</v>
      </c>
    </row>
    <row r="2764">
      <c r="A2764" s="2">
        <v>45744</v>
      </c>
      <c r="B27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4" s="3" t="str">
        <f>YEAR(KMART_DATA[[#This Row],[Date]])&amp;"-"&amp;TEXT(MONTH(KMART_DATA[[#This Row],[Date]]),"00")</f>
        <v>2025-03</v>
      </c>
      <c r="D2764" s="3" t="s">
        <v>28</v>
      </c>
      <c r="E2764" s="3" t="s">
        <v>183</v>
      </c>
      <c r="F2764" s="3" t="s">
        <v>9</v>
      </c>
      <c r="G27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64" s="3" t="s">
        <v>184</v>
      </c>
      <c r="I2764" s="3" t="s">
        <v>31</v>
      </c>
      <c r="J2764" s="3" t="s">
        <v>70</v>
      </c>
      <c r="K2764" s="3" t="s">
        <v>95</v>
      </c>
      <c r="L2764" s="3" t="s">
        <v>96</v>
      </c>
      <c r="M2764" s="4">
        <v>3467.98</v>
      </c>
    </row>
    <row r="2765">
      <c r="A2765" s="2">
        <v>45745</v>
      </c>
      <c r="B27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5" s="3" t="str">
        <f>YEAR(KMART_DATA[[#This Row],[Date]])&amp;"-"&amp;TEXT(MONTH(KMART_DATA[[#This Row],[Date]]),"00")</f>
        <v>2025-03</v>
      </c>
      <c r="D2765" s="3" t="s">
        <v>28</v>
      </c>
      <c r="E2765" s="3" t="s">
        <v>118</v>
      </c>
      <c r="F2765" s="3" t="s">
        <v>10</v>
      </c>
      <c r="G27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65" s="3" t="s">
        <v>119</v>
      </c>
      <c r="I2765" s="3" t="s">
        <v>31</v>
      </c>
      <c r="J2765" s="3" t="s">
        <v>120</v>
      </c>
      <c r="K2765" s="3" t="s">
        <v>33</v>
      </c>
      <c r="L2765" s="3" t="s">
        <v>34</v>
      </c>
      <c r="M2765" s="4">
        <v>2.99</v>
      </c>
    </row>
    <row r="2766">
      <c r="A2766" s="2">
        <v>45745</v>
      </c>
      <c r="B27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6" s="3" t="str">
        <f>YEAR(KMART_DATA[[#This Row],[Date]])&amp;"-"&amp;TEXT(MONTH(KMART_DATA[[#This Row],[Date]]),"00")</f>
        <v>2025-03</v>
      </c>
      <c r="D2766" s="3" t="s">
        <v>28</v>
      </c>
      <c r="E2766" s="3" t="s">
        <v>209</v>
      </c>
      <c r="F2766" s="3" t="s">
        <v>9</v>
      </c>
      <c r="G27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66" s="3" t="s">
        <v>210</v>
      </c>
      <c r="I2766" s="3" t="s">
        <v>31</v>
      </c>
      <c r="J2766" s="3" t="s">
        <v>81</v>
      </c>
      <c r="K2766" s="3" t="s">
        <v>66</v>
      </c>
      <c r="L2766" s="3" t="s">
        <v>67</v>
      </c>
      <c r="M2766" s="4">
        <v>8.28</v>
      </c>
    </row>
    <row r="2767">
      <c r="A2767" s="2">
        <v>45745</v>
      </c>
      <c r="B27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7" s="3" t="str">
        <f>YEAR(KMART_DATA[[#This Row],[Date]])&amp;"-"&amp;TEXT(MONTH(KMART_DATA[[#This Row],[Date]]),"00")</f>
        <v>2025-03</v>
      </c>
      <c r="D2767" s="3" t="s">
        <v>45</v>
      </c>
      <c r="E2767" s="3" t="s">
        <v>103</v>
      </c>
      <c r="F2767" s="3" t="s">
        <v>12</v>
      </c>
      <c r="G27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67" s="3" t="s">
        <v>104</v>
      </c>
      <c r="I2767" s="3" t="s">
        <v>31</v>
      </c>
      <c r="J2767" s="3" t="s">
        <v>102</v>
      </c>
      <c r="K2767" s="3" t="s">
        <v>33</v>
      </c>
      <c r="L2767" s="3" t="s">
        <v>34</v>
      </c>
      <c r="M2767" s="4">
        <v>12.98</v>
      </c>
    </row>
    <row r="2768">
      <c r="A2768" s="2">
        <v>45745</v>
      </c>
      <c r="B27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8" s="3" t="str">
        <f>YEAR(KMART_DATA[[#This Row],[Date]])&amp;"-"&amp;TEXT(MONTH(KMART_DATA[[#This Row],[Date]]),"00")</f>
        <v>2025-03</v>
      </c>
      <c r="D2768" s="3" t="s">
        <v>45</v>
      </c>
      <c r="E2768" s="3" t="s">
        <v>185</v>
      </c>
      <c r="F2768" s="3" t="s">
        <v>12</v>
      </c>
      <c r="G27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68" s="3" t="s">
        <v>186</v>
      </c>
      <c r="I2768" s="3" t="s">
        <v>31</v>
      </c>
      <c r="J2768" s="3" t="s">
        <v>162</v>
      </c>
      <c r="K2768" s="3" t="s">
        <v>123</v>
      </c>
      <c r="L2768" s="3" t="s">
        <v>124</v>
      </c>
      <c r="M2768" s="4">
        <v>140.7</v>
      </c>
    </row>
    <row r="2769">
      <c r="A2769" s="2">
        <v>45745</v>
      </c>
      <c r="B27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69" s="3" t="str">
        <f>YEAR(KMART_DATA[[#This Row],[Date]])&amp;"-"&amp;TEXT(MONTH(KMART_DATA[[#This Row],[Date]]),"00")</f>
        <v>2025-03</v>
      </c>
      <c r="D2769" s="3" t="s">
        <v>28</v>
      </c>
      <c r="E2769" s="3" t="s">
        <v>165</v>
      </c>
      <c r="F2769" s="3" t="s">
        <v>9</v>
      </c>
      <c r="G27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69" s="3" t="s">
        <v>166</v>
      </c>
      <c r="I2769" s="3" t="s">
        <v>31</v>
      </c>
      <c r="J2769" s="3" t="s">
        <v>99</v>
      </c>
      <c r="K2769" s="3" t="s">
        <v>57</v>
      </c>
      <c r="L2769" s="3" t="s">
        <v>58</v>
      </c>
      <c r="M2769" s="4">
        <v>149.8</v>
      </c>
    </row>
    <row r="2770">
      <c r="A2770" s="2">
        <v>45745</v>
      </c>
      <c r="B27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0" s="3" t="str">
        <f>YEAR(KMART_DATA[[#This Row],[Date]])&amp;"-"&amp;TEXT(MONTH(KMART_DATA[[#This Row],[Date]]),"00")</f>
        <v>2025-03</v>
      </c>
      <c r="D2770" s="3" t="s">
        <v>28</v>
      </c>
      <c r="E2770" s="3" t="s">
        <v>195</v>
      </c>
      <c r="F2770" s="3" t="s">
        <v>11</v>
      </c>
      <c r="G27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70" s="3" t="s">
        <v>196</v>
      </c>
      <c r="I2770" s="3" t="s">
        <v>31</v>
      </c>
      <c r="J2770" s="3" t="s">
        <v>32</v>
      </c>
      <c r="K2770" s="3" t="s">
        <v>95</v>
      </c>
      <c r="L2770" s="3" t="s">
        <v>96</v>
      </c>
      <c r="M2770" s="4">
        <v>200.65</v>
      </c>
    </row>
    <row r="2771">
      <c r="A2771" s="2">
        <v>45746</v>
      </c>
      <c r="B27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1" s="3" t="str">
        <f>YEAR(KMART_DATA[[#This Row],[Date]])&amp;"-"&amp;TEXT(MONTH(KMART_DATA[[#This Row],[Date]]),"00")</f>
        <v>2025-03</v>
      </c>
      <c r="D2771" s="3" t="s">
        <v>45</v>
      </c>
      <c r="E2771" s="3" t="s">
        <v>211</v>
      </c>
      <c r="F2771" s="3" t="s">
        <v>9</v>
      </c>
      <c r="G27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71" s="3" t="s">
        <v>212</v>
      </c>
      <c r="I2771" s="3" t="s">
        <v>31</v>
      </c>
      <c r="J2771" s="3" t="s">
        <v>75</v>
      </c>
      <c r="K2771" s="3" t="s">
        <v>38</v>
      </c>
      <c r="L2771" s="3" t="s">
        <v>39</v>
      </c>
      <c r="M2771" s="4">
        <v>15.84</v>
      </c>
    </row>
    <row r="2772">
      <c r="A2772" s="2">
        <v>45746</v>
      </c>
      <c r="B27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2" s="3" t="str">
        <f>YEAR(KMART_DATA[[#This Row],[Date]])&amp;"-"&amp;TEXT(MONTH(KMART_DATA[[#This Row],[Date]]),"00")</f>
        <v>2025-03</v>
      </c>
      <c r="D2772" s="3" t="s">
        <v>28</v>
      </c>
      <c r="E2772" s="3" t="s">
        <v>64</v>
      </c>
      <c r="F2772" s="3" t="s">
        <v>11</v>
      </c>
      <c r="G27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72" s="3" t="s">
        <v>65</v>
      </c>
      <c r="I2772" s="3" t="s">
        <v>31</v>
      </c>
      <c r="J2772" s="3" t="s">
        <v>61</v>
      </c>
      <c r="K2772" s="3" t="s">
        <v>43</v>
      </c>
      <c r="L2772" s="3" t="s">
        <v>44</v>
      </c>
      <c r="M2772" s="4">
        <v>44.53</v>
      </c>
    </row>
    <row r="2773">
      <c r="A2773" s="2">
        <v>45746</v>
      </c>
      <c r="B27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3" s="3" t="str">
        <f>YEAR(KMART_DATA[[#This Row],[Date]])&amp;"-"&amp;TEXT(MONTH(KMART_DATA[[#This Row],[Date]]),"00")</f>
        <v>2025-03</v>
      </c>
      <c r="D2773" s="3" t="s">
        <v>45</v>
      </c>
      <c r="E2773" s="3" t="s">
        <v>135</v>
      </c>
      <c r="F2773" s="3" t="s">
        <v>16</v>
      </c>
      <c r="G27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773" s="3" t="s">
        <v>136</v>
      </c>
      <c r="I2773" s="3" t="s">
        <v>31</v>
      </c>
      <c r="J2773" s="3" t="s">
        <v>107</v>
      </c>
      <c r="K2773" s="3" t="s">
        <v>46</v>
      </c>
      <c r="L2773" s="3" t="s">
        <v>47</v>
      </c>
      <c r="M2773" s="4">
        <v>51.96</v>
      </c>
    </row>
    <row r="2774">
      <c r="A2774" s="2">
        <v>45746</v>
      </c>
      <c r="B27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4" s="3" t="str">
        <f>YEAR(KMART_DATA[[#This Row],[Date]])&amp;"-"&amp;TEXT(MONTH(KMART_DATA[[#This Row],[Date]]),"00")</f>
        <v>2025-03</v>
      </c>
      <c r="D2774" s="3" t="s">
        <v>28</v>
      </c>
      <c r="E2774" s="3" t="s">
        <v>82</v>
      </c>
      <c r="F2774" s="3" t="s">
        <v>11</v>
      </c>
      <c r="G27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74" s="3" t="s">
        <v>83</v>
      </c>
      <c r="I2774" s="3" t="s">
        <v>31</v>
      </c>
      <c r="J2774" s="3" t="s">
        <v>84</v>
      </c>
      <c r="K2774" s="3" t="s">
        <v>46</v>
      </c>
      <c r="L2774" s="3" t="s">
        <v>47</v>
      </c>
      <c r="M2774" s="4">
        <v>97.0</v>
      </c>
    </row>
    <row r="2775">
      <c r="A2775" s="2">
        <v>45746</v>
      </c>
      <c r="B27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5" s="3" t="str">
        <f>YEAR(KMART_DATA[[#This Row],[Date]])&amp;"-"&amp;TEXT(MONTH(KMART_DATA[[#This Row],[Date]]),"00")</f>
        <v>2025-03</v>
      </c>
      <c r="D2775" s="3" t="s">
        <v>28</v>
      </c>
      <c r="E2775" s="3" t="s">
        <v>187</v>
      </c>
      <c r="F2775" s="3" t="s">
        <v>11</v>
      </c>
      <c r="G27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75" s="3" t="s">
        <v>188</v>
      </c>
      <c r="I2775" s="3" t="s">
        <v>31</v>
      </c>
      <c r="J2775" s="3" t="s">
        <v>78</v>
      </c>
      <c r="K2775" s="3" t="s">
        <v>43</v>
      </c>
      <c r="L2775" s="3" t="s">
        <v>44</v>
      </c>
      <c r="M2775" s="4">
        <v>210.81</v>
      </c>
    </row>
    <row r="2776">
      <c r="A2776" s="2">
        <v>45746</v>
      </c>
      <c r="B27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6" s="3" t="str">
        <f>YEAR(KMART_DATA[[#This Row],[Date]])&amp;"-"&amp;TEXT(MONTH(KMART_DATA[[#This Row],[Date]]),"00")</f>
        <v>2025-03</v>
      </c>
      <c r="D2776" s="3" t="s">
        <v>28</v>
      </c>
      <c r="E2776" s="3" t="s">
        <v>230</v>
      </c>
      <c r="F2776" s="3" t="s">
        <v>13</v>
      </c>
      <c r="G27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776" s="3" t="s">
        <v>231</v>
      </c>
      <c r="I2776" s="3" t="s">
        <v>31</v>
      </c>
      <c r="J2776" s="3" t="s">
        <v>227</v>
      </c>
      <c r="K2776" s="3" t="s">
        <v>71</v>
      </c>
      <c r="L2776" s="3" t="s">
        <v>72</v>
      </c>
      <c r="M2776" s="4">
        <v>355.89</v>
      </c>
    </row>
    <row r="2777">
      <c r="A2777" s="2">
        <v>45746</v>
      </c>
      <c r="B27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7" s="3" t="str">
        <f>YEAR(KMART_DATA[[#This Row],[Date]])&amp;"-"&amp;TEXT(MONTH(KMART_DATA[[#This Row],[Date]]),"00")</f>
        <v>2025-03</v>
      </c>
      <c r="D2777" s="3" t="s">
        <v>28</v>
      </c>
      <c r="E2777" s="3" t="s">
        <v>35</v>
      </c>
      <c r="F2777" s="3" t="s">
        <v>10</v>
      </c>
      <c r="G27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77" s="3" t="s">
        <v>36</v>
      </c>
      <c r="I2777" s="3" t="s">
        <v>31</v>
      </c>
      <c r="J2777" s="3" t="s">
        <v>37</v>
      </c>
      <c r="K2777" s="3" t="s">
        <v>71</v>
      </c>
      <c r="L2777" s="3" t="s">
        <v>72</v>
      </c>
      <c r="M2777" s="4">
        <v>504.09</v>
      </c>
    </row>
    <row r="2778">
      <c r="A2778" s="2">
        <v>45747</v>
      </c>
      <c r="B27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8" s="3" t="str">
        <f>YEAR(KMART_DATA[[#This Row],[Date]])&amp;"-"&amp;TEXT(MONTH(KMART_DATA[[#This Row],[Date]]),"00")</f>
        <v>2025-03</v>
      </c>
      <c r="D2778" s="3" t="s">
        <v>28</v>
      </c>
      <c r="E2778" s="3" t="s">
        <v>254</v>
      </c>
      <c r="F2778" s="3" t="s">
        <v>13</v>
      </c>
      <c r="G27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778" s="3" t="s">
        <v>255</v>
      </c>
      <c r="I2778" s="3" t="s">
        <v>31</v>
      </c>
      <c r="J2778" s="3" t="s">
        <v>227</v>
      </c>
      <c r="K2778" s="3" t="s">
        <v>38</v>
      </c>
      <c r="L2778" s="3" t="s">
        <v>39</v>
      </c>
      <c r="M2778" s="4">
        <v>21.0</v>
      </c>
    </row>
    <row r="2779">
      <c r="A2779" s="2">
        <v>45747</v>
      </c>
      <c r="B27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79" s="3" t="str">
        <f>YEAR(KMART_DATA[[#This Row],[Date]])&amp;"-"&amp;TEXT(MONTH(KMART_DATA[[#This Row],[Date]]),"00")</f>
        <v>2025-03</v>
      </c>
      <c r="D2779" s="3" t="s">
        <v>28</v>
      </c>
      <c r="E2779" s="3" t="s">
        <v>64</v>
      </c>
      <c r="F2779" s="3" t="s">
        <v>11</v>
      </c>
      <c r="G27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79" s="3" t="s">
        <v>65</v>
      </c>
      <c r="I2779" s="3" t="s">
        <v>31</v>
      </c>
      <c r="J2779" s="3" t="s">
        <v>61</v>
      </c>
      <c r="K2779" s="3" t="s">
        <v>66</v>
      </c>
      <c r="L2779" s="3" t="s">
        <v>67</v>
      </c>
      <c r="M2779" s="4">
        <v>42.79</v>
      </c>
    </row>
    <row r="2780">
      <c r="A2780" s="2">
        <v>45747</v>
      </c>
      <c r="B27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0" s="3" t="str">
        <f>YEAR(KMART_DATA[[#This Row],[Date]])&amp;"-"&amp;TEXT(MONTH(KMART_DATA[[#This Row],[Date]]),"00")</f>
        <v>2025-03</v>
      </c>
      <c r="D2780" s="3" t="s">
        <v>28</v>
      </c>
      <c r="E2780" s="3" t="s">
        <v>105</v>
      </c>
      <c r="F2780" s="3" t="s">
        <v>9</v>
      </c>
      <c r="G27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80" s="3" t="s">
        <v>106</v>
      </c>
      <c r="I2780" s="3" t="s">
        <v>31</v>
      </c>
      <c r="J2780" s="3" t="s">
        <v>107</v>
      </c>
      <c r="K2780" s="3" t="s">
        <v>112</v>
      </c>
      <c r="L2780" s="3" t="s">
        <v>113</v>
      </c>
      <c r="M2780" s="4">
        <v>1238.4</v>
      </c>
    </row>
    <row r="2781">
      <c r="A2781" s="2">
        <v>45748</v>
      </c>
      <c r="B27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1" s="3" t="str">
        <f>YEAR(KMART_DATA[[#This Row],[Date]])&amp;"-"&amp;TEXT(MONTH(KMART_DATA[[#This Row],[Date]]),"00")</f>
        <v>2025-04</v>
      </c>
      <c r="D2781" s="3" t="s">
        <v>28</v>
      </c>
      <c r="E2781" s="3" t="s">
        <v>260</v>
      </c>
      <c r="F2781" s="3" t="s">
        <v>10</v>
      </c>
      <c r="G27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81" s="3" t="s">
        <v>261</v>
      </c>
      <c r="I2781" s="3" t="s">
        <v>31</v>
      </c>
      <c r="J2781" s="3" t="s">
        <v>89</v>
      </c>
      <c r="K2781" s="3" t="s">
        <v>57</v>
      </c>
      <c r="L2781" s="3" t="s">
        <v>58</v>
      </c>
      <c r="M2781" s="4">
        <v>5.99</v>
      </c>
    </row>
    <row r="2782">
      <c r="A2782" s="2">
        <v>45748</v>
      </c>
      <c r="B27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2" s="3" t="str">
        <f>YEAR(KMART_DATA[[#This Row],[Date]])&amp;"-"&amp;TEXT(MONTH(KMART_DATA[[#This Row],[Date]]),"00")</f>
        <v>2025-04</v>
      </c>
      <c r="D2782" s="3" t="s">
        <v>45</v>
      </c>
      <c r="E2782" s="3" t="s">
        <v>260</v>
      </c>
      <c r="F2782" s="3" t="s">
        <v>10</v>
      </c>
      <c r="G27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82" s="3" t="s">
        <v>261</v>
      </c>
      <c r="I2782" s="3" t="s">
        <v>31</v>
      </c>
      <c r="J2782" s="3" t="s">
        <v>89</v>
      </c>
      <c r="K2782" s="3" t="s">
        <v>43</v>
      </c>
      <c r="L2782" s="3" t="s">
        <v>44</v>
      </c>
      <c r="M2782" s="4">
        <v>103.92</v>
      </c>
    </row>
    <row r="2783">
      <c r="A2783" s="2">
        <v>45748</v>
      </c>
      <c r="B27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3" s="3" t="str">
        <f>YEAR(KMART_DATA[[#This Row],[Date]])&amp;"-"&amp;TEXT(MONTH(KMART_DATA[[#This Row],[Date]]),"00")</f>
        <v>2025-04</v>
      </c>
      <c r="D2783" s="3" t="s">
        <v>28</v>
      </c>
      <c r="E2783" s="3" t="s">
        <v>156</v>
      </c>
      <c r="F2783" s="3" t="s">
        <v>9</v>
      </c>
      <c r="G27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83" s="3" t="s">
        <v>157</v>
      </c>
      <c r="I2783" s="3" t="s">
        <v>31</v>
      </c>
      <c r="J2783" s="3" t="s">
        <v>75</v>
      </c>
      <c r="K2783" s="3" t="s">
        <v>33</v>
      </c>
      <c r="L2783" s="3" t="s">
        <v>34</v>
      </c>
      <c r="M2783" s="4">
        <v>300.85</v>
      </c>
    </row>
    <row r="2784">
      <c r="A2784" s="2">
        <v>45748</v>
      </c>
      <c r="B27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4" s="3" t="str">
        <f>YEAR(KMART_DATA[[#This Row],[Date]])&amp;"-"&amp;TEXT(MONTH(KMART_DATA[[#This Row],[Date]]),"00")</f>
        <v>2025-04</v>
      </c>
      <c r="D2784" s="3" t="s">
        <v>45</v>
      </c>
      <c r="E2784" s="3" t="s">
        <v>127</v>
      </c>
      <c r="F2784" s="3" t="s">
        <v>11</v>
      </c>
      <c r="G27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84" s="3" t="s">
        <v>128</v>
      </c>
      <c r="I2784" s="3" t="s">
        <v>31</v>
      </c>
      <c r="J2784" s="3" t="s">
        <v>78</v>
      </c>
      <c r="K2784" s="3" t="s">
        <v>46</v>
      </c>
      <c r="L2784" s="3" t="s">
        <v>47</v>
      </c>
      <c r="M2784" s="4">
        <v>1552.41</v>
      </c>
    </row>
    <row r="2785">
      <c r="A2785" s="2">
        <v>45749</v>
      </c>
      <c r="B27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5" s="3" t="str">
        <f>YEAR(KMART_DATA[[#This Row],[Date]])&amp;"-"&amp;TEXT(MONTH(KMART_DATA[[#This Row],[Date]]),"00")</f>
        <v>2025-04</v>
      </c>
      <c r="D2785" s="3" t="s">
        <v>45</v>
      </c>
      <c r="E2785" s="3" t="s">
        <v>175</v>
      </c>
      <c r="F2785" s="3" t="s">
        <v>16</v>
      </c>
      <c r="G27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785" s="3" t="s">
        <v>176</v>
      </c>
      <c r="I2785" s="3" t="s">
        <v>31</v>
      </c>
      <c r="J2785" s="3" t="s">
        <v>107</v>
      </c>
      <c r="K2785" s="3" t="s">
        <v>43</v>
      </c>
      <c r="L2785" s="3" t="s">
        <v>44</v>
      </c>
      <c r="M2785" s="4">
        <v>11.96</v>
      </c>
    </row>
    <row r="2786">
      <c r="A2786" s="2">
        <v>45749</v>
      </c>
      <c r="B27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6" s="3" t="str">
        <f>YEAR(KMART_DATA[[#This Row],[Date]])&amp;"-"&amp;TEXT(MONTH(KMART_DATA[[#This Row],[Date]]),"00")</f>
        <v>2025-04</v>
      </c>
      <c r="D2786" s="3" t="s">
        <v>28</v>
      </c>
      <c r="E2786" s="3" t="s">
        <v>242</v>
      </c>
      <c r="F2786" s="3" t="s">
        <v>10</v>
      </c>
      <c r="G27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86" s="3" t="s">
        <v>243</v>
      </c>
      <c r="I2786" s="3" t="s">
        <v>31</v>
      </c>
      <c r="J2786" s="3" t="s">
        <v>94</v>
      </c>
      <c r="K2786" s="3" t="s">
        <v>38</v>
      </c>
      <c r="L2786" s="3" t="s">
        <v>39</v>
      </c>
      <c r="M2786" s="4">
        <v>15.98</v>
      </c>
    </row>
    <row r="2787">
      <c r="A2787" s="2">
        <v>45749</v>
      </c>
      <c r="B27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7" s="3" t="str">
        <f>YEAR(KMART_DATA[[#This Row],[Date]])&amp;"-"&amp;TEXT(MONTH(KMART_DATA[[#This Row],[Date]]),"00")</f>
        <v>2025-04</v>
      </c>
      <c r="D2787" s="3" t="s">
        <v>28</v>
      </c>
      <c r="E2787" s="3" t="s">
        <v>118</v>
      </c>
      <c r="F2787" s="3" t="s">
        <v>10</v>
      </c>
      <c r="G27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87" s="3" t="s">
        <v>119</v>
      </c>
      <c r="I2787" s="3" t="s">
        <v>31</v>
      </c>
      <c r="J2787" s="3" t="s">
        <v>120</v>
      </c>
      <c r="K2787" s="3" t="s">
        <v>112</v>
      </c>
      <c r="L2787" s="3" t="s">
        <v>113</v>
      </c>
      <c r="M2787" s="4">
        <v>17.0</v>
      </c>
    </row>
    <row r="2788">
      <c r="A2788" s="2">
        <v>45749</v>
      </c>
      <c r="B27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8" s="3" t="str">
        <f>YEAR(KMART_DATA[[#This Row],[Date]])&amp;"-"&amp;TEXT(MONTH(KMART_DATA[[#This Row],[Date]]),"00")</f>
        <v>2025-04</v>
      </c>
      <c r="D2788" s="3" t="s">
        <v>45</v>
      </c>
      <c r="E2788" s="3" t="s">
        <v>248</v>
      </c>
      <c r="F2788" s="3" t="s">
        <v>12</v>
      </c>
      <c r="G27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88" s="3" t="s">
        <v>249</v>
      </c>
      <c r="I2788" s="3" t="s">
        <v>31</v>
      </c>
      <c r="J2788" s="3" t="s">
        <v>162</v>
      </c>
      <c r="K2788" s="3" t="s">
        <v>95</v>
      </c>
      <c r="L2788" s="3" t="s">
        <v>96</v>
      </c>
      <c r="M2788" s="4">
        <v>17.97</v>
      </c>
    </row>
    <row r="2789">
      <c r="A2789" s="2">
        <v>45749</v>
      </c>
      <c r="B27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89" s="3" t="str">
        <f>YEAR(KMART_DATA[[#This Row],[Date]])&amp;"-"&amp;TEXT(MONTH(KMART_DATA[[#This Row],[Date]]),"00")</f>
        <v>2025-04</v>
      </c>
      <c r="D2789" s="3" t="s">
        <v>45</v>
      </c>
      <c r="E2789" s="3" t="s">
        <v>121</v>
      </c>
      <c r="F2789" s="3" t="s">
        <v>11</v>
      </c>
      <c r="G27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89" s="3" t="s">
        <v>122</v>
      </c>
      <c r="I2789" s="3" t="s">
        <v>31</v>
      </c>
      <c r="J2789" s="3" t="s">
        <v>84</v>
      </c>
      <c r="K2789" s="3" t="s">
        <v>112</v>
      </c>
      <c r="L2789" s="3" t="s">
        <v>113</v>
      </c>
      <c r="M2789" s="4">
        <v>35.88</v>
      </c>
    </row>
    <row r="2790">
      <c r="A2790" s="2">
        <v>45749</v>
      </c>
      <c r="B27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0" s="3" t="str">
        <f>YEAR(KMART_DATA[[#This Row],[Date]])&amp;"-"&amp;TEXT(MONTH(KMART_DATA[[#This Row],[Date]]),"00")</f>
        <v>2025-04</v>
      </c>
      <c r="D2790" s="3" t="s">
        <v>28</v>
      </c>
      <c r="E2790" s="3" t="s">
        <v>217</v>
      </c>
      <c r="F2790" s="3" t="s">
        <v>10</v>
      </c>
      <c r="G27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90" s="3" t="s">
        <v>218</v>
      </c>
      <c r="I2790" s="3" t="s">
        <v>31</v>
      </c>
      <c r="J2790" s="3" t="s">
        <v>89</v>
      </c>
      <c r="K2790" s="3" t="s">
        <v>33</v>
      </c>
      <c r="L2790" s="3" t="s">
        <v>34</v>
      </c>
      <c r="M2790" s="4">
        <v>43.58</v>
      </c>
    </row>
    <row r="2791">
      <c r="A2791" s="2">
        <v>45749</v>
      </c>
      <c r="B27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1" s="3" t="str">
        <f>YEAR(KMART_DATA[[#This Row],[Date]])&amp;"-"&amp;TEXT(MONTH(KMART_DATA[[#This Row],[Date]]),"00")</f>
        <v>2025-04</v>
      </c>
      <c r="D2791" s="3" t="s">
        <v>28</v>
      </c>
      <c r="E2791" s="3" t="s">
        <v>48</v>
      </c>
      <c r="F2791" s="3" t="s">
        <v>12</v>
      </c>
      <c r="G27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791" s="3" t="s">
        <v>49</v>
      </c>
      <c r="I2791" s="3" t="s">
        <v>31</v>
      </c>
      <c r="J2791" s="3" t="s">
        <v>50</v>
      </c>
      <c r="K2791" s="3" t="s">
        <v>43</v>
      </c>
      <c r="L2791" s="3" t="s">
        <v>44</v>
      </c>
      <c r="M2791" s="4">
        <v>161.88</v>
      </c>
    </row>
    <row r="2792">
      <c r="A2792" s="2">
        <v>45749</v>
      </c>
      <c r="B27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2" s="3" t="str">
        <f>YEAR(KMART_DATA[[#This Row],[Date]])&amp;"-"&amp;TEXT(MONTH(KMART_DATA[[#This Row],[Date]]),"00")</f>
        <v>2025-04</v>
      </c>
      <c r="D2792" s="3" t="s">
        <v>45</v>
      </c>
      <c r="E2792" s="3" t="s">
        <v>181</v>
      </c>
      <c r="F2792" s="3" t="s">
        <v>11</v>
      </c>
      <c r="G27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92" s="3" t="s">
        <v>182</v>
      </c>
      <c r="I2792" s="3" t="s">
        <v>31</v>
      </c>
      <c r="J2792" s="3" t="s">
        <v>56</v>
      </c>
      <c r="K2792" s="3" t="s">
        <v>95</v>
      </c>
      <c r="L2792" s="3" t="s">
        <v>96</v>
      </c>
      <c r="M2792" s="4">
        <v>230.94</v>
      </c>
    </row>
    <row r="2793">
      <c r="A2793" s="2">
        <v>45750</v>
      </c>
      <c r="B27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3" s="3" t="str">
        <f>YEAR(KMART_DATA[[#This Row],[Date]])&amp;"-"&amp;TEXT(MONTH(KMART_DATA[[#This Row],[Date]]),"00")</f>
        <v>2025-04</v>
      </c>
      <c r="D2793" s="3" t="s">
        <v>28</v>
      </c>
      <c r="E2793" s="3" t="s">
        <v>240</v>
      </c>
      <c r="F2793" s="3" t="s">
        <v>15</v>
      </c>
      <c r="G27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793" s="3" t="s">
        <v>241</v>
      </c>
      <c r="I2793" s="3" t="s">
        <v>31</v>
      </c>
      <c r="J2793" s="3" t="s">
        <v>53</v>
      </c>
      <c r="K2793" s="3" t="s">
        <v>95</v>
      </c>
      <c r="L2793" s="3" t="s">
        <v>96</v>
      </c>
      <c r="M2793" s="4">
        <v>3.5</v>
      </c>
    </row>
    <row r="2794">
      <c r="A2794" s="2">
        <v>45750</v>
      </c>
      <c r="B27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4" s="3" t="str">
        <f>YEAR(KMART_DATA[[#This Row],[Date]])&amp;"-"&amp;TEXT(MONTH(KMART_DATA[[#This Row],[Date]]),"00")</f>
        <v>2025-04</v>
      </c>
      <c r="D2794" s="3" t="s">
        <v>28</v>
      </c>
      <c r="E2794" s="3" t="s">
        <v>158</v>
      </c>
      <c r="F2794" s="3" t="s">
        <v>11</v>
      </c>
      <c r="G27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94" s="3" t="s">
        <v>159</v>
      </c>
      <c r="I2794" s="3" t="s">
        <v>31</v>
      </c>
      <c r="J2794" s="3" t="s">
        <v>84</v>
      </c>
      <c r="K2794" s="3" t="s">
        <v>71</v>
      </c>
      <c r="L2794" s="3" t="s">
        <v>72</v>
      </c>
      <c r="M2794" s="4">
        <v>65.93</v>
      </c>
    </row>
    <row r="2795">
      <c r="A2795" s="2">
        <v>45750</v>
      </c>
      <c r="B27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5" s="3" t="str">
        <f>YEAR(KMART_DATA[[#This Row],[Date]])&amp;"-"&amp;TEXT(MONTH(KMART_DATA[[#This Row],[Date]]),"00")</f>
        <v>2025-04</v>
      </c>
      <c r="D2795" s="3" t="s">
        <v>28</v>
      </c>
      <c r="E2795" s="3" t="s">
        <v>158</v>
      </c>
      <c r="F2795" s="3" t="s">
        <v>11</v>
      </c>
      <c r="G27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795" s="3" t="s">
        <v>159</v>
      </c>
      <c r="I2795" s="3" t="s">
        <v>31</v>
      </c>
      <c r="J2795" s="3" t="s">
        <v>84</v>
      </c>
      <c r="K2795" s="3" t="s">
        <v>33</v>
      </c>
      <c r="L2795" s="3" t="s">
        <v>34</v>
      </c>
      <c r="M2795" s="4">
        <v>395.97</v>
      </c>
    </row>
    <row r="2796">
      <c r="A2796" s="2">
        <v>45750</v>
      </c>
      <c r="B27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6" s="3" t="str">
        <f>YEAR(KMART_DATA[[#This Row],[Date]])&amp;"-"&amp;TEXT(MONTH(KMART_DATA[[#This Row],[Date]]),"00")</f>
        <v>2025-04</v>
      </c>
      <c r="D2796" s="3" t="s">
        <v>28</v>
      </c>
      <c r="E2796" s="3" t="s">
        <v>129</v>
      </c>
      <c r="F2796" s="3" t="s">
        <v>10</v>
      </c>
      <c r="G27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96" s="3" t="s">
        <v>130</v>
      </c>
      <c r="I2796" s="3" t="s">
        <v>31</v>
      </c>
      <c r="J2796" s="3" t="s">
        <v>120</v>
      </c>
      <c r="K2796" s="3" t="s">
        <v>43</v>
      </c>
      <c r="L2796" s="3" t="s">
        <v>44</v>
      </c>
      <c r="M2796" s="4">
        <v>419.62</v>
      </c>
    </row>
    <row r="2797">
      <c r="A2797" s="2">
        <v>45750</v>
      </c>
      <c r="B27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7" s="3" t="str">
        <f>YEAR(KMART_DATA[[#This Row],[Date]])&amp;"-"&amp;TEXT(MONTH(KMART_DATA[[#This Row],[Date]]),"00")</f>
        <v>2025-04</v>
      </c>
      <c r="D2797" s="3" t="s">
        <v>28</v>
      </c>
      <c r="E2797" s="3" t="s">
        <v>68</v>
      </c>
      <c r="F2797" s="3" t="s">
        <v>9</v>
      </c>
      <c r="G27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97" s="3" t="s">
        <v>69</v>
      </c>
      <c r="I2797" s="3" t="s">
        <v>31</v>
      </c>
      <c r="J2797" s="3" t="s">
        <v>70</v>
      </c>
      <c r="K2797" s="3" t="s">
        <v>57</v>
      </c>
      <c r="L2797" s="3" t="s">
        <v>58</v>
      </c>
      <c r="M2797" s="4">
        <v>764.81</v>
      </c>
    </row>
    <row r="2798">
      <c r="A2798" s="2">
        <v>45750</v>
      </c>
      <c r="B27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8" s="3" t="str">
        <f>YEAR(KMART_DATA[[#This Row],[Date]])&amp;"-"&amp;TEXT(MONTH(KMART_DATA[[#This Row],[Date]]),"00")</f>
        <v>2025-04</v>
      </c>
      <c r="D2798" s="3" t="s">
        <v>28</v>
      </c>
      <c r="E2798" s="3" t="s">
        <v>129</v>
      </c>
      <c r="F2798" s="3" t="s">
        <v>10</v>
      </c>
      <c r="G27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798" s="3" t="s">
        <v>130</v>
      </c>
      <c r="I2798" s="3" t="s">
        <v>31</v>
      </c>
      <c r="J2798" s="3" t="s">
        <v>120</v>
      </c>
      <c r="K2798" s="3" t="s">
        <v>33</v>
      </c>
      <c r="L2798" s="3" t="s">
        <v>34</v>
      </c>
      <c r="M2798" s="4">
        <v>1870.07</v>
      </c>
    </row>
    <row r="2799">
      <c r="A2799" s="2">
        <v>45750</v>
      </c>
      <c r="B27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799" s="3" t="str">
        <f>YEAR(KMART_DATA[[#This Row],[Date]])&amp;"-"&amp;TEXT(MONTH(KMART_DATA[[#This Row],[Date]]),"00")</f>
        <v>2025-04</v>
      </c>
      <c r="D2799" s="3" t="s">
        <v>28</v>
      </c>
      <c r="E2799" s="3" t="s">
        <v>116</v>
      </c>
      <c r="F2799" s="3" t="s">
        <v>9</v>
      </c>
      <c r="G27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799" s="3" t="s">
        <v>117</v>
      </c>
      <c r="I2799" s="3" t="s">
        <v>31</v>
      </c>
      <c r="J2799" s="3" t="s">
        <v>70</v>
      </c>
      <c r="K2799" s="3" t="s">
        <v>71</v>
      </c>
      <c r="L2799" s="3" t="s">
        <v>72</v>
      </c>
      <c r="M2799" s="4">
        <v>3874.62</v>
      </c>
    </row>
    <row r="2800">
      <c r="A2800" s="2">
        <v>45751</v>
      </c>
      <c r="B28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0" s="3" t="str">
        <f>YEAR(KMART_DATA[[#This Row],[Date]])&amp;"-"&amp;TEXT(MONTH(KMART_DATA[[#This Row],[Date]]),"00")</f>
        <v>2025-04</v>
      </c>
      <c r="D2800" s="3" t="s">
        <v>28</v>
      </c>
      <c r="E2800" s="3" t="s">
        <v>54</v>
      </c>
      <c r="F2800" s="3" t="s">
        <v>11</v>
      </c>
      <c r="G28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00" s="3" t="s">
        <v>55</v>
      </c>
      <c r="I2800" s="3" t="s">
        <v>31</v>
      </c>
      <c r="J2800" s="3" t="s">
        <v>56</v>
      </c>
      <c r="K2800" s="3" t="s">
        <v>33</v>
      </c>
      <c r="L2800" s="3" t="s">
        <v>34</v>
      </c>
      <c r="M2800" s="4">
        <v>3.0</v>
      </c>
    </row>
    <row r="2801">
      <c r="A2801" s="2">
        <v>45751</v>
      </c>
      <c r="B28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1" s="3" t="str">
        <f>YEAR(KMART_DATA[[#This Row],[Date]])&amp;"-"&amp;TEXT(MONTH(KMART_DATA[[#This Row],[Date]]),"00")</f>
        <v>2025-04</v>
      </c>
      <c r="D2801" s="3" t="s">
        <v>28</v>
      </c>
      <c r="E2801" s="3" t="s">
        <v>154</v>
      </c>
      <c r="F2801" s="3" t="s">
        <v>11</v>
      </c>
      <c r="G28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01" s="3" t="s">
        <v>155</v>
      </c>
      <c r="I2801" s="3" t="s">
        <v>31</v>
      </c>
      <c r="J2801" s="3" t="s">
        <v>84</v>
      </c>
      <c r="K2801" s="3" t="s">
        <v>43</v>
      </c>
      <c r="L2801" s="3" t="s">
        <v>44</v>
      </c>
      <c r="M2801" s="4">
        <v>6.0</v>
      </c>
    </row>
    <row r="2802">
      <c r="A2802" s="2">
        <v>45751</v>
      </c>
      <c r="B28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2" s="3" t="str">
        <f>YEAR(KMART_DATA[[#This Row],[Date]])&amp;"-"&amp;TEXT(MONTH(KMART_DATA[[#This Row],[Date]]),"00")</f>
        <v>2025-04</v>
      </c>
      <c r="D2802" s="3" t="s">
        <v>45</v>
      </c>
      <c r="E2802" s="3" t="s">
        <v>183</v>
      </c>
      <c r="F2802" s="3" t="s">
        <v>9</v>
      </c>
      <c r="G28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02" s="3" t="s">
        <v>184</v>
      </c>
      <c r="I2802" s="3" t="s">
        <v>31</v>
      </c>
      <c r="J2802" s="3" t="s">
        <v>70</v>
      </c>
      <c r="K2802" s="3" t="s">
        <v>95</v>
      </c>
      <c r="L2802" s="3" t="s">
        <v>96</v>
      </c>
      <c r="M2802" s="4">
        <v>17.98</v>
      </c>
    </row>
    <row r="2803">
      <c r="A2803" s="2">
        <v>45751</v>
      </c>
      <c r="B28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3" s="3" t="str">
        <f>YEAR(KMART_DATA[[#This Row],[Date]])&amp;"-"&amp;TEXT(MONTH(KMART_DATA[[#This Row],[Date]]),"00")</f>
        <v>2025-04</v>
      </c>
      <c r="D2803" s="3" t="s">
        <v>45</v>
      </c>
      <c r="E2803" s="3" t="s">
        <v>97</v>
      </c>
      <c r="F2803" s="3" t="s">
        <v>9</v>
      </c>
      <c r="G28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03" s="3" t="s">
        <v>98</v>
      </c>
      <c r="I2803" s="3" t="s">
        <v>31</v>
      </c>
      <c r="J2803" s="3" t="s">
        <v>99</v>
      </c>
      <c r="K2803" s="3" t="s">
        <v>43</v>
      </c>
      <c r="L2803" s="3" t="s">
        <v>44</v>
      </c>
      <c r="M2803" s="4">
        <v>29.0</v>
      </c>
    </row>
    <row r="2804">
      <c r="A2804" s="2">
        <v>45751</v>
      </c>
      <c r="B28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4" s="3" t="str">
        <f>YEAR(KMART_DATA[[#This Row],[Date]])&amp;"-"&amp;TEXT(MONTH(KMART_DATA[[#This Row],[Date]]),"00")</f>
        <v>2025-04</v>
      </c>
      <c r="D2804" s="3" t="s">
        <v>28</v>
      </c>
      <c r="E2804" s="3" t="s">
        <v>228</v>
      </c>
      <c r="F2804" s="3" t="s">
        <v>11</v>
      </c>
      <c r="G28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04" s="3" t="s">
        <v>229</v>
      </c>
      <c r="I2804" s="3" t="s">
        <v>31</v>
      </c>
      <c r="J2804" s="3" t="s">
        <v>32</v>
      </c>
      <c r="K2804" s="3" t="s">
        <v>46</v>
      </c>
      <c r="L2804" s="3" t="s">
        <v>47</v>
      </c>
      <c r="M2804" s="4">
        <v>51.96</v>
      </c>
    </row>
    <row r="2805">
      <c r="A2805" s="2">
        <v>45751</v>
      </c>
      <c r="B28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5" s="3" t="str">
        <f>YEAR(KMART_DATA[[#This Row],[Date]])&amp;"-"&amp;TEXT(MONTH(KMART_DATA[[#This Row],[Date]]),"00")</f>
        <v>2025-04</v>
      </c>
      <c r="D2805" s="3" t="s">
        <v>45</v>
      </c>
      <c r="E2805" s="3" t="s">
        <v>118</v>
      </c>
      <c r="F2805" s="3" t="s">
        <v>10</v>
      </c>
      <c r="G28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05" s="3" t="s">
        <v>119</v>
      </c>
      <c r="I2805" s="3" t="s">
        <v>31</v>
      </c>
      <c r="J2805" s="3" t="s">
        <v>120</v>
      </c>
      <c r="K2805" s="3" t="s">
        <v>95</v>
      </c>
      <c r="L2805" s="3" t="s">
        <v>96</v>
      </c>
      <c r="M2805" s="4">
        <v>55.93</v>
      </c>
    </row>
    <row r="2806">
      <c r="A2806" s="2">
        <v>45751</v>
      </c>
      <c r="B28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6" s="3" t="str">
        <f>YEAR(KMART_DATA[[#This Row],[Date]])&amp;"-"&amp;TEXT(MONTH(KMART_DATA[[#This Row],[Date]]),"00")</f>
        <v>2025-04</v>
      </c>
      <c r="D2806" s="3" t="s">
        <v>45</v>
      </c>
      <c r="E2806" s="3" t="s">
        <v>260</v>
      </c>
      <c r="F2806" s="3" t="s">
        <v>10</v>
      </c>
      <c r="G28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06" s="3" t="s">
        <v>261</v>
      </c>
      <c r="I2806" s="3" t="s">
        <v>31</v>
      </c>
      <c r="J2806" s="3" t="s">
        <v>89</v>
      </c>
      <c r="K2806" s="3" t="s">
        <v>33</v>
      </c>
      <c r="L2806" s="3" t="s">
        <v>34</v>
      </c>
      <c r="M2806" s="4">
        <v>89.19</v>
      </c>
    </row>
    <row r="2807">
      <c r="A2807" s="2">
        <v>45751</v>
      </c>
      <c r="B28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7" s="3" t="str">
        <f>YEAR(KMART_DATA[[#This Row],[Date]])&amp;"-"&amp;TEXT(MONTH(KMART_DATA[[#This Row],[Date]]),"00")</f>
        <v>2025-04</v>
      </c>
      <c r="D2807" s="3" t="s">
        <v>45</v>
      </c>
      <c r="E2807" s="3" t="s">
        <v>173</v>
      </c>
      <c r="F2807" s="3" t="s">
        <v>11</v>
      </c>
      <c r="G28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07" s="3" t="s">
        <v>174</v>
      </c>
      <c r="I2807" s="3" t="s">
        <v>31</v>
      </c>
      <c r="J2807" s="3" t="s">
        <v>61</v>
      </c>
      <c r="K2807" s="3" t="s">
        <v>46</v>
      </c>
      <c r="L2807" s="3" t="s">
        <v>47</v>
      </c>
      <c r="M2807" s="4">
        <v>359.29</v>
      </c>
    </row>
    <row r="2808">
      <c r="A2808" s="2">
        <v>45751</v>
      </c>
      <c r="B28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8" s="3" t="str">
        <f>YEAR(KMART_DATA[[#This Row],[Date]])&amp;"-"&amp;TEXT(MONTH(KMART_DATA[[#This Row],[Date]]),"00")</f>
        <v>2025-04</v>
      </c>
      <c r="D2808" s="3" t="s">
        <v>28</v>
      </c>
      <c r="E2808" s="3" t="s">
        <v>234</v>
      </c>
      <c r="F2808" s="3" t="s">
        <v>9</v>
      </c>
      <c r="G28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08" s="3" t="s">
        <v>235</v>
      </c>
      <c r="I2808" s="3" t="s">
        <v>31</v>
      </c>
      <c r="J2808" s="3" t="s">
        <v>81</v>
      </c>
      <c r="K2808" s="3" t="s">
        <v>71</v>
      </c>
      <c r="L2808" s="3" t="s">
        <v>72</v>
      </c>
      <c r="M2808" s="4">
        <v>747.94</v>
      </c>
    </row>
    <row r="2809">
      <c r="A2809" s="2">
        <v>45751</v>
      </c>
      <c r="B28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09" s="3" t="str">
        <f>YEAR(KMART_DATA[[#This Row],[Date]])&amp;"-"&amp;TEXT(MONTH(KMART_DATA[[#This Row],[Date]]),"00")</f>
        <v>2025-04</v>
      </c>
      <c r="D2809" s="3" t="s">
        <v>45</v>
      </c>
      <c r="E2809" s="3" t="s">
        <v>143</v>
      </c>
      <c r="F2809" s="3" t="s">
        <v>14</v>
      </c>
      <c r="G28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809" s="3" t="s">
        <v>144</v>
      </c>
      <c r="I2809" s="3" t="s">
        <v>31</v>
      </c>
      <c r="J2809" s="3" t="s">
        <v>145</v>
      </c>
      <c r="K2809" s="3" t="s">
        <v>38</v>
      </c>
      <c r="L2809" s="3" t="s">
        <v>39</v>
      </c>
      <c r="M2809" s="4">
        <v>1292.26</v>
      </c>
    </row>
    <row r="2810">
      <c r="A2810" s="2">
        <v>45751</v>
      </c>
      <c r="B28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0" s="3" t="str">
        <f>YEAR(KMART_DATA[[#This Row],[Date]])&amp;"-"&amp;TEXT(MONTH(KMART_DATA[[#This Row],[Date]]),"00")</f>
        <v>2025-04</v>
      </c>
      <c r="D2810" s="3" t="s">
        <v>28</v>
      </c>
      <c r="E2810" s="3" t="s">
        <v>64</v>
      </c>
      <c r="F2810" s="3" t="s">
        <v>11</v>
      </c>
      <c r="G28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10" s="3" t="s">
        <v>65</v>
      </c>
      <c r="I2810" s="3" t="s">
        <v>31</v>
      </c>
      <c r="J2810" s="3" t="s">
        <v>61</v>
      </c>
      <c r="K2810" s="3" t="s">
        <v>123</v>
      </c>
      <c r="L2810" s="3" t="s">
        <v>124</v>
      </c>
      <c r="M2810" s="4">
        <v>2830.63</v>
      </c>
    </row>
    <row r="2811">
      <c r="A2811" s="2">
        <v>45752</v>
      </c>
      <c r="B28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1" s="3" t="str">
        <f>YEAR(KMART_DATA[[#This Row],[Date]])&amp;"-"&amp;TEXT(MONTH(KMART_DATA[[#This Row],[Date]]),"00")</f>
        <v>2025-04</v>
      </c>
      <c r="D2811" s="3" t="s">
        <v>28</v>
      </c>
      <c r="E2811" s="3" t="s">
        <v>152</v>
      </c>
      <c r="F2811" s="3" t="s">
        <v>11</v>
      </c>
      <c r="G28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11" s="3" t="s">
        <v>153</v>
      </c>
      <c r="I2811" s="3" t="s">
        <v>31</v>
      </c>
      <c r="J2811" s="3" t="s">
        <v>61</v>
      </c>
      <c r="K2811" s="3" t="s">
        <v>38</v>
      </c>
      <c r="L2811" s="3" t="s">
        <v>39</v>
      </c>
      <c r="M2811" s="4">
        <v>21.99</v>
      </c>
    </row>
    <row r="2812">
      <c r="A2812" s="2">
        <v>45752</v>
      </c>
      <c r="B28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2" s="3" t="str">
        <f>YEAR(KMART_DATA[[#This Row],[Date]])&amp;"-"&amp;TEXT(MONTH(KMART_DATA[[#This Row],[Date]]),"00")</f>
        <v>2025-04</v>
      </c>
      <c r="D2812" s="3" t="s">
        <v>28</v>
      </c>
      <c r="E2812" s="3" t="s">
        <v>156</v>
      </c>
      <c r="F2812" s="3" t="s">
        <v>9</v>
      </c>
      <c r="G28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12" s="3" t="s">
        <v>157</v>
      </c>
      <c r="I2812" s="3" t="s">
        <v>31</v>
      </c>
      <c r="J2812" s="3" t="s">
        <v>75</v>
      </c>
      <c r="K2812" s="3" t="s">
        <v>43</v>
      </c>
      <c r="L2812" s="3" t="s">
        <v>44</v>
      </c>
      <c r="M2812" s="4">
        <v>57.96</v>
      </c>
    </row>
    <row r="2813">
      <c r="A2813" s="2">
        <v>45752</v>
      </c>
      <c r="B28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3" s="3" t="str">
        <f>YEAR(KMART_DATA[[#This Row],[Date]])&amp;"-"&amp;TEXT(MONTH(KMART_DATA[[#This Row],[Date]]),"00")</f>
        <v>2025-04</v>
      </c>
      <c r="D2813" s="3" t="s">
        <v>28</v>
      </c>
      <c r="E2813" s="3" t="s">
        <v>256</v>
      </c>
      <c r="F2813" s="3" t="s">
        <v>9</v>
      </c>
      <c r="G28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13" s="3" t="s">
        <v>257</v>
      </c>
      <c r="I2813" s="3" t="s">
        <v>31</v>
      </c>
      <c r="J2813" s="3" t="s">
        <v>70</v>
      </c>
      <c r="K2813" s="3" t="s">
        <v>112</v>
      </c>
      <c r="L2813" s="3" t="s">
        <v>113</v>
      </c>
      <c r="M2813" s="4">
        <v>109.7</v>
      </c>
    </row>
    <row r="2814">
      <c r="A2814" s="2">
        <v>45752</v>
      </c>
      <c r="B28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4" s="3" t="str">
        <f>YEAR(KMART_DATA[[#This Row],[Date]])&amp;"-"&amp;TEXT(MONTH(KMART_DATA[[#This Row],[Date]]),"00")</f>
        <v>2025-04</v>
      </c>
      <c r="D2814" s="3" t="s">
        <v>28</v>
      </c>
      <c r="E2814" s="3" t="s">
        <v>125</v>
      </c>
      <c r="F2814" s="3" t="s">
        <v>10</v>
      </c>
      <c r="G28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14" s="3" t="s">
        <v>126</v>
      </c>
      <c r="I2814" s="3" t="s">
        <v>31</v>
      </c>
      <c r="J2814" s="3" t="s">
        <v>94</v>
      </c>
      <c r="K2814" s="3" t="s">
        <v>71</v>
      </c>
      <c r="L2814" s="3" t="s">
        <v>72</v>
      </c>
      <c r="M2814" s="4">
        <v>2333.78</v>
      </c>
    </row>
    <row r="2815">
      <c r="A2815" s="2">
        <v>45752</v>
      </c>
      <c r="B28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5" s="3" t="str">
        <f>YEAR(KMART_DATA[[#This Row],[Date]])&amp;"-"&amp;TEXT(MONTH(KMART_DATA[[#This Row],[Date]]),"00")</f>
        <v>2025-04</v>
      </c>
      <c r="D2815" s="3" t="s">
        <v>28</v>
      </c>
      <c r="E2815" s="3" t="s">
        <v>209</v>
      </c>
      <c r="F2815" s="3" t="s">
        <v>9</v>
      </c>
      <c r="G28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15" s="3" t="s">
        <v>210</v>
      </c>
      <c r="I2815" s="3" t="s">
        <v>31</v>
      </c>
      <c r="J2815" s="3" t="s">
        <v>81</v>
      </c>
      <c r="K2815" s="3" t="s">
        <v>46</v>
      </c>
      <c r="L2815" s="3" t="s">
        <v>47</v>
      </c>
      <c r="M2815" s="4">
        <v>4241.4</v>
      </c>
    </row>
    <row r="2816">
      <c r="A2816" s="2">
        <v>45753</v>
      </c>
      <c r="B28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6" s="3" t="str">
        <f>YEAR(KMART_DATA[[#This Row],[Date]])&amp;"-"&amp;TEXT(MONTH(KMART_DATA[[#This Row],[Date]]),"00")</f>
        <v>2025-04</v>
      </c>
      <c r="D2816" s="3" t="s">
        <v>45</v>
      </c>
      <c r="E2816" s="3" t="s">
        <v>215</v>
      </c>
      <c r="F2816" s="3" t="s">
        <v>15</v>
      </c>
      <c r="G28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816" s="3" t="s">
        <v>216</v>
      </c>
      <c r="I2816" s="3" t="s">
        <v>31</v>
      </c>
      <c r="J2816" s="3" t="s">
        <v>53</v>
      </c>
      <c r="K2816" s="3" t="s">
        <v>43</v>
      </c>
      <c r="L2816" s="3" t="s">
        <v>44</v>
      </c>
      <c r="M2816" s="4">
        <v>61.94</v>
      </c>
    </row>
    <row r="2817">
      <c r="A2817" s="2">
        <v>45753</v>
      </c>
      <c r="B28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7" s="3" t="str">
        <f>YEAR(KMART_DATA[[#This Row],[Date]])&amp;"-"&amp;TEXT(MONTH(KMART_DATA[[#This Row],[Date]]),"00")</f>
        <v>2025-04</v>
      </c>
      <c r="D2817" s="3" t="s">
        <v>28</v>
      </c>
      <c r="E2817" s="3" t="s">
        <v>137</v>
      </c>
      <c r="F2817" s="3" t="s">
        <v>10</v>
      </c>
      <c r="G28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17" s="3" t="s">
        <v>138</v>
      </c>
      <c r="I2817" s="3" t="s">
        <v>31</v>
      </c>
      <c r="J2817" s="3" t="s">
        <v>89</v>
      </c>
      <c r="K2817" s="3" t="s">
        <v>43</v>
      </c>
      <c r="L2817" s="3" t="s">
        <v>44</v>
      </c>
      <c r="M2817" s="4">
        <v>77.92</v>
      </c>
    </row>
    <row r="2818">
      <c r="A2818" s="2">
        <v>45753</v>
      </c>
      <c r="B28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8" s="3" t="str">
        <f>YEAR(KMART_DATA[[#This Row],[Date]])&amp;"-"&amp;TEXT(MONTH(KMART_DATA[[#This Row],[Date]]),"00")</f>
        <v>2025-04</v>
      </c>
      <c r="D2818" s="3" t="s">
        <v>45</v>
      </c>
      <c r="E2818" s="3" t="s">
        <v>250</v>
      </c>
      <c r="F2818" s="3" t="s">
        <v>10</v>
      </c>
      <c r="G28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18" s="3" t="s">
        <v>251</v>
      </c>
      <c r="I2818" s="3" t="s">
        <v>31</v>
      </c>
      <c r="J2818" s="3" t="s">
        <v>37</v>
      </c>
      <c r="K2818" s="3" t="s">
        <v>95</v>
      </c>
      <c r="L2818" s="3" t="s">
        <v>96</v>
      </c>
      <c r="M2818" s="4">
        <v>95.88</v>
      </c>
    </row>
    <row r="2819">
      <c r="A2819" s="2">
        <v>45753</v>
      </c>
      <c r="B28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19" s="3" t="str">
        <f>YEAR(KMART_DATA[[#This Row],[Date]])&amp;"-"&amp;TEXT(MONTH(KMART_DATA[[#This Row],[Date]]),"00")</f>
        <v>2025-04</v>
      </c>
      <c r="D2819" s="3" t="s">
        <v>28</v>
      </c>
      <c r="E2819" s="3" t="s">
        <v>209</v>
      </c>
      <c r="F2819" s="3" t="s">
        <v>9</v>
      </c>
      <c r="G28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19" s="3" t="s">
        <v>210</v>
      </c>
      <c r="I2819" s="3" t="s">
        <v>31</v>
      </c>
      <c r="J2819" s="3" t="s">
        <v>81</v>
      </c>
      <c r="K2819" s="3" t="s">
        <v>46</v>
      </c>
      <c r="L2819" s="3" t="s">
        <v>47</v>
      </c>
      <c r="M2819" s="4">
        <v>103.07</v>
      </c>
    </row>
    <row r="2820">
      <c r="A2820" s="2">
        <v>45753</v>
      </c>
      <c r="B28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0" s="3" t="str">
        <f>YEAR(KMART_DATA[[#This Row],[Date]])&amp;"-"&amp;TEXT(MONTH(KMART_DATA[[#This Row],[Date]]),"00")</f>
        <v>2025-04</v>
      </c>
      <c r="D2820" s="3" t="s">
        <v>45</v>
      </c>
      <c r="E2820" s="3" t="s">
        <v>197</v>
      </c>
      <c r="F2820" s="3" t="s">
        <v>9</v>
      </c>
      <c r="G28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20" s="3" t="s">
        <v>198</v>
      </c>
      <c r="I2820" s="3" t="s">
        <v>31</v>
      </c>
      <c r="J2820" s="3" t="s">
        <v>107</v>
      </c>
      <c r="K2820" s="3" t="s">
        <v>43</v>
      </c>
      <c r="L2820" s="3" t="s">
        <v>44</v>
      </c>
      <c r="M2820" s="4">
        <v>293.84</v>
      </c>
    </row>
    <row r="2821">
      <c r="A2821" s="2">
        <v>45753</v>
      </c>
      <c r="B28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1" s="3" t="str">
        <f>YEAR(KMART_DATA[[#This Row],[Date]])&amp;"-"&amp;TEXT(MONTH(KMART_DATA[[#This Row],[Date]]),"00")</f>
        <v>2025-04</v>
      </c>
      <c r="D2821" s="3" t="s">
        <v>45</v>
      </c>
      <c r="E2821" s="3" t="s">
        <v>228</v>
      </c>
      <c r="F2821" s="3" t="s">
        <v>11</v>
      </c>
      <c r="G28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21" s="3" t="s">
        <v>229</v>
      </c>
      <c r="I2821" s="3" t="s">
        <v>31</v>
      </c>
      <c r="J2821" s="3" t="s">
        <v>32</v>
      </c>
      <c r="K2821" s="3" t="s">
        <v>123</v>
      </c>
      <c r="L2821" s="3" t="s">
        <v>124</v>
      </c>
      <c r="M2821" s="4">
        <v>421.9</v>
      </c>
    </row>
    <row r="2822">
      <c r="A2822" s="2">
        <v>45754</v>
      </c>
      <c r="B28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2" s="3" t="str">
        <f>YEAR(KMART_DATA[[#This Row],[Date]])&amp;"-"&amp;TEXT(MONTH(KMART_DATA[[#This Row],[Date]]),"00")</f>
        <v>2025-04</v>
      </c>
      <c r="D2822" s="3" t="s">
        <v>28</v>
      </c>
      <c r="E2822" s="3" t="s">
        <v>191</v>
      </c>
      <c r="F2822" s="3" t="s">
        <v>10</v>
      </c>
      <c r="G28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22" s="3" t="s">
        <v>192</v>
      </c>
      <c r="I2822" s="3" t="s">
        <v>31</v>
      </c>
      <c r="J2822" s="3" t="s">
        <v>120</v>
      </c>
      <c r="K2822" s="3" t="s">
        <v>123</v>
      </c>
      <c r="L2822" s="3" t="s">
        <v>124</v>
      </c>
      <c r="M2822" s="4">
        <v>9.99</v>
      </c>
    </row>
    <row r="2823">
      <c r="A2823" s="2">
        <v>45754</v>
      </c>
      <c r="B28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3" s="3" t="str">
        <f>YEAR(KMART_DATA[[#This Row],[Date]])&amp;"-"&amp;TEXT(MONTH(KMART_DATA[[#This Row],[Date]]),"00")</f>
        <v>2025-04</v>
      </c>
      <c r="D2823" s="3" t="s">
        <v>28</v>
      </c>
      <c r="E2823" s="3" t="s">
        <v>223</v>
      </c>
      <c r="F2823" s="3" t="s">
        <v>10</v>
      </c>
      <c r="G28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23" s="3" t="s">
        <v>224</v>
      </c>
      <c r="I2823" s="3" t="s">
        <v>31</v>
      </c>
      <c r="J2823" s="3" t="s">
        <v>94</v>
      </c>
      <c r="K2823" s="3" t="s">
        <v>46</v>
      </c>
      <c r="L2823" s="3" t="s">
        <v>47</v>
      </c>
      <c r="M2823" s="4">
        <v>25.98</v>
      </c>
    </row>
    <row r="2824">
      <c r="A2824" s="2">
        <v>45754</v>
      </c>
      <c r="B28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4" s="3" t="str">
        <f>YEAR(KMART_DATA[[#This Row],[Date]])&amp;"-"&amp;TEXT(MONTH(KMART_DATA[[#This Row],[Date]]),"00")</f>
        <v>2025-04</v>
      </c>
      <c r="D2824" s="3" t="s">
        <v>28</v>
      </c>
      <c r="E2824" s="3" t="s">
        <v>137</v>
      </c>
      <c r="F2824" s="3" t="s">
        <v>10</v>
      </c>
      <c r="G28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24" s="3" t="s">
        <v>138</v>
      </c>
      <c r="I2824" s="3" t="s">
        <v>31</v>
      </c>
      <c r="J2824" s="3" t="s">
        <v>89</v>
      </c>
      <c r="K2824" s="3" t="s">
        <v>38</v>
      </c>
      <c r="L2824" s="3" t="s">
        <v>39</v>
      </c>
      <c r="M2824" s="4">
        <v>66.87</v>
      </c>
    </row>
    <row r="2825">
      <c r="A2825" s="2">
        <v>45754</v>
      </c>
      <c r="B28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5" s="3" t="str">
        <f>YEAR(KMART_DATA[[#This Row],[Date]])&amp;"-"&amp;TEXT(MONTH(KMART_DATA[[#This Row],[Date]]),"00")</f>
        <v>2025-04</v>
      </c>
      <c r="D2825" s="3" t="s">
        <v>45</v>
      </c>
      <c r="E2825" s="3" t="s">
        <v>51</v>
      </c>
      <c r="F2825" s="3" t="s">
        <v>15</v>
      </c>
      <c r="G28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825" s="3" t="s">
        <v>52</v>
      </c>
      <c r="I2825" s="3" t="s">
        <v>31</v>
      </c>
      <c r="J2825" s="3" t="s">
        <v>53</v>
      </c>
      <c r="K2825" s="3" t="s">
        <v>43</v>
      </c>
      <c r="L2825" s="3" t="s">
        <v>44</v>
      </c>
      <c r="M2825" s="4">
        <v>66.96</v>
      </c>
    </row>
    <row r="2826">
      <c r="A2826" s="2">
        <v>45754</v>
      </c>
      <c r="B28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6" s="3" t="str">
        <f>YEAR(KMART_DATA[[#This Row],[Date]])&amp;"-"&amp;TEXT(MONTH(KMART_DATA[[#This Row],[Date]]),"00")</f>
        <v>2025-04</v>
      </c>
      <c r="D2826" s="3" t="s">
        <v>28</v>
      </c>
      <c r="E2826" s="3" t="s">
        <v>209</v>
      </c>
      <c r="F2826" s="3" t="s">
        <v>9</v>
      </c>
      <c r="G28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26" s="3" t="s">
        <v>210</v>
      </c>
      <c r="I2826" s="3" t="s">
        <v>31</v>
      </c>
      <c r="J2826" s="3" t="s">
        <v>81</v>
      </c>
      <c r="K2826" s="3" t="s">
        <v>57</v>
      </c>
      <c r="L2826" s="3" t="s">
        <v>58</v>
      </c>
      <c r="M2826" s="4">
        <v>119.96</v>
      </c>
    </row>
    <row r="2827">
      <c r="A2827" s="2">
        <v>45754</v>
      </c>
      <c r="B28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7" s="3" t="str">
        <f>YEAR(KMART_DATA[[#This Row],[Date]])&amp;"-"&amp;TEXT(MONTH(KMART_DATA[[#This Row],[Date]]),"00")</f>
        <v>2025-04</v>
      </c>
      <c r="D2827" s="3" t="s">
        <v>28</v>
      </c>
      <c r="E2827" s="3" t="s">
        <v>183</v>
      </c>
      <c r="F2827" s="3" t="s">
        <v>9</v>
      </c>
      <c r="G28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27" s="3" t="s">
        <v>184</v>
      </c>
      <c r="I2827" s="3" t="s">
        <v>31</v>
      </c>
      <c r="J2827" s="3" t="s">
        <v>70</v>
      </c>
      <c r="K2827" s="3" t="s">
        <v>33</v>
      </c>
      <c r="L2827" s="3" t="s">
        <v>34</v>
      </c>
      <c r="M2827" s="4">
        <v>175.01</v>
      </c>
    </row>
    <row r="2828">
      <c r="A2828" s="2">
        <v>45754</v>
      </c>
      <c r="B28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8" s="3" t="str">
        <f>YEAR(KMART_DATA[[#This Row],[Date]])&amp;"-"&amp;TEXT(MONTH(KMART_DATA[[#This Row],[Date]]),"00")</f>
        <v>2025-04</v>
      </c>
      <c r="D2828" s="3" t="s">
        <v>28</v>
      </c>
      <c r="E2828" s="3" t="s">
        <v>238</v>
      </c>
      <c r="F2828" s="3" t="s">
        <v>13</v>
      </c>
      <c r="G28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828" s="3" t="s">
        <v>239</v>
      </c>
      <c r="I2828" s="3" t="s">
        <v>31</v>
      </c>
      <c r="J2828" s="3" t="s">
        <v>42</v>
      </c>
      <c r="K2828" s="3" t="s">
        <v>71</v>
      </c>
      <c r="L2828" s="3" t="s">
        <v>72</v>
      </c>
      <c r="M2828" s="4">
        <v>546.62</v>
      </c>
    </row>
    <row r="2829">
      <c r="A2829" s="2">
        <v>45754</v>
      </c>
      <c r="B28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29" s="3" t="str">
        <f>YEAR(KMART_DATA[[#This Row],[Date]])&amp;"-"&amp;TEXT(MONTH(KMART_DATA[[#This Row],[Date]]),"00")</f>
        <v>2025-04</v>
      </c>
      <c r="D2829" s="3" t="s">
        <v>45</v>
      </c>
      <c r="E2829" s="3" t="s">
        <v>217</v>
      </c>
      <c r="F2829" s="3" t="s">
        <v>10</v>
      </c>
      <c r="G28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29" s="3" t="s">
        <v>218</v>
      </c>
      <c r="I2829" s="3" t="s">
        <v>31</v>
      </c>
      <c r="J2829" s="3" t="s">
        <v>89</v>
      </c>
      <c r="K2829" s="3" t="s">
        <v>71</v>
      </c>
      <c r="L2829" s="3" t="s">
        <v>72</v>
      </c>
      <c r="M2829" s="4">
        <v>797.62</v>
      </c>
    </row>
    <row r="2830">
      <c r="A2830" s="2">
        <v>45754</v>
      </c>
      <c r="B28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0" s="3" t="str">
        <f>YEAR(KMART_DATA[[#This Row],[Date]])&amp;"-"&amp;TEXT(MONTH(KMART_DATA[[#This Row],[Date]]),"00")</f>
        <v>2025-04</v>
      </c>
      <c r="D2830" s="3" t="s">
        <v>28</v>
      </c>
      <c r="E2830" s="3" t="s">
        <v>244</v>
      </c>
      <c r="F2830" s="3" t="s">
        <v>13</v>
      </c>
      <c r="G28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830" s="3" t="s">
        <v>245</v>
      </c>
      <c r="I2830" s="3" t="s">
        <v>31</v>
      </c>
      <c r="J2830" s="3" t="s">
        <v>42</v>
      </c>
      <c r="K2830" s="3" t="s">
        <v>57</v>
      </c>
      <c r="L2830" s="3" t="s">
        <v>58</v>
      </c>
      <c r="M2830" s="4">
        <v>1174.57</v>
      </c>
    </row>
    <row r="2831">
      <c r="A2831" s="2">
        <v>45754</v>
      </c>
      <c r="B28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1" s="3" t="str">
        <f>YEAR(KMART_DATA[[#This Row],[Date]])&amp;"-"&amp;TEXT(MONTH(KMART_DATA[[#This Row],[Date]]),"00")</f>
        <v>2025-04</v>
      </c>
      <c r="D2831" s="3" t="s">
        <v>28</v>
      </c>
      <c r="E2831" s="3" t="s">
        <v>228</v>
      </c>
      <c r="F2831" s="3" t="s">
        <v>11</v>
      </c>
      <c r="G28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31" s="3" t="s">
        <v>229</v>
      </c>
      <c r="I2831" s="3" t="s">
        <v>31</v>
      </c>
      <c r="J2831" s="3" t="s">
        <v>32</v>
      </c>
      <c r="K2831" s="3" t="s">
        <v>46</v>
      </c>
      <c r="L2831" s="3" t="s">
        <v>47</v>
      </c>
      <c r="M2831" s="4">
        <v>1414.13</v>
      </c>
    </row>
    <row r="2832">
      <c r="A2832" s="2">
        <v>45754</v>
      </c>
      <c r="B28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2" s="3" t="str">
        <f>YEAR(KMART_DATA[[#This Row],[Date]])&amp;"-"&amp;TEXT(MONTH(KMART_DATA[[#This Row],[Date]]),"00")</f>
        <v>2025-04</v>
      </c>
      <c r="D2832" s="3" t="s">
        <v>28</v>
      </c>
      <c r="E2832" s="3" t="s">
        <v>82</v>
      </c>
      <c r="F2832" s="3" t="s">
        <v>11</v>
      </c>
      <c r="G28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32" s="3" t="s">
        <v>83</v>
      </c>
      <c r="I2832" s="3" t="s">
        <v>31</v>
      </c>
      <c r="J2832" s="3" t="s">
        <v>84</v>
      </c>
      <c r="K2832" s="3" t="s">
        <v>43</v>
      </c>
      <c r="L2832" s="3" t="s">
        <v>44</v>
      </c>
      <c r="M2832" s="4">
        <v>2248.13</v>
      </c>
    </row>
    <row r="2833">
      <c r="A2833" s="2">
        <v>45755</v>
      </c>
      <c r="B28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3" s="3" t="str">
        <f>YEAR(KMART_DATA[[#This Row],[Date]])&amp;"-"&amp;TEXT(MONTH(KMART_DATA[[#This Row],[Date]]),"00")</f>
        <v>2025-04</v>
      </c>
      <c r="D2833" s="3" t="s">
        <v>28</v>
      </c>
      <c r="E2833" s="3" t="s">
        <v>82</v>
      </c>
      <c r="F2833" s="3" t="s">
        <v>11</v>
      </c>
      <c r="G28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33" s="3" t="s">
        <v>83</v>
      </c>
      <c r="I2833" s="3" t="s">
        <v>31</v>
      </c>
      <c r="J2833" s="3" t="s">
        <v>84</v>
      </c>
      <c r="K2833" s="3" t="s">
        <v>46</v>
      </c>
      <c r="L2833" s="3" t="s">
        <v>47</v>
      </c>
      <c r="M2833" s="4">
        <v>25.98</v>
      </c>
    </row>
    <row r="2834">
      <c r="A2834" s="2">
        <v>45755</v>
      </c>
      <c r="B28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4" s="3" t="str">
        <f>YEAR(KMART_DATA[[#This Row],[Date]])&amp;"-"&amp;TEXT(MONTH(KMART_DATA[[#This Row],[Date]]),"00")</f>
        <v>2025-04</v>
      </c>
      <c r="D2834" s="3" t="s">
        <v>28</v>
      </c>
      <c r="E2834" s="3" t="s">
        <v>177</v>
      </c>
      <c r="F2834" s="3" t="s">
        <v>12</v>
      </c>
      <c r="G28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834" s="3" t="s">
        <v>178</v>
      </c>
      <c r="I2834" s="3" t="s">
        <v>31</v>
      </c>
      <c r="J2834" s="3" t="s">
        <v>162</v>
      </c>
      <c r="K2834" s="3" t="s">
        <v>46</v>
      </c>
      <c r="L2834" s="3" t="s">
        <v>47</v>
      </c>
      <c r="M2834" s="4">
        <v>29.0</v>
      </c>
    </row>
    <row r="2835">
      <c r="A2835" s="2">
        <v>45755</v>
      </c>
      <c r="B28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5" s="3" t="str">
        <f>YEAR(KMART_DATA[[#This Row],[Date]])&amp;"-"&amp;TEXT(MONTH(KMART_DATA[[#This Row],[Date]]),"00")</f>
        <v>2025-04</v>
      </c>
      <c r="D2835" s="3" t="s">
        <v>45</v>
      </c>
      <c r="E2835" s="3" t="s">
        <v>137</v>
      </c>
      <c r="F2835" s="3" t="s">
        <v>10</v>
      </c>
      <c r="G28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35" s="3" t="s">
        <v>138</v>
      </c>
      <c r="I2835" s="3" t="s">
        <v>31</v>
      </c>
      <c r="J2835" s="3" t="s">
        <v>89</v>
      </c>
      <c r="K2835" s="3" t="s">
        <v>43</v>
      </c>
      <c r="L2835" s="3" t="s">
        <v>44</v>
      </c>
      <c r="M2835" s="4">
        <v>44.47</v>
      </c>
    </row>
    <row r="2836">
      <c r="A2836" s="2">
        <v>45755</v>
      </c>
      <c r="B28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6" s="3" t="str">
        <f>YEAR(KMART_DATA[[#This Row],[Date]])&amp;"-"&amp;TEXT(MONTH(KMART_DATA[[#This Row],[Date]]),"00")</f>
        <v>2025-04</v>
      </c>
      <c r="D2836" s="3" t="s">
        <v>28</v>
      </c>
      <c r="E2836" s="3" t="s">
        <v>183</v>
      </c>
      <c r="F2836" s="3" t="s">
        <v>9</v>
      </c>
      <c r="G28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36" s="3" t="s">
        <v>184</v>
      </c>
      <c r="I2836" s="3" t="s">
        <v>31</v>
      </c>
      <c r="J2836" s="3" t="s">
        <v>70</v>
      </c>
      <c r="K2836" s="3" t="s">
        <v>33</v>
      </c>
      <c r="L2836" s="3" t="s">
        <v>34</v>
      </c>
      <c r="M2836" s="4">
        <v>129.06</v>
      </c>
    </row>
    <row r="2837">
      <c r="A2837" s="2">
        <v>45755</v>
      </c>
      <c r="B28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7" s="3" t="str">
        <f>YEAR(KMART_DATA[[#This Row],[Date]])&amp;"-"&amp;TEXT(MONTH(KMART_DATA[[#This Row],[Date]]),"00")</f>
        <v>2025-04</v>
      </c>
      <c r="D2837" s="3" t="s">
        <v>45</v>
      </c>
      <c r="E2837" s="3" t="s">
        <v>62</v>
      </c>
      <c r="F2837" s="3" t="s">
        <v>12</v>
      </c>
      <c r="G28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837" s="3" t="s">
        <v>63</v>
      </c>
      <c r="I2837" s="3" t="s">
        <v>31</v>
      </c>
      <c r="J2837" s="3" t="s">
        <v>50</v>
      </c>
      <c r="K2837" s="3" t="s">
        <v>43</v>
      </c>
      <c r="L2837" s="3" t="s">
        <v>44</v>
      </c>
      <c r="M2837" s="4">
        <v>908.51</v>
      </c>
    </row>
    <row r="2838">
      <c r="A2838" s="2">
        <v>45755</v>
      </c>
      <c r="B28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8" s="3" t="str">
        <f>YEAR(KMART_DATA[[#This Row],[Date]])&amp;"-"&amp;TEXT(MONTH(KMART_DATA[[#This Row],[Date]]),"00")</f>
        <v>2025-04</v>
      </c>
      <c r="D2838" s="3" t="s">
        <v>28</v>
      </c>
      <c r="E2838" s="3" t="s">
        <v>254</v>
      </c>
      <c r="F2838" s="3" t="s">
        <v>13</v>
      </c>
      <c r="G28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838" s="3" t="s">
        <v>255</v>
      </c>
      <c r="I2838" s="3" t="s">
        <v>31</v>
      </c>
      <c r="J2838" s="3" t="s">
        <v>227</v>
      </c>
      <c r="K2838" s="3" t="s">
        <v>57</v>
      </c>
      <c r="L2838" s="3" t="s">
        <v>58</v>
      </c>
      <c r="M2838" s="4">
        <v>1088.77</v>
      </c>
    </row>
    <row r="2839">
      <c r="A2839" s="2">
        <v>45756</v>
      </c>
      <c r="B28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39" s="3" t="str">
        <f>YEAR(KMART_DATA[[#This Row],[Date]])&amp;"-"&amp;TEXT(MONTH(KMART_DATA[[#This Row],[Date]]),"00")</f>
        <v>2025-04</v>
      </c>
      <c r="D2839" s="3" t="s">
        <v>28</v>
      </c>
      <c r="E2839" s="3" t="s">
        <v>252</v>
      </c>
      <c r="F2839" s="3" t="s">
        <v>10</v>
      </c>
      <c r="G28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39" s="3" t="s">
        <v>253</v>
      </c>
      <c r="I2839" s="3" t="s">
        <v>31</v>
      </c>
      <c r="J2839" s="3" t="s">
        <v>94</v>
      </c>
      <c r="K2839" s="3" t="s">
        <v>33</v>
      </c>
      <c r="L2839" s="3" t="s">
        <v>34</v>
      </c>
      <c r="M2839" s="4">
        <v>67.43</v>
      </c>
    </row>
    <row r="2840">
      <c r="A2840" s="2">
        <v>45756</v>
      </c>
      <c r="B28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0" s="3" t="str">
        <f>YEAR(KMART_DATA[[#This Row],[Date]])&amp;"-"&amp;TEXT(MONTH(KMART_DATA[[#This Row],[Date]]),"00")</f>
        <v>2025-04</v>
      </c>
      <c r="D2840" s="3" t="s">
        <v>45</v>
      </c>
      <c r="E2840" s="3" t="s">
        <v>118</v>
      </c>
      <c r="F2840" s="3" t="s">
        <v>10</v>
      </c>
      <c r="G28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40" s="3" t="s">
        <v>119</v>
      </c>
      <c r="I2840" s="3" t="s">
        <v>31</v>
      </c>
      <c r="J2840" s="3" t="s">
        <v>120</v>
      </c>
      <c r="K2840" s="3" t="s">
        <v>66</v>
      </c>
      <c r="L2840" s="3" t="s">
        <v>67</v>
      </c>
      <c r="M2840" s="4">
        <v>205.46</v>
      </c>
    </row>
    <row r="2841">
      <c r="A2841" s="2">
        <v>45756</v>
      </c>
      <c r="B28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1" s="3" t="str">
        <f>YEAR(KMART_DATA[[#This Row],[Date]])&amp;"-"&amp;TEXT(MONTH(KMART_DATA[[#This Row],[Date]]),"00")</f>
        <v>2025-04</v>
      </c>
      <c r="D2841" s="3" t="s">
        <v>28</v>
      </c>
      <c r="E2841" s="3" t="s">
        <v>219</v>
      </c>
      <c r="F2841" s="3" t="s">
        <v>11</v>
      </c>
      <c r="G28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41" s="3" t="s">
        <v>220</v>
      </c>
      <c r="I2841" s="3" t="s">
        <v>31</v>
      </c>
      <c r="J2841" s="3" t="s">
        <v>56</v>
      </c>
      <c r="K2841" s="3" t="s">
        <v>43</v>
      </c>
      <c r="L2841" s="3" t="s">
        <v>44</v>
      </c>
      <c r="M2841" s="4">
        <v>324.33</v>
      </c>
    </row>
    <row r="2842">
      <c r="A2842" s="2">
        <v>45756</v>
      </c>
      <c r="B28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2" s="3" t="str">
        <f>YEAR(KMART_DATA[[#This Row],[Date]])&amp;"-"&amp;TEXT(MONTH(KMART_DATA[[#This Row],[Date]]),"00")</f>
        <v>2025-04</v>
      </c>
      <c r="D2842" s="3" t="s">
        <v>28</v>
      </c>
      <c r="E2842" s="3" t="s">
        <v>64</v>
      </c>
      <c r="F2842" s="3" t="s">
        <v>11</v>
      </c>
      <c r="G28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42" s="3" t="s">
        <v>65</v>
      </c>
      <c r="I2842" s="3" t="s">
        <v>31</v>
      </c>
      <c r="J2842" s="3" t="s">
        <v>61</v>
      </c>
      <c r="K2842" s="3" t="s">
        <v>43</v>
      </c>
      <c r="L2842" s="3" t="s">
        <v>44</v>
      </c>
      <c r="M2842" s="4">
        <v>872.91</v>
      </c>
    </row>
    <row r="2843">
      <c r="A2843" s="2">
        <v>45756</v>
      </c>
      <c r="B28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3" s="3" t="str">
        <f>YEAR(KMART_DATA[[#This Row],[Date]])&amp;"-"&amp;TEXT(MONTH(KMART_DATA[[#This Row],[Date]]),"00")</f>
        <v>2025-04</v>
      </c>
      <c r="D2843" s="3" t="s">
        <v>28</v>
      </c>
      <c r="E2843" s="3" t="s">
        <v>97</v>
      </c>
      <c r="F2843" s="3" t="s">
        <v>9</v>
      </c>
      <c r="G28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43" s="3" t="s">
        <v>98</v>
      </c>
      <c r="I2843" s="3" t="s">
        <v>31</v>
      </c>
      <c r="J2843" s="3" t="s">
        <v>99</v>
      </c>
      <c r="K2843" s="3" t="s">
        <v>71</v>
      </c>
      <c r="L2843" s="3" t="s">
        <v>72</v>
      </c>
      <c r="M2843" s="4">
        <v>2677.43</v>
      </c>
    </row>
    <row r="2844">
      <c r="A2844" s="2">
        <v>45756</v>
      </c>
      <c r="B28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4" s="3" t="str">
        <f>YEAR(KMART_DATA[[#This Row],[Date]])&amp;"-"&amp;TEXT(MONTH(KMART_DATA[[#This Row],[Date]]),"00")</f>
        <v>2025-04</v>
      </c>
      <c r="D2844" s="3" t="s">
        <v>45</v>
      </c>
      <c r="E2844" s="3" t="s">
        <v>179</v>
      </c>
      <c r="F2844" s="3" t="s">
        <v>9</v>
      </c>
      <c r="G28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44" s="3" t="s">
        <v>180</v>
      </c>
      <c r="I2844" s="3" t="s">
        <v>31</v>
      </c>
      <c r="J2844" s="3" t="s">
        <v>99</v>
      </c>
      <c r="K2844" s="3" t="s">
        <v>71</v>
      </c>
      <c r="L2844" s="3" t="s">
        <v>72</v>
      </c>
      <c r="M2844" s="4">
        <v>4140.61</v>
      </c>
    </row>
    <row r="2845">
      <c r="A2845" s="2">
        <v>45756</v>
      </c>
      <c r="B28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5" s="3" t="str">
        <f>YEAR(KMART_DATA[[#This Row],[Date]])&amp;"-"&amp;TEXT(MONTH(KMART_DATA[[#This Row],[Date]]),"00")</f>
        <v>2025-04</v>
      </c>
      <c r="D2845" s="3" t="s">
        <v>45</v>
      </c>
      <c r="E2845" s="3" t="s">
        <v>179</v>
      </c>
      <c r="F2845" s="3" t="s">
        <v>9</v>
      </c>
      <c r="G28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45" s="3" t="s">
        <v>180</v>
      </c>
      <c r="I2845" s="3" t="s">
        <v>31</v>
      </c>
      <c r="J2845" s="3" t="s">
        <v>99</v>
      </c>
      <c r="K2845" s="3" t="s">
        <v>46</v>
      </c>
      <c r="L2845" s="3" t="s">
        <v>47</v>
      </c>
      <c r="M2845" s="4">
        <v>7096.95</v>
      </c>
    </row>
    <row r="2846">
      <c r="A2846" s="2">
        <v>45757</v>
      </c>
      <c r="B28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6" s="3" t="str">
        <f>YEAR(KMART_DATA[[#This Row],[Date]])&amp;"-"&amp;TEXT(MONTH(KMART_DATA[[#This Row],[Date]]),"00")</f>
        <v>2025-04</v>
      </c>
      <c r="D2846" s="3" t="s">
        <v>28</v>
      </c>
      <c r="E2846" s="3" t="s">
        <v>197</v>
      </c>
      <c r="F2846" s="3" t="s">
        <v>9</v>
      </c>
      <c r="G28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46" s="3" t="s">
        <v>198</v>
      </c>
      <c r="I2846" s="3" t="s">
        <v>31</v>
      </c>
      <c r="J2846" s="3" t="s">
        <v>107</v>
      </c>
      <c r="K2846" s="3" t="s">
        <v>46</v>
      </c>
      <c r="L2846" s="3" t="s">
        <v>47</v>
      </c>
      <c r="M2846" s="4">
        <v>63.92</v>
      </c>
    </row>
    <row r="2847">
      <c r="A2847" s="2">
        <v>45757</v>
      </c>
      <c r="B28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7" s="3" t="str">
        <f>YEAR(KMART_DATA[[#This Row],[Date]])&amp;"-"&amp;TEXT(MONTH(KMART_DATA[[#This Row],[Date]]),"00")</f>
        <v>2025-04</v>
      </c>
      <c r="D2847" s="3" t="s">
        <v>45</v>
      </c>
      <c r="E2847" s="3" t="s">
        <v>173</v>
      </c>
      <c r="F2847" s="3" t="s">
        <v>11</v>
      </c>
      <c r="G28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47" s="3" t="s">
        <v>174</v>
      </c>
      <c r="I2847" s="3" t="s">
        <v>31</v>
      </c>
      <c r="J2847" s="3" t="s">
        <v>61</v>
      </c>
      <c r="K2847" s="3" t="s">
        <v>57</v>
      </c>
      <c r="L2847" s="3" t="s">
        <v>58</v>
      </c>
      <c r="M2847" s="4">
        <v>95.32</v>
      </c>
    </row>
    <row r="2848">
      <c r="A2848" s="2">
        <v>45757</v>
      </c>
      <c r="B28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8" s="3" t="str">
        <f>YEAR(KMART_DATA[[#This Row],[Date]])&amp;"-"&amp;TEXT(MONTH(KMART_DATA[[#This Row],[Date]]),"00")</f>
        <v>2025-04</v>
      </c>
      <c r="D2848" s="3" t="s">
        <v>28</v>
      </c>
      <c r="E2848" s="3" t="s">
        <v>175</v>
      </c>
      <c r="F2848" s="3" t="s">
        <v>16</v>
      </c>
      <c r="G28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848" s="3" t="s">
        <v>176</v>
      </c>
      <c r="I2848" s="3" t="s">
        <v>31</v>
      </c>
      <c r="J2848" s="3" t="s">
        <v>107</v>
      </c>
      <c r="K2848" s="3" t="s">
        <v>57</v>
      </c>
      <c r="L2848" s="3" t="s">
        <v>58</v>
      </c>
      <c r="M2848" s="4">
        <v>285.46</v>
      </c>
    </row>
    <row r="2849">
      <c r="A2849" s="2">
        <v>45758</v>
      </c>
      <c r="B28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49" s="3" t="str">
        <f>YEAR(KMART_DATA[[#This Row],[Date]])&amp;"-"&amp;TEXT(MONTH(KMART_DATA[[#This Row],[Date]]),"00")</f>
        <v>2025-04</v>
      </c>
      <c r="D2849" s="3" t="s">
        <v>28</v>
      </c>
      <c r="E2849" s="3" t="s">
        <v>87</v>
      </c>
      <c r="F2849" s="3" t="s">
        <v>10</v>
      </c>
      <c r="G28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49" s="3" t="s">
        <v>88</v>
      </c>
      <c r="I2849" s="3" t="s">
        <v>31</v>
      </c>
      <c r="J2849" s="3" t="s">
        <v>89</v>
      </c>
      <c r="K2849" s="3" t="s">
        <v>33</v>
      </c>
      <c r="L2849" s="3" t="s">
        <v>34</v>
      </c>
      <c r="M2849" s="4">
        <v>7.98</v>
      </c>
    </row>
    <row r="2850">
      <c r="A2850" s="2">
        <v>45758</v>
      </c>
      <c r="B28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0" s="3" t="str">
        <f>YEAR(KMART_DATA[[#This Row],[Date]])&amp;"-"&amp;TEXT(MONTH(KMART_DATA[[#This Row],[Date]]),"00")</f>
        <v>2025-04</v>
      </c>
      <c r="D2850" s="3" t="s">
        <v>28</v>
      </c>
      <c r="E2850" s="3" t="s">
        <v>154</v>
      </c>
      <c r="F2850" s="3" t="s">
        <v>11</v>
      </c>
      <c r="G28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50" s="3" t="s">
        <v>155</v>
      </c>
      <c r="I2850" s="3" t="s">
        <v>31</v>
      </c>
      <c r="J2850" s="3" t="s">
        <v>84</v>
      </c>
      <c r="K2850" s="3" t="s">
        <v>66</v>
      </c>
      <c r="L2850" s="3" t="s">
        <v>67</v>
      </c>
      <c r="M2850" s="4">
        <v>104.77</v>
      </c>
    </row>
    <row r="2851">
      <c r="A2851" s="2">
        <v>45758</v>
      </c>
      <c r="B28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1" s="3" t="str">
        <f>YEAR(KMART_DATA[[#This Row],[Date]])&amp;"-"&amp;TEXT(MONTH(KMART_DATA[[#This Row],[Date]]),"00")</f>
        <v>2025-04</v>
      </c>
      <c r="D2851" s="3" t="s">
        <v>28</v>
      </c>
      <c r="E2851" s="3" t="s">
        <v>154</v>
      </c>
      <c r="F2851" s="3" t="s">
        <v>11</v>
      </c>
      <c r="G28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51" s="3" t="s">
        <v>155</v>
      </c>
      <c r="I2851" s="3" t="s">
        <v>31</v>
      </c>
      <c r="J2851" s="3" t="s">
        <v>84</v>
      </c>
      <c r="K2851" s="3" t="s">
        <v>112</v>
      </c>
      <c r="L2851" s="3" t="s">
        <v>113</v>
      </c>
      <c r="M2851" s="4">
        <v>833.85</v>
      </c>
    </row>
    <row r="2852">
      <c r="A2852" s="2">
        <v>45758</v>
      </c>
      <c r="B28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2" s="3" t="str">
        <f>YEAR(KMART_DATA[[#This Row],[Date]])&amp;"-"&amp;TEXT(MONTH(KMART_DATA[[#This Row],[Date]]),"00")</f>
        <v>2025-04</v>
      </c>
      <c r="D2852" s="3" t="s">
        <v>28</v>
      </c>
      <c r="E2852" s="3" t="s">
        <v>51</v>
      </c>
      <c r="F2852" s="3" t="s">
        <v>15</v>
      </c>
      <c r="G28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852" s="3" t="s">
        <v>52</v>
      </c>
      <c r="I2852" s="3" t="s">
        <v>31</v>
      </c>
      <c r="J2852" s="3" t="s">
        <v>53</v>
      </c>
      <c r="K2852" s="3" t="s">
        <v>57</v>
      </c>
      <c r="L2852" s="3" t="s">
        <v>58</v>
      </c>
      <c r="M2852" s="4">
        <v>1443.08</v>
      </c>
    </row>
    <row r="2853">
      <c r="A2853" s="2">
        <v>45758</v>
      </c>
      <c r="B28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3" s="3" t="str">
        <f>YEAR(KMART_DATA[[#This Row],[Date]])&amp;"-"&amp;TEXT(MONTH(KMART_DATA[[#This Row],[Date]]),"00")</f>
        <v>2025-04</v>
      </c>
      <c r="D2853" s="3" t="s">
        <v>28</v>
      </c>
      <c r="E2853" s="3" t="s">
        <v>250</v>
      </c>
      <c r="F2853" s="3" t="s">
        <v>10</v>
      </c>
      <c r="G28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53" s="3" t="s">
        <v>251</v>
      </c>
      <c r="I2853" s="3" t="s">
        <v>31</v>
      </c>
      <c r="J2853" s="3" t="s">
        <v>37</v>
      </c>
      <c r="K2853" s="3" t="s">
        <v>123</v>
      </c>
      <c r="L2853" s="3" t="s">
        <v>124</v>
      </c>
      <c r="M2853" s="4">
        <v>3453.17</v>
      </c>
    </row>
    <row r="2854">
      <c r="A2854" s="2">
        <v>45759</v>
      </c>
      <c r="B28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4" s="3" t="str">
        <f>YEAR(KMART_DATA[[#This Row],[Date]])&amp;"-"&amp;TEXT(MONTH(KMART_DATA[[#This Row],[Date]]),"00")</f>
        <v>2025-04</v>
      </c>
      <c r="D2854" s="3" t="s">
        <v>28</v>
      </c>
      <c r="E2854" s="3" t="s">
        <v>219</v>
      </c>
      <c r="F2854" s="3" t="s">
        <v>11</v>
      </c>
      <c r="G28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54" s="3" t="s">
        <v>220</v>
      </c>
      <c r="I2854" s="3" t="s">
        <v>31</v>
      </c>
      <c r="J2854" s="3" t="s">
        <v>56</v>
      </c>
      <c r="K2854" s="3" t="s">
        <v>123</v>
      </c>
      <c r="L2854" s="3" t="s">
        <v>124</v>
      </c>
      <c r="M2854" s="4">
        <v>12.43</v>
      </c>
    </row>
    <row r="2855">
      <c r="A2855" s="2">
        <v>45759</v>
      </c>
      <c r="B28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5" s="3" t="str">
        <f>YEAR(KMART_DATA[[#This Row],[Date]])&amp;"-"&amp;TEXT(MONTH(KMART_DATA[[#This Row],[Date]]),"00")</f>
        <v>2025-04</v>
      </c>
      <c r="D2855" s="3" t="s">
        <v>28</v>
      </c>
      <c r="E2855" s="3" t="s">
        <v>64</v>
      </c>
      <c r="F2855" s="3" t="s">
        <v>11</v>
      </c>
      <c r="G28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55" s="3" t="s">
        <v>65</v>
      </c>
      <c r="I2855" s="3" t="s">
        <v>31</v>
      </c>
      <c r="J2855" s="3" t="s">
        <v>61</v>
      </c>
      <c r="K2855" s="3" t="s">
        <v>46</v>
      </c>
      <c r="L2855" s="3" t="s">
        <v>47</v>
      </c>
      <c r="M2855" s="4">
        <v>33.0</v>
      </c>
    </row>
    <row r="2856">
      <c r="A2856" s="2">
        <v>45759</v>
      </c>
      <c r="B28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6" s="3" t="str">
        <f>YEAR(KMART_DATA[[#This Row],[Date]])&amp;"-"&amp;TEXT(MONTH(KMART_DATA[[#This Row],[Date]]),"00")</f>
        <v>2025-04</v>
      </c>
      <c r="D2856" s="3" t="s">
        <v>45</v>
      </c>
      <c r="E2856" s="3" t="s">
        <v>48</v>
      </c>
      <c r="F2856" s="3" t="s">
        <v>12</v>
      </c>
      <c r="G28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856" s="3" t="s">
        <v>49</v>
      </c>
      <c r="I2856" s="3" t="s">
        <v>31</v>
      </c>
      <c r="J2856" s="3" t="s">
        <v>50</v>
      </c>
      <c r="K2856" s="3" t="s">
        <v>38</v>
      </c>
      <c r="L2856" s="3" t="s">
        <v>39</v>
      </c>
      <c r="M2856" s="4">
        <v>52.45</v>
      </c>
    </row>
    <row r="2857">
      <c r="A2857" s="2">
        <v>45759</v>
      </c>
      <c r="B28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7" s="3" t="str">
        <f>YEAR(KMART_DATA[[#This Row],[Date]])&amp;"-"&amp;TEXT(MONTH(KMART_DATA[[#This Row],[Date]]),"00")</f>
        <v>2025-04</v>
      </c>
      <c r="D2857" s="3" t="s">
        <v>45</v>
      </c>
      <c r="E2857" s="3" t="s">
        <v>35</v>
      </c>
      <c r="F2857" s="3" t="s">
        <v>10</v>
      </c>
      <c r="G28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57" s="3" t="s">
        <v>36</v>
      </c>
      <c r="I2857" s="3" t="s">
        <v>31</v>
      </c>
      <c r="J2857" s="3" t="s">
        <v>37</v>
      </c>
      <c r="K2857" s="3" t="s">
        <v>43</v>
      </c>
      <c r="L2857" s="3" t="s">
        <v>44</v>
      </c>
      <c r="M2857" s="4">
        <v>175.86</v>
      </c>
    </row>
    <row r="2858">
      <c r="A2858" s="2">
        <v>45759</v>
      </c>
      <c r="B28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8" s="3" t="str">
        <f>YEAR(KMART_DATA[[#This Row],[Date]])&amp;"-"&amp;TEXT(MONTH(KMART_DATA[[#This Row],[Date]]),"00")</f>
        <v>2025-04</v>
      </c>
      <c r="D2858" s="3" t="s">
        <v>28</v>
      </c>
      <c r="E2858" s="3" t="s">
        <v>211</v>
      </c>
      <c r="F2858" s="3" t="s">
        <v>9</v>
      </c>
      <c r="G28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58" s="3" t="s">
        <v>212</v>
      </c>
      <c r="I2858" s="3" t="s">
        <v>31</v>
      </c>
      <c r="J2858" s="3" t="s">
        <v>75</v>
      </c>
      <c r="K2858" s="3" t="s">
        <v>112</v>
      </c>
      <c r="L2858" s="3" t="s">
        <v>113</v>
      </c>
      <c r="M2858" s="4">
        <v>514.15</v>
      </c>
    </row>
    <row r="2859">
      <c r="A2859" s="2">
        <v>45759</v>
      </c>
      <c r="B28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59" s="3" t="str">
        <f>YEAR(KMART_DATA[[#This Row],[Date]])&amp;"-"&amp;TEXT(MONTH(KMART_DATA[[#This Row],[Date]]),"00")</f>
        <v>2025-04</v>
      </c>
      <c r="D2859" s="3" t="s">
        <v>45</v>
      </c>
      <c r="E2859" s="3" t="s">
        <v>85</v>
      </c>
      <c r="F2859" s="3" t="s">
        <v>9</v>
      </c>
      <c r="G28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59" s="3" t="s">
        <v>86</v>
      </c>
      <c r="I2859" s="3" t="s">
        <v>31</v>
      </c>
      <c r="J2859" s="3" t="s">
        <v>81</v>
      </c>
      <c r="K2859" s="3" t="s">
        <v>57</v>
      </c>
      <c r="L2859" s="3" t="s">
        <v>58</v>
      </c>
      <c r="M2859" s="4">
        <v>1712.89</v>
      </c>
    </row>
    <row r="2860">
      <c r="A2860" s="2">
        <v>45759</v>
      </c>
      <c r="B28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0" s="3" t="str">
        <f>YEAR(KMART_DATA[[#This Row],[Date]])&amp;"-"&amp;TEXT(MONTH(KMART_DATA[[#This Row],[Date]]),"00")</f>
        <v>2025-04</v>
      </c>
      <c r="D2860" s="3" t="s">
        <v>28</v>
      </c>
      <c r="E2860" s="3" t="s">
        <v>59</v>
      </c>
      <c r="F2860" s="3" t="s">
        <v>11</v>
      </c>
      <c r="G28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60" s="3" t="s">
        <v>60</v>
      </c>
      <c r="I2860" s="3" t="s">
        <v>31</v>
      </c>
      <c r="J2860" s="3" t="s">
        <v>61</v>
      </c>
      <c r="K2860" s="3" t="s">
        <v>95</v>
      </c>
      <c r="L2860" s="3" t="s">
        <v>96</v>
      </c>
      <c r="M2860" s="4">
        <v>5802.1</v>
      </c>
    </row>
    <row r="2861">
      <c r="A2861" s="2">
        <v>45760</v>
      </c>
      <c r="B28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1" s="3" t="str">
        <f>YEAR(KMART_DATA[[#This Row],[Date]])&amp;"-"&amp;TEXT(MONTH(KMART_DATA[[#This Row],[Date]]),"00")</f>
        <v>2025-04</v>
      </c>
      <c r="D2861" s="3" t="s">
        <v>28</v>
      </c>
      <c r="E2861" s="3" t="s">
        <v>105</v>
      </c>
      <c r="F2861" s="3" t="s">
        <v>9</v>
      </c>
      <c r="G28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61" s="3" t="s">
        <v>106</v>
      </c>
      <c r="I2861" s="3" t="s">
        <v>31</v>
      </c>
      <c r="J2861" s="3" t="s">
        <v>107</v>
      </c>
      <c r="K2861" s="3" t="s">
        <v>57</v>
      </c>
      <c r="L2861" s="3" t="s">
        <v>58</v>
      </c>
      <c r="M2861" s="4">
        <v>8.99</v>
      </c>
    </row>
    <row r="2862">
      <c r="A2862" s="2">
        <v>45760</v>
      </c>
      <c r="B28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2" s="3" t="str">
        <f>YEAR(KMART_DATA[[#This Row],[Date]])&amp;"-"&amp;TEXT(MONTH(KMART_DATA[[#This Row],[Date]]),"00")</f>
        <v>2025-04</v>
      </c>
      <c r="D2862" s="3" t="s">
        <v>28</v>
      </c>
      <c r="E2862" s="3" t="s">
        <v>197</v>
      </c>
      <c r="F2862" s="3" t="s">
        <v>9</v>
      </c>
      <c r="G28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62" s="3" t="s">
        <v>198</v>
      </c>
      <c r="I2862" s="3" t="s">
        <v>31</v>
      </c>
      <c r="J2862" s="3" t="s">
        <v>107</v>
      </c>
      <c r="K2862" s="3" t="s">
        <v>95</v>
      </c>
      <c r="L2862" s="3" t="s">
        <v>96</v>
      </c>
      <c r="M2862" s="4">
        <v>12.98</v>
      </c>
    </row>
    <row r="2863">
      <c r="A2863" s="2">
        <v>45760</v>
      </c>
      <c r="B28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3" s="3" t="str">
        <f>YEAR(KMART_DATA[[#This Row],[Date]])&amp;"-"&amp;TEXT(MONTH(KMART_DATA[[#This Row],[Date]]),"00")</f>
        <v>2025-04</v>
      </c>
      <c r="D2863" s="3" t="s">
        <v>28</v>
      </c>
      <c r="E2863" s="3" t="s">
        <v>254</v>
      </c>
      <c r="F2863" s="3" t="s">
        <v>13</v>
      </c>
      <c r="G28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863" s="3" t="s">
        <v>255</v>
      </c>
      <c r="I2863" s="3" t="s">
        <v>31</v>
      </c>
      <c r="J2863" s="3" t="s">
        <v>227</v>
      </c>
      <c r="K2863" s="3" t="s">
        <v>95</v>
      </c>
      <c r="L2863" s="3" t="s">
        <v>96</v>
      </c>
      <c r="M2863" s="4">
        <v>19.0</v>
      </c>
    </row>
    <row r="2864">
      <c r="A2864" s="2">
        <v>45760</v>
      </c>
      <c r="B28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4" s="3" t="str">
        <f>YEAR(KMART_DATA[[#This Row],[Date]])&amp;"-"&amp;TEXT(MONTH(KMART_DATA[[#This Row],[Date]]),"00")</f>
        <v>2025-04</v>
      </c>
      <c r="D2864" s="3" t="s">
        <v>28</v>
      </c>
      <c r="E2864" s="3" t="s">
        <v>175</v>
      </c>
      <c r="F2864" s="3" t="s">
        <v>16</v>
      </c>
      <c r="G28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864" s="3" t="s">
        <v>176</v>
      </c>
      <c r="I2864" s="3" t="s">
        <v>31</v>
      </c>
      <c r="J2864" s="3" t="s">
        <v>107</v>
      </c>
      <c r="K2864" s="3" t="s">
        <v>66</v>
      </c>
      <c r="L2864" s="3" t="s">
        <v>67</v>
      </c>
      <c r="M2864" s="4">
        <v>68.42</v>
      </c>
    </row>
    <row r="2865">
      <c r="A2865" s="2">
        <v>45760</v>
      </c>
      <c r="B28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5" s="3" t="str">
        <f>YEAR(KMART_DATA[[#This Row],[Date]])&amp;"-"&amp;TEXT(MONTH(KMART_DATA[[#This Row],[Date]]),"00")</f>
        <v>2025-04</v>
      </c>
      <c r="D2865" s="3" t="s">
        <v>45</v>
      </c>
      <c r="E2865" s="3" t="s">
        <v>29</v>
      </c>
      <c r="F2865" s="3" t="s">
        <v>11</v>
      </c>
      <c r="G28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65" s="3" t="s">
        <v>30</v>
      </c>
      <c r="I2865" s="3" t="s">
        <v>31</v>
      </c>
      <c r="J2865" s="3" t="s">
        <v>32</v>
      </c>
      <c r="K2865" s="3" t="s">
        <v>46</v>
      </c>
      <c r="L2865" s="3" t="s">
        <v>47</v>
      </c>
      <c r="M2865" s="4">
        <v>90.93</v>
      </c>
    </row>
    <row r="2866">
      <c r="A2866" s="2">
        <v>45760</v>
      </c>
      <c r="B28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6" s="3" t="str">
        <f>YEAR(KMART_DATA[[#This Row],[Date]])&amp;"-"&amp;TEXT(MONTH(KMART_DATA[[#This Row],[Date]]),"00")</f>
        <v>2025-04</v>
      </c>
      <c r="D2866" s="3" t="s">
        <v>28</v>
      </c>
      <c r="E2866" s="3" t="s">
        <v>160</v>
      </c>
      <c r="F2866" s="3" t="s">
        <v>12</v>
      </c>
      <c r="G28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866" s="3" t="s">
        <v>161</v>
      </c>
      <c r="I2866" s="3" t="s">
        <v>31</v>
      </c>
      <c r="J2866" s="3" t="s">
        <v>162</v>
      </c>
      <c r="K2866" s="3" t="s">
        <v>43</v>
      </c>
      <c r="L2866" s="3" t="s">
        <v>44</v>
      </c>
      <c r="M2866" s="4">
        <v>174.82</v>
      </c>
    </row>
    <row r="2867">
      <c r="A2867" s="2">
        <v>45760</v>
      </c>
      <c r="B28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7" s="3" t="str">
        <f>YEAR(KMART_DATA[[#This Row],[Date]])&amp;"-"&amp;TEXT(MONTH(KMART_DATA[[#This Row],[Date]]),"00")</f>
        <v>2025-04</v>
      </c>
      <c r="D2867" s="3" t="s">
        <v>45</v>
      </c>
      <c r="E2867" s="3" t="s">
        <v>236</v>
      </c>
      <c r="F2867" s="3" t="s">
        <v>12</v>
      </c>
      <c r="G28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867" s="3" t="s">
        <v>237</v>
      </c>
      <c r="I2867" s="3" t="s">
        <v>31</v>
      </c>
      <c r="J2867" s="3" t="s">
        <v>102</v>
      </c>
      <c r="K2867" s="3" t="s">
        <v>33</v>
      </c>
      <c r="L2867" s="3" t="s">
        <v>34</v>
      </c>
      <c r="M2867" s="4">
        <v>282.81</v>
      </c>
    </row>
    <row r="2868">
      <c r="A2868" s="2">
        <v>45760</v>
      </c>
      <c r="B28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8" s="3" t="str">
        <f>YEAR(KMART_DATA[[#This Row],[Date]])&amp;"-"&amp;TEXT(MONTH(KMART_DATA[[#This Row],[Date]]),"00")</f>
        <v>2025-04</v>
      </c>
      <c r="D2868" s="3" t="s">
        <v>28</v>
      </c>
      <c r="E2868" s="3" t="s">
        <v>232</v>
      </c>
      <c r="F2868" s="3" t="s">
        <v>9</v>
      </c>
      <c r="G28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68" s="3" t="s">
        <v>233</v>
      </c>
      <c r="I2868" s="3" t="s">
        <v>31</v>
      </c>
      <c r="J2868" s="3" t="s">
        <v>75</v>
      </c>
      <c r="K2868" s="3" t="s">
        <v>95</v>
      </c>
      <c r="L2868" s="3" t="s">
        <v>96</v>
      </c>
      <c r="M2868" s="4">
        <v>361.81</v>
      </c>
    </row>
    <row r="2869">
      <c r="A2869" s="2">
        <v>45760</v>
      </c>
      <c r="B28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69" s="3" t="str">
        <f>YEAR(KMART_DATA[[#This Row],[Date]])&amp;"-"&amp;TEXT(MONTH(KMART_DATA[[#This Row],[Date]]),"00")</f>
        <v>2025-04</v>
      </c>
      <c r="D2869" s="3" t="s">
        <v>28</v>
      </c>
      <c r="E2869" s="3" t="s">
        <v>150</v>
      </c>
      <c r="F2869" s="3" t="s">
        <v>15</v>
      </c>
      <c r="G28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869" s="3" t="s">
        <v>151</v>
      </c>
      <c r="I2869" s="3" t="s">
        <v>31</v>
      </c>
      <c r="J2869" s="3" t="s">
        <v>53</v>
      </c>
      <c r="K2869" s="3" t="s">
        <v>57</v>
      </c>
      <c r="L2869" s="3" t="s">
        <v>58</v>
      </c>
      <c r="M2869" s="4">
        <v>444.56</v>
      </c>
    </row>
    <row r="2870">
      <c r="A2870" s="2">
        <v>45760</v>
      </c>
      <c r="B28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0" s="3" t="str">
        <f>YEAR(KMART_DATA[[#This Row],[Date]])&amp;"-"&amp;TEXT(MONTH(KMART_DATA[[#This Row],[Date]]),"00")</f>
        <v>2025-04</v>
      </c>
      <c r="D2870" s="3" t="s">
        <v>28</v>
      </c>
      <c r="E2870" s="3" t="s">
        <v>242</v>
      </c>
      <c r="F2870" s="3" t="s">
        <v>10</v>
      </c>
      <c r="G28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70" s="3" t="s">
        <v>243</v>
      </c>
      <c r="I2870" s="3" t="s">
        <v>31</v>
      </c>
      <c r="J2870" s="3" t="s">
        <v>94</v>
      </c>
      <c r="K2870" s="3" t="s">
        <v>95</v>
      </c>
      <c r="L2870" s="3" t="s">
        <v>96</v>
      </c>
      <c r="M2870" s="4">
        <v>547.33</v>
      </c>
    </row>
    <row r="2871">
      <c r="A2871" s="2">
        <v>45760</v>
      </c>
      <c r="B28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1" s="3" t="str">
        <f>YEAR(KMART_DATA[[#This Row],[Date]])&amp;"-"&amp;TEXT(MONTH(KMART_DATA[[#This Row],[Date]]),"00")</f>
        <v>2025-04</v>
      </c>
      <c r="D2871" s="3" t="s">
        <v>28</v>
      </c>
      <c r="E2871" s="3" t="s">
        <v>219</v>
      </c>
      <c r="F2871" s="3" t="s">
        <v>11</v>
      </c>
      <c r="G28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71" s="3" t="s">
        <v>220</v>
      </c>
      <c r="I2871" s="3" t="s">
        <v>31</v>
      </c>
      <c r="J2871" s="3" t="s">
        <v>56</v>
      </c>
      <c r="K2871" s="3" t="s">
        <v>123</v>
      </c>
      <c r="L2871" s="3" t="s">
        <v>124</v>
      </c>
      <c r="M2871" s="4">
        <v>686.72</v>
      </c>
    </row>
    <row r="2872">
      <c r="A2872" s="2">
        <v>45760</v>
      </c>
      <c r="B28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2" s="3" t="str">
        <f>YEAR(KMART_DATA[[#This Row],[Date]])&amp;"-"&amp;TEXT(MONTH(KMART_DATA[[#This Row],[Date]]),"00")</f>
        <v>2025-04</v>
      </c>
      <c r="D2872" s="3" t="s">
        <v>45</v>
      </c>
      <c r="E2872" s="3" t="s">
        <v>129</v>
      </c>
      <c r="F2872" s="3" t="s">
        <v>10</v>
      </c>
      <c r="G28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72" s="3" t="s">
        <v>130</v>
      </c>
      <c r="I2872" s="3" t="s">
        <v>31</v>
      </c>
      <c r="J2872" s="3" t="s">
        <v>120</v>
      </c>
      <c r="K2872" s="3" t="s">
        <v>46</v>
      </c>
      <c r="L2872" s="3" t="s">
        <v>47</v>
      </c>
      <c r="M2872" s="4">
        <v>2046.01</v>
      </c>
    </row>
    <row r="2873">
      <c r="A2873" s="2">
        <v>45761</v>
      </c>
      <c r="B28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3" s="3" t="str">
        <f>YEAR(KMART_DATA[[#This Row],[Date]])&amp;"-"&amp;TEXT(MONTH(KMART_DATA[[#This Row],[Date]]),"00")</f>
        <v>2025-04</v>
      </c>
      <c r="D2873" s="3" t="s">
        <v>45</v>
      </c>
      <c r="E2873" s="3" t="s">
        <v>167</v>
      </c>
      <c r="F2873" s="3" t="s">
        <v>12</v>
      </c>
      <c r="G28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873" s="3" t="s">
        <v>168</v>
      </c>
      <c r="I2873" s="3" t="s">
        <v>31</v>
      </c>
      <c r="J2873" s="3" t="s">
        <v>102</v>
      </c>
      <c r="K2873" s="3" t="s">
        <v>112</v>
      </c>
      <c r="L2873" s="3" t="s">
        <v>113</v>
      </c>
      <c r="M2873" s="4">
        <v>22.94</v>
      </c>
    </row>
    <row r="2874">
      <c r="A2874" s="2">
        <v>45761</v>
      </c>
      <c r="B28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4" s="3" t="str">
        <f>YEAR(KMART_DATA[[#This Row],[Date]])&amp;"-"&amp;TEXT(MONTH(KMART_DATA[[#This Row],[Date]]),"00")</f>
        <v>2025-04</v>
      </c>
      <c r="D2874" s="3" t="s">
        <v>28</v>
      </c>
      <c r="E2874" s="3" t="s">
        <v>139</v>
      </c>
      <c r="F2874" s="3" t="s">
        <v>10</v>
      </c>
      <c r="G28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74" s="3" t="s">
        <v>140</v>
      </c>
      <c r="I2874" s="3" t="s">
        <v>31</v>
      </c>
      <c r="J2874" s="3" t="s">
        <v>89</v>
      </c>
      <c r="K2874" s="3" t="s">
        <v>38</v>
      </c>
      <c r="L2874" s="3" t="s">
        <v>39</v>
      </c>
      <c r="M2874" s="4">
        <v>35.11</v>
      </c>
    </row>
    <row r="2875">
      <c r="A2875" s="2">
        <v>45761</v>
      </c>
      <c r="B28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5" s="3" t="str">
        <f>YEAR(KMART_DATA[[#This Row],[Date]])&amp;"-"&amp;TEXT(MONTH(KMART_DATA[[#This Row],[Date]]),"00")</f>
        <v>2025-04</v>
      </c>
      <c r="D2875" s="3" t="s">
        <v>28</v>
      </c>
      <c r="E2875" s="3" t="s">
        <v>183</v>
      </c>
      <c r="F2875" s="3" t="s">
        <v>9</v>
      </c>
      <c r="G28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75" s="3" t="s">
        <v>184</v>
      </c>
      <c r="I2875" s="3" t="s">
        <v>31</v>
      </c>
      <c r="J2875" s="3" t="s">
        <v>70</v>
      </c>
      <c r="K2875" s="3" t="s">
        <v>43</v>
      </c>
      <c r="L2875" s="3" t="s">
        <v>44</v>
      </c>
      <c r="M2875" s="4">
        <v>1194.63</v>
      </c>
    </row>
    <row r="2876">
      <c r="A2876" s="2">
        <v>45761</v>
      </c>
      <c r="B28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6" s="3" t="str">
        <f>YEAR(KMART_DATA[[#This Row],[Date]])&amp;"-"&amp;TEXT(MONTH(KMART_DATA[[#This Row],[Date]]),"00")</f>
        <v>2025-04</v>
      </c>
      <c r="D2876" s="3" t="s">
        <v>28</v>
      </c>
      <c r="E2876" s="3" t="s">
        <v>197</v>
      </c>
      <c r="F2876" s="3" t="s">
        <v>9</v>
      </c>
      <c r="G28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76" s="3" t="s">
        <v>198</v>
      </c>
      <c r="I2876" s="3" t="s">
        <v>31</v>
      </c>
      <c r="J2876" s="3" t="s">
        <v>107</v>
      </c>
      <c r="K2876" s="3" t="s">
        <v>95</v>
      </c>
      <c r="L2876" s="3" t="s">
        <v>96</v>
      </c>
      <c r="M2876" s="4">
        <v>1212.42</v>
      </c>
    </row>
    <row r="2877">
      <c r="A2877" s="2">
        <v>45761</v>
      </c>
      <c r="B28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7" s="3" t="str">
        <f>YEAR(KMART_DATA[[#This Row],[Date]])&amp;"-"&amp;TEXT(MONTH(KMART_DATA[[#This Row],[Date]]),"00")</f>
        <v>2025-04</v>
      </c>
      <c r="D2877" s="3" t="s">
        <v>45</v>
      </c>
      <c r="E2877" s="3" t="s">
        <v>179</v>
      </c>
      <c r="F2877" s="3" t="s">
        <v>9</v>
      </c>
      <c r="G28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77" s="3" t="s">
        <v>180</v>
      </c>
      <c r="I2877" s="3" t="s">
        <v>31</v>
      </c>
      <c r="J2877" s="3" t="s">
        <v>99</v>
      </c>
      <c r="K2877" s="3" t="s">
        <v>57</v>
      </c>
      <c r="L2877" s="3" t="s">
        <v>58</v>
      </c>
      <c r="M2877" s="4">
        <v>2150.67</v>
      </c>
    </row>
    <row r="2878">
      <c r="A2878" s="2">
        <v>45761</v>
      </c>
      <c r="B28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8" s="3" t="str">
        <f>YEAR(KMART_DATA[[#This Row],[Date]])&amp;"-"&amp;TEXT(MONTH(KMART_DATA[[#This Row],[Date]]),"00")</f>
        <v>2025-04</v>
      </c>
      <c r="D2878" s="3" t="s">
        <v>28</v>
      </c>
      <c r="E2878" s="3" t="s">
        <v>211</v>
      </c>
      <c r="F2878" s="3" t="s">
        <v>9</v>
      </c>
      <c r="G28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78" s="3" t="s">
        <v>212</v>
      </c>
      <c r="I2878" s="3" t="s">
        <v>31</v>
      </c>
      <c r="J2878" s="3" t="s">
        <v>75</v>
      </c>
      <c r="K2878" s="3" t="s">
        <v>71</v>
      </c>
      <c r="L2878" s="3" t="s">
        <v>72</v>
      </c>
      <c r="M2878" s="4">
        <v>4052.44</v>
      </c>
    </row>
    <row r="2879">
      <c r="A2879" s="2">
        <v>45762</v>
      </c>
      <c r="B28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79" s="3" t="str">
        <f>YEAR(KMART_DATA[[#This Row],[Date]])&amp;"-"&amp;TEXT(MONTH(KMART_DATA[[#This Row],[Date]]),"00")</f>
        <v>2025-04</v>
      </c>
      <c r="D2879" s="3" t="s">
        <v>28</v>
      </c>
      <c r="E2879" s="3" t="s">
        <v>191</v>
      </c>
      <c r="F2879" s="3" t="s">
        <v>10</v>
      </c>
      <c r="G28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79" s="3" t="s">
        <v>192</v>
      </c>
      <c r="I2879" s="3" t="s">
        <v>31</v>
      </c>
      <c r="J2879" s="3" t="s">
        <v>120</v>
      </c>
      <c r="K2879" s="3" t="s">
        <v>38</v>
      </c>
      <c r="L2879" s="3" t="s">
        <v>39</v>
      </c>
      <c r="M2879" s="4">
        <v>2.0</v>
      </c>
    </row>
    <row r="2880">
      <c r="A2880" s="2">
        <v>45762</v>
      </c>
      <c r="B28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0" s="3" t="str">
        <f>YEAR(KMART_DATA[[#This Row],[Date]])&amp;"-"&amp;TEXT(MONTH(KMART_DATA[[#This Row],[Date]]),"00")</f>
        <v>2025-04</v>
      </c>
      <c r="D2880" s="3" t="s">
        <v>28</v>
      </c>
      <c r="E2880" s="3" t="s">
        <v>191</v>
      </c>
      <c r="F2880" s="3" t="s">
        <v>10</v>
      </c>
      <c r="G28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80" s="3" t="s">
        <v>192</v>
      </c>
      <c r="I2880" s="3" t="s">
        <v>31</v>
      </c>
      <c r="J2880" s="3" t="s">
        <v>120</v>
      </c>
      <c r="K2880" s="3" t="s">
        <v>95</v>
      </c>
      <c r="L2880" s="3" t="s">
        <v>96</v>
      </c>
      <c r="M2880" s="4">
        <v>67.83</v>
      </c>
    </row>
    <row r="2881">
      <c r="A2881" s="2">
        <v>45763</v>
      </c>
      <c r="B28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1" s="3" t="str">
        <f>YEAR(KMART_DATA[[#This Row],[Date]])&amp;"-"&amp;TEXT(MONTH(KMART_DATA[[#This Row],[Date]]),"00")</f>
        <v>2025-04</v>
      </c>
      <c r="D2881" s="3" t="s">
        <v>28</v>
      </c>
      <c r="E2881" s="3" t="s">
        <v>197</v>
      </c>
      <c r="F2881" s="3" t="s">
        <v>9</v>
      </c>
      <c r="G28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81" s="3" t="s">
        <v>198</v>
      </c>
      <c r="I2881" s="3" t="s">
        <v>31</v>
      </c>
      <c r="J2881" s="3" t="s">
        <v>107</v>
      </c>
      <c r="K2881" s="3" t="s">
        <v>38</v>
      </c>
      <c r="L2881" s="3" t="s">
        <v>39</v>
      </c>
      <c r="M2881" s="4">
        <v>8.99</v>
      </c>
    </row>
    <row r="2882">
      <c r="A2882" s="2">
        <v>45763</v>
      </c>
      <c r="B28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2" s="3" t="str">
        <f>YEAR(KMART_DATA[[#This Row],[Date]])&amp;"-"&amp;TEXT(MONTH(KMART_DATA[[#This Row],[Date]]),"00")</f>
        <v>2025-04</v>
      </c>
      <c r="D2882" s="3" t="s">
        <v>28</v>
      </c>
      <c r="E2882" s="3" t="s">
        <v>59</v>
      </c>
      <c r="F2882" s="3" t="s">
        <v>11</v>
      </c>
      <c r="G28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82" s="3" t="s">
        <v>60</v>
      </c>
      <c r="I2882" s="3" t="s">
        <v>31</v>
      </c>
      <c r="J2882" s="3" t="s">
        <v>61</v>
      </c>
      <c r="K2882" s="3" t="s">
        <v>123</v>
      </c>
      <c r="L2882" s="3" t="s">
        <v>124</v>
      </c>
      <c r="M2882" s="4">
        <v>886.67</v>
      </c>
    </row>
    <row r="2883">
      <c r="A2883" s="2">
        <v>45763</v>
      </c>
      <c r="B28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3" s="3" t="str">
        <f>YEAR(KMART_DATA[[#This Row],[Date]])&amp;"-"&amp;TEXT(MONTH(KMART_DATA[[#This Row],[Date]]),"00")</f>
        <v>2025-04</v>
      </c>
      <c r="D2883" s="3" t="s">
        <v>28</v>
      </c>
      <c r="E2883" s="3" t="s">
        <v>203</v>
      </c>
      <c r="F2883" s="3" t="s">
        <v>10</v>
      </c>
      <c r="G28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83" s="3" t="s">
        <v>204</v>
      </c>
      <c r="I2883" s="3" t="s">
        <v>31</v>
      </c>
      <c r="J2883" s="3" t="s">
        <v>89</v>
      </c>
      <c r="K2883" s="3" t="s">
        <v>71</v>
      </c>
      <c r="L2883" s="3" t="s">
        <v>72</v>
      </c>
      <c r="M2883" s="4">
        <v>2692.99</v>
      </c>
    </row>
    <row r="2884">
      <c r="A2884" s="2">
        <v>45764</v>
      </c>
      <c r="B28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4" s="3" t="str">
        <f>YEAR(KMART_DATA[[#This Row],[Date]])&amp;"-"&amp;TEXT(MONTH(KMART_DATA[[#This Row],[Date]]),"00")</f>
        <v>2025-04</v>
      </c>
      <c r="D2884" s="3" t="s">
        <v>45</v>
      </c>
      <c r="E2884" s="3" t="s">
        <v>160</v>
      </c>
      <c r="F2884" s="3" t="s">
        <v>12</v>
      </c>
      <c r="G28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884" s="3" t="s">
        <v>161</v>
      </c>
      <c r="I2884" s="3" t="s">
        <v>31</v>
      </c>
      <c r="J2884" s="3" t="s">
        <v>162</v>
      </c>
      <c r="K2884" s="3" t="s">
        <v>46</v>
      </c>
      <c r="L2884" s="3" t="s">
        <v>47</v>
      </c>
      <c r="M2884" s="4">
        <v>51.96</v>
      </c>
    </row>
    <row r="2885">
      <c r="A2885" s="2">
        <v>45764</v>
      </c>
      <c r="B28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5" s="3" t="str">
        <f>YEAR(KMART_DATA[[#This Row],[Date]])&amp;"-"&amp;TEXT(MONTH(KMART_DATA[[#This Row],[Date]]),"00")</f>
        <v>2025-04</v>
      </c>
      <c r="D2885" s="3" t="s">
        <v>28</v>
      </c>
      <c r="E2885" s="3" t="s">
        <v>252</v>
      </c>
      <c r="F2885" s="3" t="s">
        <v>10</v>
      </c>
      <c r="G28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85" s="3" t="s">
        <v>253</v>
      </c>
      <c r="I2885" s="3" t="s">
        <v>31</v>
      </c>
      <c r="J2885" s="3" t="s">
        <v>94</v>
      </c>
      <c r="K2885" s="3" t="s">
        <v>71</v>
      </c>
      <c r="L2885" s="3" t="s">
        <v>72</v>
      </c>
      <c r="M2885" s="4">
        <v>108.76</v>
      </c>
    </row>
    <row r="2886">
      <c r="A2886" s="2">
        <v>45764</v>
      </c>
      <c r="B28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6" s="3" t="str">
        <f>YEAR(KMART_DATA[[#This Row],[Date]])&amp;"-"&amp;TEXT(MONTH(KMART_DATA[[#This Row],[Date]]),"00")</f>
        <v>2025-04</v>
      </c>
      <c r="D2886" s="3" t="s">
        <v>45</v>
      </c>
      <c r="E2886" s="3" t="s">
        <v>173</v>
      </c>
      <c r="F2886" s="3" t="s">
        <v>11</v>
      </c>
      <c r="G28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86" s="3" t="s">
        <v>174</v>
      </c>
      <c r="I2886" s="3" t="s">
        <v>31</v>
      </c>
      <c r="J2886" s="3" t="s">
        <v>61</v>
      </c>
      <c r="K2886" s="3" t="s">
        <v>43</v>
      </c>
      <c r="L2886" s="3" t="s">
        <v>44</v>
      </c>
      <c r="M2886" s="4">
        <v>149.9</v>
      </c>
    </row>
    <row r="2887">
      <c r="A2887" s="2">
        <v>45764</v>
      </c>
      <c r="B28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7" s="3" t="str">
        <f>YEAR(KMART_DATA[[#This Row],[Date]])&amp;"-"&amp;TEXT(MONTH(KMART_DATA[[#This Row],[Date]]),"00")</f>
        <v>2025-04</v>
      </c>
      <c r="D2887" s="3" t="s">
        <v>28</v>
      </c>
      <c r="E2887" s="3" t="s">
        <v>110</v>
      </c>
      <c r="F2887" s="3" t="s">
        <v>9</v>
      </c>
      <c r="G28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87" s="3" t="s">
        <v>111</v>
      </c>
      <c r="I2887" s="3" t="s">
        <v>31</v>
      </c>
      <c r="J2887" s="3" t="s">
        <v>81</v>
      </c>
      <c r="K2887" s="3" t="s">
        <v>43</v>
      </c>
      <c r="L2887" s="3" t="s">
        <v>44</v>
      </c>
      <c r="M2887" s="4">
        <v>342.1</v>
      </c>
    </row>
    <row r="2888">
      <c r="A2888" s="2">
        <v>45764</v>
      </c>
      <c r="B28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8" s="3" t="str">
        <f>YEAR(KMART_DATA[[#This Row],[Date]])&amp;"-"&amp;TEXT(MONTH(KMART_DATA[[#This Row],[Date]]),"00")</f>
        <v>2025-04</v>
      </c>
      <c r="D2888" s="3" t="s">
        <v>28</v>
      </c>
      <c r="E2888" s="3" t="s">
        <v>213</v>
      </c>
      <c r="F2888" s="3" t="s">
        <v>11</v>
      </c>
      <c r="G28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88" s="3" t="s">
        <v>214</v>
      </c>
      <c r="I2888" s="3" t="s">
        <v>31</v>
      </c>
      <c r="J2888" s="3" t="s">
        <v>32</v>
      </c>
      <c r="K2888" s="3" t="s">
        <v>57</v>
      </c>
      <c r="L2888" s="3" t="s">
        <v>58</v>
      </c>
      <c r="M2888" s="4">
        <v>535.94</v>
      </c>
    </row>
    <row r="2889">
      <c r="A2889" s="2">
        <v>45764</v>
      </c>
      <c r="B28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89" s="3" t="str">
        <f>YEAR(KMART_DATA[[#This Row],[Date]])&amp;"-"&amp;TEXT(MONTH(KMART_DATA[[#This Row],[Date]]),"00")</f>
        <v>2025-04</v>
      </c>
      <c r="D2889" s="3" t="s">
        <v>28</v>
      </c>
      <c r="E2889" s="3" t="s">
        <v>110</v>
      </c>
      <c r="F2889" s="3" t="s">
        <v>9</v>
      </c>
      <c r="G28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89" s="3" t="s">
        <v>111</v>
      </c>
      <c r="I2889" s="3" t="s">
        <v>31</v>
      </c>
      <c r="J2889" s="3" t="s">
        <v>81</v>
      </c>
      <c r="K2889" s="3" t="s">
        <v>123</v>
      </c>
      <c r="L2889" s="3" t="s">
        <v>124</v>
      </c>
      <c r="M2889" s="4">
        <v>837.64</v>
      </c>
    </row>
    <row r="2890">
      <c r="A2890" s="2">
        <v>45764</v>
      </c>
      <c r="B28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0" s="3" t="str">
        <f>YEAR(KMART_DATA[[#This Row],[Date]])&amp;"-"&amp;TEXT(MONTH(KMART_DATA[[#This Row],[Date]]),"00")</f>
        <v>2025-04</v>
      </c>
      <c r="D2890" s="3" t="s">
        <v>28</v>
      </c>
      <c r="E2890" s="3" t="s">
        <v>193</v>
      </c>
      <c r="F2890" s="3" t="s">
        <v>9</v>
      </c>
      <c r="G28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90" s="3" t="s">
        <v>194</v>
      </c>
      <c r="I2890" s="3" t="s">
        <v>31</v>
      </c>
      <c r="J2890" s="3" t="s">
        <v>99</v>
      </c>
      <c r="K2890" s="3" t="s">
        <v>71</v>
      </c>
      <c r="L2890" s="3" t="s">
        <v>72</v>
      </c>
      <c r="M2890" s="4">
        <v>1040.91</v>
      </c>
    </row>
    <row r="2891">
      <c r="A2891" s="2">
        <v>45764</v>
      </c>
      <c r="B28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1" s="3" t="str">
        <f>YEAR(KMART_DATA[[#This Row],[Date]])&amp;"-"&amp;TEXT(MONTH(KMART_DATA[[#This Row],[Date]]),"00")</f>
        <v>2025-04</v>
      </c>
      <c r="D2891" s="3" t="s">
        <v>28</v>
      </c>
      <c r="E2891" s="3" t="s">
        <v>121</v>
      </c>
      <c r="F2891" s="3" t="s">
        <v>11</v>
      </c>
      <c r="G28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91" s="3" t="s">
        <v>122</v>
      </c>
      <c r="I2891" s="3" t="s">
        <v>31</v>
      </c>
      <c r="J2891" s="3" t="s">
        <v>84</v>
      </c>
      <c r="K2891" s="3" t="s">
        <v>71</v>
      </c>
      <c r="L2891" s="3" t="s">
        <v>72</v>
      </c>
      <c r="M2891" s="4">
        <v>1948.58</v>
      </c>
    </row>
    <row r="2892">
      <c r="A2892" s="2">
        <v>45764</v>
      </c>
      <c r="B28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2" s="3" t="str">
        <f>YEAR(KMART_DATA[[#This Row],[Date]])&amp;"-"&amp;TEXT(MONTH(KMART_DATA[[#This Row],[Date]]),"00")</f>
        <v>2025-04</v>
      </c>
      <c r="D2892" s="3" t="s">
        <v>28</v>
      </c>
      <c r="E2892" s="3" t="s">
        <v>234</v>
      </c>
      <c r="F2892" s="3" t="s">
        <v>9</v>
      </c>
      <c r="G28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92" s="3" t="s">
        <v>235</v>
      </c>
      <c r="I2892" s="3" t="s">
        <v>31</v>
      </c>
      <c r="J2892" s="3" t="s">
        <v>81</v>
      </c>
      <c r="K2892" s="3" t="s">
        <v>71</v>
      </c>
      <c r="L2892" s="3" t="s">
        <v>72</v>
      </c>
      <c r="M2892" s="4">
        <v>2682.11</v>
      </c>
    </row>
    <row r="2893">
      <c r="A2893" s="2">
        <v>45764</v>
      </c>
      <c r="B28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3" s="3" t="str">
        <f>YEAR(KMART_DATA[[#This Row],[Date]])&amp;"-"&amp;TEXT(MONTH(KMART_DATA[[#This Row],[Date]]),"00")</f>
        <v>2025-04</v>
      </c>
      <c r="D2893" s="3" t="s">
        <v>45</v>
      </c>
      <c r="E2893" s="3" t="s">
        <v>179</v>
      </c>
      <c r="F2893" s="3" t="s">
        <v>9</v>
      </c>
      <c r="G28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93" s="3" t="s">
        <v>180</v>
      </c>
      <c r="I2893" s="3" t="s">
        <v>31</v>
      </c>
      <c r="J2893" s="3" t="s">
        <v>99</v>
      </c>
      <c r="K2893" s="3" t="s">
        <v>71</v>
      </c>
      <c r="L2893" s="3" t="s">
        <v>72</v>
      </c>
      <c r="M2893" s="4">
        <v>3123.46</v>
      </c>
    </row>
    <row r="2894">
      <c r="A2894" s="2">
        <v>45765</v>
      </c>
      <c r="B28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4" s="3" t="str">
        <f>YEAR(KMART_DATA[[#This Row],[Date]])&amp;"-"&amp;TEXT(MONTH(KMART_DATA[[#This Row],[Date]]),"00")</f>
        <v>2025-04</v>
      </c>
      <c r="D2894" s="3" t="s">
        <v>28</v>
      </c>
      <c r="E2894" s="3" t="s">
        <v>171</v>
      </c>
      <c r="F2894" s="3" t="s">
        <v>10</v>
      </c>
      <c r="G28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94" s="3" t="s">
        <v>172</v>
      </c>
      <c r="I2894" s="3" t="s">
        <v>31</v>
      </c>
      <c r="J2894" s="3" t="s">
        <v>37</v>
      </c>
      <c r="K2894" s="3" t="s">
        <v>123</v>
      </c>
      <c r="L2894" s="3" t="s">
        <v>124</v>
      </c>
      <c r="M2894" s="4">
        <v>7.99</v>
      </c>
    </row>
    <row r="2895">
      <c r="A2895" s="2">
        <v>45765</v>
      </c>
      <c r="B28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5" s="3" t="str">
        <f>YEAR(KMART_DATA[[#This Row],[Date]])&amp;"-"&amp;TEXT(MONTH(KMART_DATA[[#This Row],[Date]]),"00")</f>
        <v>2025-04</v>
      </c>
      <c r="D2895" s="3" t="s">
        <v>28</v>
      </c>
      <c r="E2895" s="3" t="s">
        <v>135</v>
      </c>
      <c r="F2895" s="3" t="s">
        <v>16</v>
      </c>
      <c r="G28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895" s="3" t="s">
        <v>136</v>
      </c>
      <c r="I2895" s="3" t="s">
        <v>31</v>
      </c>
      <c r="J2895" s="3" t="s">
        <v>107</v>
      </c>
      <c r="K2895" s="3" t="s">
        <v>33</v>
      </c>
      <c r="L2895" s="3" t="s">
        <v>34</v>
      </c>
      <c r="M2895" s="4">
        <v>35.91</v>
      </c>
    </row>
    <row r="2896">
      <c r="A2896" s="2">
        <v>45765</v>
      </c>
      <c r="B28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6" s="3" t="str">
        <f>YEAR(KMART_DATA[[#This Row],[Date]])&amp;"-"&amp;TEXT(MONTH(KMART_DATA[[#This Row],[Date]]),"00")</f>
        <v>2025-04</v>
      </c>
      <c r="D2896" s="3" t="s">
        <v>45</v>
      </c>
      <c r="E2896" s="3" t="s">
        <v>230</v>
      </c>
      <c r="F2896" s="3" t="s">
        <v>13</v>
      </c>
      <c r="G28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896" s="3" t="s">
        <v>231</v>
      </c>
      <c r="I2896" s="3" t="s">
        <v>31</v>
      </c>
      <c r="J2896" s="3" t="s">
        <v>227</v>
      </c>
      <c r="K2896" s="3" t="s">
        <v>43</v>
      </c>
      <c r="L2896" s="3" t="s">
        <v>44</v>
      </c>
      <c r="M2896" s="4">
        <v>53.95</v>
      </c>
    </row>
    <row r="2897">
      <c r="A2897" s="2">
        <v>45765</v>
      </c>
      <c r="B28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7" s="3" t="str">
        <f>YEAR(KMART_DATA[[#This Row],[Date]])&amp;"-"&amp;TEXT(MONTH(KMART_DATA[[#This Row],[Date]]),"00")</f>
        <v>2025-04</v>
      </c>
      <c r="D2897" s="3" t="s">
        <v>45</v>
      </c>
      <c r="E2897" s="3" t="s">
        <v>114</v>
      </c>
      <c r="F2897" s="3" t="s">
        <v>9</v>
      </c>
      <c r="G28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897" s="3" t="s">
        <v>115</v>
      </c>
      <c r="I2897" s="3" t="s">
        <v>31</v>
      </c>
      <c r="J2897" s="3" t="s">
        <v>99</v>
      </c>
      <c r="K2897" s="3" t="s">
        <v>71</v>
      </c>
      <c r="L2897" s="3" t="s">
        <v>72</v>
      </c>
      <c r="M2897" s="4">
        <v>55.9</v>
      </c>
    </row>
    <row r="2898">
      <c r="A2898" s="2">
        <v>45765</v>
      </c>
      <c r="B28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8" s="3" t="str">
        <f>YEAR(KMART_DATA[[#This Row],[Date]])&amp;"-"&amp;TEXT(MONTH(KMART_DATA[[#This Row],[Date]]),"00")</f>
        <v>2025-04</v>
      </c>
      <c r="D2898" s="3" t="s">
        <v>45</v>
      </c>
      <c r="E2898" s="3" t="s">
        <v>191</v>
      </c>
      <c r="F2898" s="3" t="s">
        <v>10</v>
      </c>
      <c r="G28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898" s="3" t="s">
        <v>192</v>
      </c>
      <c r="I2898" s="3" t="s">
        <v>31</v>
      </c>
      <c r="J2898" s="3" t="s">
        <v>120</v>
      </c>
      <c r="K2898" s="3" t="s">
        <v>112</v>
      </c>
      <c r="L2898" s="3" t="s">
        <v>113</v>
      </c>
      <c r="M2898" s="4">
        <v>148.77</v>
      </c>
    </row>
    <row r="2899">
      <c r="A2899" s="2">
        <v>45765</v>
      </c>
      <c r="B28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899" s="3" t="str">
        <f>YEAR(KMART_DATA[[#This Row],[Date]])&amp;"-"&amp;TEXT(MONTH(KMART_DATA[[#This Row],[Date]]),"00")</f>
        <v>2025-04</v>
      </c>
      <c r="D2899" s="3" t="s">
        <v>28</v>
      </c>
      <c r="E2899" s="3" t="s">
        <v>154</v>
      </c>
      <c r="F2899" s="3" t="s">
        <v>11</v>
      </c>
      <c r="G28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899" s="3" t="s">
        <v>155</v>
      </c>
      <c r="I2899" s="3" t="s">
        <v>31</v>
      </c>
      <c r="J2899" s="3" t="s">
        <v>84</v>
      </c>
      <c r="K2899" s="3" t="s">
        <v>57</v>
      </c>
      <c r="L2899" s="3" t="s">
        <v>58</v>
      </c>
      <c r="M2899" s="4">
        <v>873.34</v>
      </c>
    </row>
    <row r="2900">
      <c r="A2900" s="2">
        <v>45765</v>
      </c>
      <c r="B29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0" s="3" t="str">
        <f>YEAR(KMART_DATA[[#This Row],[Date]])&amp;"-"&amp;TEXT(MONTH(KMART_DATA[[#This Row],[Date]]),"00")</f>
        <v>2025-04</v>
      </c>
      <c r="D2900" s="3" t="s">
        <v>45</v>
      </c>
      <c r="E2900" s="3" t="s">
        <v>242</v>
      </c>
      <c r="F2900" s="3" t="s">
        <v>10</v>
      </c>
      <c r="G29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00" s="3" t="s">
        <v>243</v>
      </c>
      <c r="I2900" s="3" t="s">
        <v>31</v>
      </c>
      <c r="J2900" s="3" t="s">
        <v>94</v>
      </c>
      <c r="K2900" s="3" t="s">
        <v>46</v>
      </c>
      <c r="L2900" s="3" t="s">
        <v>47</v>
      </c>
      <c r="M2900" s="4">
        <v>906.08</v>
      </c>
    </row>
    <row r="2901">
      <c r="A2901" s="2">
        <v>45765</v>
      </c>
      <c r="B29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1" s="3" t="str">
        <f>YEAR(KMART_DATA[[#This Row],[Date]])&amp;"-"&amp;TEXT(MONTH(KMART_DATA[[#This Row],[Date]]),"00")</f>
        <v>2025-04</v>
      </c>
      <c r="D2901" s="3" t="s">
        <v>28</v>
      </c>
      <c r="E2901" s="3" t="s">
        <v>139</v>
      </c>
      <c r="F2901" s="3" t="s">
        <v>10</v>
      </c>
      <c r="G29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01" s="3" t="s">
        <v>140</v>
      </c>
      <c r="I2901" s="3" t="s">
        <v>31</v>
      </c>
      <c r="J2901" s="3" t="s">
        <v>89</v>
      </c>
      <c r="K2901" s="3" t="s">
        <v>71</v>
      </c>
      <c r="L2901" s="3" t="s">
        <v>72</v>
      </c>
      <c r="M2901" s="4">
        <v>2109.84</v>
      </c>
    </row>
    <row r="2902">
      <c r="A2902" s="2">
        <v>45766</v>
      </c>
      <c r="B29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2" s="3" t="str">
        <f>YEAR(KMART_DATA[[#This Row],[Date]])&amp;"-"&amp;TEXT(MONTH(KMART_DATA[[#This Row],[Date]]),"00")</f>
        <v>2025-04</v>
      </c>
      <c r="D2902" s="3" t="s">
        <v>28</v>
      </c>
      <c r="E2902" s="3" t="s">
        <v>262</v>
      </c>
      <c r="F2902" s="3" t="s">
        <v>10</v>
      </c>
      <c r="G29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02" s="3" t="s">
        <v>263</v>
      </c>
      <c r="I2902" s="3" t="s">
        <v>31</v>
      </c>
      <c r="J2902" s="3" t="s">
        <v>120</v>
      </c>
      <c r="K2902" s="3" t="s">
        <v>112</v>
      </c>
      <c r="L2902" s="3" t="s">
        <v>113</v>
      </c>
      <c r="M2902" s="4">
        <v>19.95</v>
      </c>
    </row>
    <row r="2903">
      <c r="A2903" s="2">
        <v>45766</v>
      </c>
      <c r="B29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3" s="3" t="str">
        <f>YEAR(KMART_DATA[[#This Row],[Date]])&amp;"-"&amp;TEXT(MONTH(KMART_DATA[[#This Row],[Date]]),"00")</f>
        <v>2025-04</v>
      </c>
      <c r="D2903" s="3" t="s">
        <v>28</v>
      </c>
      <c r="E2903" s="3" t="s">
        <v>250</v>
      </c>
      <c r="F2903" s="3" t="s">
        <v>10</v>
      </c>
      <c r="G29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03" s="3" t="s">
        <v>251</v>
      </c>
      <c r="I2903" s="3" t="s">
        <v>31</v>
      </c>
      <c r="J2903" s="3" t="s">
        <v>37</v>
      </c>
      <c r="K2903" s="3" t="s">
        <v>46</v>
      </c>
      <c r="L2903" s="3" t="s">
        <v>47</v>
      </c>
      <c r="M2903" s="4">
        <v>44.5</v>
      </c>
    </row>
    <row r="2904">
      <c r="A2904" s="2">
        <v>45766</v>
      </c>
      <c r="B29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4" s="3" t="str">
        <f>YEAR(KMART_DATA[[#This Row],[Date]])&amp;"-"&amp;TEXT(MONTH(KMART_DATA[[#This Row],[Date]]),"00")</f>
        <v>2025-04</v>
      </c>
      <c r="D2904" s="3" t="s">
        <v>28</v>
      </c>
      <c r="E2904" s="3" t="s">
        <v>165</v>
      </c>
      <c r="F2904" s="3" t="s">
        <v>9</v>
      </c>
      <c r="G29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04" s="3" t="s">
        <v>166</v>
      </c>
      <c r="I2904" s="3" t="s">
        <v>31</v>
      </c>
      <c r="J2904" s="3" t="s">
        <v>99</v>
      </c>
      <c r="K2904" s="3" t="s">
        <v>123</v>
      </c>
      <c r="L2904" s="3" t="s">
        <v>124</v>
      </c>
      <c r="M2904" s="4">
        <v>51.94</v>
      </c>
    </row>
    <row r="2905">
      <c r="A2905" s="2">
        <v>45766</v>
      </c>
      <c r="B29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5" s="3" t="str">
        <f>YEAR(KMART_DATA[[#This Row],[Date]])&amp;"-"&amp;TEXT(MONTH(KMART_DATA[[#This Row],[Date]]),"00")</f>
        <v>2025-04</v>
      </c>
      <c r="D2905" s="3" t="s">
        <v>45</v>
      </c>
      <c r="E2905" s="3" t="s">
        <v>213</v>
      </c>
      <c r="F2905" s="3" t="s">
        <v>11</v>
      </c>
      <c r="G29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05" s="3" t="s">
        <v>214</v>
      </c>
      <c r="I2905" s="3" t="s">
        <v>31</v>
      </c>
      <c r="J2905" s="3" t="s">
        <v>32</v>
      </c>
      <c r="K2905" s="3" t="s">
        <v>46</v>
      </c>
      <c r="L2905" s="3" t="s">
        <v>47</v>
      </c>
      <c r="M2905" s="4">
        <v>51.96</v>
      </c>
    </row>
    <row r="2906">
      <c r="A2906" s="2">
        <v>45766</v>
      </c>
      <c r="B29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6" s="3" t="str">
        <f>YEAR(KMART_DATA[[#This Row],[Date]])&amp;"-"&amp;TEXT(MONTH(KMART_DATA[[#This Row],[Date]]),"00")</f>
        <v>2025-04</v>
      </c>
      <c r="D2906" s="3" t="s">
        <v>28</v>
      </c>
      <c r="E2906" s="3" t="s">
        <v>252</v>
      </c>
      <c r="F2906" s="3" t="s">
        <v>10</v>
      </c>
      <c r="G29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06" s="3" t="s">
        <v>253</v>
      </c>
      <c r="I2906" s="3" t="s">
        <v>31</v>
      </c>
      <c r="J2906" s="3" t="s">
        <v>94</v>
      </c>
      <c r="K2906" s="3" t="s">
        <v>95</v>
      </c>
      <c r="L2906" s="3" t="s">
        <v>96</v>
      </c>
      <c r="M2906" s="4">
        <v>132.75</v>
      </c>
    </row>
    <row r="2907">
      <c r="A2907" s="2">
        <v>45766</v>
      </c>
      <c r="B29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7" s="3" t="str">
        <f>YEAR(KMART_DATA[[#This Row],[Date]])&amp;"-"&amp;TEXT(MONTH(KMART_DATA[[#This Row],[Date]]),"00")</f>
        <v>2025-04</v>
      </c>
      <c r="D2907" s="3" t="s">
        <v>28</v>
      </c>
      <c r="E2907" s="3" t="s">
        <v>62</v>
      </c>
      <c r="F2907" s="3" t="s">
        <v>12</v>
      </c>
      <c r="G29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07" s="3" t="s">
        <v>63</v>
      </c>
      <c r="I2907" s="3" t="s">
        <v>31</v>
      </c>
      <c r="J2907" s="3" t="s">
        <v>50</v>
      </c>
      <c r="K2907" s="3" t="s">
        <v>95</v>
      </c>
      <c r="L2907" s="3" t="s">
        <v>96</v>
      </c>
      <c r="M2907" s="4">
        <v>220.2</v>
      </c>
    </row>
    <row r="2908">
      <c r="A2908" s="2">
        <v>45766</v>
      </c>
      <c r="B29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8" s="3" t="str">
        <f>YEAR(KMART_DATA[[#This Row],[Date]])&amp;"-"&amp;TEXT(MONTH(KMART_DATA[[#This Row],[Date]]),"00")</f>
        <v>2025-04</v>
      </c>
      <c r="D2908" s="3" t="s">
        <v>28</v>
      </c>
      <c r="E2908" s="3" t="s">
        <v>256</v>
      </c>
      <c r="F2908" s="3" t="s">
        <v>9</v>
      </c>
      <c r="G29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08" s="3" t="s">
        <v>257</v>
      </c>
      <c r="I2908" s="3" t="s">
        <v>31</v>
      </c>
      <c r="J2908" s="3" t="s">
        <v>70</v>
      </c>
      <c r="K2908" s="3" t="s">
        <v>57</v>
      </c>
      <c r="L2908" s="3" t="s">
        <v>58</v>
      </c>
      <c r="M2908" s="4">
        <v>329.48</v>
      </c>
    </row>
    <row r="2909">
      <c r="A2909" s="2">
        <v>45766</v>
      </c>
      <c r="B29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09" s="3" t="str">
        <f>YEAR(KMART_DATA[[#This Row],[Date]])&amp;"-"&amp;TEXT(MONTH(KMART_DATA[[#This Row],[Date]]),"00")</f>
        <v>2025-04</v>
      </c>
      <c r="D2909" s="3" t="s">
        <v>45</v>
      </c>
      <c r="E2909" s="3" t="s">
        <v>217</v>
      </c>
      <c r="F2909" s="3" t="s">
        <v>10</v>
      </c>
      <c r="G29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09" s="3" t="s">
        <v>218</v>
      </c>
      <c r="I2909" s="3" t="s">
        <v>31</v>
      </c>
      <c r="J2909" s="3" t="s">
        <v>89</v>
      </c>
      <c r="K2909" s="3" t="s">
        <v>57</v>
      </c>
      <c r="L2909" s="3" t="s">
        <v>58</v>
      </c>
      <c r="M2909" s="4">
        <v>589.82</v>
      </c>
    </row>
    <row r="2910">
      <c r="A2910" s="2">
        <v>45766</v>
      </c>
      <c r="B29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0" s="3" t="str">
        <f>YEAR(KMART_DATA[[#This Row],[Date]])&amp;"-"&amp;TEXT(MONTH(KMART_DATA[[#This Row],[Date]]),"00")</f>
        <v>2025-04</v>
      </c>
      <c r="D2910" s="3" t="s">
        <v>28</v>
      </c>
      <c r="E2910" s="3" t="s">
        <v>167</v>
      </c>
      <c r="F2910" s="3" t="s">
        <v>12</v>
      </c>
      <c r="G29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10" s="3" t="s">
        <v>168</v>
      </c>
      <c r="I2910" s="3" t="s">
        <v>31</v>
      </c>
      <c r="J2910" s="3" t="s">
        <v>102</v>
      </c>
      <c r="K2910" s="3" t="s">
        <v>57</v>
      </c>
      <c r="L2910" s="3" t="s">
        <v>58</v>
      </c>
      <c r="M2910" s="4">
        <v>1344.57</v>
      </c>
    </row>
    <row r="2911">
      <c r="A2911" s="2">
        <v>45766</v>
      </c>
      <c r="B29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1" s="3" t="str">
        <f>YEAR(KMART_DATA[[#This Row],[Date]])&amp;"-"&amp;TEXT(MONTH(KMART_DATA[[#This Row],[Date]]),"00")</f>
        <v>2025-04</v>
      </c>
      <c r="D2911" s="3" t="s">
        <v>28</v>
      </c>
      <c r="E2911" s="3" t="s">
        <v>244</v>
      </c>
      <c r="F2911" s="3" t="s">
        <v>13</v>
      </c>
      <c r="G29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911" s="3" t="s">
        <v>245</v>
      </c>
      <c r="I2911" s="3" t="s">
        <v>31</v>
      </c>
      <c r="J2911" s="3" t="s">
        <v>42</v>
      </c>
      <c r="K2911" s="3" t="s">
        <v>71</v>
      </c>
      <c r="L2911" s="3" t="s">
        <v>72</v>
      </c>
      <c r="M2911" s="4">
        <v>3831.53</v>
      </c>
    </row>
    <row r="2912">
      <c r="A2912" s="2">
        <v>45767</v>
      </c>
      <c r="B29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2" s="3" t="str">
        <f>YEAR(KMART_DATA[[#This Row],[Date]])&amp;"-"&amp;TEXT(MONTH(KMART_DATA[[#This Row],[Date]]),"00")</f>
        <v>2025-04</v>
      </c>
      <c r="D2912" s="3" t="s">
        <v>28</v>
      </c>
      <c r="E2912" s="3" t="s">
        <v>143</v>
      </c>
      <c r="F2912" s="3" t="s">
        <v>14</v>
      </c>
      <c r="G29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912" s="3" t="s">
        <v>144</v>
      </c>
      <c r="I2912" s="3" t="s">
        <v>31</v>
      </c>
      <c r="J2912" s="3" t="s">
        <v>145</v>
      </c>
      <c r="K2912" s="3" t="s">
        <v>46</v>
      </c>
      <c r="L2912" s="3" t="s">
        <v>47</v>
      </c>
      <c r="M2912" s="4">
        <v>5.11</v>
      </c>
    </row>
    <row r="2913">
      <c r="A2913" s="2">
        <v>45767</v>
      </c>
      <c r="B29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3" s="3" t="str">
        <f>YEAR(KMART_DATA[[#This Row],[Date]])&amp;"-"&amp;TEXT(MONTH(KMART_DATA[[#This Row],[Date]]),"00")</f>
        <v>2025-04</v>
      </c>
      <c r="D2913" s="3" t="s">
        <v>28</v>
      </c>
      <c r="E2913" s="3" t="s">
        <v>127</v>
      </c>
      <c r="F2913" s="3" t="s">
        <v>11</v>
      </c>
      <c r="G29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13" s="3" t="s">
        <v>128</v>
      </c>
      <c r="I2913" s="3" t="s">
        <v>31</v>
      </c>
      <c r="J2913" s="3" t="s">
        <v>78</v>
      </c>
      <c r="K2913" s="3" t="s">
        <v>57</v>
      </c>
      <c r="L2913" s="3" t="s">
        <v>58</v>
      </c>
      <c r="M2913" s="4">
        <v>44.91</v>
      </c>
    </row>
    <row r="2914">
      <c r="A2914" s="2">
        <v>45767</v>
      </c>
      <c r="B29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4" s="3" t="str">
        <f>YEAR(KMART_DATA[[#This Row],[Date]])&amp;"-"&amp;TEXT(MONTH(KMART_DATA[[#This Row],[Date]]),"00")</f>
        <v>2025-04</v>
      </c>
      <c r="D2914" s="3" t="s">
        <v>28</v>
      </c>
      <c r="E2914" s="3" t="s">
        <v>135</v>
      </c>
      <c r="F2914" s="3" t="s">
        <v>16</v>
      </c>
      <c r="G29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914" s="3" t="s">
        <v>136</v>
      </c>
      <c r="I2914" s="3" t="s">
        <v>31</v>
      </c>
      <c r="J2914" s="3" t="s">
        <v>107</v>
      </c>
      <c r="K2914" s="3" t="s">
        <v>71</v>
      </c>
      <c r="L2914" s="3" t="s">
        <v>72</v>
      </c>
      <c r="M2914" s="4">
        <v>47.92</v>
      </c>
    </row>
    <row r="2915">
      <c r="A2915" s="2">
        <v>45767</v>
      </c>
      <c r="B29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5" s="3" t="str">
        <f>YEAR(KMART_DATA[[#This Row],[Date]])&amp;"-"&amp;TEXT(MONTH(KMART_DATA[[#This Row],[Date]]),"00")</f>
        <v>2025-04</v>
      </c>
      <c r="D2915" s="3" t="s">
        <v>28</v>
      </c>
      <c r="E2915" s="3" t="s">
        <v>242</v>
      </c>
      <c r="F2915" s="3" t="s">
        <v>10</v>
      </c>
      <c r="G29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15" s="3" t="s">
        <v>243</v>
      </c>
      <c r="I2915" s="3" t="s">
        <v>31</v>
      </c>
      <c r="J2915" s="3" t="s">
        <v>94</v>
      </c>
      <c r="K2915" s="3" t="s">
        <v>95</v>
      </c>
      <c r="L2915" s="3" t="s">
        <v>96</v>
      </c>
      <c r="M2915" s="4">
        <v>167.18</v>
      </c>
    </row>
    <row r="2916">
      <c r="A2916" s="2">
        <v>45767</v>
      </c>
      <c r="B29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6" s="3" t="str">
        <f>YEAR(KMART_DATA[[#This Row],[Date]])&amp;"-"&amp;TEXT(MONTH(KMART_DATA[[#This Row],[Date]]),"00")</f>
        <v>2025-04</v>
      </c>
      <c r="D2916" s="3" t="s">
        <v>45</v>
      </c>
      <c r="E2916" s="3" t="s">
        <v>201</v>
      </c>
      <c r="F2916" s="3" t="s">
        <v>10</v>
      </c>
      <c r="G29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16" s="3" t="s">
        <v>202</v>
      </c>
      <c r="I2916" s="3" t="s">
        <v>31</v>
      </c>
      <c r="J2916" s="3" t="s">
        <v>89</v>
      </c>
      <c r="K2916" s="3" t="s">
        <v>43</v>
      </c>
      <c r="L2916" s="3" t="s">
        <v>44</v>
      </c>
      <c r="M2916" s="4">
        <v>207.84</v>
      </c>
    </row>
    <row r="2917">
      <c r="A2917" s="2">
        <v>45767</v>
      </c>
      <c r="B29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7" s="3" t="str">
        <f>YEAR(KMART_DATA[[#This Row],[Date]])&amp;"-"&amp;TEXT(MONTH(KMART_DATA[[#This Row],[Date]]),"00")</f>
        <v>2025-04</v>
      </c>
      <c r="D2917" s="3" t="s">
        <v>28</v>
      </c>
      <c r="E2917" s="3" t="s">
        <v>191</v>
      </c>
      <c r="F2917" s="3" t="s">
        <v>10</v>
      </c>
      <c r="G29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17" s="3" t="s">
        <v>192</v>
      </c>
      <c r="I2917" s="3" t="s">
        <v>31</v>
      </c>
      <c r="J2917" s="3" t="s">
        <v>120</v>
      </c>
      <c r="K2917" s="3" t="s">
        <v>57</v>
      </c>
      <c r="L2917" s="3" t="s">
        <v>58</v>
      </c>
      <c r="M2917" s="4">
        <v>658.26</v>
      </c>
    </row>
    <row r="2918">
      <c r="A2918" s="2">
        <v>45768</v>
      </c>
      <c r="B29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8" s="3" t="str">
        <f>YEAR(KMART_DATA[[#This Row],[Date]])&amp;"-"&amp;TEXT(MONTH(KMART_DATA[[#This Row],[Date]]),"00")</f>
        <v>2025-04</v>
      </c>
      <c r="D2918" s="3" t="s">
        <v>28</v>
      </c>
      <c r="E2918" s="3" t="s">
        <v>129</v>
      </c>
      <c r="F2918" s="3" t="s">
        <v>10</v>
      </c>
      <c r="G29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18" s="3" t="s">
        <v>130</v>
      </c>
      <c r="I2918" s="3" t="s">
        <v>31</v>
      </c>
      <c r="J2918" s="3" t="s">
        <v>120</v>
      </c>
      <c r="K2918" s="3" t="s">
        <v>46</v>
      </c>
      <c r="L2918" s="3" t="s">
        <v>47</v>
      </c>
      <c r="M2918" s="4">
        <v>1.5</v>
      </c>
    </row>
    <row r="2919">
      <c r="A2919" s="2">
        <v>45768</v>
      </c>
      <c r="B29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19" s="3" t="str">
        <f>YEAR(KMART_DATA[[#This Row],[Date]])&amp;"-"&amp;TEXT(MONTH(KMART_DATA[[#This Row],[Date]]),"00")</f>
        <v>2025-04</v>
      </c>
      <c r="D2919" s="3" t="s">
        <v>28</v>
      </c>
      <c r="E2919" s="3" t="s">
        <v>217</v>
      </c>
      <c r="F2919" s="3" t="s">
        <v>10</v>
      </c>
      <c r="G29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19" s="3" t="s">
        <v>218</v>
      </c>
      <c r="I2919" s="3" t="s">
        <v>31</v>
      </c>
      <c r="J2919" s="3" t="s">
        <v>89</v>
      </c>
      <c r="K2919" s="3" t="s">
        <v>95</v>
      </c>
      <c r="L2919" s="3" t="s">
        <v>96</v>
      </c>
      <c r="M2919" s="4">
        <v>41.93</v>
      </c>
    </row>
    <row r="2920">
      <c r="A2920" s="2">
        <v>45768</v>
      </c>
      <c r="B29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0" s="3" t="str">
        <f>YEAR(KMART_DATA[[#This Row],[Date]])&amp;"-"&amp;TEXT(MONTH(KMART_DATA[[#This Row],[Date]]),"00")</f>
        <v>2025-04</v>
      </c>
      <c r="D2920" s="3" t="s">
        <v>45</v>
      </c>
      <c r="E2920" s="3" t="s">
        <v>51</v>
      </c>
      <c r="F2920" s="3" t="s">
        <v>15</v>
      </c>
      <c r="G29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2920" s="3" t="s">
        <v>52</v>
      </c>
      <c r="I2920" s="3" t="s">
        <v>31</v>
      </c>
      <c r="J2920" s="3" t="s">
        <v>53</v>
      </c>
      <c r="K2920" s="3" t="s">
        <v>71</v>
      </c>
      <c r="L2920" s="3" t="s">
        <v>72</v>
      </c>
      <c r="M2920" s="4">
        <v>83.95</v>
      </c>
    </row>
    <row r="2921">
      <c r="A2921" s="2">
        <v>45768</v>
      </c>
      <c r="B29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1" s="3" t="str">
        <f>YEAR(KMART_DATA[[#This Row],[Date]])&amp;"-"&amp;TEXT(MONTH(KMART_DATA[[#This Row],[Date]]),"00")</f>
        <v>2025-04</v>
      </c>
      <c r="D2921" s="3" t="s">
        <v>28</v>
      </c>
      <c r="E2921" s="3" t="s">
        <v>160</v>
      </c>
      <c r="F2921" s="3" t="s">
        <v>12</v>
      </c>
      <c r="G29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21" s="3" t="s">
        <v>161</v>
      </c>
      <c r="I2921" s="3" t="s">
        <v>31</v>
      </c>
      <c r="J2921" s="3" t="s">
        <v>162</v>
      </c>
      <c r="K2921" s="3" t="s">
        <v>71</v>
      </c>
      <c r="L2921" s="3" t="s">
        <v>72</v>
      </c>
      <c r="M2921" s="4">
        <v>136.85</v>
      </c>
    </row>
    <row r="2922">
      <c r="A2922" s="2">
        <v>45768</v>
      </c>
      <c r="B29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2" s="3" t="str">
        <f>YEAR(KMART_DATA[[#This Row],[Date]])&amp;"-"&amp;TEXT(MONTH(KMART_DATA[[#This Row],[Date]]),"00")</f>
        <v>2025-04</v>
      </c>
      <c r="D2922" s="3" t="s">
        <v>28</v>
      </c>
      <c r="E2922" s="3" t="s">
        <v>165</v>
      </c>
      <c r="F2922" s="3" t="s">
        <v>9</v>
      </c>
      <c r="G29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22" s="3" t="s">
        <v>166</v>
      </c>
      <c r="I2922" s="3" t="s">
        <v>31</v>
      </c>
      <c r="J2922" s="3" t="s">
        <v>99</v>
      </c>
      <c r="K2922" s="3" t="s">
        <v>57</v>
      </c>
      <c r="L2922" s="3" t="s">
        <v>58</v>
      </c>
      <c r="M2922" s="4">
        <v>654.53</v>
      </c>
    </row>
    <row r="2923">
      <c r="A2923" s="2">
        <v>45769</v>
      </c>
      <c r="B29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3" s="3" t="str">
        <f>YEAR(KMART_DATA[[#This Row],[Date]])&amp;"-"&amp;TEXT(MONTH(KMART_DATA[[#This Row],[Date]]),"00")</f>
        <v>2025-04</v>
      </c>
      <c r="D2923" s="3" t="s">
        <v>45</v>
      </c>
      <c r="E2923" s="3" t="s">
        <v>248</v>
      </c>
      <c r="F2923" s="3" t="s">
        <v>12</v>
      </c>
      <c r="G29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23" s="3" t="s">
        <v>249</v>
      </c>
      <c r="I2923" s="3" t="s">
        <v>31</v>
      </c>
      <c r="J2923" s="3" t="s">
        <v>162</v>
      </c>
      <c r="K2923" s="3" t="s">
        <v>71</v>
      </c>
      <c r="L2923" s="3" t="s">
        <v>72</v>
      </c>
      <c r="M2923" s="4">
        <v>75.89</v>
      </c>
    </row>
    <row r="2924">
      <c r="A2924" s="2">
        <v>45769</v>
      </c>
      <c r="B29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4" s="3" t="str">
        <f>YEAR(KMART_DATA[[#This Row],[Date]])&amp;"-"&amp;TEXT(MONTH(KMART_DATA[[#This Row],[Date]]),"00")</f>
        <v>2025-04</v>
      </c>
      <c r="D2924" s="3" t="s">
        <v>45</v>
      </c>
      <c r="E2924" s="3" t="s">
        <v>236</v>
      </c>
      <c r="F2924" s="3" t="s">
        <v>12</v>
      </c>
      <c r="G29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24" s="3" t="s">
        <v>237</v>
      </c>
      <c r="I2924" s="3" t="s">
        <v>31</v>
      </c>
      <c r="J2924" s="3" t="s">
        <v>102</v>
      </c>
      <c r="K2924" s="3" t="s">
        <v>123</v>
      </c>
      <c r="L2924" s="3" t="s">
        <v>124</v>
      </c>
      <c r="M2924" s="4">
        <v>88.95</v>
      </c>
    </row>
    <row r="2925">
      <c r="A2925" s="2">
        <v>45769</v>
      </c>
      <c r="B29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5" s="3" t="str">
        <f>YEAR(KMART_DATA[[#This Row],[Date]])&amp;"-"&amp;TEXT(MONTH(KMART_DATA[[#This Row],[Date]]),"00")</f>
        <v>2025-04</v>
      </c>
      <c r="D2925" s="3" t="s">
        <v>28</v>
      </c>
      <c r="E2925" s="3" t="s">
        <v>175</v>
      </c>
      <c r="F2925" s="3" t="s">
        <v>16</v>
      </c>
      <c r="G29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925" s="3" t="s">
        <v>176</v>
      </c>
      <c r="I2925" s="3" t="s">
        <v>31</v>
      </c>
      <c r="J2925" s="3" t="s">
        <v>107</v>
      </c>
      <c r="K2925" s="3" t="s">
        <v>46</v>
      </c>
      <c r="L2925" s="3" t="s">
        <v>47</v>
      </c>
      <c r="M2925" s="4">
        <v>93.0</v>
      </c>
    </row>
    <row r="2926">
      <c r="A2926" s="2">
        <v>45769</v>
      </c>
      <c r="B29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6" s="3" t="str">
        <f>YEAR(KMART_DATA[[#This Row],[Date]])&amp;"-"&amp;TEXT(MONTH(KMART_DATA[[#This Row],[Date]]),"00")</f>
        <v>2025-04</v>
      </c>
      <c r="D2926" s="3" t="s">
        <v>28</v>
      </c>
      <c r="E2926" s="3" t="s">
        <v>54</v>
      </c>
      <c r="F2926" s="3" t="s">
        <v>11</v>
      </c>
      <c r="G29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26" s="3" t="s">
        <v>55</v>
      </c>
      <c r="I2926" s="3" t="s">
        <v>31</v>
      </c>
      <c r="J2926" s="3" t="s">
        <v>56</v>
      </c>
      <c r="K2926" s="3" t="s">
        <v>71</v>
      </c>
      <c r="L2926" s="3" t="s">
        <v>72</v>
      </c>
      <c r="M2926" s="4">
        <v>111.83</v>
      </c>
    </row>
    <row r="2927">
      <c r="A2927" s="2">
        <v>45769</v>
      </c>
      <c r="B29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7" s="3" t="str">
        <f>YEAR(KMART_DATA[[#This Row],[Date]])&amp;"-"&amp;TEXT(MONTH(KMART_DATA[[#This Row],[Date]]),"00")</f>
        <v>2025-04</v>
      </c>
      <c r="D2927" s="3" t="s">
        <v>45</v>
      </c>
      <c r="E2927" s="3" t="s">
        <v>103</v>
      </c>
      <c r="F2927" s="3" t="s">
        <v>12</v>
      </c>
      <c r="G29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27" s="3" t="s">
        <v>104</v>
      </c>
      <c r="I2927" s="3" t="s">
        <v>31</v>
      </c>
      <c r="J2927" s="3" t="s">
        <v>102</v>
      </c>
      <c r="K2927" s="3" t="s">
        <v>71</v>
      </c>
      <c r="L2927" s="3" t="s">
        <v>72</v>
      </c>
      <c r="M2927" s="4">
        <v>176.81</v>
      </c>
    </row>
    <row r="2928">
      <c r="A2928" s="2">
        <v>45769</v>
      </c>
      <c r="B29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8" s="3" t="str">
        <f>YEAR(KMART_DATA[[#This Row],[Date]])&amp;"-"&amp;TEXT(MONTH(KMART_DATA[[#This Row],[Date]]),"00")</f>
        <v>2025-04</v>
      </c>
      <c r="D2928" s="3" t="s">
        <v>28</v>
      </c>
      <c r="E2928" s="3" t="s">
        <v>185</v>
      </c>
      <c r="F2928" s="3" t="s">
        <v>12</v>
      </c>
      <c r="G29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28" s="3" t="s">
        <v>186</v>
      </c>
      <c r="I2928" s="3" t="s">
        <v>31</v>
      </c>
      <c r="J2928" s="3" t="s">
        <v>162</v>
      </c>
      <c r="K2928" s="3" t="s">
        <v>46</v>
      </c>
      <c r="L2928" s="3" t="s">
        <v>47</v>
      </c>
      <c r="M2928" s="4">
        <v>570.95</v>
      </c>
    </row>
    <row r="2929">
      <c r="A2929" s="2">
        <v>45769</v>
      </c>
      <c r="B29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29" s="3" t="str">
        <f>YEAR(KMART_DATA[[#This Row],[Date]])&amp;"-"&amp;TEXT(MONTH(KMART_DATA[[#This Row],[Date]]),"00")</f>
        <v>2025-04</v>
      </c>
      <c r="D2929" s="3" t="s">
        <v>28</v>
      </c>
      <c r="E2929" s="3" t="s">
        <v>181</v>
      </c>
      <c r="F2929" s="3" t="s">
        <v>11</v>
      </c>
      <c r="G29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29" s="3" t="s">
        <v>182</v>
      </c>
      <c r="I2929" s="3" t="s">
        <v>31</v>
      </c>
      <c r="J2929" s="3" t="s">
        <v>56</v>
      </c>
      <c r="K2929" s="3" t="s">
        <v>46</v>
      </c>
      <c r="L2929" s="3" t="s">
        <v>47</v>
      </c>
      <c r="M2929" s="4">
        <v>3138.94</v>
      </c>
    </row>
    <row r="2930">
      <c r="A2930" s="2">
        <v>45770</v>
      </c>
      <c r="B29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0" s="3" t="str">
        <f>YEAR(KMART_DATA[[#This Row],[Date]])&amp;"-"&amp;TEXT(MONTH(KMART_DATA[[#This Row],[Date]]),"00")</f>
        <v>2025-04</v>
      </c>
      <c r="D2930" s="3" t="s">
        <v>45</v>
      </c>
      <c r="E2930" s="3" t="s">
        <v>225</v>
      </c>
      <c r="F2930" s="3" t="s">
        <v>13</v>
      </c>
      <c r="G29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2930" s="3" t="s">
        <v>226</v>
      </c>
      <c r="I2930" s="3" t="s">
        <v>31</v>
      </c>
      <c r="J2930" s="3" t="s">
        <v>227</v>
      </c>
      <c r="K2930" s="3" t="s">
        <v>33</v>
      </c>
      <c r="L2930" s="3" t="s">
        <v>34</v>
      </c>
      <c r="M2930" s="4">
        <v>10.98</v>
      </c>
    </row>
    <row r="2931">
      <c r="A2931" s="2">
        <v>45770</v>
      </c>
      <c r="B29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1" s="3" t="str">
        <f>YEAR(KMART_DATA[[#This Row],[Date]])&amp;"-"&amp;TEXT(MONTH(KMART_DATA[[#This Row],[Date]]),"00")</f>
        <v>2025-04</v>
      </c>
      <c r="D2931" s="3" t="s">
        <v>28</v>
      </c>
      <c r="E2931" s="3" t="s">
        <v>258</v>
      </c>
      <c r="F2931" s="3" t="s">
        <v>14</v>
      </c>
      <c r="G29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931" s="3" t="s">
        <v>259</v>
      </c>
      <c r="I2931" s="3" t="s">
        <v>31</v>
      </c>
      <c r="J2931" s="3" t="s">
        <v>145</v>
      </c>
      <c r="K2931" s="3" t="s">
        <v>43</v>
      </c>
      <c r="L2931" s="3" t="s">
        <v>44</v>
      </c>
      <c r="M2931" s="4">
        <v>11.99</v>
      </c>
    </row>
    <row r="2932">
      <c r="A2932" s="2">
        <v>45770</v>
      </c>
      <c r="B29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2" s="3" t="str">
        <f>YEAR(KMART_DATA[[#This Row],[Date]])&amp;"-"&amp;TEXT(MONTH(KMART_DATA[[#This Row],[Date]]),"00")</f>
        <v>2025-04</v>
      </c>
      <c r="D2932" s="3" t="s">
        <v>45</v>
      </c>
      <c r="E2932" s="3" t="s">
        <v>79</v>
      </c>
      <c r="F2932" s="3" t="s">
        <v>9</v>
      </c>
      <c r="G29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32" s="3" t="s">
        <v>80</v>
      </c>
      <c r="I2932" s="3" t="s">
        <v>31</v>
      </c>
      <c r="J2932" s="3" t="s">
        <v>81</v>
      </c>
      <c r="K2932" s="3" t="s">
        <v>112</v>
      </c>
      <c r="L2932" s="3" t="s">
        <v>113</v>
      </c>
      <c r="M2932" s="4">
        <v>73.83</v>
      </c>
    </row>
    <row r="2933">
      <c r="A2933" s="2">
        <v>45770</v>
      </c>
      <c r="B29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3" s="3" t="str">
        <f>YEAR(KMART_DATA[[#This Row],[Date]])&amp;"-"&amp;TEXT(MONTH(KMART_DATA[[#This Row],[Date]]),"00")</f>
        <v>2025-04</v>
      </c>
      <c r="D2933" s="3" t="s">
        <v>28</v>
      </c>
      <c r="E2933" s="3" t="s">
        <v>177</v>
      </c>
      <c r="F2933" s="3" t="s">
        <v>12</v>
      </c>
      <c r="G29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33" s="3" t="s">
        <v>178</v>
      </c>
      <c r="I2933" s="3" t="s">
        <v>31</v>
      </c>
      <c r="J2933" s="3" t="s">
        <v>162</v>
      </c>
      <c r="K2933" s="3" t="s">
        <v>112</v>
      </c>
      <c r="L2933" s="3" t="s">
        <v>113</v>
      </c>
      <c r="M2933" s="4">
        <v>731.02</v>
      </c>
    </row>
    <row r="2934">
      <c r="A2934" s="2">
        <v>45770</v>
      </c>
      <c r="B29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4" s="3" t="str">
        <f>YEAR(KMART_DATA[[#This Row],[Date]])&amp;"-"&amp;TEXT(MONTH(KMART_DATA[[#This Row],[Date]]),"00")</f>
        <v>2025-04</v>
      </c>
      <c r="D2934" s="3" t="s">
        <v>28</v>
      </c>
      <c r="E2934" s="3" t="s">
        <v>203</v>
      </c>
      <c r="F2934" s="3" t="s">
        <v>10</v>
      </c>
      <c r="G29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34" s="3" t="s">
        <v>204</v>
      </c>
      <c r="I2934" s="3" t="s">
        <v>31</v>
      </c>
      <c r="J2934" s="3" t="s">
        <v>89</v>
      </c>
      <c r="K2934" s="3" t="s">
        <v>57</v>
      </c>
      <c r="L2934" s="3" t="s">
        <v>58</v>
      </c>
      <c r="M2934" s="4">
        <v>903.78</v>
      </c>
    </row>
    <row r="2935">
      <c r="A2935" s="2">
        <v>45770</v>
      </c>
      <c r="B29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5" s="3" t="str">
        <f>YEAR(KMART_DATA[[#This Row],[Date]])&amp;"-"&amp;TEXT(MONTH(KMART_DATA[[#This Row],[Date]]),"00")</f>
        <v>2025-04</v>
      </c>
      <c r="D2935" s="3" t="s">
        <v>45</v>
      </c>
      <c r="E2935" s="3" t="s">
        <v>85</v>
      </c>
      <c r="F2935" s="3" t="s">
        <v>9</v>
      </c>
      <c r="G29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35" s="3" t="s">
        <v>86</v>
      </c>
      <c r="I2935" s="3" t="s">
        <v>31</v>
      </c>
      <c r="J2935" s="3" t="s">
        <v>81</v>
      </c>
      <c r="K2935" s="3" t="s">
        <v>95</v>
      </c>
      <c r="L2935" s="3" t="s">
        <v>96</v>
      </c>
      <c r="M2935" s="4">
        <v>943.72</v>
      </c>
    </row>
    <row r="2936">
      <c r="A2936" s="2">
        <v>45770</v>
      </c>
      <c r="B29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6" s="3" t="str">
        <f>YEAR(KMART_DATA[[#This Row],[Date]])&amp;"-"&amp;TEXT(MONTH(KMART_DATA[[#This Row],[Date]]),"00")</f>
        <v>2025-04</v>
      </c>
      <c r="D2936" s="3" t="s">
        <v>28</v>
      </c>
      <c r="E2936" s="3" t="s">
        <v>79</v>
      </c>
      <c r="F2936" s="3" t="s">
        <v>9</v>
      </c>
      <c r="G29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36" s="3" t="s">
        <v>80</v>
      </c>
      <c r="I2936" s="3" t="s">
        <v>31</v>
      </c>
      <c r="J2936" s="3" t="s">
        <v>81</v>
      </c>
      <c r="K2936" s="3" t="s">
        <v>57</v>
      </c>
      <c r="L2936" s="3" t="s">
        <v>58</v>
      </c>
      <c r="M2936" s="4">
        <v>1884.95</v>
      </c>
    </row>
    <row r="2937">
      <c r="A2937" s="2">
        <v>45771</v>
      </c>
      <c r="B29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7" s="3" t="str">
        <f>YEAR(KMART_DATA[[#This Row],[Date]])&amp;"-"&amp;TEXT(MONTH(KMART_DATA[[#This Row],[Date]]),"00")</f>
        <v>2025-04</v>
      </c>
      <c r="D2937" s="3" t="s">
        <v>28</v>
      </c>
      <c r="E2937" s="3" t="s">
        <v>110</v>
      </c>
      <c r="F2937" s="3" t="s">
        <v>9</v>
      </c>
      <c r="G29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37" s="3" t="s">
        <v>111</v>
      </c>
      <c r="I2937" s="3" t="s">
        <v>31</v>
      </c>
      <c r="J2937" s="3" t="s">
        <v>81</v>
      </c>
      <c r="K2937" s="3" t="s">
        <v>46</v>
      </c>
      <c r="L2937" s="3" t="s">
        <v>47</v>
      </c>
      <c r="M2937" s="4">
        <v>4.0</v>
      </c>
    </row>
    <row r="2938">
      <c r="A2938" s="2">
        <v>45771</v>
      </c>
      <c r="B29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8" s="3" t="str">
        <f>YEAR(KMART_DATA[[#This Row],[Date]])&amp;"-"&amp;TEXT(MONTH(KMART_DATA[[#This Row],[Date]]),"00")</f>
        <v>2025-04</v>
      </c>
      <c r="D2938" s="3" t="s">
        <v>28</v>
      </c>
      <c r="E2938" s="3" t="s">
        <v>171</v>
      </c>
      <c r="F2938" s="3" t="s">
        <v>10</v>
      </c>
      <c r="G29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38" s="3" t="s">
        <v>172</v>
      </c>
      <c r="I2938" s="3" t="s">
        <v>31</v>
      </c>
      <c r="J2938" s="3" t="s">
        <v>37</v>
      </c>
      <c r="K2938" s="3" t="s">
        <v>43</v>
      </c>
      <c r="L2938" s="3" t="s">
        <v>44</v>
      </c>
      <c r="M2938" s="4">
        <v>10.0</v>
      </c>
    </row>
    <row r="2939">
      <c r="A2939" s="2">
        <v>45771</v>
      </c>
      <c r="B29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39" s="3" t="str">
        <f>YEAR(KMART_DATA[[#This Row],[Date]])&amp;"-"&amp;TEXT(MONTH(KMART_DATA[[#This Row],[Date]]),"00")</f>
        <v>2025-04</v>
      </c>
      <c r="D2939" s="3" t="s">
        <v>28</v>
      </c>
      <c r="E2939" s="3" t="s">
        <v>97</v>
      </c>
      <c r="F2939" s="3" t="s">
        <v>9</v>
      </c>
      <c r="G29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39" s="3" t="s">
        <v>98</v>
      </c>
      <c r="I2939" s="3" t="s">
        <v>31</v>
      </c>
      <c r="J2939" s="3" t="s">
        <v>99</v>
      </c>
      <c r="K2939" s="3" t="s">
        <v>43</v>
      </c>
      <c r="L2939" s="3" t="s">
        <v>44</v>
      </c>
      <c r="M2939" s="4">
        <v>23.96</v>
      </c>
    </row>
    <row r="2940">
      <c r="A2940" s="2">
        <v>45771</v>
      </c>
      <c r="B29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0" s="3" t="str">
        <f>YEAR(KMART_DATA[[#This Row],[Date]])&amp;"-"&amp;TEXT(MONTH(KMART_DATA[[#This Row],[Date]]),"00")</f>
        <v>2025-04</v>
      </c>
      <c r="D2940" s="3" t="s">
        <v>28</v>
      </c>
      <c r="E2940" s="3" t="s">
        <v>258</v>
      </c>
      <c r="F2940" s="3" t="s">
        <v>14</v>
      </c>
      <c r="G29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940" s="3" t="s">
        <v>259</v>
      </c>
      <c r="I2940" s="3" t="s">
        <v>31</v>
      </c>
      <c r="J2940" s="3" t="s">
        <v>145</v>
      </c>
      <c r="K2940" s="3" t="s">
        <v>46</v>
      </c>
      <c r="L2940" s="3" t="s">
        <v>47</v>
      </c>
      <c r="M2940" s="4">
        <v>38.97</v>
      </c>
    </row>
    <row r="2941">
      <c r="A2941" s="2">
        <v>45771</v>
      </c>
      <c r="B29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1" s="3" t="str">
        <f>YEAR(KMART_DATA[[#This Row],[Date]])&amp;"-"&amp;TEXT(MONTH(KMART_DATA[[#This Row],[Date]]),"00")</f>
        <v>2025-04</v>
      </c>
      <c r="D2941" s="3" t="s">
        <v>28</v>
      </c>
      <c r="E2941" s="3" t="s">
        <v>262</v>
      </c>
      <c r="F2941" s="3" t="s">
        <v>10</v>
      </c>
      <c r="G29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41" s="3" t="s">
        <v>263</v>
      </c>
      <c r="I2941" s="3" t="s">
        <v>31</v>
      </c>
      <c r="J2941" s="3" t="s">
        <v>120</v>
      </c>
      <c r="K2941" s="3" t="s">
        <v>95</v>
      </c>
      <c r="L2941" s="3" t="s">
        <v>96</v>
      </c>
      <c r="M2941" s="4">
        <v>47.94</v>
      </c>
    </row>
    <row r="2942">
      <c r="A2942" s="2">
        <v>45771</v>
      </c>
      <c r="B29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2" s="3" t="str">
        <f>YEAR(KMART_DATA[[#This Row],[Date]])&amp;"-"&amp;TEXT(MONTH(KMART_DATA[[#This Row],[Date]]),"00")</f>
        <v>2025-04</v>
      </c>
      <c r="D2942" s="3" t="s">
        <v>28</v>
      </c>
      <c r="E2942" s="3" t="s">
        <v>171</v>
      </c>
      <c r="F2942" s="3" t="s">
        <v>10</v>
      </c>
      <c r="G29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42" s="3" t="s">
        <v>172</v>
      </c>
      <c r="I2942" s="3" t="s">
        <v>31</v>
      </c>
      <c r="J2942" s="3" t="s">
        <v>37</v>
      </c>
      <c r="K2942" s="3" t="s">
        <v>43</v>
      </c>
      <c r="L2942" s="3" t="s">
        <v>44</v>
      </c>
      <c r="M2942" s="4">
        <v>62.46</v>
      </c>
    </row>
    <row r="2943">
      <c r="A2943" s="2">
        <v>45771</v>
      </c>
      <c r="B29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3" s="3" t="str">
        <f>YEAR(KMART_DATA[[#This Row],[Date]])&amp;"-"&amp;TEXT(MONTH(KMART_DATA[[#This Row],[Date]]),"00")</f>
        <v>2025-04</v>
      </c>
      <c r="D2943" s="3" t="s">
        <v>45</v>
      </c>
      <c r="E2943" s="3" t="s">
        <v>85</v>
      </c>
      <c r="F2943" s="3" t="s">
        <v>9</v>
      </c>
      <c r="G29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43" s="3" t="s">
        <v>86</v>
      </c>
      <c r="I2943" s="3" t="s">
        <v>31</v>
      </c>
      <c r="J2943" s="3" t="s">
        <v>81</v>
      </c>
      <c r="K2943" s="3" t="s">
        <v>43</v>
      </c>
      <c r="L2943" s="3" t="s">
        <v>44</v>
      </c>
      <c r="M2943" s="4">
        <v>157.83</v>
      </c>
    </row>
    <row r="2944">
      <c r="A2944" s="2">
        <v>45771</v>
      </c>
      <c r="B29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4" s="3" t="str">
        <f>YEAR(KMART_DATA[[#This Row],[Date]])&amp;"-"&amp;TEXT(MONTH(KMART_DATA[[#This Row],[Date]]),"00")</f>
        <v>2025-04</v>
      </c>
      <c r="D2944" s="3" t="s">
        <v>28</v>
      </c>
      <c r="E2944" s="3" t="s">
        <v>203</v>
      </c>
      <c r="F2944" s="3" t="s">
        <v>10</v>
      </c>
      <c r="G29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44" s="3" t="s">
        <v>204</v>
      </c>
      <c r="I2944" s="3" t="s">
        <v>31</v>
      </c>
      <c r="J2944" s="3" t="s">
        <v>89</v>
      </c>
      <c r="K2944" s="3" t="s">
        <v>57</v>
      </c>
      <c r="L2944" s="3" t="s">
        <v>58</v>
      </c>
      <c r="M2944" s="4">
        <v>594.39</v>
      </c>
    </row>
    <row r="2945">
      <c r="A2945" s="2">
        <v>45771</v>
      </c>
      <c r="B29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5" s="3" t="str">
        <f>YEAR(KMART_DATA[[#This Row],[Date]])&amp;"-"&amp;TEXT(MONTH(KMART_DATA[[#This Row],[Date]]),"00")</f>
        <v>2025-04</v>
      </c>
      <c r="D2945" s="3" t="s">
        <v>28</v>
      </c>
      <c r="E2945" s="3" t="s">
        <v>135</v>
      </c>
      <c r="F2945" s="3" t="s">
        <v>16</v>
      </c>
      <c r="G29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945" s="3" t="s">
        <v>136</v>
      </c>
      <c r="I2945" s="3" t="s">
        <v>31</v>
      </c>
      <c r="J2945" s="3" t="s">
        <v>107</v>
      </c>
      <c r="K2945" s="3" t="s">
        <v>71</v>
      </c>
      <c r="L2945" s="3" t="s">
        <v>72</v>
      </c>
      <c r="M2945" s="4">
        <v>802.67</v>
      </c>
    </row>
    <row r="2946">
      <c r="A2946" s="2">
        <v>45771</v>
      </c>
      <c r="B29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6" s="3" t="str">
        <f>YEAR(KMART_DATA[[#This Row],[Date]])&amp;"-"&amp;TEXT(MONTH(KMART_DATA[[#This Row],[Date]]),"00")</f>
        <v>2025-04</v>
      </c>
      <c r="D2946" s="3" t="s">
        <v>28</v>
      </c>
      <c r="E2946" s="3" t="s">
        <v>173</v>
      </c>
      <c r="F2946" s="3" t="s">
        <v>11</v>
      </c>
      <c r="G29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46" s="3" t="s">
        <v>174</v>
      </c>
      <c r="I2946" s="3" t="s">
        <v>31</v>
      </c>
      <c r="J2946" s="3" t="s">
        <v>61</v>
      </c>
      <c r="K2946" s="3" t="s">
        <v>57</v>
      </c>
      <c r="L2946" s="3" t="s">
        <v>58</v>
      </c>
      <c r="M2946" s="4">
        <v>1215.47</v>
      </c>
    </row>
    <row r="2947">
      <c r="A2947" s="2">
        <v>45772</v>
      </c>
      <c r="B29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7" s="3" t="str">
        <f>YEAR(KMART_DATA[[#This Row],[Date]])&amp;"-"&amp;TEXT(MONTH(KMART_DATA[[#This Row],[Date]]),"00")</f>
        <v>2025-04</v>
      </c>
      <c r="D2947" s="3" t="s">
        <v>28</v>
      </c>
      <c r="E2947" s="3" t="s">
        <v>141</v>
      </c>
      <c r="F2947" s="3" t="s">
        <v>9</v>
      </c>
      <c r="G29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47" s="3" t="s">
        <v>142</v>
      </c>
      <c r="I2947" s="3" t="s">
        <v>31</v>
      </c>
      <c r="J2947" s="3" t="s">
        <v>107</v>
      </c>
      <c r="K2947" s="3" t="s">
        <v>95</v>
      </c>
      <c r="L2947" s="3" t="s">
        <v>96</v>
      </c>
      <c r="M2947" s="4">
        <v>11.98</v>
      </c>
    </row>
    <row r="2948">
      <c r="A2948" s="2">
        <v>45772</v>
      </c>
      <c r="B29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8" s="3" t="str">
        <f>YEAR(KMART_DATA[[#This Row],[Date]])&amp;"-"&amp;TEXT(MONTH(KMART_DATA[[#This Row],[Date]]),"00")</f>
        <v>2025-04</v>
      </c>
      <c r="D2948" s="3" t="s">
        <v>28</v>
      </c>
      <c r="E2948" s="3" t="s">
        <v>242</v>
      </c>
      <c r="F2948" s="3" t="s">
        <v>10</v>
      </c>
      <c r="G29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48" s="3" t="s">
        <v>243</v>
      </c>
      <c r="I2948" s="3" t="s">
        <v>31</v>
      </c>
      <c r="J2948" s="3" t="s">
        <v>94</v>
      </c>
      <c r="K2948" s="3" t="s">
        <v>112</v>
      </c>
      <c r="L2948" s="3" t="s">
        <v>113</v>
      </c>
      <c r="M2948" s="4">
        <v>15.96</v>
      </c>
    </row>
    <row r="2949">
      <c r="A2949" s="2">
        <v>45773</v>
      </c>
      <c r="B29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49" s="3" t="str">
        <f>YEAR(KMART_DATA[[#This Row],[Date]])&amp;"-"&amp;TEXT(MONTH(KMART_DATA[[#This Row],[Date]]),"00")</f>
        <v>2025-04</v>
      </c>
      <c r="D2949" s="3" t="s">
        <v>28</v>
      </c>
      <c r="E2949" s="3" t="s">
        <v>189</v>
      </c>
      <c r="F2949" s="3" t="s">
        <v>9</v>
      </c>
      <c r="G29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49" s="3" t="s">
        <v>190</v>
      </c>
      <c r="I2949" s="3" t="s">
        <v>31</v>
      </c>
      <c r="J2949" s="3" t="s">
        <v>81</v>
      </c>
      <c r="K2949" s="3" t="s">
        <v>71</v>
      </c>
      <c r="L2949" s="3" t="s">
        <v>72</v>
      </c>
      <c r="M2949" s="4">
        <v>20.99</v>
      </c>
    </row>
    <row r="2950">
      <c r="A2950" s="2">
        <v>45773</v>
      </c>
      <c r="B29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0" s="3" t="str">
        <f>YEAR(KMART_DATA[[#This Row],[Date]])&amp;"-"&amp;TEXT(MONTH(KMART_DATA[[#This Row],[Date]]),"00")</f>
        <v>2025-04</v>
      </c>
      <c r="D2950" s="3" t="s">
        <v>28</v>
      </c>
      <c r="E2950" s="3" t="s">
        <v>242</v>
      </c>
      <c r="F2950" s="3" t="s">
        <v>10</v>
      </c>
      <c r="G29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50" s="3" t="s">
        <v>243</v>
      </c>
      <c r="I2950" s="3" t="s">
        <v>31</v>
      </c>
      <c r="J2950" s="3" t="s">
        <v>94</v>
      </c>
      <c r="K2950" s="3" t="s">
        <v>71</v>
      </c>
      <c r="L2950" s="3" t="s">
        <v>72</v>
      </c>
      <c r="M2950" s="4">
        <v>75.96</v>
      </c>
    </row>
    <row r="2951">
      <c r="A2951" s="2">
        <v>45773</v>
      </c>
      <c r="B29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1" s="3" t="str">
        <f>YEAR(KMART_DATA[[#This Row],[Date]])&amp;"-"&amp;TEXT(MONTH(KMART_DATA[[#This Row],[Date]]),"00")</f>
        <v>2025-04</v>
      </c>
      <c r="D2951" s="3" t="s">
        <v>28</v>
      </c>
      <c r="E2951" s="3" t="s">
        <v>158</v>
      </c>
      <c r="F2951" s="3" t="s">
        <v>11</v>
      </c>
      <c r="G29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51" s="3" t="s">
        <v>159</v>
      </c>
      <c r="I2951" s="3" t="s">
        <v>31</v>
      </c>
      <c r="J2951" s="3" t="s">
        <v>84</v>
      </c>
      <c r="K2951" s="3" t="s">
        <v>123</v>
      </c>
      <c r="L2951" s="3" t="s">
        <v>124</v>
      </c>
      <c r="M2951" s="4">
        <v>158.43</v>
      </c>
    </row>
    <row r="2952">
      <c r="A2952" s="2">
        <v>45773</v>
      </c>
      <c r="B29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2" s="3" t="str">
        <f>YEAR(KMART_DATA[[#This Row],[Date]])&amp;"-"&amp;TEXT(MONTH(KMART_DATA[[#This Row],[Date]]),"00")</f>
        <v>2025-04</v>
      </c>
      <c r="D2952" s="3" t="s">
        <v>28</v>
      </c>
      <c r="E2952" s="3" t="s">
        <v>262</v>
      </c>
      <c r="F2952" s="3" t="s">
        <v>10</v>
      </c>
      <c r="G29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52" s="3" t="s">
        <v>263</v>
      </c>
      <c r="I2952" s="3" t="s">
        <v>31</v>
      </c>
      <c r="J2952" s="3" t="s">
        <v>120</v>
      </c>
      <c r="K2952" s="3" t="s">
        <v>38</v>
      </c>
      <c r="L2952" s="3" t="s">
        <v>39</v>
      </c>
      <c r="M2952" s="4">
        <v>517.26</v>
      </c>
    </row>
    <row r="2953">
      <c r="A2953" s="2">
        <v>45773</v>
      </c>
      <c r="B29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3" s="3" t="str">
        <f>YEAR(KMART_DATA[[#This Row],[Date]])&amp;"-"&amp;TEXT(MONTH(KMART_DATA[[#This Row],[Date]]),"00")</f>
        <v>2025-04</v>
      </c>
      <c r="D2953" s="3" t="s">
        <v>28</v>
      </c>
      <c r="E2953" s="3" t="s">
        <v>197</v>
      </c>
      <c r="F2953" s="3" t="s">
        <v>9</v>
      </c>
      <c r="G29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53" s="3" t="s">
        <v>198</v>
      </c>
      <c r="I2953" s="3" t="s">
        <v>31</v>
      </c>
      <c r="J2953" s="3" t="s">
        <v>107</v>
      </c>
      <c r="K2953" s="3" t="s">
        <v>46</v>
      </c>
      <c r="L2953" s="3" t="s">
        <v>47</v>
      </c>
      <c r="M2953" s="4">
        <v>986.02</v>
      </c>
    </row>
    <row r="2954">
      <c r="A2954" s="2">
        <v>45773</v>
      </c>
      <c r="B29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4" s="3" t="str">
        <f>YEAR(KMART_DATA[[#This Row],[Date]])&amp;"-"&amp;TEXT(MONTH(KMART_DATA[[#This Row],[Date]]),"00")</f>
        <v>2025-04</v>
      </c>
      <c r="D2954" s="3" t="s">
        <v>45</v>
      </c>
      <c r="E2954" s="3" t="s">
        <v>262</v>
      </c>
      <c r="F2954" s="3" t="s">
        <v>10</v>
      </c>
      <c r="G29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54" s="3" t="s">
        <v>263</v>
      </c>
      <c r="I2954" s="3" t="s">
        <v>31</v>
      </c>
      <c r="J2954" s="3" t="s">
        <v>120</v>
      </c>
      <c r="K2954" s="3" t="s">
        <v>123</v>
      </c>
      <c r="L2954" s="3" t="s">
        <v>124</v>
      </c>
      <c r="M2954" s="4">
        <v>3058.64</v>
      </c>
    </row>
    <row r="2955">
      <c r="A2955" s="2">
        <v>45774</v>
      </c>
      <c r="B29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5" s="3" t="str">
        <f>YEAR(KMART_DATA[[#This Row],[Date]])&amp;"-"&amp;TEXT(MONTH(KMART_DATA[[#This Row],[Date]]),"00")</f>
        <v>2025-04</v>
      </c>
      <c r="D2955" s="3" t="s">
        <v>28</v>
      </c>
      <c r="E2955" s="3" t="s">
        <v>156</v>
      </c>
      <c r="F2955" s="3" t="s">
        <v>9</v>
      </c>
      <c r="G29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55" s="3" t="s">
        <v>157</v>
      </c>
      <c r="I2955" s="3" t="s">
        <v>31</v>
      </c>
      <c r="J2955" s="3" t="s">
        <v>75</v>
      </c>
      <c r="K2955" s="3" t="s">
        <v>38</v>
      </c>
      <c r="L2955" s="3" t="s">
        <v>39</v>
      </c>
      <c r="M2955" s="4">
        <v>6.99</v>
      </c>
    </row>
    <row r="2956">
      <c r="A2956" s="2">
        <v>45774</v>
      </c>
      <c r="B29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6" s="3" t="str">
        <f>YEAR(KMART_DATA[[#This Row],[Date]])&amp;"-"&amp;TEXT(MONTH(KMART_DATA[[#This Row],[Date]]),"00")</f>
        <v>2025-04</v>
      </c>
      <c r="D2956" s="3" t="s">
        <v>45</v>
      </c>
      <c r="E2956" s="3" t="s">
        <v>191</v>
      </c>
      <c r="F2956" s="3" t="s">
        <v>10</v>
      </c>
      <c r="G29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56" s="3" t="s">
        <v>192</v>
      </c>
      <c r="I2956" s="3" t="s">
        <v>31</v>
      </c>
      <c r="J2956" s="3" t="s">
        <v>120</v>
      </c>
      <c r="K2956" s="3" t="s">
        <v>71</v>
      </c>
      <c r="L2956" s="3" t="s">
        <v>72</v>
      </c>
      <c r="M2956" s="4">
        <v>95.85</v>
      </c>
    </row>
    <row r="2957">
      <c r="A2957" s="2">
        <v>45774</v>
      </c>
      <c r="B29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7" s="3" t="str">
        <f>YEAR(KMART_DATA[[#This Row],[Date]])&amp;"-"&amp;TEXT(MONTH(KMART_DATA[[#This Row],[Date]]),"00")</f>
        <v>2025-04</v>
      </c>
      <c r="D2957" s="3" t="s">
        <v>28</v>
      </c>
      <c r="E2957" s="3" t="s">
        <v>152</v>
      </c>
      <c r="F2957" s="3" t="s">
        <v>11</v>
      </c>
      <c r="G29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57" s="3" t="s">
        <v>153</v>
      </c>
      <c r="I2957" s="3" t="s">
        <v>31</v>
      </c>
      <c r="J2957" s="3" t="s">
        <v>61</v>
      </c>
      <c r="K2957" s="3" t="s">
        <v>71</v>
      </c>
      <c r="L2957" s="3" t="s">
        <v>72</v>
      </c>
      <c r="M2957" s="4">
        <v>273.69</v>
      </c>
    </row>
    <row r="2958">
      <c r="A2958" s="2">
        <v>45774</v>
      </c>
      <c r="B29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8" s="3" t="str">
        <f>YEAR(KMART_DATA[[#This Row],[Date]])&amp;"-"&amp;TEXT(MONTH(KMART_DATA[[#This Row],[Date]]),"00")</f>
        <v>2025-04</v>
      </c>
      <c r="D2958" s="3" t="s">
        <v>45</v>
      </c>
      <c r="E2958" s="3" t="s">
        <v>90</v>
      </c>
      <c r="F2958" s="3" t="s">
        <v>10</v>
      </c>
      <c r="G29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58" s="3" t="s">
        <v>91</v>
      </c>
      <c r="I2958" s="3" t="s">
        <v>31</v>
      </c>
      <c r="J2958" s="3" t="s">
        <v>37</v>
      </c>
      <c r="K2958" s="3" t="s">
        <v>38</v>
      </c>
      <c r="L2958" s="3" t="s">
        <v>39</v>
      </c>
      <c r="M2958" s="4">
        <v>756.94</v>
      </c>
    </row>
    <row r="2959">
      <c r="A2959" s="2">
        <v>45774</v>
      </c>
      <c r="B29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59" s="3" t="str">
        <f>YEAR(KMART_DATA[[#This Row],[Date]])&amp;"-"&amp;TEXT(MONTH(KMART_DATA[[#This Row],[Date]]),"00")</f>
        <v>2025-04</v>
      </c>
      <c r="D2959" s="3" t="s">
        <v>28</v>
      </c>
      <c r="E2959" s="3" t="s">
        <v>160</v>
      </c>
      <c r="F2959" s="3" t="s">
        <v>12</v>
      </c>
      <c r="G29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59" s="3" t="s">
        <v>161</v>
      </c>
      <c r="I2959" s="3" t="s">
        <v>31</v>
      </c>
      <c r="J2959" s="3" t="s">
        <v>162</v>
      </c>
      <c r="K2959" s="3" t="s">
        <v>112</v>
      </c>
      <c r="L2959" s="3" t="s">
        <v>113</v>
      </c>
      <c r="M2959" s="4">
        <v>801.48</v>
      </c>
    </row>
    <row r="2960">
      <c r="A2960" s="2">
        <v>45776</v>
      </c>
      <c r="B29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0" s="3" t="str">
        <f>YEAR(KMART_DATA[[#This Row],[Date]])&amp;"-"&amp;TEXT(MONTH(KMART_DATA[[#This Row],[Date]]),"00")</f>
        <v>2025-04</v>
      </c>
      <c r="D2960" s="3" t="s">
        <v>28</v>
      </c>
      <c r="E2960" s="3" t="s">
        <v>152</v>
      </c>
      <c r="F2960" s="3" t="s">
        <v>11</v>
      </c>
      <c r="G29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60" s="3" t="s">
        <v>153</v>
      </c>
      <c r="I2960" s="3" t="s">
        <v>31</v>
      </c>
      <c r="J2960" s="3" t="s">
        <v>61</v>
      </c>
      <c r="K2960" s="3" t="s">
        <v>33</v>
      </c>
      <c r="L2960" s="3" t="s">
        <v>34</v>
      </c>
      <c r="M2960" s="4">
        <v>55.14</v>
      </c>
    </row>
    <row r="2961">
      <c r="A2961" s="2">
        <v>45776</v>
      </c>
      <c r="B29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1" s="3" t="str">
        <f>YEAR(KMART_DATA[[#This Row],[Date]])&amp;"-"&amp;TEXT(MONTH(KMART_DATA[[#This Row],[Date]]),"00")</f>
        <v>2025-04</v>
      </c>
      <c r="D2961" s="3" t="s">
        <v>28</v>
      </c>
      <c r="E2961" s="3" t="s">
        <v>177</v>
      </c>
      <c r="F2961" s="3" t="s">
        <v>12</v>
      </c>
      <c r="G29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61" s="3" t="s">
        <v>178</v>
      </c>
      <c r="I2961" s="3" t="s">
        <v>31</v>
      </c>
      <c r="J2961" s="3" t="s">
        <v>162</v>
      </c>
      <c r="K2961" s="3" t="s">
        <v>66</v>
      </c>
      <c r="L2961" s="3" t="s">
        <v>67</v>
      </c>
      <c r="M2961" s="4">
        <v>66.87</v>
      </c>
    </row>
    <row r="2962">
      <c r="A2962" s="2">
        <v>45776</v>
      </c>
      <c r="B29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2" s="3" t="str">
        <f>YEAR(KMART_DATA[[#This Row],[Date]])&amp;"-"&amp;TEXT(MONTH(KMART_DATA[[#This Row],[Date]]),"00")</f>
        <v>2025-04</v>
      </c>
      <c r="D2962" s="3" t="s">
        <v>28</v>
      </c>
      <c r="E2962" s="3" t="s">
        <v>118</v>
      </c>
      <c r="F2962" s="3" t="s">
        <v>10</v>
      </c>
      <c r="G29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62" s="3" t="s">
        <v>119</v>
      </c>
      <c r="I2962" s="3" t="s">
        <v>31</v>
      </c>
      <c r="J2962" s="3" t="s">
        <v>120</v>
      </c>
      <c r="K2962" s="3" t="s">
        <v>57</v>
      </c>
      <c r="L2962" s="3" t="s">
        <v>58</v>
      </c>
      <c r="M2962" s="4">
        <v>808.07</v>
      </c>
    </row>
    <row r="2963">
      <c r="A2963" s="2">
        <v>45776</v>
      </c>
      <c r="B29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3" s="3" t="str">
        <f>YEAR(KMART_DATA[[#This Row],[Date]])&amp;"-"&amp;TEXT(MONTH(KMART_DATA[[#This Row],[Date]]),"00")</f>
        <v>2025-04</v>
      </c>
      <c r="D2963" s="3" t="s">
        <v>28</v>
      </c>
      <c r="E2963" s="3" t="s">
        <v>163</v>
      </c>
      <c r="F2963" s="3" t="s">
        <v>9</v>
      </c>
      <c r="G29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63" s="3" t="s">
        <v>164</v>
      </c>
      <c r="I2963" s="3" t="s">
        <v>31</v>
      </c>
      <c r="J2963" s="3" t="s">
        <v>81</v>
      </c>
      <c r="K2963" s="3" t="s">
        <v>123</v>
      </c>
      <c r="L2963" s="3" t="s">
        <v>124</v>
      </c>
      <c r="M2963" s="4">
        <v>865.66</v>
      </c>
    </row>
    <row r="2964">
      <c r="A2964" s="2">
        <v>45777</v>
      </c>
      <c r="B29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4" s="3" t="str">
        <f>YEAR(KMART_DATA[[#This Row],[Date]])&amp;"-"&amp;TEXT(MONTH(KMART_DATA[[#This Row],[Date]]),"00")</f>
        <v>2025-04</v>
      </c>
      <c r="D2964" s="3" t="s">
        <v>28</v>
      </c>
      <c r="E2964" s="3" t="s">
        <v>148</v>
      </c>
      <c r="F2964" s="3" t="s">
        <v>12</v>
      </c>
      <c r="G29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64" s="3" t="s">
        <v>149</v>
      </c>
      <c r="I2964" s="3" t="s">
        <v>31</v>
      </c>
      <c r="J2964" s="3" t="s">
        <v>50</v>
      </c>
      <c r="K2964" s="3" t="s">
        <v>43</v>
      </c>
      <c r="L2964" s="3" t="s">
        <v>44</v>
      </c>
      <c r="M2964" s="4">
        <v>9.6</v>
      </c>
    </row>
    <row r="2965">
      <c r="A2965" s="2">
        <v>45777</v>
      </c>
      <c r="B29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5" s="3" t="str">
        <f>YEAR(KMART_DATA[[#This Row],[Date]])&amp;"-"&amp;TEXT(MONTH(KMART_DATA[[#This Row],[Date]]),"00")</f>
        <v>2025-04</v>
      </c>
      <c r="D2965" s="3" t="s">
        <v>28</v>
      </c>
      <c r="E2965" s="3" t="s">
        <v>169</v>
      </c>
      <c r="F2965" s="3" t="s">
        <v>12</v>
      </c>
      <c r="G29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65" s="3" t="s">
        <v>170</v>
      </c>
      <c r="I2965" s="3" t="s">
        <v>31</v>
      </c>
      <c r="J2965" s="3" t="s">
        <v>102</v>
      </c>
      <c r="K2965" s="3" t="s">
        <v>46</v>
      </c>
      <c r="L2965" s="3" t="s">
        <v>47</v>
      </c>
      <c r="M2965" s="4">
        <v>90.93</v>
      </c>
    </row>
    <row r="2966">
      <c r="A2966" s="2">
        <v>45777</v>
      </c>
      <c r="B29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6" s="3" t="str">
        <f>YEAR(KMART_DATA[[#This Row],[Date]])&amp;"-"&amp;TEXT(MONTH(KMART_DATA[[#This Row],[Date]]),"00")</f>
        <v>2025-04</v>
      </c>
      <c r="D2966" s="3" t="s">
        <v>28</v>
      </c>
      <c r="E2966" s="3" t="s">
        <v>209</v>
      </c>
      <c r="F2966" s="3" t="s">
        <v>9</v>
      </c>
      <c r="G29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66" s="3" t="s">
        <v>210</v>
      </c>
      <c r="I2966" s="3" t="s">
        <v>31</v>
      </c>
      <c r="J2966" s="3" t="s">
        <v>81</v>
      </c>
      <c r="K2966" s="3" t="s">
        <v>43</v>
      </c>
      <c r="L2966" s="3" t="s">
        <v>44</v>
      </c>
      <c r="M2966" s="4">
        <v>120.13</v>
      </c>
    </row>
    <row r="2967">
      <c r="A2967" s="2">
        <v>45777</v>
      </c>
      <c r="B29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7" s="3" t="str">
        <f>YEAR(KMART_DATA[[#This Row],[Date]])&amp;"-"&amp;TEXT(MONTH(KMART_DATA[[#This Row],[Date]]),"00")</f>
        <v>2025-04</v>
      </c>
      <c r="D2967" s="3" t="s">
        <v>45</v>
      </c>
      <c r="E2967" s="3" t="s">
        <v>118</v>
      </c>
      <c r="F2967" s="3" t="s">
        <v>10</v>
      </c>
      <c r="G29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67" s="3" t="s">
        <v>119</v>
      </c>
      <c r="I2967" s="3" t="s">
        <v>31</v>
      </c>
      <c r="J2967" s="3" t="s">
        <v>120</v>
      </c>
      <c r="K2967" s="3" t="s">
        <v>33</v>
      </c>
      <c r="L2967" s="3" t="s">
        <v>34</v>
      </c>
      <c r="M2967" s="4">
        <v>223.71</v>
      </c>
    </row>
    <row r="2968">
      <c r="A2968" s="2">
        <v>45777</v>
      </c>
      <c r="B29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8" s="3" t="str">
        <f>YEAR(KMART_DATA[[#This Row],[Date]])&amp;"-"&amp;TEXT(MONTH(KMART_DATA[[#This Row],[Date]]),"00")</f>
        <v>2025-04</v>
      </c>
      <c r="D2968" s="3" t="s">
        <v>45</v>
      </c>
      <c r="E2968" s="3" t="s">
        <v>232</v>
      </c>
      <c r="F2968" s="3" t="s">
        <v>9</v>
      </c>
      <c r="G29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68" s="3" t="s">
        <v>233</v>
      </c>
      <c r="I2968" s="3" t="s">
        <v>31</v>
      </c>
      <c r="J2968" s="3" t="s">
        <v>75</v>
      </c>
      <c r="K2968" s="3" t="s">
        <v>38</v>
      </c>
      <c r="L2968" s="3" t="s">
        <v>39</v>
      </c>
      <c r="M2968" s="4">
        <v>236.0</v>
      </c>
    </row>
    <row r="2969">
      <c r="A2969" s="2">
        <v>45777</v>
      </c>
      <c r="B29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69" s="3" t="str">
        <f>YEAR(KMART_DATA[[#This Row],[Date]])&amp;"-"&amp;TEXT(MONTH(KMART_DATA[[#This Row],[Date]]),"00")</f>
        <v>2025-04</v>
      </c>
      <c r="D2969" s="3" t="s">
        <v>28</v>
      </c>
      <c r="E2969" s="3" t="s">
        <v>160</v>
      </c>
      <c r="F2969" s="3" t="s">
        <v>12</v>
      </c>
      <c r="G29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69" s="3" t="s">
        <v>161</v>
      </c>
      <c r="I2969" s="3" t="s">
        <v>31</v>
      </c>
      <c r="J2969" s="3" t="s">
        <v>162</v>
      </c>
      <c r="K2969" s="3" t="s">
        <v>33</v>
      </c>
      <c r="L2969" s="3" t="s">
        <v>34</v>
      </c>
      <c r="M2969" s="4">
        <v>341.15</v>
      </c>
    </row>
    <row r="2970">
      <c r="A2970" s="2">
        <v>45777</v>
      </c>
      <c r="B29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0" s="3" t="str">
        <f>YEAR(KMART_DATA[[#This Row],[Date]])&amp;"-"&amp;TEXT(MONTH(KMART_DATA[[#This Row],[Date]]),"00")</f>
        <v>2025-04</v>
      </c>
      <c r="D2970" s="3" t="s">
        <v>28</v>
      </c>
      <c r="E2970" s="3" t="s">
        <v>205</v>
      </c>
      <c r="F2970" s="3" t="s">
        <v>10</v>
      </c>
      <c r="G29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70" s="3" t="s">
        <v>206</v>
      </c>
      <c r="I2970" s="3" t="s">
        <v>31</v>
      </c>
      <c r="J2970" s="3" t="s">
        <v>37</v>
      </c>
      <c r="K2970" s="3" t="s">
        <v>46</v>
      </c>
      <c r="L2970" s="3" t="s">
        <v>47</v>
      </c>
      <c r="M2970" s="4">
        <v>474.07</v>
      </c>
    </row>
    <row r="2971">
      <c r="A2971" s="2">
        <v>45777</v>
      </c>
      <c r="B29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1" s="3" t="str">
        <f>YEAR(KMART_DATA[[#This Row],[Date]])&amp;"-"&amp;TEXT(MONTH(KMART_DATA[[#This Row],[Date]]),"00")</f>
        <v>2025-04</v>
      </c>
      <c r="D2971" s="3" t="s">
        <v>45</v>
      </c>
      <c r="E2971" s="3" t="s">
        <v>143</v>
      </c>
      <c r="F2971" s="3" t="s">
        <v>14</v>
      </c>
      <c r="G29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2971" s="3" t="s">
        <v>144</v>
      </c>
      <c r="I2971" s="3" t="s">
        <v>31</v>
      </c>
      <c r="J2971" s="3" t="s">
        <v>145</v>
      </c>
      <c r="K2971" s="3" t="s">
        <v>57</v>
      </c>
      <c r="L2971" s="3" t="s">
        <v>58</v>
      </c>
      <c r="M2971" s="4">
        <v>571.99</v>
      </c>
    </row>
    <row r="2972">
      <c r="A2972" s="2">
        <v>45777</v>
      </c>
      <c r="B29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2" s="3" t="str">
        <f>YEAR(KMART_DATA[[#This Row],[Date]])&amp;"-"&amp;TEXT(MONTH(KMART_DATA[[#This Row],[Date]]),"00")</f>
        <v>2025-04</v>
      </c>
      <c r="D2972" s="3" t="s">
        <v>45</v>
      </c>
      <c r="E2972" s="3" t="s">
        <v>262</v>
      </c>
      <c r="F2972" s="3" t="s">
        <v>10</v>
      </c>
      <c r="G29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72" s="3" t="s">
        <v>263</v>
      </c>
      <c r="I2972" s="3" t="s">
        <v>31</v>
      </c>
      <c r="J2972" s="3" t="s">
        <v>120</v>
      </c>
      <c r="K2972" s="3" t="s">
        <v>95</v>
      </c>
      <c r="L2972" s="3" t="s">
        <v>96</v>
      </c>
      <c r="M2972" s="4">
        <v>584.96</v>
      </c>
    </row>
    <row r="2973">
      <c r="A2973" s="2">
        <v>45777</v>
      </c>
      <c r="B29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3" s="3" t="str">
        <f>YEAR(KMART_DATA[[#This Row],[Date]])&amp;"-"&amp;TEXT(MONTH(KMART_DATA[[#This Row],[Date]]),"00")</f>
        <v>2025-04</v>
      </c>
      <c r="D2973" s="3" t="s">
        <v>45</v>
      </c>
      <c r="E2973" s="3" t="s">
        <v>146</v>
      </c>
      <c r="F2973" s="3" t="s">
        <v>9</v>
      </c>
      <c r="G29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73" s="3" t="s">
        <v>147</v>
      </c>
      <c r="I2973" s="3" t="s">
        <v>31</v>
      </c>
      <c r="J2973" s="3" t="s">
        <v>75</v>
      </c>
      <c r="K2973" s="3" t="s">
        <v>57</v>
      </c>
      <c r="L2973" s="3" t="s">
        <v>58</v>
      </c>
      <c r="M2973" s="4">
        <v>1214.61</v>
      </c>
    </row>
    <row r="2974">
      <c r="A2974" s="2">
        <v>45778</v>
      </c>
      <c r="B29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4" s="3" t="str">
        <f>YEAR(KMART_DATA[[#This Row],[Date]])&amp;"-"&amp;TEXT(MONTH(KMART_DATA[[#This Row],[Date]]),"00")</f>
        <v>2025-05</v>
      </c>
      <c r="D2974" s="3" t="s">
        <v>28</v>
      </c>
      <c r="E2974" s="3" t="s">
        <v>141</v>
      </c>
      <c r="F2974" s="3" t="s">
        <v>9</v>
      </c>
      <c r="G29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74" s="3" t="s">
        <v>142</v>
      </c>
      <c r="I2974" s="3" t="s">
        <v>31</v>
      </c>
      <c r="J2974" s="3" t="s">
        <v>107</v>
      </c>
      <c r="K2974" s="3" t="s">
        <v>71</v>
      </c>
      <c r="L2974" s="3" t="s">
        <v>72</v>
      </c>
      <c r="M2974" s="4">
        <v>1.0</v>
      </c>
    </row>
    <row r="2975">
      <c r="A2975" s="2">
        <v>45778</v>
      </c>
      <c r="B29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5" s="3" t="str">
        <f>YEAR(KMART_DATA[[#This Row],[Date]])&amp;"-"&amp;TEXT(MONTH(KMART_DATA[[#This Row],[Date]]),"00")</f>
        <v>2025-05</v>
      </c>
      <c r="D2975" s="3" t="s">
        <v>28</v>
      </c>
      <c r="E2975" s="3" t="s">
        <v>213</v>
      </c>
      <c r="F2975" s="3" t="s">
        <v>11</v>
      </c>
      <c r="G29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75" s="3" t="s">
        <v>214</v>
      </c>
      <c r="I2975" s="3" t="s">
        <v>31</v>
      </c>
      <c r="J2975" s="3" t="s">
        <v>32</v>
      </c>
      <c r="K2975" s="3" t="s">
        <v>57</v>
      </c>
      <c r="L2975" s="3" t="s">
        <v>58</v>
      </c>
      <c r="M2975" s="4">
        <v>26.0</v>
      </c>
    </row>
    <row r="2976">
      <c r="A2976" s="2">
        <v>45778</v>
      </c>
      <c r="B29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6" s="3" t="str">
        <f>YEAR(KMART_DATA[[#This Row],[Date]])&amp;"-"&amp;TEXT(MONTH(KMART_DATA[[#This Row],[Date]]),"00")</f>
        <v>2025-05</v>
      </c>
      <c r="D2976" s="3" t="s">
        <v>28</v>
      </c>
      <c r="E2976" s="3" t="s">
        <v>175</v>
      </c>
      <c r="F2976" s="3" t="s">
        <v>16</v>
      </c>
      <c r="G29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976" s="3" t="s">
        <v>176</v>
      </c>
      <c r="I2976" s="3" t="s">
        <v>31</v>
      </c>
      <c r="J2976" s="3" t="s">
        <v>107</v>
      </c>
      <c r="K2976" s="3" t="s">
        <v>112</v>
      </c>
      <c r="L2976" s="3" t="s">
        <v>113</v>
      </c>
      <c r="M2976" s="4">
        <v>38.94</v>
      </c>
    </row>
    <row r="2977">
      <c r="A2977" s="2">
        <v>45778</v>
      </c>
      <c r="B29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7" s="3" t="str">
        <f>YEAR(KMART_DATA[[#This Row],[Date]])&amp;"-"&amp;TEXT(MONTH(KMART_DATA[[#This Row],[Date]]),"00")</f>
        <v>2025-05</v>
      </c>
      <c r="D2977" s="3" t="s">
        <v>45</v>
      </c>
      <c r="E2977" s="3" t="s">
        <v>207</v>
      </c>
      <c r="F2977" s="3" t="s">
        <v>11</v>
      </c>
      <c r="G29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77" s="3" t="s">
        <v>208</v>
      </c>
      <c r="I2977" s="3" t="s">
        <v>31</v>
      </c>
      <c r="J2977" s="3" t="s">
        <v>78</v>
      </c>
      <c r="K2977" s="3" t="s">
        <v>38</v>
      </c>
      <c r="L2977" s="3" t="s">
        <v>39</v>
      </c>
      <c r="M2977" s="4">
        <v>97.93</v>
      </c>
    </row>
    <row r="2978">
      <c r="A2978" s="2">
        <v>45778</v>
      </c>
      <c r="B29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8" s="3" t="str">
        <f>YEAR(KMART_DATA[[#This Row],[Date]])&amp;"-"&amp;TEXT(MONTH(KMART_DATA[[#This Row],[Date]]),"00")</f>
        <v>2025-05</v>
      </c>
      <c r="D2978" s="3" t="s">
        <v>45</v>
      </c>
      <c r="E2978" s="3" t="s">
        <v>197</v>
      </c>
      <c r="F2978" s="3" t="s">
        <v>9</v>
      </c>
      <c r="G29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78" s="3" t="s">
        <v>198</v>
      </c>
      <c r="I2978" s="3" t="s">
        <v>31</v>
      </c>
      <c r="J2978" s="3" t="s">
        <v>107</v>
      </c>
      <c r="K2978" s="3" t="s">
        <v>57</v>
      </c>
      <c r="L2978" s="3" t="s">
        <v>58</v>
      </c>
      <c r="M2978" s="4">
        <v>145.8</v>
      </c>
    </row>
    <row r="2979">
      <c r="A2979" s="2">
        <v>45778</v>
      </c>
      <c r="B29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79" s="3" t="str">
        <f>YEAR(KMART_DATA[[#This Row],[Date]])&amp;"-"&amp;TEXT(MONTH(KMART_DATA[[#This Row],[Date]]),"00")</f>
        <v>2025-05</v>
      </c>
      <c r="D2979" s="3" t="s">
        <v>28</v>
      </c>
      <c r="E2979" s="3" t="s">
        <v>219</v>
      </c>
      <c r="F2979" s="3" t="s">
        <v>11</v>
      </c>
      <c r="G29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79" s="3" t="s">
        <v>220</v>
      </c>
      <c r="I2979" s="3" t="s">
        <v>31</v>
      </c>
      <c r="J2979" s="3" t="s">
        <v>56</v>
      </c>
      <c r="K2979" s="3" t="s">
        <v>33</v>
      </c>
      <c r="L2979" s="3" t="s">
        <v>34</v>
      </c>
      <c r="M2979" s="4">
        <v>161.18</v>
      </c>
    </row>
    <row r="2980">
      <c r="A2980" s="2">
        <v>45778</v>
      </c>
      <c r="B29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0" s="3" t="str">
        <f>YEAR(KMART_DATA[[#This Row],[Date]])&amp;"-"&amp;TEXT(MONTH(KMART_DATA[[#This Row],[Date]]),"00")</f>
        <v>2025-05</v>
      </c>
      <c r="D2980" s="3" t="s">
        <v>28</v>
      </c>
      <c r="E2980" s="3" t="s">
        <v>116</v>
      </c>
      <c r="F2980" s="3" t="s">
        <v>9</v>
      </c>
      <c r="G29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80" s="3" t="s">
        <v>117</v>
      </c>
      <c r="I2980" s="3" t="s">
        <v>31</v>
      </c>
      <c r="J2980" s="3" t="s">
        <v>70</v>
      </c>
      <c r="K2980" s="3" t="s">
        <v>95</v>
      </c>
      <c r="L2980" s="3" t="s">
        <v>96</v>
      </c>
      <c r="M2980" s="4">
        <v>976.41</v>
      </c>
    </row>
    <row r="2981">
      <c r="A2981" s="2">
        <v>45778</v>
      </c>
      <c r="B29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1" s="3" t="str">
        <f>YEAR(KMART_DATA[[#This Row],[Date]])&amp;"-"&amp;TEXT(MONTH(KMART_DATA[[#This Row],[Date]]),"00")</f>
        <v>2025-05</v>
      </c>
      <c r="D2981" s="3" t="s">
        <v>28</v>
      </c>
      <c r="E2981" s="3" t="s">
        <v>110</v>
      </c>
      <c r="F2981" s="3" t="s">
        <v>9</v>
      </c>
      <c r="G29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81" s="3" t="s">
        <v>111</v>
      </c>
      <c r="I2981" s="3" t="s">
        <v>31</v>
      </c>
      <c r="J2981" s="3" t="s">
        <v>81</v>
      </c>
      <c r="K2981" s="3" t="s">
        <v>43</v>
      </c>
      <c r="L2981" s="3" t="s">
        <v>44</v>
      </c>
      <c r="M2981" s="4">
        <v>979.84</v>
      </c>
    </row>
    <row r="2982">
      <c r="A2982" s="2">
        <v>45778</v>
      </c>
      <c r="B29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2" s="3" t="str">
        <f>YEAR(KMART_DATA[[#This Row],[Date]])&amp;"-"&amp;TEXT(MONTH(KMART_DATA[[#This Row],[Date]]),"00")</f>
        <v>2025-05</v>
      </c>
      <c r="D2982" s="3" t="s">
        <v>28</v>
      </c>
      <c r="E2982" s="3" t="s">
        <v>110</v>
      </c>
      <c r="F2982" s="3" t="s">
        <v>9</v>
      </c>
      <c r="G29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82" s="3" t="s">
        <v>111</v>
      </c>
      <c r="I2982" s="3" t="s">
        <v>31</v>
      </c>
      <c r="J2982" s="3" t="s">
        <v>81</v>
      </c>
      <c r="K2982" s="3" t="s">
        <v>57</v>
      </c>
      <c r="L2982" s="3" t="s">
        <v>58</v>
      </c>
      <c r="M2982" s="4">
        <v>2715.92</v>
      </c>
    </row>
    <row r="2983">
      <c r="A2983" s="2">
        <v>45779</v>
      </c>
      <c r="B29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3" s="3" t="str">
        <f>YEAR(KMART_DATA[[#This Row],[Date]])&amp;"-"&amp;TEXT(MONTH(KMART_DATA[[#This Row],[Date]]),"00")</f>
        <v>2025-05</v>
      </c>
      <c r="D2983" s="3" t="s">
        <v>28</v>
      </c>
      <c r="E2983" s="3" t="s">
        <v>118</v>
      </c>
      <c r="F2983" s="3" t="s">
        <v>10</v>
      </c>
      <c r="G29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83" s="3" t="s">
        <v>119</v>
      </c>
      <c r="I2983" s="3" t="s">
        <v>31</v>
      </c>
      <c r="J2983" s="3" t="s">
        <v>120</v>
      </c>
      <c r="K2983" s="3" t="s">
        <v>33</v>
      </c>
      <c r="L2983" s="3" t="s">
        <v>34</v>
      </c>
      <c r="M2983" s="4">
        <v>1.0</v>
      </c>
    </row>
    <row r="2984">
      <c r="A2984" s="2">
        <v>45779</v>
      </c>
      <c r="B29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4" s="3" t="str">
        <f>YEAR(KMART_DATA[[#This Row],[Date]])&amp;"-"&amp;TEXT(MONTH(KMART_DATA[[#This Row],[Date]]),"00")</f>
        <v>2025-05</v>
      </c>
      <c r="D2984" s="3" t="s">
        <v>28</v>
      </c>
      <c r="E2984" s="3" t="s">
        <v>179</v>
      </c>
      <c r="F2984" s="3" t="s">
        <v>9</v>
      </c>
      <c r="G29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84" s="3" t="s">
        <v>180</v>
      </c>
      <c r="I2984" s="3" t="s">
        <v>31</v>
      </c>
      <c r="J2984" s="3" t="s">
        <v>99</v>
      </c>
      <c r="K2984" s="3" t="s">
        <v>112</v>
      </c>
      <c r="L2984" s="3" t="s">
        <v>113</v>
      </c>
      <c r="M2984" s="4">
        <v>3.99</v>
      </c>
    </row>
    <row r="2985">
      <c r="A2985" s="2">
        <v>45779</v>
      </c>
      <c r="B29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5" s="3" t="str">
        <f>YEAR(KMART_DATA[[#This Row],[Date]])&amp;"-"&amp;TEXT(MONTH(KMART_DATA[[#This Row],[Date]]),"00")</f>
        <v>2025-05</v>
      </c>
      <c r="D2985" s="3" t="s">
        <v>28</v>
      </c>
      <c r="E2985" s="3" t="s">
        <v>100</v>
      </c>
      <c r="F2985" s="3" t="s">
        <v>12</v>
      </c>
      <c r="G29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2985" s="3" t="s">
        <v>101</v>
      </c>
      <c r="I2985" s="3" t="s">
        <v>31</v>
      </c>
      <c r="J2985" s="3" t="s">
        <v>102</v>
      </c>
      <c r="K2985" s="3" t="s">
        <v>46</v>
      </c>
      <c r="L2985" s="3" t="s">
        <v>47</v>
      </c>
      <c r="M2985" s="4">
        <v>4.5</v>
      </c>
    </row>
    <row r="2986">
      <c r="A2986" s="2">
        <v>45779</v>
      </c>
      <c r="B29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6" s="3" t="str">
        <f>YEAR(KMART_DATA[[#This Row],[Date]])&amp;"-"&amp;TEXT(MONTH(KMART_DATA[[#This Row],[Date]]),"00")</f>
        <v>2025-05</v>
      </c>
      <c r="D2986" s="3" t="s">
        <v>45</v>
      </c>
      <c r="E2986" s="3" t="s">
        <v>175</v>
      </c>
      <c r="F2986" s="3" t="s">
        <v>16</v>
      </c>
      <c r="G29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2986" s="3" t="s">
        <v>176</v>
      </c>
      <c r="I2986" s="3" t="s">
        <v>31</v>
      </c>
      <c r="J2986" s="3" t="s">
        <v>107</v>
      </c>
      <c r="K2986" s="3" t="s">
        <v>71</v>
      </c>
      <c r="L2986" s="3" t="s">
        <v>72</v>
      </c>
      <c r="M2986" s="4">
        <v>5.25</v>
      </c>
    </row>
    <row r="2987">
      <c r="A2987" s="2">
        <v>45779</v>
      </c>
      <c r="B29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7" s="3" t="str">
        <f>YEAR(KMART_DATA[[#This Row],[Date]])&amp;"-"&amp;TEXT(MONTH(KMART_DATA[[#This Row],[Date]]),"00")</f>
        <v>2025-05</v>
      </c>
      <c r="D2987" s="3" t="s">
        <v>45</v>
      </c>
      <c r="E2987" s="3" t="s">
        <v>110</v>
      </c>
      <c r="F2987" s="3" t="s">
        <v>9</v>
      </c>
      <c r="G29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87" s="3" t="s">
        <v>111</v>
      </c>
      <c r="I2987" s="3" t="s">
        <v>31</v>
      </c>
      <c r="J2987" s="3" t="s">
        <v>81</v>
      </c>
      <c r="K2987" s="3" t="s">
        <v>33</v>
      </c>
      <c r="L2987" s="3" t="s">
        <v>34</v>
      </c>
      <c r="M2987" s="4">
        <v>29.9</v>
      </c>
    </row>
    <row r="2988">
      <c r="A2988" s="2">
        <v>45779</v>
      </c>
      <c r="B29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8" s="3" t="str">
        <f>YEAR(KMART_DATA[[#This Row],[Date]])&amp;"-"&amp;TEXT(MONTH(KMART_DATA[[#This Row],[Date]]),"00")</f>
        <v>2025-05</v>
      </c>
      <c r="D2988" s="3" t="s">
        <v>28</v>
      </c>
      <c r="E2988" s="3" t="s">
        <v>262</v>
      </c>
      <c r="F2988" s="3" t="s">
        <v>10</v>
      </c>
      <c r="G29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88" s="3" t="s">
        <v>263</v>
      </c>
      <c r="I2988" s="3" t="s">
        <v>31</v>
      </c>
      <c r="J2988" s="3" t="s">
        <v>120</v>
      </c>
      <c r="K2988" s="3" t="s">
        <v>95</v>
      </c>
      <c r="L2988" s="3" t="s">
        <v>96</v>
      </c>
      <c r="M2988" s="4">
        <v>39.95</v>
      </c>
    </row>
    <row r="2989">
      <c r="A2989" s="2">
        <v>45779</v>
      </c>
      <c r="B29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89" s="3" t="str">
        <f>YEAR(KMART_DATA[[#This Row],[Date]])&amp;"-"&amp;TEXT(MONTH(KMART_DATA[[#This Row],[Date]]),"00")</f>
        <v>2025-05</v>
      </c>
      <c r="D2989" s="3" t="s">
        <v>45</v>
      </c>
      <c r="E2989" s="3" t="s">
        <v>223</v>
      </c>
      <c r="F2989" s="3" t="s">
        <v>10</v>
      </c>
      <c r="G29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89" s="3" t="s">
        <v>224</v>
      </c>
      <c r="I2989" s="3" t="s">
        <v>31</v>
      </c>
      <c r="J2989" s="3" t="s">
        <v>94</v>
      </c>
      <c r="K2989" s="3" t="s">
        <v>38</v>
      </c>
      <c r="L2989" s="3" t="s">
        <v>39</v>
      </c>
      <c r="M2989" s="4">
        <v>136.79</v>
      </c>
    </row>
    <row r="2990">
      <c r="A2990" s="2">
        <v>45779</v>
      </c>
      <c r="B29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0" s="3" t="str">
        <f>YEAR(KMART_DATA[[#This Row],[Date]])&amp;"-"&amp;TEXT(MONTH(KMART_DATA[[#This Row],[Date]]),"00")</f>
        <v>2025-05</v>
      </c>
      <c r="D2990" s="3" t="s">
        <v>28</v>
      </c>
      <c r="E2990" s="3" t="s">
        <v>252</v>
      </c>
      <c r="F2990" s="3" t="s">
        <v>10</v>
      </c>
      <c r="G29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90" s="3" t="s">
        <v>253</v>
      </c>
      <c r="I2990" s="3" t="s">
        <v>31</v>
      </c>
      <c r="J2990" s="3" t="s">
        <v>94</v>
      </c>
      <c r="K2990" s="3" t="s">
        <v>43</v>
      </c>
      <c r="L2990" s="3" t="s">
        <v>44</v>
      </c>
      <c r="M2990" s="4">
        <v>246.26</v>
      </c>
    </row>
    <row r="2991">
      <c r="A2991" s="2">
        <v>45779</v>
      </c>
      <c r="B29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1" s="3" t="str">
        <f>YEAR(KMART_DATA[[#This Row],[Date]])&amp;"-"&amp;TEXT(MONTH(KMART_DATA[[#This Row],[Date]]),"00")</f>
        <v>2025-05</v>
      </c>
      <c r="D2991" s="3" t="s">
        <v>28</v>
      </c>
      <c r="E2991" s="3" t="s">
        <v>127</v>
      </c>
      <c r="F2991" s="3" t="s">
        <v>11</v>
      </c>
      <c r="G29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91" s="3" t="s">
        <v>128</v>
      </c>
      <c r="I2991" s="3" t="s">
        <v>31</v>
      </c>
      <c r="J2991" s="3" t="s">
        <v>78</v>
      </c>
      <c r="K2991" s="3" t="s">
        <v>46</v>
      </c>
      <c r="L2991" s="3" t="s">
        <v>47</v>
      </c>
      <c r="M2991" s="4">
        <v>276.27</v>
      </c>
    </row>
    <row r="2992">
      <c r="A2992" s="2">
        <v>45779</v>
      </c>
      <c r="B29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2" s="3" t="str">
        <f>YEAR(KMART_DATA[[#This Row],[Date]])&amp;"-"&amp;TEXT(MONTH(KMART_DATA[[#This Row],[Date]]),"00")</f>
        <v>2025-05</v>
      </c>
      <c r="D2992" s="3" t="s">
        <v>28</v>
      </c>
      <c r="E2992" s="3" t="s">
        <v>108</v>
      </c>
      <c r="F2992" s="3" t="s">
        <v>9</v>
      </c>
      <c r="G29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92" s="3" t="s">
        <v>109</v>
      </c>
      <c r="I2992" s="3" t="s">
        <v>31</v>
      </c>
      <c r="J2992" s="3" t="s">
        <v>75</v>
      </c>
      <c r="K2992" s="3" t="s">
        <v>71</v>
      </c>
      <c r="L2992" s="3" t="s">
        <v>72</v>
      </c>
      <c r="M2992" s="4">
        <v>1379.7</v>
      </c>
    </row>
    <row r="2993">
      <c r="A2993" s="2">
        <v>45779</v>
      </c>
      <c r="B29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3" s="3" t="str">
        <f>YEAR(KMART_DATA[[#This Row],[Date]])&amp;"-"&amp;TEXT(MONTH(KMART_DATA[[#This Row],[Date]]),"00")</f>
        <v>2025-05</v>
      </c>
      <c r="D2993" s="3" t="s">
        <v>28</v>
      </c>
      <c r="E2993" s="3" t="s">
        <v>152</v>
      </c>
      <c r="F2993" s="3" t="s">
        <v>11</v>
      </c>
      <c r="G29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93" s="3" t="s">
        <v>153</v>
      </c>
      <c r="I2993" s="3" t="s">
        <v>31</v>
      </c>
      <c r="J2993" s="3" t="s">
        <v>61</v>
      </c>
      <c r="K2993" s="3" t="s">
        <v>71</v>
      </c>
      <c r="L2993" s="3" t="s">
        <v>72</v>
      </c>
      <c r="M2993" s="4">
        <v>1751.77</v>
      </c>
    </row>
    <row r="2994">
      <c r="A2994" s="2">
        <v>45780</v>
      </c>
      <c r="B29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4" s="3" t="str">
        <f>YEAR(KMART_DATA[[#This Row],[Date]])&amp;"-"&amp;TEXT(MONTH(KMART_DATA[[#This Row],[Date]]),"00")</f>
        <v>2025-05</v>
      </c>
      <c r="D2994" s="3" t="s">
        <v>28</v>
      </c>
      <c r="E2994" s="3" t="s">
        <v>87</v>
      </c>
      <c r="F2994" s="3" t="s">
        <v>10</v>
      </c>
      <c r="G29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94" s="3" t="s">
        <v>88</v>
      </c>
      <c r="I2994" s="3" t="s">
        <v>31</v>
      </c>
      <c r="J2994" s="3" t="s">
        <v>89</v>
      </c>
      <c r="K2994" s="3" t="s">
        <v>46</v>
      </c>
      <c r="L2994" s="3" t="s">
        <v>47</v>
      </c>
      <c r="M2994" s="4">
        <v>1.71</v>
      </c>
    </row>
    <row r="2995">
      <c r="A2995" s="2">
        <v>45780</v>
      </c>
      <c r="B29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5" s="3" t="str">
        <f>YEAR(KMART_DATA[[#This Row],[Date]])&amp;"-"&amp;TEXT(MONTH(KMART_DATA[[#This Row],[Date]]),"00")</f>
        <v>2025-05</v>
      </c>
      <c r="D2995" s="3" t="s">
        <v>28</v>
      </c>
      <c r="E2995" s="3" t="s">
        <v>203</v>
      </c>
      <c r="F2995" s="3" t="s">
        <v>10</v>
      </c>
      <c r="G29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95" s="3" t="s">
        <v>204</v>
      </c>
      <c r="I2995" s="3" t="s">
        <v>31</v>
      </c>
      <c r="J2995" s="3" t="s">
        <v>89</v>
      </c>
      <c r="K2995" s="3" t="s">
        <v>95</v>
      </c>
      <c r="L2995" s="3" t="s">
        <v>96</v>
      </c>
      <c r="M2995" s="4">
        <v>4.0</v>
      </c>
    </row>
    <row r="2996">
      <c r="A2996" s="2">
        <v>45780</v>
      </c>
      <c r="B29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6" s="3" t="str">
        <f>YEAR(KMART_DATA[[#This Row],[Date]])&amp;"-"&amp;TEXT(MONTH(KMART_DATA[[#This Row],[Date]]),"00")</f>
        <v>2025-05</v>
      </c>
      <c r="D2996" s="3" t="s">
        <v>28</v>
      </c>
      <c r="E2996" s="3" t="s">
        <v>139</v>
      </c>
      <c r="F2996" s="3" t="s">
        <v>10</v>
      </c>
      <c r="G29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2996" s="3" t="s">
        <v>140</v>
      </c>
      <c r="I2996" s="3" t="s">
        <v>31</v>
      </c>
      <c r="J2996" s="3" t="s">
        <v>89</v>
      </c>
      <c r="K2996" s="3" t="s">
        <v>95</v>
      </c>
      <c r="L2996" s="3" t="s">
        <v>96</v>
      </c>
      <c r="M2996" s="4">
        <v>42.17</v>
      </c>
    </row>
    <row r="2997">
      <c r="A2997" s="2">
        <v>45780</v>
      </c>
      <c r="B29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7" s="3" t="str">
        <f>YEAR(KMART_DATA[[#This Row],[Date]])&amp;"-"&amp;TEXT(MONTH(KMART_DATA[[#This Row],[Date]]),"00")</f>
        <v>2025-05</v>
      </c>
      <c r="D2997" s="3" t="s">
        <v>28</v>
      </c>
      <c r="E2997" s="3" t="s">
        <v>29</v>
      </c>
      <c r="F2997" s="3" t="s">
        <v>11</v>
      </c>
      <c r="G29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2997" s="3" t="s">
        <v>30</v>
      </c>
      <c r="I2997" s="3" t="s">
        <v>31</v>
      </c>
      <c r="J2997" s="3" t="s">
        <v>32</v>
      </c>
      <c r="K2997" s="3" t="s">
        <v>38</v>
      </c>
      <c r="L2997" s="3" t="s">
        <v>39</v>
      </c>
      <c r="M2997" s="4">
        <v>167.74</v>
      </c>
    </row>
    <row r="2998">
      <c r="A2998" s="2">
        <v>45780</v>
      </c>
      <c r="B29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8" s="3" t="str">
        <f>YEAR(KMART_DATA[[#This Row],[Date]])&amp;"-"&amp;TEXT(MONTH(KMART_DATA[[#This Row],[Date]]),"00")</f>
        <v>2025-05</v>
      </c>
      <c r="D2998" s="3" t="s">
        <v>28</v>
      </c>
      <c r="E2998" s="3" t="s">
        <v>114</v>
      </c>
      <c r="F2998" s="3" t="s">
        <v>9</v>
      </c>
      <c r="G29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98" s="3" t="s">
        <v>115</v>
      </c>
      <c r="I2998" s="3" t="s">
        <v>31</v>
      </c>
      <c r="J2998" s="3" t="s">
        <v>99</v>
      </c>
      <c r="K2998" s="3" t="s">
        <v>38</v>
      </c>
      <c r="L2998" s="3" t="s">
        <v>39</v>
      </c>
      <c r="M2998" s="4">
        <v>878.53</v>
      </c>
    </row>
    <row r="2999">
      <c r="A2999" s="2">
        <v>45781</v>
      </c>
      <c r="B29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2999" s="3" t="str">
        <f>YEAR(KMART_DATA[[#This Row],[Date]])&amp;"-"&amp;TEXT(MONTH(KMART_DATA[[#This Row],[Date]]),"00")</f>
        <v>2025-05</v>
      </c>
      <c r="D2999" s="3" t="s">
        <v>28</v>
      </c>
      <c r="E2999" s="3" t="s">
        <v>105</v>
      </c>
      <c r="F2999" s="3" t="s">
        <v>9</v>
      </c>
      <c r="G29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2999" s="3" t="s">
        <v>106</v>
      </c>
      <c r="I2999" s="3" t="s">
        <v>31</v>
      </c>
      <c r="J2999" s="3" t="s">
        <v>107</v>
      </c>
      <c r="K2999" s="3" t="s">
        <v>66</v>
      </c>
      <c r="L2999" s="3" t="s">
        <v>67</v>
      </c>
      <c r="M2999" s="4">
        <v>2.98</v>
      </c>
    </row>
    <row r="3000">
      <c r="A3000" s="2">
        <v>45781</v>
      </c>
      <c r="B30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0" s="3" t="str">
        <f>YEAR(KMART_DATA[[#This Row],[Date]])&amp;"-"&amp;TEXT(MONTH(KMART_DATA[[#This Row],[Date]]),"00")</f>
        <v>2025-05</v>
      </c>
      <c r="D3000" s="3" t="s">
        <v>45</v>
      </c>
      <c r="E3000" s="3" t="s">
        <v>211</v>
      </c>
      <c r="F3000" s="3" t="s">
        <v>9</v>
      </c>
      <c r="G30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00" s="3" t="s">
        <v>212</v>
      </c>
      <c r="I3000" s="3" t="s">
        <v>31</v>
      </c>
      <c r="J3000" s="3" t="s">
        <v>75</v>
      </c>
      <c r="K3000" s="3" t="s">
        <v>95</v>
      </c>
      <c r="L3000" s="3" t="s">
        <v>96</v>
      </c>
      <c r="M3000" s="4">
        <v>12.99</v>
      </c>
    </row>
    <row r="3001">
      <c r="A3001" s="2">
        <v>45781</v>
      </c>
      <c r="B30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1" s="3" t="str">
        <f>YEAR(KMART_DATA[[#This Row],[Date]])&amp;"-"&amp;TEXT(MONTH(KMART_DATA[[#This Row],[Date]]),"00")</f>
        <v>2025-05</v>
      </c>
      <c r="D3001" s="3" t="s">
        <v>28</v>
      </c>
      <c r="E3001" s="3" t="s">
        <v>135</v>
      </c>
      <c r="F3001" s="3" t="s">
        <v>16</v>
      </c>
      <c r="G30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001" s="3" t="s">
        <v>136</v>
      </c>
      <c r="I3001" s="3" t="s">
        <v>31</v>
      </c>
      <c r="J3001" s="3" t="s">
        <v>107</v>
      </c>
      <c r="K3001" s="3" t="s">
        <v>33</v>
      </c>
      <c r="L3001" s="3" t="s">
        <v>34</v>
      </c>
      <c r="M3001" s="4">
        <v>27.18</v>
      </c>
    </row>
    <row r="3002">
      <c r="A3002" s="2">
        <v>45781</v>
      </c>
      <c r="B30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2" s="3" t="str">
        <f>YEAR(KMART_DATA[[#This Row],[Date]])&amp;"-"&amp;TEXT(MONTH(KMART_DATA[[#This Row],[Date]]),"00")</f>
        <v>2025-05</v>
      </c>
      <c r="D3002" s="3" t="s">
        <v>45</v>
      </c>
      <c r="E3002" s="3" t="s">
        <v>154</v>
      </c>
      <c r="F3002" s="3" t="s">
        <v>11</v>
      </c>
      <c r="G30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02" s="3" t="s">
        <v>155</v>
      </c>
      <c r="I3002" s="3" t="s">
        <v>31</v>
      </c>
      <c r="J3002" s="3" t="s">
        <v>84</v>
      </c>
      <c r="K3002" s="3" t="s">
        <v>66</v>
      </c>
      <c r="L3002" s="3" t="s">
        <v>67</v>
      </c>
      <c r="M3002" s="4">
        <v>34.86</v>
      </c>
    </row>
    <row r="3003">
      <c r="A3003" s="2">
        <v>45781</v>
      </c>
      <c r="B30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3" s="3" t="str">
        <f>YEAR(KMART_DATA[[#This Row],[Date]])&amp;"-"&amp;TEXT(MONTH(KMART_DATA[[#This Row],[Date]]),"00")</f>
        <v>2025-05</v>
      </c>
      <c r="D3003" s="3" t="s">
        <v>45</v>
      </c>
      <c r="E3003" s="3" t="s">
        <v>167</v>
      </c>
      <c r="F3003" s="3" t="s">
        <v>12</v>
      </c>
      <c r="G30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03" s="3" t="s">
        <v>168</v>
      </c>
      <c r="I3003" s="3" t="s">
        <v>31</v>
      </c>
      <c r="J3003" s="3" t="s">
        <v>102</v>
      </c>
      <c r="K3003" s="3" t="s">
        <v>33</v>
      </c>
      <c r="L3003" s="3" t="s">
        <v>34</v>
      </c>
      <c r="M3003" s="4">
        <v>48.85</v>
      </c>
    </row>
    <row r="3004">
      <c r="A3004" s="2">
        <v>45781</v>
      </c>
      <c r="B30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4" s="3" t="str">
        <f>YEAR(KMART_DATA[[#This Row],[Date]])&amp;"-"&amp;TEXT(MONTH(KMART_DATA[[#This Row],[Date]]),"00")</f>
        <v>2025-05</v>
      </c>
      <c r="D3004" s="3" t="s">
        <v>45</v>
      </c>
      <c r="E3004" s="3" t="s">
        <v>205</v>
      </c>
      <c r="F3004" s="3" t="s">
        <v>10</v>
      </c>
      <c r="G30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04" s="3" t="s">
        <v>206</v>
      </c>
      <c r="I3004" s="3" t="s">
        <v>31</v>
      </c>
      <c r="J3004" s="3" t="s">
        <v>37</v>
      </c>
      <c r="K3004" s="3" t="s">
        <v>57</v>
      </c>
      <c r="L3004" s="3" t="s">
        <v>58</v>
      </c>
      <c r="M3004" s="4">
        <v>264.91</v>
      </c>
    </row>
    <row r="3005">
      <c r="A3005" s="2">
        <v>45781</v>
      </c>
      <c r="B30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5" s="3" t="str">
        <f>YEAR(KMART_DATA[[#This Row],[Date]])&amp;"-"&amp;TEXT(MONTH(KMART_DATA[[#This Row],[Date]]),"00")</f>
        <v>2025-05</v>
      </c>
      <c r="D3005" s="3" t="s">
        <v>45</v>
      </c>
      <c r="E3005" s="3" t="s">
        <v>54</v>
      </c>
      <c r="F3005" s="3" t="s">
        <v>11</v>
      </c>
      <c r="G30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05" s="3" t="s">
        <v>55</v>
      </c>
      <c r="I3005" s="3" t="s">
        <v>31</v>
      </c>
      <c r="J3005" s="3" t="s">
        <v>56</v>
      </c>
      <c r="K3005" s="3" t="s">
        <v>95</v>
      </c>
      <c r="L3005" s="3" t="s">
        <v>96</v>
      </c>
      <c r="M3005" s="4">
        <v>852.9</v>
      </c>
    </row>
    <row r="3006">
      <c r="A3006" s="2">
        <v>45782</v>
      </c>
      <c r="B30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6" s="3" t="str">
        <f>YEAR(KMART_DATA[[#This Row],[Date]])&amp;"-"&amp;TEXT(MONTH(KMART_DATA[[#This Row],[Date]]),"00")</f>
        <v>2025-05</v>
      </c>
      <c r="D3006" s="3" t="s">
        <v>28</v>
      </c>
      <c r="E3006" s="3" t="s">
        <v>195</v>
      </c>
      <c r="F3006" s="3" t="s">
        <v>11</v>
      </c>
      <c r="G30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06" s="3" t="s">
        <v>196</v>
      </c>
      <c r="I3006" s="3" t="s">
        <v>31</v>
      </c>
      <c r="J3006" s="3" t="s">
        <v>32</v>
      </c>
      <c r="K3006" s="3" t="s">
        <v>71</v>
      </c>
      <c r="L3006" s="3" t="s">
        <v>72</v>
      </c>
      <c r="M3006" s="4">
        <v>87.83</v>
      </c>
    </row>
    <row r="3007">
      <c r="A3007" s="2">
        <v>45782</v>
      </c>
      <c r="B30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7" s="3" t="str">
        <f>YEAR(KMART_DATA[[#This Row],[Date]])&amp;"-"&amp;TEXT(MONTH(KMART_DATA[[#This Row],[Date]]),"00")</f>
        <v>2025-05</v>
      </c>
      <c r="D3007" s="3" t="s">
        <v>28</v>
      </c>
      <c r="E3007" s="3" t="s">
        <v>40</v>
      </c>
      <c r="F3007" s="3" t="s">
        <v>13</v>
      </c>
      <c r="G30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007" s="3" t="s">
        <v>41</v>
      </c>
      <c r="I3007" s="3" t="s">
        <v>31</v>
      </c>
      <c r="J3007" s="3" t="s">
        <v>42</v>
      </c>
      <c r="K3007" s="3" t="s">
        <v>43</v>
      </c>
      <c r="L3007" s="3" t="s">
        <v>44</v>
      </c>
      <c r="M3007" s="4">
        <v>152.9</v>
      </c>
    </row>
    <row r="3008">
      <c r="A3008" s="2">
        <v>45783</v>
      </c>
      <c r="B30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8" s="3" t="str">
        <f>YEAR(KMART_DATA[[#This Row],[Date]])&amp;"-"&amp;TEXT(MONTH(KMART_DATA[[#This Row],[Date]]),"00")</f>
        <v>2025-05</v>
      </c>
      <c r="D3008" s="3" t="s">
        <v>28</v>
      </c>
      <c r="E3008" s="3" t="s">
        <v>175</v>
      </c>
      <c r="F3008" s="3" t="s">
        <v>16</v>
      </c>
      <c r="G30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008" s="3" t="s">
        <v>176</v>
      </c>
      <c r="I3008" s="3" t="s">
        <v>31</v>
      </c>
      <c r="J3008" s="3" t="s">
        <v>107</v>
      </c>
      <c r="K3008" s="3" t="s">
        <v>95</v>
      </c>
      <c r="L3008" s="3" t="s">
        <v>96</v>
      </c>
      <c r="M3008" s="4">
        <v>7.22</v>
      </c>
    </row>
    <row r="3009">
      <c r="A3009" s="2">
        <v>45783</v>
      </c>
      <c r="B30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09" s="3" t="str">
        <f>YEAR(KMART_DATA[[#This Row],[Date]])&amp;"-"&amp;TEXT(MONTH(KMART_DATA[[#This Row],[Date]]),"00")</f>
        <v>2025-05</v>
      </c>
      <c r="D3009" s="3" t="s">
        <v>45</v>
      </c>
      <c r="E3009" s="3" t="s">
        <v>181</v>
      </c>
      <c r="F3009" s="3" t="s">
        <v>11</v>
      </c>
      <c r="G30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09" s="3" t="s">
        <v>182</v>
      </c>
      <c r="I3009" s="3" t="s">
        <v>31</v>
      </c>
      <c r="J3009" s="3" t="s">
        <v>56</v>
      </c>
      <c r="K3009" s="3" t="s">
        <v>95</v>
      </c>
      <c r="L3009" s="3" t="s">
        <v>96</v>
      </c>
      <c r="M3009" s="4">
        <v>9.99</v>
      </c>
    </row>
    <row r="3010">
      <c r="A3010" s="2">
        <v>45783</v>
      </c>
      <c r="B30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0" s="3" t="str">
        <f>YEAR(KMART_DATA[[#This Row],[Date]])&amp;"-"&amp;TEXT(MONTH(KMART_DATA[[#This Row],[Date]]),"00")</f>
        <v>2025-05</v>
      </c>
      <c r="D3010" s="3" t="s">
        <v>45</v>
      </c>
      <c r="E3010" s="3" t="s">
        <v>137</v>
      </c>
      <c r="F3010" s="3" t="s">
        <v>10</v>
      </c>
      <c r="G30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10" s="3" t="s">
        <v>138</v>
      </c>
      <c r="I3010" s="3" t="s">
        <v>31</v>
      </c>
      <c r="J3010" s="3" t="s">
        <v>89</v>
      </c>
      <c r="K3010" s="3" t="s">
        <v>43</v>
      </c>
      <c r="L3010" s="3" t="s">
        <v>44</v>
      </c>
      <c r="M3010" s="4">
        <v>15.0</v>
      </c>
    </row>
    <row r="3011">
      <c r="A3011" s="2">
        <v>45783</v>
      </c>
      <c r="B30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1" s="3" t="str">
        <f>YEAR(KMART_DATA[[#This Row],[Date]])&amp;"-"&amp;TEXT(MONTH(KMART_DATA[[#This Row],[Date]]),"00")</f>
        <v>2025-05</v>
      </c>
      <c r="D3011" s="3" t="s">
        <v>28</v>
      </c>
      <c r="E3011" s="3" t="s">
        <v>131</v>
      </c>
      <c r="F3011" s="3" t="s">
        <v>11</v>
      </c>
      <c r="G30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11" s="3" t="s">
        <v>132</v>
      </c>
      <c r="I3011" s="3" t="s">
        <v>31</v>
      </c>
      <c r="J3011" s="3" t="s">
        <v>32</v>
      </c>
      <c r="K3011" s="3" t="s">
        <v>71</v>
      </c>
      <c r="L3011" s="3" t="s">
        <v>72</v>
      </c>
      <c r="M3011" s="4">
        <v>19.49</v>
      </c>
    </row>
    <row r="3012">
      <c r="A3012" s="2">
        <v>45783</v>
      </c>
      <c r="B30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2" s="3" t="str">
        <f>YEAR(KMART_DATA[[#This Row],[Date]])&amp;"-"&amp;TEXT(MONTH(KMART_DATA[[#This Row],[Date]]),"00")</f>
        <v>2025-05</v>
      </c>
      <c r="D3012" s="3" t="s">
        <v>28</v>
      </c>
      <c r="E3012" s="3" t="s">
        <v>179</v>
      </c>
      <c r="F3012" s="3" t="s">
        <v>9</v>
      </c>
      <c r="G30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12" s="3" t="s">
        <v>180</v>
      </c>
      <c r="I3012" s="3" t="s">
        <v>31</v>
      </c>
      <c r="J3012" s="3" t="s">
        <v>99</v>
      </c>
      <c r="K3012" s="3" t="s">
        <v>66</v>
      </c>
      <c r="L3012" s="3" t="s">
        <v>67</v>
      </c>
      <c r="M3012" s="4">
        <v>50.4</v>
      </c>
    </row>
    <row r="3013">
      <c r="A3013" s="2">
        <v>45783</v>
      </c>
      <c r="B30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3" s="3" t="str">
        <f>YEAR(KMART_DATA[[#This Row],[Date]])&amp;"-"&amp;TEXT(MONTH(KMART_DATA[[#This Row],[Date]]),"00")</f>
        <v>2025-05</v>
      </c>
      <c r="D3013" s="3" t="s">
        <v>28</v>
      </c>
      <c r="E3013" s="3" t="s">
        <v>262</v>
      </c>
      <c r="F3013" s="3" t="s">
        <v>10</v>
      </c>
      <c r="G30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13" s="3" t="s">
        <v>263</v>
      </c>
      <c r="I3013" s="3" t="s">
        <v>31</v>
      </c>
      <c r="J3013" s="3" t="s">
        <v>120</v>
      </c>
      <c r="K3013" s="3" t="s">
        <v>46</v>
      </c>
      <c r="L3013" s="3" t="s">
        <v>47</v>
      </c>
      <c r="M3013" s="4">
        <v>90.93</v>
      </c>
    </row>
    <row r="3014">
      <c r="A3014" s="2">
        <v>45783</v>
      </c>
      <c r="B30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4" s="3" t="str">
        <f>YEAR(KMART_DATA[[#This Row],[Date]])&amp;"-"&amp;TEXT(MONTH(KMART_DATA[[#This Row],[Date]]),"00")</f>
        <v>2025-05</v>
      </c>
      <c r="D3014" s="3" t="s">
        <v>28</v>
      </c>
      <c r="E3014" s="3" t="s">
        <v>121</v>
      </c>
      <c r="F3014" s="3" t="s">
        <v>11</v>
      </c>
      <c r="G30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14" s="3" t="s">
        <v>122</v>
      </c>
      <c r="I3014" s="3" t="s">
        <v>31</v>
      </c>
      <c r="J3014" s="3" t="s">
        <v>84</v>
      </c>
      <c r="K3014" s="3" t="s">
        <v>123</v>
      </c>
      <c r="L3014" s="3" t="s">
        <v>124</v>
      </c>
      <c r="M3014" s="4">
        <v>176.37</v>
      </c>
    </row>
    <row r="3015">
      <c r="A3015" s="2">
        <v>45783</v>
      </c>
      <c r="B30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5" s="3" t="str">
        <f>YEAR(KMART_DATA[[#This Row],[Date]])&amp;"-"&amp;TEXT(MONTH(KMART_DATA[[#This Row],[Date]]),"00")</f>
        <v>2025-05</v>
      </c>
      <c r="D3015" s="3" t="s">
        <v>28</v>
      </c>
      <c r="E3015" s="3" t="s">
        <v>258</v>
      </c>
      <c r="F3015" s="3" t="s">
        <v>14</v>
      </c>
      <c r="G30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015" s="3" t="s">
        <v>259</v>
      </c>
      <c r="I3015" s="3" t="s">
        <v>31</v>
      </c>
      <c r="J3015" s="3" t="s">
        <v>145</v>
      </c>
      <c r="K3015" s="3" t="s">
        <v>57</v>
      </c>
      <c r="L3015" s="3" t="s">
        <v>58</v>
      </c>
      <c r="M3015" s="4">
        <v>290.77</v>
      </c>
    </row>
    <row r="3016">
      <c r="A3016" s="2">
        <v>45783</v>
      </c>
      <c r="B30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6" s="3" t="str">
        <f>YEAR(KMART_DATA[[#This Row],[Date]])&amp;"-"&amp;TEXT(MONTH(KMART_DATA[[#This Row],[Date]]),"00")</f>
        <v>2025-05</v>
      </c>
      <c r="D3016" s="3" t="s">
        <v>45</v>
      </c>
      <c r="E3016" s="3" t="s">
        <v>62</v>
      </c>
      <c r="F3016" s="3" t="s">
        <v>12</v>
      </c>
      <c r="G30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16" s="3" t="s">
        <v>63</v>
      </c>
      <c r="I3016" s="3" t="s">
        <v>31</v>
      </c>
      <c r="J3016" s="3" t="s">
        <v>50</v>
      </c>
      <c r="K3016" s="3" t="s">
        <v>71</v>
      </c>
      <c r="L3016" s="3" t="s">
        <v>72</v>
      </c>
      <c r="M3016" s="4">
        <v>942.92</v>
      </c>
    </row>
    <row r="3017">
      <c r="A3017" s="2">
        <v>45783</v>
      </c>
      <c r="B30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7" s="3" t="str">
        <f>YEAR(KMART_DATA[[#This Row],[Date]])&amp;"-"&amp;TEXT(MONTH(KMART_DATA[[#This Row],[Date]]),"00")</f>
        <v>2025-05</v>
      </c>
      <c r="D3017" s="3" t="s">
        <v>28</v>
      </c>
      <c r="E3017" s="3" t="s">
        <v>181</v>
      </c>
      <c r="F3017" s="3" t="s">
        <v>11</v>
      </c>
      <c r="G30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17" s="3" t="s">
        <v>182</v>
      </c>
      <c r="I3017" s="3" t="s">
        <v>31</v>
      </c>
      <c r="J3017" s="3" t="s">
        <v>56</v>
      </c>
      <c r="K3017" s="3" t="s">
        <v>71</v>
      </c>
      <c r="L3017" s="3" t="s">
        <v>72</v>
      </c>
      <c r="M3017" s="4">
        <v>2670.66</v>
      </c>
    </row>
    <row r="3018">
      <c r="A3018" s="2">
        <v>45783</v>
      </c>
      <c r="B30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8" s="3" t="str">
        <f>YEAR(KMART_DATA[[#This Row],[Date]])&amp;"-"&amp;TEXT(MONTH(KMART_DATA[[#This Row],[Date]]),"00")</f>
        <v>2025-05</v>
      </c>
      <c r="D3018" s="3" t="s">
        <v>28</v>
      </c>
      <c r="E3018" s="3" t="s">
        <v>90</v>
      </c>
      <c r="F3018" s="3" t="s">
        <v>10</v>
      </c>
      <c r="G30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18" s="3" t="s">
        <v>91</v>
      </c>
      <c r="I3018" s="3" t="s">
        <v>31</v>
      </c>
      <c r="J3018" s="3" t="s">
        <v>37</v>
      </c>
      <c r="K3018" s="3" t="s">
        <v>57</v>
      </c>
      <c r="L3018" s="3" t="s">
        <v>58</v>
      </c>
      <c r="M3018" s="4">
        <v>3300.76</v>
      </c>
    </row>
    <row r="3019">
      <c r="A3019" s="2">
        <v>45784</v>
      </c>
      <c r="B30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19" s="3" t="str">
        <f>YEAR(KMART_DATA[[#This Row],[Date]])&amp;"-"&amp;TEXT(MONTH(KMART_DATA[[#This Row],[Date]]),"00")</f>
        <v>2025-05</v>
      </c>
      <c r="D3019" s="3" t="s">
        <v>28</v>
      </c>
      <c r="E3019" s="3" t="s">
        <v>225</v>
      </c>
      <c r="F3019" s="3" t="s">
        <v>13</v>
      </c>
      <c r="G30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019" s="3" t="s">
        <v>226</v>
      </c>
      <c r="I3019" s="3" t="s">
        <v>31</v>
      </c>
      <c r="J3019" s="3" t="s">
        <v>227</v>
      </c>
      <c r="K3019" s="3" t="s">
        <v>43</v>
      </c>
      <c r="L3019" s="3" t="s">
        <v>44</v>
      </c>
      <c r="M3019" s="4">
        <v>37.47</v>
      </c>
    </row>
    <row r="3020">
      <c r="A3020" s="2">
        <v>45784</v>
      </c>
      <c r="B30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0" s="3" t="str">
        <f>YEAR(KMART_DATA[[#This Row],[Date]])&amp;"-"&amp;TEXT(MONTH(KMART_DATA[[#This Row],[Date]]),"00")</f>
        <v>2025-05</v>
      </c>
      <c r="D3020" s="3" t="s">
        <v>28</v>
      </c>
      <c r="E3020" s="3" t="s">
        <v>238</v>
      </c>
      <c r="F3020" s="3" t="s">
        <v>13</v>
      </c>
      <c r="G30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020" s="3" t="s">
        <v>239</v>
      </c>
      <c r="I3020" s="3" t="s">
        <v>31</v>
      </c>
      <c r="J3020" s="3" t="s">
        <v>42</v>
      </c>
      <c r="K3020" s="3" t="s">
        <v>123</v>
      </c>
      <c r="L3020" s="3" t="s">
        <v>124</v>
      </c>
      <c r="M3020" s="4">
        <v>359.75</v>
      </c>
    </row>
    <row r="3021">
      <c r="A3021" s="2">
        <v>45784</v>
      </c>
      <c r="B30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1" s="3" t="str">
        <f>YEAR(KMART_DATA[[#This Row],[Date]])&amp;"-"&amp;TEXT(MONTH(KMART_DATA[[#This Row],[Date]]),"00")</f>
        <v>2025-05</v>
      </c>
      <c r="D3021" s="3" t="s">
        <v>28</v>
      </c>
      <c r="E3021" s="3" t="s">
        <v>228</v>
      </c>
      <c r="F3021" s="3" t="s">
        <v>11</v>
      </c>
      <c r="G30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21" s="3" t="s">
        <v>229</v>
      </c>
      <c r="I3021" s="3" t="s">
        <v>31</v>
      </c>
      <c r="J3021" s="3" t="s">
        <v>32</v>
      </c>
      <c r="K3021" s="3" t="s">
        <v>95</v>
      </c>
      <c r="L3021" s="3" t="s">
        <v>96</v>
      </c>
      <c r="M3021" s="4">
        <v>965.06</v>
      </c>
    </row>
    <row r="3022">
      <c r="A3022" s="2">
        <v>45785</v>
      </c>
      <c r="B30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2" s="3" t="str">
        <f>YEAR(KMART_DATA[[#This Row],[Date]])&amp;"-"&amp;TEXT(MONTH(KMART_DATA[[#This Row],[Date]]),"00")</f>
        <v>2025-05</v>
      </c>
      <c r="D3022" s="3" t="s">
        <v>28</v>
      </c>
      <c r="E3022" s="3" t="s">
        <v>143</v>
      </c>
      <c r="F3022" s="3" t="s">
        <v>14</v>
      </c>
      <c r="G30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022" s="3" t="s">
        <v>144</v>
      </c>
      <c r="I3022" s="3" t="s">
        <v>31</v>
      </c>
      <c r="J3022" s="3" t="s">
        <v>145</v>
      </c>
      <c r="K3022" s="3" t="s">
        <v>71</v>
      </c>
      <c r="L3022" s="3" t="s">
        <v>72</v>
      </c>
      <c r="M3022" s="4">
        <v>3.0</v>
      </c>
    </row>
    <row r="3023">
      <c r="A3023" s="2">
        <v>45785</v>
      </c>
      <c r="B30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3" s="3" t="str">
        <f>YEAR(KMART_DATA[[#This Row],[Date]])&amp;"-"&amp;TEXT(MONTH(KMART_DATA[[#This Row],[Date]]),"00")</f>
        <v>2025-05</v>
      </c>
      <c r="D3023" s="3" t="s">
        <v>28</v>
      </c>
      <c r="E3023" s="3" t="s">
        <v>179</v>
      </c>
      <c r="F3023" s="3" t="s">
        <v>9</v>
      </c>
      <c r="G30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23" s="3" t="s">
        <v>180</v>
      </c>
      <c r="I3023" s="3" t="s">
        <v>31</v>
      </c>
      <c r="J3023" s="3" t="s">
        <v>99</v>
      </c>
      <c r="K3023" s="3" t="s">
        <v>71</v>
      </c>
      <c r="L3023" s="3" t="s">
        <v>72</v>
      </c>
      <c r="M3023" s="4">
        <v>36.67</v>
      </c>
    </row>
    <row r="3024">
      <c r="A3024" s="2">
        <v>45785</v>
      </c>
      <c r="B30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4" s="3" t="str">
        <f>YEAR(KMART_DATA[[#This Row],[Date]])&amp;"-"&amp;TEXT(MONTH(KMART_DATA[[#This Row],[Date]]),"00")</f>
        <v>2025-05</v>
      </c>
      <c r="D3024" s="3" t="s">
        <v>45</v>
      </c>
      <c r="E3024" s="3" t="s">
        <v>264</v>
      </c>
      <c r="F3024" s="3" t="s">
        <v>13</v>
      </c>
      <c r="G30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024" s="3" t="s">
        <v>265</v>
      </c>
      <c r="I3024" s="3" t="s">
        <v>31</v>
      </c>
      <c r="J3024" s="3" t="s">
        <v>42</v>
      </c>
      <c r="K3024" s="3" t="s">
        <v>38</v>
      </c>
      <c r="L3024" s="3" t="s">
        <v>39</v>
      </c>
      <c r="M3024" s="4">
        <v>65.88</v>
      </c>
    </row>
    <row r="3025">
      <c r="A3025" s="2">
        <v>45785</v>
      </c>
      <c r="B30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5" s="3" t="str">
        <f>YEAR(KMART_DATA[[#This Row],[Date]])&amp;"-"&amp;TEXT(MONTH(KMART_DATA[[#This Row],[Date]]),"00")</f>
        <v>2025-05</v>
      </c>
      <c r="D3025" s="3" t="s">
        <v>45</v>
      </c>
      <c r="E3025" s="3" t="s">
        <v>103</v>
      </c>
      <c r="F3025" s="3" t="s">
        <v>12</v>
      </c>
      <c r="G30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25" s="3" t="s">
        <v>104</v>
      </c>
      <c r="I3025" s="3" t="s">
        <v>31</v>
      </c>
      <c r="J3025" s="3" t="s">
        <v>102</v>
      </c>
      <c r="K3025" s="3" t="s">
        <v>123</v>
      </c>
      <c r="L3025" s="3" t="s">
        <v>124</v>
      </c>
      <c r="M3025" s="4">
        <v>94.93</v>
      </c>
    </row>
    <row r="3026">
      <c r="A3026" s="2">
        <v>45785</v>
      </c>
      <c r="B30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6" s="3" t="str">
        <f>YEAR(KMART_DATA[[#This Row],[Date]])&amp;"-"&amp;TEXT(MONTH(KMART_DATA[[#This Row],[Date]]),"00")</f>
        <v>2025-05</v>
      </c>
      <c r="D3026" s="3" t="s">
        <v>45</v>
      </c>
      <c r="E3026" s="3" t="s">
        <v>211</v>
      </c>
      <c r="F3026" s="3" t="s">
        <v>9</v>
      </c>
      <c r="G30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26" s="3" t="s">
        <v>212</v>
      </c>
      <c r="I3026" s="3" t="s">
        <v>31</v>
      </c>
      <c r="J3026" s="3" t="s">
        <v>75</v>
      </c>
      <c r="K3026" s="3" t="s">
        <v>112</v>
      </c>
      <c r="L3026" s="3" t="s">
        <v>113</v>
      </c>
      <c r="M3026" s="4">
        <v>122.77</v>
      </c>
    </row>
    <row r="3027">
      <c r="A3027" s="2">
        <v>45785</v>
      </c>
      <c r="B30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7" s="3" t="str">
        <f>YEAR(KMART_DATA[[#This Row],[Date]])&amp;"-"&amp;TEXT(MONTH(KMART_DATA[[#This Row],[Date]]),"00")</f>
        <v>2025-05</v>
      </c>
      <c r="D3027" s="3" t="s">
        <v>28</v>
      </c>
      <c r="E3027" s="3" t="s">
        <v>73</v>
      </c>
      <c r="F3027" s="3" t="s">
        <v>9</v>
      </c>
      <c r="G30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27" s="3" t="s">
        <v>74</v>
      </c>
      <c r="I3027" s="3" t="s">
        <v>31</v>
      </c>
      <c r="J3027" s="3" t="s">
        <v>75</v>
      </c>
      <c r="K3027" s="3" t="s">
        <v>33</v>
      </c>
      <c r="L3027" s="3" t="s">
        <v>34</v>
      </c>
      <c r="M3027" s="4">
        <v>286.61</v>
      </c>
    </row>
    <row r="3028">
      <c r="A3028" s="2">
        <v>45785</v>
      </c>
      <c r="B30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8" s="3" t="str">
        <f>YEAR(KMART_DATA[[#This Row],[Date]])&amp;"-"&amp;TEXT(MONTH(KMART_DATA[[#This Row],[Date]]),"00")</f>
        <v>2025-05</v>
      </c>
      <c r="D3028" s="3" t="s">
        <v>45</v>
      </c>
      <c r="E3028" s="3" t="s">
        <v>148</v>
      </c>
      <c r="F3028" s="3" t="s">
        <v>12</v>
      </c>
      <c r="G30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28" s="3" t="s">
        <v>149</v>
      </c>
      <c r="I3028" s="3" t="s">
        <v>31</v>
      </c>
      <c r="J3028" s="3" t="s">
        <v>50</v>
      </c>
      <c r="K3028" s="3" t="s">
        <v>71</v>
      </c>
      <c r="L3028" s="3" t="s">
        <v>72</v>
      </c>
      <c r="M3028" s="4">
        <v>1120.5</v>
      </c>
    </row>
    <row r="3029">
      <c r="A3029" s="2">
        <v>45785</v>
      </c>
      <c r="B30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29" s="3" t="str">
        <f>YEAR(KMART_DATA[[#This Row],[Date]])&amp;"-"&amp;TEXT(MONTH(KMART_DATA[[#This Row],[Date]]),"00")</f>
        <v>2025-05</v>
      </c>
      <c r="D3029" s="3" t="s">
        <v>28</v>
      </c>
      <c r="E3029" s="3" t="s">
        <v>156</v>
      </c>
      <c r="F3029" s="3" t="s">
        <v>9</v>
      </c>
      <c r="G30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29" s="3" t="s">
        <v>157</v>
      </c>
      <c r="I3029" s="3" t="s">
        <v>31</v>
      </c>
      <c r="J3029" s="3" t="s">
        <v>75</v>
      </c>
      <c r="K3029" s="3" t="s">
        <v>71</v>
      </c>
      <c r="L3029" s="3" t="s">
        <v>72</v>
      </c>
      <c r="M3029" s="4">
        <v>2621.51</v>
      </c>
    </row>
    <row r="3030">
      <c r="A3030" s="2">
        <v>45785</v>
      </c>
      <c r="B30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0" s="3" t="str">
        <f>YEAR(KMART_DATA[[#This Row],[Date]])&amp;"-"&amp;TEXT(MONTH(KMART_DATA[[#This Row],[Date]]),"00")</f>
        <v>2025-05</v>
      </c>
      <c r="D3030" s="3" t="s">
        <v>28</v>
      </c>
      <c r="E3030" s="3" t="s">
        <v>108</v>
      </c>
      <c r="F3030" s="3" t="s">
        <v>9</v>
      </c>
      <c r="G30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30" s="3" t="s">
        <v>109</v>
      </c>
      <c r="I3030" s="3" t="s">
        <v>31</v>
      </c>
      <c r="J3030" s="3" t="s">
        <v>75</v>
      </c>
      <c r="K3030" s="3" t="s">
        <v>57</v>
      </c>
      <c r="L3030" s="3" t="s">
        <v>58</v>
      </c>
      <c r="M3030" s="4">
        <v>7909.75</v>
      </c>
    </row>
    <row r="3031">
      <c r="A3031" s="2">
        <v>45786</v>
      </c>
      <c r="B30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1" s="3" t="str">
        <f>YEAR(KMART_DATA[[#This Row],[Date]])&amp;"-"&amp;TEXT(MONTH(KMART_DATA[[#This Row],[Date]]),"00")</f>
        <v>2025-05</v>
      </c>
      <c r="D3031" s="3" t="s">
        <v>28</v>
      </c>
      <c r="E3031" s="3" t="s">
        <v>215</v>
      </c>
      <c r="F3031" s="3" t="s">
        <v>15</v>
      </c>
      <c r="G30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031" s="3" t="s">
        <v>216</v>
      </c>
      <c r="I3031" s="3" t="s">
        <v>31</v>
      </c>
      <c r="J3031" s="3" t="s">
        <v>53</v>
      </c>
      <c r="K3031" s="3" t="s">
        <v>123</v>
      </c>
      <c r="L3031" s="3" t="s">
        <v>124</v>
      </c>
      <c r="M3031" s="4">
        <v>9.98</v>
      </c>
    </row>
    <row r="3032">
      <c r="A3032" s="2">
        <v>45786</v>
      </c>
      <c r="B30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2" s="3" t="str">
        <f>YEAR(KMART_DATA[[#This Row],[Date]])&amp;"-"&amp;TEXT(MONTH(KMART_DATA[[#This Row],[Date]]),"00")</f>
        <v>2025-05</v>
      </c>
      <c r="D3032" s="3" t="s">
        <v>28</v>
      </c>
      <c r="E3032" s="3" t="s">
        <v>90</v>
      </c>
      <c r="F3032" s="3" t="s">
        <v>10</v>
      </c>
      <c r="G30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32" s="3" t="s">
        <v>91</v>
      </c>
      <c r="I3032" s="3" t="s">
        <v>31</v>
      </c>
      <c r="J3032" s="3" t="s">
        <v>37</v>
      </c>
      <c r="K3032" s="3" t="s">
        <v>95</v>
      </c>
      <c r="L3032" s="3" t="s">
        <v>96</v>
      </c>
      <c r="M3032" s="4">
        <v>65.89</v>
      </c>
    </row>
    <row r="3033">
      <c r="A3033" s="2">
        <v>45786</v>
      </c>
      <c r="B30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3" s="3" t="str">
        <f>YEAR(KMART_DATA[[#This Row],[Date]])&amp;"-"&amp;TEXT(MONTH(KMART_DATA[[#This Row],[Date]]),"00")</f>
        <v>2025-05</v>
      </c>
      <c r="D3033" s="3" t="s">
        <v>45</v>
      </c>
      <c r="E3033" s="3" t="s">
        <v>163</v>
      </c>
      <c r="F3033" s="3" t="s">
        <v>9</v>
      </c>
      <c r="G30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33" s="3" t="s">
        <v>164</v>
      </c>
      <c r="I3033" s="3" t="s">
        <v>31</v>
      </c>
      <c r="J3033" s="3" t="s">
        <v>81</v>
      </c>
      <c r="K3033" s="3" t="s">
        <v>95</v>
      </c>
      <c r="L3033" s="3" t="s">
        <v>96</v>
      </c>
      <c r="M3033" s="4">
        <v>175.76</v>
      </c>
    </row>
    <row r="3034">
      <c r="A3034" s="2">
        <v>45786</v>
      </c>
      <c r="B30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4" s="3" t="str">
        <f>YEAR(KMART_DATA[[#This Row],[Date]])&amp;"-"&amp;TEXT(MONTH(KMART_DATA[[#This Row],[Date]]),"00")</f>
        <v>2025-05</v>
      </c>
      <c r="D3034" s="3" t="s">
        <v>28</v>
      </c>
      <c r="E3034" s="3" t="s">
        <v>171</v>
      </c>
      <c r="F3034" s="3" t="s">
        <v>10</v>
      </c>
      <c r="G30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34" s="3" t="s">
        <v>172</v>
      </c>
      <c r="I3034" s="3" t="s">
        <v>31</v>
      </c>
      <c r="J3034" s="3" t="s">
        <v>37</v>
      </c>
      <c r="K3034" s="3" t="s">
        <v>57</v>
      </c>
      <c r="L3034" s="3" t="s">
        <v>58</v>
      </c>
      <c r="M3034" s="4">
        <v>698.73</v>
      </c>
    </row>
    <row r="3035">
      <c r="A3035" s="2">
        <v>45787</v>
      </c>
      <c r="B30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5" s="3" t="str">
        <f>YEAR(KMART_DATA[[#This Row],[Date]])&amp;"-"&amp;TEXT(MONTH(KMART_DATA[[#This Row],[Date]]),"00")</f>
        <v>2025-05</v>
      </c>
      <c r="D3035" s="3" t="s">
        <v>28</v>
      </c>
      <c r="E3035" s="3" t="s">
        <v>141</v>
      </c>
      <c r="F3035" s="3" t="s">
        <v>9</v>
      </c>
      <c r="G30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35" s="3" t="s">
        <v>142</v>
      </c>
      <c r="I3035" s="3" t="s">
        <v>31</v>
      </c>
      <c r="J3035" s="3" t="s">
        <v>107</v>
      </c>
      <c r="K3035" s="3" t="s">
        <v>43</v>
      </c>
      <c r="L3035" s="3" t="s">
        <v>44</v>
      </c>
      <c r="M3035" s="4">
        <v>13.0</v>
      </c>
    </row>
    <row r="3036">
      <c r="A3036" s="2">
        <v>45787</v>
      </c>
      <c r="B30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6" s="3" t="str">
        <f>YEAR(KMART_DATA[[#This Row],[Date]])&amp;"-"&amp;TEXT(MONTH(KMART_DATA[[#This Row],[Date]]),"00")</f>
        <v>2025-05</v>
      </c>
      <c r="D3036" s="3" t="s">
        <v>28</v>
      </c>
      <c r="E3036" s="3" t="s">
        <v>179</v>
      </c>
      <c r="F3036" s="3" t="s">
        <v>9</v>
      </c>
      <c r="G30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36" s="3" t="s">
        <v>180</v>
      </c>
      <c r="I3036" s="3" t="s">
        <v>31</v>
      </c>
      <c r="J3036" s="3" t="s">
        <v>99</v>
      </c>
      <c r="K3036" s="3" t="s">
        <v>38</v>
      </c>
      <c r="L3036" s="3" t="s">
        <v>39</v>
      </c>
      <c r="M3036" s="4">
        <v>52.52</v>
      </c>
    </row>
    <row r="3037">
      <c r="A3037" s="2">
        <v>45787</v>
      </c>
      <c r="B30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7" s="3" t="str">
        <f>YEAR(KMART_DATA[[#This Row],[Date]])&amp;"-"&amp;TEXT(MONTH(KMART_DATA[[#This Row],[Date]]),"00")</f>
        <v>2025-05</v>
      </c>
      <c r="D3037" s="3" t="s">
        <v>45</v>
      </c>
      <c r="E3037" s="3" t="s">
        <v>191</v>
      </c>
      <c r="F3037" s="3" t="s">
        <v>10</v>
      </c>
      <c r="G30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37" s="3" t="s">
        <v>192</v>
      </c>
      <c r="I3037" s="3" t="s">
        <v>31</v>
      </c>
      <c r="J3037" s="3" t="s">
        <v>120</v>
      </c>
      <c r="K3037" s="3" t="s">
        <v>38</v>
      </c>
      <c r="L3037" s="3" t="s">
        <v>39</v>
      </c>
      <c r="M3037" s="4">
        <v>56.81</v>
      </c>
    </row>
    <row r="3038">
      <c r="A3038" s="2">
        <v>45787</v>
      </c>
      <c r="B30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8" s="3" t="str">
        <f>YEAR(KMART_DATA[[#This Row],[Date]])&amp;"-"&amp;TEXT(MONTH(KMART_DATA[[#This Row],[Date]]),"00")</f>
        <v>2025-05</v>
      </c>
      <c r="D3038" s="3" t="s">
        <v>45</v>
      </c>
      <c r="E3038" s="3" t="s">
        <v>108</v>
      </c>
      <c r="F3038" s="3" t="s">
        <v>9</v>
      </c>
      <c r="G30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38" s="3" t="s">
        <v>109</v>
      </c>
      <c r="I3038" s="3" t="s">
        <v>31</v>
      </c>
      <c r="J3038" s="3" t="s">
        <v>75</v>
      </c>
      <c r="K3038" s="3" t="s">
        <v>43</v>
      </c>
      <c r="L3038" s="3" t="s">
        <v>44</v>
      </c>
      <c r="M3038" s="4">
        <v>234.68</v>
      </c>
    </row>
    <row r="3039">
      <c r="A3039" s="2">
        <v>45788</v>
      </c>
      <c r="B30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39" s="3" t="str">
        <f>YEAR(KMART_DATA[[#This Row],[Date]])&amp;"-"&amp;TEXT(MONTH(KMART_DATA[[#This Row],[Date]]),"00")</f>
        <v>2025-05</v>
      </c>
      <c r="D3039" s="3" t="s">
        <v>45</v>
      </c>
      <c r="E3039" s="3" t="s">
        <v>211</v>
      </c>
      <c r="F3039" s="3" t="s">
        <v>9</v>
      </c>
      <c r="G30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39" s="3" t="s">
        <v>212</v>
      </c>
      <c r="I3039" s="3" t="s">
        <v>31</v>
      </c>
      <c r="J3039" s="3" t="s">
        <v>75</v>
      </c>
      <c r="K3039" s="3" t="s">
        <v>95</v>
      </c>
      <c r="L3039" s="3" t="s">
        <v>96</v>
      </c>
      <c r="M3039" s="4">
        <v>1.8</v>
      </c>
    </row>
    <row r="3040">
      <c r="A3040" s="2">
        <v>45788</v>
      </c>
      <c r="B30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0" s="3" t="str">
        <f>YEAR(KMART_DATA[[#This Row],[Date]])&amp;"-"&amp;TEXT(MONTH(KMART_DATA[[#This Row],[Date]]),"00")</f>
        <v>2025-05</v>
      </c>
      <c r="D3040" s="3" t="s">
        <v>28</v>
      </c>
      <c r="E3040" s="3" t="s">
        <v>76</v>
      </c>
      <c r="F3040" s="3" t="s">
        <v>11</v>
      </c>
      <c r="G30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40" s="3" t="s">
        <v>77</v>
      </c>
      <c r="I3040" s="3" t="s">
        <v>31</v>
      </c>
      <c r="J3040" s="3" t="s">
        <v>78</v>
      </c>
      <c r="K3040" s="3" t="s">
        <v>43</v>
      </c>
      <c r="L3040" s="3" t="s">
        <v>44</v>
      </c>
      <c r="M3040" s="4">
        <v>6.5</v>
      </c>
    </row>
    <row r="3041">
      <c r="A3041" s="2">
        <v>45788</v>
      </c>
      <c r="B30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1" s="3" t="str">
        <f>YEAR(KMART_DATA[[#This Row],[Date]])&amp;"-"&amp;TEXT(MONTH(KMART_DATA[[#This Row],[Date]]),"00")</f>
        <v>2025-05</v>
      </c>
      <c r="D3041" s="3" t="s">
        <v>28</v>
      </c>
      <c r="E3041" s="3" t="s">
        <v>193</v>
      </c>
      <c r="F3041" s="3" t="s">
        <v>9</v>
      </c>
      <c r="G30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41" s="3" t="s">
        <v>194</v>
      </c>
      <c r="I3041" s="3" t="s">
        <v>31</v>
      </c>
      <c r="J3041" s="3" t="s">
        <v>99</v>
      </c>
      <c r="K3041" s="3" t="s">
        <v>57</v>
      </c>
      <c r="L3041" s="3" t="s">
        <v>58</v>
      </c>
      <c r="M3041" s="4">
        <v>151.76</v>
      </c>
    </row>
    <row r="3042">
      <c r="A3042" s="2">
        <v>45788</v>
      </c>
      <c r="B30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2" s="3" t="str">
        <f>YEAR(KMART_DATA[[#This Row],[Date]])&amp;"-"&amp;TEXT(MONTH(KMART_DATA[[#This Row],[Date]]),"00")</f>
        <v>2025-05</v>
      </c>
      <c r="D3042" s="3" t="s">
        <v>28</v>
      </c>
      <c r="E3042" s="3" t="s">
        <v>90</v>
      </c>
      <c r="F3042" s="3" t="s">
        <v>10</v>
      </c>
      <c r="G30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42" s="3" t="s">
        <v>91</v>
      </c>
      <c r="I3042" s="3" t="s">
        <v>31</v>
      </c>
      <c r="J3042" s="3" t="s">
        <v>37</v>
      </c>
      <c r="K3042" s="3" t="s">
        <v>43</v>
      </c>
      <c r="L3042" s="3" t="s">
        <v>44</v>
      </c>
      <c r="M3042" s="4">
        <v>242.86</v>
      </c>
    </row>
    <row r="3043">
      <c r="A3043" s="2">
        <v>45788</v>
      </c>
      <c r="B30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3" s="3" t="str">
        <f>YEAR(KMART_DATA[[#This Row],[Date]])&amp;"-"&amp;TEXT(MONTH(KMART_DATA[[#This Row],[Date]]),"00")</f>
        <v>2025-05</v>
      </c>
      <c r="D3043" s="3" t="s">
        <v>28</v>
      </c>
      <c r="E3043" s="3" t="s">
        <v>169</v>
      </c>
      <c r="F3043" s="3" t="s">
        <v>12</v>
      </c>
      <c r="G30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43" s="3" t="s">
        <v>170</v>
      </c>
      <c r="I3043" s="3" t="s">
        <v>31</v>
      </c>
      <c r="J3043" s="3" t="s">
        <v>102</v>
      </c>
      <c r="K3043" s="3" t="s">
        <v>95</v>
      </c>
      <c r="L3043" s="3" t="s">
        <v>96</v>
      </c>
      <c r="M3043" s="4">
        <v>604.06</v>
      </c>
    </row>
    <row r="3044">
      <c r="A3044" s="2">
        <v>45788</v>
      </c>
      <c r="B30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4" s="3" t="str">
        <f>YEAR(KMART_DATA[[#This Row],[Date]])&amp;"-"&amp;TEXT(MONTH(KMART_DATA[[#This Row],[Date]]),"00")</f>
        <v>2025-05</v>
      </c>
      <c r="D3044" s="3" t="s">
        <v>28</v>
      </c>
      <c r="E3044" s="3" t="s">
        <v>139</v>
      </c>
      <c r="F3044" s="3" t="s">
        <v>10</v>
      </c>
      <c r="G30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44" s="3" t="s">
        <v>140</v>
      </c>
      <c r="I3044" s="3" t="s">
        <v>31</v>
      </c>
      <c r="J3044" s="3" t="s">
        <v>89</v>
      </c>
      <c r="K3044" s="3" t="s">
        <v>38</v>
      </c>
      <c r="L3044" s="3" t="s">
        <v>39</v>
      </c>
      <c r="M3044" s="4">
        <v>982.19</v>
      </c>
    </row>
    <row r="3045">
      <c r="A3045" s="2">
        <v>45788</v>
      </c>
      <c r="B30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5" s="3" t="str">
        <f>YEAR(KMART_DATA[[#This Row],[Date]])&amp;"-"&amp;TEXT(MONTH(KMART_DATA[[#This Row],[Date]]),"00")</f>
        <v>2025-05</v>
      </c>
      <c r="D3045" s="3" t="s">
        <v>28</v>
      </c>
      <c r="E3045" s="3" t="s">
        <v>187</v>
      </c>
      <c r="F3045" s="3" t="s">
        <v>11</v>
      </c>
      <c r="G30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45" s="3" t="s">
        <v>188</v>
      </c>
      <c r="I3045" s="3" t="s">
        <v>31</v>
      </c>
      <c r="J3045" s="3" t="s">
        <v>78</v>
      </c>
      <c r="K3045" s="3" t="s">
        <v>46</v>
      </c>
      <c r="L3045" s="3" t="s">
        <v>47</v>
      </c>
      <c r="M3045" s="4">
        <v>1233.97</v>
      </c>
    </row>
    <row r="3046">
      <c r="A3046" s="2">
        <v>45788</v>
      </c>
      <c r="B30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6" s="3" t="str">
        <f>YEAR(KMART_DATA[[#This Row],[Date]])&amp;"-"&amp;TEXT(MONTH(KMART_DATA[[#This Row],[Date]]),"00")</f>
        <v>2025-05</v>
      </c>
      <c r="D3046" s="3" t="s">
        <v>28</v>
      </c>
      <c r="E3046" s="3" t="s">
        <v>114</v>
      </c>
      <c r="F3046" s="3" t="s">
        <v>9</v>
      </c>
      <c r="G30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46" s="3" t="s">
        <v>115</v>
      </c>
      <c r="I3046" s="3" t="s">
        <v>31</v>
      </c>
      <c r="J3046" s="3" t="s">
        <v>99</v>
      </c>
      <c r="K3046" s="3" t="s">
        <v>46</v>
      </c>
      <c r="L3046" s="3" t="s">
        <v>47</v>
      </c>
      <c r="M3046" s="4">
        <v>1789.21</v>
      </c>
    </row>
    <row r="3047">
      <c r="A3047" s="2">
        <v>45789</v>
      </c>
      <c r="B30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7" s="3" t="str">
        <f>YEAR(KMART_DATA[[#This Row],[Date]])&amp;"-"&amp;TEXT(MONTH(KMART_DATA[[#This Row],[Date]]),"00")</f>
        <v>2025-05</v>
      </c>
      <c r="D3047" s="3" t="s">
        <v>45</v>
      </c>
      <c r="E3047" s="3" t="s">
        <v>230</v>
      </c>
      <c r="F3047" s="3" t="s">
        <v>13</v>
      </c>
      <c r="G30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047" s="3" t="s">
        <v>231</v>
      </c>
      <c r="I3047" s="3" t="s">
        <v>31</v>
      </c>
      <c r="J3047" s="3" t="s">
        <v>227</v>
      </c>
      <c r="K3047" s="3" t="s">
        <v>123</v>
      </c>
      <c r="L3047" s="3" t="s">
        <v>124</v>
      </c>
      <c r="M3047" s="4">
        <v>41.75</v>
      </c>
    </row>
    <row r="3048">
      <c r="A3048" s="2">
        <v>45789</v>
      </c>
      <c r="B30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8" s="3" t="str">
        <f>YEAR(KMART_DATA[[#This Row],[Date]])&amp;"-"&amp;TEXT(MONTH(KMART_DATA[[#This Row],[Date]]),"00")</f>
        <v>2025-05</v>
      </c>
      <c r="D3048" s="3" t="s">
        <v>45</v>
      </c>
      <c r="E3048" s="3" t="s">
        <v>156</v>
      </c>
      <c r="F3048" s="3" t="s">
        <v>9</v>
      </c>
      <c r="G30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48" s="3" t="s">
        <v>157</v>
      </c>
      <c r="I3048" s="3" t="s">
        <v>31</v>
      </c>
      <c r="J3048" s="3" t="s">
        <v>75</v>
      </c>
      <c r="K3048" s="3" t="s">
        <v>46</v>
      </c>
      <c r="L3048" s="3" t="s">
        <v>47</v>
      </c>
      <c r="M3048" s="4">
        <v>259.31</v>
      </c>
    </row>
    <row r="3049">
      <c r="A3049" s="2">
        <v>45789</v>
      </c>
      <c r="B30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49" s="3" t="str">
        <f>YEAR(KMART_DATA[[#This Row],[Date]])&amp;"-"&amp;TEXT(MONTH(KMART_DATA[[#This Row],[Date]]),"00")</f>
        <v>2025-05</v>
      </c>
      <c r="D3049" s="3" t="s">
        <v>28</v>
      </c>
      <c r="E3049" s="3" t="s">
        <v>236</v>
      </c>
      <c r="F3049" s="3" t="s">
        <v>12</v>
      </c>
      <c r="G30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49" s="3" t="s">
        <v>237</v>
      </c>
      <c r="I3049" s="3" t="s">
        <v>31</v>
      </c>
      <c r="J3049" s="3" t="s">
        <v>102</v>
      </c>
      <c r="K3049" s="3" t="s">
        <v>43</v>
      </c>
      <c r="L3049" s="3" t="s">
        <v>44</v>
      </c>
      <c r="M3049" s="4">
        <v>317.68</v>
      </c>
    </row>
    <row r="3050">
      <c r="A3050" s="2">
        <v>45789</v>
      </c>
      <c r="B30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0" s="3" t="str">
        <f>YEAR(KMART_DATA[[#This Row],[Date]])&amp;"-"&amp;TEXT(MONTH(KMART_DATA[[#This Row],[Date]]),"00")</f>
        <v>2025-05</v>
      </c>
      <c r="D3050" s="3" t="s">
        <v>28</v>
      </c>
      <c r="E3050" s="3" t="s">
        <v>64</v>
      </c>
      <c r="F3050" s="3" t="s">
        <v>11</v>
      </c>
      <c r="G30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50" s="3" t="s">
        <v>65</v>
      </c>
      <c r="I3050" s="3" t="s">
        <v>31</v>
      </c>
      <c r="J3050" s="3" t="s">
        <v>61</v>
      </c>
      <c r="K3050" s="3" t="s">
        <v>43</v>
      </c>
      <c r="L3050" s="3" t="s">
        <v>44</v>
      </c>
      <c r="M3050" s="4">
        <v>1094.07</v>
      </c>
    </row>
    <row r="3051">
      <c r="A3051" s="2">
        <v>45789</v>
      </c>
      <c r="B30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1" s="3" t="str">
        <f>YEAR(KMART_DATA[[#This Row],[Date]])&amp;"-"&amp;TEXT(MONTH(KMART_DATA[[#This Row],[Date]]),"00")</f>
        <v>2025-05</v>
      </c>
      <c r="D3051" s="3" t="s">
        <v>28</v>
      </c>
      <c r="E3051" s="3" t="s">
        <v>211</v>
      </c>
      <c r="F3051" s="3" t="s">
        <v>9</v>
      </c>
      <c r="G30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51" s="3" t="s">
        <v>212</v>
      </c>
      <c r="I3051" s="3" t="s">
        <v>31</v>
      </c>
      <c r="J3051" s="3" t="s">
        <v>75</v>
      </c>
      <c r="K3051" s="3" t="s">
        <v>71</v>
      </c>
      <c r="L3051" s="3" t="s">
        <v>72</v>
      </c>
      <c r="M3051" s="4">
        <v>1364.04</v>
      </c>
    </row>
    <row r="3052">
      <c r="A3052" s="2">
        <v>45790</v>
      </c>
      <c r="B30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2" s="3" t="str">
        <f>YEAR(KMART_DATA[[#This Row],[Date]])&amp;"-"&amp;TEXT(MONTH(KMART_DATA[[#This Row],[Date]]),"00")</f>
        <v>2025-05</v>
      </c>
      <c r="D3052" s="3" t="s">
        <v>28</v>
      </c>
      <c r="E3052" s="3" t="s">
        <v>242</v>
      </c>
      <c r="F3052" s="3" t="s">
        <v>10</v>
      </c>
      <c r="G30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52" s="3" t="s">
        <v>243</v>
      </c>
      <c r="I3052" s="3" t="s">
        <v>31</v>
      </c>
      <c r="J3052" s="3" t="s">
        <v>94</v>
      </c>
      <c r="K3052" s="3" t="s">
        <v>123</v>
      </c>
      <c r="L3052" s="3" t="s">
        <v>124</v>
      </c>
      <c r="M3052" s="4">
        <v>4.99</v>
      </c>
    </row>
    <row r="3053">
      <c r="A3053" s="2">
        <v>45790</v>
      </c>
      <c r="B30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3" s="3" t="str">
        <f>YEAR(KMART_DATA[[#This Row],[Date]])&amp;"-"&amp;TEXT(MONTH(KMART_DATA[[#This Row],[Date]]),"00")</f>
        <v>2025-05</v>
      </c>
      <c r="D3053" s="3" t="s">
        <v>28</v>
      </c>
      <c r="E3053" s="3" t="s">
        <v>209</v>
      </c>
      <c r="F3053" s="3" t="s">
        <v>9</v>
      </c>
      <c r="G30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53" s="3" t="s">
        <v>210</v>
      </c>
      <c r="I3053" s="3" t="s">
        <v>31</v>
      </c>
      <c r="J3053" s="3" t="s">
        <v>81</v>
      </c>
      <c r="K3053" s="3" t="s">
        <v>46</v>
      </c>
      <c r="L3053" s="3" t="s">
        <v>47</v>
      </c>
      <c r="M3053" s="4">
        <v>38.97</v>
      </c>
    </row>
    <row r="3054">
      <c r="A3054" s="2">
        <v>45790</v>
      </c>
      <c r="B30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4" s="3" t="str">
        <f>YEAR(KMART_DATA[[#This Row],[Date]])&amp;"-"&amp;TEXT(MONTH(KMART_DATA[[#This Row],[Date]]),"00")</f>
        <v>2025-05</v>
      </c>
      <c r="D3054" s="3" t="s">
        <v>45</v>
      </c>
      <c r="E3054" s="3" t="s">
        <v>133</v>
      </c>
      <c r="F3054" s="3" t="s">
        <v>10</v>
      </c>
      <c r="G30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54" s="3" t="s">
        <v>134</v>
      </c>
      <c r="I3054" s="3" t="s">
        <v>31</v>
      </c>
      <c r="J3054" s="3" t="s">
        <v>37</v>
      </c>
      <c r="K3054" s="3" t="s">
        <v>43</v>
      </c>
      <c r="L3054" s="3" t="s">
        <v>44</v>
      </c>
      <c r="M3054" s="4">
        <v>72.94</v>
      </c>
    </row>
    <row r="3055">
      <c r="A3055" s="2">
        <v>45790</v>
      </c>
      <c r="B30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5" s="3" t="str">
        <f>YEAR(KMART_DATA[[#This Row],[Date]])&amp;"-"&amp;TEXT(MONTH(KMART_DATA[[#This Row],[Date]]),"00")</f>
        <v>2025-05</v>
      </c>
      <c r="D3055" s="3" t="s">
        <v>28</v>
      </c>
      <c r="E3055" s="3" t="s">
        <v>221</v>
      </c>
      <c r="F3055" s="3" t="s">
        <v>11</v>
      </c>
      <c r="G30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55" s="3" t="s">
        <v>222</v>
      </c>
      <c r="I3055" s="3" t="s">
        <v>31</v>
      </c>
      <c r="J3055" s="3" t="s">
        <v>56</v>
      </c>
      <c r="K3055" s="3" t="s">
        <v>46</v>
      </c>
      <c r="L3055" s="3" t="s">
        <v>47</v>
      </c>
      <c r="M3055" s="4">
        <v>466.79</v>
      </c>
    </row>
    <row r="3056">
      <c r="A3056" s="2">
        <v>45790</v>
      </c>
      <c r="B30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6" s="3" t="str">
        <f>YEAR(KMART_DATA[[#This Row],[Date]])&amp;"-"&amp;TEXT(MONTH(KMART_DATA[[#This Row],[Date]]),"00")</f>
        <v>2025-05</v>
      </c>
      <c r="D3056" s="3" t="s">
        <v>45</v>
      </c>
      <c r="E3056" s="3" t="s">
        <v>100</v>
      </c>
      <c r="F3056" s="3" t="s">
        <v>12</v>
      </c>
      <c r="G30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56" s="3" t="s">
        <v>101</v>
      </c>
      <c r="I3056" s="3" t="s">
        <v>31</v>
      </c>
      <c r="J3056" s="3" t="s">
        <v>102</v>
      </c>
      <c r="K3056" s="3" t="s">
        <v>46</v>
      </c>
      <c r="L3056" s="3" t="s">
        <v>47</v>
      </c>
      <c r="M3056" s="4">
        <v>1010.25</v>
      </c>
    </row>
    <row r="3057">
      <c r="A3057" s="2">
        <v>45790</v>
      </c>
      <c r="B30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7" s="3" t="str">
        <f>YEAR(KMART_DATA[[#This Row],[Date]])&amp;"-"&amp;TEXT(MONTH(KMART_DATA[[#This Row],[Date]]),"00")</f>
        <v>2025-05</v>
      </c>
      <c r="D3057" s="3" t="s">
        <v>28</v>
      </c>
      <c r="E3057" s="3" t="s">
        <v>59</v>
      </c>
      <c r="F3057" s="3" t="s">
        <v>11</v>
      </c>
      <c r="G30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57" s="3" t="s">
        <v>60</v>
      </c>
      <c r="I3057" s="3" t="s">
        <v>31</v>
      </c>
      <c r="J3057" s="3" t="s">
        <v>61</v>
      </c>
      <c r="K3057" s="3" t="s">
        <v>57</v>
      </c>
      <c r="L3057" s="3" t="s">
        <v>58</v>
      </c>
      <c r="M3057" s="4">
        <v>1065.18</v>
      </c>
    </row>
    <row r="3058">
      <c r="A3058" s="2">
        <v>45790</v>
      </c>
      <c r="B30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8" s="3" t="str">
        <f>YEAR(KMART_DATA[[#This Row],[Date]])&amp;"-"&amp;TEXT(MONTH(KMART_DATA[[#This Row],[Date]]),"00")</f>
        <v>2025-05</v>
      </c>
      <c r="D3058" s="3" t="s">
        <v>28</v>
      </c>
      <c r="E3058" s="3" t="s">
        <v>232</v>
      </c>
      <c r="F3058" s="3" t="s">
        <v>9</v>
      </c>
      <c r="G30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58" s="3" t="s">
        <v>233</v>
      </c>
      <c r="I3058" s="3" t="s">
        <v>31</v>
      </c>
      <c r="J3058" s="3" t="s">
        <v>75</v>
      </c>
      <c r="K3058" s="3" t="s">
        <v>46</v>
      </c>
      <c r="L3058" s="3" t="s">
        <v>47</v>
      </c>
      <c r="M3058" s="4">
        <v>2836.6</v>
      </c>
    </row>
    <row r="3059">
      <c r="A3059" s="2">
        <v>45791</v>
      </c>
      <c r="B30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59" s="3" t="str">
        <f>YEAR(KMART_DATA[[#This Row],[Date]])&amp;"-"&amp;TEXT(MONTH(KMART_DATA[[#This Row],[Date]]),"00")</f>
        <v>2025-05</v>
      </c>
      <c r="D3059" s="3" t="s">
        <v>45</v>
      </c>
      <c r="E3059" s="3" t="s">
        <v>73</v>
      </c>
      <c r="F3059" s="3" t="s">
        <v>9</v>
      </c>
      <c r="G30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59" s="3" t="s">
        <v>74</v>
      </c>
      <c r="I3059" s="3" t="s">
        <v>31</v>
      </c>
      <c r="J3059" s="3" t="s">
        <v>75</v>
      </c>
      <c r="K3059" s="3" t="s">
        <v>112</v>
      </c>
      <c r="L3059" s="3" t="s">
        <v>113</v>
      </c>
      <c r="M3059" s="4">
        <v>9.95</v>
      </c>
    </row>
    <row r="3060">
      <c r="A3060" s="2">
        <v>45791</v>
      </c>
      <c r="B30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0" s="3" t="str">
        <f>YEAR(KMART_DATA[[#This Row],[Date]])&amp;"-"&amp;TEXT(MONTH(KMART_DATA[[#This Row],[Date]]),"00")</f>
        <v>2025-05</v>
      </c>
      <c r="D3060" s="3" t="s">
        <v>45</v>
      </c>
      <c r="E3060" s="3" t="s">
        <v>185</v>
      </c>
      <c r="F3060" s="3" t="s">
        <v>12</v>
      </c>
      <c r="G30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60" s="3" t="s">
        <v>186</v>
      </c>
      <c r="I3060" s="3" t="s">
        <v>31</v>
      </c>
      <c r="J3060" s="3" t="s">
        <v>162</v>
      </c>
      <c r="K3060" s="3" t="s">
        <v>71</v>
      </c>
      <c r="L3060" s="3" t="s">
        <v>72</v>
      </c>
      <c r="M3060" s="4">
        <v>14.99</v>
      </c>
    </row>
    <row r="3061">
      <c r="A3061" s="2">
        <v>45791</v>
      </c>
      <c r="B30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1" s="3" t="str">
        <f>YEAR(KMART_DATA[[#This Row],[Date]])&amp;"-"&amp;TEXT(MONTH(KMART_DATA[[#This Row],[Date]]),"00")</f>
        <v>2025-05</v>
      </c>
      <c r="D3061" s="3" t="s">
        <v>28</v>
      </c>
      <c r="E3061" s="3" t="s">
        <v>97</v>
      </c>
      <c r="F3061" s="3" t="s">
        <v>9</v>
      </c>
      <c r="G30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61" s="3" t="s">
        <v>98</v>
      </c>
      <c r="I3061" s="3" t="s">
        <v>31</v>
      </c>
      <c r="J3061" s="3" t="s">
        <v>99</v>
      </c>
      <c r="K3061" s="3" t="s">
        <v>95</v>
      </c>
      <c r="L3061" s="3" t="s">
        <v>96</v>
      </c>
      <c r="M3061" s="4">
        <v>64.98</v>
      </c>
    </row>
    <row r="3062">
      <c r="A3062" s="2">
        <v>45791</v>
      </c>
      <c r="B30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2" s="3" t="str">
        <f>YEAR(KMART_DATA[[#This Row],[Date]])&amp;"-"&amp;TEXT(MONTH(KMART_DATA[[#This Row],[Date]]),"00")</f>
        <v>2025-05</v>
      </c>
      <c r="D3062" s="3" t="s">
        <v>28</v>
      </c>
      <c r="E3062" s="3" t="s">
        <v>254</v>
      </c>
      <c r="F3062" s="3" t="s">
        <v>13</v>
      </c>
      <c r="G30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062" s="3" t="s">
        <v>255</v>
      </c>
      <c r="I3062" s="3" t="s">
        <v>31</v>
      </c>
      <c r="J3062" s="3" t="s">
        <v>227</v>
      </c>
      <c r="K3062" s="3" t="s">
        <v>38</v>
      </c>
      <c r="L3062" s="3" t="s">
        <v>39</v>
      </c>
      <c r="M3062" s="4">
        <v>104.84</v>
      </c>
    </row>
    <row r="3063">
      <c r="A3063" s="2">
        <v>45791</v>
      </c>
      <c r="B30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3" s="3" t="str">
        <f>YEAR(KMART_DATA[[#This Row],[Date]])&amp;"-"&amp;TEXT(MONTH(KMART_DATA[[#This Row],[Date]]),"00")</f>
        <v>2025-05</v>
      </c>
      <c r="D3063" s="3" t="s">
        <v>28</v>
      </c>
      <c r="E3063" s="3" t="s">
        <v>175</v>
      </c>
      <c r="F3063" s="3" t="s">
        <v>16</v>
      </c>
      <c r="G30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063" s="3" t="s">
        <v>176</v>
      </c>
      <c r="I3063" s="3" t="s">
        <v>31</v>
      </c>
      <c r="J3063" s="3" t="s">
        <v>107</v>
      </c>
      <c r="K3063" s="3" t="s">
        <v>66</v>
      </c>
      <c r="L3063" s="3" t="s">
        <v>67</v>
      </c>
      <c r="M3063" s="4">
        <v>151.02</v>
      </c>
    </row>
    <row r="3064">
      <c r="A3064" s="2">
        <v>45791</v>
      </c>
      <c r="B30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4" s="3" t="str">
        <f>YEAR(KMART_DATA[[#This Row],[Date]])&amp;"-"&amp;TEXT(MONTH(KMART_DATA[[#This Row],[Date]]),"00")</f>
        <v>2025-05</v>
      </c>
      <c r="D3064" s="3" t="s">
        <v>28</v>
      </c>
      <c r="E3064" s="3" t="s">
        <v>179</v>
      </c>
      <c r="F3064" s="3" t="s">
        <v>9</v>
      </c>
      <c r="G30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64" s="3" t="s">
        <v>180</v>
      </c>
      <c r="I3064" s="3" t="s">
        <v>31</v>
      </c>
      <c r="J3064" s="3" t="s">
        <v>99</v>
      </c>
      <c r="K3064" s="3" t="s">
        <v>66</v>
      </c>
      <c r="L3064" s="3" t="s">
        <v>67</v>
      </c>
      <c r="M3064" s="4">
        <v>195.35</v>
      </c>
    </row>
    <row r="3065">
      <c r="A3065" s="2">
        <v>45791</v>
      </c>
      <c r="B30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5" s="3" t="str">
        <f>YEAR(KMART_DATA[[#This Row],[Date]])&amp;"-"&amp;TEXT(MONTH(KMART_DATA[[#This Row],[Date]]),"00")</f>
        <v>2025-05</v>
      </c>
      <c r="D3065" s="3" t="s">
        <v>28</v>
      </c>
      <c r="E3065" s="3" t="s">
        <v>118</v>
      </c>
      <c r="F3065" s="3" t="s">
        <v>10</v>
      </c>
      <c r="G30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65" s="3" t="s">
        <v>119</v>
      </c>
      <c r="I3065" s="3" t="s">
        <v>31</v>
      </c>
      <c r="J3065" s="3" t="s">
        <v>120</v>
      </c>
      <c r="K3065" s="3" t="s">
        <v>112</v>
      </c>
      <c r="L3065" s="3" t="s">
        <v>113</v>
      </c>
      <c r="M3065" s="4">
        <v>447.44</v>
      </c>
    </row>
    <row r="3066">
      <c r="A3066" s="2">
        <v>45791</v>
      </c>
      <c r="B30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6" s="3" t="str">
        <f>YEAR(KMART_DATA[[#This Row],[Date]])&amp;"-"&amp;TEXT(MONTH(KMART_DATA[[#This Row],[Date]]),"00")</f>
        <v>2025-05</v>
      </c>
      <c r="D3066" s="3" t="s">
        <v>28</v>
      </c>
      <c r="E3066" s="3" t="s">
        <v>110</v>
      </c>
      <c r="F3066" s="3" t="s">
        <v>9</v>
      </c>
      <c r="G30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66" s="3" t="s">
        <v>111</v>
      </c>
      <c r="I3066" s="3" t="s">
        <v>31</v>
      </c>
      <c r="J3066" s="3" t="s">
        <v>81</v>
      </c>
      <c r="K3066" s="3" t="s">
        <v>57</v>
      </c>
      <c r="L3066" s="3" t="s">
        <v>58</v>
      </c>
      <c r="M3066" s="4">
        <v>915.68</v>
      </c>
    </row>
    <row r="3067">
      <c r="A3067" s="2">
        <v>45791</v>
      </c>
      <c r="B30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7" s="3" t="str">
        <f>YEAR(KMART_DATA[[#This Row],[Date]])&amp;"-"&amp;TEXT(MONTH(KMART_DATA[[#This Row],[Date]]),"00")</f>
        <v>2025-05</v>
      </c>
      <c r="D3067" s="3" t="s">
        <v>45</v>
      </c>
      <c r="E3067" s="3" t="s">
        <v>177</v>
      </c>
      <c r="F3067" s="3" t="s">
        <v>12</v>
      </c>
      <c r="G30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67" s="3" t="s">
        <v>178</v>
      </c>
      <c r="I3067" s="3" t="s">
        <v>31</v>
      </c>
      <c r="J3067" s="3" t="s">
        <v>162</v>
      </c>
      <c r="K3067" s="3" t="s">
        <v>71</v>
      </c>
      <c r="L3067" s="3" t="s">
        <v>72</v>
      </c>
      <c r="M3067" s="4">
        <v>1870.51</v>
      </c>
    </row>
    <row r="3068">
      <c r="A3068" s="2">
        <v>45791</v>
      </c>
      <c r="B30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8" s="3" t="str">
        <f>YEAR(KMART_DATA[[#This Row],[Date]])&amp;"-"&amp;TEXT(MONTH(KMART_DATA[[#This Row],[Date]]),"00")</f>
        <v>2025-05</v>
      </c>
      <c r="D3068" s="3" t="s">
        <v>28</v>
      </c>
      <c r="E3068" s="3" t="s">
        <v>35</v>
      </c>
      <c r="F3068" s="3" t="s">
        <v>10</v>
      </c>
      <c r="G30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68" s="3" t="s">
        <v>36</v>
      </c>
      <c r="I3068" s="3" t="s">
        <v>31</v>
      </c>
      <c r="J3068" s="3" t="s">
        <v>37</v>
      </c>
      <c r="K3068" s="3" t="s">
        <v>71</v>
      </c>
      <c r="L3068" s="3" t="s">
        <v>72</v>
      </c>
      <c r="M3068" s="4">
        <v>4667.36</v>
      </c>
    </row>
    <row r="3069">
      <c r="A3069" s="2">
        <v>45792</v>
      </c>
      <c r="B30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69" s="3" t="str">
        <f>YEAR(KMART_DATA[[#This Row],[Date]])&amp;"-"&amp;TEXT(MONTH(KMART_DATA[[#This Row],[Date]]),"00")</f>
        <v>2025-05</v>
      </c>
      <c r="D3069" s="3" t="s">
        <v>28</v>
      </c>
      <c r="E3069" s="3" t="s">
        <v>246</v>
      </c>
      <c r="F3069" s="3" t="s">
        <v>10</v>
      </c>
      <c r="G30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69" s="3" t="s">
        <v>247</v>
      </c>
      <c r="I3069" s="3" t="s">
        <v>31</v>
      </c>
      <c r="J3069" s="3" t="s">
        <v>37</v>
      </c>
      <c r="K3069" s="3" t="s">
        <v>71</v>
      </c>
      <c r="L3069" s="3" t="s">
        <v>72</v>
      </c>
      <c r="M3069" s="4">
        <v>3.53</v>
      </c>
    </row>
    <row r="3070">
      <c r="A3070" s="2">
        <v>45792</v>
      </c>
      <c r="B30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0" s="3" t="str">
        <f>YEAR(KMART_DATA[[#This Row],[Date]])&amp;"-"&amp;TEXT(MONTH(KMART_DATA[[#This Row],[Date]]),"00")</f>
        <v>2025-05</v>
      </c>
      <c r="D3070" s="3" t="s">
        <v>28</v>
      </c>
      <c r="E3070" s="3" t="s">
        <v>64</v>
      </c>
      <c r="F3070" s="3" t="s">
        <v>11</v>
      </c>
      <c r="G30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70" s="3" t="s">
        <v>65</v>
      </c>
      <c r="I3070" s="3" t="s">
        <v>31</v>
      </c>
      <c r="J3070" s="3" t="s">
        <v>61</v>
      </c>
      <c r="K3070" s="3" t="s">
        <v>43</v>
      </c>
      <c r="L3070" s="3" t="s">
        <v>44</v>
      </c>
      <c r="M3070" s="4">
        <v>82.21</v>
      </c>
    </row>
    <row r="3071">
      <c r="A3071" s="2">
        <v>45792</v>
      </c>
      <c r="B30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1" s="3" t="str">
        <f>YEAR(KMART_DATA[[#This Row],[Date]])&amp;"-"&amp;TEXT(MONTH(KMART_DATA[[#This Row],[Date]]),"00")</f>
        <v>2025-05</v>
      </c>
      <c r="D3071" s="3" t="s">
        <v>28</v>
      </c>
      <c r="E3071" s="3" t="s">
        <v>131</v>
      </c>
      <c r="F3071" s="3" t="s">
        <v>11</v>
      </c>
      <c r="G30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71" s="3" t="s">
        <v>132</v>
      </c>
      <c r="I3071" s="3" t="s">
        <v>31</v>
      </c>
      <c r="J3071" s="3" t="s">
        <v>32</v>
      </c>
      <c r="K3071" s="3" t="s">
        <v>71</v>
      </c>
      <c r="L3071" s="3" t="s">
        <v>72</v>
      </c>
      <c r="M3071" s="4">
        <v>498.64</v>
      </c>
    </row>
    <row r="3072">
      <c r="A3072" s="2">
        <v>45793</v>
      </c>
      <c r="B30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2" s="3" t="str">
        <f>YEAR(KMART_DATA[[#This Row],[Date]])&amp;"-"&amp;TEXT(MONTH(KMART_DATA[[#This Row],[Date]]),"00")</f>
        <v>2025-05</v>
      </c>
      <c r="D3072" s="3" t="s">
        <v>28</v>
      </c>
      <c r="E3072" s="3" t="s">
        <v>90</v>
      </c>
      <c r="F3072" s="3" t="s">
        <v>10</v>
      </c>
      <c r="G30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72" s="3" t="s">
        <v>91</v>
      </c>
      <c r="I3072" s="3" t="s">
        <v>31</v>
      </c>
      <c r="J3072" s="3" t="s">
        <v>37</v>
      </c>
      <c r="K3072" s="3" t="s">
        <v>57</v>
      </c>
      <c r="L3072" s="3" t="s">
        <v>58</v>
      </c>
      <c r="M3072" s="4">
        <v>23.97</v>
      </c>
    </row>
    <row r="3073">
      <c r="A3073" s="2">
        <v>45793</v>
      </c>
      <c r="B30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3" s="3" t="str">
        <f>YEAR(KMART_DATA[[#This Row],[Date]])&amp;"-"&amp;TEXT(MONTH(KMART_DATA[[#This Row],[Date]]),"00")</f>
        <v>2025-05</v>
      </c>
      <c r="D3073" s="3" t="s">
        <v>45</v>
      </c>
      <c r="E3073" s="3" t="s">
        <v>87</v>
      </c>
      <c r="F3073" s="3" t="s">
        <v>10</v>
      </c>
      <c r="G30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73" s="3" t="s">
        <v>88</v>
      </c>
      <c r="I3073" s="3" t="s">
        <v>31</v>
      </c>
      <c r="J3073" s="3" t="s">
        <v>89</v>
      </c>
      <c r="K3073" s="3" t="s">
        <v>71</v>
      </c>
      <c r="L3073" s="3" t="s">
        <v>72</v>
      </c>
      <c r="M3073" s="4">
        <v>41.64</v>
      </c>
    </row>
    <row r="3074">
      <c r="A3074" s="2">
        <v>45793</v>
      </c>
      <c r="B30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4" s="3" t="str">
        <f>YEAR(KMART_DATA[[#This Row],[Date]])&amp;"-"&amp;TEXT(MONTH(KMART_DATA[[#This Row],[Date]]),"00")</f>
        <v>2025-05</v>
      </c>
      <c r="D3074" s="3" t="s">
        <v>28</v>
      </c>
      <c r="E3074" s="3" t="s">
        <v>152</v>
      </c>
      <c r="F3074" s="3" t="s">
        <v>11</v>
      </c>
      <c r="G30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74" s="3" t="s">
        <v>153</v>
      </c>
      <c r="I3074" s="3" t="s">
        <v>31</v>
      </c>
      <c r="J3074" s="3" t="s">
        <v>61</v>
      </c>
      <c r="K3074" s="3" t="s">
        <v>95</v>
      </c>
      <c r="L3074" s="3" t="s">
        <v>96</v>
      </c>
      <c r="M3074" s="4">
        <v>52.9</v>
      </c>
    </row>
    <row r="3075">
      <c r="A3075" s="2">
        <v>45793</v>
      </c>
      <c r="B30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5" s="3" t="str">
        <f>YEAR(KMART_DATA[[#This Row],[Date]])&amp;"-"&amp;TEXT(MONTH(KMART_DATA[[#This Row],[Date]]),"00")</f>
        <v>2025-05</v>
      </c>
      <c r="D3075" s="3" t="s">
        <v>28</v>
      </c>
      <c r="E3075" s="3" t="s">
        <v>90</v>
      </c>
      <c r="F3075" s="3" t="s">
        <v>10</v>
      </c>
      <c r="G30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75" s="3" t="s">
        <v>91</v>
      </c>
      <c r="I3075" s="3" t="s">
        <v>31</v>
      </c>
      <c r="J3075" s="3" t="s">
        <v>37</v>
      </c>
      <c r="K3075" s="3" t="s">
        <v>95</v>
      </c>
      <c r="L3075" s="3" t="s">
        <v>96</v>
      </c>
      <c r="M3075" s="4">
        <v>151.93</v>
      </c>
    </row>
    <row r="3076">
      <c r="A3076" s="2">
        <v>45793</v>
      </c>
      <c r="B30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6" s="3" t="str">
        <f>YEAR(KMART_DATA[[#This Row],[Date]])&amp;"-"&amp;TEXT(MONTH(KMART_DATA[[#This Row],[Date]]),"00")</f>
        <v>2025-05</v>
      </c>
      <c r="D3076" s="3" t="s">
        <v>28</v>
      </c>
      <c r="E3076" s="3" t="s">
        <v>167</v>
      </c>
      <c r="F3076" s="3" t="s">
        <v>12</v>
      </c>
      <c r="G30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76" s="3" t="s">
        <v>168</v>
      </c>
      <c r="I3076" s="3" t="s">
        <v>31</v>
      </c>
      <c r="J3076" s="3" t="s">
        <v>102</v>
      </c>
      <c r="K3076" s="3" t="s">
        <v>71</v>
      </c>
      <c r="L3076" s="3" t="s">
        <v>72</v>
      </c>
      <c r="M3076" s="4">
        <v>1190.68</v>
      </c>
    </row>
    <row r="3077">
      <c r="A3077" s="2">
        <v>45793</v>
      </c>
      <c r="B30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7" s="3" t="str">
        <f>YEAR(KMART_DATA[[#This Row],[Date]])&amp;"-"&amp;TEXT(MONTH(KMART_DATA[[#This Row],[Date]]),"00")</f>
        <v>2025-05</v>
      </c>
      <c r="D3077" s="3" t="s">
        <v>28</v>
      </c>
      <c r="E3077" s="3" t="s">
        <v>87</v>
      </c>
      <c r="F3077" s="3" t="s">
        <v>10</v>
      </c>
      <c r="G30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77" s="3" t="s">
        <v>88</v>
      </c>
      <c r="I3077" s="3" t="s">
        <v>31</v>
      </c>
      <c r="J3077" s="3" t="s">
        <v>89</v>
      </c>
      <c r="K3077" s="3" t="s">
        <v>71</v>
      </c>
      <c r="L3077" s="3" t="s">
        <v>72</v>
      </c>
      <c r="M3077" s="4">
        <v>1807.66</v>
      </c>
    </row>
    <row r="3078">
      <c r="A3078" s="2">
        <v>45793</v>
      </c>
      <c r="B30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8" s="3" t="str">
        <f>YEAR(KMART_DATA[[#This Row],[Date]])&amp;"-"&amp;TEXT(MONTH(KMART_DATA[[#This Row],[Date]]),"00")</f>
        <v>2025-05</v>
      </c>
      <c r="D3078" s="3" t="s">
        <v>28</v>
      </c>
      <c r="E3078" s="3" t="s">
        <v>175</v>
      </c>
      <c r="F3078" s="3" t="s">
        <v>16</v>
      </c>
      <c r="G30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078" s="3" t="s">
        <v>176</v>
      </c>
      <c r="I3078" s="3" t="s">
        <v>31</v>
      </c>
      <c r="J3078" s="3" t="s">
        <v>107</v>
      </c>
      <c r="K3078" s="3" t="s">
        <v>123</v>
      </c>
      <c r="L3078" s="3" t="s">
        <v>124</v>
      </c>
      <c r="M3078" s="4">
        <v>2032.06</v>
      </c>
    </row>
    <row r="3079">
      <c r="A3079" s="2">
        <v>45794</v>
      </c>
      <c r="B30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79" s="3" t="str">
        <f>YEAR(KMART_DATA[[#This Row],[Date]])&amp;"-"&amp;TEXT(MONTH(KMART_DATA[[#This Row],[Date]]),"00")</f>
        <v>2025-05</v>
      </c>
      <c r="D3079" s="3" t="s">
        <v>28</v>
      </c>
      <c r="E3079" s="3" t="s">
        <v>131</v>
      </c>
      <c r="F3079" s="3" t="s">
        <v>11</v>
      </c>
      <c r="G30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79" s="3" t="s">
        <v>132</v>
      </c>
      <c r="I3079" s="3" t="s">
        <v>31</v>
      </c>
      <c r="J3079" s="3" t="s">
        <v>32</v>
      </c>
      <c r="K3079" s="3" t="s">
        <v>95</v>
      </c>
      <c r="L3079" s="3" t="s">
        <v>96</v>
      </c>
      <c r="M3079" s="4">
        <v>9.5</v>
      </c>
    </row>
    <row r="3080">
      <c r="A3080" s="2">
        <v>45794</v>
      </c>
      <c r="B30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0" s="3" t="str">
        <f>YEAR(KMART_DATA[[#This Row],[Date]])&amp;"-"&amp;TEXT(MONTH(KMART_DATA[[#This Row],[Date]]),"00")</f>
        <v>2025-05</v>
      </c>
      <c r="D3080" s="3" t="s">
        <v>28</v>
      </c>
      <c r="E3080" s="3" t="s">
        <v>258</v>
      </c>
      <c r="F3080" s="3" t="s">
        <v>14</v>
      </c>
      <c r="G30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080" s="3" t="s">
        <v>259</v>
      </c>
      <c r="I3080" s="3" t="s">
        <v>31</v>
      </c>
      <c r="J3080" s="3" t="s">
        <v>145</v>
      </c>
      <c r="K3080" s="3" t="s">
        <v>43</v>
      </c>
      <c r="L3080" s="3" t="s">
        <v>44</v>
      </c>
      <c r="M3080" s="4">
        <v>23.98</v>
      </c>
    </row>
    <row r="3081">
      <c r="A3081" s="2">
        <v>45794</v>
      </c>
      <c r="B30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1" s="3" t="str">
        <f>YEAR(KMART_DATA[[#This Row],[Date]])&amp;"-"&amp;TEXT(MONTH(KMART_DATA[[#This Row],[Date]]),"00")</f>
        <v>2025-05</v>
      </c>
      <c r="D3081" s="3" t="s">
        <v>28</v>
      </c>
      <c r="E3081" s="3" t="s">
        <v>62</v>
      </c>
      <c r="F3081" s="3" t="s">
        <v>12</v>
      </c>
      <c r="G30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81" s="3" t="s">
        <v>63</v>
      </c>
      <c r="I3081" s="3" t="s">
        <v>31</v>
      </c>
      <c r="J3081" s="3" t="s">
        <v>50</v>
      </c>
      <c r="K3081" s="3" t="s">
        <v>43</v>
      </c>
      <c r="L3081" s="3" t="s">
        <v>44</v>
      </c>
      <c r="M3081" s="4">
        <v>115.41</v>
      </c>
    </row>
    <row r="3082">
      <c r="A3082" s="2">
        <v>45794</v>
      </c>
      <c r="B30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2" s="3" t="str">
        <f>YEAR(KMART_DATA[[#This Row],[Date]])&amp;"-"&amp;TEXT(MONTH(KMART_DATA[[#This Row],[Date]]),"00")</f>
        <v>2025-05</v>
      </c>
      <c r="D3082" s="3" t="s">
        <v>28</v>
      </c>
      <c r="E3082" s="3" t="s">
        <v>76</v>
      </c>
      <c r="F3082" s="3" t="s">
        <v>11</v>
      </c>
      <c r="G30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82" s="3" t="s">
        <v>77</v>
      </c>
      <c r="I3082" s="3" t="s">
        <v>31</v>
      </c>
      <c r="J3082" s="3" t="s">
        <v>78</v>
      </c>
      <c r="K3082" s="3" t="s">
        <v>112</v>
      </c>
      <c r="L3082" s="3" t="s">
        <v>113</v>
      </c>
      <c r="M3082" s="4">
        <v>115.67</v>
      </c>
    </row>
    <row r="3083">
      <c r="A3083" s="2">
        <v>45794</v>
      </c>
      <c r="B30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3" s="3" t="str">
        <f>YEAR(KMART_DATA[[#This Row],[Date]])&amp;"-"&amp;TEXT(MONTH(KMART_DATA[[#This Row],[Date]]),"00")</f>
        <v>2025-05</v>
      </c>
      <c r="D3083" s="3" t="s">
        <v>45</v>
      </c>
      <c r="E3083" s="3" t="s">
        <v>103</v>
      </c>
      <c r="F3083" s="3" t="s">
        <v>12</v>
      </c>
      <c r="G30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83" s="3" t="s">
        <v>104</v>
      </c>
      <c r="I3083" s="3" t="s">
        <v>31</v>
      </c>
      <c r="J3083" s="3" t="s">
        <v>102</v>
      </c>
      <c r="K3083" s="3" t="s">
        <v>95</v>
      </c>
      <c r="L3083" s="3" t="s">
        <v>96</v>
      </c>
      <c r="M3083" s="4">
        <v>184.13</v>
      </c>
    </row>
    <row r="3084">
      <c r="A3084" s="2">
        <v>45794</v>
      </c>
      <c r="B30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4" s="3" t="str">
        <f>YEAR(KMART_DATA[[#This Row],[Date]])&amp;"-"&amp;TEXT(MONTH(KMART_DATA[[#This Row],[Date]]),"00")</f>
        <v>2025-05</v>
      </c>
      <c r="D3084" s="3" t="s">
        <v>28</v>
      </c>
      <c r="E3084" s="3" t="s">
        <v>76</v>
      </c>
      <c r="F3084" s="3" t="s">
        <v>11</v>
      </c>
      <c r="G30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84" s="3" t="s">
        <v>77</v>
      </c>
      <c r="I3084" s="3" t="s">
        <v>31</v>
      </c>
      <c r="J3084" s="3" t="s">
        <v>78</v>
      </c>
      <c r="K3084" s="3" t="s">
        <v>71</v>
      </c>
      <c r="L3084" s="3" t="s">
        <v>72</v>
      </c>
      <c r="M3084" s="4">
        <v>275.65</v>
      </c>
    </row>
    <row r="3085">
      <c r="A3085" s="2">
        <v>45794</v>
      </c>
      <c r="B30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5" s="3" t="str">
        <f>YEAR(KMART_DATA[[#This Row],[Date]])&amp;"-"&amp;TEXT(MONTH(KMART_DATA[[#This Row],[Date]]),"00")</f>
        <v>2025-05</v>
      </c>
      <c r="D3085" s="3" t="s">
        <v>45</v>
      </c>
      <c r="E3085" s="3" t="s">
        <v>189</v>
      </c>
      <c r="F3085" s="3" t="s">
        <v>9</v>
      </c>
      <c r="G30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85" s="3" t="s">
        <v>190</v>
      </c>
      <c r="I3085" s="3" t="s">
        <v>31</v>
      </c>
      <c r="J3085" s="3" t="s">
        <v>81</v>
      </c>
      <c r="K3085" s="3" t="s">
        <v>46</v>
      </c>
      <c r="L3085" s="3" t="s">
        <v>47</v>
      </c>
      <c r="M3085" s="4">
        <v>1126.35</v>
      </c>
    </row>
    <row r="3086">
      <c r="A3086" s="2">
        <v>45794</v>
      </c>
      <c r="B30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6" s="3" t="str">
        <f>YEAR(KMART_DATA[[#This Row],[Date]])&amp;"-"&amp;TEXT(MONTH(KMART_DATA[[#This Row],[Date]]),"00")</f>
        <v>2025-05</v>
      </c>
      <c r="D3086" s="3" t="s">
        <v>28</v>
      </c>
      <c r="E3086" s="3" t="s">
        <v>110</v>
      </c>
      <c r="F3086" s="3" t="s">
        <v>9</v>
      </c>
      <c r="G30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86" s="3" t="s">
        <v>111</v>
      </c>
      <c r="I3086" s="3" t="s">
        <v>31</v>
      </c>
      <c r="J3086" s="3" t="s">
        <v>81</v>
      </c>
      <c r="K3086" s="3" t="s">
        <v>57</v>
      </c>
      <c r="L3086" s="3" t="s">
        <v>58</v>
      </c>
      <c r="M3086" s="4">
        <v>5537.78</v>
      </c>
    </row>
    <row r="3087">
      <c r="A3087" s="2">
        <v>45795</v>
      </c>
      <c r="B30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7" s="3" t="str">
        <f>YEAR(KMART_DATA[[#This Row],[Date]])&amp;"-"&amp;TEXT(MONTH(KMART_DATA[[#This Row],[Date]]),"00")</f>
        <v>2025-05</v>
      </c>
      <c r="D3087" s="3" t="s">
        <v>28</v>
      </c>
      <c r="E3087" s="3" t="s">
        <v>64</v>
      </c>
      <c r="F3087" s="3" t="s">
        <v>11</v>
      </c>
      <c r="G30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87" s="3" t="s">
        <v>65</v>
      </c>
      <c r="I3087" s="3" t="s">
        <v>31</v>
      </c>
      <c r="J3087" s="3" t="s">
        <v>61</v>
      </c>
      <c r="K3087" s="3" t="s">
        <v>123</v>
      </c>
      <c r="L3087" s="3" t="s">
        <v>124</v>
      </c>
      <c r="M3087" s="4">
        <v>815.61</v>
      </c>
    </row>
    <row r="3088">
      <c r="A3088" s="2">
        <v>45796</v>
      </c>
      <c r="B30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8" s="3" t="str">
        <f>YEAR(KMART_DATA[[#This Row],[Date]])&amp;"-"&amp;TEXT(MONTH(KMART_DATA[[#This Row],[Date]]),"00")</f>
        <v>2025-05</v>
      </c>
      <c r="D3088" s="3" t="s">
        <v>45</v>
      </c>
      <c r="E3088" s="3" t="s">
        <v>225</v>
      </c>
      <c r="F3088" s="3" t="s">
        <v>13</v>
      </c>
      <c r="G30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088" s="3" t="s">
        <v>226</v>
      </c>
      <c r="I3088" s="3" t="s">
        <v>31</v>
      </c>
      <c r="J3088" s="3" t="s">
        <v>227</v>
      </c>
      <c r="K3088" s="3" t="s">
        <v>33</v>
      </c>
      <c r="L3088" s="3" t="s">
        <v>34</v>
      </c>
      <c r="M3088" s="4">
        <v>9.98</v>
      </c>
    </row>
    <row r="3089">
      <c r="A3089" s="2">
        <v>45796</v>
      </c>
      <c r="B30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89" s="3" t="str">
        <f>YEAR(KMART_DATA[[#This Row],[Date]])&amp;"-"&amp;TEXT(MONTH(KMART_DATA[[#This Row],[Date]]),"00")</f>
        <v>2025-05</v>
      </c>
      <c r="D3089" s="3" t="s">
        <v>45</v>
      </c>
      <c r="E3089" s="3" t="s">
        <v>97</v>
      </c>
      <c r="F3089" s="3" t="s">
        <v>9</v>
      </c>
      <c r="G30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89" s="3" t="s">
        <v>98</v>
      </c>
      <c r="I3089" s="3" t="s">
        <v>31</v>
      </c>
      <c r="J3089" s="3" t="s">
        <v>99</v>
      </c>
      <c r="K3089" s="3" t="s">
        <v>71</v>
      </c>
      <c r="L3089" s="3" t="s">
        <v>72</v>
      </c>
      <c r="M3089" s="4">
        <v>53.82</v>
      </c>
    </row>
    <row r="3090">
      <c r="A3090" s="2">
        <v>45796</v>
      </c>
      <c r="B30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0" s="3" t="str">
        <f>YEAR(KMART_DATA[[#This Row],[Date]])&amp;"-"&amp;TEXT(MONTH(KMART_DATA[[#This Row],[Date]]),"00")</f>
        <v>2025-05</v>
      </c>
      <c r="D3090" s="3" t="s">
        <v>28</v>
      </c>
      <c r="E3090" s="3" t="s">
        <v>221</v>
      </c>
      <c r="F3090" s="3" t="s">
        <v>11</v>
      </c>
      <c r="G30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090" s="3" t="s">
        <v>222</v>
      </c>
      <c r="I3090" s="3" t="s">
        <v>31</v>
      </c>
      <c r="J3090" s="3" t="s">
        <v>56</v>
      </c>
      <c r="K3090" s="3" t="s">
        <v>33</v>
      </c>
      <c r="L3090" s="3" t="s">
        <v>34</v>
      </c>
      <c r="M3090" s="4">
        <v>241.72</v>
      </c>
    </row>
    <row r="3091">
      <c r="A3091" s="2">
        <v>45796</v>
      </c>
      <c r="B30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1" s="3" t="str">
        <f>YEAR(KMART_DATA[[#This Row],[Date]])&amp;"-"&amp;TEXT(MONTH(KMART_DATA[[#This Row],[Date]]),"00")</f>
        <v>2025-05</v>
      </c>
      <c r="D3091" s="3" t="s">
        <v>28</v>
      </c>
      <c r="E3091" s="3" t="s">
        <v>90</v>
      </c>
      <c r="F3091" s="3" t="s">
        <v>10</v>
      </c>
      <c r="G30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91" s="3" t="s">
        <v>91</v>
      </c>
      <c r="I3091" s="3" t="s">
        <v>31</v>
      </c>
      <c r="J3091" s="3" t="s">
        <v>37</v>
      </c>
      <c r="K3091" s="3" t="s">
        <v>71</v>
      </c>
      <c r="L3091" s="3" t="s">
        <v>72</v>
      </c>
      <c r="M3091" s="4">
        <v>271.56</v>
      </c>
    </row>
    <row r="3092">
      <c r="A3092" s="2">
        <v>45796</v>
      </c>
      <c r="B30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2" s="3" t="str">
        <f>YEAR(KMART_DATA[[#This Row],[Date]])&amp;"-"&amp;TEXT(MONTH(KMART_DATA[[#This Row],[Date]]),"00")</f>
        <v>2025-05</v>
      </c>
      <c r="D3092" s="3" t="s">
        <v>28</v>
      </c>
      <c r="E3092" s="3" t="s">
        <v>160</v>
      </c>
      <c r="F3092" s="3" t="s">
        <v>12</v>
      </c>
      <c r="G30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92" s="3" t="s">
        <v>161</v>
      </c>
      <c r="I3092" s="3" t="s">
        <v>31</v>
      </c>
      <c r="J3092" s="3" t="s">
        <v>162</v>
      </c>
      <c r="K3092" s="3" t="s">
        <v>66</v>
      </c>
      <c r="L3092" s="3" t="s">
        <v>67</v>
      </c>
      <c r="M3092" s="4">
        <v>821.36</v>
      </c>
    </row>
    <row r="3093">
      <c r="A3093" s="2">
        <v>45796</v>
      </c>
      <c r="B30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3" s="3" t="str">
        <f>YEAR(KMART_DATA[[#This Row],[Date]])&amp;"-"&amp;TEXT(MONTH(KMART_DATA[[#This Row],[Date]]),"00")</f>
        <v>2025-05</v>
      </c>
      <c r="D3093" s="3" t="s">
        <v>45</v>
      </c>
      <c r="E3093" s="3" t="s">
        <v>256</v>
      </c>
      <c r="F3093" s="3" t="s">
        <v>9</v>
      </c>
      <c r="G30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93" s="3" t="s">
        <v>257</v>
      </c>
      <c r="I3093" s="3" t="s">
        <v>31</v>
      </c>
      <c r="J3093" s="3" t="s">
        <v>70</v>
      </c>
      <c r="K3093" s="3" t="s">
        <v>71</v>
      </c>
      <c r="L3093" s="3" t="s">
        <v>72</v>
      </c>
      <c r="M3093" s="4">
        <v>2156.83</v>
      </c>
    </row>
    <row r="3094">
      <c r="A3094" s="2">
        <v>45797</v>
      </c>
      <c r="B30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4" s="3" t="str">
        <f>YEAR(KMART_DATA[[#This Row],[Date]])&amp;"-"&amp;TEXT(MONTH(KMART_DATA[[#This Row],[Date]]),"00")</f>
        <v>2025-05</v>
      </c>
      <c r="D3094" s="3" t="s">
        <v>45</v>
      </c>
      <c r="E3094" s="3" t="s">
        <v>236</v>
      </c>
      <c r="F3094" s="3" t="s">
        <v>12</v>
      </c>
      <c r="G30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094" s="3" t="s">
        <v>237</v>
      </c>
      <c r="I3094" s="3" t="s">
        <v>31</v>
      </c>
      <c r="J3094" s="3" t="s">
        <v>102</v>
      </c>
      <c r="K3094" s="3" t="s">
        <v>38</v>
      </c>
      <c r="L3094" s="3" t="s">
        <v>39</v>
      </c>
      <c r="M3094" s="4">
        <v>159.73</v>
      </c>
    </row>
    <row r="3095">
      <c r="A3095" s="2">
        <v>45797</v>
      </c>
      <c r="B30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5" s="3" t="str">
        <f>YEAR(KMART_DATA[[#This Row],[Date]])&amp;"-"&amp;TEXT(MONTH(KMART_DATA[[#This Row],[Date]]),"00")</f>
        <v>2025-05</v>
      </c>
      <c r="D3095" s="3" t="s">
        <v>45</v>
      </c>
      <c r="E3095" s="3" t="s">
        <v>35</v>
      </c>
      <c r="F3095" s="3" t="s">
        <v>10</v>
      </c>
      <c r="G30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095" s="3" t="s">
        <v>36</v>
      </c>
      <c r="I3095" s="3" t="s">
        <v>31</v>
      </c>
      <c r="J3095" s="3" t="s">
        <v>37</v>
      </c>
      <c r="K3095" s="3" t="s">
        <v>123</v>
      </c>
      <c r="L3095" s="3" t="s">
        <v>124</v>
      </c>
      <c r="M3095" s="4">
        <v>261.7</v>
      </c>
    </row>
    <row r="3096">
      <c r="A3096" s="2">
        <v>45797</v>
      </c>
      <c r="B30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6" s="3" t="str">
        <f>YEAR(KMART_DATA[[#This Row],[Date]])&amp;"-"&amp;TEXT(MONTH(KMART_DATA[[#This Row],[Date]]),"00")</f>
        <v>2025-05</v>
      </c>
      <c r="D3096" s="3" t="s">
        <v>28</v>
      </c>
      <c r="E3096" s="3" t="s">
        <v>163</v>
      </c>
      <c r="F3096" s="3" t="s">
        <v>9</v>
      </c>
      <c r="G30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96" s="3" t="s">
        <v>164</v>
      </c>
      <c r="I3096" s="3" t="s">
        <v>31</v>
      </c>
      <c r="J3096" s="3" t="s">
        <v>81</v>
      </c>
      <c r="K3096" s="3" t="s">
        <v>112</v>
      </c>
      <c r="L3096" s="3" t="s">
        <v>113</v>
      </c>
      <c r="M3096" s="4">
        <v>328.29</v>
      </c>
    </row>
    <row r="3097">
      <c r="A3097" s="2">
        <v>45797</v>
      </c>
      <c r="B30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7" s="3" t="str">
        <f>YEAR(KMART_DATA[[#This Row],[Date]])&amp;"-"&amp;TEXT(MONTH(KMART_DATA[[#This Row],[Date]]),"00")</f>
        <v>2025-05</v>
      </c>
      <c r="D3097" s="3" t="s">
        <v>45</v>
      </c>
      <c r="E3097" s="3" t="s">
        <v>40</v>
      </c>
      <c r="F3097" s="3" t="s">
        <v>13</v>
      </c>
      <c r="G30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097" s="3" t="s">
        <v>41</v>
      </c>
      <c r="I3097" s="3" t="s">
        <v>31</v>
      </c>
      <c r="J3097" s="3" t="s">
        <v>42</v>
      </c>
      <c r="K3097" s="3" t="s">
        <v>123</v>
      </c>
      <c r="L3097" s="3" t="s">
        <v>124</v>
      </c>
      <c r="M3097" s="4">
        <v>519.22</v>
      </c>
    </row>
    <row r="3098">
      <c r="A3098" s="2">
        <v>45797</v>
      </c>
      <c r="B30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8" s="3" t="str">
        <f>YEAR(KMART_DATA[[#This Row],[Date]])&amp;"-"&amp;TEXT(MONTH(KMART_DATA[[#This Row],[Date]]),"00")</f>
        <v>2025-05</v>
      </c>
      <c r="D3098" s="3" t="s">
        <v>28</v>
      </c>
      <c r="E3098" s="3" t="s">
        <v>183</v>
      </c>
      <c r="F3098" s="3" t="s">
        <v>9</v>
      </c>
      <c r="G30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98" s="3" t="s">
        <v>184</v>
      </c>
      <c r="I3098" s="3" t="s">
        <v>31</v>
      </c>
      <c r="J3098" s="3" t="s">
        <v>70</v>
      </c>
      <c r="K3098" s="3" t="s">
        <v>123</v>
      </c>
      <c r="L3098" s="3" t="s">
        <v>124</v>
      </c>
      <c r="M3098" s="4">
        <v>3740.52</v>
      </c>
    </row>
    <row r="3099">
      <c r="A3099" s="2">
        <v>45798</v>
      </c>
      <c r="B30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099" s="3" t="str">
        <f>YEAR(KMART_DATA[[#This Row],[Date]])&amp;"-"&amp;TEXT(MONTH(KMART_DATA[[#This Row],[Date]]),"00")</f>
        <v>2025-05</v>
      </c>
      <c r="D3099" s="3" t="s">
        <v>45</v>
      </c>
      <c r="E3099" s="3" t="s">
        <v>97</v>
      </c>
      <c r="F3099" s="3" t="s">
        <v>9</v>
      </c>
      <c r="G30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099" s="3" t="s">
        <v>98</v>
      </c>
      <c r="I3099" s="3" t="s">
        <v>31</v>
      </c>
      <c r="J3099" s="3" t="s">
        <v>99</v>
      </c>
      <c r="K3099" s="3" t="s">
        <v>71</v>
      </c>
      <c r="L3099" s="3" t="s">
        <v>72</v>
      </c>
      <c r="M3099" s="4">
        <v>6.0</v>
      </c>
    </row>
    <row r="3100">
      <c r="A3100" s="2">
        <v>45798</v>
      </c>
      <c r="B31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0" s="3" t="str">
        <f>YEAR(KMART_DATA[[#This Row],[Date]])&amp;"-"&amp;TEXT(MONTH(KMART_DATA[[#This Row],[Date]]),"00")</f>
        <v>2025-05</v>
      </c>
      <c r="D3100" s="3" t="s">
        <v>28</v>
      </c>
      <c r="E3100" s="3" t="s">
        <v>262</v>
      </c>
      <c r="F3100" s="3" t="s">
        <v>10</v>
      </c>
      <c r="G31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00" s="3" t="s">
        <v>263</v>
      </c>
      <c r="I3100" s="3" t="s">
        <v>31</v>
      </c>
      <c r="J3100" s="3" t="s">
        <v>120</v>
      </c>
      <c r="K3100" s="3" t="s">
        <v>38</v>
      </c>
      <c r="L3100" s="3" t="s">
        <v>39</v>
      </c>
      <c r="M3100" s="4">
        <v>6.99</v>
      </c>
    </row>
    <row r="3101">
      <c r="A3101" s="2">
        <v>45798</v>
      </c>
      <c r="B31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1" s="3" t="str">
        <f>YEAR(KMART_DATA[[#This Row],[Date]])&amp;"-"&amp;TEXT(MONTH(KMART_DATA[[#This Row],[Date]]),"00")</f>
        <v>2025-05</v>
      </c>
      <c r="D3101" s="3" t="s">
        <v>28</v>
      </c>
      <c r="E3101" s="3" t="s">
        <v>175</v>
      </c>
      <c r="F3101" s="3" t="s">
        <v>16</v>
      </c>
      <c r="G31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101" s="3" t="s">
        <v>176</v>
      </c>
      <c r="I3101" s="3" t="s">
        <v>31</v>
      </c>
      <c r="J3101" s="3" t="s">
        <v>107</v>
      </c>
      <c r="K3101" s="3" t="s">
        <v>66</v>
      </c>
      <c r="L3101" s="3" t="s">
        <v>67</v>
      </c>
      <c r="M3101" s="4">
        <v>23.94</v>
      </c>
    </row>
    <row r="3102">
      <c r="A3102" s="2">
        <v>45798</v>
      </c>
      <c r="B31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2" s="3" t="str">
        <f>YEAR(KMART_DATA[[#This Row],[Date]])&amp;"-"&amp;TEXT(MONTH(KMART_DATA[[#This Row],[Date]]),"00")</f>
        <v>2025-05</v>
      </c>
      <c r="D3102" s="3" t="s">
        <v>45</v>
      </c>
      <c r="E3102" s="3" t="s">
        <v>110</v>
      </c>
      <c r="F3102" s="3" t="s">
        <v>9</v>
      </c>
      <c r="G31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02" s="3" t="s">
        <v>111</v>
      </c>
      <c r="I3102" s="3" t="s">
        <v>31</v>
      </c>
      <c r="J3102" s="3" t="s">
        <v>81</v>
      </c>
      <c r="K3102" s="3" t="s">
        <v>95</v>
      </c>
      <c r="L3102" s="3" t="s">
        <v>96</v>
      </c>
      <c r="M3102" s="4">
        <v>75.96</v>
      </c>
    </row>
    <row r="3103">
      <c r="A3103" s="2">
        <v>45798</v>
      </c>
      <c r="B31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3" s="3" t="str">
        <f>YEAR(KMART_DATA[[#This Row],[Date]])&amp;"-"&amp;TEXT(MONTH(KMART_DATA[[#This Row],[Date]]),"00")</f>
        <v>2025-05</v>
      </c>
      <c r="D3103" s="3" t="s">
        <v>28</v>
      </c>
      <c r="E3103" s="3" t="s">
        <v>154</v>
      </c>
      <c r="F3103" s="3" t="s">
        <v>11</v>
      </c>
      <c r="G31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03" s="3" t="s">
        <v>155</v>
      </c>
      <c r="I3103" s="3" t="s">
        <v>31</v>
      </c>
      <c r="J3103" s="3" t="s">
        <v>84</v>
      </c>
      <c r="K3103" s="3" t="s">
        <v>46</v>
      </c>
      <c r="L3103" s="3" t="s">
        <v>47</v>
      </c>
      <c r="M3103" s="4">
        <v>4107.51</v>
      </c>
    </row>
    <row r="3104">
      <c r="A3104" s="2">
        <v>45799</v>
      </c>
      <c r="B31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4" s="3" t="str">
        <f>YEAR(KMART_DATA[[#This Row],[Date]])&amp;"-"&amp;TEXT(MONTH(KMART_DATA[[#This Row],[Date]]),"00")</f>
        <v>2025-05</v>
      </c>
      <c r="D3104" s="3" t="s">
        <v>28</v>
      </c>
      <c r="E3104" s="3" t="s">
        <v>240</v>
      </c>
      <c r="F3104" s="3" t="s">
        <v>15</v>
      </c>
      <c r="G31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104" s="3" t="s">
        <v>241</v>
      </c>
      <c r="I3104" s="3" t="s">
        <v>31</v>
      </c>
      <c r="J3104" s="3" t="s">
        <v>53</v>
      </c>
      <c r="K3104" s="3" t="s">
        <v>112</v>
      </c>
      <c r="L3104" s="3" t="s">
        <v>113</v>
      </c>
      <c r="M3104" s="4">
        <v>18.95</v>
      </c>
    </row>
    <row r="3105">
      <c r="A3105" s="2">
        <v>45799</v>
      </c>
      <c r="B31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5" s="3" t="str">
        <f>YEAR(KMART_DATA[[#This Row],[Date]])&amp;"-"&amp;TEXT(MONTH(KMART_DATA[[#This Row],[Date]]),"00")</f>
        <v>2025-05</v>
      </c>
      <c r="D3105" s="3" t="s">
        <v>45</v>
      </c>
      <c r="E3105" s="3" t="s">
        <v>163</v>
      </c>
      <c r="F3105" s="3" t="s">
        <v>9</v>
      </c>
      <c r="G31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05" s="3" t="s">
        <v>164</v>
      </c>
      <c r="I3105" s="3" t="s">
        <v>31</v>
      </c>
      <c r="J3105" s="3" t="s">
        <v>81</v>
      </c>
      <c r="K3105" s="3" t="s">
        <v>66</v>
      </c>
      <c r="L3105" s="3" t="s">
        <v>67</v>
      </c>
      <c r="M3105" s="4">
        <v>69.2</v>
      </c>
    </row>
    <row r="3106">
      <c r="A3106" s="2">
        <v>45799</v>
      </c>
      <c r="B31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6" s="3" t="str">
        <f>YEAR(KMART_DATA[[#This Row],[Date]])&amp;"-"&amp;TEXT(MONTH(KMART_DATA[[#This Row],[Date]]),"00")</f>
        <v>2025-05</v>
      </c>
      <c r="D3106" s="3" t="s">
        <v>45</v>
      </c>
      <c r="E3106" s="3" t="s">
        <v>29</v>
      </c>
      <c r="F3106" s="3" t="s">
        <v>11</v>
      </c>
      <c r="G31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06" s="3" t="s">
        <v>30</v>
      </c>
      <c r="I3106" s="3" t="s">
        <v>31</v>
      </c>
      <c r="J3106" s="3" t="s">
        <v>32</v>
      </c>
      <c r="K3106" s="3" t="s">
        <v>43</v>
      </c>
      <c r="L3106" s="3" t="s">
        <v>44</v>
      </c>
      <c r="M3106" s="4">
        <v>94.44</v>
      </c>
    </row>
    <row r="3107">
      <c r="A3107" s="2">
        <v>45799</v>
      </c>
      <c r="B31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7" s="3" t="str">
        <f>YEAR(KMART_DATA[[#This Row],[Date]])&amp;"-"&amp;TEXT(MONTH(KMART_DATA[[#This Row],[Date]]),"00")</f>
        <v>2025-05</v>
      </c>
      <c r="D3107" s="3" t="s">
        <v>28</v>
      </c>
      <c r="E3107" s="3" t="s">
        <v>97</v>
      </c>
      <c r="F3107" s="3" t="s">
        <v>9</v>
      </c>
      <c r="G31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07" s="3" t="s">
        <v>98</v>
      </c>
      <c r="I3107" s="3" t="s">
        <v>31</v>
      </c>
      <c r="J3107" s="3" t="s">
        <v>99</v>
      </c>
      <c r="K3107" s="3" t="s">
        <v>46</v>
      </c>
      <c r="L3107" s="3" t="s">
        <v>47</v>
      </c>
      <c r="M3107" s="4">
        <v>185.82</v>
      </c>
    </row>
    <row r="3108">
      <c r="A3108" s="2">
        <v>45799</v>
      </c>
      <c r="B31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8" s="3" t="str">
        <f>YEAR(KMART_DATA[[#This Row],[Date]])&amp;"-"&amp;TEXT(MONTH(KMART_DATA[[#This Row],[Date]]),"00")</f>
        <v>2025-05</v>
      </c>
      <c r="D3108" s="3" t="s">
        <v>28</v>
      </c>
      <c r="E3108" s="3" t="s">
        <v>173</v>
      </c>
      <c r="F3108" s="3" t="s">
        <v>11</v>
      </c>
      <c r="G31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08" s="3" t="s">
        <v>174</v>
      </c>
      <c r="I3108" s="3" t="s">
        <v>31</v>
      </c>
      <c r="J3108" s="3" t="s">
        <v>61</v>
      </c>
      <c r="K3108" s="3" t="s">
        <v>38</v>
      </c>
      <c r="L3108" s="3" t="s">
        <v>39</v>
      </c>
      <c r="M3108" s="4">
        <v>215.69</v>
      </c>
    </row>
    <row r="3109">
      <c r="A3109" s="2">
        <v>45799</v>
      </c>
      <c r="B31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09" s="3" t="str">
        <f>YEAR(KMART_DATA[[#This Row],[Date]])&amp;"-"&amp;TEXT(MONTH(KMART_DATA[[#This Row],[Date]]),"00")</f>
        <v>2025-05</v>
      </c>
      <c r="D3109" s="3" t="s">
        <v>45</v>
      </c>
      <c r="E3109" s="3" t="s">
        <v>250</v>
      </c>
      <c r="F3109" s="3" t="s">
        <v>10</v>
      </c>
      <c r="G31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09" s="3" t="s">
        <v>251</v>
      </c>
      <c r="I3109" s="3" t="s">
        <v>31</v>
      </c>
      <c r="J3109" s="3" t="s">
        <v>37</v>
      </c>
      <c r="K3109" s="3" t="s">
        <v>43</v>
      </c>
      <c r="L3109" s="3" t="s">
        <v>44</v>
      </c>
      <c r="M3109" s="4">
        <v>521.99</v>
      </c>
    </row>
    <row r="3110">
      <c r="A3110" s="2">
        <v>45800</v>
      </c>
      <c r="B31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0" s="3" t="str">
        <f>YEAR(KMART_DATA[[#This Row],[Date]])&amp;"-"&amp;TEXT(MONTH(KMART_DATA[[#This Row],[Date]]),"00")</f>
        <v>2025-05</v>
      </c>
      <c r="D3110" s="3" t="s">
        <v>28</v>
      </c>
      <c r="E3110" s="3" t="s">
        <v>143</v>
      </c>
      <c r="F3110" s="3" t="s">
        <v>14</v>
      </c>
      <c r="G31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110" s="3" t="s">
        <v>144</v>
      </c>
      <c r="I3110" s="3" t="s">
        <v>31</v>
      </c>
      <c r="J3110" s="3" t="s">
        <v>145</v>
      </c>
      <c r="K3110" s="3" t="s">
        <v>123</v>
      </c>
      <c r="L3110" s="3" t="s">
        <v>124</v>
      </c>
      <c r="M3110" s="4">
        <v>67.18</v>
      </c>
    </row>
    <row r="3111">
      <c r="A3111" s="2">
        <v>45800</v>
      </c>
      <c r="B31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1" s="3" t="str">
        <f>YEAR(KMART_DATA[[#This Row],[Date]])&amp;"-"&amp;TEXT(MONTH(KMART_DATA[[#This Row],[Date]]),"00")</f>
        <v>2025-05</v>
      </c>
      <c r="D3111" s="3" t="s">
        <v>45</v>
      </c>
      <c r="E3111" s="3" t="s">
        <v>118</v>
      </c>
      <c r="F3111" s="3" t="s">
        <v>10</v>
      </c>
      <c r="G31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11" s="3" t="s">
        <v>119</v>
      </c>
      <c r="I3111" s="3" t="s">
        <v>31</v>
      </c>
      <c r="J3111" s="3" t="s">
        <v>120</v>
      </c>
      <c r="K3111" s="3" t="s">
        <v>43</v>
      </c>
      <c r="L3111" s="3" t="s">
        <v>44</v>
      </c>
      <c r="M3111" s="4">
        <v>154.07</v>
      </c>
    </row>
    <row r="3112">
      <c r="A3112" s="2">
        <v>45800</v>
      </c>
      <c r="B31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2" s="3" t="str">
        <f>YEAR(KMART_DATA[[#This Row],[Date]])&amp;"-"&amp;TEXT(MONTH(KMART_DATA[[#This Row],[Date]]),"00")</f>
        <v>2025-05</v>
      </c>
      <c r="D3112" s="3" t="s">
        <v>28</v>
      </c>
      <c r="E3112" s="3" t="s">
        <v>217</v>
      </c>
      <c r="F3112" s="3" t="s">
        <v>10</v>
      </c>
      <c r="G31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12" s="3" t="s">
        <v>218</v>
      </c>
      <c r="I3112" s="3" t="s">
        <v>31</v>
      </c>
      <c r="J3112" s="3" t="s">
        <v>89</v>
      </c>
      <c r="K3112" s="3" t="s">
        <v>57</v>
      </c>
      <c r="L3112" s="3" t="s">
        <v>58</v>
      </c>
      <c r="M3112" s="4">
        <v>255.23</v>
      </c>
    </row>
    <row r="3113">
      <c r="A3113" s="2">
        <v>45800</v>
      </c>
      <c r="B31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3" s="3" t="str">
        <f>YEAR(KMART_DATA[[#This Row],[Date]])&amp;"-"&amp;TEXT(MONTH(KMART_DATA[[#This Row],[Date]]),"00")</f>
        <v>2025-05</v>
      </c>
      <c r="D3113" s="3" t="s">
        <v>45</v>
      </c>
      <c r="E3113" s="3" t="s">
        <v>143</v>
      </c>
      <c r="F3113" s="3" t="s">
        <v>14</v>
      </c>
      <c r="G31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113" s="3" t="s">
        <v>144</v>
      </c>
      <c r="I3113" s="3" t="s">
        <v>31</v>
      </c>
      <c r="J3113" s="3" t="s">
        <v>145</v>
      </c>
      <c r="K3113" s="3" t="s">
        <v>71</v>
      </c>
      <c r="L3113" s="3" t="s">
        <v>72</v>
      </c>
      <c r="M3113" s="4">
        <v>926.2</v>
      </c>
    </row>
    <row r="3114">
      <c r="A3114" s="2">
        <v>45801</v>
      </c>
      <c r="B31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4" s="3" t="str">
        <f>YEAR(KMART_DATA[[#This Row],[Date]])&amp;"-"&amp;TEXT(MONTH(KMART_DATA[[#This Row],[Date]]),"00")</f>
        <v>2025-05</v>
      </c>
      <c r="D3114" s="3" t="s">
        <v>28</v>
      </c>
      <c r="E3114" s="3" t="s">
        <v>173</v>
      </c>
      <c r="F3114" s="3" t="s">
        <v>11</v>
      </c>
      <c r="G31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14" s="3" t="s">
        <v>174</v>
      </c>
      <c r="I3114" s="3" t="s">
        <v>31</v>
      </c>
      <c r="J3114" s="3" t="s">
        <v>61</v>
      </c>
      <c r="K3114" s="3" t="s">
        <v>38</v>
      </c>
      <c r="L3114" s="3" t="s">
        <v>39</v>
      </c>
      <c r="M3114" s="4">
        <v>1.0</v>
      </c>
    </row>
    <row r="3115">
      <c r="A3115" s="2">
        <v>45801</v>
      </c>
      <c r="B31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5" s="3" t="str">
        <f>YEAR(KMART_DATA[[#This Row],[Date]])&amp;"-"&amp;TEXT(MONTH(KMART_DATA[[#This Row],[Date]]),"00")</f>
        <v>2025-05</v>
      </c>
      <c r="D3115" s="3" t="s">
        <v>28</v>
      </c>
      <c r="E3115" s="3" t="s">
        <v>254</v>
      </c>
      <c r="F3115" s="3" t="s">
        <v>13</v>
      </c>
      <c r="G31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115" s="3" t="s">
        <v>255</v>
      </c>
      <c r="I3115" s="3" t="s">
        <v>31</v>
      </c>
      <c r="J3115" s="3" t="s">
        <v>227</v>
      </c>
      <c r="K3115" s="3" t="s">
        <v>43</v>
      </c>
      <c r="L3115" s="3" t="s">
        <v>44</v>
      </c>
      <c r="M3115" s="4">
        <v>52.3</v>
      </c>
    </row>
    <row r="3116">
      <c r="A3116" s="2">
        <v>45801</v>
      </c>
      <c r="B31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6" s="3" t="str">
        <f>YEAR(KMART_DATA[[#This Row],[Date]])&amp;"-"&amp;TEXT(MONTH(KMART_DATA[[#This Row],[Date]]),"00")</f>
        <v>2025-05</v>
      </c>
      <c r="D3116" s="3" t="s">
        <v>28</v>
      </c>
      <c r="E3116" s="3" t="s">
        <v>76</v>
      </c>
      <c r="F3116" s="3" t="s">
        <v>11</v>
      </c>
      <c r="G31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16" s="3" t="s">
        <v>77</v>
      </c>
      <c r="I3116" s="3" t="s">
        <v>31</v>
      </c>
      <c r="J3116" s="3" t="s">
        <v>78</v>
      </c>
      <c r="K3116" s="3" t="s">
        <v>43</v>
      </c>
      <c r="L3116" s="3" t="s">
        <v>44</v>
      </c>
      <c r="M3116" s="4">
        <v>66.94</v>
      </c>
    </row>
    <row r="3117">
      <c r="A3117" s="2">
        <v>45801</v>
      </c>
      <c r="B31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7" s="3" t="str">
        <f>YEAR(KMART_DATA[[#This Row],[Date]])&amp;"-"&amp;TEXT(MONTH(KMART_DATA[[#This Row],[Date]]),"00")</f>
        <v>2025-05</v>
      </c>
      <c r="D3117" s="3" t="s">
        <v>45</v>
      </c>
      <c r="E3117" s="3" t="s">
        <v>260</v>
      </c>
      <c r="F3117" s="3" t="s">
        <v>10</v>
      </c>
      <c r="G31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17" s="3" t="s">
        <v>261</v>
      </c>
      <c r="I3117" s="3" t="s">
        <v>31</v>
      </c>
      <c r="J3117" s="3" t="s">
        <v>89</v>
      </c>
      <c r="K3117" s="3" t="s">
        <v>112</v>
      </c>
      <c r="L3117" s="3" t="s">
        <v>113</v>
      </c>
      <c r="M3117" s="4">
        <v>77.14</v>
      </c>
    </row>
    <row r="3118">
      <c r="A3118" s="2">
        <v>45801</v>
      </c>
      <c r="B31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8" s="3" t="str">
        <f>YEAR(KMART_DATA[[#This Row],[Date]])&amp;"-"&amp;TEXT(MONTH(KMART_DATA[[#This Row],[Date]]),"00")</f>
        <v>2025-05</v>
      </c>
      <c r="D3118" s="3" t="s">
        <v>28</v>
      </c>
      <c r="E3118" s="3" t="s">
        <v>59</v>
      </c>
      <c r="F3118" s="3" t="s">
        <v>11</v>
      </c>
      <c r="G31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18" s="3" t="s">
        <v>60</v>
      </c>
      <c r="I3118" s="3" t="s">
        <v>31</v>
      </c>
      <c r="J3118" s="3" t="s">
        <v>61</v>
      </c>
      <c r="K3118" s="3" t="s">
        <v>95</v>
      </c>
      <c r="L3118" s="3" t="s">
        <v>96</v>
      </c>
      <c r="M3118" s="4">
        <v>89.82</v>
      </c>
    </row>
    <row r="3119">
      <c r="A3119" s="2">
        <v>45801</v>
      </c>
      <c r="B31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19" s="3" t="str">
        <f>YEAR(KMART_DATA[[#This Row],[Date]])&amp;"-"&amp;TEXT(MONTH(KMART_DATA[[#This Row],[Date]]),"00")</f>
        <v>2025-05</v>
      </c>
      <c r="D3119" s="3" t="s">
        <v>45</v>
      </c>
      <c r="E3119" s="3" t="s">
        <v>116</v>
      </c>
      <c r="F3119" s="3" t="s">
        <v>9</v>
      </c>
      <c r="G31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19" s="3" t="s">
        <v>117</v>
      </c>
      <c r="I3119" s="3" t="s">
        <v>31</v>
      </c>
      <c r="J3119" s="3" t="s">
        <v>70</v>
      </c>
      <c r="K3119" s="3" t="s">
        <v>43</v>
      </c>
      <c r="L3119" s="3" t="s">
        <v>44</v>
      </c>
      <c r="M3119" s="4">
        <v>108.44</v>
      </c>
    </row>
    <row r="3120">
      <c r="A3120" s="2">
        <v>45801</v>
      </c>
      <c r="B31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0" s="3" t="str">
        <f>YEAR(KMART_DATA[[#This Row],[Date]])&amp;"-"&amp;TEXT(MONTH(KMART_DATA[[#This Row],[Date]]),"00")</f>
        <v>2025-05</v>
      </c>
      <c r="D3120" s="3" t="s">
        <v>45</v>
      </c>
      <c r="E3120" s="3" t="s">
        <v>207</v>
      </c>
      <c r="F3120" s="3" t="s">
        <v>11</v>
      </c>
      <c r="G31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20" s="3" t="s">
        <v>208</v>
      </c>
      <c r="I3120" s="3" t="s">
        <v>31</v>
      </c>
      <c r="J3120" s="3" t="s">
        <v>78</v>
      </c>
      <c r="K3120" s="3" t="s">
        <v>43</v>
      </c>
      <c r="L3120" s="3" t="s">
        <v>44</v>
      </c>
      <c r="M3120" s="4">
        <v>151.25</v>
      </c>
    </row>
    <row r="3121">
      <c r="A3121" s="2">
        <v>45801</v>
      </c>
      <c r="B31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1" s="3" t="str">
        <f>YEAR(KMART_DATA[[#This Row],[Date]])&amp;"-"&amp;TEXT(MONTH(KMART_DATA[[#This Row],[Date]]),"00")</f>
        <v>2025-05</v>
      </c>
      <c r="D3121" s="3" t="s">
        <v>45</v>
      </c>
      <c r="E3121" s="3" t="s">
        <v>35</v>
      </c>
      <c r="F3121" s="3" t="s">
        <v>10</v>
      </c>
      <c r="G31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21" s="3" t="s">
        <v>36</v>
      </c>
      <c r="I3121" s="3" t="s">
        <v>31</v>
      </c>
      <c r="J3121" s="3" t="s">
        <v>37</v>
      </c>
      <c r="K3121" s="3" t="s">
        <v>123</v>
      </c>
      <c r="L3121" s="3" t="s">
        <v>124</v>
      </c>
      <c r="M3121" s="4">
        <v>183.35</v>
      </c>
    </row>
    <row r="3122">
      <c r="A3122" s="2">
        <v>45801</v>
      </c>
      <c r="B31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2" s="3" t="str">
        <f>YEAR(KMART_DATA[[#This Row],[Date]])&amp;"-"&amp;TEXT(MONTH(KMART_DATA[[#This Row],[Date]]),"00")</f>
        <v>2025-05</v>
      </c>
      <c r="D3122" s="3" t="s">
        <v>45</v>
      </c>
      <c r="E3122" s="3" t="s">
        <v>223</v>
      </c>
      <c r="F3122" s="3" t="s">
        <v>10</v>
      </c>
      <c r="G31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22" s="3" t="s">
        <v>224</v>
      </c>
      <c r="I3122" s="3" t="s">
        <v>31</v>
      </c>
      <c r="J3122" s="3" t="s">
        <v>94</v>
      </c>
      <c r="K3122" s="3" t="s">
        <v>57</v>
      </c>
      <c r="L3122" s="3" t="s">
        <v>58</v>
      </c>
      <c r="M3122" s="4">
        <v>489.06</v>
      </c>
    </row>
    <row r="3123">
      <c r="A3123" s="2">
        <v>45801</v>
      </c>
      <c r="B31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3" s="3" t="str">
        <f>YEAR(KMART_DATA[[#This Row],[Date]])&amp;"-"&amp;TEXT(MONTH(KMART_DATA[[#This Row],[Date]]),"00")</f>
        <v>2025-05</v>
      </c>
      <c r="D3123" s="3" t="s">
        <v>28</v>
      </c>
      <c r="E3123" s="3" t="s">
        <v>59</v>
      </c>
      <c r="F3123" s="3" t="s">
        <v>11</v>
      </c>
      <c r="G31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23" s="3" t="s">
        <v>60</v>
      </c>
      <c r="I3123" s="3" t="s">
        <v>31</v>
      </c>
      <c r="J3123" s="3" t="s">
        <v>61</v>
      </c>
      <c r="K3123" s="3" t="s">
        <v>33</v>
      </c>
      <c r="L3123" s="3" t="s">
        <v>34</v>
      </c>
      <c r="M3123" s="4">
        <v>2217.26</v>
      </c>
    </row>
    <row r="3124">
      <c r="A3124" s="2">
        <v>45802</v>
      </c>
      <c r="B31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4" s="3" t="str">
        <f>YEAR(KMART_DATA[[#This Row],[Date]])&amp;"-"&amp;TEXT(MONTH(KMART_DATA[[#This Row],[Date]]),"00")</f>
        <v>2025-05</v>
      </c>
      <c r="D3124" s="3" t="s">
        <v>28</v>
      </c>
      <c r="E3124" s="3" t="s">
        <v>146</v>
      </c>
      <c r="F3124" s="3" t="s">
        <v>9</v>
      </c>
      <c r="G31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24" s="3" t="s">
        <v>147</v>
      </c>
      <c r="I3124" s="3" t="s">
        <v>31</v>
      </c>
      <c r="J3124" s="3" t="s">
        <v>75</v>
      </c>
      <c r="K3124" s="3" t="s">
        <v>43</v>
      </c>
      <c r="L3124" s="3" t="s">
        <v>44</v>
      </c>
      <c r="M3124" s="4">
        <v>16.0</v>
      </c>
    </row>
    <row r="3125">
      <c r="A3125" s="2">
        <v>45802</v>
      </c>
      <c r="B31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5" s="3" t="str">
        <f>YEAR(KMART_DATA[[#This Row],[Date]])&amp;"-"&amp;TEXT(MONTH(KMART_DATA[[#This Row],[Date]]),"00")</f>
        <v>2025-05</v>
      </c>
      <c r="D3125" s="3" t="s">
        <v>45</v>
      </c>
      <c r="E3125" s="3" t="s">
        <v>244</v>
      </c>
      <c r="F3125" s="3" t="s">
        <v>13</v>
      </c>
      <c r="G31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125" s="3" t="s">
        <v>245</v>
      </c>
      <c r="I3125" s="3" t="s">
        <v>31</v>
      </c>
      <c r="J3125" s="3" t="s">
        <v>42</v>
      </c>
      <c r="K3125" s="3" t="s">
        <v>38</v>
      </c>
      <c r="L3125" s="3" t="s">
        <v>39</v>
      </c>
      <c r="M3125" s="4">
        <v>27.53</v>
      </c>
    </row>
    <row r="3126">
      <c r="A3126" s="2">
        <v>45802</v>
      </c>
      <c r="B31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6" s="3" t="str">
        <f>YEAR(KMART_DATA[[#This Row],[Date]])&amp;"-"&amp;TEXT(MONTH(KMART_DATA[[#This Row],[Date]]),"00")</f>
        <v>2025-05</v>
      </c>
      <c r="D3126" s="3" t="s">
        <v>45</v>
      </c>
      <c r="E3126" s="3" t="s">
        <v>133</v>
      </c>
      <c r="F3126" s="3" t="s">
        <v>10</v>
      </c>
      <c r="G31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26" s="3" t="s">
        <v>134</v>
      </c>
      <c r="I3126" s="3" t="s">
        <v>31</v>
      </c>
      <c r="J3126" s="3" t="s">
        <v>37</v>
      </c>
      <c r="K3126" s="3" t="s">
        <v>43</v>
      </c>
      <c r="L3126" s="3" t="s">
        <v>44</v>
      </c>
      <c r="M3126" s="4">
        <v>48.0</v>
      </c>
    </row>
    <row r="3127">
      <c r="A3127" s="2">
        <v>45802</v>
      </c>
      <c r="B31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7" s="3" t="str">
        <f>YEAR(KMART_DATA[[#This Row],[Date]])&amp;"-"&amp;TEXT(MONTH(KMART_DATA[[#This Row],[Date]]),"00")</f>
        <v>2025-05</v>
      </c>
      <c r="D3127" s="3" t="s">
        <v>28</v>
      </c>
      <c r="E3127" s="3" t="s">
        <v>225</v>
      </c>
      <c r="F3127" s="3" t="s">
        <v>13</v>
      </c>
      <c r="G31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127" s="3" t="s">
        <v>226</v>
      </c>
      <c r="I3127" s="3" t="s">
        <v>31</v>
      </c>
      <c r="J3127" s="3" t="s">
        <v>227</v>
      </c>
      <c r="K3127" s="3" t="s">
        <v>38</v>
      </c>
      <c r="L3127" s="3" t="s">
        <v>39</v>
      </c>
      <c r="M3127" s="4">
        <v>211.63</v>
      </c>
    </row>
    <row r="3128">
      <c r="A3128" s="2">
        <v>45802</v>
      </c>
      <c r="B31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8" s="3" t="str">
        <f>YEAR(KMART_DATA[[#This Row],[Date]])&amp;"-"&amp;TEXT(MONTH(KMART_DATA[[#This Row],[Date]]),"00")</f>
        <v>2025-05</v>
      </c>
      <c r="D3128" s="3" t="s">
        <v>28</v>
      </c>
      <c r="E3128" s="3" t="s">
        <v>260</v>
      </c>
      <c r="F3128" s="3" t="s">
        <v>10</v>
      </c>
      <c r="G31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28" s="3" t="s">
        <v>261</v>
      </c>
      <c r="I3128" s="3" t="s">
        <v>31</v>
      </c>
      <c r="J3128" s="3" t="s">
        <v>89</v>
      </c>
      <c r="K3128" s="3" t="s">
        <v>38</v>
      </c>
      <c r="L3128" s="3" t="s">
        <v>39</v>
      </c>
      <c r="M3128" s="4">
        <v>241.52</v>
      </c>
    </row>
    <row r="3129">
      <c r="A3129" s="2">
        <v>45802</v>
      </c>
      <c r="B31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29" s="3" t="str">
        <f>YEAR(KMART_DATA[[#This Row],[Date]])&amp;"-"&amp;TEXT(MONTH(KMART_DATA[[#This Row],[Date]]),"00")</f>
        <v>2025-05</v>
      </c>
      <c r="D3129" s="3" t="s">
        <v>28</v>
      </c>
      <c r="E3129" s="3" t="s">
        <v>129</v>
      </c>
      <c r="F3129" s="3" t="s">
        <v>10</v>
      </c>
      <c r="G31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29" s="3" t="s">
        <v>130</v>
      </c>
      <c r="I3129" s="3" t="s">
        <v>31</v>
      </c>
      <c r="J3129" s="3" t="s">
        <v>120</v>
      </c>
      <c r="K3129" s="3" t="s">
        <v>112</v>
      </c>
      <c r="L3129" s="3" t="s">
        <v>113</v>
      </c>
      <c r="M3129" s="4">
        <v>307.38</v>
      </c>
    </row>
    <row r="3130">
      <c r="A3130" s="2">
        <v>45802</v>
      </c>
      <c r="B31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0" s="3" t="str">
        <f>YEAR(KMART_DATA[[#This Row],[Date]])&amp;"-"&amp;TEXT(MONTH(KMART_DATA[[#This Row],[Date]]),"00")</f>
        <v>2025-05</v>
      </c>
      <c r="D3130" s="3" t="s">
        <v>28</v>
      </c>
      <c r="E3130" s="3" t="s">
        <v>121</v>
      </c>
      <c r="F3130" s="3" t="s">
        <v>11</v>
      </c>
      <c r="G31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30" s="3" t="s">
        <v>122</v>
      </c>
      <c r="I3130" s="3" t="s">
        <v>31</v>
      </c>
      <c r="J3130" s="3" t="s">
        <v>84</v>
      </c>
      <c r="K3130" s="3" t="s">
        <v>33</v>
      </c>
      <c r="L3130" s="3" t="s">
        <v>34</v>
      </c>
      <c r="M3130" s="4">
        <v>705.05</v>
      </c>
    </row>
    <row r="3131">
      <c r="A3131" s="2">
        <v>45803</v>
      </c>
      <c r="B31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1" s="3" t="str">
        <f>YEAR(KMART_DATA[[#This Row],[Date]])&amp;"-"&amp;TEXT(MONTH(KMART_DATA[[#This Row],[Date]]),"00")</f>
        <v>2025-05</v>
      </c>
      <c r="D3131" s="3" t="s">
        <v>28</v>
      </c>
      <c r="E3131" s="3" t="s">
        <v>105</v>
      </c>
      <c r="F3131" s="3" t="s">
        <v>9</v>
      </c>
      <c r="G31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31" s="3" t="s">
        <v>106</v>
      </c>
      <c r="I3131" s="3" t="s">
        <v>31</v>
      </c>
      <c r="J3131" s="3" t="s">
        <v>107</v>
      </c>
      <c r="K3131" s="3" t="s">
        <v>123</v>
      </c>
      <c r="L3131" s="3" t="s">
        <v>124</v>
      </c>
      <c r="M3131" s="4">
        <v>10.5</v>
      </c>
    </row>
    <row r="3132">
      <c r="A3132" s="2">
        <v>45803</v>
      </c>
      <c r="B31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2" s="3" t="str">
        <f>YEAR(KMART_DATA[[#This Row],[Date]])&amp;"-"&amp;TEXT(MONTH(KMART_DATA[[#This Row],[Date]]),"00")</f>
        <v>2025-05</v>
      </c>
      <c r="D3132" s="3" t="s">
        <v>28</v>
      </c>
      <c r="E3132" s="3" t="s">
        <v>158</v>
      </c>
      <c r="F3132" s="3" t="s">
        <v>11</v>
      </c>
      <c r="G31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32" s="3" t="s">
        <v>159</v>
      </c>
      <c r="I3132" s="3" t="s">
        <v>31</v>
      </c>
      <c r="J3132" s="3" t="s">
        <v>84</v>
      </c>
      <c r="K3132" s="3" t="s">
        <v>123</v>
      </c>
      <c r="L3132" s="3" t="s">
        <v>124</v>
      </c>
      <c r="M3132" s="4">
        <v>24.99</v>
      </c>
    </row>
    <row r="3133">
      <c r="A3133" s="2">
        <v>45803</v>
      </c>
      <c r="B31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3" s="3" t="str">
        <f>YEAR(KMART_DATA[[#This Row],[Date]])&amp;"-"&amp;TEXT(MONTH(KMART_DATA[[#This Row],[Date]]),"00")</f>
        <v>2025-05</v>
      </c>
      <c r="D3133" s="3" t="s">
        <v>28</v>
      </c>
      <c r="E3133" s="3" t="s">
        <v>175</v>
      </c>
      <c r="F3133" s="3" t="s">
        <v>16</v>
      </c>
      <c r="G31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133" s="3" t="s">
        <v>176</v>
      </c>
      <c r="I3133" s="3" t="s">
        <v>31</v>
      </c>
      <c r="J3133" s="3" t="s">
        <v>107</v>
      </c>
      <c r="K3133" s="3" t="s">
        <v>71</v>
      </c>
      <c r="L3133" s="3" t="s">
        <v>72</v>
      </c>
      <c r="M3133" s="4">
        <v>27.36</v>
      </c>
    </row>
    <row r="3134">
      <c r="A3134" s="2">
        <v>45803</v>
      </c>
      <c r="B31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4" s="3" t="str">
        <f>YEAR(KMART_DATA[[#This Row],[Date]])&amp;"-"&amp;TEXT(MONTH(KMART_DATA[[#This Row],[Date]]),"00")</f>
        <v>2025-05</v>
      </c>
      <c r="D3134" s="3" t="s">
        <v>45</v>
      </c>
      <c r="E3134" s="3" t="s">
        <v>125</v>
      </c>
      <c r="F3134" s="3" t="s">
        <v>10</v>
      </c>
      <c r="G31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34" s="3" t="s">
        <v>126</v>
      </c>
      <c r="I3134" s="3" t="s">
        <v>31</v>
      </c>
      <c r="J3134" s="3" t="s">
        <v>94</v>
      </c>
      <c r="K3134" s="3" t="s">
        <v>112</v>
      </c>
      <c r="L3134" s="3" t="s">
        <v>113</v>
      </c>
      <c r="M3134" s="4">
        <v>58.9</v>
      </c>
    </row>
    <row r="3135">
      <c r="A3135" s="2">
        <v>45803</v>
      </c>
      <c r="B31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5" s="3" t="str">
        <f>YEAR(KMART_DATA[[#This Row],[Date]])&amp;"-"&amp;TEXT(MONTH(KMART_DATA[[#This Row],[Date]]),"00")</f>
        <v>2025-05</v>
      </c>
      <c r="D3135" s="3" t="s">
        <v>45</v>
      </c>
      <c r="E3135" s="3" t="s">
        <v>108</v>
      </c>
      <c r="F3135" s="3" t="s">
        <v>9</v>
      </c>
      <c r="G31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35" s="3" t="s">
        <v>109</v>
      </c>
      <c r="I3135" s="3" t="s">
        <v>31</v>
      </c>
      <c r="J3135" s="3" t="s">
        <v>75</v>
      </c>
      <c r="K3135" s="3" t="s">
        <v>33</v>
      </c>
      <c r="L3135" s="3" t="s">
        <v>34</v>
      </c>
      <c r="M3135" s="4">
        <v>122.41</v>
      </c>
    </row>
    <row r="3136">
      <c r="A3136" s="2">
        <v>45803</v>
      </c>
      <c r="B31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6" s="3" t="str">
        <f>YEAR(KMART_DATA[[#This Row],[Date]])&amp;"-"&amp;TEXT(MONTH(KMART_DATA[[#This Row],[Date]]),"00")</f>
        <v>2025-05</v>
      </c>
      <c r="D3136" s="3" t="s">
        <v>28</v>
      </c>
      <c r="E3136" s="3" t="s">
        <v>217</v>
      </c>
      <c r="F3136" s="3" t="s">
        <v>10</v>
      </c>
      <c r="G31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36" s="3" t="s">
        <v>218</v>
      </c>
      <c r="I3136" s="3" t="s">
        <v>31</v>
      </c>
      <c r="J3136" s="3" t="s">
        <v>89</v>
      </c>
      <c r="K3136" s="3" t="s">
        <v>123</v>
      </c>
      <c r="L3136" s="3" t="s">
        <v>124</v>
      </c>
      <c r="M3136" s="4">
        <v>235.59</v>
      </c>
    </row>
    <row r="3137">
      <c r="A3137" s="2">
        <v>45803</v>
      </c>
      <c r="B31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7" s="3" t="str">
        <f>YEAR(KMART_DATA[[#This Row],[Date]])&amp;"-"&amp;TEXT(MONTH(KMART_DATA[[#This Row],[Date]]),"00")</f>
        <v>2025-05</v>
      </c>
      <c r="D3137" s="3" t="s">
        <v>45</v>
      </c>
      <c r="E3137" s="3" t="s">
        <v>146</v>
      </c>
      <c r="F3137" s="3" t="s">
        <v>9</v>
      </c>
      <c r="G31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37" s="3" t="s">
        <v>147</v>
      </c>
      <c r="I3137" s="3" t="s">
        <v>31</v>
      </c>
      <c r="J3137" s="3" t="s">
        <v>75</v>
      </c>
      <c r="K3137" s="3" t="s">
        <v>33</v>
      </c>
      <c r="L3137" s="3" t="s">
        <v>34</v>
      </c>
      <c r="M3137" s="4">
        <v>281.92</v>
      </c>
    </row>
    <row r="3138">
      <c r="A3138" s="2">
        <v>45803</v>
      </c>
      <c r="B31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8" s="3" t="str">
        <f>YEAR(KMART_DATA[[#This Row],[Date]])&amp;"-"&amp;TEXT(MONTH(KMART_DATA[[#This Row],[Date]]),"00")</f>
        <v>2025-05</v>
      </c>
      <c r="D3138" s="3" t="s">
        <v>28</v>
      </c>
      <c r="E3138" s="3" t="s">
        <v>150</v>
      </c>
      <c r="F3138" s="3" t="s">
        <v>15</v>
      </c>
      <c r="G31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138" s="3" t="s">
        <v>151</v>
      </c>
      <c r="I3138" s="3" t="s">
        <v>31</v>
      </c>
      <c r="J3138" s="3" t="s">
        <v>53</v>
      </c>
      <c r="K3138" s="3" t="s">
        <v>95</v>
      </c>
      <c r="L3138" s="3" t="s">
        <v>96</v>
      </c>
      <c r="M3138" s="4">
        <v>939.83</v>
      </c>
    </row>
    <row r="3139">
      <c r="A3139" s="2">
        <v>45804</v>
      </c>
      <c r="B31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39" s="3" t="str">
        <f>YEAR(KMART_DATA[[#This Row],[Date]])&amp;"-"&amp;TEXT(MONTH(KMART_DATA[[#This Row],[Date]]),"00")</f>
        <v>2025-05</v>
      </c>
      <c r="D3139" s="3" t="s">
        <v>45</v>
      </c>
      <c r="E3139" s="3" t="s">
        <v>150</v>
      </c>
      <c r="F3139" s="3" t="s">
        <v>15</v>
      </c>
      <c r="G31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139" s="3" t="s">
        <v>151</v>
      </c>
      <c r="I3139" s="3" t="s">
        <v>31</v>
      </c>
      <c r="J3139" s="3" t="s">
        <v>53</v>
      </c>
      <c r="K3139" s="3" t="s">
        <v>38</v>
      </c>
      <c r="L3139" s="3" t="s">
        <v>39</v>
      </c>
      <c r="M3139" s="4">
        <v>74.5</v>
      </c>
    </row>
    <row r="3140">
      <c r="A3140" s="2">
        <v>45804</v>
      </c>
      <c r="B31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0" s="3" t="str">
        <f>YEAR(KMART_DATA[[#This Row],[Date]])&amp;"-"&amp;TEXT(MONTH(KMART_DATA[[#This Row],[Date]]),"00")</f>
        <v>2025-05</v>
      </c>
      <c r="D3140" s="3" t="s">
        <v>28</v>
      </c>
      <c r="E3140" s="3" t="s">
        <v>256</v>
      </c>
      <c r="F3140" s="3" t="s">
        <v>9</v>
      </c>
      <c r="G31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40" s="3" t="s">
        <v>257</v>
      </c>
      <c r="I3140" s="3" t="s">
        <v>31</v>
      </c>
      <c r="J3140" s="3" t="s">
        <v>70</v>
      </c>
      <c r="K3140" s="3" t="s">
        <v>43</v>
      </c>
      <c r="L3140" s="3" t="s">
        <v>44</v>
      </c>
      <c r="M3140" s="4">
        <v>104.93</v>
      </c>
    </row>
    <row r="3141">
      <c r="A3141" s="2">
        <v>45804</v>
      </c>
      <c r="B31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1" s="3" t="str">
        <f>YEAR(KMART_DATA[[#This Row],[Date]])&amp;"-"&amp;TEXT(MONTH(KMART_DATA[[#This Row],[Date]]),"00")</f>
        <v>2025-05</v>
      </c>
      <c r="D3141" s="3" t="s">
        <v>28</v>
      </c>
      <c r="E3141" s="3" t="s">
        <v>150</v>
      </c>
      <c r="F3141" s="3" t="s">
        <v>15</v>
      </c>
      <c r="G31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141" s="3" t="s">
        <v>151</v>
      </c>
      <c r="I3141" s="3" t="s">
        <v>31</v>
      </c>
      <c r="J3141" s="3" t="s">
        <v>53</v>
      </c>
      <c r="K3141" s="3" t="s">
        <v>57</v>
      </c>
      <c r="L3141" s="3" t="s">
        <v>58</v>
      </c>
      <c r="M3141" s="4">
        <v>455.39</v>
      </c>
    </row>
    <row r="3142">
      <c r="A3142" s="2">
        <v>45804</v>
      </c>
      <c r="B31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2" s="3" t="str">
        <f>YEAR(KMART_DATA[[#This Row],[Date]])&amp;"-"&amp;TEXT(MONTH(KMART_DATA[[#This Row],[Date]]),"00")</f>
        <v>2025-05</v>
      </c>
      <c r="D3142" s="3" t="s">
        <v>28</v>
      </c>
      <c r="E3142" s="3" t="s">
        <v>163</v>
      </c>
      <c r="F3142" s="3" t="s">
        <v>9</v>
      </c>
      <c r="G31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42" s="3" t="s">
        <v>164</v>
      </c>
      <c r="I3142" s="3" t="s">
        <v>31</v>
      </c>
      <c r="J3142" s="3" t="s">
        <v>81</v>
      </c>
      <c r="K3142" s="3" t="s">
        <v>66</v>
      </c>
      <c r="L3142" s="3" t="s">
        <v>67</v>
      </c>
      <c r="M3142" s="4">
        <v>940.7</v>
      </c>
    </row>
    <row r="3143">
      <c r="A3143" s="2">
        <v>45804</v>
      </c>
      <c r="B31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3" s="3" t="str">
        <f>YEAR(KMART_DATA[[#This Row],[Date]])&amp;"-"&amp;TEXT(MONTH(KMART_DATA[[#This Row],[Date]]),"00")</f>
        <v>2025-05</v>
      </c>
      <c r="D3143" s="3" t="s">
        <v>45</v>
      </c>
      <c r="E3143" s="3" t="s">
        <v>189</v>
      </c>
      <c r="F3143" s="3" t="s">
        <v>9</v>
      </c>
      <c r="G31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43" s="3" t="s">
        <v>190</v>
      </c>
      <c r="I3143" s="3" t="s">
        <v>31</v>
      </c>
      <c r="J3143" s="3" t="s">
        <v>81</v>
      </c>
      <c r="K3143" s="3" t="s">
        <v>95</v>
      </c>
      <c r="L3143" s="3" t="s">
        <v>96</v>
      </c>
      <c r="M3143" s="4">
        <v>1053.53</v>
      </c>
    </row>
    <row r="3144">
      <c r="A3144" s="2">
        <v>45804</v>
      </c>
      <c r="B31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4" s="3" t="str">
        <f>YEAR(KMART_DATA[[#This Row],[Date]])&amp;"-"&amp;TEXT(MONTH(KMART_DATA[[#This Row],[Date]]),"00")</f>
        <v>2025-05</v>
      </c>
      <c r="D3144" s="3" t="s">
        <v>28</v>
      </c>
      <c r="E3144" s="3" t="s">
        <v>64</v>
      </c>
      <c r="F3144" s="3" t="s">
        <v>11</v>
      </c>
      <c r="G31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44" s="3" t="s">
        <v>65</v>
      </c>
      <c r="I3144" s="3" t="s">
        <v>31</v>
      </c>
      <c r="J3144" s="3" t="s">
        <v>61</v>
      </c>
      <c r="K3144" s="3" t="s">
        <v>66</v>
      </c>
      <c r="L3144" s="3" t="s">
        <v>67</v>
      </c>
      <c r="M3144" s="4">
        <v>1655.86</v>
      </c>
    </row>
    <row r="3145">
      <c r="A3145" s="2">
        <v>45804</v>
      </c>
      <c r="B31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5" s="3" t="str">
        <f>YEAR(KMART_DATA[[#This Row],[Date]])&amp;"-"&amp;TEXT(MONTH(KMART_DATA[[#This Row],[Date]]),"00")</f>
        <v>2025-05</v>
      </c>
      <c r="D3145" s="3" t="s">
        <v>28</v>
      </c>
      <c r="E3145" s="3" t="s">
        <v>193</v>
      </c>
      <c r="F3145" s="3" t="s">
        <v>9</v>
      </c>
      <c r="G31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45" s="3" t="s">
        <v>194</v>
      </c>
      <c r="I3145" s="3" t="s">
        <v>31</v>
      </c>
      <c r="J3145" s="3" t="s">
        <v>99</v>
      </c>
      <c r="K3145" s="3" t="s">
        <v>71</v>
      </c>
      <c r="L3145" s="3" t="s">
        <v>72</v>
      </c>
      <c r="M3145" s="4">
        <v>2329.82</v>
      </c>
    </row>
    <row r="3146">
      <c r="A3146" s="2">
        <v>45805</v>
      </c>
      <c r="B31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6" s="3" t="str">
        <f>YEAR(KMART_DATA[[#This Row],[Date]])&amp;"-"&amp;TEXT(MONTH(KMART_DATA[[#This Row],[Date]]),"00")</f>
        <v>2025-05</v>
      </c>
      <c r="D3146" s="3" t="s">
        <v>28</v>
      </c>
      <c r="E3146" s="3" t="s">
        <v>205</v>
      </c>
      <c r="F3146" s="3" t="s">
        <v>10</v>
      </c>
      <c r="G31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46" s="3" t="s">
        <v>206</v>
      </c>
      <c r="I3146" s="3" t="s">
        <v>31</v>
      </c>
      <c r="J3146" s="3" t="s">
        <v>37</v>
      </c>
      <c r="K3146" s="3" t="s">
        <v>38</v>
      </c>
      <c r="L3146" s="3" t="s">
        <v>39</v>
      </c>
      <c r="M3146" s="4">
        <v>5.0</v>
      </c>
    </row>
    <row r="3147">
      <c r="A3147" s="2">
        <v>45805</v>
      </c>
      <c r="B31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7" s="3" t="str">
        <f>YEAR(KMART_DATA[[#This Row],[Date]])&amp;"-"&amp;TEXT(MONTH(KMART_DATA[[#This Row],[Date]]),"00")</f>
        <v>2025-05</v>
      </c>
      <c r="D3147" s="3" t="s">
        <v>28</v>
      </c>
      <c r="E3147" s="3" t="s">
        <v>85</v>
      </c>
      <c r="F3147" s="3" t="s">
        <v>9</v>
      </c>
      <c r="G31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47" s="3" t="s">
        <v>86</v>
      </c>
      <c r="I3147" s="3" t="s">
        <v>31</v>
      </c>
      <c r="J3147" s="3" t="s">
        <v>81</v>
      </c>
      <c r="K3147" s="3" t="s">
        <v>33</v>
      </c>
      <c r="L3147" s="3" t="s">
        <v>34</v>
      </c>
      <c r="M3147" s="4">
        <v>7.98</v>
      </c>
    </row>
    <row r="3148">
      <c r="A3148" s="2">
        <v>45805</v>
      </c>
      <c r="B31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8" s="3" t="str">
        <f>YEAR(KMART_DATA[[#This Row],[Date]])&amp;"-"&amp;TEXT(MONTH(KMART_DATA[[#This Row],[Date]]),"00")</f>
        <v>2025-05</v>
      </c>
      <c r="D3148" s="3" t="s">
        <v>28</v>
      </c>
      <c r="E3148" s="3" t="s">
        <v>163</v>
      </c>
      <c r="F3148" s="3" t="s">
        <v>9</v>
      </c>
      <c r="G31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48" s="3" t="s">
        <v>164</v>
      </c>
      <c r="I3148" s="3" t="s">
        <v>31</v>
      </c>
      <c r="J3148" s="3" t="s">
        <v>81</v>
      </c>
      <c r="K3148" s="3" t="s">
        <v>43</v>
      </c>
      <c r="L3148" s="3" t="s">
        <v>44</v>
      </c>
      <c r="M3148" s="4">
        <v>11.96</v>
      </c>
    </row>
    <row r="3149">
      <c r="A3149" s="2">
        <v>45805</v>
      </c>
      <c r="B31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49" s="3" t="str">
        <f>YEAR(KMART_DATA[[#This Row],[Date]])&amp;"-"&amp;TEXT(MONTH(KMART_DATA[[#This Row],[Date]]),"00")</f>
        <v>2025-05</v>
      </c>
      <c r="D3149" s="3" t="s">
        <v>28</v>
      </c>
      <c r="E3149" s="3" t="s">
        <v>156</v>
      </c>
      <c r="F3149" s="3" t="s">
        <v>9</v>
      </c>
      <c r="G31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49" s="3" t="s">
        <v>157</v>
      </c>
      <c r="I3149" s="3" t="s">
        <v>31</v>
      </c>
      <c r="J3149" s="3" t="s">
        <v>75</v>
      </c>
      <c r="K3149" s="3" t="s">
        <v>95</v>
      </c>
      <c r="L3149" s="3" t="s">
        <v>96</v>
      </c>
      <c r="M3149" s="4">
        <v>25.2</v>
      </c>
    </row>
    <row r="3150">
      <c r="A3150" s="2">
        <v>45805</v>
      </c>
      <c r="B31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0" s="3" t="str">
        <f>YEAR(KMART_DATA[[#This Row],[Date]])&amp;"-"&amp;TEXT(MONTH(KMART_DATA[[#This Row],[Date]]),"00")</f>
        <v>2025-05</v>
      </c>
      <c r="D3150" s="3" t="s">
        <v>45</v>
      </c>
      <c r="E3150" s="3" t="s">
        <v>108</v>
      </c>
      <c r="F3150" s="3" t="s">
        <v>9</v>
      </c>
      <c r="G31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50" s="3" t="s">
        <v>109</v>
      </c>
      <c r="I3150" s="3" t="s">
        <v>31</v>
      </c>
      <c r="J3150" s="3" t="s">
        <v>75</v>
      </c>
      <c r="K3150" s="3" t="s">
        <v>123</v>
      </c>
      <c r="L3150" s="3" t="s">
        <v>124</v>
      </c>
      <c r="M3150" s="4">
        <v>140.03</v>
      </c>
    </row>
    <row r="3151">
      <c r="A3151" s="2">
        <v>45805</v>
      </c>
      <c r="B31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1" s="3" t="str">
        <f>YEAR(KMART_DATA[[#This Row],[Date]])&amp;"-"&amp;TEXT(MONTH(KMART_DATA[[#This Row],[Date]]),"00")</f>
        <v>2025-05</v>
      </c>
      <c r="D3151" s="3" t="s">
        <v>28</v>
      </c>
      <c r="E3151" s="3" t="s">
        <v>217</v>
      </c>
      <c r="F3151" s="3" t="s">
        <v>10</v>
      </c>
      <c r="G31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51" s="3" t="s">
        <v>218</v>
      </c>
      <c r="I3151" s="3" t="s">
        <v>31</v>
      </c>
      <c r="J3151" s="3" t="s">
        <v>89</v>
      </c>
      <c r="K3151" s="3" t="s">
        <v>57</v>
      </c>
      <c r="L3151" s="3" t="s">
        <v>58</v>
      </c>
      <c r="M3151" s="4">
        <v>239.92</v>
      </c>
    </row>
    <row r="3152">
      <c r="A3152" s="2">
        <v>45805</v>
      </c>
      <c r="B31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2" s="3" t="str">
        <f>YEAR(KMART_DATA[[#This Row],[Date]])&amp;"-"&amp;TEXT(MONTH(KMART_DATA[[#This Row],[Date]]),"00")</f>
        <v>2025-05</v>
      </c>
      <c r="D3152" s="3" t="s">
        <v>45</v>
      </c>
      <c r="E3152" s="3" t="s">
        <v>262</v>
      </c>
      <c r="F3152" s="3" t="s">
        <v>10</v>
      </c>
      <c r="G31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52" s="3" t="s">
        <v>263</v>
      </c>
      <c r="I3152" s="3" t="s">
        <v>31</v>
      </c>
      <c r="J3152" s="3" t="s">
        <v>120</v>
      </c>
      <c r="K3152" s="3" t="s">
        <v>95</v>
      </c>
      <c r="L3152" s="3" t="s">
        <v>96</v>
      </c>
      <c r="M3152" s="4">
        <v>7862.59</v>
      </c>
    </row>
    <row r="3153">
      <c r="A3153" s="2">
        <v>45805</v>
      </c>
      <c r="B31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3" s="3" t="str">
        <f>YEAR(KMART_DATA[[#This Row],[Date]])&amp;"-"&amp;TEXT(MONTH(KMART_DATA[[#This Row],[Date]]),"00")</f>
        <v>2025-05</v>
      </c>
      <c r="D3153" s="3" t="s">
        <v>28</v>
      </c>
      <c r="E3153" s="3" t="s">
        <v>156</v>
      </c>
      <c r="F3153" s="3" t="s">
        <v>9</v>
      </c>
      <c r="G31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53" s="3" t="s">
        <v>157</v>
      </c>
      <c r="I3153" s="3" t="s">
        <v>31</v>
      </c>
      <c r="J3153" s="3" t="s">
        <v>75</v>
      </c>
      <c r="K3153" s="3" t="s">
        <v>95</v>
      </c>
      <c r="L3153" s="3" t="s">
        <v>96</v>
      </c>
      <c r="M3153" s="4">
        <v>9866.44</v>
      </c>
    </row>
    <row r="3154">
      <c r="A3154" s="2">
        <v>45806</v>
      </c>
      <c r="B31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4" s="3" t="str">
        <f>YEAR(KMART_DATA[[#This Row],[Date]])&amp;"-"&amp;TEXT(MONTH(KMART_DATA[[#This Row],[Date]]),"00")</f>
        <v>2025-05</v>
      </c>
      <c r="D3154" s="3" t="s">
        <v>28</v>
      </c>
      <c r="E3154" s="3" t="s">
        <v>131</v>
      </c>
      <c r="F3154" s="3" t="s">
        <v>11</v>
      </c>
      <c r="G31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54" s="3" t="s">
        <v>132</v>
      </c>
      <c r="I3154" s="3" t="s">
        <v>31</v>
      </c>
      <c r="J3154" s="3" t="s">
        <v>32</v>
      </c>
      <c r="K3154" s="3" t="s">
        <v>33</v>
      </c>
      <c r="L3154" s="3" t="s">
        <v>34</v>
      </c>
      <c r="M3154" s="4">
        <v>11.97</v>
      </c>
    </row>
    <row r="3155">
      <c r="A3155" s="2">
        <v>45806</v>
      </c>
      <c r="B31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5" s="3" t="str">
        <f>YEAR(KMART_DATA[[#This Row],[Date]])&amp;"-"&amp;TEXT(MONTH(KMART_DATA[[#This Row],[Date]]),"00")</f>
        <v>2025-05</v>
      </c>
      <c r="D3155" s="3" t="s">
        <v>45</v>
      </c>
      <c r="E3155" s="3" t="s">
        <v>201</v>
      </c>
      <c r="F3155" s="3" t="s">
        <v>10</v>
      </c>
      <c r="G31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55" s="3" t="s">
        <v>202</v>
      </c>
      <c r="I3155" s="3" t="s">
        <v>31</v>
      </c>
      <c r="J3155" s="3" t="s">
        <v>89</v>
      </c>
      <c r="K3155" s="3" t="s">
        <v>112</v>
      </c>
      <c r="L3155" s="3" t="s">
        <v>113</v>
      </c>
      <c r="M3155" s="4">
        <v>29.85</v>
      </c>
    </row>
    <row r="3156">
      <c r="A3156" s="2">
        <v>45806</v>
      </c>
      <c r="B31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6" s="3" t="str">
        <f>YEAR(KMART_DATA[[#This Row],[Date]])&amp;"-"&amp;TEXT(MONTH(KMART_DATA[[#This Row],[Date]]),"00")</f>
        <v>2025-05</v>
      </c>
      <c r="D3156" s="3" t="s">
        <v>28</v>
      </c>
      <c r="E3156" s="3" t="s">
        <v>59</v>
      </c>
      <c r="F3156" s="3" t="s">
        <v>11</v>
      </c>
      <c r="G31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56" s="3" t="s">
        <v>60</v>
      </c>
      <c r="I3156" s="3" t="s">
        <v>31</v>
      </c>
      <c r="J3156" s="3" t="s">
        <v>61</v>
      </c>
      <c r="K3156" s="3" t="s">
        <v>57</v>
      </c>
      <c r="L3156" s="3" t="s">
        <v>58</v>
      </c>
      <c r="M3156" s="4">
        <v>71.91</v>
      </c>
    </row>
    <row r="3157">
      <c r="A3157" s="2">
        <v>45806</v>
      </c>
      <c r="B31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7" s="3" t="str">
        <f>YEAR(KMART_DATA[[#This Row],[Date]])&amp;"-"&amp;TEXT(MONTH(KMART_DATA[[#This Row],[Date]]),"00")</f>
        <v>2025-05</v>
      </c>
      <c r="D3157" s="3" t="s">
        <v>45</v>
      </c>
      <c r="E3157" s="3" t="s">
        <v>79</v>
      </c>
      <c r="F3157" s="3" t="s">
        <v>9</v>
      </c>
      <c r="G31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57" s="3" t="s">
        <v>80</v>
      </c>
      <c r="I3157" s="3" t="s">
        <v>31</v>
      </c>
      <c r="J3157" s="3" t="s">
        <v>81</v>
      </c>
      <c r="K3157" s="3" t="s">
        <v>33</v>
      </c>
      <c r="L3157" s="3" t="s">
        <v>34</v>
      </c>
      <c r="M3157" s="4">
        <v>91.77</v>
      </c>
    </row>
    <row r="3158">
      <c r="A3158" s="2">
        <v>45806</v>
      </c>
      <c r="B31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8" s="3" t="str">
        <f>YEAR(KMART_DATA[[#This Row],[Date]])&amp;"-"&amp;TEXT(MONTH(KMART_DATA[[#This Row],[Date]]),"00")</f>
        <v>2025-05</v>
      </c>
      <c r="D3158" s="3" t="s">
        <v>28</v>
      </c>
      <c r="E3158" s="3" t="s">
        <v>258</v>
      </c>
      <c r="F3158" s="3" t="s">
        <v>14</v>
      </c>
      <c r="G31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158" s="3" t="s">
        <v>259</v>
      </c>
      <c r="I3158" s="3" t="s">
        <v>31</v>
      </c>
      <c r="J3158" s="3" t="s">
        <v>145</v>
      </c>
      <c r="K3158" s="3" t="s">
        <v>71</v>
      </c>
      <c r="L3158" s="3" t="s">
        <v>72</v>
      </c>
      <c r="M3158" s="4">
        <v>497.18</v>
      </c>
    </row>
    <row r="3159">
      <c r="A3159" s="2">
        <v>45806</v>
      </c>
      <c r="B31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59" s="3" t="str">
        <f>YEAR(KMART_DATA[[#This Row],[Date]])&amp;"-"&amp;TEXT(MONTH(KMART_DATA[[#This Row],[Date]]),"00")</f>
        <v>2025-05</v>
      </c>
      <c r="D3159" s="3" t="s">
        <v>28</v>
      </c>
      <c r="E3159" s="3" t="s">
        <v>64</v>
      </c>
      <c r="F3159" s="3" t="s">
        <v>11</v>
      </c>
      <c r="G31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59" s="3" t="s">
        <v>65</v>
      </c>
      <c r="I3159" s="3" t="s">
        <v>31</v>
      </c>
      <c r="J3159" s="3" t="s">
        <v>61</v>
      </c>
      <c r="K3159" s="3" t="s">
        <v>71</v>
      </c>
      <c r="L3159" s="3" t="s">
        <v>72</v>
      </c>
      <c r="M3159" s="4">
        <v>1106.07</v>
      </c>
    </row>
    <row r="3160">
      <c r="A3160" s="2">
        <v>45807</v>
      </c>
      <c r="B31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0" s="3" t="str">
        <f>YEAR(KMART_DATA[[#This Row],[Date]])&amp;"-"&amp;TEXT(MONTH(KMART_DATA[[#This Row],[Date]]),"00")</f>
        <v>2025-05</v>
      </c>
      <c r="D3160" s="3" t="s">
        <v>28</v>
      </c>
      <c r="E3160" s="3" t="s">
        <v>127</v>
      </c>
      <c r="F3160" s="3" t="s">
        <v>11</v>
      </c>
      <c r="G31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60" s="3" t="s">
        <v>128</v>
      </c>
      <c r="I3160" s="3" t="s">
        <v>31</v>
      </c>
      <c r="J3160" s="3" t="s">
        <v>78</v>
      </c>
      <c r="K3160" s="3" t="s">
        <v>43</v>
      </c>
      <c r="L3160" s="3" t="s">
        <v>44</v>
      </c>
      <c r="M3160" s="4">
        <v>10.0</v>
      </c>
    </row>
    <row r="3161">
      <c r="A3161" s="2">
        <v>45807</v>
      </c>
      <c r="B31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1" s="3" t="str">
        <f>YEAR(KMART_DATA[[#This Row],[Date]])&amp;"-"&amp;TEXT(MONTH(KMART_DATA[[#This Row],[Date]]),"00")</f>
        <v>2025-05</v>
      </c>
      <c r="D3161" s="3" t="s">
        <v>45</v>
      </c>
      <c r="E3161" s="3" t="s">
        <v>29</v>
      </c>
      <c r="F3161" s="3" t="s">
        <v>11</v>
      </c>
      <c r="G31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61" s="3" t="s">
        <v>30</v>
      </c>
      <c r="I3161" s="3" t="s">
        <v>31</v>
      </c>
      <c r="J3161" s="3" t="s">
        <v>32</v>
      </c>
      <c r="K3161" s="3" t="s">
        <v>38</v>
      </c>
      <c r="L3161" s="3" t="s">
        <v>39</v>
      </c>
      <c r="M3161" s="4">
        <v>36.92</v>
      </c>
    </row>
    <row r="3162">
      <c r="A3162" s="2">
        <v>45807</v>
      </c>
      <c r="B31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2" s="3" t="str">
        <f>YEAR(KMART_DATA[[#This Row],[Date]])&amp;"-"&amp;TEXT(MONTH(KMART_DATA[[#This Row],[Date]]),"00")</f>
        <v>2025-05</v>
      </c>
      <c r="D3162" s="3" t="s">
        <v>28</v>
      </c>
      <c r="E3162" s="3" t="s">
        <v>73</v>
      </c>
      <c r="F3162" s="3" t="s">
        <v>9</v>
      </c>
      <c r="G31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62" s="3" t="s">
        <v>74</v>
      </c>
      <c r="I3162" s="3" t="s">
        <v>31</v>
      </c>
      <c r="J3162" s="3" t="s">
        <v>75</v>
      </c>
      <c r="K3162" s="3" t="s">
        <v>43</v>
      </c>
      <c r="L3162" s="3" t="s">
        <v>44</v>
      </c>
      <c r="M3162" s="4">
        <v>89.94</v>
      </c>
    </row>
    <row r="3163">
      <c r="A3163" s="2">
        <v>45807</v>
      </c>
      <c r="B31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3" s="3" t="str">
        <f>YEAR(KMART_DATA[[#This Row],[Date]])&amp;"-"&amp;TEXT(MONTH(KMART_DATA[[#This Row],[Date]]),"00")</f>
        <v>2025-05</v>
      </c>
      <c r="D3163" s="3" t="s">
        <v>45</v>
      </c>
      <c r="E3163" s="3" t="s">
        <v>110</v>
      </c>
      <c r="F3163" s="3" t="s">
        <v>9</v>
      </c>
      <c r="G31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63" s="3" t="s">
        <v>111</v>
      </c>
      <c r="I3163" s="3" t="s">
        <v>31</v>
      </c>
      <c r="J3163" s="3" t="s">
        <v>81</v>
      </c>
      <c r="K3163" s="3" t="s">
        <v>71</v>
      </c>
      <c r="L3163" s="3" t="s">
        <v>72</v>
      </c>
      <c r="M3163" s="4">
        <v>119.7</v>
      </c>
    </row>
    <row r="3164">
      <c r="A3164" s="2">
        <v>45807</v>
      </c>
      <c r="B31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4" s="3" t="str">
        <f>YEAR(KMART_DATA[[#This Row],[Date]])&amp;"-"&amp;TEXT(MONTH(KMART_DATA[[#This Row],[Date]]),"00")</f>
        <v>2025-05</v>
      </c>
      <c r="D3164" s="3" t="s">
        <v>45</v>
      </c>
      <c r="E3164" s="3" t="s">
        <v>146</v>
      </c>
      <c r="F3164" s="3" t="s">
        <v>9</v>
      </c>
      <c r="G31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64" s="3" t="s">
        <v>147</v>
      </c>
      <c r="I3164" s="3" t="s">
        <v>31</v>
      </c>
      <c r="J3164" s="3" t="s">
        <v>75</v>
      </c>
      <c r="K3164" s="3" t="s">
        <v>33</v>
      </c>
      <c r="L3164" s="3" t="s">
        <v>34</v>
      </c>
      <c r="M3164" s="4">
        <v>1093.44</v>
      </c>
    </row>
    <row r="3165">
      <c r="A3165" s="2">
        <v>45807</v>
      </c>
      <c r="B31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5" s="3" t="str">
        <f>YEAR(KMART_DATA[[#This Row],[Date]])&amp;"-"&amp;TEXT(MONTH(KMART_DATA[[#This Row],[Date]]),"00")</f>
        <v>2025-05</v>
      </c>
      <c r="D3165" s="3" t="s">
        <v>28</v>
      </c>
      <c r="E3165" s="3" t="s">
        <v>118</v>
      </c>
      <c r="F3165" s="3" t="s">
        <v>10</v>
      </c>
      <c r="G31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65" s="3" t="s">
        <v>119</v>
      </c>
      <c r="I3165" s="3" t="s">
        <v>31</v>
      </c>
      <c r="J3165" s="3" t="s">
        <v>120</v>
      </c>
      <c r="K3165" s="3" t="s">
        <v>66</v>
      </c>
      <c r="L3165" s="3" t="s">
        <v>67</v>
      </c>
      <c r="M3165" s="4">
        <v>1606.3</v>
      </c>
    </row>
    <row r="3166">
      <c r="A3166" s="2">
        <v>45808</v>
      </c>
      <c r="B31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6" s="3" t="str">
        <f>YEAR(KMART_DATA[[#This Row],[Date]])&amp;"-"&amp;TEXT(MONTH(KMART_DATA[[#This Row],[Date]]),"00")</f>
        <v>2025-05</v>
      </c>
      <c r="D3166" s="3" t="s">
        <v>28</v>
      </c>
      <c r="E3166" s="3" t="s">
        <v>103</v>
      </c>
      <c r="F3166" s="3" t="s">
        <v>12</v>
      </c>
      <c r="G31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166" s="3" t="s">
        <v>104</v>
      </c>
      <c r="I3166" s="3" t="s">
        <v>31</v>
      </c>
      <c r="J3166" s="3" t="s">
        <v>102</v>
      </c>
      <c r="K3166" s="3" t="s">
        <v>123</v>
      </c>
      <c r="L3166" s="3" t="s">
        <v>124</v>
      </c>
      <c r="M3166" s="4">
        <v>4.99</v>
      </c>
    </row>
    <row r="3167">
      <c r="A3167" s="2">
        <v>45808</v>
      </c>
      <c r="B31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7" s="3" t="str">
        <f>YEAR(KMART_DATA[[#This Row],[Date]])&amp;"-"&amp;TEXT(MONTH(KMART_DATA[[#This Row],[Date]]),"00")</f>
        <v>2025-05</v>
      </c>
      <c r="D3167" s="3" t="s">
        <v>28</v>
      </c>
      <c r="E3167" s="3" t="s">
        <v>165</v>
      </c>
      <c r="F3167" s="3" t="s">
        <v>9</v>
      </c>
      <c r="G31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67" s="3" t="s">
        <v>166</v>
      </c>
      <c r="I3167" s="3" t="s">
        <v>31</v>
      </c>
      <c r="J3167" s="3" t="s">
        <v>99</v>
      </c>
      <c r="K3167" s="3" t="s">
        <v>112</v>
      </c>
      <c r="L3167" s="3" t="s">
        <v>113</v>
      </c>
      <c r="M3167" s="4">
        <v>19.96</v>
      </c>
    </row>
    <row r="3168">
      <c r="A3168" s="2">
        <v>45808</v>
      </c>
      <c r="B31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8" s="3" t="str">
        <f>YEAR(KMART_DATA[[#This Row],[Date]])&amp;"-"&amp;TEXT(MONTH(KMART_DATA[[#This Row],[Date]]),"00")</f>
        <v>2025-05</v>
      </c>
      <c r="D3168" s="3" t="s">
        <v>45</v>
      </c>
      <c r="E3168" s="3" t="s">
        <v>187</v>
      </c>
      <c r="F3168" s="3" t="s">
        <v>11</v>
      </c>
      <c r="G31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68" s="3" t="s">
        <v>188</v>
      </c>
      <c r="I3168" s="3" t="s">
        <v>31</v>
      </c>
      <c r="J3168" s="3" t="s">
        <v>78</v>
      </c>
      <c r="K3168" s="3" t="s">
        <v>43</v>
      </c>
      <c r="L3168" s="3" t="s">
        <v>44</v>
      </c>
      <c r="M3168" s="4">
        <v>42.96</v>
      </c>
    </row>
    <row r="3169">
      <c r="A3169" s="2">
        <v>45808</v>
      </c>
      <c r="B31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69" s="3" t="str">
        <f>YEAR(KMART_DATA[[#This Row],[Date]])&amp;"-"&amp;TEXT(MONTH(KMART_DATA[[#This Row],[Date]]),"00")</f>
        <v>2025-05</v>
      </c>
      <c r="D3169" s="3" t="s">
        <v>28</v>
      </c>
      <c r="E3169" s="3" t="s">
        <v>129</v>
      </c>
      <c r="F3169" s="3" t="s">
        <v>10</v>
      </c>
      <c r="G31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69" s="3" t="s">
        <v>130</v>
      </c>
      <c r="I3169" s="3" t="s">
        <v>31</v>
      </c>
      <c r="J3169" s="3" t="s">
        <v>120</v>
      </c>
      <c r="K3169" s="3" t="s">
        <v>46</v>
      </c>
      <c r="L3169" s="3" t="s">
        <v>47</v>
      </c>
      <c r="M3169" s="4">
        <v>57.91</v>
      </c>
    </row>
    <row r="3170">
      <c r="A3170" s="2">
        <v>45808</v>
      </c>
      <c r="B31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0" s="3" t="str">
        <f>YEAR(KMART_DATA[[#This Row],[Date]])&amp;"-"&amp;TEXT(MONTH(KMART_DATA[[#This Row],[Date]]),"00")</f>
        <v>2025-05</v>
      </c>
      <c r="D3170" s="3" t="s">
        <v>28</v>
      </c>
      <c r="E3170" s="3" t="s">
        <v>152</v>
      </c>
      <c r="F3170" s="3" t="s">
        <v>11</v>
      </c>
      <c r="G31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70" s="3" t="s">
        <v>153</v>
      </c>
      <c r="I3170" s="3" t="s">
        <v>31</v>
      </c>
      <c r="J3170" s="3" t="s">
        <v>61</v>
      </c>
      <c r="K3170" s="3" t="s">
        <v>46</v>
      </c>
      <c r="L3170" s="3" t="s">
        <v>47</v>
      </c>
      <c r="M3170" s="4">
        <v>292.2</v>
      </c>
    </row>
    <row r="3171">
      <c r="A3171" s="2">
        <v>45808</v>
      </c>
      <c r="B31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1" s="3" t="str">
        <f>YEAR(KMART_DATA[[#This Row],[Date]])&amp;"-"&amp;TEXT(MONTH(KMART_DATA[[#This Row],[Date]]),"00")</f>
        <v>2025-05</v>
      </c>
      <c r="D3171" s="3" t="s">
        <v>28</v>
      </c>
      <c r="E3171" s="3" t="s">
        <v>68</v>
      </c>
      <c r="F3171" s="3" t="s">
        <v>9</v>
      </c>
      <c r="G31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71" s="3" t="s">
        <v>69</v>
      </c>
      <c r="I3171" s="3" t="s">
        <v>31</v>
      </c>
      <c r="J3171" s="3" t="s">
        <v>70</v>
      </c>
      <c r="K3171" s="3" t="s">
        <v>123</v>
      </c>
      <c r="L3171" s="3" t="s">
        <v>124</v>
      </c>
      <c r="M3171" s="4">
        <v>307.12</v>
      </c>
    </row>
    <row r="3172">
      <c r="A3172" s="2">
        <v>45808</v>
      </c>
      <c r="B31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2" s="3" t="str">
        <f>YEAR(KMART_DATA[[#This Row],[Date]])&amp;"-"&amp;TEXT(MONTH(KMART_DATA[[#This Row],[Date]]),"00")</f>
        <v>2025-05</v>
      </c>
      <c r="D3172" s="3" t="s">
        <v>28</v>
      </c>
      <c r="E3172" s="3" t="s">
        <v>232</v>
      </c>
      <c r="F3172" s="3" t="s">
        <v>9</v>
      </c>
      <c r="G31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72" s="3" t="s">
        <v>233</v>
      </c>
      <c r="I3172" s="3" t="s">
        <v>31</v>
      </c>
      <c r="J3172" s="3" t="s">
        <v>75</v>
      </c>
      <c r="K3172" s="3" t="s">
        <v>57</v>
      </c>
      <c r="L3172" s="3" t="s">
        <v>58</v>
      </c>
      <c r="M3172" s="4">
        <v>658.83</v>
      </c>
    </row>
    <row r="3173">
      <c r="A3173" s="2">
        <v>45808</v>
      </c>
      <c r="B31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3" s="3" t="str">
        <f>YEAR(KMART_DATA[[#This Row],[Date]])&amp;"-"&amp;TEXT(MONTH(KMART_DATA[[#This Row],[Date]]),"00")</f>
        <v>2025-05</v>
      </c>
      <c r="D3173" s="3" t="s">
        <v>28</v>
      </c>
      <c r="E3173" s="3" t="s">
        <v>35</v>
      </c>
      <c r="F3173" s="3" t="s">
        <v>10</v>
      </c>
      <c r="G31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73" s="3" t="s">
        <v>36</v>
      </c>
      <c r="I3173" s="3" t="s">
        <v>31</v>
      </c>
      <c r="J3173" s="3" t="s">
        <v>37</v>
      </c>
      <c r="K3173" s="3" t="s">
        <v>57</v>
      </c>
      <c r="L3173" s="3" t="s">
        <v>58</v>
      </c>
      <c r="M3173" s="4">
        <v>2151.63</v>
      </c>
    </row>
    <row r="3174">
      <c r="A3174" s="2">
        <v>45808</v>
      </c>
      <c r="B31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4" s="3" t="str">
        <f>YEAR(KMART_DATA[[#This Row],[Date]])&amp;"-"&amp;TEXT(MONTH(KMART_DATA[[#This Row],[Date]]),"00")</f>
        <v>2025-05</v>
      </c>
      <c r="D3174" s="3" t="s">
        <v>45</v>
      </c>
      <c r="E3174" s="3" t="s">
        <v>256</v>
      </c>
      <c r="F3174" s="3" t="s">
        <v>9</v>
      </c>
      <c r="G31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74" s="3" t="s">
        <v>257</v>
      </c>
      <c r="I3174" s="3" t="s">
        <v>31</v>
      </c>
      <c r="J3174" s="3" t="s">
        <v>70</v>
      </c>
      <c r="K3174" s="3" t="s">
        <v>123</v>
      </c>
      <c r="L3174" s="3" t="s">
        <v>124</v>
      </c>
      <c r="M3174" s="4">
        <v>2919.72</v>
      </c>
    </row>
    <row r="3175">
      <c r="A3175" s="2">
        <v>45809</v>
      </c>
      <c r="B31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5" s="3" t="str">
        <f>YEAR(KMART_DATA[[#This Row],[Date]])&amp;"-"&amp;TEXT(MONTH(KMART_DATA[[#This Row],[Date]]),"00")</f>
        <v>2025-06</v>
      </c>
      <c r="D3175" s="3" t="s">
        <v>28</v>
      </c>
      <c r="E3175" s="3" t="s">
        <v>254</v>
      </c>
      <c r="F3175" s="3" t="s">
        <v>13</v>
      </c>
      <c r="G31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175" s="3" t="s">
        <v>255</v>
      </c>
      <c r="I3175" s="3" t="s">
        <v>31</v>
      </c>
      <c r="J3175" s="3" t="s">
        <v>227</v>
      </c>
      <c r="K3175" s="3" t="s">
        <v>43</v>
      </c>
      <c r="L3175" s="3" t="s">
        <v>44</v>
      </c>
      <c r="M3175" s="4">
        <v>4.0</v>
      </c>
    </row>
    <row r="3176">
      <c r="A3176" s="2">
        <v>45809</v>
      </c>
      <c r="B31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6" s="3" t="str">
        <f>YEAR(KMART_DATA[[#This Row],[Date]])&amp;"-"&amp;TEXT(MONTH(KMART_DATA[[#This Row],[Date]]),"00")</f>
        <v>2025-06</v>
      </c>
      <c r="D3176" s="3" t="s">
        <v>28</v>
      </c>
      <c r="E3176" s="3" t="s">
        <v>175</v>
      </c>
      <c r="F3176" s="3" t="s">
        <v>16</v>
      </c>
      <c r="G31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176" s="3" t="s">
        <v>176</v>
      </c>
      <c r="I3176" s="3" t="s">
        <v>31</v>
      </c>
      <c r="J3176" s="3" t="s">
        <v>107</v>
      </c>
      <c r="K3176" s="3" t="s">
        <v>38</v>
      </c>
      <c r="L3176" s="3" t="s">
        <v>39</v>
      </c>
      <c r="M3176" s="4">
        <v>17.97</v>
      </c>
    </row>
    <row r="3177">
      <c r="A3177" s="2">
        <v>45809</v>
      </c>
      <c r="B31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7" s="3" t="str">
        <f>YEAR(KMART_DATA[[#This Row],[Date]])&amp;"-"&amp;TEXT(MONTH(KMART_DATA[[#This Row],[Date]]),"00")</f>
        <v>2025-06</v>
      </c>
      <c r="D3177" s="3" t="s">
        <v>28</v>
      </c>
      <c r="E3177" s="3" t="s">
        <v>207</v>
      </c>
      <c r="F3177" s="3" t="s">
        <v>11</v>
      </c>
      <c r="G31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77" s="3" t="s">
        <v>208</v>
      </c>
      <c r="I3177" s="3" t="s">
        <v>31</v>
      </c>
      <c r="J3177" s="3" t="s">
        <v>78</v>
      </c>
      <c r="K3177" s="3" t="s">
        <v>112</v>
      </c>
      <c r="L3177" s="3" t="s">
        <v>113</v>
      </c>
      <c r="M3177" s="4">
        <v>44.87</v>
      </c>
    </row>
    <row r="3178">
      <c r="A3178" s="2">
        <v>45809</v>
      </c>
      <c r="B31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8" s="3" t="str">
        <f>YEAR(KMART_DATA[[#This Row],[Date]])&amp;"-"&amp;TEXT(MONTH(KMART_DATA[[#This Row],[Date]]),"00")</f>
        <v>2025-06</v>
      </c>
      <c r="D3178" s="3" t="s">
        <v>45</v>
      </c>
      <c r="E3178" s="3" t="s">
        <v>51</v>
      </c>
      <c r="F3178" s="3" t="s">
        <v>15</v>
      </c>
      <c r="G31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178" s="3" t="s">
        <v>52</v>
      </c>
      <c r="I3178" s="3" t="s">
        <v>31</v>
      </c>
      <c r="J3178" s="3" t="s">
        <v>53</v>
      </c>
      <c r="K3178" s="3" t="s">
        <v>43</v>
      </c>
      <c r="L3178" s="3" t="s">
        <v>44</v>
      </c>
      <c r="M3178" s="4">
        <v>87.96</v>
      </c>
    </row>
    <row r="3179">
      <c r="A3179" s="2">
        <v>45809</v>
      </c>
      <c r="B31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79" s="3" t="str">
        <f>YEAR(KMART_DATA[[#This Row],[Date]])&amp;"-"&amp;TEXT(MONTH(KMART_DATA[[#This Row],[Date]]),"00")</f>
        <v>2025-06</v>
      </c>
      <c r="D3179" s="3" t="s">
        <v>45</v>
      </c>
      <c r="E3179" s="3" t="s">
        <v>167</v>
      </c>
      <c r="F3179" s="3" t="s">
        <v>12</v>
      </c>
      <c r="G31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179" s="3" t="s">
        <v>168</v>
      </c>
      <c r="I3179" s="3" t="s">
        <v>31</v>
      </c>
      <c r="J3179" s="3" t="s">
        <v>102</v>
      </c>
      <c r="K3179" s="3" t="s">
        <v>43</v>
      </c>
      <c r="L3179" s="3" t="s">
        <v>44</v>
      </c>
      <c r="M3179" s="4">
        <v>96.97</v>
      </c>
    </row>
    <row r="3180">
      <c r="A3180" s="2">
        <v>45809</v>
      </c>
      <c r="B31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0" s="3" t="str">
        <f>YEAR(KMART_DATA[[#This Row],[Date]])&amp;"-"&amp;TEXT(MONTH(KMART_DATA[[#This Row],[Date]]),"00")</f>
        <v>2025-06</v>
      </c>
      <c r="D3180" s="3" t="s">
        <v>28</v>
      </c>
      <c r="E3180" s="3" t="s">
        <v>240</v>
      </c>
      <c r="F3180" s="3" t="s">
        <v>15</v>
      </c>
      <c r="G31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180" s="3" t="s">
        <v>241</v>
      </c>
      <c r="I3180" s="3" t="s">
        <v>31</v>
      </c>
      <c r="J3180" s="3" t="s">
        <v>53</v>
      </c>
      <c r="K3180" s="3" t="s">
        <v>95</v>
      </c>
      <c r="L3180" s="3" t="s">
        <v>96</v>
      </c>
      <c r="M3180" s="4">
        <v>1349.51</v>
      </c>
    </row>
    <row r="3181">
      <c r="A3181" s="2">
        <v>45810</v>
      </c>
      <c r="B31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1" s="3" t="str">
        <f>YEAR(KMART_DATA[[#This Row],[Date]])&amp;"-"&amp;TEXT(MONTH(KMART_DATA[[#This Row],[Date]]),"00")</f>
        <v>2025-06</v>
      </c>
      <c r="D3181" s="3" t="s">
        <v>28</v>
      </c>
      <c r="E3181" s="3" t="s">
        <v>264</v>
      </c>
      <c r="F3181" s="3" t="s">
        <v>13</v>
      </c>
      <c r="G31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181" s="3" t="s">
        <v>265</v>
      </c>
      <c r="I3181" s="3" t="s">
        <v>31</v>
      </c>
      <c r="J3181" s="3" t="s">
        <v>42</v>
      </c>
      <c r="K3181" s="3" t="s">
        <v>33</v>
      </c>
      <c r="L3181" s="3" t="s">
        <v>34</v>
      </c>
      <c r="M3181" s="4">
        <v>9.98</v>
      </c>
    </row>
    <row r="3182">
      <c r="A3182" s="2">
        <v>45810</v>
      </c>
      <c r="B31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2" s="3" t="str">
        <f>YEAR(KMART_DATA[[#This Row],[Date]])&amp;"-"&amp;TEXT(MONTH(KMART_DATA[[#This Row],[Date]]),"00")</f>
        <v>2025-06</v>
      </c>
      <c r="D3182" s="3" t="s">
        <v>28</v>
      </c>
      <c r="E3182" s="3" t="s">
        <v>189</v>
      </c>
      <c r="F3182" s="3" t="s">
        <v>9</v>
      </c>
      <c r="G31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82" s="3" t="s">
        <v>190</v>
      </c>
      <c r="I3182" s="3" t="s">
        <v>31</v>
      </c>
      <c r="J3182" s="3" t="s">
        <v>81</v>
      </c>
      <c r="K3182" s="3" t="s">
        <v>33</v>
      </c>
      <c r="L3182" s="3" t="s">
        <v>34</v>
      </c>
      <c r="M3182" s="4">
        <v>18.95</v>
      </c>
    </row>
    <row r="3183">
      <c r="A3183" s="2">
        <v>45810</v>
      </c>
      <c r="B31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3" s="3" t="str">
        <f>YEAR(KMART_DATA[[#This Row],[Date]])&amp;"-"&amp;TEXT(MONTH(KMART_DATA[[#This Row],[Date]]),"00")</f>
        <v>2025-06</v>
      </c>
      <c r="D3183" s="3" t="s">
        <v>28</v>
      </c>
      <c r="E3183" s="3" t="s">
        <v>189</v>
      </c>
      <c r="F3183" s="3" t="s">
        <v>9</v>
      </c>
      <c r="G31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83" s="3" t="s">
        <v>190</v>
      </c>
      <c r="I3183" s="3" t="s">
        <v>31</v>
      </c>
      <c r="J3183" s="3" t="s">
        <v>81</v>
      </c>
      <c r="K3183" s="3" t="s">
        <v>33</v>
      </c>
      <c r="L3183" s="3" t="s">
        <v>34</v>
      </c>
      <c r="M3183" s="4">
        <v>47.85</v>
      </c>
    </row>
    <row r="3184">
      <c r="A3184" s="2">
        <v>45810</v>
      </c>
      <c r="B31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4" s="3" t="str">
        <f>YEAR(KMART_DATA[[#This Row],[Date]])&amp;"-"&amp;TEXT(MONTH(KMART_DATA[[#This Row],[Date]]),"00")</f>
        <v>2025-06</v>
      </c>
      <c r="D3184" s="3" t="s">
        <v>28</v>
      </c>
      <c r="E3184" s="3" t="s">
        <v>183</v>
      </c>
      <c r="F3184" s="3" t="s">
        <v>9</v>
      </c>
      <c r="G31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84" s="3" t="s">
        <v>184</v>
      </c>
      <c r="I3184" s="3" t="s">
        <v>31</v>
      </c>
      <c r="J3184" s="3" t="s">
        <v>70</v>
      </c>
      <c r="K3184" s="3" t="s">
        <v>95</v>
      </c>
      <c r="L3184" s="3" t="s">
        <v>96</v>
      </c>
      <c r="M3184" s="4">
        <v>57.0</v>
      </c>
    </row>
    <row r="3185">
      <c r="A3185" s="2">
        <v>45810</v>
      </c>
      <c r="B31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5" s="3" t="str">
        <f>YEAR(KMART_DATA[[#This Row],[Date]])&amp;"-"&amp;TEXT(MONTH(KMART_DATA[[#This Row],[Date]]),"00")</f>
        <v>2025-06</v>
      </c>
      <c r="D3185" s="3" t="s">
        <v>45</v>
      </c>
      <c r="E3185" s="3" t="s">
        <v>135</v>
      </c>
      <c r="F3185" s="3" t="s">
        <v>16</v>
      </c>
      <c r="G31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185" s="3" t="s">
        <v>136</v>
      </c>
      <c r="I3185" s="3" t="s">
        <v>31</v>
      </c>
      <c r="J3185" s="3" t="s">
        <v>107</v>
      </c>
      <c r="K3185" s="3" t="s">
        <v>38</v>
      </c>
      <c r="L3185" s="3" t="s">
        <v>39</v>
      </c>
      <c r="M3185" s="4">
        <v>59.9</v>
      </c>
    </row>
    <row r="3186">
      <c r="A3186" s="2">
        <v>45810</v>
      </c>
      <c r="B31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6" s="3" t="str">
        <f>YEAR(KMART_DATA[[#This Row],[Date]])&amp;"-"&amp;TEXT(MONTH(KMART_DATA[[#This Row],[Date]]),"00")</f>
        <v>2025-06</v>
      </c>
      <c r="D3186" s="3" t="s">
        <v>45</v>
      </c>
      <c r="E3186" s="3" t="s">
        <v>108</v>
      </c>
      <c r="F3186" s="3" t="s">
        <v>9</v>
      </c>
      <c r="G31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86" s="3" t="s">
        <v>109</v>
      </c>
      <c r="I3186" s="3" t="s">
        <v>31</v>
      </c>
      <c r="J3186" s="3" t="s">
        <v>75</v>
      </c>
      <c r="K3186" s="3" t="s">
        <v>66</v>
      </c>
      <c r="L3186" s="3" t="s">
        <v>67</v>
      </c>
      <c r="M3186" s="4">
        <v>212.88</v>
      </c>
    </row>
    <row r="3187">
      <c r="A3187" s="2">
        <v>45811</v>
      </c>
      <c r="B31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7" s="3" t="str">
        <f>YEAR(KMART_DATA[[#This Row],[Date]])&amp;"-"&amp;TEXT(MONTH(KMART_DATA[[#This Row],[Date]]),"00")</f>
        <v>2025-06</v>
      </c>
      <c r="D3187" s="3" t="s">
        <v>28</v>
      </c>
      <c r="E3187" s="3" t="s">
        <v>116</v>
      </c>
      <c r="F3187" s="3" t="s">
        <v>9</v>
      </c>
      <c r="G31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87" s="3" t="s">
        <v>117</v>
      </c>
      <c r="I3187" s="3" t="s">
        <v>31</v>
      </c>
      <c r="J3187" s="3" t="s">
        <v>70</v>
      </c>
      <c r="K3187" s="3" t="s">
        <v>38</v>
      </c>
      <c r="L3187" s="3" t="s">
        <v>39</v>
      </c>
      <c r="M3187" s="4">
        <v>3.0</v>
      </c>
    </row>
    <row r="3188">
      <c r="A3188" s="2">
        <v>45811</v>
      </c>
      <c r="B31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8" s="3" t="str">
        <f>YEAR(KMART_DATA[[#This Row],[Date]])&amp;"-"&amp;TEXT(MONTH(KMART_DATA[[#This Row],[Date]]),"00")</f>
        <v>2025-06</v>
      </c>
      <c r="D3188" s="3" t="s">
        <v>28</v>
      </c>
      <c r="E3188" s="3" t="s">
        <v>213</v>
      </c>
      <c r="F3188" s="3" t="s">
        <v>11</v>
      </c>
      <c r="G31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88" s="3" t="s">
        <v>214</v>
      </c>
      <c r="I3188" s="3" t="s">
        <v>31</v>
      </c>
      <c r="J3188" s="3" t="s">
        <v>32</v>
      </c>
      <c r="K3188" s="3" t="s">
        <v>43</v>
      </c>
      <c r="L3188" s="3" t="s">
        <v>44</v>
      </c>
      <c r="M3188" s="4">
        <v>5.0</v>
      </c>
    </row>
    <row r="3189">
      <c r="A3189" s="2">
        <v>45811</v>
      </c>
      <c r="B31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89" s="3" t="str">
        <f>YEAR(KMART_DATA[[#This Row],[Date]])&amp;"-"&amp;TEXT(MONTH(KMART_DATA[[#This Row],[Date]]),"00")</f>
        <v>2025-06</v>
      </c>
      <c r="D3189" s="3" t="s">
        <v>28</v>
      </c>
      <c r="E3189" s="3" t="s">
        <v>152</v>
      </c>
      <c r="F3189" s="3" t="s">
        <v>11</v>
      </c>
      <c r="G31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89" s="3" t="s">
        <v>153</v>
      </c>
      <c r="I3189" s="3" t="s">
        <v>31</v>
      </c>
      <c r="J3189" s="3" t="s">
        <v>61</v>
      </c>
      <c r="K3189" s="3" t="s">
        <v>46</v>
      </c>
      <c r="L3189" s="3" t="s">
        <v>47</v>
      </c>
      <c r="M3189" s="4">
        <v>6.0</v>
      </c>
    </row>
    <row r="3190">
      <c r="A3190" s="2">
        <v>45811</v>
      </c>
      <c r="B31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0" s="3" t="str">
        <f>YEAR(KMART_DATA[[#This Row],[Date]])&amp;"-"&amp;TEXT(MONTH(KMART_DATA[[#This Row],[Date]]),"00")</f>
        <v>2025-06</v>
      </c>
      <c r="D3190" s="3" t="s">
        <v>28</v>
      </c>
      <c r="E3190" s="3" t="s">
        <v>252</v>
      </c>
      <c r="F3190" s="3" t="s">
        <v>10</v>
      </c>
      <c r="G31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90" s="3" t="s">
        <v>253</v>
      </c>
      <c r="I3190" s="3" t="s">
        <v>31</v>
      </c>
      <c r="J3190" s="3" t="s">
        <v>94</v>
      </c>
      <c r="K3190" s="3" t="s">
        <v>71</v>
      </c>
      <c r="L3190" s="3" t="s">
        <v>72</v>
      </c>
      <c r="M3190" s="4">
        <v>22.0</v>
      </c>
    </row>
    <row r="3191">
      <c r="A3191" s="2">
        <v>45811</v>
      </c>
      <c r="B31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1" s="3" t="str">
        <f>YEAR(KMART_DATA[[#This Row],[Date]])&amp;"-"&amp;TEXT(MONTH(KMART_DATA[[#This Row],[Date]]),"00")</f>
        <v>2025-06</v>
      </c>
      <c r="D3191" s="3" t="s">
        <v>28</v>
      </c>
      <c r="E3191" s="3" t="s">
        <v>195</v>
      </c>
      <c r="F3191" s="3" t="s">
        <v>11</v>
      </c>
      <c r="G31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91" s="3" t="s">
        <v>196</v>
      </c>
      <c r="I3191" s="3" t="s">
        <v>31</v>
      </c>
      <c r="J3191" s="3" t="s">
        <v>32</v>
      </c>
      <c r="K3191" s="3" t="s">
        <v>43</v>
      </c>
      <c r="L3191" s="3" t="s">
        <v>44</v>
      </c>
      <c r="M3191" s="4">
        <v>59.96</v>
      </c>
    </row>
    <row r="3192">
      <c r="A3192" s="2">
        <v>45811</v>
      </c>
      <c r="B31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2" s="3" t="str">
        <f>YEAR(KMART_DATA[[#This Row],[Date]])&amp;"-"&amp;TEXT(MONTH(KMART_DATA[[#This Row],[Date]]),"00")</f>
        <v>2025-06</v>
      </c>
      <c r="D3192" s="3" t="s">
        <v>45</v>
      </c>
      <c r="E3192" s="3" t="s">
        <v>92</v>
      </c>
      <c r="F3192" s="3" t="s">
        <v>10</v>
      </c>
      <c r="G31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92" s="3" t="s">
        <v>93</v>
      </c>
      <c r="I3192" s="3" t="s">
        <v>31</v>
      </c>
      <c r="J3192" s="3" t="s">
        <v>94</v>
      </c>
      <c r="K3192" s="3" t="s">
        <v>43</v>
      </c>
      <c r="L3192" s="3" t="s">
        <v>44</v>
      </c>
      <c r="M3192" s="4">
        <v>98.14</v>
      </c>
    </row>
    <row r="3193">
      <c r="A3193" s="2">
        <v>45811</v>
      </c>
      <c r="B31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3" s="3" t="str">
        <f>YEAR(KMART_DATA[[#This Row],[Date]])&amp;"-"&amp;TEXT(MONTH(KMART_DATA[[#This Row],[Date]]),"00")</f>
        <v>2025-06</v>
      </c>
      <c r="D3193" s="3" t="s">
        <v>45</v>
      </c>
      <c r="E3193" s="3" t="s">
        <v>207</v>
      </c>
      <c r="F3193" s="3" t="s">
        <v>11</v>
      </c>
      <c r="G31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93" s="3" t="s">
        <v>208</v>
      </c>
      <c r="I3193" s="3" t="s">
        <v>31</v>
      </c>
      <c r="J3193" s="3" t="s">
        <v>78</v>
      </c>
      <c r="K3193" s="3" t="s">
        <v>38</v>
      </c>
      <c r="L3193" s="3" t="s">
        <v>39</v>
      </c>
      <c r="M3193" s="4">
        <v>143.71</v>
      </c>
    </row>
    <row r="3194">
      <c r="A3194" s="2">
        <v>45811</v>
      </c>
      <c r="B31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4" s="3" t="str">
        <f>YEAR(KMART_DATA[[#This Row],[Date]])&amp;"-"&amp;TEXT(MONTH(KMART_DATA[[#This Row],[Date]]),"00")</f>
        <v>2025-06</v>
      </c>
      <c r="D3194" s="3" t="s">
        <v>28</v>
      </c>
      <c r="E3194" s="3" t="s">
        <v>215</v>
      </c>
      <c r="F3194" s="3" t="s">
        <v>15</v>
      </c>
      <c r="G31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194" s="3" t="s">
        <v>216</v>
      </c>
      <c r="I3194" s="3" t="s">
        <v>31</v>
      </c>
      <c r="J3194" s="3" t="s">
        <v>53</v>
      </c>
      <c r="K3194" s="3" t="s">
        <v>71</v>
      </c>
      <c r="L3194" s="3" t="s">
        <v>72</v>
      </c>
      <c r="M3194" s="4">
        <v>223.23</v>
      </c>
    </row>
    <row r="3195">
      <c r="A3195" s="2">
        <v>45811</v>
      </c>
      <c r="B31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5" s="3" t="str">
        <f>YEAR(KMART_DATA[[#This Row],[Date]])&amp;"-"&amp;TEXT(MONTH(KMART_DATA[[#This Row],[Date]]),"00")</f>
        <v>2025-06</v>
      </c>
      <c r="D3195" s="3" t="s">
        <v>28</v>
      </c>
      <c r="E3195" s="3" t="s">
        <v>193</v>
      </c>
      <c r="F3195" s="3" t="s">
        <v>9</v>
      </c>
      <c r="G31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95" s="3" t="s">
        <v>194</v>
      </c>
      <c r="I3195" s="3" t="s">
        <v>31</v>
      </c>
      <c r="J3195" s="3" t="s">
        <v>99</v>
      </c>
      <c r="K3195" s="3" t="s">
        <v>43</v>
      </c>
      <c r="L3195" s="3" t="s">
        <v>44</v>
      </c>
      <c r="M3195" s="4">
        <v>420.66</v>
      </c>
    </row>
    <row r="3196">
      <c r="A3196" s="2">
        <v>45811</v>
      </c>
      <c r="B31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6" s="3" t="str">
        <f>YEAR(KMART_DATA[[#This Row],[Date]])&amp;"-"&amp;TEXT(MONTH(KMART_DATA[[#This Row],[Date]]),"00")</f>
        <v>2025-06</v>
      </c>
      <c r="D3196" s="3" t="s">
        <v>28</v>
      </c>
      <c r="E3196" s="3" t="s">
        <v>203</v>
      </c>
      <c r="F3196" s="3" t="s">
        <v>10</v>
      </c>
      <c r="G31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196" s="3" t="s">
        <v>204</v>
      </c>
      <c r="I3196" s="3" t="s">
        <v>31</v>
      </c>
      <c r="J3196" s="3" t="s">
        <v>89</v>
      </c>
      <c r="K3196" s="3" t="s">
        <v>38</v>
      </c>
      <c r="L3196" s="3" t="s">
        <v>39</v>
      </c>
      <c r="M3196" s="4">
        <v>771.22</v>
      </c>
    </row>
    <row r="3197">
      <c r="A3197" s="2">
        <v>45811</v>
      </c>
      <c r="B31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7" s="3" t="str">
        <f>YEAR(KMART_DATA[[#This Row],[Date]])&amp;"-"&amp;TEXT(MONTH(KMART_DATA[[#This Row],[Date]]),"00")</f>
        <v>2025-06</v>
      </c>
      <c r="D3197" s="3" t="s">
        <v>45</v>
      </c>
      <c r="E3197" s="3" t="s">
        <v>127</v>
      </c>
      <c r="F3197" s="3" t="s">
        <v>11</v>
      </c>
      <c r="G31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197" s="3" t="s">
        <v>128</v>
      </c>
      <c r="I3197" s="3" t="s">
        <v>31</v>
      </c>
      <c r="J3197" s="3" t="s">
        <v>78</v>
      </c>
      <c r="K3197" s="3" t="s">
        <v>71</v>
      </c>
      <c r="L3197" s="3" t="s">
        <v>72</v>
      </c>
      <c r="M3197" s="4">
        <v>1090.05</v>
      </c>
    </row>
    <row r="3198">
      <c r="A3198" s="2">
        <v>45811</v>
      </c>
      <c r="B31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8" s="3" t="str">
        <f>YEAR(KMART_DATA[[#This Row],[Date]])&amp;"-"&amp;TEXT(MONTH(KMART_DATA[[#This Row],[Date]]),"00")</f>
        <v>2025-06</v>
      </c>
      <c r="D3198" s="3" t="s">
        <v>45</v>
      </c>
      <c r="E3198" s="3" t="s">
        <v>141</v>
      </c>
      <c r="F3198" s="3" t="s">
        <v>9</v>
      </c>
      <c r="G31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98" s="3" t="s">
        <v>142</v>
      </c>
      <c r="I3198" s="3" t="s">
        <v>31</v>
      </c>
      <c r="J3198" s="3" t="s">
        <v>107</v>
      </c>
      <c r="K3198" s="3" t="s">
        <v>46</v>
      </c>
      <c r="L3198" s="3" t="s">
        <v>47</v>
      </c>
      <c r="M3198" s="4">
        <v>1211.14</v>
      </c>
    </row>
    <row r="3199">
      <c r="A3199" s="2">
        <v>45812</v>
      </c>
      <c r="B31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199" s="3" t="str">
        <f>YEAR(KMART_DATA[[#This Row],[Date]])&amp;"-"&amp;TEXT(MONTH(KMART_DATA[[#This Row],[Date]]),"00")</f>
        <v>2025-06</v>
      </c>
      <c r="D3199" s="3" t="s">
        <v>28</v>
      </c>
      <c r="E3199" s="3" t="s">
        <v>79</v>
      </c>
      <c r="F3199" s="3" t="s">
        <v>9</v>
      </c>
      <c r="G31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199" s="3" t="s">
        <v>80</v>
      </c>
      <c r="I3199" s="3" t="s">
        <v>31</v>
      </c>
      <c r="J3199" s="3" t="s">
        <v>81</v>
      </c>
      <c r="K3199" s="3" t="s">
        <v>95</v>
      </c>
      <c r="L3199" s="3" t="s">
        <v>96</v>
      </c>
      <c r="M3199" s="4">
        <v>15.96</v>
      </c>
    </row>
    <row r="3200">
      <c r="A3200" s="2">
        <v>45812</v>
      </c>
      <c r="B32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0" s="3" t="str">
        <f>YEAR(KMART_DATA[[#This Row],[Date]])&amp;"-"&amp;TEXT(MONTH(KMART_DATA[[#This Row],[Date]]),"00")</f>
        <v>2025-06</v>
      </c>
      <c r="D3200" s="3" t="s">
        <v>45</v>
      </c>
      <c r="E3200" s="3" t="s">
        <v>223</v>
      </c>
      <c r="F3200" s="3" t="s">
        <v>10</v>
      </c>
      <c r="G32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00" s="3" t="s">
        <v>224</v>
      </c>
      <c r="I3200" s="3" t="s">
        <v>31</v>
      </c>
      <c r="J3200" s="3" t="s">
        <v>94</v>
      </c>
      <c r="K3200" s="3" t="s">
        <v>57</v>
      </c>
      <c r="L3200" s="3" t="s">
        <v>58</v>
      </c>
      <c r="M3200" s="4">
        <v>484.84</v>
      </c>
    </row>
    <row r="3201">
      <c r="A3201" s="2">
        <v>45812</v>
      </c>
      <c r="B32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1" s="3" t="str">
        <f>YEAR(KMART_DATA[[#This Row],[Date]])&amp;"-"&amp;TEXT(MONTH(KMART_DATA[[#This Row],[Date]]),"00")</f>
        <v>2025-06</v>
      </c>
      <c r="D3201" s="3" t="s">
        <v>28</v>
      </c>
      <c r="E3201" s="3" t="s">
        <v>129</v>
      </c>
      <c r="F3201" s="3" t="s">
        <v>10</v>
      </c>
      <c r="G32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01" s="3" t="s">
        <v>130</v>
      </c>
      <c r="I3201" s="3" t="s">
        <v>31</v>
      </c>
      <c r="J3201" s="3" t="s">
        <v>120</v>
      </c>
      <c r="K3201" s="3" t="s">
        <v>71</v>
      </c>
      <c r="L3201" s="3" t="s">
        <v>72</v>
      </c>
      <c r="M3201" s="4">
        <v>1493.24</v>
      </c>
    </row>
    <row r="3202">
      <c r="A3202" s="2">
        <v>45813</v>
      </c>
      <c r="B32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2" s="3" t="str">
        <f>YEAR(KMART_DATA[[#This Row],[Date]])&amp;"-"&amp;TEXT(MONTH(KMART_DATA[[#This Row],[Date]]),"00")</f>
        <v>2025-06</v>
      </c>
      <c r="D3202" s="3" t="s">
        <v>28</v>
      </c>
      <c r="E3202" s="3" t="s">
        <v>129</v>
      </c>
      <c r="F3202" s="3" t="s">
        <v>10</v>
      </c>
      <c r="G32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02" s="3" t="s">
        <v>130</v>
      </c>
      <c r="I3202" s="3" t="s">
        <v>31</v>
      </c>
      <c r="J3202" s="3" t="s">
        <v>120</v>
      </c>
      <c r="K3202" s="3" t="s">
        <v>95</v>
      </c>
      <c r="L3202" s="3" t="s">
        <v>96</v>
      </c>
      <c r="M3202" s="4">
        <v>9.85</v>
      </c>
    </row>
    <row r="3203">
      <c r="A3203" s="2">
        <v>45813</v>
      </c>
      <c r="B32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3" s="3" t="str">
        <f>YEAR(KMART_DATA[[#This Row],[Date]])&amp;"-"&amp;TEXT(MONTH(KMART_DATA[[#This Row],[Date]]),"00")</f>
        <v>2025-06</v>
      </c>
      <c r="D3203" s="3" t="s">
        <v>45</v>
      </c>
      <c r="E3203" s="3" t="s">
        <v>150</v>
      </c>
      <c r="F3203" s="3" t="s">
        <v>15</v>
      </c>
      <c r="G32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203" s="3" t="s">
        <v>151</v>
      </c>
      <c r="I3203" s="3" t="s">
        <v>31</v>
      </c>
      <c r="J3203" s="3" t="s">
        <v>53</v>
      </c>
      <c r="K3203" s="3" t="s">
        <v>112</v>
      </c>
      <c r="L3203" s="3" t="s">
        <v>113</v>
      </c>
      <c r="M3203" s="4">
        <v>47.84</v>
      </c>
    </row>
    <row r="3204">
      <c r="A3204" s="2">
        <v>45813</v>
      </c>
      <c r="B32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4" s="3" t="str">
        <f>YEAR(KMART_DATA[[#This Row],[Date]])&amp;"-"&amp;TEXT(MONTH(KMART_DATA[[#This Row],[Date]]),"00")</f>
        <v>2025-06</v>
      </c>
      <c r="D3204" s="3" t="s">
        <v>28</v>
      </c>
      <c r="E3204" s="3" t="s">
        <v>228</v>
      </c>
      <c r="F3204" s="3" t="s">
        <v>11</v>
      </c>
      <c r="G32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04" s="3" t="s">
        <v>229</v>
      </c>
      <c r="I3204" s="3" t="s">
        <v>31</v>
      </c>
      <c r="J3204" s="3" t="s">
        <v>32</v>
      </c>
      <c r="K3204" s="3" t="s">
        <v>43</v>
      </c>
      <c r="L3204" s="3" t="s">
        <v>44</v>
      </c>
      <c r="M3204" s="4">
        <v>47.97</v>
      </c>
    </row>
    <row r="3205">
      <c r="A3205" s="2">
        <v>45813</v>
      </c>
      <c r="B32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5" s="3" t="str">
        <f>YEAR(KMART_DATA[[#This Row],[Date]])&amp;"-"&amp;TEXT(MONTH(KMART_DATA[[#This Row],[Date]]),"00")</f>
        <v>2025-06</v>
      </c>
      <c r="D3205" s="3" t="s">
        <v>28</v>
      </c>
      <c r="E3205" s="3" t="s">
        <v>79</v>
      </c>
      <c r="F3205" s="3" t="s">
        <v>9</v>
      </c>
      <c r="G32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05" s="3" t="s">
        <v>80</v>
      </c>
      <c r="I3205" s="3" t="s">
        <v>31</v>
      </c>
      <c r="J3205" s="3" t="s">
        <v>81</v>
      </c>
      <c r="K3205" s="3" t="s">
        <v>95</v>
      </c>
      <c r="L3205" s="3" t="s">
        <v>96</v>
      </c>
      <c r="M3205" s="4">
        <v>234.54</v>
      </c>
    </row>
    <row r="3206">
      <c r="A3206" s="2">
        <v>45813</v>
      </c>
      <c r="B32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6" s="3" t="str">
        <f>YEAR(KMART_DATA[[#This Row],[Date]])&amp;"-"&amp;TEXT(MONTH(KMART_DATA[[#This Row],[Date]]),"00")</f>
        <v>2025-06</v>
      </c>
      <c r="D3206" s="3" t="s">
        <v>45</v>
      </c>
      <c r="E3206" s="3" t="s">
        <v>116</v>
      </c>
      <c r="F3206" s="3" t="s">
        <v>9</v>
      </c>
      <c r="G32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06" s="3" t="s">
        <v>117</v>
      </c>
      <c r="I3206" s="3" t="s">
        <v>31</v>
      </c>
      <c r="J3206" s="3" t="s">
        <v>70</v>
      </c>
      <c r="K3206" s="3" t="s">
        <v>43</v>
      </c>
      <c r="L3206" s="3" t="s">
        <v>44</v>
      </c>
      <c r="M3206" s="4">
        <v>246.42</v>
      </c>
    </row>
    <row r="3207">
      <c r="A3207" s="2">
        <v>45814</v>
      </c>
      <c r="B32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7" s="3" t="str">
        <f>YEAR(KMART_DATA[[#This Row],[Date]])&amp;"-"&amp;TEXT(MONTH(KMART_DATA[[#This Row],[Date]]),"00")</f>
        <v>2025-06</v>
      </c>
      <c r="D3207" s="3" t="s">
        <v>45</v>
      </c>
      <c r="E3207" s="3" t="s">
        <v>118</v>
      </c>
      <c r="F3207" s="3" t="s">
        <v>10</v>
      </c>
      <c r="G32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07" s="3" t="s">
        <v>119</v>
      </c>
      <c r="I3207" s="3" t="s">
        <v>31</v>
      </c>
      <c r="J3207" s="3" t="s">
        <v>120</v>
      </c>
      <c r="K3207" s="3" t="s">
        <v>112</v>
      </c>
      <c r="L3207" s="3" t="s">
        <v>113</v>
      </c>
      <c r="M3207" s="4">
        <v>43.9</v>
      </c>
    </row>
    <row r="3208">
      <c r="A3208" s="2">
        <v>45814</v>
      </c>
      <c r="B32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8" s="3" t="str">
        <f>YEAR(KMART_DATA[[#This Row],[Date]])&amp;"-"&amp;TEXT(MONTH(KMART_DATA[[#This Row],[Date]]),"00")</f>
        <v>2025-06</v>
      </c>
      <c r="D3208" s="3" t="s">
        <v>28</v>
      </c>
      <c r="E3208" s="3" t="s">
        <v>223</v>
      </c>
      <c r="F3208" s="3" t="s">
        <v>10</v>
      </c>
      <c r="G32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08" s="3" t="s">
        <v>224</v>
      </c>
      <c r="I3208" s="3" t="s">
        <v>31</v>
      </c>
      <c r="J3208" s="3" t="s">
        <v>94</v>
      </c>
      <c r="K3208" s="3" t="s">
        <v>43</v>
      </c>
      <c r="L3208" s="3" t="s">
        <v>44</v>
      </c>
      <c r="M3208" s="4">
        <v>55.93</v>
      </c>
    </row>
    <row r="3209">
      <c r="A3209" s="2">
        <v>45814</v>
      </c>
      <c r="B32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09" s="3" t="str">
        <f>YEAR(KMART_DATA[[#This Row],[Date]])&amp;"-"&amp;TEXT(MONTH(KMART_DATA[[#This Row],[Date]]),"00")</f>
        <v>2025-06</v>
      </c>
      <c r="D3209" s="3" t="s">
        <v>45</v>
      </c>
      <c r="E3209" s="3" t="s">
        <v>264</v>
      </c>
      <c r="F3209" s="3" t="s">
        <v>13</v>
      </c>
      <c r="G32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209" s="3" t="s">
        <v>265</v>
      </c>
      <c r="I3209" s="3" t="s">
        <v>31</v>
      </c>
      <c r="J3209" s="3" t="s">
        <v>42</v>
      </c>
      <c r="K3209" s="3" t="s">
        <v>43</v>
      </c>
      <c r="L3209" s="3" t="s">
        <v>44</v>
      </c>
      <c r="M3209" s="4">
        <v>66.95</v>
      </c>
    </row>
    <row r="3210">
      <c r="A3210" s="2">
        <v>45814</v>
      </c>
      <c r="B32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0" s="3" t="str">
        <f>YEAR(KMART_DATA[[#This Row],[Date]])&amp;"-"&amp;TEXT(MONTH(KMART_DATA[[#This Row],[Date]]),"00")</f>
        <v>2025-06</v>
      </c>
      <c r="D3210" s="3" t="s">
        <v>45</v>
      </c>
      <c r="E3210" s="3" t="s">
        <v>121</v>
      </c>
      <c r="F3210" s="3" t="s">
        <v>11</v>
      </c>
      <c r="G32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10" s="3" t="s">
        <v>122</v>
      </c>
      <c r="I3210" s="3" t="s">
        <v>31</v>
      </c>
      <c r="J3210" s="3" t="s">
        <v>84</v>
      </c>
      <c r="K3210" s="3" t="s">
        <v>38</v>
      </c>
      <c r="L3210" s="3" t="s">
        <v>39</v>
      </c>
      <c r="M3210" s="4">
        <v>110.63</v>
      </c>
    </row>
    <row r="3211">
      <c r="A3211" s="2">
        <v>45814</v>
      </c>
      <c r="B32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1" s="3" t="str">
        <f>YEAR(KMART_DATA[[#This Row],[Date]])&amp;"-"&amp;TEXT(MONTH(KMART_DATA[[#This Row],[Date]]),"00")</f>
        <v>2025-06</v>
      </c>
      <c r="D3211" s="3" t="s">
        <v>28</v>
      </c>
      <c r="E3211" s="3" t="s">
        <v>129</v>
      </c>
      <c r="F3211" s="3" t="s">
        <v>10</v>
      </c>
      <c r="G32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11" s="3" t="s">
        <v>130</v>
      </c>
      <c r="I3211" s="3" t="s">
        <v>31</v>
      </c>
      <c r="J3211" s="3" t="s">
        <v>120</v>
      </c>
      <c r="K3211" s="3" t="s">
        <v>43</v>
      </c>
      <c r="L3211" s="3" t="s">
        <v>44</v>
      </c>
      <c r="M3211" s="4">
        <v>194.56</v>
      </c>
    </row>
    <row r="3212">
      <c r="A3212" s="2">
        <v>45814</v>
      </c>
      <c r="B32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2" s="3" t="str">
        <f>YEAR(KMART_DATA[[#This Row],[Date]])&amp;"-"&amp;TEXT(MONTH(KMART_DATA[[#This Row],[Date]]),"00")</f>
        <v>2025-06</v>
      </c>
      <c r="D3212" s="3" t="s">
        <v>45</v>
      </c>
      <c r="E3212" s="3" t="s">
        <v>250</v>
      </c>
      <c r="F3212" s="3" t="s">
        <v>10</v>
      </c>
      <c r="G32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12" s="3" t="s">
        <v>251</v>
      </c>
      <c r="I3212" s="3" t="s">
        <v>31</v>
      </c>
      <c r="J3212" s="3" t="s">
        <v>37</v>
      </c>
      <c r="K3212" s="3" t="s">
        <v>66</v>
      </c>
      <c r="L3212" s="3" t="s">
        <v>67</v>
      </c>
      <c r="M3212" s="4">
        <v>220.85</v>
      </c>
    </row>
    <row r="3213">
      <c r="A3213" s="2">
        <v>45814</v>
      </c>
      <c r="B32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3" s="3" t="str">
        <f>YEAR(KMART_DATA[[#This Row],[Date]])&amp;"-"&amp;TEXT(MONTH(KMART_DATA[[#This Row],[Date]]),"00")</f>
        <v>2025-06</v>
      </c>
      <c r="D3213" s="3" t="s">
        <v>45</v>
      </c>
      <c r="E3213" s="3" t="s">
        <v>146</v>
      </c>
      <c r="F3213" s="3" t="s">
        <v>9</v>
      </c>
      <c r="G32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13" s="3" t="s">
        <v>147</v>
      </c>
      <c r="I3213" s="3" t="s">
        <v>31</v>
      </c>
      <c r="J3213" s="3" t="s">
        <v>75</v>
      </c>
      <c r="K3213" s="3" t="s">
        <v>57</v>
      </c>
      <c r="L3213" s="3" t="s">
        <v>58</v>
      </c>
      <c r="M3213" s="4">
        <v>1266.28</v>
      </c>
    </row>
    <row r="3214">
      <c r="A3214" s="2">
        <v>45814</v>
      </c>
      <c r="B32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4" s="3" t="str">
        <f>YEAR(KMART_DATA[[#This Row],[Date]])&amp;"-"&amp;TEXT(MONTH(KMART_DATA[[#This Row],[Date]]),"00")</f>
        <v>2025-06</v>
      </c>
      <c r="D3214" s="3" t="s">
        <v>28</v>
      </c>
      <c r="E3214" s="3" t="s">
        <v>59</v>
      </c>
      <c r="F3214" s="3" t="s">
        <v>11</v>
      </c>
      <c r="G32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14" s="3" t="s">
        <v>60</v>
      </c>
      <c r="I3214" s="3" t="s">
        <v>31</v>
      </c>
      <c r="J3214" s="3" t="s">
        <v>61</v>
      </c>
      <c r="K3214" s="3" t="s">
        <v>46</v>
      </c>
      <c r="L3214" s="3" t="s">
        <v>47</v>
      </c>
      <c r="M3214" s="4">
        <v>4838.31</v>
      </c>
    </row>
    <row r="3215">
      <c r="A3215" s="2">
        <v>45814</v>
      </c>
      <c r="B32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5" s="3" t="str">
        <f>YEAR(KMART_DATA[[#This Row],[Date]])&amp;"-"&amp;TEXT(MONTH(KMART_DATA[[#This Row],[Date]]),"00")</f>
        <v>2025-06</v>
      </c>
      <c r="D3215" s="3" t="s">
        <v>28</v>
      </c>
      <c r="E3215" s="3" t="s">
        <v>59</v>
      </c>
      <c r="F3215" s="3" t="s">
        <v>11</v>
      </c>
      <c r="G32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15" s="3" t="s">
        <v>60</v>
      </c>
      <c r="I3215" s="3" t="s">
        <v>31</v>
      </c>
      <c r="J3215" s="3" t="s">
        <v>61</v>
      </c>
      <c r="K3215" s="3" t="s">
        <v>57</v>
      </c>
      <c r="L3215" s="3" t="s">
        <v>58</v>
      </c>
      <c r="M3215" s="4">
        <v>5557.48</v>
      </c>
    </row>
    <row r="3216">
      <c r="A3216" s="2">
        <v>45815</v>
      </c>
      <c r="B32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6" s="3" t="str">
        <f>YEAR(KMART_DATA[[#This Row],[Date]])&amp;"-"&amp;TEXT(MONTH(KMART_DATA[[#This Row],[Date]]),"00")</f>
        <v>2025-06</v>
      </c>
      <c r="D3216" s="3" t="s">
        <v>28</v>
      </c>
      <c r="E3216" s="3" t="s">
        <v>92</v>
      </c>
      <c r="F3216" s="3" t="s">
        <v>10</v>
      </c>
      <c r="G32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16" s="3" t="s">
        <v>93</v>
      </c>
      <c r="I3216" s="3" t="s">
        <v>31</v>
      </c>
      <c r="J3216" s="3" t="s">
        <v>94</v>
      </c>
      <c r="K3216" s="3" t="s">
        <v>46</v>
      </c>
      <c r="L3216" s="3" t="s">
        <v>47</v>
      </c>
      <c r="M3216" s="4">
        <v>35.84</v>
      </c>
    </row>
    <row r="3217">
      <c r="A3217" s="2">
        <v>45815</v>
      </c>
      <c r="B32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7" s="3" t="str">
        <f>YEAR(KMART_DATA[[#This Row],[Date]])&amp;"-"&amp;TEXT(MONTH(KMART_DATA[[#This Row],[Date]]),"00")</f>
        <v>2025-06</v>
      </c>
      <c r="D3217" s="3" t="s">
        <v>45</v>
      </c>
      <c r="E3217" s="3" t="s">
        <v>114</v>
      </c>
      <c r="F3217" s="3" t="s">
        <v>9</v>
      </c>
      <c r="G32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17" s="3" t="s">
        <v>115</v>
      </c>
      <c r="I3217" s="3" t="s">
        <v>31</v>
      </c>
      <c r="J3217" s="3" t="s">
        <v>99</v>
      </c>
      <c r="K3217" s="3" t="s">
        <v>123</v>
      </c>
      <c r="L3217" s="3" t="s">
        <v>124</v>
      </c>
      <c r="M3217" s="4">
        <v>61.45</v>
      </c>
    </row>
    <row r="3218">
      <c r="A3218" s="2">
        <v>45815</v>
      </c>
      <c r="B32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8" s="3" t="str">
        <f>YEAR(KMART_DATA[[#This Row],[Date]])&amp;"-"&amp;TEXT(MONTH(KMART_DATA[[#This Row],[Date]]),"00")</f>
        <v>2025-06</v>
      </c>
      <c r="D3218" s="3" t="s">
        <v>28</v>
      </c>
      <c r="E3218" s="3" t="s">
        <v>64</v>
      </c>
      <c r="F3218" s="3" t="s">
        <v>11</v>
      </c>
      <c r="G32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18" s="3" t="s">
        <v>65</v>
      </c>
      <c r="I3218" s="3" t="s">
        <v>31</v>
      </c>
      <c r="J3218" s="3" t="s">
        <v>61</v>
      </c>
      <c r="K3218" s="3" t="s">
        <v>71</v>
      </c>
      <c r="L3218" s="3" t="s">
        <v>72</v>
      </c>
      <c r="M3218" s="4">
        <v>1361.63</v>
      </c>
    </row>
    <row r="3219">
      <c r="A3219" s="2">
        <v>45815</v>
      </c>
      <c r="B32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19" s="3" t="str">
        <f>YEAR(KMART_DATA[[#This Row],[Date]])&amp;"-"&amp;TEXT(MONTH(KMART_DATA[[#This Row],[Date]]),"00")</f>
        <v>2025-06</v>
      </c>
      <c r="D3219" s="3" t="s">
        <v>28</v>
      </c>
      <c r="E3219" s="3" t="s">
        <v>246</v>
      </c>
      <c r="F3219" s="3" t="s">
        <v>10</v>
      </c>
      <c r="G32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19" s="3" t="s">
        <v>247</v>
      </c>
      <c r="I3219" s="3" t="s">
        <v>31</v>
      </c>
      <c r="J3219" s="3" t="s">
        <v>37</v>
      </c>
      <c r="K3219" s="3" t="s">
        <v>123</v>
      </c>
      <c r="L3219" s="3" t="s">
        <v>124</v>
      </c>
      <c r="M3219" s="4">
        <v>3415.03</v>
      </c>
    </row>
    <row r="3220">
      <c r="A3220" s="2">
        <v>45816</v>
      </c>
      <c r="B32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0" s="3" t="str">
        <f>YEAR(KMART_DATA[[#This Row],[Date]])&amp;"-"&amp;TEXT(MONTH(KMART_DATA[[#This Row],[Date]]),"00")</f>
        <v>2025-06</v>
      </c>
      <c r="D3220" s="3" t="s">
        <v>28</v>
      </c>
      <c r="E3220" s="3" t="s">
        <v>183</v>
      </c>
      <c r="F3220" s="3" t="s">
        <v>9</v>
      </c>
      <c r="G32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20" s="3" t="s">
        <v>184</v>
      </c>
      <c r="I3220" s="3" t="s">
        <v>31</v>
      </c>
      <c r="J3220" s="3" t="s">
        <v>70</v>
      </c>
      <c r="K3220" s="3" t="s">
        <v>43</v>
      </c>
      <c r="L3220" s="3" t="s">
        <v>44</v>
      </c>
      <c r="M3220" s="4">
        <v>4.63</v>
      </c>
    </row>
    <row r="3221">
      <c r="A3221" s="2">
        <v>45816</v>
      </c>
      <c r="B32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1" s="3" t="str">
        <f>YEAR(KMART_DATA[[#This Row],[Date]])&amp;"-"&amp;TEXT(MONTH(KMART_DATA[[#This Row],[Date]]),"00")</f>
        <v>2025-06</v>
      </c>
      <c r="D3221" s="3" t="s">
        <v>28</v>
      </c>
      <c r="E3221" s="3" t="s">
        <v>152</v>
      </c>
      <c r="F3221" s="3" t="s">
        <v>11</v>
      </c>
      <c r="G32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21" s="3" t="s">
        <v>153</v>
      </c>
      <c r="I3221" s="3" t="s">
        <v>31</v>
      </c>
      <c r="J3221" s="3" t="s">
        <v>61</v>
      </c>
      <c r="K3221" s="3" t="s">
        <v>43</v>
      </c>
      <c r="L3221" s="3" t="s">
        <v>44</v>
      </c>
      <c r="M3221" s="4">
        <v>83.89</v>
      </c>
    </row>
    <row r="3222">
      <c r="A3222" s="2">
        <v>45816</v>
      </c>
      <c r="B32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2" s="3" t="str">
        <f>YEAR(KMART_DATA[[#This Row],[Date]])&amp;"-"&amp;TEXT(MONTH(KMART_DATA[[#This Row],[Date]]),"00")</f>
        <v>2025-06</v>
      </c>
      <c r="D3222" s="3" t="s">
        <v>28</v>
      </c>
      <c r="E3222" s="3" t="s">
        <v>73</v>
      </c>
      <c r="F3222" s="3" t="s">
        <v>9</v>
      </c>
      <c r="G32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22" s="3" t="s">
        <v>74</v>
      </c>
      <c r="I3222" s="3" t="s">
        <v>31</v>
      </c>
      <c r="J3222" s="3" t="s">
        <v>75</v>
      </c>
      <c r="K3222" s="3" t="s">
        <v>123</v>
      </c>
      <c r="L3222" s="3" t="s">
        <v>124</v>
      </c>
      <c r="M3222" s="4">
        <v>204.84</v>
      </c>
    </row>
    <row r="3223">
      <c r="A3223" s="2">
        <v>45816</v>
      </c>
      <c r="B32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3" s="3" t="str">
        <f>YEAR(KMART_DATA[[#This Row],[Date]])&amp;"-"&amp;TEXT(MONTH(KMART_DATA[[#This Row],[Date]]),"00")</f>
        <v>2025-06</v>
      </c>
      <c r="D3223" s="3" t="s">
        <v>28</v>
      </c>
      <c r="E3223" s="3" t="s">
        <v>156</v>
      </c>
      <c r="F3223" s="3" t="s">
        <v>9</v>
      </c>
      <c r="G32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23" s="3" t="s">
        <v>157</v>
      </c>
      <c r="I3223" s="3" t="s">
        <v>31</v>
      </c>
      <c r="J3223" s="3" t="s">
        <v>75</v>
      </c>
      <c r="K3223" s="3" t="s">
        <v>43</v>
      </c>
      <c r="L3223" s="3" t="s">
        <v>44</v>
      </c>
      <c r="M3223" s="4">
        <v>606.91</v>
      </c>
    </row>
    <row r="3224">
      <c r="A3224" s="2">
        <v>45816</v>
      </c>
      <c r="B32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4" s="3" t="str">
        <f>YEAR(KMART_DATA[[#This Row],[Date]])&amp;"-"&amp;TEXT(MONTH(KMART_DATA[[#This Row],[Date]]),"00")</f>
        <v>2025-06</v>
      </c>
      <c r="D3224" s="3" t="s">
        <v>45</v>
      </c>
      <c r="E3224" s="3" t="s">
        <v>234</v>
      </c>
      <c r="F3224" s="3" t="s">
        <v>9</v>
      </c>
      <c r="G32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24" s="3" t="s">
        <v>235</v>
      </c>
      <c r="I3224" s="3" t="s">
        <v>31</v>
      </c>
      <c r="J3224" s="3" t="s">
        <v>81</v>
      </c>
      <c r="K3224" s="3" t="s">
        <v>57</v>
      </c>
      <c r="L3224" s="3" t="s">
        <v>58</v>
      </c>
      <c r="M3224" s="4">
        <v>744.88</v>
      </c>
    </row>
    <row r="3225">
      <c r="A3225" s="2">
        <v>45816</v>
      </c>
      <c r="B32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5" s="3" t="str">
        <f>YEAR(KMART_DATA[[#This Row],[Date]])&amp;"-"&amp;TEXT(MONTH(KMART_DATA[[#This Row],[Date]]),"00")</f>
        <v>2025-06</v>
      </c>
      <c r="D3225" s="3" t="s">
        <v>45</v>
      </c>
      <c r="E3225" s="3" t="s">
        <v>146</v>
      </c>
      <c r="F3225" s="3" t="s">
        <v>9</v>
      </c>
      <c r="G32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25" s="3" t="s">
        <v>147</v>
      </c>
      <c r="I3225" s="3" t="s">
        <v>31</v>
      </c>
      <c r="J3225" s="3" t="s">
        <v>75</v>
      </c>
      <c r="K3225" s="3" t="s">
        <v>46</v>
      </c>
      <c r="L3225" s="3" t="s">
        <v>47</v>
      </c>
      <c r="M3225" s="4">
        <v>2356.73</v>
      </c>
    </row>
    <row r="3226">
      <c r="A3226" s="2">
        <v>45817</v>
      </c>
      <c r="B32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6" s="3" t="str">
        <f>YEAR(KMART_DATA[[#This Row],[Date]])&amp;"-"&amp;TEXT(MONTH(KMART_DATA[[#This Row],[Date]]),"00")</f>
        <v>2025-06</v>
      </c>
      <c r="D3226" s="3" t="s">
        <v>28</v>
      </c>
      <c r="E3226" s="3" t="s">
        <v>262</v>
      </c>
      <c r="F3226" s="3" t="s">
        <v>10</v>
      </c>
      <c r="G32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26" s="3" t="s">
        <v>263</v>
      </c>
      <c r="I3226" s="3" t="s">
        <v>31</v>
      </c>
      <c r="J3226" s="3" t="s">
        <v>120</v>
      </c>
      <c r="K3226" s="3" t="s">
        <v>46</v>
      </c>
      <c r="L3226" s="3" t="s">
        <v>47</v>
      </c>
      <c r="M3226" s="4">
        <v>9.02</v>
      </c>
    </row>
    <row r="3227">
      <c r="A3227" s="2">
        <v>45817</v>
      </c>
      <c r="B32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7" s="3" t="str">
        <f>YEAR(KMART_DATA[[#This Row],[Date]])&amp;"-"&amp;TEXT(MONTH(KMART_DATA[[#This Row],[Date]]),"00")</f>
        <v>2025-06</v>
      </c>
      <c r="D3227" s="3" t="s">
        <v>45</v>
      </c>
      <c r="E3227" s="3" t="s">
        <v>221</v>
      </c>
      <c r="F3227" s="3" t="s">
        <v>11</v>
      </c>
      <c r="G32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27" s="3" t="s">
        <v>222</v>
      </c>
      <c r="I3227" s="3" t="s">
        <v>31</v>
      </c>
      <c r="J3227" s="3" t="s">
        <v>56</v>
      </c>
      <c r="K3227" s="3" t="s">
        <v>43</v>
      </c>
      <c r="L3227" s="3" t="s">
        <v>44</v>
      </c>
      <c r="M3227" s="4">
        <v>174.94</v>
      </c>
    </row>
    <row r="3228">
      <c r="A3228" s="2">
        <v>45817</v>
      </c>
      <c r="B32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8" s="3" t="str">
        <f>YEAR(KMART_DATA[[#This Row],[Date]])&amp;"-"&amp;TEXT(MONTH(KMART_DATA[[#This Row],[Date]]),"00")</f>
        <v>2025-06</v>
      </c>
      <c r="D3228" s="3" t="s">
        <v>28</v>
      </c>
      <c r="E3228" s="3" t="s">
        <v>59</v>
      </c>
      <c r="F3228" s="3" t="s">
        <v>11</v>
      </c>
      <c r="G32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28" s="3" t="s">
        <v>60</v>
      </c>
      <c r="I3228" s="3" t="s">
        <v>31</v>
      </c>
      <c r="J3228" s="3" t="s">
        <v>61</v>
      </c>
      <c r="K3228" s="3" t="s">
        <v>71</v>
      </c>
      <c r="L3228" s="3" t="s">
        <v>72</v>
      </c>
      <c r="M3228" s="4">
        <v>1175.16</v>
      </c>
    </row>
    <row r="3229">
      <c r="A3229" s="2">
        <v>45817</v>
      </c>
      <c r="B32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29" s="3" t="str">
        <f>YEAR(KMART_DATA[[#This Row],[Date]])&amp;"-"&amp;TEXT(MONTH(KMART_DATA[[#This Row],[Date]]),"00")</f>
        <v>2025-06</v>
      </c>
      <c r="D3229" s="3" t="s">
        <v>28</v>
      </c>
      <c r="E3229" s="3" t="s">
        <v>252</v>
      </c>
      <c r="F3229" s="3" t="s">
        <v>10</v>
      </c>
      <c r="G32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29" s="3" t="s">
        <v>253</v>
      </c>
      <c r="I3229" s="3" t="s">
        <v>31</v>
      </c>
      <c r="J3229" s="3" t="s">
        <v>94</v>
      </c>
      <c r="K3229" s="3" t="s">
        <v>71</v>
      </c>
      <c r="L3229" s="3" t="s">
        <v>72</v>
      </c>
      <c r="M3229" s="4">
        <v>1501.4</v>
      </c>
    </row>
    <row r="3230">
      <c r="A3230" s="2">
        <v>45818</v>
      </c>
      <c r="B32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0" s="3" t="str">
        <f>YEAR(KMART_DATA[[#This Row],[Date]])&amp;"-"&amp;TEXT(MONTH(KMART_DATA[[#This Row],[Date]]),"00")</f>
        <v>2025-06</v>
      </c>
      <c r="D3230" s="3" t="s">
        <v>28</v>
      </c>
      <c r="E3230" s="3" t="s">
        <v>262</v>
      </c>
      <c r="F3230" s="3" t="s">
        <v>10</v>
      </c>
      <c r="G32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30" s="3" t="s">
        <v>263</v>
      </c>
      <c r="I3230" s="3" t="s">
        <v>31</v>
      </c>
      <c r="J3230" s="3" t="s">
        <v>120</v>
      </c>
      <c r="K3230" s="3" t="s">
        <v>95</v>
      </c>
      <c r="L3230" s="3" t="s">
        <v>96</v>
      </c>
      <c r="M3230" s="4">
        <v>4.31</v>
      </c>
    </row>
    <row r="3231">
      <c r="A3231" s="2">
        <v>45818</v>
      </c>
      <c r="B32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1" s="3" t="str">
        <f>YEAR(KMART_DATA[[#This Row],[Date]])&amp;"-"&amp;TEXT(MONTH(KMART_DATA[[#This Row],[Date]]),"00")</f>
        <v>2025-06</v>
      </c>
      <c r="D3231" s="3" t="s">
        <v>28</v>
      </c>
      <c r="E3231" s="3" t="s">
        <v>252</v>
      </c>
      <c r="F3231" s="3" t="s">
        <v>10</v>
      </c>
      <c r="G32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31" s="3" t="s">
        <v>253</v>
      </c>
      <c r="I3231" s="3" t="s">
        <v>31</v>
      </c>
      <c r="J3231" s="3" t="s">
        <v>94</v>
      </c>
      <c r="K3231" s="3" t="s">
        <v>57</v>
      </c>
      <c r="L3231" s="3" t="s">
        <v>58</v>
      </c>
      <c r="M3231" s="4">
        <v>19.98</v>
      </c>
    </row>
    <row r="3232">
      <c r="A3232" s="2">
        <v>45818</v>
      </c>
      <c r="B32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2" s="3" t="str">
        <f>YEAR(KMART_DATA[[#This Row],[Date]])&amp;"-"&amp;TEXT(MONTH(KMART_DATA[[#This Row],[Date]]),"00")</f>
        <v>2025-06</v>
      </c>
      <c r="D3232" s="3" t="s">
        <v>28</v>
      </c>
      <c r="E3232" s="3" t="s">
        <v>79</v>
      </c>
      <c r="F3232" s="3" t="s">
        <v>9</v>
      </c>
      <c r="G32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32" s="3" t="s">
        <v>80</v>
      </c>
      <c r="I3232" s="3" t="s">
        <v>31</v>
      </c>
      <c r="J3232" s="3" t="s">
        <v>81</v>
      </c>
      <c r="K3232" s="3" t="s">
        <v>112</v>
      </c>
      <c r="L3232" s="3" t="s">
        <v>113</v>
      </c>
      <c r="M3232" s="4">
        <v>20.94</v>
      </c>
    </row>
    <row r="3233">
      <c r="A3233" s="2">
        <v>45818</v>
      </c>
      <c r="B32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3" s="3" t="str">
        <f>YEAR(KMART_DATA[[#This Row],[Date]])&amp;"-"&amp;TEXT(MONTH(KMART_DATA[[#This Row],[Date]]),"00")</f>
        <v>2025-06</v>
      </c>
      <c r="D3233" s="3" t="s">
        <v>28</v>
      </c>
      <c r="E3233" s="3" t="s">
        <v>100</v>
      </c>
      <c r="F3233" s="3" t="s">
        <v>12</v>
      </c>
      <c r="G32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33" s="3" t="s">
        <v>101</v>
      </c>
      <c r="I3233" s="3" t="s">
        <v>31</v>
      </c>
      <c r="J3233" s="3" t="s">
        <v>102</v>
      </c>
      <c r="K3233" s="3" t="s">
        <v>57</v>
      </c>
      <c r="L3233" s="3" t="s">
        <v>58</v>
      </c>
      <c r="M3233" s="4">
        <v>29.99</v>
      </c>
    </row>
    <row r="3234">
      <c r="A3234" s="2">
        <v>45818</v>
      </c>
      <c r="B32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4" s="3" t="str">
        <f>YEAR(KMART_DATA[[#This Row],[Date]])&amp;"-"&amp;TEXT(MONTH(KMART_DATA[[#This Row],[Date]]),"00")</f>
        <v>2025-06</v>
      </c>
      <c r="D3234" s="3" t="s">
        <v>45</v>
      </c>
      <c r="E3234" s="3" t="s">
        <v>110</v>
      </c>
      <c r="F3234" s="3" t="s">
        <v>9</v>
      </c>
      <c r="G32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34" s="3" t="s">
        <v>111</v>
      </c>
      <c r="I3234" s="3" t="s">
        <v>31</v>
      </c>
      <c r="J3234" s="3" t="s">
        <v>81</v>
      </c>
      <c r="K3234" s="3" t="s">
        <v>66</v>
      </c>
      <c r="L3234" s="3" t="s">
        <v>67</v>
      </c>
      <c r="M3234" s="4">
        <v>131.98</v>
      </c>
    </row>
    <row r="3235">
      <c r="A3235" s="2">
        <v>45818</v>
      </c>
      <c r="B32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5" s="3" t="str">
        <f>YEAR(KMART_DATA[[#This Row],[Date]])&amp;"-"&amp;TEXT(MONTH(KMART_DATA[[#This Row],[Date]]),"00")</f>
        <v>2025-06</v>
      </c>
      <c r="D3235" s="3" t="s">
        <v>28</v>
      </c>
      <c r="E3235" s="3" t="s">
        <v>129</v>
      </c>
      <c r="F3235" s="3" t="s">
        <v>10</v>
      </c>
      <c r="G32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35" s="3" t="s">
        <v>130</v>
      </c>
      <c r="I3235" s="3" t="s">
        <v>31</v>
      </c>
      <c r="J3235" s="3" t="s">
        <v>120</v>
      </c>
      <c r="K3235" s="3" t="s">
        <v>33</v>
      </c>
      <c r="L3235" s="3" t="s">
        <v>34</v>
      </c>
      <c r="M3235" s="4">
        <v>378.72</v>
      </c>
    </row>
    <row r="3236">
      <c r="A3236" s="2">
        <v>45818</v>
      </c>
      <c r="B32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6" s="3" t="str">
        <f>YEAR(KMART_DATA[[#This Row],[Date]])&amp;"-"&amp;TEXT(MONTH(KMART_DATA[[#This Row],[Date]]),"00")</f>
        <v>2025-06</v>
      </c>
      <c r="D3236" s="3" t="s">
        <v>28</v>
      </c>
      <c r="E3236" s="3" t="s">
        <v>177</v>
      </c>
      <c r="F3236" s="3" t="s">
        <v>12</v>
      </c>
      <c r="G32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36" s="3" t="s">
        <v>178</v>
      </c>
      <c r="I3236" s="3" t="s">
        <v>31</v>
      </c>
      <c r="J3236" s="3" t="s">
        <v>162</v>
      </c>
      <c r="K3236" s="3" t="s">
        <v>43</v>
      </c>
      <c r="L3236" s="3" t="s">
        <v>44</v>
      </c>
      <c r="M3236" s="4">
        <v>599.03</v>
      </c>
    </row>
    <row r="3237">
      <c r="A3237" s="2">
        <v>45818</v>
      </c>
      <c r="B32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7" s="3" t="str">
        <f>YEAR(KMART_DATA[[#This Row],[Date]])&amp;"-"&amp;TEXT(MONTH(KMART_DATA[[#This Row],[Date]]),"00")</f>
        <v>2025-06</v>
      </c>
      <c r="D3237" s="3" t="s">
        <v>28</v>
      </c>
      <c r="E3237" s="3" t="s">
        <v>154</v>
      </c>
      <c r="F3237" s="3" t="s">
        <v>11</v>
      </c>
      <c r="G32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37" s="3" t="s">
        <v>155</v>
      </c>
      <c r="I3237" s="3" t="s">
        <v>31</v>
      </c>
      <c r="J3237" s="3" t="s">
        <v>84</v>
      </c>
      <c r="K3237" s="3" t="s">
        <v>123</v>
      </c>
      <c r="L3237" s="3" t="s">
        <v>124</v>
      </c>
      <c r="M3237" s="4">
        <v>795.31</v>
      </c>
    </row>
    <row r="3238">
      <c r="A3238" s="2">
        <v>45819</v>
      </c>
      <c r="B32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8" s="3" t="str">
        <f>YEAR(KMART_DATA[[#This Row],[Date]])&amp;"-"&amp;TEXT(MONTH(KMART_DATA[[#This Row],[Date]]),"00")</f>
        <v>2025-06</v>
      </c>
      <c r="D3238" s="3" t="s">
        <v>28</v>
      </c>
      <c r="E3238" s="3" t="s">
        <v>181</v>
      </c>
      <c r="F3238" s="3" t="s">
        <v>11</v>
      </c>
      <c r="G32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38" s="3" t="s">
        <v>182</v>
      </c>
      <c r="I3238" s="3" t="s">
        <v>31</v>
      </c>
      <c r="J3238" s="3" t="s">
        <v>56</v>
      </c>
      <c r="K3238" s="3" t="s">
        <v>43</v>
      </c>
      <c r="L3238" s="3" t="s">
        <v>44</v>
      </c>
      <c r="M3238" s="4">
        <v>463.95</v>
      </c>
    </row>
    <row r="3239">
      <c r="A3239" s="2">
        <v>45819</v>
      </c>
      <c r="B32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39" s="3" t="str">
        <f>YEAR(KMART_DATA[[#This Row],[Date]])&amp;"-"&amp;TEXT(MONTH(KMART_DATA[[#This Row],[Date]]),"00")</f>
        <v>2025-06</v>
      </c>
      <c r="D3239" s="3" t="s">
        <v>28</v>
      </c>
      <c r="E3239" s="3" t="s">
        <v>244</v>
      </c>
      <c r="F3239" s="3" t="s">
        <v>13</v>
      </c>
      <c r="G32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239" s="3" t="s">
        <v>245</v>
      </c>
      <c r="I3239" s="3" t="s">
        <v>31</v>
      </c>
      <c r="J3239" s="3" t="s">
        <v>42</v>
      </c>
      <c r="K3239" s="3" t="s">
        <v>71</v>
      </c>
      <c r="L3239" s="3" t="s">
        <v>72</v>
      </c>
      <c r="M3239" s="4">
        <v>1630.79</v>
      </c>
    </row>
    <row r="3240">
      <c r="A3240" s="2">
        <v>45820</v>
      </c>
      <c r="B32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0" s="3" t="str">
        <f>YEAR(KMART_DATA[[#This Row],[Date]])&amp;"-"&amp;TEXT(MONTH(KMART_DATA[[#This Row],[Date]]),"00")</f>
        <v>2025-06</v>
      </c>
      <c r="D3240" s="3" t="s">
        <v>28</v>
      </c>
      <c r="E3240" s="3" t="s">
        <v>139</v>
      </c>
      <c r="F3240" s="3" t="s">
        <v>10</v>
      </c>
      <c r="G32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40" s="3" t="s">
        <v>140</v>
      </c>
      <c r="I3240" s="3" t="s">
        <v>31</v>
      </c>
      <c r="J3240" s="3" t="s">
        <v>89</v>
      </c>
      <c r="K3240" s="3" t="s">
        <v>95</v>
      </c>
      <c r="L3240" s="3" t="s">
        <v>96</v>
      </c>
      <c r="M3240" s="4">
        <v>25.52</v>
      </c>
    </row>
    <row r="3241">
      <c r="A3241" s="2">
        <v>45820</v>
      </c>
      <c r="B32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1" s="3" t="str">
        <f>YEAR(KMART_DATA[[#This Row],[Date]])&amp;"-"&amp;TEXT(MONTH(KMART_DATA[[#This Row],[Date]]),"00")</f>
        <v>2025-06</v>
      </c>
      <c r="D3241" s="3" t="s">
        <v>28</v>
      </c>
      <c r="E3241" s="3" t="s">
        <v>169</v>
      </c>
      <c r="F3241" s="3" t="s">
        <v>12</v>
      </c>
      <c r="G32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41" s="3" t="s">
        <v>170</v>
      </c>
      <c r="I3241" s="3" t="s">
        <v>31</v>
      </c>
      <c r="J3241" s="3" t="s">
        <v>102</v>
      </c>
      <c r="K3241" s="3" t="s">
        <v>43</v>
      </c>
      <c r="L3241" s="3" t="s">
        <v>44</v>
      </c>
      <c r="M3241" s="4">
        <v>66.94</v>
      </c>
    </row>
    <row r="3242">
      <c r="A3242" s="2">
        <v>45820</v>
      </c>
      <c r="B32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2" s="3" t="str">
        <f>YEAR(KMART_DATA[[#This Row],[Date]])&amp;"-"&amp;TEXT(MONTH(KMART_DATA[[#This Row],[Date]]),"00")</f>
        <v>2025-06</v>
      </c>
      <c r="D3242" s="3" t="s">
        <v>45</v>
      </c>
      <c r="E3242" s="3" t="s">
        <v>110</v>
      </c>
      <c r="F3242" s="3" t="s">
        <v>9</v>
      </c>
      <c r="G32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42" s="3" t="s">
        <v>111</v>
      </c>
      <c r="I3242" s="3" t="s">
        <v>31</v>
      </c>
      <c r="J3242" s="3" t="s">
        <v>81</v>
      </c>
      <c r="K3242" s="3" t="s">
        <v>95</v>
      </c>
      <c r="L3242" s="3" t="s">
        <v>96</v>
      </c>
      <c r="M3242" s="4">
        <v>99.8</v>
      </c>
    </row>
    <row r="3243">
      <c r="A3243" s="2">
        <v>45820</v>
      </c>
      <c r="B32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3" s="3" t="str">
        <f>YEAR(KMART_DATA[[#This Row],[Date]])&amp;"-"&amp;TEXT(MONTH(KMART_DATA[[#This Row],[Date]]),"00")</f>
        <v>2025-06</v>
      </c>
      <c r="D3243" s="3" t="s">
        <v>45</v>
      </c>
      <c r="E3243" s="3" t="s">
        <v>103</v>
      </c>
      <c r="F3243" s="3" t="s">
        <v>12</v>
      </c>
      <c r="G32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43" s="3" t="s">
        <v>104</v>
      </c>
      <c r="I3243" s="3" t="s">
        <v>31</v>
      </c>
      <c r="J3243" s="3" t="s">
        <v>102</v>
      </c>
      <c r="K3243" s="3" t="s">
        <v>43</v>
      </c>
      <c r="L3243" s="3" t="s">
        <v>44</v>
      </c>
      <c r="M3243" s="4">
        <v>242.3</v>
      </c>
    </row>
    <row r="3244">
      <c r="A3244" s="2">
        <v>45820</v>
      </c>
      <c r="B32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4" s="3" t="str">
        <f>YEAR(KMART_DATA[[#This Row],[Date]])&amp;"-"&amp;TEXT(MONTH(KMART_DATA[[#This Row],[Date]]),"00")</f>
        <v>2025-06</v>
      </c>
      <c r="D3244" s="3" t="s">
        <v>28</v>
      </c>
      <c r="E3244" s="3" t="s">
        <v>165</v>
      </c>
      <c r="F3244" s="3" t="s">
        <v>9</v>
      </c>
      <c r="G32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44" s="3" t="s">
        <v>166</v>
      </c>
      <c r="I3244" s="3" t="s">
        <v>31</v>
      </c>
      <c r="J3244" s="3" t="s">
        <v>99</v>
      </c>
      <c r="K3244" s="3" t="s">
        <v>71</v>
      </c>
      <c r="L3244" s="3" t="s">
        <v>72</v>
      </c>
      <c r="M3244" s="4">
        <v>525.5</v>
      </c>
    </row>
    <row r="3245">
      <c r="A3245" s="2">
        <v>45820</v>
      </c>
      <c r="B32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5" s="3" t="str">
        <f>YEAR(KMART_DATA[[#This Row],[Date]])&amp;"-"&amp;TEXT(MONTH(KMART_DATA[[#This Row],[Date]]),"00")</f>
        <v>2025-06</v>
      </c>
      <c r="D3245" s="3" t="s">
        <v>45</v>
      </c>
      <c r="E3245" s="3" t="s">
        <v>92</v>
      </c>
      <c r="F3245" s="3" t="s">
        <v>10</v>
      </c>
      <c r="G32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45" s="3" t="s">
        <v>93</v>
      </c>
      <c r="I3245" s="3" t="s">
        <v>31</v>
      </c>
      <c r="J3245" s="3" t="s">
        <v>94</v>
      </c>
      <c r="K3245" s="3" t="s">
        <v>71</v>
      </c>
      <c r="L3245" s="3" t="s">
        <v>72</v>
      </c>
      <c r="M3245" s="4">
        <v>706.39</v>
      </c>
    </row>
    <row r="3246">
      <c r="A3246" s="2">
        <v>45820</v>
      </c>
      <c r="B32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6" s="3" t="str">
        <f>YEAR(KMART_DATA[[#This Row],[Date]])&amp;"-"&amp;TEXT(MONTH(KMART_DATA[[#This Row],[Date]]),"00")</f>
        <v>2025-06</v>
      </c>
      <c r="D3246" s="3" t="s">
        <v>28</v>
      </c>
      <c r="E3246" s="3" t="s">
        <v>108</v>
      </c>
      <c r="F3246" s="3" t="s">
        <v>9</v>
      </c>
      <c r="G32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46" s="3" t="s">
        <v>109</v>
      </c>
      <c r="I3246" s="3" t="s">
        <v>31</v>
      </c>
      <c r="J3246" s="3" t="s">
        <v>75</v>
      </c>
      <c r="K3246" s="3" t="s">
        <v>71</v>
      </c>
      <c r="L3246" s="3" t="s">
        <v>72</v>
      </c>
      <c r="M3246" s="4">
        <v>1685.32</v>
      </c>
    </row>
    <row r="3247">
      <c r="A3247" s="2">
        <v>45820</v>
      </c>
      <c r="B32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7" s="3" t="str">
        <f>YEAR(KMART_DATA[[#This Row],[Date]])&amp;"-"&amp;TEXT(MONTH(KMART_DATA[[#This Row],[Date]]),"00")</f>
        <v>2025-06</v>
      </c>
      <c r="D3247" s="3" t="s">
        <v>45</v>
      </c>
      <c r="E3247" s="3" t="s">
        <v>141</v>
      </c>
      <c r="F3247" s="3" t="s">
        <v>9</v>
      </c>
      <c r="G32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47" s="3" t="s">
        <v>142</v>
      </c>
      <c r="I3247" s="3" t="s">
        <v>31</v>
      </c>
      <c r="J3247" s="3" t="s">
        <v>107</v>
      </c>
      <c r="K3247" s="3" t="s">
        <v>71</v>
      </c>
      <c r="L3247" s="3" t="s">
        <v>72</v>
      </c>
      <c r="M3247" s="4">
        <v>1987.97</v>
      </c>
    </row>
    <row r="3248">
      <c r="A3248" s="2">
        <v>45821</v>
      </c>
      <c r="B32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8" s="3" t="str">
        <f>YEAR(KMART_DATA[[#This Row],[Date]])&amp;"-"&amp;TEXT(MONTH(KMART_DATA[[#This Row],[Date]]),"00")</f>
        <v>2025-06</v>
      </c>
      <c r="D3248" s="3" t="s">
        <v>28</v>
      </c>
      <c r="E3248" s="3" t="s">
        <v>181</v>
      </c>
      <c r="F3248" s="3" t="s">
        <v>11</v>
      </c>
      <c r="G32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48" s="3" t="s">
        <v>182</v>
      </c>
      <c r="I3248" s="3" t="s">
        <v>31</v>
      </c>
      <c r="J3248" s="3" t="s">
        <v>56</v>
      </c>
      <c r="K3248" s="3" t="s">
        <v>71</v>
      </c>
      <c r="L3248" s="3" t="s">
        <v>72</v>
      </c>
      <c r="M3248" s="4">
        <v>2.0</v>
      </c>
    </row>
    <row r="3249">
      <c r="A3249" s="2">
        <v>45821</v>
      </c>
      <c r="B32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49" s="3" t="str">
        <f>YEAR(KMART_DATA[[#This Row],[Date]])&amp;"-"&amp;TEXT(MONTH(KMART_DATA[[#This Row],[Date]]),"00")</f>
        <v>2025-06</v>
      </c>
      <c r="D3249" s="3" t="s">
        <v>28</v>
      </c>
      <c r="E3249" s="3" t="s">
        <v>51</v>
      </c>
      <c r="F3249" s="3" t="s">
        <v>15</v>
      </c>
      <c r="G32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249" s="3" t="s">
        <v>52</v>
      </c>
      <c r="I3249" s="3" t="s">
        <v>31</v>
      </c>
      <c r="J3249" s="3" t="s">
        <v>53</v>
      </c>
      <c r="K3249" s="3" t="s">
        <v>33</v>
      </c>
      <c r="L3249" s="3" t="s">
        <v>34</v>
      </c>
      <c r="M3249" s="4">
        <v>3.98</v>
      </c>
    </row>
    <row r="3250">
      <c r="A3250" s="2">
        <v>45821</v>
      </c>
      <c r="B32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0" s="3" t="str">
        <f>YEAR(KMART_DATA[[#This Row],[Date]])&amp;"-"&amp;TEXT(MONTH(KMART_DATA[[#This Row],[Date]]),"00")</f>
        <v>2025-06</v>
      </c>
      <c r="D3250" s="3" t="s">
        <v>28</v>
      </c>
      <c r="E3250" s="3" t="s">
        <v>244</v>
      </c>
      <c r="F3250" s="3" t="s">
        <v>13</v>
      </c>
      <c r="G32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250" s="3" t="s">
        <v>245</v>
      </c>
      <c r="I3250" s="3" t="s">
        <v>31</v>
      </c>
      <c r="J3250" s="3" t="s">
        <v>42</v>
      </c>
      <c r="K3250" s="3" t="s">
        <v>123</v>
      </c>
      <c r="L3250" s="3" t="s">
        <v>124</v>
      </c>
      <c r="M3250" s="4">
        <v>26.9</v>
      </c>
    </row>
    <row r="3251">
      <c r="A3251" s="2">
        <v>45821</v>
      </c>
      <c r="B32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1" s="3" t="str">
        <f>YEAR(KMART_DATA[[#This Row],[Date]])&amp;"-"&amp;TEXT(MONTH(KMART_DATA[[#This Row],[Date]]),"00")</f>
        <v>2025-06</v>
      </c>
      <c r="D3251" s="3" t="s">
        <v>45</v>
      </c>
      <c r="E3251" s="3" t="s">
        <v>100</v>
      </c>
      <c r="F3251" s="3" t="s">
        <v>12</v>
      </c>
      <c r="G32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51" s="3" t="s">
        <v>101</v>
      </c>
      <c r="I3251" s="3" t="s">
        <v>31</v>
      </c>
      <c r="J3251" s="3" t="s">
        <v>102</v>
      </c>
      <c r="K3251" s="3" t="s">
        <v>71</v>
      </c>
      <c r="L3251" s="3" t="s">
        <v>72</v>
      </c>
      <c r="M3251" s="4">
        <v>5936.02</v>
      </c>
    </row>
    <row r="3252">
      <c r="A3252" s="2">
        <v>45822</v>
      </c>
      <c r="B32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2" s="3" t="str">
        <f>YEAR(KMART_DATA[[#This Row],[Date]])&amp;"-"&amp;TEXT(MONTH(KMART_DATA[[#This Row],[Date]]),"00")</f>
        <v>2025-06</v>
      </c>
      <c r="D3252" s="3" t="s">
        <v>45</v>
      </c>
      <c r="E3252" s="3" t="s">
        <v>64</v>
      </c>
      <c r="F3252" s="3" t="s">
        <v>11</v>
      </c>
      <c r="G32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52" s="3" t="s">
        <v>65</v>
      </c>
      <c r="I3252" s="3" t="s">
        <v>31</v>
      </c>
      <c r="J3252" s="3" t="s">
        <v>61</v>
      </c>
      <c r="K3252" s="3" t="s">
        <v>95</v>
      </c>
      <c r="L3252" s="3" t="s">
        <v>96</v>
      </c>
      <c r="M3252" s="4">
        <v>7.57</v>
      </c>
    </row>
    <row r="3253">
      <c r="A3253" s="2">
        <v>45822</v>
      </c>
      <c r="B32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3" s="3" t="str">
        <f>YEAR(KMART_DATA[[#This Row],[Date]])&amp;"-"&amp;TEXT(MONTH(KMART_DATA[[#This Row],[Date]]),"00")</f>
        <v>2025-06</v>
      </c>
      <c r="D3253" s="3" t="s">
        <v>28</v>
      </c>
      <c r="E3253" s="3" t="s">
        <v>103</v>
      </c>
      <c r="F3253" s="3" t="s">
        <v>12</v>
      </c>
      <c r="G32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53" s="3" t="s">
        <v>104</v>
      </c>
      <c r="I3253" s="3" t="s">
        <v>31</v>
      </c>
      <c r="J3253" s="3" t="s">
        <v>102</v>
      </c>
      <c r="K3253" s="3" t="s">
        <v>43</v>
      </c>
      <c r="L3253" s="3" t="s">
        <v>44</v>
      </c>
      <c r="M3253" s="4">
        <v>12.99</v>
      </c>
    </row>
    <row r="3254">
      <c r="A3254" s="2">
        <v>45822</v>
      </c>
      <c r="B32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4" s="3" t="str">
        <f>YEAR(KMART_DATA[[#This Row],[Date]])&amp;"-"&amp;TEXT(MONTH(KMART_DATA[[#This Row],[Date]]),"00")</f>
        <v>2025-06</v>
      </c>
      <c r="D3254" s="3" t="s">
        <v>45</v>
      </c>
      <c r="E3254" s="3" t="s">
        <v>197</v>
      </c>
      <c r="F3254" s="3" t="s">
        <v>9</v>
      </c>
      <c r="G32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54" s="3" t="s">
        <v>198</v>
      </c>
      <c r="I3254" s="3" t="s">
        <v>31</v>
      </c>
      <c r="J3254" s="3" t="s">
        <v>107</v>
      </c>
      <c r="K3254" s="3" t="s">
        <v>95</v>
      </c>
      <c r="L3254" s="3" t="s">
        <v>96</v>
      </c>
      <c r="M3254" s="4">
        <v>113.76</v>
      </c>
    </row>
    <row r="3255">
      <c r="A3255" s="2">
        <v>45822</v>
      </c>
      <c r="B32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5" s="3" t="str">
        <f>YEAR(KMART_DATA[[#This Row],[Date]])&amp;"-"&amp;TEXT(MONTH(KMART_DATA[[#This Row],[Date]]),"00")</f>
        <v>2025-06</v>
      </c>
      <c r="D3255" s="3" t="s">
        <v>28</v>
      </c>
      <c r="E3255" s="3" t="s">
        <v>127</v>
      </c>
      <c r="F3255" s="3" t="s">
        <v>11</v>
      </c>
      <c r="G32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55" s="3" t="s">
        <v>128</v>
      </c>
      <c r="I3255" s="3" t="s">
        <v>31</v>
      </c>
      <c r="J3255" s="3" t="s">
        <v>78</v>
      </c>
      <c r="K3255" s="3" t="s">
        <v>33</v>
      </c>
      <c r="L3255" s="3" t="s">
        <v>34</v>
      </c>
      <c r="M3255" s="4">
        <v>122.69</v>
      </c>
    </row>
    <row r="3256">
      <c r="A3256" s="2">
        <v>45822</v>
      </c>
      <c r="B32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6" s="3" t="str">
        <f>YEAR(KMART_DATA[[#This Row],[Date]])&amp;"-"&amp;TEXT(MONTH(KMART_DATA[[#This Row],[Date]]),"00")</f>
        <v>2025-06</v>
      </c>
      <c r="D3256" s="3" t="s">
        <v>45</v>
      </c>
      <c r="E3256" s="3" t="s">
        <v>250</v>
      </c>
      <c r="F3256" s="3" t="s">
        <v>10</v>
      </c>
      <c r="G32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56" s="3" t="s">
        <v>251</v>
      </c>
      <c r="I3256" s="3" t="s">
        <v>31</v>
      </c>
      <c r="J3256" s="3" t="s">
        <v>37</v>
      </c>
      <c r="K3256" s="3" t="s">
        <v>71</v>
      </c>
      <c r="L3256" s="3" t="s">
        <v>72</v>
      </c>
      <c r="M3256" s="4">
        <v>149.99</v>
      </c>
    </row>
    <row r="3257">
      <c r="A3257" s="2">
        <v>45822</v>
      </c>
      <c r="B32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7" s="3" t="str">
        <f>YEAR(KMART_DATA[[#This Row],[Date]])&amp;"-"&amp;TEXT(MONTH(KMART_DATA[[#This Row],[Date]]),"00")</f>
        <v>2025-06</v>
      </c>
      <c r="D3257" s="3" t="s">
        <v>28</v>
      </c>
      <c r="E3257" s="3" t="s">
        <v>177</v>
      </c>
      <c r="F3257" s="3" t="s">
        <v>12</v>
      </c>
      <c r="G32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57" s="3" t="s">
        <v>178</v>
      </c>
      <c r="I3257" s="3" t="s">
        <v>31</v>
      </c>
      <c r="J3257" s="3" t="s">
        <v>162</v>
      </c>
      <c r="K3257" s="3" t="s">
        <v>43</v>
      </c>
      <c r="L3257" s="3" t="s">
        <v>44</v>
      </c>
      <c r="M3257" s="4">
        <v>166.53</v>
      </c>
    </row>
    <row r="3258">
      <c r="A3258" s="2">
        <v>45822</v>
      </c>
      <c r="B32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8" s="3" t="str">
        <f>YEAR(KMART_DATA[[#This Row],[Date]])&amp;"-"&amp;TEXT(MONTH(KMART_DATA[[#This Row],[Date]]),"00")</f>
        <v>2025-06</v>
      </c>
      <c r="D3258" s="3" t="s">
        <v>45</v>
      </c>
      <c r="E3258" s="3" t="s">
        <v>197</v>
      </c>
      <c r="F3258" s="3" t="s">
        <v>9</v>
      </c>
      <c r="G32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58" s="3" t="s">
        <v>198</v>
      </c>
      <c r="I3258" s="3" t="s">
        <v>31</v>
      </c>
      <c r="J3258" s="3" t="s">
        <v>107</v>
      </c>
      <c r="K3258" s="3" t="s">
        <v>95</v>
      </c>
      <c r="L3258" s="3" t="s">
        <v>96</v>
      </c>
      <c r="M3258" s="4">
        <v>170.28</v>
      </c>
    </row>
    <row r="3259">
      <c r="A3259" s="2">
        <v>45822</v>
      </c>
      <c r="B32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59" s="3" t="str">
        <f>YEAR(KMART_DATA[[#This Row],[Date]])&amp;"-"&amp;TEXT(MONTH(KMART_DATA[[#This Row],[Date]]),"00")</f>
        <v>2025-06</v>
      </c>
      <c r="D3259" s="3" t="s">
        <v>45</v>
      </c>
      <c r="E3259" s="3" t="s">
        <v>250</v>
      </c>
      <c r="F3259" s="3" t="s">
        <v>10</v>
      </c>
      <c r="G32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59" s="3" t="s">
        <v>251</v>
      </c>
      <c r="I3259" s="3" t="s">
        <v>31</v>
      </c>
      <c r="J3259" s="3" t="s">
        <v>37</v>
      </c>
      <c r="K3259" s="3" t="s">
        <v>43</v>
      </c>
      <c r="L3259" s="3" t="s">
        <v>44</v>
      </c>
      <c r="M3259" s="4">
        <v>436.11</v>
      </c>
    </row>
    <row r="3260">
      <c r="A3260" s="2">
        <v>45823</v>
      </c>
      <c r="B32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0" s="3" t="str">
        <f>YEAR(KMART_DATA[[#This Row],[Date]])&amp;"-"&amp;TEXT(MONTH(KMART_DATA[[#This Row],[Date]]),"00")</f>
        <v>2025-06</v>
      </c>
      <c r="D3260" s="3" t="s">
        <v>45</v>
      </c>
      <c r="E3260" s="3" t="s">
        <v>248</v>
      </c>
      <c r="F3260" s="3" t="s">
        <v>12</v>
      </c>
      <c r="G32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60" s="3" t="s">
        <v>249</v>
      </c>
      <c r="I3260" s="3" t="s">
        <v>31</v>
      </c>
      <c r="J3260" s="3" t="s">
        <v>162</v>
      </c>
      <c r="K3260" s="3" t="s">
        <v>38</v>
      </c>
      <c r="L3260" s="3" t="s">
        <v>39</v>
      </c>
      <c r="M3260" s="4">
        <v>47.94</v>
      </c>
    </row>
    <row r="3261">
      <c r="A3261" s="2">
        <v>45823</v>
      </c>
      <c r="B32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1" s="3" t="str">
        <f>YEAR(KMART_DATA[[#This Row],[Date]])&amp;"-"&amp;TEXT(MONTH(KMART_DATA[[#This Row],[Date]]),"00")</f>
        <v>2025-06</v>
      </c>
      <c r="D3261" s="3" t="s">
        <v>45</v>
      </c>
      <c r="E3261" s="3" t="s">
        <v>203</v>
      </c>
      <c r="F3261" s="3" t="s">
        <v>10</v>
      </c>
      <c r="G32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61" s="3" t="s">
        <v>204</v>
      </c>
      <c r="I3261" s="3" t="s">
        <v>31</v>
      </c>
      <c r="J3261" s="3" t="s">
        <v>89</v>
      </c>
      <c r="K3261" s="3" t="s">
        <v>95</v>
      </c>
      <c r="L3261" s="3" t="s">
        <v>96</v>
      </c>
      <c r="M3261" s="4">
        <v>260.7</v>
      </c>
    </row>
    <row r="3262">
      <c r="A3262" s="2">
        <v>45823</v>
      </c>
      <c r="B32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2" s="3" t="str">
        <f>YEAR(KMART_DATA[[#This Row],[Date]])&amp;"-"&amp;TEXT(MONTH(KMART_DATA[[#This Row],[Date]]),"00")</f>
        <v>2025-06</v>
      </c>
      <c r="D3262" s="3" t="s">
        <v>45</v>
      </c>
      <c r="E3262" s="3" t="s">
        <v>156</v>
      </c>
      <c r="F3262" s="3" t="s">
        <v>9</v>
      </c>
      <c r="G32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62" s="3" t="s">
        <v>157</v>
      </c>
      <c r="I3262" s="3" t="s">
        <v>31</v>
      </c>
      <c r="J3262" s="3" t="s">
        <v>75</v>
      </c>
      <c r="K3262" s="3" t="s">
        <v>38</v>
      </c>
      <c r="L3262" s="3" t="s">
        <v>39</v>
      </c>
      <c r="M3262" s="4">
        <v>324.38</v>
      </c>
    </row>
    <row r="3263">
      <c r="A3263" s="2">
        <v>45823</v>
      </c>
      <c r="B32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3" s="3" t="str">
        <f>YEAR(KMART_DATA[[#This Row],[Date]])&amp;"-"&amp;TEXT(MONTH(KMART_DATA[[#This Row],[Date]]),"00")</f>
        <v>2025-06</v>
      </c>
      <c r="D3263" s="3" t="s">
        <v>45</v>
      </c>
      <c r="E3263" s="3" t="s">
        <v>250</v>
      </c>
      <c r="F3263" s="3" t="s">
        <v>10</v>
      </c>
      <c r="G32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63" s="3" t="s">
        <v>251</v>
      </c>
      <c r="I3263" s="3" t="s">
        <v>31</v>
      </c>
      <c r="J3263" s="3" t="s">
        <v>37</v>
      </c>
      <c r="K3263" s="3" t="s">
        <v>123</v>
      </c>
      <c r="L3263" s="3" t="s">
        <v>124</v>
      </c>
      <c r="M3263" s="4">
        <v>583.53</v>
      </c>
    </row>
    <row r="3264">
      <c r="A3264" s="2">
        <v>45823</v>
      </c>
      <c r="B32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4" s="3" t="str">
        <f>YEAR(KMART_DATA[[#This Row],[Date]])&amp;"-"&amp;TEXT(MONTH(KMART_DATA[[#This Row],[Date]]),"00")</f>
        <v>2025-06</v>
      </c>
      <c r="D3264" s="3" t="s">
        <v>28</v>
      </c>
      <c r="E3264" s="3" t="s">
        <v>215</v>
      </c>
      <c r="F3264" s="3" t="s">
        <v>15</v>
      </c>
      <c r="G32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264" s="3" t="s">
        <v>216</v>
      </c>
      <c r="I3264" s="3" t="s">
        <v>31</v>
      </c>
      <c r="J3264" s="3" t="s">
        <v>53</v>
      </c>
      <c r="K3264" s="3" t="s">
        <v>57</v>
      </c>
      <c r="L3264" s="3" t="s">
        <v>58</v>
      </c>
      <c r="M3264" s="4">
        <v>1003.5</v>
      </c>
    </row>
    <row r="3265">
      <c r="A3265" s="2">
        <v>45823</v>
      </c>
      <c r="B32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5" s="3" t="str">
        <f>YEAR(KMART_DATA[[#This Row],[Date]])&amp;"-"&amp;TEXT(MONTH(KMART_DATA[[#This Row],[Date]]),"00")</f>
        <v>2025-06</v>
      </c>
      <c r="D3265" s="3" t="s">
        <v>28</v>
      </c>
      <c r="E3265" s="3" t="s">
        <v>207</v>
      </c>
      <c r="F3265" s="3" t="s">
        <v>11</v>
      </c>
      <c r="G32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65" s="3" t="s">
        <v>208</v>
      </c>
      <c r="I3265" s="3" t="s">
        <v>31</v>
      </c>
      <c r="J3265" s="3" t="s">
        <v>78</v>
      </c>
      <c r="K3265" s="3" t="s">
        <v>57</v>
      </c>
      <c r="L3265" s="3" t="s">
        <v>58</v>
      </c>
      <c r="M3265" s="4">
        <v>1392.32</v>
      </c>
    </row>
    <row r="3266">
      <c r="A3266" s="2">
        <v>45824</v>
      </c>
      <c r="B326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6" s="3" t="str">
        <f>YEAR(KMART_DATA[[#This Row],[Date]])&amp;"-"&amp;TEXT(MONTH(KMART_DATA[[#This Row],[Date]]),"00")</f>
        <v>2025-06</v>
      </c>
      <c r="D3266" s="3" t="s">
        <v>28</v>
      </c>
      <c r="E3266" s="3" t="s">
        <v>177</v>
      </c>
      <c r="F3266" s="3" t="s">
        <v>12</v>
      </c>
      <c r="G32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66" s="3" t="s">
        <v>178</v>
      </c>
      <c r="I3266" s="3" t="s">
        <v>31</v>
      </c>
      <c r="J3266" s="3" t="s">
        <v>162</v>
      </c>
      <c r="K3266" s="3" t="s">
        <v>43</v>
      </c>
      <c r="L3266" s="3" t="s">
        <v>44</v>
      </c>
      <c r="M3266" s="4">
        <v>7.99</v>
      </c>
    </row>
    <row r="3267">
      <c r="A3267" s="2">
        <v>45824</v>
      </c>
      <c r="B326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7" s="3" t="str">
        <f>YEAR(KMART_DATA[[#This Row],[Date]])&amp;"-"&amp;TEXT(MONTH(KMART_DATA[[#This Row],[Date]]),"00")</f>
        <v>2025-06</v>
      </c>
      <c r="D3267" s="3" t="s">
        <v>28</v>
      </c>
      <c r="E3267" s="3" t="s">
        <v>158</v>
      </c>
      <c r="F3267" s="3" t="s">
        <v>11</v>
      </c>
      <c r="G32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67" s="3" t="s">
        <v>159</v>
      </c>
      <c r="I3267" s="3" t="s">
        <v>31</v>
      </c>
      <c r="J3267" s="3" t="s">
        <v>84</v>
      </c>
      <c r="K3267" s="3" t="s">
        <v>112</v>
      </c>
      <c r="L3267" s="3" t="s">
        <v>113</v>
      </c>
      <c r="M3267" s="4">
        <v>17.98</v>
      </c>
    </row>
    <row r="3268">
      <c r="A3268" s="2">
        <v>45824</v>
      </c>
      <c r="B326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8" s="3" t="str">
        <f>YEAR(KMART_DATA[[#This Row],[Date]])&amp;"-"&amp;TEXT(MONTH(KMART_DATA[[#This Row],[Date]]),"00")</f>
        <v>2025-06</v>
      </c>
      <c r="D3268" s="3" t="s">
        <v>45</v>
      </c>
      <c r="E3268" s="3" t="s">
        <v>211</v>
      </c>
      <c r="F3268" s="3" t="s">
        <v>9</v>
      </c>
      <c r="G32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68" s="3" t="s">
        <v>212</v>
      </c>
      <c r="I3268" s="3" t="s">
        <v>31</v>
      </c>
      <c r="J3268" s="3" t="s">
        <v>75</v>
      </c>
      <c r="K3268" s="3" t="s">
        <v>66</v>
      </c>
      <c r="L3268" s="3" t="s">
        <v>67</v>
      </c>
      <c r="M3268" s="4">
        <v>20.32</v>
      </c>
    </row>
    <row r="3269">
      <c r="A3269" s="2">
        <v>45824</v>
      </c>
      <c r="B326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69" s="3" t="str">
        <f>YEAR(KMART_DATA[[#This Row],[Date]])&amp;"-"&amp;TEXT(MONTH(KMART_DATA[[#This Row],[Date]]),"00")</f>
        <v>2025-06</v>
      </c>
      <c r="D3269" s="3" t="s">
        <v>45</v>
      </c>
      <c r="E3269" s="3" t="s">
        <v>221</v>
      </c>
      <c r="F3269" s="3" t="s">
        <v>11</v>
      </c>
      <c r="G32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69" s="3" t="s">
        <v>222</v>
      </c>
      <c r="I3269" s="3" t="s">
        <v>31</v>
      </c>
      <c r="J3269" s="3" t="s">
        <v>56</v>
      </c>
      <c r="K3269" s="3" t="s">
        <v>71</v>
      </c>
      <c r="L3269" s="3" t="s">
        <v>72</v>
      </c>
      <c r="M3269" s="4">
        <v>115.7</v>
      </c>
    </row>
    <row r="3270">
      <c r="A3270" s="2">
        <v>45824</v>
      </c>
      <c r="B327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0" s="3" t="str">
        <f>YEAR(KMART_DATA[[#This Row],[Date]])&amp;"-"&amp;TEXT(MONTH(KMART_DATA[[#This Row],[Date]]),"00")</f>
        <v>2025-06</v>
      </c>
      <c r="D3270" s="3" t="s">
        <v>28</v>
      </c>
      <c r="E3270" s="3" t="s">
        <v>169</v>
      </c>
      <c r="F3270" s="3" t="s">
        <v>12</v>
      </c>
      <c r="G32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70" s="3" t="s">
        <v>170</v>
      </c>
      <c r="I3270" s="3" t="s">
        <v>31</v>
      </c>
      <c r="J3270" s="3" t="s">
        <v>102</v>
      </c>
      <c r="K3270" s="3" t="s">
        <v>95</v>
      </c>
      <c r="L3270" s="3" t="s">
        <v>96</v>
      </c>
      <c r="M3270" s="4">
        <v>273.72</v>
      </c>
    </row>
    <row r="3271">
      <c r="A3271" s="2">
        <v>45824</v>
      </c>
      <c r="B327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1" s="3" t="str">
        <f>YEAR(KMART_DATA[[#This Row],[Date]])&amp;"-"&amp;TEXT(MONTH(KMART_DATA[[#This Row],[Date]]),"00")</f>
        <v>2025-06</v>
      </c>
      <c r="D3271" s="3" t="s">
        <v>45</v>
      </c>
      <c r="E3271" s="3" t="s">
        <v>82</v>
      </c>
      <c r="F3271" s="3" t="s">
        <v>11</v>
      </c>
      <c r="G32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71" s="3" t="s">
        <v>83</v>
      </c>
      <c r="I3271" s="3" t="s">
        <v>31</v>
      </c>
      <c r="J3271" s="3" t="s">
        <v>84</v>
      </c>
      <c r="K3271" s="3" t="s">
        <v>57</v>
      </c>
      <c r="L3271" s="3" t="s">
        <v>58</v>
      </c>
      <c r="M3271" s="4">
        <v>873.59</v>
      </c>
    </row>
    <row r="3272">
      <c r="A3272" s="2">
        <v>45825</v>
      </c>
      <c r="B327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2" s="3" t="str">
        <f>YEAR(KMART_DATA[[#This Row],[Date]])&amp;"-"&amp;TEXT(MONTH(KMART_DATA[[#This Row],[Date]]),"00")</f>
        <v>2025-06</v>
      </c>
      <c r="D3272" s="3" t="s">
        <v>45</v>
      </c>
      <c r="E3272" s="3" t="s">
        <v>59</v>
      </c>
      <c r="F3272" s="3" t="s">
        <v>11</v>
      </c>
      <c r="G32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72" s="3" t="s">
        <v>60</v>
      </c>
      <c r="I3272" s="3" t="s">
        <v>31</v>
      </c>
      <c r="J3272" s="3" t="s">
        <v>61</v>
      </c>
      <c r="K3272" s="3" t="s">
        <v>66</v>
      </c>
      <c r="L3272" s="3" t="s">
        <v>67</v>
      </c>
      <c r="M3272" s="4">
        <v>2.98</v>
      </c>
    </row>
    <row r="3273">
      <c r="A3273" s="2">
        <v>45825</v>
      </c>
      <c r="B327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3" s="3" t="str">
        <f>YEAR(KMART_DATA[[#This Row],[Date]])&amp;"-"&amp;TEXT(MONTH(KMART_DATA[[#This Row],[Date]]),"00")</f>
        <v>2025-06</v>
      </c>
      <c r="D3273" s="3" t="s">
        <v>28</v>
      </c>
      <c r="E3273" s="3" t="s">
        <v>234</v>
      </c>
      <c r="F3273" s="3" t="s">
        <v>9</v>
      </c>
      <c r="G32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73" s="3" t="s">
        <v>235</v>
      </c>
      <c r="I3273" s="3" t="s">
        <v>31</v>
      </c>
      <c r="J3273" s="3" t="s">
        <v>81</v>
      </c>
      <c r="K3273" s="3" t="s">
        <v>71</v>
      </c>
      <c r="L3273" s="3" t="s">
        <v>72</v>
      </c>
      <c r="M3273" s="4">
        <v>4.99</v>
      </c>
    </row>
    <row r="3274">
      <c r="A3274" s="2">
        <v>45825</v>
      </c>
      <c r="B327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4" s="3" t="str">
        <f>YEAR(KMART_DATA[[#This Row],[Date]])&amp;"-"&amp;TEXT(MONTH(KMART_DATA[[#This Row],[Date]]),"00")</f>
        <v>2025-06</v>
      </c>
      <c r="D3274" s="3" t="s">
        <v>45</v>
      </c>
      <c r="E3274" s="3" t="s">
        <v>205</v>
      </c>
      <c r="F3274" s="3" t="s">
        <v>10</v>
      </c>
      <c r="G32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74" s="3" t="s">
        <v>206</v>
      </c>
      <c r="I3274" s="3" t="s">
        <v>31</v>
      </c>
      <c r="J3274" s="3" t="s">
        <v>37</v>
      </c>
      <c r="K3274" s="3" t="s">
        <v>33</v>
      </c>
      <c r="L3274" s="3" t="s">
        <v>34</v>
      </c>
      <c r="M3274" s="4">
        <v>187.22</v>
      </c>
    </row>
    <row r="3275">
      <c r="A3275" s="2">
        <v>45825</v>
      </c>
      <c r="B327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5" s="3" t="str">
        <f>YEAR(KMART_DATA[[#This Row],[Date]])&amp;"-"&amp;TEXT(MONTH(KMART_DATA[[#This Row],[Date]]),"00")</f>
        <v>2025-06</v>
      </c>
      <c r="D3275" s="3" t="s">
        <v>45</v>
      </c>
      <c r="E3275" s="3" t="s">
        <v>256</v>
      </c>
      <c r="F3275" s="3" t="s">
        <v>9</v>
      </c>
      <c r="G32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75" s="3" t="s">
        <v>257</v>
      </c>
      <c r="I3275" s="3" t="s">
        <v>31</v>
      </c>
      <c r="J3275" s="3" t="s">
        <v>70</v>
      </c>
      <c r="K3275" s="3" t="s">
        <v>71</v>
      </c>
      <c r="L3275" s="3" t="s">
        <v>72</v>
      </c>
      <c r="M3275" s="4">
        <v>1491.24</v>
      </c>
    </row>
    <row r="3276">
      <c r="A3276" s="2">
        <v>45826</v>
      </c>
      <c r="B327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6" s="3" t="str">
        <f>YEAR(KMART_DATA[[#This Row],[Date]])&amp;"-"&amp;TEXT(MONTH(KMART_DATA[[#This Row],[Date]]),"00")</f>
        <v>2025-06</v>
      </c>
      <c r="D3276" s="3" t="s">
        <v>28</v>
      </c>
      <c r="E3276" s="3" t="s">
        <v>209</v>
      </c>
      <c r="F3276" s="3" t="s">
        <v>9</v>
      </c>
      <c r="G32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76" s="3" t="s">
        <v>210</v>
      </c>
      <c r="I3276" s="3" t="s">
        <v>31</v>
      </c>
      <c r="J3276" s="3" t="s">
        <v>81</v>
      </c>
      <c r="K3276" s="3" t="s">
        <v>57</v>
      </c>
      <c r="L3276" s="3" t="s">
        <v>58</v>
      </c>
      <c r="M3276" s="4">
        <v>8.26</v>
      </c>
    </row>
    <row r="3277">
      <c r="A3277" s="2">
        <v>45826</v>
      </c>
      <c r="B327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7" s="3" t="str">
        <f>YEAR(KMART_DATA[[#This Row],[Date]])&amp;"-"&amp;TEXT(MONTH(KMART_DATA[[#This Row],[Date]]),"00")</f>
        <v>2025-06</v>
      </c>
      <c r="D3277" s="3" t="s">
        <v>45</v>
      </c>
      <c r="E3277" s="3" t="s">
        <v>187</v>
      </c>
      <c r="F3277" s="3" t="s">
        <v>11</v>
      </c>
      <c r="G32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77" s="3" t="s">
        <v>188</v>
      </c>
      <c r="I3277" s="3" t="s">
        <v>31</v>
      </c>
      <c r="J3277" s="3" t="s">
        <v>78</v>
      </c>
      <c r="K3277" s="3" t="s">
        <v>46</v>
      </c>
      <c r="L3277" s="3" t="s">
        <v>47</v>
      </c>
      <c r="M3277" s="4">
        <v>9.99</v>
      </c>
    </row>
    <row r="3278">
      <c r="A3278" s="2">
        <v>45826</v>
      </c>
      <c r="B327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8" s="3" t="str">
        <f>YEAR(KMART_DATA[[#This Row],[Date]])&amp;"-"&amp;TEXT(MONTH(KMART_DATA[[#This Row],[Date]]),"00")</f>
        <v>2025-06</v>
      </c>
      <c r="D3278" s="3" t="s">
        <v>28</v>
      </c>
      <c r="E3278" s="3" t="s">
        <v>146</v>
      </c>
      <c r="F3278" s="3" t="s">
        <v>9</v>
      </c>
      <c r="G32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78" s="3" t="s">
        <v>147</v>
      </c>
      <c r="I3278" s="3" t="s">
        <v>31</v>
      </c>
      <c r="J3278" s="3" t="s">
        <v>75</v>
      </c>
      <c r="K3278" s="3" t="s">
        <v>43</v>
      </c>
      <c r="L3278" s="3" t="s">
        <v>44</v>
      </c>
      <c r="M3278" s="4">
        <v>24.99</v>
      </c>
    </row>
    <row r="3279">
      <c r="A3279" s="2">
        <v>45826</v>
      </c>
      <c r="B327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79" s="3" t="str">
        <f>YEAR(KMART_DATA[[#This Row],[Date]])&amp;"-"&amp;TEXT(MONTH(KMART_DATA[[#This Row],[Date]]),"00")</f>
        <v>2025-06</v>
      </c>
      <c r="D3279" s="3" t="s">
        <v>28</v>
      </c>
      <c r="E3279" s="3" t="s">
        <v>137</v>
      </c>
      <c r="F3279" s="3" t="s">
        <v>10</v>
      </c>
      <c r="G32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79" s="3" t="s">
        <v>138</v>
      </c>
      <c r="I3279" s="3" t="s">
        <v>31</v>
      </c>
      <c r="J3279" s="3" t="s">
        <v>89</v>
      </c>
      <c r="K3279" s="3" t="s">
        <v>46</v>
      </c>
      <c r="L3279" s="3" t="s">
        <v>47</v>
      </c>
      <c r="M3279" s="4">
        <v>29.95</v>
      </c>
    </row>
    <row r="3280">
      <c r="A3280" s="2">
        <v>45826</v>
      </c>
      <c r="B328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0" s="3" t="str">
        <f>YEAR(KMART_DATA[[#This Row],[Date]])&amp;"-"&amp;TEXT(MONTH(KMART_DATA[[#This Row],[Date]]),"00")</f>
        <v>2025-06</v>
      </c>
      <c r="D3280" s="3" t="s">
        <v>45</v>
      </c>
      <c r="E3280" s="3" t="s">
        <v>228</v>
      </c>
      <c r="F3280" s="3" t="s">
        <v>11</v>
      </c>
      <c r="G32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80" s="3" t="s">
        <v>229</v>
      </c>
      <c r="I3280" s="3" t="s">
        <v>31</v>
      </c>
      <c r="J3280" s="3" t="s">
        <v>32</v>
      </c>
      <c r="K3280" s="3" t="s">
        <v>123</v>
      </c>
      <c r="L3280" s="3" t="s">
        <v>124</v>
      </c>
      <c r="M3280" s="4">
        <v>79.91</v>
      </c>
    </row>
    <row r="3281">
      <c r="A3281" s="2">
        <v>45826</v>
      </c>
      <c r="B328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1" s="3" t="str">
        <f>YEAR(KMART_DATA[[#This Row],[Date]])&amp;"-"&amp;TEXT(MONTH(KMART_DATA[[#This Row],[Date]]),"00")</f>
        <v>2025-06</v>
      </c>
      <c r="D3281" s="3" t="s">
        <v>28</v>
      </c>
      <c r="E3281" s="3" t="s">
        <v>48</v>
      </c>
      <c r="F3281" s="3" t="s">
        <v>12</v>
      </c>
      <c r="G32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81" s="3" t="s">
        <v>49</v>
      </c>
      <c r="I3281" s="3" t="s">
        <v>31</v>
      </c>
      <c r="J3281" s="3" t="s">
        <v>50</v>
      </c>
      <c r="K3281" s="3" t="s">
        <v>71</v>
      </c>
      <c r="L3281" s="3" t="s">
        <v>72</v>
      </c>
      <c r="M3281" s="4">
        <v>507.79</v>
      </c>
    </row>
    <row r="3282">
      <c r="A3282" s="2">
        <v>45826</v>
      </c>
      <c r="B328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2" s="3" t="str">
        <f>YEAR(KMART_DATA[[#This Row],[Date]])&amp;"-"&amp;TEXT(MONTH(KMART_DATA[[#This Row],[Date]]),"00")</f>
        <v>2025-06</v>
      </c>
      <c r="D3282" s="3" t="s">
        <v>28</v>
      </c>
      <c r="E3282" s="3" t="s">
        <v>197</v>
      </c>
      <c r="F3282" s="3" t="s">
        <v>9</v>
      </c>
      <c r="G32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82" s="3" t="s">
        <v>198</v>
      </c>
      <c r="I3282" s="3" t="s">
        <v>31</v>
      </c>
      <c r="J3282" s="3" t="s">
        <v>107</v>
      </c>
      <c r="K3282" s="3" t="s">
        <v>112</v>
      </c>
      <c r="L3282" s="3" t="s">
        <v>113</v>
      </c>
      <c r="M3282" s="4">
        <v>1271.2</v>
      </c>
    </row>
    <row r="3283">
      <c r="A3283" s="2">
        <v>45826</v>
      </c>
      <c r="B328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3" s="3" t="str">
        <f>YEAR(KMART_DATA[[#This Row],[Date]])&amp;"-"&amp;TEXT(MONTH(KMART_DATA[[#This Row],[Date]]),"00")</f>
        <v>2025-06</v>
      </c>
      <c r="D3283" s="3" t="s">
        <v>28</v>
      </c>
      <c r="E3283" s="3" t="s">
        <v>108</v>
      </c>
      <c r="F3283" s="3" t="s">
        <v>9</v>
      </c>
      <c r="G32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83" s="3" t="s">
        <v>109</v>
      </c>
      <c r="I3283" s="3" t="s">
        <v>31</v>
      </c>
      <c r="J3283" s="3" t="s">
        <v>75</v>
      </c>
      <c r="K3283" s="3" t="s">
        <v>46</v>
      </c>
      <c r="L3283" s="3" t="s">
        <v>47</v>
      </c>
      <c r="M3283" s="4">
        <v>1754.39</v>
      </c>
    </row>
    <row r="3284">
      <c r="A3284" s="2">
        <v>45827</v>
      </c>
      <c r="B328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4" s="3" t="str">
        <f>YEAR(KMART_DATA[[#This Row],[Date]])&amp;"-"&amp;TEXT(MONTH(KMART_DATA[[#This Row],[Date]]),"00")</f>
        <v>2025-06</v>
      </c>
      <c r="D3284" s="3" t="s">
        <v>28</v>
      </c>
      <c r="E3284" s="3" t="s">
        <v>148</v>
      </c>
      <c r="F3284" s="3" t="s">
        <v>12</v>
      </c>
      <c r="G32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84" s="3" t="s">
        <v>149</v>
      </c>
      <c r="I3284" s="3" t="s">
        <v>31</v>
      </c>
      <c r="J3284" s="3" t="s">
        <v>50</v>
      </c>
      <c r="K3284" s="3" t="s">
        <v>46</v>
      </c>
      <c r="L3284" s="3" t="s">
        <v>47</v>
      </c>
      <c r="M3284" s="4">
        <v>44.67</v>
      </c>
    </row>
    <row r="3285">
      <c r="A3285" s="2">
        <v>45827</v>
      </c>
      <c r="B328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5" s="3" t="str">
        <f>YEAR(KMART_DATA[[#This Row],[Date]])&amp;"-"&amp;TEXT(MONTH(KMART_DATA[[#This Row],[Date]]),"00")</f>
        <v>2025-06</v>
      </c>
      <c r="D3285" s="3" t="s">
        <v>28</v>
      </c>
      <c r="E3285" s="3" t="s">
        <v>35</v>
      </c>
      <c r="F3285" s="3" t="s">
        <v>10</v>
      </c>
      <c r="G32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85" s="3" t="s">
        <v>36</v>
      </c>
      <c r="I3285" s="3" t="s">
        <v>31</v>
      </c>
      <c r="J3285" s="3" t="s">
        <v>37</v>
      </c>
      <c r="K3285" s="3" t="s">
        <v>43</v>
      </c>
      <c r="L3285" s="3" t="s">
        <v>44</v>
      </c>
      <c r="M3285" s="4">
        <v>44.97</v>
      </c>
    </row>
    <row r="3286">
      <c r="A3286" s="2">
        <v>45827</v>
      </c>
      <c r="B328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6" s="3" t="str">
        <f>YEAR(KMART_DATA[[#This Row],[Date]])&amp;"-"&amp;TEXT(MONTH(KMART_DATA[[#This Row],[Date]]),"00")</f>
        <v>2025-06</v>
      </c>
      <c r="D3286" s="3" t="s">
        <v>28</v>
      </c>
      <c r="E3286" s="3" t="s">
        <v>221</v>
      </c>
      <c r="F3286" s="3" t="s">
        <v>11</v>
      </c>
      <c r="G32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86" s="3" t="s">
        <v>222</v>
      </c>
      <c r="I3286" s="3" t="s">
        <v>31</v>
      </c>
      <c r="J3286" s="3" t="s">
        <v>56</v>
      </c>
      <c r="K3286" s="3" t="s">
        <v>46</v>
      </c>
      <c r="L3286" s="3" t="s">
        <v>47</v>
      </c>
      <c r="M3286" s="4">
        <v>70.0</v>
      </c>
    </row>
    <row r="3287">
      <c r="A3287" s="2">
        <v>45827</v>
      </c>
      <c r="B328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7" s="3" t="str">
        <f>YEAR(KMART_DATA[[#This Row],[Date]])&amp;"-"&amp;TEXT(MONTH(KMART_DATA[[#This Row],[Date]]),"00")</f>
        <v>2025-06</v>
      </c>
      <c r="D3287" s="3" t="s">
        <v>28</v>
      </c>
      <c r="E3287" s="3" t="s">
        <v>189</v>
      </c>
      <c r="F3287" s="3" t="s">
        <v>9</v>
      </c>
      <c r="G32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87" s="3" t="s">
        <v>190</v>
      </c>
      <c r="I3287" s="3" t="s">
        <v>31</v>
      </c>
      <c r="J3287" s="3" t="s">
        <v>81</v>
      </c>
      <c r="K3287" s="3" t="s">
        <v>57</v>
      </c>
      <c r="L3287" s="3" t="s">
        <v>58</v>
      </c>
      <c r="M3287" s="4">
        <v>221.93</v>
      </c>
    </row>
    <row r="3288">
      <c r="A3288" s="2">
        <v>45827</v>
      </c>
      <c r="B328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8" s="3" t="str">
        <f>YEAR(KMART_DATA[[#This Row],[Date]])&amp;"-"&amp;TEXT(MONTH(KMART_DATA[[#This Row],[Date]]),"00")</f>
        <v>2025-06</v>
      </c>
      <c r="D3288" s="3" t="s">
        <v>28</v>
      </c>
      <c r="E3288" s="3" t="s">
        <v>129</v>
      </c>
      <c r="F3288" s="3" t="s">
        <v>10</v>
      </c>
      <c r="G32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88" s="3" t="s">
        <v>130</v>
      </c>
      <c r="I3288" s="3" t="s">
        <v>31</v>
      </c>
      <c r="J3288" s="3" t="s">
        <v>120</v>
      </c>
      <c r="K3288" s="3" t="s">
        <v>123</v>
      </c>
      <c r="L3288" s="3" t="s">
        <v>124</v>
      </c>
      <c r="M3288" s="4">
        <v>684.45</v>
      </c>
    </row>
    <row r="3289">
      <c r="A3289" s="2">
        <v>45827</v>
      </c>
      <c r="B328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89" s="3" t="str">
        <f>YEAR(KMART_DATA[[#This Row],[Date]])&amp;"-"&amp;TEXT(MONTH(KMART_DATA[[#This Row],[Date]]),"00")</f>
        <v>2025-06</v>
      </c>
      <c r="D3289" s="3" t="s">
        <v>28</v>
      </c>
      <c r="E3289" s="3" t="s">
        <v>114</v>
      </c>
      <c r="F3289" s="3" t="s">
        <v>9</v>
      </c>
      <c r="G32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89" s="3" t="s">
        <v>115</v>
      </c>
      <c r="I3289" s="3" t="s">
        <v>31</v>
      </c>
      <c r="J3289" s="3" t="s">
        <v>99</v>
      </c>
      <c r="K3289" s="3" t="s">
        <v>123</v>
      </c>
      <c r="L3289" s="3" t="s">
        <v>124</v>
      </c>
      <c r="M3289" s="4">
        <v>2892.3</v>
      </c>
    </row>
    <row r="3290">
      <c r="A3290" s="2">
        <v>45828</v>
      </c>
      <c r="B329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0" s="3" t="str">
        <f>YEAR(KMART_DATA[[#This Row],[Date]])&amp;"-"&amp;TEXT(MONTH(KMART_DATA[[#This Row],[Date]]),"00")</f>
        <v>2025-06</v>
      </c>
      <c r="D3290" s="3" t="s">
        <v>28</v>
      </c>
      <c r="E3290" s="3" t="s">
        <v>110</v>
      </c>
      <c r="F3290" s="3" t="s">
        <v>9</v>
      </c>
      <c r="G32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90" s="3" t="s">
        <v>111</v>
      </c>
      <c r="I3290" s="3" t="s">
        <v>31</v>
      </c>
      <c r="J3290" s="3" t="s">
        <v>81</v>
      </c>
      <c r="K3290" s="3" t="s">
        <v>71</v>
      </c>
      <c r="L3290" s="3" t="s">
        <v>72</v>
      </c>
      <c r="M3290" s="4">
        <v>2.0</v>
      </c>
    </row>
    <row r="3291">
      <c r="A3291" s="2">
        <v>45828</v>
      </c>
      <c r="B329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1" s="3" t="str">
        <f>YEAR(KMART_DATA[[#This Row],[Date]])&amp;"-"&amp;TEXT(MONTH(KMART_DATA[[#This Row],[Date]]),"00")</f>
        <v>2025-06</v>
      </c>
      <c r="D3291" s="3" t="s">
        <v>28</v>
      </c>
      <c r="E3291" s="3" t="s">
        <v>195</v>
      </c>
      <c r="F3291" s="3" t="s">
        <v>11</v>
      </c>
      <c r="G32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91" s="3" t="s">
        <v>196</v>
      </c>
      <c r="I3291" s="3" t="s">
        <v>31</v>
      </c>
      <c r="J3291" s="3" t="s">
        <v>32</v>
      </c>
      <c r="K3291" s="3" t="s">
        <v>95</v>
      </c>
      <c r="L3291" s="3" t="s">
        <v>96</v>
      </c>
      <c r="M3291" s="4">
        <v>7.41</v>
      </c>
    </row>
    <row r="3292">
      <c r="A3292" s="2">
        <v>45828</v>
      </c>
      <c r="B329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2" s="3" t="str">
        <f>YEAR(KMART_DATA[[#This Row],[Date]])&amp;"-"&amp;TEXT(MONTH(KMART_DATA[[#This Row],[Date]]),"00")</f>
        <v>2025-06</v>
      </c>
      <c r="D3292" s="3" t="s">
        <v>45</v>
      </c>
      <c r="E3292" s="3" t="s">
        <v>150</v>
      </c>
      <c r="F3292" s="3" t="s">
        <v>15</v>
      </c>
      <c r="G32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292" s="3" t="s">
        <v>151</v>
      </c>
      <c r="I3292" s="3" t="s">
        <v>31</v>
      </c>
      <c r="J3292" s="3" t="s">
        <v>53</v>
      </c>
      <c r="K3292" s="3" t="s">
        <v>46</v>
      </c>
      <c r="L3292" s="3" t="s">
        <v>47</v>
      </c>
      <c r="M3292" s="4">
        <v>14.99</v>
      </c>
    </row>
    <row r="3293">
      <c r="A3293" s="2">
        <v>45828</v>
      </c>
      <c r="B329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3" s="3" t="str">
        <f>YEAR(KMART_DATA[[#This Row],[Date]])&amp;"-"&amp;TEXT(MONTH(KMART_DATA[[#This Row],[Date]]),"00")</f>
        <v>2025-06</v>
      </c>
      <c r="D3293" s="3" t="s">
        <v>28</v>
      </c>
      <c r="E3293" s="3" t="s">
        <v>209</v>
      </c>
      <c r="F3293" s="3" t="s">
        <v>9</v>
      </c>
      <c r="G32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293" s="3" t="s">
        <v>210</v>
      </c>
      <c r="I3293" s="3" t="s">
        <v>31</v>
      </c>
      <c r="J3293" s="3" t="s">
        <v>81</v>
      </c>
      <c r="K3293" s="3" t="s">
        <v>66</v>
      </c>
      <c r="L3293" s="3" t="s">
        <v>67</v>
      </c>
      <c r="M3293" s="4">
        <v>44.6</v>
      </c>
    </row>
    <row r="3294">
      <c r="A3294" s="2">
        <v>45828</v>
      </c>
      <c r="B329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4" s="3" t="str">
        <f>YEAR(KMART_DATA[[#This Row],[Date]])&amp;"-"&amp;TEXT(MONTH(KMART_DATA[[#This Row],[Date]]),"00")</f>
        <v>2025-06</v>
      </c>
      <c r="D3294" s="3" t="s">
        <v>28</v>
      </c>
      <c r="E3294" s="3" t="s">
        <v>59</v>
      </c>
      <c r="F3294" s="3" t="s">
        <v>11</v>
      </c>
      <c r="G32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94" s="3" t="s">
        <v>60</v>
      </c>
      <c r="I3294" s="3" t="s">
        <v>31</v>
      </c>
      <c r="J3294" s="3" t="s">
        <v>61</v>
      </c>
      <c r="K3294" s="3" t="s">
        <v>43</v>
      </c>
      <c r="L3294" s="3" t="s">
        <v>44</v>
      </c>
      <c r="M3294" s="4">
        <v>528.56</v>
      </c>
    </row>
    <row r="3295">
      <c r="A3295" s="2">
        <v>45828</v>
      </c>
      <c r="B329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5" s="3" t="str">
        <f>YEAR(KMART_DATA[[#This Row],[Date]])&amp;"-"&amp;TEXT(MONTH(KMART_DATA[[#This Row],[Date]]),"00")</f>
        <v>2025-06</v>
      </c>
      <c r="D3295" s="3" t="s">
        <v>28</v>
      </c>
      <c r="E3295" s="3" t="s">
        <v>254</v>
      </c>
      <c r="F3295" s="3" t="s">
        <v>13</v>
      </c>
      <c r="G32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295" s="3" t="s">
        <v>255</v>
      </c>
      <c r="I3295" s="3" t="s">
        <v>31</v>
      </c>
      <c r="J3295" s="3" t="s">
        <v>227</v>
      </c>
      <c r="K3295" s="3" t="s">
        <v>46</v>
      </c>
      <c r="L3295" s="3" t="s">
        <v>47</v>
      </c>
      <c r="M3295" s="4">
        <v>1150.03</v>
      </c>
    </row>
    <row r="3296">
      <c r="A3296" s="2">
        <v>45828</v>
      </c>
      <c r="B329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6" s="3" t="str">
        <f>YEAR(KMART_DATA[[#This Row],[Date]])&amp;"-"&amp;TEXT(MONTH(KMART_DATA[[#This Row],[Date]]),"00")</f>
        <v>2025-06</v>
      </c>
      <c r="D3296" s="3" t="s">
        <v>28</v>
      </c>
      <c r="E3296" s="3" t="s">
        <v>219</v>
      </c>
      <c r="F3296" s="3" t="s">
        <v>11</v>
      </c>
      <c r="G32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296" s="3" t="s">
        <v>220</v>
      </c>
      <c r="I3296" s="3" t="s">
        <v>31</v>
      </c>
      <c r="J3296" s="3" t="s">
        <v>56</v>
      </c>
      <c r="K3296" s="3" t="s">
        <v>43</v>
      </c>
      <c r="L3296" s="3" t="s">
        <v>44</v>
      </c>
      <c r="M3296" s="4">
        <v>1171.06</v>
      </c>
    </row>
    <row r="3297">
      <c r="A3297" s="2">
        <v>45829</v>
      </c>
      <c r="B329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7" s="3" t="str">
        <f>YEAR(KMART_DATA[[#This Row],[Date]])&amp;"-"&amp;TEXT(MONTH(KMART_DATA[[#This Row],[Date]]),"00")</f>
        <v>2025-06</v>
      </c>
      <c r="D3297" s="3" t="s">
        <v>28</v>
      </c>
      <c r="E3297" s="3" t="s">
        <v>139</v>
      </c>
      <c r="F3297" s="3" t="s">
        <v>10</v>
      </c>
      <c r="G32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97" s="3" t="s">
        <v>140</v>
      </c>
      <c r="I3297" s="3" t="s">
        <v>31</v>
      </c>
      <c r="J3297" s="3" t="s">
        <v>89</v>
      </c>
      <c r="K3297" s="3" t="s">
        <v>95</v>
      </c>
      <c r="L3297" s="3" t="s">
        <v>96</v>
      </c>
      <c r="M3297" s="4">
        <v>4.96</v>
      </c>
    </row>
    <row r="3298">
      <c r="A3298" s="2">
        <v>45829</v>
      </c>
      <c r="B329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8" s="3" t="str">
        <f>YEAR(KMART_DATA[[#This Row],[Date]])&amp;"-"&amp;TEXT(MONTH(KMART_DATA[[#This Row],[Date]]),"00")</f>
        <v>2025-06</v>
      </c>
      <c r="D3298" s="3" t="s">
        <v>28</v>
      </c>
      <c r="E3298" s="3" t="s">
        <v>35</v>
      </c>
      <c r="F3298" s="3" t="s">
        <v>10</v>
      </c>
      <c r="G32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298" s="3" t="s">
        <v>36</v>
      </c>
      <c r="I3298" s="3" t="s">
        <v>31</v>
      </c>
      <c r="J3298" s="3" t="s">
        <v>37</v>
      </c>
      <c r="K3298" s="3" t="s">
        <v>112</v>
      </c>
      <c r="L3298" s="3" t="s">
        <v>113</v>
      </c>
      <c r="M3298" s="4">
        <v>7.96</v>
      </c>
    </row>
    <row r="3299">
      <c r="A3299" s="2">
        <v>45829</v>
      </c>
      <c r="B329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299" s="3" t="str">
        <f>YEAR(KMART_DATA[[#This Row],[Date]])&amp;"-"&amp;TEXT(MONTH(KMART_DATA[[#This Row],[Date]]),"00")</f>
        <v>2025-06</v>
      </c>
      <c r="D3299" s="3" t="s">
        <v>28</v>
      </c>
      <c r="E3299" s="3" t="s">
        <v>185</v>
      </c>
      <c r="F3299" s="3" t="s">
        <v>12</v>
      </c>
      <c r="G32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299" s="3" t="s">
        <v>186</v>
      </c>
      <c r="I3299" s="3" t="s">
        <v>31</v>
      </c>
      <c r="J3299" s="3" t="s">
        <v>162</v>
      </c>
      <c r="K3299" s="3" t="s">
        <v>38</v>
      </c>
      <c r="L3299" s="3" t="s">
        <v>39</v>
      </c>
      <c r="M3299" s="4">
        <v>23.49</v>
      </c>
    </row>
    <row r="3300">
      <c r="A3300" s="2">
        <v>45829</v>
      </c>
      <c r="B330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0" s="3" t="str">
        <f>YEAR(KMART_DATA[[#This Row],[Date]])&amp;"-"&amp;TEXT(MONTH(KMART_DATA[[#This Row],[Date]]),"00")</f>
        <v>2025-06</v>
      </c>
      <c r="D3300" s="3" t="s">
        <v>28</v>
      </c>
      <c r="E3300" s="3" t="s">
        <v>64</v>
      </c>
      <c r="F3300" s="3" t="s">
        <v>11</v>
      </c>
      <c r="G33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00" s="3" t="s">
        <v>65</v>
      </c>
      <c r="I3300" s="3" t="s">
        <v>31</v>
      </c>
      <c r="J3300" s="3" t="s">
        <v>61</v>
      </c>
      <c r="K3300" s="3" t="s">
        <v>112</v>
      </c>
      <c r="L3300" s="3" t="s">
        <v>113</v>
      </c>
      <c r="M3300" s="4">
        <v>27.94</v>
      </c>
    </row>
    <row r="3301">
      <c r="A3301" s="2">
        <v>45829</v>
      </c>
      <c r="B330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1" s="3" t="str">
        <f>YEAR(KMART_DATA[[#This Row],[Date]])&amp;"-"&amp;TEXT(MONTH(KMART_DATA[[#This Row],[Date]]),"00")</f>
        <v>2025-06</v>
      </c>
      <c r="D3301" s="3" t="s">
        <v>28</v>
      </c>
      <c r="E3301" s="3" t="s">
        <v>219</v>
      </c>
      <c r="F3301" s="3" t="s">
        <v>11</v>
      </c>
      <c r="G33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01" s="3" t="s">
        <v>220</v>
      </c>
      <c r="I3301" s="3" t="s">
        <v>31</v>
      </c>
      <c r="J3301" s="3" t="s">
        <v>56</v>
      </c>
      <c r="K3301" s="3" t="s">
        <v>43</v>
      </c>
      <c r="L3301" s="3" t="s">
        <v>44</v>
      </c>
      <c r="M3301" s="4">
        <v>31.5</v>
      </c>
    </row>
    <row r="3302">
      <c r="A3302" s="2">
        <v>45829</v>
      </c>
      <c r="B330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2" s="3" t="str">
        <f>YEAR(KMART_DATA[[#This Row],[Date]])&amp;"-"&amp;TEXT(MONTH(KMART_DATA[[#This Row],[Date]]),"00")</f>
        <v>2025-06</v>
      </c>
      <c r="D3302" s="3" t="s">
        <v>28</v>
      </c>
      <c r="E3302" s="3" t="s">
        <v>230</v>
      </c>
      <c r="F3302" s="3" t="s">
        <v>13</v>
      </c>
      <c r="G33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02" s="3" t="s">
        <v>231</v>
      </c>
      <c r="I3302" s="3" t="s">
        <v>31</v>
      </c>
      <c r="J3302" s="3" t="s">
        <v>227</v>
      </c>
      <c r="K3302" s="3" t="s">
        <v>43</v>
      </c>
      <c r="L3302" s="3" t="s">
        <v>44</v>
      </c>
      <c r="M3302" s="4">
        <v>33.0</v>
      </c>
    </row>
    <row r="3303">
      <c r="A3303" s="2">
        <v>45829</v>
      </c>
      <c r="B330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3" s="3" t="str">
        <f>YEAR(KMART_DATA[[#This Row],[Date]])&amp;"-"&amp;TEXT(MONTH(KMART_DATA[[#This Row],[Date]]),"00")</f>
        <v>2025-06</v>
      </c>
      <c r="D3303" s="3" t="s">
        <v>45</v>
      </c>
      <c r="E3303" s="3" t="s">
        <v>48</v>
      </c>
      <c r="F3303" s="3" t="s">
        <v>12</v>
      </c>
      <c r="G33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03" s="3" t="s">
        <v>49</v>
      </c>
      <c r="I3303" s="3" t="s">
        <v>31</v>
      </c>
      <c r="J3303" s="3" t="s">
        <v>50</v>
      </c>
      <c r="K3303" s="3" t="s">
        <v>38</v>
      </c>
      <c r="L3303" s="3" t="s">
        <v>39</v>
      </c>
      <c r="M3303" s="4">
        <v>61.89</v>
      </c>
    </row>
    <row r="3304">
      <c r="A3304" s="2">
        <v>45829</v>
      </c>
      <c r="B330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4" s="3" t="str">
        <f>YEAR(KMART_DATA[[#This Row],[Date]])&amp;"-"&amp;TEXT(MONTH(KMART_DATA[[#This Row],[Date]]),"00")</f>
        <v>2025-06</v>
      </c>
      <c r="D3304" s="3" t="s">
        <v>28</v>
      </c>
      <c r="E3304" s="3" t="s">
        <v>165</v>
      </c>
      <c r="F3304" s="3" t="s">
        <v>9</v>
      </c>
      <c r="G33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04" s="3" t="s">
        <v>166</v>
      </c>
      <c r="I3304" s="3" t="s">
        <v>31</v>
      </c>
      <c r="J3304" s="3" t="s">
        <v>99</v>
      </c>
      <c r="K3304" s="3" t="s">
        <v>112</v>
      </c>
      <c r="L3304" s="3" t="s">
        <v>113</v>
      </c>
      <c r="M3304" s="4">
        <v>179.69</v>
      </c>
    </row>
    <row r="3305">
      <c r="A3305" s="2">
        <v>45829</v>
      </c>
      <c r="B330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5" s="3" t="str">
        <f>YEAR(KMART_DATA[[#This Row],[Date]])&amp;"-"&amp;TEXT(MONTH(KMART_DATA[[#This Row],[Date]]),"00")</f>
        <v>2025-06</v>
      </c>
      <c r="D3305" s="3" t="s">
        <v>28</v>
      </c>
      <c r="E3305" s="3" t="s">
        <v>199</v>
      </c>
      <c r="F3305" s="3" t="s">
        <v>13</v>
      </c>
      <c r="G33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05" s="3" t="s">
        <v>200</v>
      </c>
      <c r="I3305" s="3" t="s">
        <v>31</v>
      </c>
      <c r="J3305" s="3" t="s">
        <v>42</v>
      </c>
      <c r="K3305" s="3" t="s">
        <v>71</v>
      </c>
      <c r="L3305" s="3" t="s">
        <v>72</v>
      </c>
      <c r="M3305" s="4">
        <v>717.45</v>
      </c>
    </row>
    <row r="3306">
      <c r="A3306" s="2">
        <v>45829</v>
      </c>
      <c r="B330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6" s="3" t="str">
        <f>YEAR(KMART_DATA[[#This Row],[Date]])&amp;"-"&amp;TEXT(MONTH(KMART_DATA[[#This Row],[Date]]),"00")</f>
        <v>2025-06</v>
      </c>
      <c r="D3306" s="3" t="s">
        <v>28</v>
      </c>
      <c r="E3306" s="3" t="s">
        <v>73</v>
      </c>
      <c r="F3306" s="3" t="s">
        <v>9</v>
      </c>
      <c r="G33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06" s="3" t="s">
        <v>74</v>
      </c>
      <c r="I3306" s="3" t="s">
        <v>31</v>
      </c>
      <c r="J3306" s="3" t="s">
        <v>75</v>
      </c>
      <c r="K3306" s="3" t="s">
        <v>43</v>
      </c>
      <c r="L3306" s="3" t="s">
        <v>44</v>
      </c>
      <c r="M3306" s="4">
        <v>749.25</v>
      </c>
    </row>
    <row r="3307">
      <c r="A3307" s="2">
        <v>45829</v>
      </c>
      <c r="B330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7" s="3" t="str">
        <f>YEAR(KMART_DATA[[#This Row],[Date]])&amp;"-"&amp;TEXT(MONTH(KMART_DATA[[#This Row],[Date]]),"00")</f>
        <v>2025-06</v>
      </c>
      <c r="D3307" s="3" t="s">
        <v>28</v>
      </c>
      <c r="E3307" s="3" t="s">
        <v>203</v>
      </c>
      <c r="F3307" s="3" t="s">
        <v>10</v>
      </c>
      <c r="G33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07" s="3" t="s">
        <v>204</v>
      </c>
      <c r="I3307" s="3" t="s">
        <v>31</v>
      </c>
      <c r="J3307" s="3" t="s">
        <v>89</v>
      </c>
      <c r="K3307" s="3" t="s">
        <v>123</v>
      </c>
      <c r="L3307" s="3" t="s">
        <v>124</v>
      </c>
      <c r="M3307" s="4">
        <v>991.15</v>
      </c>
    </row>
    <row r="3308">
      <c r="A3308" s="2">
        <v>45829</v>
      </c>
      <c r="B330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8" s="3" t="str">
        <f>YEAR(KMART_DATA[[#This Row],[Date]])&amp;"-"&amp;TEXT(MONTH(KMART_DATA[[#This Row],[Date]]),"00")</f>
        <v>2025-06</v>
      </c>
      <c r="D3308" s="3" t="s">
        <v>28</v>
      </c>
      <c r="E3308" s="3" t="s">
        <v>236</v>
      </c>
      <c r="F3308" s="3" t="s">
        <v>12</v>
      </c>
      <c r="G33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08" s="3" t="s">
        <v>237</v>
      </c>
      <c r="I3308" s="3" t="s">
        <v>31</v>
      </c>
      <c r="J3308" s="3" t="s">
        <v>102</v>
      </c>
      <c r="K3308" s="3" t="s">
        <v>46</v>
      </c>
      <c r="L3308" s="3" t="s">
        <v>47</v>
      </c>
      <c r="M3308" s="4">
        <v>1007.7</v>
      </c>
    </row>
    <row r="3309">
      <c r="A3309" s="2">
        <v>45829</v>
      </c>
      <c r="B330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09" s="3" t="str">
        <f>YEAR(KMART_DATA[[#This Row],[Date]])&amp;"-"&amp;TEXT(MONTH(KMART_DATA[[#This Row],[Date]]),"00")</f>
        <v>2025-06</v>
      </c>
      <c r="D3309" s="3" t="s">
        <v>28</v>
      </c>
      <c r="E3309" s="3" t="s">
        <v>181</v>
      </c>
      <c r="F3309" s="3" t="s">
        <v>11</v>
      </c>
      <c r="G33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09" s="3" t="s">
        <v>182</v>
      </c>
      <c r="I3309" s="3" t="s">
        <v>31</v>
      </c>
      <c r="J3309" s="3" t="s">
        <v>56</v>
      </c>
      <c r="K3309" s="3" t="s">
        <v>71</v>
      </c>
      <c r="L3309" s="3" t="s">
        <v>72</v>
      </c>
      <c r="M3309" s="4">
        <v>3603.14</v>
      </c>
    </row>
    <row r="3310">
      <c r="A3310" s="2">
        <v>45830</v>
      </c>
      <c r="B331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0" s="3" t="str">
        <f>YEAR(KMART_DATA[[#This Row],[Date]])&amp;"-"&amp;TEXT(MONTH(KMART_DATA[[#This Row],[Date]]),"00")</f>
        <v>2025-06</v>
      </c>
      <c r="D3310" s="3" t="s">
        <v>28</v>
      </c>
      <c r="E3310" s="3" t="s">
        <v>244</v>
      </c>
      <c r="F3310" s="3" t="s">
        <v>13</v>
      </c>
      <c r="G33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10" s="3" t="s">
        <v>245</v>
      </c>
      <c r="I3310" s="3" t="s">
        <v>31</v>
      </c>
      <c r="J3310" s="3" t="s">
        <v>42</v>
      </c>
      <c r="K3310" s="3" t="s">
        <v>46</v>
      </c>
      <c r="L3310" s="3" t="s">
        <v>47</v>
      </c>
      <c r="M3310" s="4">
        <v>103.92</v>
      </c>
    </row>
    <row r="3311">
      <c r="A3311" s="2">
        <v>45830</v>
      </c>
      <c r="B331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1" s="3" t="str">
        <f>YEAR(KMART_DATA[[#This Row],[Date]])&amp;"-"&amp;TEXT(MONTH(KMART_DATA[[#This Row],[Date]]),"00")</f>
        <v>2025-06</v>
      </c>
      <c r="D3311" s="3" t="s">
        <v>28</v>
      </c>
      <c r="E3311" s="3" t="s">
        <v>219</v>
      </c>
      <c r="F3311" s="3" t="s">
        <v>11</v>
      </c>
      <c r="G33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11" s="3" t="s">
        <v>220</v>
      </c>
      <c r="I3311" s="3" t="s">
        <v>31</v>
      </c>
      <c r="J3311" s="3" t="s">
        <v>56</v>
      </c>
      <c r="K3311" s="3" t="s">
        <v>43</v>
      </c>
      <c r="L3311" s="3" t="s">
        <v>44</v>
      </c>
      <c r="M3311" s="4">
        <v>129.82</v>
      </c>
    </row>
    <row r="3312">
      <c r="A3312" s="2">
        <v>45830</v>
      </c>
      <c r="B331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2" s="3" t="str">
        <f>YEAR(KMART_DATA[[#This Row],[Date]])&amp;"-"&amp;TEXT(MONTH(KMART_DATA[[#This Row],[Date]]),"00")</f>
        <v>2025-06</v>
      </c>
      <c r="D3312" s="3" t="s">
        <v>28</v>
      </c>
      <c r="E3312" s="3" t="s">
        <v>59</v>
      </c>
      <c r="F3312" s="3" t="s">
        <v>11</v>
      </c>
      <c r="G33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12" s="3" t="s">
        <v>60</v>
      </c>
      <c r="I3312" s="3" t="s">
        <v>31</v>
      </c>
      <c r="J3312" s="3" t="s">
        <v>61</v>
      </c>
      <c r="K3312" s="3" t="s">
        <v>38</v>
      </c>
      <c r="L3312" s="3" t="s">
        <v>39</v>
      </c>
      <c r="M3312" s="4">
        <v>1034.22</v>
      </c>
    </row>
    <row r="3313">
      <c r="A3313" s="2">
        <v>45830</v>
      </c>
      <c r="B331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3" s="3" t="str">
        <f>YEAR(KMART_DATA[[#This Row],[Date]])&amp;"-"&amp;TEXT(MONTH(KMART_DATA[[#This Row],[Date]]),"00")</f>
        <v>2025-06</v>
      </c>
      <c r="D3313" s="3" t="s">
        <v>28</v>
      </c>
      <c r="E3313" s="3" t="s">
        <v>225</v>
      </c>
      <c r="F3313" s="3" t="s">
        <v>13</v>
      </c>
      <c r="G33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13" s="3" t="s">
        <v>226</v>
      </c>
      <c r="I3313" s="3" t="s">
        <v>31</v>
      </c>
      <c r="J3313" s="3" t="s">
        <v>227</v>
      </c>
      <c r="K3313" s="3" t="s">
        <v>71</v>
      </c>
      <c r="L3313" s="3" t="s">
        <v>72</v>
      </c>
      <c r="M3313" s="4">
        <v>1120.91</v>
      </c>
    </row>
    <row r="3314">
      <c r="A3314" s="2">
        <v>45831</v>
      </c>
      <c r="B331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4" s="3" t="str">
        <f>YEAR(KMART_DATA[[#This Row],[Date]])&amp;"-"&amp;TEXT(MONTH(KMART_DATA[[#This Row],[Date]]),"00")</f>
        <v>2025-06</v>
      </c>
      <c r="D3314" s="3" t="s">
        <v>28</v>
      </c>
      <c r="E3314" s="3" t="s">
        <v>108</v>
      </c>
      <c r="F3314" s="3" t="s">
        <v>9</v>
      </c>
      <c r="G33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14" s="3" t="s">
        <v>109</v>
      </c>
      <c r="I3314" s="3" t="s">
        <v>31</v>
      </c>
      <c r="J3314" s="3" t="s">
        <v>75</v>
      </c>
      <c r="K3314" s="3" t="s">
        <v>43</v>
      </c>
      <c r="L3314" s="3" t="s">
        <v>44</v>
      </c>
      <c r="M3314" s="4">
        <v>14.55</v>
      </c>
    </row>
    <row r="3315">
      <c r="A3315" s="2">
        <v>45831</v>
      </c>
      <c r="B331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5" s="3" t="str">
        <f>YEAR(KMART_DATA[[#This Row],[Date]])&amp;"-"&amp;TEXT(MONTH(KMART_DATA[[#This Row],[Date]]),"00")</f>
        <v>2025-06</v>
      </c>
      <c r="D3315" s="3" t="s">
        <v>28</v>
      </c>
      <c r="E3315" s="3" t="s">
        <v>156</v>
      </c>
      <c r="F3315" s="3" t="s">
        <v>9</v>
      </c>
      <c r="G33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15" s="3" t="s">
        <v>157</v>
      </c>
      <c r="I3315" s="3" t="s">
        <v>31</v>
      </c>
      <c r="J3315" s="3" t="s">
        <v>75</v>
      </c>
      <c r="K3315" s="3" t="s">
        <v>46</v>
      </c>
      <c r="L3315" s="3" t="s">
        <v>47</v>
      </c>
      <c r="M3315" s="4">
        <v>59.9</v>
      </c>
    </row>
    <row r="3316">
      <c r="A3316" s="2">
        <v>45831</v>
      </c>
      <c r="B331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6" s="3" t="str">
        <f>YEAR(KMART_DATA[[#This Row],[Date]])&amp;"-"&amp;TEXT(MONTH(KMART_DATA[[#This Row],[Date]]),"00")</f>
        <v>2025-06</v>
      </c>
      <c r="D3316" s="3" t="s">
        <v>45</v>
      </c>
      <c r="E3316" s="3" t="s">
        <v>236</v>
      </c>
      <c r="F3316" s="3" t="s">
        <v>12</v>
      </c>
      <c r="G33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16" s="3" t="s">
        <v>237</v>
      </c>
      <c r="I3316" s="3" t="s">
        <v>31</v>
      </c>
      <c r="J3316" s="3" t="s">
        <v>102</v>
      </c>
      <c r="K3316" s="3" t="s">
        <v>112</v>
      </c>
      <c r="L3316" s="3" t="s">
        <v>113</v>
      </c>
      <c r="M3316" s="4">
        <v>59.9</v>
      </c>
    </row>
    <row r="3317">
      <c r="A3317" s="2">
        <v>45831</v>
      </c>
      <c r="B331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7" s="3" t="str">
        <f>YEAR(KMART_DATA[[#This Row],[Date]])&amp;"-"&amp;TEXT(MONTH(KMART_DATA[[#This Row],[Date]]),"00")</f>
        <v>2025-06</v>
      </c>
      <c r="D3317" s="3" t="s">
        <v>45</v>
      </c>
      <c r="E3317" s="3" t="s">
        <v>92</v>
      </c>
      <c r="F3317" s="3" t="s">
        <v>10</v>
      </c>
      <c r="G33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17" s="3" t="s">
        <v>93</v>
      </c>
      <c r="I3317" s="3" t="s">
        <v>31</v>
      </c>
      <c r="J3317" s="3" t="s">
        <v>94</v>
      </c>
      <c r="K3317" s="3" t="s">
        <v>33</v>
      </c>
      <c r="L3317" s="3" t="s">
        <v>34</v>
      </c>
      <c r="M3317" s="4">
        <v>213.62</v>
      </c>
    </row>
    <row r="3318">
      <c r="A3318" s="2">
        <v>45831</v>
      </c>
      <c r="B331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8" s="3" t="str">
        <f>YEAR(KMART_DATA[[#This Row],[Date]])&amp;"-"&amp;TEXT(MONTH(KMART_DATA[[#This Row],[Date]]),"00")</f>
        <v>2025-06</v>
      </c>
      <c r="D3318" s="3" t="s">
        <v>45</v>
      </c>
      <c r="E3318" s="3" t="s">
        <v>146</v>
      </c>
      <c r="F3318" s="3" t="s">
        <v>9</v>
      </c>
      <c r="G33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18" s="3" t="s">
        <v>147</v>
      </c>
      <c r="I3318" s="3" t="s">
        <v>31</v>
      </c>
      <c r="J3318" s="3" t="s">
        <v>75</v>
      </c>
      <c r="K3318" s="3" t="s">
        <v>71</v>
      </c>
      <c r="L3318" s="3" t="s">
        <v>72</v>
      </c>
      <c r="M3318" s="4">
        <v>235.48</v>
      </c>
    </row>
    <row r="3319">
      <c r="A3319" s="2">
        <v>45831</v>
      </c>
      <c r="B331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19" s="3" t="str">
        <f>YEAR(KMART_DATA[[#This Row],[Date]])&amp;"-"&amp;TEXT(MONTH(KMART_DATA[[#This Row],[Date]]),"00")</f>
        <v>2025-06</v>
      </c>
      <c r="D3319" s="3" t="s">
        <v>28</v>
      </c>
      <c r="E3319" s="3" t="s">
        <v>252</v>
      </c>
      <c r="F3319" s="3" t="s">
        <v>10</v>
      </c>
      <c r="G33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19" s="3" t="s">
        <v>253</v>
      </c>
      <c r="I3319" s="3" t="s">
        <v>31</v>
      </c>
      <c r="J3319" s="3" t="s">
        <v>94</v>
      </c>
      <c r="K3319" s="3" t="s">
        <v>57</v>
      </c>
      <c r="L3319" s="3" t="s">
        <v>58</v>
      </c>
      <c r="M3319" s="4">
        <v>388.59</v>
      </c>
    </row>
    <row r="3320">
      <c r="A3320" s="2">
        <v>45832</v>
      </c>
      <c r="B332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0" s="3" t="str">
        <f>YEAR(KMART_DATA[[#This Row],[Date]])&amp;"-"&amp;TEXT(MONTH(KMART_DATA[[#This Row],[Date]]),"00")</f>
        <v>2025-06</v>
      </c>
      <c r="D3320" s="3" t="s">
        <v>28</v>
      </c>
      <c r="E3320" s="3" t="s">
        <v>171</v>
      </c>
      <c r="F3320" s="3" t="s">
        <v>10</v>
      </c>
      <c r="G33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20" s="3" t="s">
        <v>172</v>
      </c>
      <c r="I3320" s="3" t="s">
        <v>31</v>
      </c>
      <c r="J3320" s="3" t="s">
        <v>37</v>
      </c>
      <c r="K3320" s="3" t="s">
        <v>71</v>
      </c>
      <c r="L3320" s="3" t="s">
        <v>72</v>
      </c>
      <c r="M3320" s="4">
        <v>27.93</v>
      </c>
    </row>
    <row r="3321">
      <c r="A3321" s="2">
        <v>45832</v>
      </c>
      <c r="B332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1" s="3" t="str">
        <f>YEAR(KMART_DATA[[#This Row],[Date]])&amp;"-"&amp;TEXT(MONTH(KMART_DATA[[#This Row],[Date]]),"00")</f>
        <v>2025-06</v>
      </c>
      <c r="D3321" s="3" t="s">
        <v>28</v>
      </c>
      <c r="E3321" s="3" t="s">
        <v>146</v>
      </c>
      <c r="F3321" s="3" t="s">
        <v>9</v>
      </c>
      <c r="G33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21" s="3" t="s">
        <v>147</v>
      </c>
      <c r="I3321" s="3" t="s">
        <v>31</v>
      </c>
      <c r="J3321" s="3" t="s">
        <v>75</v>
      </c>
      <c r="K3321" s="3" t="s">
        <v>43</v>
      </c>
      <c r="L3321" s="3" t="s">
        <v>44</v>
      </c>
      <c r="M3321" s="4">
        <v>31.0</v>
      </c>
    </row>
    <row r="3322">
      <c r="A3322" s="2">
        <v>45832</v>
      </c>
      <c r="B332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2" s="3" t="str">
        <f>YEAR(KMART_DATA[[#This Row],[Date]])&amp;"-"&amp;TEXT(MONTH(KMART_DATA[[#This Row],[Date]]),"00")</f>
        <v>2025-06</v>
      </c>
      <c r="D3322" s="3" t="s">
        <v>45</v>
      </c>
      <c r="E3322" s="3" t="s">
        <v>114</v>
      </c>
      <c r="F3322" s="3" t="s">
        <v>9</v>
      </c>
      <c r="G33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22" s="3" t="s">
        <v>115</v>
      </c>
      <c r="I3322" s="3" t="s">
        <v>31</v>
      </c>
      <c r="J3322" s="3" t="s">
        <v>99</v>
      </c>
      <c r="K3322" s="3" t="s">
        <v>46</v>
      </c>
      <c r="L3322" s="3" t="s">
        <v>47</v>
      </c>
      <c r="M3322" s="4">
        <v>64.95</v>
      </c>
    </row>
    <row r="3323">
      <c r="A3323" s="2">
        <v>45832</v>
      </c>
      <c r="B332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3" s="3" t="str">
        <f>YEAR(KMART_DATA[[#This Row],[Date]])&amp;"-"&amp;TEXT(MONTH(KMART_DATA[[#This Row],[Date]]),"00")</f>
        <v>2025-06</v>
      </c>
      <c r="D3323" s="3" t="s">
        <v>28</v>
      </c>
      <c r="E3323" s="3" t="s">
        <v>143</v>
      </c>
      <c r="F3323" s="3" t="s">
        <v>14</v>
      </c>
      <c r="G33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323" s="3" t="s">
        <v>144</v>
      </c>
      <c r="I3323" s="3" t="s">
        <v>31</v>
      </c>
      <c r="J3323" s="3" t="s">
        <v>145</v>
      </c>
      <c r="K3323" s="3" t="s">
        <v>43</v>
      </c>
      <c r="L3323" s="3" t="s">
        <v>44</v>
      </c>
      <c r="M3323" s="4">
        <v>65.96</v>
      </c>
    </row>
    <row r="3324">
      <c r="A3324" s="2">
        <v>45832</v>
      </c>
      <c r="B332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4" s="3" t="str">
        <f>YEAR(KMART_DATA[[#This Row],[Date]])&amp;"-"&amp;TEXT(MONTH(KMART_DATA[[#This Row],[Date]]),"00")</f>
        <v>2025-06</v>
      </c>
      <c r="D3324" s="3" t="s">
        <v>45</v>
      </c>
      <c r="E3324" s="3" t="s">
        <v>230</v>
      </c>
      <c r="F3324" s="3" t="s">
        <v>13</v>
      </c>
      <c r="G33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24" s="3" t="s">
        <v>231</v>
      </c>
      <c r="I3324" s="3" t="s">
        <v>31</v>
      </c>
      <c r="J3324" s="3" t="s">
        <v>227</v>
      </c>
      <c r="K3324" s="3" t="s">
        <v>57</v>
      </c>
      <c r="L3324" s="3" t="s">
        <v>58</v>
      </c>
      <c r="M3324" s="4">
        <v>77.87</v>
      </c>
    </row>
    <row r="3325">
      <c r="A3325" s="2">
        <v>45832</v>
      </c>
      <c r="B332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5" s="3" t="str">
        <f>YEAR(KMART_DATA[[#This Row],[Date]])&amp;"-"&amp;TEXT(MONTH(KMART_DATA[[#This Row],[Date]]),"00")</f>
        <v>2025-06</v>
      </c>
      <c r="D3325" s="3" t="s">
        <v>28</v>
      </c>
      <c r="E3325" s="3" t="s">
        <v>110</v>
      </c>
      <c r="F3325" s="3" t="s">
        <v>9</v>
      </c>
      <c r="G33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25" s="3" t="s">
        <v>111</v>
      </c>
      <c r="I3325" s="3" t="s">
        <v>31</v>
      </c>
      <c r="J3325" s="3" t="s">
        <v>81</v>
      </c>
      <c r="K3325" s="3" t="s">
        <v>38</v>
      </c>
      <c r="L3325" s="3" t="s">
        <v>39</v>
      </c>
      <c r="M3325" s="4">
        <v>380.59</v>
      </c>
    </row>
    <row r="3326">
      <c r="A3326" s="2">
        <v>45833</v>
      </c>
      <c r="B332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6" s="3" t="str">
        <f>YEAR(KMART_DATA[[#This Row],[Date]])&amp;"-"&amp;TEXT(MONTH(KMART_DATA[[#This Row],[Date]]),"00")</f>
        <v>2025-06</v>
      </c>
      <c r="D3326" s="3" t="s">
        <v>28</v>
      </c>
      <c r="E3326" s="3" t="s">
        <v>139</v>
      </c>
      <c r="F3326" s="3" t="s">
        <v>10</v>
      </c>
      <c r="G33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26" s="3" t="s">
        <v>140</v>
      </c>
      <c r="I3326" s="3" t="s">
        <v>31</v>
      </c>
      <c r="J3326" s="3" t="s">
        <v>89</v>
      </c>
      <c r="K3326" s="3" t="s">
        <v>95</v>
      </c>
      <c r="L3326" s="3" t="s">
        <v>96</v>
      </c>
      <c r="M3326" s="4">
        <v>4.3</v>
      </c>
    </row>
    <row r="3327">
      <c r="A3327" s="2">
        <v>45833</v>
      </c>
      <c r="B332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7" s="3" t="str">
        <f>YEAR(KMART_DATA[[#This Row],[Date]])&amp;"-"&amp;TEXT(MONTH(KMART_DATA[[#This Row],[Date]]),"00")</f>
        <v>2025-06</v>
      </c>
      <c r="D3327" s="3" t="s">
        <v>45</v>
      </c>
      <c r="E3327" s="3" t="s">
        <v>73</v>
      </c>
      <c r="F3327" s="3" t="s">
        <v>9</v>
      </c>
      <c r="G33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27" s="3" t="s">
        <v>74</v>
      </c>
      <c r="I3327" s="3" t="s">
        <v>31</v>
      </c>
      <c r="J3327" s="3" t="s">
        <v>75</v>
      </c>
      <c r="K3327" s="3" t="s">
        <v>38</v>
      </c>
      <c r="L3327" s="3" t="s">
        <v>39</v>
      </c>
      <c r="M3327" s="4">
        <v>12.99</v>
      </c>
    </row>
    <row r="3328">
      <c r="A3328" s="2">
        <v>45833</v>
      </c>
      <c r="B332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8" s="3" t="str">
        <f>YEAR(KMART_DATA[[#This Row],[Date]])&amp;"-"&amp;TEXT(MONTH(KMART_DATA[[#This Row],[Date]]),"00")</f>
        <v>2025-06</v>
      </c>
      <c r="D3328" s="3" t="s">
        <v>28</v>
      </c>
      <c r="E3328" s="3" t="s">
        <v>199</v>
      </c>
      <c r="F3328" s="3" t="s">
        <v>13</v>
      </c>
      <c r="G33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28" s="3" t="s">
        <v>200</v>
      </c>
      <c r="I3328" s="3" t="s">
        <v>31</v>
      </c>
      <c r="J3328" s="3" t="s">
        <v>42</v>
      </c>
      <c r="K3328" s="3" t="s">
        <v>43</v>
      </c>
      <c r="L3328" s="3" t="s">
        <v>44</v>
      </c>
      <c r="M3328" s="4">
        <v>29.0</v>
      </c>
    </row>
    <row r="3329">
      <c r="A3329" s="2">
        <v>45833</v>
      </c>
      <c r="B332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29" s="3" t="str">
        <f>YEAR(KMART_DATA[[#This Row],[Date]])&amp;"-"&amp;TEXT(MONTH(KMART_DATA[[#This Row],[Date]]),"00")</f>
        <v>2025-06</v>
      </c>
      <c r="D3329" s="3" t="s">
        <v>45</v>
      </c>
      <c r="E3329" s="3" t="s">
        <v>82</v>
      </c>
      <c r="F3329" s="3" t="s">
        <v>11</v>
      </c>
      <c r="G33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29" s="3" t="s">
        <v>83</v>
      </c>
      <c r="I3329" s="3" t="s">
        <v>31</v>
      </c>
      <c r="J3329" s="3" t="s">
        <v>84</v>
      </c>
      <c r="K3329" s="3" t="s">
        <v>112</v>
      </c>
      <c r="L3329" s="3" t="s">
        <v>113</v>
      </c>
      <c r="M3329" s="4">
        <v>54.82</v>
      </c>
    </row>
    <row r="3330">
      <c r="A3330" s="2">
        <v>45833</v>
      </c>
      <c r="B333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0" s="3" t="str">
        <f>YEAR(KMART_DATA[[#This Row],[Date]])&amp;"-"&amp;TEXT(MONTH(KMART_DATA[[#This Row],[Date]]),"00")</f>
        <v>2025-06</v>
      </c>
      <c r="D3330" s="3" t="s">
        <v>28</v>
      </c>
      <c r="E3330" s="3" t="s">
        <v>183</v>
      </c>
      <c r="F3330" s="3" t="s">
        <v>9</v>
      </c>
      <c r="G33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30" s="3" t="s">
        <v>184</v>
      </c>
      <c r="I3330" s="3" t="s">
        <v>31</v>
      </c>
      <c r="J3330" s="3" t="s">
        <v>70</v>
      </c>
      <c r="K3330" s="3" t="s">
        <v>43</v>
      </c>
      <c r="L3330" s="3" t="s">
        <v>44</v>
      </c>
      <c r="M3330" s="4">
        <v>85.95</v>
      </c>
    </row>
    <row r="3331">
      <c r="A3331" s="2">
        <v>45833</v>
      </c>
      <c r="B333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1" s="3" t="str">
        <f>YEAR(KMART_DATA[[#This Row],[Date]])&amp;"-"&amp;TEXT(MONTH(KMART_DATA[[#This Row],[Date]]),"00")</f>
        <v>2025-06</v>
      </c>
      <c r="D3331" s="3" t="s">
        <v>28</v>
      </c>
      <c r="E3331" s="3" t="s">
        <v>181</v>
      </c>
      <c r="F3331" s="3" t="s">
        <v>11</v>
      </c>
      <c r="G33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31" s="3" t="s">
        <v>182</v>
      </c>
      <c r="I3331" s="3" t="s">
        <v>31</v>
      </c>
      <c r="J3331" s="3" t="s">
        <v>56</v>
      </c>
      <c r="K3331" s="3" t="s">
        <v>112</v>
      </c>
      <c r="L3331" s="3" t="s">
        <v>113</v>
      </c>
      <c r="M3331" s="4">
        <v>1249.04</v>
      </c>
    </row>
    <row r="3332">
      <c r="A3332" s="2">
        <v>45833</v>
      </c>
      <c r="B333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2" s="3" t="str">
        <f>YEAR(KMART_DATA[[#This Row],[Date]])&amp;"-"&amp;TEXT(MONTH(KMART_DATA[[#This Row],[Date]]),"00")</f>
        <v>2025-06</v>
      </c>
      <c r="D3332" s="3" t="s">
        <v>28</v>
      </c>
      <c r="E3332" s="3" t="s">
        <v>175</v>
      </c>
      <c r="F3332" s="3" t="s">
        <v>16</v>
      </c>
      <c r="G33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332" s="3" t="s">
        <v>176</v>
      </c>
      <c r="I3332" s="3" t="s">
        <v>31</v>
      </c>
      <c r="J3332" s="3" t="s">
        <v>107</v>
      </c>
      <c r="K3332" s="3" t="s">
        <v>95</v>
      </c>
      <c r="L3332" s="3" t="s">
        <v>96</v>
      </c>
      <c r="M3332" s="4">
        <v>3129.96</v>
      </c>
    </row>
    <row r="3333">
      <c r="A3333" s="2">
        <v>45834</v>
      </c>
      <c r="B333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3" s="3" t="str">
        <f>YEAR(KMART_DATA[[#This Row],[Date]])&amp;"-"&amp;TEXT(MONTH(KMART_DATA[[#This Row],[Date]]),"00")</f>
        <v>2025-06</v>
      </c>
      <c r="D3333" s="3" t="s">
        <v>28</v>
      </c>
      <c r="E3333" s="3" t="s">
        <v>223</v>
      </c>
      <c r="F3333" s="3" t="s">
        <v>10</v>
      </c>
      <c r="G33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33" s="3" t="s">
        <v>224</v>
      </c>
      <c r="I3333" s="3" t="s">
        <v>31</v>
      </c>
      <c r="J3333" s="3" t="s">
        <v>94</v>
      </c>
      <c r="K3333" s="3" t="s">
        <v>43</v>
      </c>
      <c r="L3333" s="3" t="s">
        <v>44</v>
      </c>
      <c r="M3333" s="4">
        <v>17.97</v>
      </c>
    </row>
    <row r="3334">
      <c r="A3334" s="2">
        <v>45834</v>
      </c>
      <c r="B333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4" s="3" t="str">
        <f>YEAR(KMART_DATA[[#This Row],[Date]])&amp;"-"&amp;TEXT(MONTH(KMART_DATA[[#This Row],[Date]]),"00")</f>
        <v>2025-06</v>
      </c>
      <c r="D3334" s="3" t="s">
        <v>28</v>
      </c>
      <c r="E3334" s="3" t="s">
        <v>54</v>
      </c>
      <c r="F3334" s="3" t="s">
        <v>11</v>
      </c>
      <c r="G33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34" s="3" t="s">
        <v>55</v>
      </c>
      <c r="I3334" s="3" t="s">
        <v>31</v>
      </c>
      <c r="J3334" s="3" t="s">
        <v>56</v>
      </c>
      <c r="K3334" s="3" t="s">
        <v>46</v>
      </c>
      <c r="L3334" s="3" t="s">
        <v>47</v>
      </c>
      <c r="M3334" s="4">
        <v>77.94</v>
      </c>
    </row>
    <row r="3335">
      <c r="A3335" s="2">
        <v>45834</v>
      </c>
      <c r="B333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5" s="3" t="str">
        <f>YEAR(KMART_DATA[[#This Row],[Date]])&amp;"-"&amp;TEXT(MONTH(KMART_DATA[[#This Row],[Date]]),"00")</f>
        <v>2025-06</v>
      </c>
      <c r="D3335" s="3" t="s">
        <v>28</v>
      </c>
      <c r="E3335" s="3" t="s">
        <v>262</v>
      </c>
      <c r="F3335" s="3" t="s">
        <v>10</v>
      </c>
      <c r="G33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35" s="3" t="s">
        <v>263</v>
      </c>
      <c r="I3335" s="3" t="s">
        <v>31</v>
      </c>
      <c r="J3335" s="3" t="s">
        <v>120</v>
      </c>
      <c r="K3335" s="3" t="s">
        <v>43</v>
      </c>
      <c r="L3335" s="3" t="s">
        <v>44</v>
      </c>
      <c r="M3335" s="4">
        <v>115.85</v>
      </c>
    </row>
    <row r="3336">
      <c r="A3336" s="2">
        <v>45834</v>
      </c>
      <c r="B333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6" s="3" t="str">
        <f>YEAR(KMART_DATA[[#This Row],[Date]])&amp;"-"&amp;TEXT(MONTH(KMART_DATA[[#This Row],[Date]]),"00")</f>
        <v>2025-06</v>
      </c>
      <c r="D3336" s="3" t="s">
        <v>28</v>
      </c>
      <c r="E3336" s="3" t="s">
        <v>62</v>
      </c>
      <c r="F3336" s="3" t="s">
        <v>12</v>
      </c>
      <c r="G33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36" s="3" t="s">
        <v>63</v>
      </c>
      <c r="I3336" s="3" t="s">
        <v>31</v>
      </c>
      <c r="J3336" s="3" t="s">
        <v>50</v>
      </c>
      <c r="K3336" s="3" t="s">
        <v>95</v>
      </c>
      <c r="L3336" s="3" t="s">
        <v>96</v>
      </c>
      <c r="M3336" s="4">
        <v>197.91</v>
      </c>
    </row>
    <row r="3337">
      <c r="A3337" s="2">
        <v>45834</v>
      </c>
      <c r="B333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7" s="3" t="str">
        <f>YEAR(KMART_DATA[[#This Row],[Date]])&amp;"-"&amp;TEXT(MONTH(KMART_DATA[[#This Row],[Date]]),"00")</f>
        <v>2025-06</v>
      </c>
      <c r="D3337" s="3" t="s">
        <v>28</v>
      </c>
      <c r="E3337" s="3" t="s">
        <v>68</v>
      </c>
      <c r="F3337" s="3" t="s">
        <v>9</v>
      </c>
      <c r="G33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37" s="3" t="s">
        <v>69</v>
      </c>
      <c r="I3337" s="3" t="s">
        <v>31</v>
      </c>
      <c r="J3337" s="3" t="s">
        <v>70</v>
      </c>
      <c r="K3337" s="3" t="s">
        <v>112</v>
      </c>
      <c r="L3337" s="3" t="s">
        <v>113</v>
      </c>
      <c r="M3337" s="4">
        <v>245.98</v>
      </c>
    </row>
    <row r="3338">
      <c r="A3338" s="2">
        <v>45834</v>
      </c>
      <c r="B333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8" s="3" t="str">
        <f>YEAR(KMART_DATA[[#This Row],[Date]])&amp;"-"&amp;TEXT(MONTH(KMART_DATA[[#This Row],[Date]]),"00")</f>
        <v>2025-06</v>
      </c>
      <c r="D3338" s="3" t="s">
        <v>28</v>
      </c>
      <c r="E3338" s="3" t="s">
        <v>139</v>
      </c>
      <c r="F3338" s="3" t="s">
        <v>10</v>
      </c>
      <c r="G33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38" s="3" t="s">
        <v>140</v>
      </c>
      <c r="I3338" s="3" t="s">
        <v>31</v>
      </c>
      <c r="J3338" s="3" t="s">
        <v>89</v>
      </c>
      <c r="K3338" s="3" t="s">
        <v>112</v>
      </c>
      <c r="L3338" s="3" t="s">
        <v>113</v>
      </c>
      <c r="M3338" s="4">
        <v>413.14</v>
      </c>
    </row>
    <row r="3339">
      <c r="A3339" s="2">
        <v>45834</v>
      </c>
      <c r="B333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39" s="3" t="str">
        <f>YEAR(KMART_DATA[[#This Row],[Date]])&amp;"-"&amp;TEXT(MONTH(KMART_DATA[[#This Row],[Date]]),"00")</f>
        <v>2025-06</v>
      </c>
      <c r="D3339" s="3" t="s">
        <v>28</v>
      </c>
      <c r="E3339" s="3" t="s">
        <v>82</v>
      </c>
      <c r="F3339" s="3" t="s">
        <v>11</v>
      </c>
      <c r="G33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39" s="3" t="s">
        <v>83</v>
      </c>
      <c r="I3339" s="3" t="s">
        <v>31</v>
      </c>
      <c r="J3339" s="3" t="s">
        <v>84</v>
      </c>
      <c r="K3339" s="3" t="s">
        <v>38</v>
      </c>
      <c r="L3339" s="3" t="s">
        <v>39</v>
      </c>
      <c r="M3339" s="4">
        <v>435.52</v>
      </c>
    </row>
    <row r="3340">
      <c r="A3340" s="2">
        <v>45834</v>
      </c>
      <c r="B334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0" s="3" t="str">
        <f>YEAR(KMART_DATA[[#This Row],[Date]])&amp;"-"&amp;TEXT(MONTH(KMART_DATA[[#This Row],[Date]]),"00")</f>
        <v>2025-06</v>
      </c>
      <c r="D3340" s="3" t="s">
        <v>45</v>
      </c>
      <c r="E3340" s="3" t="s">
        <v>141</v>
      </c>
      <c r="F3340" s="3" t="s">
        <v>9</v>
      </c>
      <c r="G33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40" s="3" t="s">
        <v>142</v>
      </c>
      <c r="I3340" s="3" t="s">
        <v>31</v>
      </c>
      <c r="J3340" s="3" t="s">
        <v>107</v>
      </c>
      <c r="K3340" s="3" t="s">
        <v>123</v>
      </c>
      <c r="L3340" s="3" t="s">
        <v>124</v>
      </c>
      <c r="M3340" s="4">
        <v>472.74</v>
      </c>
    </row>
    <row r="3341">
      <c r="A3341" s="2">
        <v>45834</v>
      </c>
      <c r="B334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1" s="3" t="str">
        <f>YEAR(KMART_DATA[[#This Row],[Date]])&amp;"-"&amp;TEXT(MONTH(KMART_DATA[[#This Row],[Date]]),"00")</f>
        <v>2025-06</v>
      </c>
      <c r="D3341" s="3" t="s">
        <v>28</v>
      </c>
      <c r="E3341" s="3" t="s">
        <v>68</v>
      </c>
      <c r="F3341" s="3" t="s">
        <v>9</v>
      </c>
      <c r="G33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41" s="3" t="s">
        <v>69</v>
      </c>
      <c r="I3341" s="3" t="s">
        <v>31</v>
      </c>
      <c r="J3341" s="3" t="s">
        <v>70</v>
      </c>
      <c r="K3341" s="3" t="s">
        <v>46</v>
      </c>
      <c r="L3341" s="3" t="s">
        <v>47</v>
      </c>
      <c r="M3341" s="4">
        <v>845.83</v>
      </c>
    </row>
    <row r="3342">
      <c r="A3342" s="2">
        <v>45835</v>
      </c>
      <c r="B334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2" s="3" t="str">
        <f>YEAR(KMART_DATA[[#This Row],[Date]])&amp;"-"&amp;TEXT(MONTH(KMART_DATA[[#This Row],[Date]]),"00")</f>
        <v>2025-06</v>
      </c>
      <c r="D3342" s="3" t="s">
        <v>28</v>
      </c>
      <c r="E3342" s="3" t="s">
        <v>246</v>
      </c>
      <c r="F3342" s="3" t="s">
        <v>10</v>
      </c>
      <c r="G33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42" s="3" t="s">
        <v>247</v>
      </c>
      <c r="I3342" s="3" t="s">
        <v>31</v>
      </c>
      <c r="J3342" s="3" t="s">
        <v>37</v>
      </c>
      <c r="K3342" s="3" t="s">
        <v>95</v>
      </c>
      <c r="L3342" s="3" t="s">
        <v>96</v>
      </c>
      <c r="M3342" s="4">
        <v>37.33</v>
      </c>
    </row>
    <row r="3343">
      <c r="A3343" s="2">
        <v>45835</v>
      </c>
      <c r="B334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3" s="3" t="str">
        <f>YEAR(KMART_DATA[[#This Row],[Date]])&amp;"-"&amp;TEXT(MONTH(KMART_DATA[[#This Row],[Date]]),"00")</f>
        <v>2025-06</v>
      </c>
      <c r="D3343" s="3" t="s">
        <v>45</v>
      </c>
      <c r="E3343" s="3" t="s">
        <v>207</v>
      </c>
      <c r="F3343" s="3" t="s">
        <v>11</v>
      </c>
      <c r="G33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43" s="3" t="s">
        <v>208</v>
      </c>
      <c r="I3343" s="3" t="s">
        <v>31</v>
      </c>
      <c r="J3343" s="3" t="s">
        <v>78</v>
      </c>
      <c r="K3343" s="3" t="s">
        <v>71</v>
      </c>
      <c r="L3343" s="3" t="s">
        <v>72</v>
      </c>
      <c r="M3343" s="4">
        <v>224.89</v>
      </c>
    </row>
    <row r="3344">
      <c r="A3344" s="2">
        <v>45835</v>
      </c>
      <c r="B334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4" s="3" t="str">
        <f>YEAR(KMART_DATA[[#This Row],[Date]])&amp;"-"&amp;TEXT(MONTH(KMART_DATA[[#This Row],[Date]]),"00")</f>
        <v>2025-06</v>
      </c>
      <c r="D3344" s="3" t="s">
        <v>45</v>
      </c>
      <c r="E3344" s="3" t="s">
        <v>199</v>
      </c>
      <c r="F3344" s="3" t="s">
        <v>13</v>
      </c>
      <c r="G33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44" s="3" t="s">
        <v>200</v>
      </c>
      <c r="I3344" s="3" t="s">
        <v>31</v>
      </c>
      <c r="J3344" s="3" t="s">
        <v>42</v>
      </c>
      <c r="K3344" s="3" t="s">
        <v>71</v>
      </c>
      <c r="L3344" s="3" t="s">
        <v>72</v>
      </c>
      <c r="M3344" s="4">
        <v>253.82</v>
      </c>
    </row>
    <row r="3345">
      <c r="A3345" s="2">
        <v>45835</v>
      </c>
      <c r="B334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5" s="3" t="str">
        <f>YEAR(KMART_DATA[[#This Row],[Date]])&amp;"-"&amp;TEXT(MONTH(KMART_DATA[[#This Row],[Date]]),"00")</f>
        <v>2025-06</v>
      </c>
      <c r="D3345" s="3" t="s">
        <v>28</v>
      </c>
      <c r="E3345" s="3" t="s">
        <v>246</v>
      </c>
      <c r="F3345" s="3" t="s">
        <v>10</v>
      </c>
      <c r="G33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45" s="3" t="s">
        <v>247</v>
      </c>
      <c r="I3345" s="3" t="s">
        <v>31</v>
      </c>
      <c r="J3345" s="3" t="s">
        <v>37</v>
      </c>
      <c r="K3345" s="3" t="s">
        <v>57</v>
      </c>
      <c r="L3345" s="3" t="s">
        <v>58</v>
      </c>
      <c r="M3345" s="4">
        <v>1548.91</v>
      </c>
    </row>
    <row r="3346">
      <c r="A3346" s="2">
        <v>45835</v>
      </c>
      <c r="B334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6" s="3" t="str">
        <f>YEAR(KMART_DATA[[#This Row],[Date]])&amp;"-"&amp;TEXT(MONTH(KMART_DATA[[#This Row],[Date]]),"00")</f>
        <v>2025-06</v>
      </c>
      <c r="D3346" s="3" t="s">
        <v>28</v>
      </c>
      <c r="E3346" s="3" t="s">
        <v>105</v>
      </c>
      <c r="F3346" s="3" t="s">
        <v>9</v>
      </c>
      <c r="G33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46" s="3" t="s">
        <v>106</v>
      </c>
      <c r="I3346" s="3" t="s">
        <v>31</v>
      </c>
      <c r="J3346" s="3" t="s">
        <v>107</v>
      </c>
      <c r="K3346" s="3" t="s">
        <v>71</v>
      </c>
      <c r="L3346" s="3" t="s">
        <v>72</v>
      </c>
      <c r="M3346" s="4">
        <v>1704.66</v>
      </c>
    </row>
    <row r="3347">
      <c r="A3347" s="2">
        <v>45836</v>
      </c>
      <c r="B334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7" s="3" t="str">
        <f>YEAR(KMART_DATA[[#This Row],[Date]])&amp;"-"&amp;TEXT(MONTH(KMART_DATA[[#This Row],[Date]]),"00")</f>
        <v>2025-06</v>
      </c>
      <c r="D3347" s="3" t="s">
        <v>28</v>
      </c>
      <c r="E3347" s="3" t="s">
        <v>181</v>
      </c>
      <c r="F3347" s="3" t="s">
        <v>11</v>
      </c>
      <c r="G33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47" s="3" t="s">
        <v>182</v>
      </c>
      <c r="I3347" s="3" t="s">
        <v>31</v>
      </c>
      <c r="J3347" s="3" t="s">
        <v>56</v>
      </c>
      <c r="K3347" s="3" t="s">
        <v>43</v>
      </c>
      <c r="L3347" s="3" t="s">
        <v>44</v>
      </c>
      <c r="M3347" s="4">
        <v>6.6</v>
      </c>
    </row>
    <row r="3348">
      <c r="A3348" s="2">
        <v>45836</v>
      </c>
      <c r="B334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8" s="3" t="str">
        <f>YEAR(KMART_DATA[[#This Row],[Date]])&amp;"-"&amp;TEXT(MONTH(KMART_DATA[[#This Row],[Date]]),"00")</f>
        <v>2025-06</v>
      </c>
      <c r="D3348" s="3" t="s">
        <v>28</v>
      </c>
      <c r="E3348" s="3" t="s">
        <v>219</v>
      </c>
      <c r="F3348" s="3" t="s">
        <v>11</v>
      </c>
      <c r="G33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48" s="3" t="s">
        <v>220</v>
      </c>
      <c r="I3348" s="3" t="s">
        <v>31</v>
      </c>
      <c r="J3348" s="3" t="s">
        <v>56</v>
      </c>
      <c r="K3348" s="3" t="s">
        <v>46</v>
      </c>
      <c r="L3348" s="3" t="s">
        <v>47</v>
      </c>
      <c r="M3348" s="4">
        <v>9.5</v>
      </c>
    </row>
    <row r="3349">
      <c r="A3349" s="2">
        <v>45836</v>
      </c>
      <c r="B334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49" s="3" t="str">
        <f>YEAR(KMART_DATA[[#This Row],[Date]])&amp;"-"&amp;TEXT(MONTH(KMART_DATA[[#This Row],[Date]]),"00")</f>
        <v>2025-06</v>
      </c>
      <c r="D3349" s="3" t="s">
        <v>28</v>
      </c>
      <c r="E3349" s="3" t="s">
        <v>143</v>
      </c>
      <c r="F3349" s="3" t="s">
        <v>14</v>
      </c>
      <c r="G33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349" s="3" t="s">
        <v>144</v>
      </c>
      <c r="I3349" s="3" t="s">
        <v>31</v>
      </c>
      <c r="J3349" s="3" t="s">
        <v>145</v>
      </c>
      <c r="K3349" s="3" t="s">
        <v>43</v>
      </c>
      <c r="L3349" s="3" t="s">
        <v>44</v>
      </c>
      <c r="M3349" s="4">
        <v>9.99</v>
      </c>
    </row>
    <row r="3350">
      <c r="A3350" s="2">
        <v>45836</v>
      </c>
      <c r="B335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0" s="3" t="str">
        <f>YEAR(KMART_DATA[[#This Row],[Date]])&amp;"-"&amp;TEXT(MONTH(KMART_DATA[[#This Row],[Date]]),"00")</f>
        <v>2025-06</v>
      </c>
      <c r="D3350" s="3" t="s">
        <v>28</v>
      </c>
      <c r="E3350" s="3" t="s">
        <v>150</v>
      </c>
      <c r="F3350" s="3" t="s">
        <v>15</v>
      </c>
      <c r="G33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350" s="3" t="s">
        <v>151</v>
      </c>
      <c r="I3350" s="3" t="s">
        <v>31</v>
      </c>
      <c r="J3350" s="3" t="s">
        <v>53</v>
      </c>
      <c r="K3350" s="3" t="s">
        <v>43</v>
      </c>
      <c r="L3350" s="3" t="s">
        <v>44</v>
      </c>
      <c r="M3350" s="4">
        <v>27.86</v>
      </c>
    </row>
    <row r="3351">
      <c r="A3351" s="2">
        <v>45836</v>
      </c>
      <c r="B335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1" s="3" t="str">
        <f>YEAR(KMART_DATA[[#This Row],[Date]])&amp;"-"&amp;TEXT(MONTH(KMART_DATA[[#This Row],[Date]]),"00")</f>
        <v>2025-06</v>
      </c>
      <c r="D3351" s="3" t="s">
        <v>28</v>
      </c>
      <c r="E3351" s="3" t="s">
        <v>97</v>
      </c>
      <c r="F3351" s="3" t="s">
        <v>9</v>
      </c>
      <c r="G33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51" s="3" t="s">
        <v>98</v>
      </c>
      <c r="I3351" s="3" t="s">
        <v>31</v>
      </c>
      <c r="J3351" s="3" t="s">
        <v>99</v>
      </c>
      <c r="K3351" s="3" t="s">
        <v>71</v>
      </c>
      <c r="L3351" s="3" t="s">
        <v>72</v>
      </c>
      <c r="M3351" s="4">
        <v>51.87</v>
      </c>
    </row>
    <row r="3352">
      <c r="A3352" s="2">
        <v>45836</v>
      </c>
      <c r="B335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2" s="3" t="str">
        <f>YEAR(KMART_DATA[[#This Row],[Date]])&amp;"-"&amp;TEXT(MONTH(KMART_DATA[[#This Row],[Date]]),"00")</f>
        <v>2025-06</v>
      </c>
      <c r="D3352" s="3" t="s">
        <v>45</v>
      </c>
      <c r="E3352" s="3" t="s">
        <v>118</v>
      </c>
      <c r="F3352" s="3" t="s">
        <v>10</v>
      </c>
      <c r="G33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52" s="3" t="s">
        <v>119</v>
      </c>
      <c r="I3352" s="3" t="s">
        <v>31</v>
      </c>
      <c r="J3352" s="3" t="s">
        <v>120</v>
      </c>
      <c r="K3352" s="3" t="s">
        <v>66</v>
      </c>
      <c r="L3352" s="3" t="s">
        <v>67</v>
      </c>
      <c r="M3352" s="4">
        <v>370.91</v>
      </c>
    </row>
    <row r="3353">
      <c r="A3353" s="2">
        <v>45836</v>
      </c>
      <c r="B335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3" s="3" t="str">
        <f>YEAR(KMART_DATA[[#This Row],[Date]])&amp;"-"&amp;TEXT(MONTH(KMART_DATA[[#This Row],[Date]]),"00")</f>
        <v>2025-06</v>
      </c>
      <c r="D3353" s="3" t="s">
        <v>28</v>
      </c>
      <c r="E3353" s="3" t="s">
        <v>185</v>
      </c>
      <c r="F3353" s="3" t="s">
        <v>12</v>
      </c>
      <c r="G33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53" s="3" t="s">
        <v>186</v>
      </c>
      <c r="I3353" s="3" t="s">
        <v>31</v>
      </c>
      <c r="J3353" s="3" t="s">
        <v>162</v>
      </c>
      <c r="K3353" s="3" t="s">
        <v>33</v>
      </c>
      <c r="L3353" s="3" t="s">
        <v>34</v>
      </c>
      <c r="M3353" s="4">
        <v>397.83</v>
      </c>
    </row>
    <row r="3354">
      <c r="A3354" s="2">
        <v>45836</v>
      </c>
      <c r="B335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4" s="3" t="str">
        <f>YEAR(KMART_DATA[[#This Row],[Date]])&amp;"-"&amp;TEXT(MONTH(KMART_DATA[[#This Row],[Date]]),"00")</f>
        <v>2025-06</v>
      </c>
      <c r="D3354" s="3" t="s">
        <v>28</v>
      </c>
      <c r="E3354" s="3" t="s">
        <v>133</v>
      </c>
      <c r="F3354" s="3" t="s">
        <v>10</v>
      </c>
      <c r="G33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54" s="3" t="s">
        <v>134</v>
      </c>
      <c r="I3354" s="3" t="s">
        <v>31</v>
      </c>
      <c r="J3354" s="3" t="s">
        <v>37</v>
      </c>
      <c r="K3354" s="3" t="s">
        <v>38</v>
      </c>
      <c r="L3354" s="3" t="s">
        <v>39</v>
      </c>
      <c r="M3354" s="4">
        <v>445.87</v>
      </c>
    </row>
    <row r="3355">
      <c r="A3355" s="2">
        <v>45836</v>
      </c>
      <c r="B335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5" s="3" t="str">
        <f>YEAR(KMART_DATA[[#This Row],[Date]])&amp;"-"&amp;TEXT(MONTH(KMART_DATA[[#This Row],[Date]]),"00")</f>
        <v>2025-06</v>
      </c>
      <c r="D3355" s="3" t="s">
        <v>28</v>
      </c>
      <c r="E3355" s="3" t="s">
        <v>225</v>
      </c>
      <c r="F3355" s="3" t="s">
        <v>13</v>
      </c>
      <c r="G33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55" s="3" t="s">
        <v>226</v>
      </c>
      <c r="I3355" s="3" t="s">
        <v>31</v>
      </c>
      <c r="J3355" s="3" t="s">
        <v>227</v>
      </c>
      <c r="K3355" s="3" t="s">
        <v>57</v>
      </c>
      <c r="L3355" s="3" t="s">
        <v>58</v>
      </c>
      <c r="M3355" s="4">
        <v>690.91</v>
      </c>
    </row>
    <row r="3356">
      <c r="A3356" s="2">
        <v>45837</v>
      </c>
      <c r="B3356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6" s="3" t="str">
        <f>YEAR(KMART_DATA[[#This Row],[Date]])&amp;"-"&amp;TEXT(MONTH(KMART_DATA[[#This Row],[Date]]),"00")</f>
        <v>2025-06</v>
      </c>
      <c r="D3356" s="3" t="s">
        <v>28</v>
      </c>
      <c r="E3356" s="3" t="s">
        <v>59</v>
      </c>
      <c r="F3356" s="3" t="s">
        <v>11</v>
      </c>
      <c r="G33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56" s="3" t="s">
        <v>60</v>
      </c>
      <c r="I3356" s="3" t="s">
        <v>31</v>
      </c>
      <c r="J3356" s="3" t="s">
        <v>61</v>
      </c>
      <c r="K3356" s="3" t="s">
        <v>66</v>
      </c>
      <c r="L3356" s="3" t="s">
        <v>67</v>
      </c>
      <c r="M3356" s="4">
        <v>200.87</v>
      </c>
    </row>
    <row r="3357">
      <c r="A3357" s="2">
        <v>45838</v>
      </c>
      <c r="B3357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7" s="3" t="str">
        <f>YEAR(KMART_DATA[[#This Row],[Date]])&amp;"-"&amp;TEXT(MONTH(KMART_DATA[[#This Row],[Date]]),"00")</f>
        <v>2025-06</v>
      </c>
      <c r="D3357" s="3" t="s">
        <v>45</v>
      </c>
      <c r="E3357" s="3" t="s">
        <v>228</v>
      </c>
      <c r="F3357" s="3" t="s">
        <v>11</v>
      </c>
      <c r="G33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57" s="3" t="s">
        <v>229</v>
      </c>
      <c r="I3357" s="3" t="s">
        <v>31</v>
      </c>
      <c r="J3357" s="3" t="s">
        <v>32</v>
      </c>
      <c r="K3357" s="3" t="s">
        <v>33</v>
      </c>
      <c r="L3357" s="3" t="s">
        <v>34</v>
      </c>
      <c r="M3357" s="4">
        <v>58.88</v>
      </c>
    </row>
    <row r="3358">
      <c r="A3358" s="2">
        <v>45838</v>
      </c>
      <c r="B3358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8" s="3" t="str">
        <f>YEAR(KMART_DATA[[#This Row],[Date]])&amp;"-"&amp;TEXT(MONTH(KMART_DATA[[#This Row],[Date]]),"00")</f>
        <v>2025-06</v>
      </c>
      <c r="D3358" s="3" t="s">
        <v>28</v>
      </c>
      <c r="E3358" s="3" t="s">
        <v>90</v>
      </c>
      <c r="F3358" s="3" t="s">
        <v>10</v>
      </c>
      <c r="G33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58" s="3" t="s">
        <v>91</v>
      </c>
      <c r="I3358" s="3" t="s">
        <v>31</v>
      </c>
      <c r="J3358" s="3" t="s">
        <v>37</v>
      </c>
      <c r="K3358" s="3" t="s">
        <v>38</v>
      </c>
      <c r="L3358" s="3" t="s">
        <v>39</v>
      </c>
      <c r="M3358" s="4">
        <v>70.34</v>
      </c>
    </row>
    <row r="3359">
      <c r="A3359" s="2">
        <v>45838</v>
      </c>
      <c r="B3359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59" s="3" t="str">
        <f>YEAR(KMART_DATA[[#This Row],[Date]])&amp;"-"&amp;TEXT(MONTH(KMART_DATA[[#This Row],[Date]]),"00")</f>
        <v>2025-06</v>
      </c>
      <c r="D3359" s="3" t="s">
        <v>28</v>
      </c>
      <c r="E3359" s="3" t="s">
        <v>97</v>
      </c>
      <c r="F3359" s="3" t="s">
        <v>9</v>
      </c>
      <c r="G33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59" s="3" t="s">
        <v>98</v>
      </c>
      <c r="I3359" s="3" t="s">
        <v>31</v>
      </c>
      <c r="J3359" s="3" t="s">
        <v>99</v>
      </c>
      <c r="K3359" s="3" t="s">
        <v>38</v>
      </c>
      <c r="L3359" s="3" t="s">
        <v>39</v>
      </c>
      <c r="M3359" s="4">
        <v>89.36</v>
      </c>
    </row>
    <row r="3360">
      <c r="A3360" s="2">
        <v>45838</v>
      </c>
      <c r="B3360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60" s="3" t="str">
        <f>YEAR(KMART_DATA[[#This Row],[Date]])&amp;"-"&amp;TEXT(MONTH(KMART_DATA[[#This Row],[Date]]),"00")</f>
        <v>2025-06</v>
      </c>
      <c r="D3360" s="3" t="s">
        <v>28</v>
      </c>
      <c r="E3360" s="3" t="s">
        <v>143</v>
      </c>
      <c r="F3360" s="3" t="s">
        <v>14</v>
      </c>
      <c r="G33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360" s="3" t="s">
        <v>144</v>
      </c>
      <c r="I3360" s="3" t="s">
        <v>31</v>
      </c>
      <c r="J3360" s="3" t="s">
        <v>145</v>
      </c>
      <c r="K3360" s="3" t="s">
        <v>33</v>
      </c>
      <c r="L3360" s="3" t="s">
        <v>34</v>
      </c>
      <c r="M3360" s="4">
        <v>131.47</v>
      </c>
    </row>
    <row r="3361">
      <c r="A3361" s="2">
        <v>45838</v>
      </c>
      <c r="B3361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61" s="3" t="str">
        <f>YEAR(KMART_DATA[[#This Row],[Date]])&amp;"-"&amp;TEXT(MONTH(KMART_DATA[[#This Row],[Date]]),"00")</f>
        <v>2025-06</v>
      </c>
      <c r="D3361" s="3" t="s">
        <v>28</v>
      </c>
      <c r="E3361" s="3" t="s">
        <v>160</v>
      </c>
      <c r="F3361" s="3" t="s">
        <v>12</v>
      </c>
      <c r="G33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61" s="3" t="s">
        <v>161</v>
      </c>
      <c r="I3361" s="3" t="s">
        <v>31</v>
      </c>
      <c r="J3361" s="3" t="s">
        <v>162</v>
      </c>
      <c r="K3361" s="3" t="s">
        <v>95</v>
      </c>
      <c r="L3361" s="3" t="s">
        <v>96</v>
      </c>
      <c r="M3361" s="4">
        <v>258.4</v>
      </c>
    </row>
    <row r="3362">
      <c r="A3362" s="2">
        <v>45838</v>
      </c>
      <c r="B3362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62" s="3" t="str">
        <f>YEAR(KMART_DATA[[#This Row],[Date]])&amp;"-"&amp;TEXT(MONTH(KMART_DATA[[#This Row],[Date]]),"00")</f>
        <v>2025-06</v>
      </c>
      <c r="D3362" s="3" t="s">
        <v>28</v>
      </c>
      <c r="E3362" s="3" t="s">
        <v>121</v>
      </c>
      <c r="F3362" s="3" t="s">
        <v>11</v>
      </c>
      <c r="G33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62" s="3" t="s">
        <v>122</v>
      </c>
      <c r="I3362" s="3" t="s">
        <v>31</v>
      </c>
      <c r="J3362" s="3" t="s">
        <v>84</v>
      </c>
      <c r="K3362" s="3" t="s">
        <v>43</v>
      </c>
      <c r="L3362" s="3" t="s">
        <v>44</v>
      </c>
      <c r="M3362" s="4">
        <v>262.36</v>
      </c>
    </row>
    <row r="3363">
      <c r="A3363" s="2">
        <v>45838</v>
      </c>
      <c r="B3363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63" s="3" t="str">
        <f>YEAR(KMART_DATA[[#This Row],[Date]])&amp;"-"&amp;TEXT(MONTH(KMART_DATA[[#This Row],[Date]]),"00")</f>
        <v>2025-06</v>
      </c>
      <c r="D3363" s="3" t="s">
        <v>28</v>
      </c>
      <c r="E3363" s="3" t="s">
        <v>181</v>
      </c>
      <c r="F3363" s="3" t="s">
        <v>11</v>
      </c>
      <c r="G33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63" s="3" t="s">
        <v>182</v>
      </c>
      <c r="I3363" s="3" t="s">
        <v>31</v>
      </c>
      <c r="J3363" s="3" t="s">
        <v>56</v>
      </c>
      <c r="K3363" s="3" t="s">
        <v>57</v>
      </c>
      <c r="L3363" s="3" t="s">
        <v>58</v>
      </c>
      <c r="M3363" s="4">
        <v>343.61</v>
      </c>
    </row>
    <row r="3364">
      <c r="A3364" s="2">
        <v>45838</v>
      </c>
      <c r="B3364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64" s="3" t="str">
        <f>YEAR(KMART_DATA[[#This Row],[Date]])&amp;"-"&amp;TEXT(MONTH(KMART_DATA[[#This Row],[Date]]),"00")</f>
        <v>2025-06</v>
      </c>
      <c r="D3364" s="3" t="s">
        <v>45</v>
      </c>
      <c r="E3364" s="3" t="s">
        <v>62</v>
      </c>
      <c r="F3364" s="3" t="s">
        <v>12</v>
      </c>
      <c r="G33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64" s="3" t="s">
        <v>63</v>
      </c>
      <c r="I3364" s="3" t="s">
        <v>31</v>
      </c>
      <c r="J3364" s="3" t="s">
        <v>50</v>
      </c>
      <c r="K3364" s="3" t="s">
        <v>46</v>
      </c>
      <c r="L3364" s="3" t="s">
        <v>47</v>
      </c>
      <c r="M3364" s="4">
        <v>364.9</v>
      </c>
    </row>
    <row r="3365">
      <c r="A3365" s="2">
        <v>45838</v>
      </c>
      <c r="B3365" s="3" t="str">
        <f>"FY"&amp;(YEAR(KMART_DATA[[#This Row],[Date]])+(MONTH(KMART_DATA[[#This Row],[Date]])&gt;=7)-1)&amp;"-"&amp;RIGHT(YEAR(KMART_DATA[[#This Row],[Date]])+(MONTH(KMART_DATA[[#This Row],[Date]])&gt;=7),2)</f>
        <v>FY2024-25</v>
      </c>
      <c r="C3365" s="3" t="str">
        <f>YEAR(KMART_DATA[[#This Row],[Date]])&amp;"-"&amp;TEXT(MONTH(KMART_DATA[[#This Row],[Date]]),"00")</f>
        <v>2025-06</v>
      </c>
      <c r="D3365" s="3" t="s">
        <v>28</v>
      </c>
      <c r="E3365" s="3" t="s">
        <v>110</v>
      </c>
      <c r="F3365" s="3" t="s">
        <v>9</v>
      </c>
      <c r="G33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65" s="3" t="s">
        <v>111</v>
      </c>
      <c r="I3365" s="3" t="s">
        <v>31</v>
      </c>
      <c r="J3365" s="3" t="s">
        <v>81</v>
      </c>
      <c r="K3365" s="3" t="s">
        <v>43</v>
      </c>
      <c r="L3365" s="3" t="s">
        <v>44</v>
      </c>
      <c r="M3365" s="4">
        <v>921.67</v>
      </c>
    </row>
    <row r="3366">
      <c r="A3366" s="2">
        <v>45839</v>
      </c>
      <c r="B33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66" s="3" t="str">
        <f>YEAR(KMART_DATA[[#This Row],[Date]])&amp;"-"&amp;TEXT(MONTH(KMART_DATA[[#This Row],[Date]]),"00")</f>
        <v>2025-07</v>
      </c>
      <c r="D3366" s="3" t="s">
        <v>28</v>
      </c>
      <c r="E3366" s="3" t="s">
        <v>179</v>
      </c>
      <c r="F3366" s="3" t="s">
        <v>9</v>
      </c>
      <c r="G33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66" s="3" t="s">
        <v>180</v>
      </c>
      <c r="I3366" s="3" t="s">
        <v>31</v>
      </c>
      <c r="J3366" s="3" t="s">
        <v>99</v>
      </c>
      <c r="K3366" s="3" t="s">
        <v>57</v>
      </c>
      <c r="L3366" s="3" t="s">
        <v>58</v>
      </c>
      <c r="M3366" s="4">
        <v>55.93</v>
      </c>
    </row>
    <row r="3367">
      <c r="A3367" s="2">
        <v>45839</v>
      </c>
      <c r="B33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67" s="3" t="str">
        <f>YEAR(KMART_DATA[[#This Row],[Date]])&amp;"-"&amp;TEXT(MONTH(KMART_DATA[[#This Row],[Date]]),"00")</f>
        <v>2025-07</v>
      </c>
      <c r="D3367" s="3" t="s">
        <v>28</v>
      </c>
      <c r="E3367" s="3" t="s">
        <v>225</v>
      </c>
      <c r="F3367" s="3" t="s">
        <v>13</v>
      </c>
      <c r="G33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67" s="3" t="s">
        <v>226</v>
      </c>
      <c r="I3367" s="3" t="s">
        <v>31</v>
      </c>
      <c r="J3367" s="3" t="s">
        <v>227</v>
      </c>
      <c r="K3367" s="3" t="s">
        <v>71</v>
      </c>
      <c r="L3367" s="3" t="s">
        <v>72</v>
      </c>
      <c r="M3367" s="4">
        <v>228.77</v>
      </c>
    </row>
    <row r="3368">
      <c r="A3368" s="2">
        <v>45839</v>
      </c>
      <c r="B33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68" s="3" t="str">
        <f>YEAR(KMART_DATA[[#This Row],[Date]])&amp;"-"&amp;TEXT(MONTH(KMART_DATA[[#This Row],[Date]]),"00")</f>
        <v>2025-07</v>
      </c>
      <c r="D3368" s="3" t="s">
        <v>28</v>
      </c>
      <c r="E3368" s="3" t="s">
        <v>76</v>
      </c>
      <c r="F3368" s="3" t="s">
        <v>11</v>
      </c>
      <c r="G33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68" s="3" t="s">
        <v>77</v>
      </c>
      <c r="I3368" s="3" t="s">
        <v>31</v>
      </c>
      <c r="J3368" s="3" t="s">
        <v>78</v>
      </c>
      <c r="K3368" s="3" t="s">
        <v>123</v>
      </c>
      <c r="L3368" s="3" t="s">
        <v>124</v>
      </c>
      <c r="M3368" s="4">
        <v>299.84</v>
      </c>
    </row>
    <row r="3369">
      <c r="A3369" s="2">
        <v>45839</v>
      </c>
      <c r="B33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69" s="3" t="str">
        <f>YEAR(KMART_DATA[[#This Row],[Date]])&amp;"-"&amp;TEXT(MONTH(KMART_DATA[[#This Row],[Date]]),"00")</f>
        <v>2025-07</v>
      </c>
      <c r="D3369" s="3" t="s">
        <v>45</v>
      </c>
      <c r="E3369" s="3" t="s">
        <v>240</v>
      </c>
      <c r="F3369" s="3" t="s">
        <v>15</v>
      </c>
      <c r="G33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369" s="3" t="s">
        <v>241</v>
      </c>
      <c r="I3369" s="3" t="s">
        <v>31</v>
      </c>
      <c r="J3369" s="3" t="s">
        <v>53</v>
      </c>
      <c r="K3369" s="3" t="s">
        <v>46</v>
      </c>
      <c r="L3369" s="3" t="s">
        <v>47</v>
      </c>
      <c r="M3369" s="4">
        <v>371.64</v>
      </c>
    </row>
    <row r="3370">
      <c r="A3370" s="2">
        <v>45839</v>
      </c>
      <c r="B33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0" s="3" t="str">
        <f>YEAR(KMART_DATA[[#This Row],[Date]])&amp;"-"&amp;TEXT(MONTH(KMART_DATA[[#This Row],[Date]]),"00")</f>
        <v>2025-07</v>
      </c>
      <c r="D3370" s="3" t="s">
        <v>28</v>
      </c>
      <c r="E3370" s="3" t="s">
        <v>203</v>
      </c>
      <c r="F3370" s="3" t="s">
        <v>10</v>
      </c>
      <c r="G33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70" s="3" t="s">
        <v>204</v>
      </c>
      <c r="I3370" s="3" t="s">
        <v>31</v>
      </c>
      <c r="J3370" s="3" t="s">
        <v>89</v>
      </c>
      <c r="K3370" s="3" t="s">
        <v>71</v>
      </c>
      <c r="L3370" s="3" t="s">
        <v>72</v>
      </c>
      <c r="M3370" s="4">
        <v>5715.18</v>
      </c>
    </row>
    <row r="3371">
      <c r="A3371" s="2">
        <v>45840</v>
      </c>
      <c r="B33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1" s="3" t="str">
        <f>YEAR(KMART_DATA[[#This Row],[Date]])&amp;"-"&amp;TEXT(MONTH(KMART_DATA[[#This Row],[Date]]),"00")</f>
        <v>2025-07</v>
      </c>
      <c r="D3371" s="3" t="s">
        <v>28</v>
      </c>
      <c r="E3371" s="3" t="s">
        <v>118</v>
      </c>
      <c r="F3371" s="3" t="s">
        <v>10</v>
      </c>
      <c r="G33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71" s="3" t="s">
        <v>119</v>
      </c>
      <c r="I3371" s="3" t="s">
        <v>31</v>
      </c>
      <c r="J3371" s="3" t="s">
        <v>120</v>
      </c>
      <c r="K3371" s="3" t="s">
        <v>43</v>
      </c>
      <c r="L3371" s="3" t="s">
        <v>44</v>
      </c>
      <c r="M3371" s="4">
        <v>18.31</v>
      </c>
    </row>
    <row r="3372">
      <c r="A3372" s="2">
        <v>45840</v>
      </c>
      <c r="B33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2" s="3" t="str">
        <f>YEAR(KMART_DATA[[#This Row],[Date]])&amp;"-"&amp;TEXT(MONTH(KMART_DATA[[#This Row],[Date]]),"00")</f>
        <v>2025-07</v>
      </c>
      <c r="D3372" s="3" t="s">
        <v>28</v>
      </c>
      <c r="E3372" s="3" t="s">
        <v>141</v>
      </c>
      <c r="F3372" s="3" t="s">
        <v>9</v>
      </c>
      <c r="G33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72" s="3" t="s">
        <v>142</v>
      </c>
      <c r="I3372" s="3" t="s">
        <v>31</v>
      </c>
      <c r="J3372" s="3" t="s">
        <v>107</v>
      </c>
      <c r="K3372" s="3" t="s">
        <v>112</v>
      </c>
      <c r="L3372" s="3" t="s">
        <v>113</v>
      </c>
      <c r="M3372" s="4">
        <v>122.89</v>
      </c>
    </row>
    <row r="3373">
      <c r="A3373" s="2">
        <v>45840</v>
      </c>
      <c r="B33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3" s="3" t="str">
        <f>YEAR(KMART_DATA[[#This Row],[Date]])&amp;"-"&amp;TEXT(MONTH(KMART_DATA[[#This Row],[Date]]),"00")</f>
        <v>2025-07</v>
      </c>
      <c r="D3373" s="3" t="s">
        <v>45</v>
      </c>
      <c r="E3373" s="3" t="s">
        <v>199</v>
      </c>
      <c r="F3373" s="3" t="s">
        <v>13</v>
      </c>
      <c r="G33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73" s="3" t="s">
        <v>200</v>
      </c>
      <c r="I3373" s="3" t="s">
        <v>31</v>
      </c>
      <c r="J3373" s="3" t="s">
        <v>42</v>
      </c>
      <c r="K3373" s="3" t="s">
        <v>123</v>
      </c>
      <c r="L3373" s="3" t="s">
        <v>124</v>
      </c>
      <c r="M3373" s="4">
        <v>174.74</v>
      </c>
    </row>
    <row r="3374">
      <c r="A3374" s="2">
        <v>45840</v>
      </c>
      <c r="B33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4" s="3" t="str">
        <f>YEAR(KMART_DATA[[#This Row],[Date]])&amp;"-"&amp;TEXT(MONTH(KMART_DATA[[#This Row],[Date]]),"00")</f>
        <v>2025-07</v>
      </c>
      <c r="D3374" s="3" t="s">
        <v>45</v>
      </c>
      <c r="E3374" s="3" t="s">
        <v>240</v>
      </c>
      <c r="F3374" s="3" t="s">
        <v>15</v>
      </c>
      <c r="G33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374" s="3" t="s">
        <v>241</v>
      </c>
      <c r="I3374" s="3" t="s">
        <v>31</v>
      </c>
      <c r="J3374" s="3" t="s">
        <v>53</v>
      </c>
      <c r="K3374" s="3" t="s">
        <v>71</v>
      </c>
      <c r="L3374" s="3" t="s">
        <v>72</v>
      </c>
      <c r="M3374" s="4">
        <v>281.58</v>
      </c>
    </row>
    <row r="3375">
      <c r="A3375" s="2">
        <v>45840</v>
      </c>
      <c r="B33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5" s="3" t="str">
        <f>YEAR(KMART_DATA[[#This Row],[Date]])&amp;"-"&amp;TEXT(MONTH(KMART_DATA[[#This Row],[Date]]),"00")</f>
        <v>2025-07</v>
      </c>
      <c r="D3375" s="3" t="s">
        <v>28</v>
      </c>
      <c r="E3375" s="3" t="s">
        <v>110</v>
      </c>
      <c r="F3375" s="3" t="s">
        <v>9</v>
      </c>
      <c r="G33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75" s="3" t="s">
        <v>111</v>
      </c>
      <c r="I3375" s="3" t="s">
        <v>31</v>
      </c>
      <c r="J3375" s="3" t="s">
        <v>81</v>
      </c>
      <c r="K3375" s="3" t="s">
        <v>112</v>
      </c>
      <c r="L3375" s="3" t="s">
        <v>113</v>
      </c>
      <c r="M3375" s="4">
        <v>296.23</v>
      </c>
    </row>
    <row r="3376">
      <c r="A3376" s="2">
        <v>45840</v>
      </c>
      <c r="B33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6" s="3" t="str">
        <f>YEAR(KMART_DATA[[#This Row],[Date]])&amp;"-"&amp;TEXT(MONTH(KMART_DATA[[#This Row],[Date]]),"00")</f>
        <v>2025-07</v>
      </c>
      <c r="D3376" s="3" t="s">
        <v>28</v>
      </c>
      <c r="E3376" s="3" t="s">
        <v>29</v>
      </c>
      <c r="F3376" s="3" t="s">
        <v>11</v>
      </c>
      <c r="G33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76" s="3" t="s">
        <v>30</v>
      </c>
      <c r="I3376" s="3" t="s">
        <v>31</v>
      </c>
      <c r="J3376" s="3" t="s">
        <v>32</v>
      </c>
      <c r="K3376" s="3" t="s">
        <v>57</v>
      </c>
      <c r="L3376" s="3" t="s">
        <v>58</v>
      </c>
      <c r="M3376" s="4">
        <v>296.68</v>
      </c>
    </row>
    <row r="3377">
      <c r="A3377" s="2">
        <v>45840</v>
      </c>
      <c r="B33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7" s="3" t="str">
        <f>YEAR(KMART_DATA[[#This Row],[Date]])&amp;"-"&amp;TEXT(MONTH(KMART_DATA[[#This Row],[Date]]),"00")</f>
        <v>2025-07</v>
      </c>
      <c r="D3377" s="3" t="s">
        <v>28</v>
      </c>
      <c r="E3377" s="3" t="s">
        <v>246</v>
      </c>
      <c r="F3377" s="3" t="s">
        <v>10</v>
      </c>
      <c r="G33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77" s="3" t="s">
        <v>247</v>
      </c>
      <c r="I3377" s="3" t="s">
        <v>31</v>
      </c>
      <c r="J3377" s="3" t="s">
        <v>37</v>
      </c>
      <c r="K3377" s="3" t="s">
        <v>43</v>
      </c>
      <c r="L3377" s="3" t="s">
        <v>44</v>
      </c>
      <c r="M3377" s="4">
        <v>989.2</v>
      </c>
    </row>
    <row r="3378">
      <c r="A3378" s="2">
        <v>45841</v>
      </c>
      <c r="B33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8" s="3" t="str">
        <f>YEAR(KMART_DATA[[#This Row],[Date]])&amp;"-"&amp;TEXT(MONTH(KMART_DATA[[#This Row],[Date]]),"00")</f>
        <v>2025-07</v>
      </c>
      <c r="D3378" s="3" t="s">
        <v>45</v>
      </c>
      <c r="E3378" s="3" t="s">
        <v>183</v>
      </c>
      <c r="F3378" s="3" t="s">
        <v>9</v>
      </c>
      <c r="G33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78" s="3" t="s">
        <v>184</v>
      </c>
      <c r="I3378" s="3" t="s">
        <v>31</v>
      </c>
      <c r="J3378" s="3" t="s">
        <v>70</v>
      </c>
      <c r="K3378" s="3" t="s">
        <v>43</v>
      </c>
      <c r="L3378" s="3" t="s">
        <v>44</v>
      </c>
      <c r="M3378" s="4">
        <v>7.99</v>
      </c>
    </row>
    <row r="3379">
      <c r="A3379" s="2">
        <v>45841</v>
      </c>
      <c r="B33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79" s="3" t="str">
        <f>YEAR(KMART_DATA[[#This Row],[Date]])&amp;"-"&amp;TEXT(MONTH(KMART_DATA[[#This Row],[Date]]),"00")</f>
        <v>2025-07</v>
      </c>
      <c r="D3379" s="3" t="s">
        <v>45</v>
      </c>
      <c r="E3379" s="3" t="s">
        <v>87</v>
      </c>
      <c r="F3379" s="3" t="s">
        <v>10</v>
      </c>
      <c r="G33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79" s="3" t="s">
        <v>88</v>
      </c>
      <c r="I3379" s="3" t="s">
        <v>31</v>
      </c>
      <c r="J3379" s="3" t="s">
        <v>89</v>
      </c>
      <c r="K3379" s="3" t="s">
        <v>66</v>
      </c>
      <c r="L3379" s="3" t="s">
        <v>67</v>
      </c>
      <c r="M3379" s="4">
        <v>91.87</v>
      </c>
    </row>
    <row r="3380">
      <c r="A3380" s="2">
        <v>45841</v>
      </c>
      <c r="B33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0" s="3" t="str">
        <f>YEAR(KMART_DATA[[#This Row],[Date]])&amp;"-"&amp;TEXT(MONTH(KMART_DATA[[#This Row],[Date]]),"00")</f>
        <v>2025-07</v>
      </c>
      <c r="D3380" s="3" t="s">
        <v>28</v>
      </c>
      <c r="E3380" s="3" t="s">
        <v>105</v>
      </c>
      <c r="F3380" s="3" t="s">
        <v>9</v>
      </c>
      <c r="G33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80" s="3" t="s">
        <v>106</v>
      </c>
      <c r="I3380" s="3" t="s">
        <v>31</v>
      </c>
      <c r="J3380" s="3" t="s">
        <v>107</v>
      </c>
      <c r="K3380" s="3" t="s">
        <v>38</v>
      </c>
      <c r="L3380" s="3" t="s">
        <v>39</v>
      </c>
      <c r="M3380" s="4">
        <v>223.63</v>
      </c>
    </row>
    <row r="3381">
      <c r="A3381" s="2">
        <v>45841</v>
      </c>
      <c r="B33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1" s="3" t="str">
        <f>YEAR(KMART_DATA[[#This Row],[Date]])&amp;"-"&amp;TEXT(MONTH(KMART_DATA[[#This Row],[Date]]),"00")</f>
        <v>2025-07</v>
      </c>
      <c r="D3381" s="3" t="s">
        <v>28</v>
      </c>
      <c r="E3381" s="3" t="s">
        <v>230</v>
      </c>
      <c r="F3381" s="3" t="s">
        <v>13</v>
      </c>
      <c r="G33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81" s="3" t="s">
        <v>231</v>
      </c>
      <c r="I3381" s="3" t="s">
        <v>31</v>
      </c>
      <c r="J3381" s="3" t="s">
        <v>227</v>
      </c>
      <c r="K3381" s="3" t="s">
        <v>123</v>
      </c>
      <c r="L3381" s="3" t="s">
        <v>124</v>
      </c>
      <c r="M3381" s="4">
        <v>229.4</v>
      </c>
    </row>
    <row r="3382">
      <c r="A3382" s="2">
        <v>45841</v>
      </c>
      <c r="B33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2" s="3" t="str">
        <f>YEAR(KMART_DATA[[#This Row],[Date]])&amp;"-"&amp;TEXT(MONTH(KMART_DATA[[#This Row],[Date]]),"00")</f>
        <v>2025-07</v>
      </c>
      <c r="D3382" s="3" t="s">
        <v>28</v>
      </c>
      <c r="E3382" s="3" t="s">
        <v>131</v>
      </c>
      <c r="F3382" s="3" t="s">
        <v>11</v>
      </c>
      <c r="G33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82" s="3" t="s">
        <v>132</v>
      </c>
      <c r="I3382" s="3" t="s">
        <v>31</v>
      </c>
      <c r="J3382" s="3" t="s">
        <v>32</v>
      </c>
      <c r="K3382" s="3" t="s">
        <v>71</v>
      </c>
      <c r="L3382" s="3" t="s">
        <v>72</v>
      </c>
      <c r="M3382" s="4">
        <v>611.59</v>
      </c>
    </row>
    <row r="3383">
      <c r="A3383" s="2">
        <v>45841</v>
      </c>
      <c r="B33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3" s="3" t="str">
        <f>YEAR(KMART_DATA[[#This Row],[Date]])&amp;"-"&amp;TEXT(MONTH(KMART_DATA[[#This Row],[Date]]),"00")</f>
        <v>2025-07</v>
      </c>
      <c r="D3383" s="3" t="s">
        <v>28</v>
      </c>
      <c r="E3383" s="3" t="s">
        <v>254</v>
      </c>
      <c r="F3383" s="3" t="s">
        <v>13</v>
      </c>
      <c r="G33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383" s="3" t="s">
        <v>255</v>
      </c>
      <c r="I3383" s="3" t="s">
        <v>31</v>
      </c>
      <c r="J3383" s="3" t="s">
        <v>227</v>
      </c>
      <c r="K3383" s="3" t="s">
        <v>95</v>
      </c>
      <c r="L3383" s="3" t="s">
        <v>96</v>
      </c>
      <c r="M3383" s="4">
        <v>888.1</v>
      </c>
    </row>
    <row r="3384">
      <c r="A3384" s="2">
        <v>45842</v>
      </c>
      <c r="B33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4" s="3" t="str">
        <f>YEAR(KMART_DATA[[#This Row],[Date]])&amp;"-"&amp;TEXT(MONTH(KMART_DATA[[#This Row],[Date]]),"00")</f>
        <v>2025-07</v>
      </c>
      <c r="D3384" s="3" t="s">
        <v>28</v>
      </c>
      <c r="E3384" s="3" t="s">
        <v>209</v>
      </c>
      <c r="F3384" s="3" t="s">
        <v>9</v>
      </c>
      <c r="G33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84" s="3" t="s">
        <v>210</v>
      </c>
      <c r="I3384" s="3" t="s">
        <v>31</v>
      </c>
      <c r="J3384" s="3" t="s">
        <v>81</v>
      </c>
      <c r="K3384" s="3" t="s">
        <v>43</v>
      </c>
      <c r="L3384" s="3" t="s">
        <v>44</v>
      </c>
      <c r="M3384" s="4">
        <v>2.0</v>
      </c>
    </row>
    <row r="3385">
      <c r="A3385" s="2">
        <v>45842</v>
      </c>
      <c r="B33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5" s="3" t="str">
        <f>YEAR(KMART_DATA[[#This Row],[Date]])&amp;"-"&amp;TEXT(MONTH(KMART_DATA[[#This Row],[Date]]),"00")</f>
        <v>2025-07</v>
      </c>
      <c r="D3385" s="3" t="s">
        <v>45</v>
      </c>
      <c r="E3385" s="3" t="s">
        <v>103</v>
      </c>
      <c r="F3385" s="3" t="s">
        <v>12</v>
      </c>
      <c r="G33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85" s="3" t="s">
        <v>104</v>
      </c>
      <c r="I3385" s="3" t="s">
        <v>31</v>
      </c>
      <c r="J3385" s="3" t="s">
        <v>102</v>
      </c>
      <c r="K3385" s="3" t="s">
        <v>33</v>
      </c>
      <c r="L3385" s="3" t="s">
        <v>34</v>
      </c>
      <c r="M3385" s="4">
        <v>25.92</v>
      </c>
    </row>
    <row r="3386">
      <c r="A3386" s="2">
        <v>45842</v>
      </c>
      <c r="B33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6" s="3" t="str">
        <f>YEAR(KMART_DATA[[#This Row],[Date]])&amp;"-"&amp;TEXT(MONTH(KMART_DATA[[#This Row],[Date]]),"00")</f>
        <v>2025-07</v>
      </c>
      <c r="D3386" s="3" t="s">
        <v>45</v>
      </c>
      <c r="E3386" s="3" t="s">
        <v>125</v>
      </c>
      <c r="F3386" s="3" t="s">
        <v>10</v>
      </c>
      <c r="G33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86" s="3" t="s">
        <v>126</v>
      </c>
      <c r="I3386" s="3" t="s">
        <v>31</v>
      </c>
      <c r="J3386" s="3" t="s">
        <v>94</v>
      </c>
      <c r="K3386" s="3" t="s">
        <v>43</v>
      </c>
      <c r="L3386" s="3" t="s">
        <v>44</v>
      </c>
      <c r="M3386" s="4">
        <v>113.91</v>
      </c>
    </row>
    <row r="3387">
      <c r="A3387" s="2">
        <v>45842</v>
      </c>
      <c r="B33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7" s="3" t="str">
        <f>YEAR(KMART_DATA[[#This Row],[Date]])&amp;"-"&amp;TEXT(MONTH(KMART_DATA[[#This Row],[Date]]),"00")</f>
        <v>2025-07</v>
      </c>
      <c r="D3387" s="3" t="s">
        <v>45</v>
      </c>
      <c r="E3387" s="3" t="s">
        <v>103</v>
      </c>
      <c r="F3387" s="3" t="s">
        <v>12</v>
      </c>
      <c r="G33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87" s="3" t="s">
        <v>104</v>
      </c>
      <c r="I3387" s="3" t="s">
        <v>31</v>
      </c>
      <c r="J3387" s="3" t="s">
        <v>102</v>
      </c>
      <c r="K3387" s="3" t="s">
        <v>43</v>
      </c>
      <c r="L3387" s="3" t="s">
        <v>44</v>
      </c>
      <c r="M3387" s="4">
        <v>172.83</v>
      </c>
    </row>
    <row r="3388">
      <c r="A3388" s="2">
        <v>45842</v>
      </c>
      <c r="B33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8" s="3" t="str">
        <f>YEAR(KMART_DATA[[#This Row],[Date]])&amp;"-"&amp;TEXT(MONTH(KMART_DATA[[#This Row],[Date]]),"00")</f>
        <v>2025-07</v>
      </c>
      <c r="D3388" s="3" t="s">
        <v>28</v>
      </c>
      <c r="E3388" s="3" t="s">
        <v>139</v>
      </c>
      <c r="F3388" s="3" t="s">
        <v>10</v>
      </c>
      <c r="G33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88" s="3" t="s">
        <v>140</v>
      </c>
      <c r="I3388" s="3" t="s">
        <v>31</v>
      </c>
      <c r="J3388" s="3" t="s">
        <v>89</v>
      </c>
      <c r="K3388" s="3" t="s">
        <v>43</v>
      </c>
      <c r="L3388" s="3" t="s">
        <v>44</v>
      </c>
      <c r="M3388" s="4">
        <v>197.04</v>
      </c>
    </row>
    <row r="3389">
      <c r="A3389" s="2">
        <v>45842</v>
      </c>
      <c r="B33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89" s="3" t="str">
        <f>YEAR(KMART_DATA[[#This Row],[Date]])&amp;"-"&amp;TEXT(MONTH(KMART_DATA[[#This Row],[Date]]),"00")</f>
        <v>2025-07</v>
      </c>
      <c r="D3389" s="3" t="s">
        <v>28</v>
      </c>
      <c r="E3389" s="3" t="s">
        <v>183</v>
      </c>
      <c r="F3389" s="3" t="s">
        <v>9</v>
      </c>
      <c r="G33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89" s="3" t="s">
        <v>184</v>
      </c>
      <c r="I3389" s="3" t="s">
        <v>31</v>
      </c>
      <c r="J3389" s="3" t="s">
        <v>70</v>
      </c>
      <c r="K3389" s="3" t="s">
        <v>112</v>
      </c>
      <c r="L3389" s="3" t="s">
        <v>113</v>
      </c>
      <c r="M3389" s="4">
        <v>242.33</v>
      </c>
    </row>
    <row r="3390">
      <c r="A3390" s="2">
        <v>45842</v>
      </c>
      <c r="B33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0" s="3" t="str">
        <f>YEAR(KMART_DATA[[#This Row],[Date]])&amp;"-"&amp;TEXT(MONTH(KMART_DATA[[#This Row],[Date]]),"00")</f>
        <v>2025-07</v>
      </c>
      <c r="D3390" s="3" t="s">
        <v>28</v>
      </c>
      <c r="E3390" s="3" t="s">
        <v>177</v>
      </c>
      <c r="F3390" s="3" t="s">
        <v>12</v>
      </c>
      <c r="G33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90" s="3" t="s">
        <v>178</v>
      </c>
      <c r="I3390" s="3" t="s">
        <v>31</v>
      </c>
      <c r="J3390" s="3" t="s">
        <v>162</v>
      </c>
      <c r="K3390" s="3" t="s">
        <v>71</v>
      </c>
      <c r="L3390" s="3" t="s">
        <v>72</v>
      </c>
      <c r="M3390" s="4">
        <v>387.33</v>
      </c>
    </row>
    <row r="3391">
      <c r="A3391" s="2">
        <v>45842</v>
      </c>
      <c r="B33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1" s="3" t="str">
        <f>YEAR(KMART_DATA[[#This Row],[Date]])&amp;"-"&amp;TEXT(MONTH(KMART_DATA[[#This Row],[Date]]),"00")</f>
        <v>2025-07</v>
      </c>
      <c r="D3391" s="3" t="s">
        <v>28</v>
      </c>
      <c r="E3391" s="3" t="s">
        <v>181</v>
      </c>
      <c r="F3391" s="3" t="s">
        <v>11</v>
      </c>
      <c r="G33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91" s="3" t="s">
        <v>182</v>
      </c>
      <c r="I3391" s="3" t="s">
        <v>31</v>
      </c>
      <c r="J3391" s="3" t="s">
        <v>56</v>
      </c>
      <c r="K3391" s="3" t="s">
        <v>123</v>
      </c>
      <c r="L3391" s="3" t="s">
        <v>124</v>
      </c>
      <c r="M3391" s="4">
        <v>455.02</v>
      </c>
    </row>
    <row r="3392">
      <c r="A3392" s="2">
        <v>45843</v>
      </c>
      <c r="B33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2" s="3" t="str">
        <f>YEAR(KMART_DATA[[#This Row],[Date]])&amp;"-"&amp;TEXT(MONTH(KMART_DATA[[#This Row],[Date]]),"00")</f>
        <v>2025-07</v>
      </c>
      <c r="D3392" s="3" t="s">
        <v>45</v>
      </c>
      <c r="E3392" s="3" t="s">
        <v>137</v>
      </c>
      <c r="F3392" s="3" t="s">
        <v>10</v>
      </c>
      <c r="G33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92" s="3" t="s">
        <v>138</v>
      </c>
      <c r="I3392" s="3" t="s">
        <v>31</v>
      </c>
      <c r="J3392" s="3" t="s">
        <v>89</v>
      </c>
      <c r="K3392" s="3" t="s">
        <v>123</v>
      </c>
      <c r="L3392" s="3" t="s">
        <v>124</v>
      </c>
      <c r="M3392" s="4">
        <v>32.94</v>
      </c>
    </row>
    <row r="3393">
      <c r="A3393" s="2">
        <v>45843</v>
      </c>
      <c r="B33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3" s="3" t="str">
        <f>YEAR(KMART_DATA[[#This Row],[Date]])&amp;"-"&amp;TEXT(MONTH(KMART_DATA[[#This Row],[Date]]),"00")</f>
        <v>2025-07</v>
      </c>
      <c r="D3393" s="3" t="s">
        <v>45</v>
      </c>
      <c r="E3393" s="3" t="s">
        <v>189</v>
      </c>
      <c r="F3393" s="3" t="s">
        <v>9</v>
      </c>
      <c r="G33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93" s="3" t="s">
        <v>190</v>
      </c>
      <c r="I3393" s="3" t="s">
        <v>31</v>
      </c>
      <c r="J3393" s="3" t="s">
        <v>81</v>
      </c>
      <c r="K3393" s="3" t="s">
        <v>43</v>
      </c>
      <c r="L3393" s="3" t="s">
        <v>44</v>
      </c>
      <c r="M3393" s="4">
        <v>777.14</v>
      </c>
    </row>
    <row r="3394">
      <c r="A3394" s="2">
        <v>45843</v>
      </c>
      <c r="B33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4" s="3" t="str">
        <f>YEAR(KMART_DATA[[#This Row],[Date]])&amp;"-"&amp;TEXT(MONTH(KMART_DATA[[#This Row],[Date]]),"00")</f>
        <v>2025-07</v>
      </c>
      <c r="D3394" s="3" t="s">
        <v>28</v>
      </c>
      <c r="E3394" s="3" t="s">
        <v>175</v>
      </c>
      <c r="F3394" s="3" t="s">
        <v>16</v>
      </c>
      <c r="G33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394" s="3" t="s">
        <v>176</v>
      </c>
      <c r="I3394" s="3" t="s">
        <v>31</v>
      </c>
      <c r="J3394" s="3" t="s">
        <v>107</v>
      </c>
      <c r="K3394" s="3" t="s">
        <v>71</v>
      </c>
      <c r="L3394" s="3" t="s">
        <v>72</v>
      </c>
      <c r="M3394" s="4">
        <v>1025.23</v>
      </c>
    </row>
    <row r="3395">
      <c r="A3395" s="2">
        <v>45843</v>
      </c>
      <c r="B33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5" s="3" t="str">
        <f>YEAR(KMART_DATA[[#This Row],[Date]])&amp;"-"&amp;TEXT(MONTH(KMART_DATA[[#This Row],[Date]]),"00")</f>
        <v>2025-07</v>
      </c>
      <c r="D3395" s="3" t="s">
        <v>28</v>
      </c>
      <c r="E3395" s="3" t="s">
        <v>219</v>
      </c>
      <c r="F3395" s="3" t="s">
        <v>11</v>
      </c>
      <c r="G33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95" s="3" t="s">
        <v>220</v>
      </c>
      <c r="I3395" s="3" t="s">
        <v>31</v>
      </c>
      <c r="J3395" s="3" t="s">
        <v>56</v>
      </c>
      <c r="K3395" s="3" t="s">
        <v>66</v>
      </c>
      <c r="L3395" s="3" t="s">
        <v>67</v>
      </c>
      <c r="M3395" s="4">
        <v>1199.75</v>
      </c>
    </row>
    <row r="3396">
      <c r="A3396" s="2">
        <v>45844</v>
      </c>
      <c r="B33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6" s="3" t="str">
        <f>YEAR(KMART_DATA[[#This Row],[Date]])&amp;"-"&amp;TEXT(MONTH(KMART_DATA[[#This Row],[Date]]),"00")</f>
        <v>2025-07</v>
      </c>
      <c r="D3396" s="3" t="s">
        <v>28</v>
      </c>
      <c r="E3396" s="3" t="s">
        <v>177</v>
      </c>
      <c r="F3396" s="3" t="s">
        <v>12</v>
      </c>
      <c r="G33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396" s="3" t="s">
        <v>178</v>
      </c>
      <c r="I3396" s="3" t="s">
        <v>31</v>
      </c>
      <c r="J3396" s="3" t="s">
        <v>162</v>
      </c>
      <c r="K3396" s="3" t="s">
        <v>112</v>
      </c>
      <c r="L3396" s="3" t="s">
        <v>113</v>
      </c>
      <c r="M3396" s="4">
        <v>4.0</v>
      </c>
    </row>
    <row r="3397">
      <c r="A3397" s="2">
        <v>45844</v>
      </c>
      <c r="B33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7" s="3" t="str">
        <f>YEAR(KMART_DATA[[#This Row],[Date]])&amp;"-"&amp;TEXT(MONTH(KMART_DATA[[#This Row],[Date]]),"00")</f>
        <v>2025-07</v>
      </c>
      <c r="D3397" s="3" t="s">
        <v>28</v>
      </c>
      <c r="E3397" s="3" t="s">
        <v>209</v>
      </c>
      <c r="F3397" s="3" t="s">
        <v>9</v>
      </c>
      <c r="G33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397" s="3" t="s">
        <v>210</v>
      </c>
      <c r="I3397" s="3" t="s">
        <v>31</v>
      </c>
      <c r="J3397" s="3" t="s">
        <v>81</v>
      </c>
      <c r="K3397" s="3" t="s">
        <v>46</v>
      </c>
      <c r="L3397" s="3" t="s">
        <v>47</v>
      </c>
      <c r="M3397" s="4">
        <v>25.98</v>
      </c>
    </row>
    <row r="3398">
      <c r="A3398" s="2">
        <v>45844</v>
      </c>
      <c r="B33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8" s="3" t="str">
        <f>YEAR(KMART_DATA[[#This Row],[Date]])&amp;"-"&amp;TEXT(MONTH(KMART_DATA[[#This Row],[Date]]),"00")</f>
        <v>2025-07</v>
      </c>
      <c r="D3398" s="3" t="s">
        <v>45</v>
      </c>
      <c r="E3398" s="3" t="s">
        <v>219</v>
      </c>
      <c r="F3398" s="3" t="s">
        <v>11</v>
      </c>
      <c r="G33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398" s="3" t="s">
        <v>220</v>
      </c>
      <c r="I3398" s="3" t="s">
        <v>31</v>
      </c>
      <c r="J3398" s="3" t="s">
        <v>56</v>
      </c>
      <c r="K3398" s="3" t="s">
        <v>46</v>
      </c>
      <c r="L3398" s="3" t="s">
        <v>47</v>
      </c>
      <c r="M3398" s="4">
        <v>51.96</v>
      </c>
    </row>
    <row r="3399">
      <c r="A3399" s="2">
        <v>45844</v>
      </c>
      <c r="B33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399" s="3" t="str">
        <f>YEAR(KMART_DATA[[#This Row],[Date]])&amp;"-"&amp;TEXT(MONTH(KMART_DATA[[#This Row],[Date]]),"00")</f>
        <v>2025-07</v>
      </c>
      <c r="D3399" s="3" t="s">
        <v>28</v>
      </c>
      <c r="E3399" s="3" t="s">
        <v>139</v>
      </c>
      <c r="F3399" s="3" t="s">
        <v>10</v>
      </c>
      <c r="G33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399" s="3" t="s">
        <v>140</v>
      </c>
      <c r="I3399" s="3" t="s">
        <v>31</v>
      </c>
      <c r="J3399" s="3" t="s">
        <v>89</v>
      </c>
      <c r="K3399" s="3" t="s">
        <v>95</v>
      </c>
      <c r="L3399" s="3" t="s">
        <v>96</v>
      </c>
      <c r="M3399" s="4">
        <v>124.75</v>
      </c>
    </row>
    <row r="3400">
      <c r="A3400" s="2">
        <v>45844</v>
      </c>
      <c r="B34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0" s="3" t="str">
        <f>YEAR(KMART_DATA[[#This Row],[Date]])&amp;"-"&amp;TEXT(MONTH(KMART_DATA[[#This Row],[Date]]),"00")</f>
        <v>2025-07</v>
      </c>
      <c r="D3400" s="3" t="s">
        <v>28</v>
      </c>
      <c r="E3400" s="3" t="s">
        <v>127</v>
      </c>
      <c r="F3400" s="3" t="s">
        <v>11</v>
      </c>
      <c r="G34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00" s="3" t="s">
        <v>128</v>
      </c>
      <c r="I3400" s="3" t="s">
        <v>31</v>
      </c>
      <c r="J3400" s="3" t="s">
        <v>78</v>
      </c>
      <c r="K3400" s="3" t="s">
        <v>71</v>
      </c>
      <c r="L3400" s="3" t="s">
        <v>72</v>
      </c>
      <c r="M3400" s="4">
        <v>168.87</v>
      </c>
    </row>
    <row r="3401">
      <c r="A3401" s="2">
        <v>45844</v>
      </c>
      <c r="B34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1" s="3" t="str">
        <f>YEAR(KMART_DATA[[#This Row],[Date]])&amp;"-"&amp;TEXT(MONTH(KMART_DATA[[#This Row],[Date]]),"00")</f>
        <v>2025-07</v>
      </c>
      <c r="D3401" s="3" t="s">
        <v>28</v>
      </c>
      <c r="E3401" s="3" t="s">
        <v>232</v>
      </c>
      <c r="F3401" s="3" t="s">
        <v>9</v>
      </c>
      <c r="G34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01" s="3" t="s">
        <v>233</v>
      </c>
      <c r="I3401" s="3" t="s">
        <v>31</v>
      </c>
      <c r="J3401" s="3" t="s">
        <v>75</v>
      </c>
      <c r="K3401" s="3" t="s">
        <v>43</v>
      </c>
      <c r="L3401" s="3" t="s">
        <v>44</v>
      </c>
      <c r="M3401" s="4">
        <v>489.69</v>
      </c>
    </row>
    <row r="3402">
      <c r="A3402" s="2">
        <v>45844</v>
      </c>
      <c r="B34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2" s="3" t="str">
        <f>YEAR(KMART_DATA[[#This Row],[Date]])&amp;"-"&amp;TEXT(MONTH(KMART_DATA[[#This Row],[Date]]),"00")</f>
        <v>2025-07</v>
      </c>
      <c r="D3402" s="3" t="s">
        <v>28</v>
      </c>
      <c r="E3402" s="3" t="s">
        <v>211</v>
      </c>
      <c r="F3402" s="3" t="s">
        <v>9</v>
      </c>
      <c r="G34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02" s="3" t="s">
        <v>212</v>
      </c>
      <c r="I3402" s="3" t="s">
        <v>31</v>
      </c>
      <c r="J3402" s="3" t="s">
        <v>75</v>
      </c>
      <c r="K3402" s="3" t="s">
        <v>66</v>
      </c>
      <c r="L3402" s="3" t="s">
        <v>67</v>
      </c>
      <c r="M3402" s="4">
        <v>1191.76</v>
      </c>
    </row>
    <row r="3403">
      <c r="A3403" s="2">
        <v>45844</v>
      </c>
      <c r="B34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3" s="3" t="str">
        <f>YEAR(KMART_DATA[[#This Row],[Date]])&amp;"-"&amp;TEXT(MONTH(KMART_DATA[[#This Row],[Date]]),"00")</f>
        <v>2025-07</v>
      </c>
      <c r="D3403" s="3" t="s">
        <v>28</v>
      </c>
      <c r="E3403" s="3" t="s">
        <v>160</v>
      </c>
      <c r="F3403" s="3" t="s">
        <v>12</v>
      </c>
      <c r="G34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03" s="3" t="s">
        <v>161</v>
      </c>
      <c r="I3403" s="3" t="s">
        <v>31</v>
      </c>
      <c r="J3403" s="3" t="s">
        <v>162</v>
      </c>
      <c r="K3403" s="3" t="s">
        <v>46</v>
      </c>
      <c r="L3403" s="3" t="s">
        <v>47</v>
      </c>
      <c r="M3403" s="4">
        <v>1224.49</v>
      </c>
    </row>
    <row r="3404">
      <c r="A3404" s="2">
        <v>45845</v>
      </c>
      <c r="B34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4" s="3" t="str">
        <f>YEAR(KMART_DATA[[#This Row],[Date]])&amp;"-"&amp;TEXT(MONTH(KMART_DATA[[#This Row],[Date]]),"00")</f>
        <v>2025-07</v>
      </c>
      <c r="D3404" s="3" t="s">
        <v>28</v>
      </c>
      <c r="E3404" s="3" t="s">
        <v>156</v>
      </c>
      <c r="F3404" s="3" t="s">
        <v>9</v>
      </c>
      <c r="G34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04" s="3" t="s">
        <v>157</v>
      </c>
      <c r="I3404" s="3" t="s">
        <v>31</v>
      </c>
      <c r="J3404" s="3" t="s">
        <v>75</v>
      </c>
      <c r="K3404" s="3" t="s">
        <v>33</v>
      </c>
      <c r="L3404" s="3" t="s">
        <v>34</v>
      </c>
      <c r="M3404" s="4">
        <v>22.93</v>
      </c>
    </row>
    <row r="3405">
      <c r="A3405" s="2">
        <v>45845</v>
      </c>
      <c r="B34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5" s="3" t="str">
        <f>YEAR(KMART_DATA[[#This Row],[Date]])&amp;"-"&amp;TEXT(MONTH(KMART_DATA[[#This Row],[Date]]),"00")</f>
        <v>2025-07</v>
      </c>
      <c r="D3405" s="3" t="s">
        <v>28</v>
      </c>
      <c r="E3405" s="3" t="s">
        <v>179</v>
      </c>
      <c r="F3405" s="3" t="s">
        <v>9</v>
      </c>
      <c r="G34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05" s="3" t="s">
        <v>180</v>
      </c>
      <c r="I3405" s="3" t="s">
        <v>31</v>
      </c>
      <c r="J3405" s="3" t="s">
        <v>99</v>
      </c>
      <c r="K3405" s="3" t="s">
        <v>95</v>
      </c>
      <c r="L3405" s="3" t="s">
        <v>96</v>
      </c>
      <c r="M3405" s="4">
        <v>40.79</v>
      </c>
    </row>
    <row r="3406">
      <c r="A3406" s="2">
        <v>45845</v>
      </c>
      <c r="B34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6" s="3" t="str">
        <f>YEAR(KMART_DATA[[#This Row],[Date]])&amp;"-"&amp;TEXT(MONTH(KMART_DATA[[#This Row],[Date]]),"00")</f>
        <v>2025-07</v>
      </c>
      <c r="D3406" s="3" t="s">
        <v>45</v>
      </c>
      <c r="E3406" s="3" t="s">
        <v>158</v>
      </c>
      <c r="F3406" s="3" t="s">
        <v>11</v>
      </c>
      <c r="G34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06" s="3" t="s">
        <v>159</v>
      </c>
      <c r="I3406" s="3" t="s">
        <v>31</v>
      </c>
      <c r="J3406" s="3" t="s">
        <v>84</v>
      </c>
      <c r="K3406" s="3" t="s">
        <v>95</v>
      </c>
      <c r="L3406" s="3" t="s">
        <v>96</v>
      </c>
      <c r="M3406" s="4">
        <v>95.87</v>
      </c>
    </row>
    <row r="3407">
      <c r="A3407" s="2">
        <v>45845</v>
      </c>
      <c r="B34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7" s="3" t="str">
        <f>YEAR(KMART_DATA[[#This Row],[Date]])&amp;"-"&amp;TEXT(MONTH(KMART_DATA[[#This Row],[Date]]),"00")</f>
        <v>2025-07</v>
      </c>
      <c r="D3407" s="3" t="s">
        <v>45</v>
      </c>
      <c r="E3407" s="3" t="s">
        <v>54</v>
      </c>
      <c r="F3407" s="3" t="s">
        <v>11</v>
      </c>
      <c r="G34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07" s="3" t="s">
        <v>55</v>
      </c>
      <c r="I3407" s="3" t="s">
        <v>31</v>
      </c>
      <c r="J3407" s="3" t="s">
        <v>56</v>
      </c>
      <c r="K3407" s="3" t="s">
        <v>71</v>
      </c>
      <c r="L3407" s="3" t="s">
        <v>72</v>
      </c>
      <c r="M3407" s="4">
        <v>360.75</v>
      </c>
    </row>
    <row r="3408">
      <c r="A3408" s="2">
        <v>45845</v>
      </c>
      <c r="B34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8" s="3" t="str">
        <f>YEAR(KMART_DATA[[#This Row],[Date]])&amp;"-"&amp;TEXT(MONTH(KMART_DATA[[#This Row],[Date]]),"00")</f>
        <v>2025-07</v>
      </c>
      <c r="D3408" s="3" t="s">
        <v>45</v>
      </c>
      <c r="E3408" s="3" t="s">
        <v>146</v>
      </c>
      <c r="F3408" s="3" t="s">
        <v>9</v>
      </c>
      <c r="G34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08" s="3" t="s">
        <v>147</v>
      </c>
      <c r="I3408" s="3" t="s">
        <v>31</v>
      </c>
      <c r="J3408" s="3" t="s">
        <v>75</v>
      </c>
      <c r="K3408" s="3" t="s">
        <v>71</v>
      </c>
      <c r="L3408" s="3" t="s">
        <v>72</v>
      </c>
      <c r="M3408" s="4">
        <v>395.53</v>
      </c>
    </row>
    <row r="3409">
      <c r="A3409" s="2">
        <v>45845</v>
      </c>
      <c r="B34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09" s="3" t="str">
        <f>YEAR(KMART_DATA[[#This Row],[Date]])&amp;"-"&amp;TEXT(MONTH(KMART_DATA[[#This Row],[Date]]),"00")</f>
        <v>2025-07</v>
      </c>
      <c r="D3409" s="3" t="s">
        <v>28</v>
      </c>
      <c r="E3409" s="3" t="s">
        <v>262</v>
      </c>
      <c r="F3409" s="3" t="s">
        <v>10</v>
      </c>
      <c r="G34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09" s="3" t="s">
        <v>263</v>
      </c>
      <c r="I3409" s="3" t="s">
        <v>31</v>
      </c>
      <c r="J3409" s="3" t="s">
        <v>120</v>
      </c>
      <c r="K3409" s="3" t="s">
        <v>123</v>
      </c>
      <c r="L3409" s="3" t="s">
        <v>124</v>
      </c>
      <c r="M3409" s="4">
        <v>801.97</v>
      </c>
    </row>
    <row r="3410">
      <c r="A3410" s="2">
        <v>45845</v>
      </c>
      <c r="B34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0" s="3" t="str">
        <f>YEAR(KMART_DATA[[#This Row],[Date]])&amp;"-"&amp;TEXT(MONTH(KMART_DATA[[#This Row],[Date]]),"00")</f>
        <v>2025-07</v>
      </c>
      <c r="D3410" s="3" t="s">
        <v>28</v>
      </c>
      <c r="E3410" s="3" t="s">
        <v>219</v>
      </c>
      <c r="F3410" s="3" t="s">
        <v>11</v>
      </c>
      <c r="G34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10" s="3" t="s">
        <v>220</v>
      </c>
      <c r="I3410" s="3" t="s">
        <v>31</v>
      </c>
      <c r="J3410" s="3" t="s">
        <v>56</v>
      </c>
      <c r="K3410" s="3" t="s">
        <v>112</v>
      </c>
      <c r="L3410" s="3" t="s">
        <v>113</v>
      </c>
      <c r="M3410" s="4">
        <v>1209.15</v>
      </c>
    </row>
    <row r="3411">
      <c r="A3411" s="2">
        <v>45845</v>
      </c>
      <c r="B34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1" s="3" t="str">
        <f>YEAR(KMART_DATA[[#This Row],[Date]])&amp;"-"&amp;TEXT(MONTH(KMART_DATA[[#This Row],[Date]]),"00")</f>
        <v>2025-07</v>
      </c>
      <c r="D3411" s="3" t="s">
        <v>28</v>
      </c>
      <c r="E3411" s="3" t="s">
        <v>234</v>
      </c>
      <c r="F3411" s="3" t="s">
        <v>9</v>
      </c>
      <c r="G34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11" s="3" t="s">
        <v>235</v>
      </c>
      <c r="I3411" s="3" t="s">
        <v>31</v>
      </c>
      <c r="J3411" s="3" t="s">
        <v>81</v>
      </c>
      <c r="K3411" s="3" t="s">
        <v>46</v>
      </c>
      <c r="L3411" s="3" t="s">
        <v>47</v>
      </c>
      <c r="M3411" s="4">
        <v>1642.0</v>
      </c>
    </row>
    <row r="3412">
      <c r="A3412" s="2">
        <v>45846</v>
      </c>
      <c r="B34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2" s="3" t="str">
        <f>YEAR(KMART_DATA[[#This Row],[Date]])&amp;"-"&amp;TEXT(MONTH(KMART_DATA[[#This Row],[Date]]),"00")</f>
        <v>2025-07</v>
      </c>
      <c r="D3412" s="3" t="s">
        <v>28</v>
      </c>
      <c r="E3412" s="3" t="s">
        <v>76</v>
      </c>
      <c r="F3412" s="3" t="s">
        <v>11</v>
      </c>
      <c r="G34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12" s="3" t="s">
        <v>77</v>
      </c>
      <c r="I3412" s="3" t="s">
        <v>31</v>
      </c>
      <c r="J3412" s="3" t="s">
        <v>78</v>
      </c>
      <c r="K3412" s="3" t="s">
        <v>112</v>
      </c>
      <c r="L3412" s="3" t="s">
        <v>113</v>
      </c>
      <c r="M3412" s="4">
        <v>4.75</v>
      </c>
    </row>
    <row r="3413">
      <c r="A3413" s="2">
        <v>45846</v>
      </c>
      <c r="B34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3" s="3" t="str">
        <f>YEAR(KMART_DATA[[#This Row],[Date]])&amp;"-"&amp;TEXT(MONTH(KMART_DATA[[#This Row],[Date]]),"00")</f>
        <v>2025-07</v>
      </c>
      <c r="D3413" s="3" t="s">
        <v>45</v>
      </c>
      <c r="E3413" s="3" t="s">
        <v>64</v>
      </c>
      <c r="F3413" s="3" t="s">
        <v>11</v>
      </c>
      <c r="G34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13" s="3" t="s">
        <v>65</v>
      </c>
      <c r="I3413" s="3" t="s">
        <v>31</v>
      </c>
      <c r="J3413" s="3" t="s">
        <v>61</v>
      </c>
      <c r="K3413" s="3" t="s">
        <v>43</v>
      </c>
      <c r="L3413" s="3" t="s">
        <v>44</v>
      </c>
      <c r="M3413" s="4">
        <v>10.05</v>
      </c>
    </row>
    <row r="3414">
      <c r="A3414" s="2">
        <v>45846</v>
      </c>
      <c r="B34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4" s="3" t="str">
        <f>YEAR(KMART_DATA[[#This Row],[Date]])&amp;"-"&amp;TEXT(MONTH(KMART_DATA[[#This Row],[Date]]),"00")</f>
        <v>2025-07</v>
      </c>
      <c r="D3414" s="3" t="s">
        <v>28</v>
      </c>
      <c r="E3414" s="3" t="s">
        <v>262</v>
      </c>
      <c r="F3414" s="3" t="s">
        <v>10</v>
      </c>
      <c r="G34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14" s="3" t="s">
        <v>263</v>
      </c>
      <c r="I3414" s="3" t="s">
        <v>31</v>
      </c>
      <c r="J3414" s="3" t="s">
        <v>120</v>
      </c>
      <c r="K3414" s="3" t="s">
        <v>66</v>
      </c>
      <c r="L3414" s="3" t="s">
        <v>67</v>
      </c>
      <c r="M3414" s="4">
        <v>14.21</v>
      </c>
    </row>
    <row r="3415">
      <c r="A3415" s="2">
        <v>45846</v>
      </c>
      <c r="B34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5" s="3" t="str">
        <f>YEAR(KMART_DATA[[#This Row],[Date]])&amp;"-"&amp;TEXT(MONTH(KMART_DATA[[#This Row],[Date]]),"00")</f>
        <v>2025-07</v>
      </c>
      <c r="D3415" s="3" t="s">
        <v>28</v>
      </c>
      <c r="E3415" s="3" t="s">
        <v>156</v>
      </c>
      <c r="F3415" s="3" t="s">
        <v>9</v>
      </c>
      <c r="G34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15" s="3" t="s">
        <v>157</v>
      </c>
      <c r="I3415" s="3" t="s">
        <v>31</v>
      </c>
      <c r="J3415" s="3" t="s">
        <v>75</v>
      </c>
      <c r="K3415" s="3" t="s">
        <v>112</v>
      </c>
      <c r="L3415" s="3" t="s">
        <v>113</v>
      </c>
      <c r="M3415" s="4">
        <v>67.83</v>
      </c>
    </row>
    <row r="3416">
      <c r="A3416" s="2">
        <v>45846</v>
      </c>
      <c r="B34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6" s="3" t="str">
        <f>YEAR(KMART_DATA[[#This Row],[Date]])&amp;"-"&amp;TEXT(MONTH(KMART_DATA[[#This Row],[Date]]),"00")</f>
        <v>2025-07</v>
      </c>
      <c r="D3416" s="3" t="s">
        <v>45</v>
      </c>
      <c r="E3416" s="3" t="s">
        <v>234</v>
      </c>
      <c r="F3416" s="3" t="s">
        <v>9</v>
      </c>
      <c r="G34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16" s="3" t="s">
        <v>235</v>
      </c>
      <c r="I3416" s="3" t="s">
        <v>31</v>
      </c>
      <c r="J3416" s="3" t="s">
        <v>81</v>
      </c>
      <c r="K3416" s="3" t="s">
        <v>38</v>
      </c>
      <c r="L3416" s="3" t="s">
        <v>39</v>
      </c>
      <c r="M3416" s="4">
        <v>471.15</v>
      </c>
    </row>
    <row r="3417">
      <c r="A3417" s="2">
        <v>45846</v>
      </c>
      <c r="B34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7" s="3" t="str">
        <f>YEAR(KMART_DATA[[#This Row],[Date]])&amp;"-"&amp;TEXT(MONTH(KMART_DATA[[#This Row],[Date]]),"00")</f>
        <v>2025-07</v>
      </c>
      <c r="D3417" s="3" t="s">
        <v>28</v>
      </c>
      <c r="E3417" s="3" t="s">
        <v>163</v>
      </c>
      <c r="F3417" s="3" t="s">
        <v>9</v>
      </c>
      <c r="G34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17" s="3" t="s">
        <v>164</v>
      </c>
      <c r="I3417" s="3" t="s">
        <v>31</v>
      </c>
      <c r="J3417" s="3" t="s">
        <v>81</v>
      </c>
      <c r="K3417" s="3" t="s">
        <v>43</v>
      </c>
      <c r="L3417" s="3" t="s">
        <v>44</v>
      </c>
      <c r="M3417" s="4">
        <v>721.23</v>
      </c>
    </row>
    <row r="3418">
      <c r="A3418" s="2">
        <v>45846</v>
      </c>
      <c r="B34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8" s="3" t="str">
        <f>YEAR(KMART_DATA[[#This Row],[Date]])&amp;"-"&amp;TEXT(MONTH(KMART_DATA[[#This Row],[Date]]),"00")</f>
        <v>2025-07</v>
      </c>
      <c r="D3418" s="3" t="s">
        <v>28</v>
      </c>
      <c r="E3418" s="3" t="s">
        <v>160</v>
      </c>
      <c r="F3418" s="3" t="s">
        <v>12</v>
      </c>
      <c r="G34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18" s="3" t="s">
        <v>161</v>
      </c>
      <c r="I3418" s="3" t="s">
        <v>31</v>
      </c>
      <c r="J3418" s="3" t="s">
        <v>162</v>
      </c>
      <c r="K3418" s="3" t="s">
        <v>71</v>
      </c>
      <c r="L3418" s="3" t="s">
        <v>72</v>
      </c>
      <c r="M3418" s="4">
        <v>1724.37</v>
      </c>
    </row>
    <row r="3419">
      <c r="A3419" s="2">
        <v>45846</v>
      </c>
      <c r="B34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19" s="3" t="str">
        <f>YEAR(KMART_DATA[[#This Row],[Date]])&amp;"-"&amp;TEXT(MONTH(KMART_DATA[[#This Row],[Date]]),"00")</f>
        <v>2025-07</v>
      </c>
      <c r="D3419" s="3" t="s">
        <v>28</v>
      </c>
      <c r="E3419" s="3" t="s">
        <v>217</v>
      </c>
      <c r="F3419" s="3" t="s">
        <v>10</v>
      </c>
      <c r="G34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19" s="3" t="s">
        <v>218</v>
      </c>
      <c r="I3419" s="3" t="s">
        <v>31</v>
      </c>
      <c r="J3419" s="3" t="s">
        <v>89</v>
      </c>
      <c r="K3419" s="3" t="s">
        <v>57</v>
      </c>
      <c r="L3419" s="3" t="s">
        <v>58</v>
      </c>
      <c r="M3419" s="4">
        <v>3343.95</v>
      </c>
    </row>
    <row r="3420">
      <c r="A3420" s="2">
        <v>45847</v>
      </c>
      <c r="B34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0" s="3" t="str">
        <f>YEAR(KMART_DATA[[#This Row],[Date]])&amp;"-"&amp;TEXT(MONTH(KMART_DATA[[#This Row],[Date]]),"00")</f>
        <v>2025-07</v>
      </c>
      <c r="D3420" s="3" t="s">
        <v>28</v>
      </c>
      <c r="E3420" s="3" t="s">
        <v>165</v>
      </c>
      <c r="F3420" s="3" t="s">
        <v>9</v>
      </c>
      <c r="G34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20" s="3" t="s">
        <v>166</v>
      </c>
      <c r="I3420" s="3" t="s">
        <v>31</v>
      </c>
      <c r="J3420" s="3" t="s">
        <v>99</v>
      </c>
      <c r="K3420" s="3" t="s">
        <v>46</v>
      </c>
      <c r="L3420" s="3" t="s">
        <v>47</v>
      </c>
      <c r="M3420" s="4">
        <v>41.93</v>
      </c>
    </row>
    <row r="3421">
      <c r="A3421" s="2">
        <v>45847</v>
      </c>
      <c r="B34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1" s="3" t="str">
        <f>YEAR(KMART_DATA[[#This Row],[Date]])&amp;"-"&amp;TEXT(MONTH(KMART_DATA[[#This Row],[Date]]),"00")</f>
        <v>2025-07</v>
      </c>
      <c r="D3421" s="3" t="s">
        <v>28</v>
      </c>
      <c r="E3421" s="3" t="s">
        <v>193</v>
      </c>
      <c r="F3421" s="3" t="s">
        <v>9</v>
      </c>
      <c r="G34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21" s="3" t="s">
        <v>194</v>
      </c>
      <c r="I3421" s="3" t="s">
        <v>31</v>
      </c>
      <c r="J3421" s="3" t="s">
        <v>99</v>
      </c>
      <c r="K3421" s="3" t="s">
        <v>112</v>
      </c>
      <c r="L3421" s="3" t="s">
        <v>113</v>
      </c>
      <c r="M3421" s="4">
        <v>44.91</v>
      </c>
    </row>
    <row r="3422">
      <c r="A3422" s="2">
        <v>45847</v>
      </c>
      <c r="B34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2" s="3" t="str">
        <f>YEAR(KMART_DATA[[#This Row],[Date]])&amp;"-"&amp;TEXT(MONTH(KMART_DATA[[#This Row],[Date]]),"00")</f>
        <v>2025-07</v>
      </c>
      <c r="D3422" s="3" t="s">
        <v>28</v>
      </c>
      <c r="E3422" s="3" t="s">
        <v>169</v>
      </c>
      <c r="F3422" s="3" t="s">
        <v>12</v>
      </c>
      <c r="G34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22" s="3" t="s">
        <v>170</v>
      </c>
      <c r="I3422" s="3" t="s">
        <v>31</v>
      </c>
      <c r="J3422" s="3" t="s">
        <v>102</v>
      </c>
      <c r="K3422" s="3" t="s">
        <v>38</v>
      </c>
      <c r="L3422" s="3" t="s">
        <v>39</v>
      </c>
      <c r="M3422" s="4">
        <v>71.49</v>
      </c>
    </row>
    <row r="3423">
      <c r="A3423" s="2">
        <v>45847</v>
      </c>
      <c r="B34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3" s="3" t="str">
        <f>YEAR(KMART_DATA[[#This Row],[Date]])&amp;"-"&amp;TEXT(MONTH(KMART_DATA[[#This Row],[Date]]),"00")</f>
        <v>2025-07</v>
      </c>
      <c r="D3423" s="3" t="s">
        <v>28</v>
      </c>
      <c r="E3423" s="3" t="s">
        <v>217</v>
      </c>
      <c r="F3423" s="3" t="s">
        <v>10</v>
      </c>
      <c r="G34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23" s="3" t="s">
        <v>218</v>
      </c>
      <c r="I3423" s="3" t="s">
        <v>31</v>
      </c>
      <c r="J3423" s="3" t="s">
        <v>89</v>
      </c>
      <c r="K3423" s="3" t="s">
        <v>123</v>
      </c>
      <c r="L3423" s="3" t="s">
        <v>124</v>
      </c>
      <c r="M3423" s="4">
        <v>258.97</v>
      </c>
    </row>
    <row r="3424">
      <c r="A3424" s="2">
        <v>45847</v>
      </c>
      <c r="B34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4" s="3" t="str">
        <f>YEAR(KMART_DATA[[#This Row],[Date]])&amp;"-"&amp;TEXT(MONTH(KMART_DATA[[#This Row],[Date]]),"00")</f>
        <v>2025-07</v>
      </c>
      <c r="D3424" s="3" t="s">
        <v>45</v>
      </c>
      <c r="E3424" s="3" t="s">
        <v>189</v>
      </c>
      <c r="F3424" s="3" t="s">
        <v>9</v>
      </c>
      <c r="G34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24" s="3" t="s">
        <v>190</v>
      </c>
      <c r="I3424" s="3" t="s">
        <v>31</v>
      </c>
      <c r="J3424" s="3" t="s">
        <v>81</v>
      </c>
      <c r="K3424" s="3" t="s">
        <v>38</v>
      </c>
      <c r="L3424" s="3" t="s">
        <v>39</v>
      </c>
      <c r="M3424" s="4">
        <v>264.5</v>
      </c>
    </row>
    <row r="3425">
      <c r="A3425" s="2">
        <v>45847</v>
      </c>
      <c r="B34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5" s="3" t="str">
        <f>YEAR(KMART_DATA[[#This Row],[Date]])&amp;"-"&amp;TEXT(MONTH(KMART_DATA[[#This Row],[Date]]),"00")</f>
        <v>2025-07</v>
      </c>
      <c r="D3425" s="3" t="s">
        <v>45</v>
      </c>
      <c r="E3425" s="3" t="s">
        <v>127</v>
      </c>
      <c r="F3425" s="3" t="s">
        <v>11</v>
      </c>
      <c r="G34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25" s="3" t="s">
        <v>128</v>
      </c>
      <c r="I3425" s="3" t="s">
        <v>31</v>
      </c>
      <c r="J3425" s="3" t="s">
        <v>78</v>
      </c>
      <c r="K3425" s="3" t="s">
        <v>71</v>
      </c>
      <c r="L3425" s="3" t="s">
        <v>72</v>
      </c>
      <c r="M3425" s="4">
        <v>618.4</v>
      </c>
    </row>
    <row r="3426">
      <c r="A3426" s="2">
        <v>45847</v>
      </c>
      <c r="B34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6" s="3" t="str">
        <f>YEAR(KMART_DATA[[#This Row],[Date]])&amp;"-"&amp;TEXT(MONTH(KMART_DATA[[#This Row],[Date]]),"00")</f>
        <v>2025-07</v>
      </c>
      <c r="D3426" s="3" t="s">
        <v>28</v>
      </c>
      <c r="E3426" s="3" t="s">
        <v>244</v>
      </c>
      <c r="F3426" s="3" t="s">
        <v>13</v>
      </c>
      <c r="G34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426" s="3" t="s">
        <v>245</v>
      </c>
      <c r="I3426" s="3" t="s">
        <v>31</v>
      </c>
      <c r="J3426" s="3" t="s">
        <v>42</v>
      </c>
      <c r="K3426" s="3" t="s">
        <v>123</v>
      </c>
      <c r="L3426" s="3" t="s">
        <v>124</v>
      </c>
      <c r="M3426" s="4">
        <v>795.65</v>
      </c>
    </row>
    <row r="3427">
      <c r="A3427" s="2">
        <v>45847</v>
      </c>
      <c r="B34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7" s="3" t="str">
        <f>YEAR(KMART_DATA[[#This Row],[Date]])&amp;"-"&amp;TEXT(MONTH(KMART_DATA[[#This Row],[Date]]),"00")</f>
        <v>2025-07</v>
      </c>
      <c r="D3427" s="3" t="s">
        <v>28</v>
      </c>
      <c r="E3427" s="3" t="s">
        <v>197</v>
      </c>
      <c r="F3427" s="3" t="s">
        <v>9</v>
      </c>
      <c r="G34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27" s="3" t="s">
        <v>198</v>
      </c>
      <c r="I3427" s="3" t="s">
        <v>31</v>
      </c>
      <c r="J3427" s="3" t="s">
        <v>107</v>
      </c>
      <c r="K3427" s="3" t="s">
        <v>71</v>
      </c>
      <c r="L3427" s="3" t="s">
        <v>72</v>
      </c>
      <c r="M3427" s="4">
        <v>1590.76</v>
      </c>
    </row>
    <row r="3428">
      <c r="A3428" s="2">
        <v>45847</v>
      </c>
      <c r="B34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8" s="3" t="str">
        <f>YEAR(KMART_DATA[[#This Row],[Date]])&amp;"-"&amp;TEXT(MONTH(KMART_DATA[[#This Row],[Date]]),"00")</f>
        <v>2025-07</v>
      </c>
      <c r="D3428" s="3" t="s">
        <v>28</v>
      </c>
      <c r="E3428" s="3" t="s">
        <v>110</v>
      </c>
      <c r="F3428" s="3" t="s">
        <v>9</v>
      </c>
      <c r="G34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28" s="3" t="s">
        <v>111</v>
      </c>
      <c r="I3428" s="3" t="s">
        <v>31</v>
      </c>
      <c r="J3428" s="3" t="s">
        <v>81</v>
      </c>
      <c r="K3428" s="3" t="s">
        <v>33</v>
      </c>
      <c r="L3428" s="3" t="s">
        <v>34</v>
      </c>
      <c r="M3428" s="4">
        <v>3377.2</v>
      </c>
    </row>
    <row r="3429">
      <c r="A3429" s="2">
        <v>45848</v>
      </c>
      <c r="B34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29" s="3" t="str">
        <f>YEAR(KMART_DATA[[#This Row],[Date]])&amp;"-"&amp;TEXT(MONTH(KMART_DATA[[#This Row],[Date]]),"00")</f>
        <v>2025-07</v>
      </c>
      <c r="D3429" s="3" t="s">
        <v>28</v>
      </c>
      <c r="E3429" s="3" t="s">
        <v>103</v>
      </c>
      <c r="F3429" s="3" t="s">
        <v>12</v>
      </c>
      <c r="G34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29" s="3" t="s">
        <v>104</v>
      </c>
      <c r="I3429" s="3" t="s">
        <v>31</v>
      </c>
      <c r="J3429" s="3" t="s">
        <v>102</v>
      </c>
      <c r="K3429" s="3" t="s">
        <v>46</v>
      </c>
      <c r="L3429" s="3" t="s">
        <v>47</v>
      </c>
      <c r="M3429" s="4">
        <v>3.5</v>
      </c>
    </row>
    <row r="3430">
      <c r="A3430" s="2">
        <v>45848</v>
      </c>
      <c r="B34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0" s="3" t="str">
        <f>YEAR(KMART_DATA[[#This Row],[Date]])&amp;"-"&amp;TEXT(MONTH(KMART_DATA[[#This Row],[Date]]),"00")</f>
        <v>2025-07</v>
      </c>
      <c r="D3430" s="3" t="s">
        <v>28</v>
      </c>
      <c r="E3430" s="3" t="s">
        <v>169</v>
      </c>
      <c r="F3430" s="3" t="s">
        <v>12</v>
      </c>
      <c r="G34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30" s="3" t="s">
        <v>170</v>
      </c>
      <c r="I3430" s="3" t="s">
        <v>31</v>
      </c>
      <c r="J3430" s="3" t="s">
        <v>102</v>
      </c>
      <c r="K3430" s="3" t="s">
        <v>46</v>
      </c>
      <c r="L3430" s="3" t="s">
        <v>47</v>
      </c>
      <c r="M3430" s="4">
        <v>967.21</v>
      </c>
    </row>
    <row r="3431">
      <c r="A3431" s="2">
        <v>45848</v>
      </c>
      <c r="B34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1" s="3" t="str">
        <f>YEAR(KMART_DATA[[#This Row],[Date]])&amp;"-"&amp;TEXT(MONTH(KMART_DATA[[#This Row],[Date]]),"00")</f>
        <v>2025-07</v>
      </c>
      <c r="D3431" s="3" t="s">
        <v>45</v>
      </c>
      <c r="E3431" s="3" t="s">
        <v>82</v>
      </c>
      <c r="F3431" s="3" t="s">
        <v>11</v>
      </c>
      <c r="G34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31" s="3" t="s">
        <v>83</v>
      </c>
      <c r="I3431" s="3" t="s">
        <v>31</v>
      </c>
      <c r="J3431" s="3" t="s">
        <v>84</v>
      </c>
      <c r="K3431" s="3" t="s">
        <v>71</v>
      </c>
      <c r="L3431" s="3" t="s">
        <v>72</v>
      </c>
      <c r="M3431" s="4">
        <v>1013.14</v>
      </c>
    </row>
    <row r="3432">
      <c r="A3432" s="2">
        <v>45849</v>
      </c>
      <c r="B34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2" s="3" t="str">
        <f>YEAR(KMART_DATA[[#This Row],[Date]])&amp;"-"&amp;TEXT(MONTH(KMART_DATA[[#This Row],[Date]]),"00")</f>
        <v>2025-07</v>
      </c>
      <c r="D3432" s="3" t="s">
        <v>28</v>
      </c>
      <c r="E3432" s="3" t="s">
        <v>169</v>
      </c>
      <c r="F3432" s="3" t="s">
        <v>12</v>
      </c>
      <c r="G34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32" s="3" t="s">
        <v>170</v>
      </c>
      <c r="I3432" s="3" t="s">
        <v>31</v>
      </c>
      <c r="J3432" s="3" t="s">
        <v>102</v>
      </c>
      <c r="K3432" s="3" t="s">
        <v>71</v>
      </c>
      <c r="L3432" s="3" t="s">
        <v>72</v>
      </c>
      <c r="M3432" s="4">
        <v>23.94</v>
      </c>
    </row>
    <row r="3433">
      <c r="A3433" s="2">
        <v>45849</v>
      </c>
      <c r="B34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3" s="3" t="str">
        <f>YEAR(KMART_DATA[[#This Row],[Date]])&amp;"-"&amp;TEXT(MONTH(KMART_DATA[[#This Row],[Date]]),"00")</f>
        <v>2025-07</v>
      </c>
      <c r="D3433" s="3" t="s">
        <v>28</v>
      </c>
      <c r="E3433" s="3" t="s">
        <v>51</v>
      </c>
      <c r="F3433" s="3" t="s">
        <v>15</v>
      </c>
      <c r="G34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433" s="3" t="s">
        <v>52</v>
      </c>
      <c r="I3433" s="3" t="s">
        <v>31</v>
      </c>
      <c r="J3433" s="3" t="s">
        <v>53</v>
      </c>
      <c r="K3433" s="3" t="s">
        <v>112</v>
      </c>
      <c r="L3433" s="3" t="s">
        <v>113</v>
      </c>
      <c r="M3433" s="4">
        <v>40.29</v>
      </c>
    </row>
    <row r="3434">
      <c r="A3434" s="2">
        <v>45849</v>
      </c>
      <c r="B34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4" s="3" t="str">
        <f>YEAR(KMART_DATA[[#This Row],[Date]])&amp;"-"&amp;TEXT(MONTH(KMART_DATA[[#This Row],[Date]]),"00")</f>
        <v>2025-07</v>
      </c>
      <c r="D3434" s="3" t="s">
        <v>45</v>
      </c>
      <c r="E3434" s="3" t="s">
        <v>160</v>
      </c>
      <c r="F3434" s="3" t="s">
        <v>12</v>
      </c>
      <c r="G34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34" s="3" t="s">
        <v>161</v>
      </c>
      <c r="I3434" s="3" t="s">
        <v>31</v>
      </c>
      <c r="J3434" s="3" t="s">
        <v>162</v>
      </c>
      <c r="K3434" s="3" t="s">
        <v>43</v>
      </c>
      <c r="L3434" s="3" t="s">
        <v>44</v>
      </c>
      <c r="M3434" s="4">
        <v>87.41</v>
      </c>
    </row>
    <row r="3435">
      <c r="A3435" s="2">
        <v>45850</v>
      </c>
      <c r="B34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5" s="3" t="str">
        <f>YEAR(KMART_DATA[[#This Row],[Date]])&amp;"-"&amp;TEXT(MONTH(KMART_DATA[[#This Row],[Date]]),"00")</f>
        <v>2025-07</v>
      </c>
      <c r="D3435" s="3" t="s">
        <v>28</v>
      </c>
      <c r="E3435" s="3" t="s">
        <v>158</v>
      </c>
      <c r="F3435" s="3" t="s">
        <v>11</v>
      </c>
      <c r="G34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35" s="3" t="s">
        <v>159</v>
      </c>
      <c r="I3435" s="3" t="s">
        <v>31</v>
      </c>
      <c r="J3435" s="3" t="s">
        <v>84</v>
      </c>
      <c r="K3435" s="3" t="s">
        <v>33</v>
      </c>
      <c r="L3435" s="3" t="s">
        <v>34</v>
      </c>
      <c r="M3435" s="4">
        <v>12.99</v>
      </c>
    </row>
    <row r="3436">
      <c r="A3436" s="2">
        <v>45850</v>
      </c>
      <c r="B34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6" s="3" t="str">
        <f>YEAR(KMART_DATA[[#This Row],[Date]])&amp;"-"&amp;TEXT(MONTH(KMART_DATA[[#This Row],[Date]]),"00")</f>
        <v>2025-07</v>
      </c>
      <c r="D3436" s="3" t="s">
        <v>28</v>
      </c>
      <c r="E3436" s="3" t="s">
        <v>175</v>
      </c>
      <c r="F3436" s="3" t="s">
        <v>16</v>
      </c>
      <c r="G34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436" s="3" t="s">
        <v>176</v>
      </c>
      <c r="I3436" s="3" t="s">
        <v>31</v>
      </c>
      <c r="J3436" s="3" t="s">
        <v>107</v>
      </c>
      <c r="K3436" s="3" t="s">
        <v>71</v>
      </c>
      <c r="L3436" s="3" t="s">
        <v>72</v>
      </c>
      <c r="M3436" s="4">
        <v>13.98</v>
      </c>
    </row>
    <row r="3437">
      <c r="A3437" s="2">
        <v>45850</v>
      </c>
      <c r="B34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7" s="3" t="str">
        <f>YEAR(KMART_DATA[[#This Row],[Date]])&amp;"-"&amp;TEXT(MONTH(KMART_DATA[[#This Row],[Date]]),"00")</f>
        <v>2025-07</v>
      </c>
      <c r="D3437" s="3" t="s">
        <v>28</v>
      </c>
      <c r="E3437" s="3" t="s">
        <v>189</v>
      </c>
      <c r="F3437" s="3" t="s">
        <v>9</v>
      </c>
      <c r="G34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37" s="3" t="s">
        <v>190</v>
      </c>
      <c r="I3437" s="3" t="s">
        <v>31</v>
      </c>
      <c r="J3437" s="3" t="s">
        <v>81</v>
      </c>
      <c r="K3437" s="3" t="s">
        <v>123</v>
      </c>
      <c r="L3437" s="3" t="s">
        <v>124</v>
      </c>
      <c r="M3437" s="4">
        <v>43.97</v>
      </c>
    </row>
    <row r="3438">
      <c r="A3438" s="2">
        <v>45850</v>
      </c>
      <c r="B34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8" s="3" t="str">
        <f>YEAR(KMART_DATA[[#This Row],[Date]])&amp;"-"&amp;TEXT(MONTH(KMART_DATA[[#This Row],[Date]]),"00")</f>
        <v>2025-07</v>
      </c>
      <c r="D3438" s="3" t="s">
        <v>28</v>
      </c>
      <c r="E3438" s="3" t="s">
        <v>205</v>
      </c>
      <c r="F3438" s="3" t="s">
        <v>10</v>
      </c>
      <c r="G34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38" s="3" t="s">
        <v>206</v>
      </c>
      <c r="I3438" s="3" t="s">
        <v>31</v>
      </c>
      <c r="J3438" s="3" t="s">
        <v>37</v>
      </c>
      <c r="K3438" s="3" t="s">
        <v>71</v>
      </c>
      <c r="L3438" s="3" t="s">
        <v>72</v>
      </c>
      <c r="M3438" s="4">
        <v>568.63</v>
      </c>
    </row>
    <row r="3439">
      <c r="A3439" s="2">
        <v>45851</v>
      </c>
      <c r="B34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39" s="3" t="str">
        <f>YEAR(KMART_DATA[[#This Row],[Date]])&amp;"-"&amp;TEXT(MONTH(KMART_DATA[[#This Row],[Date]]),"00")</f>
        <v>2025-07</v>
      </c>
      <c r="D3439" s="3" t="s">
        <v>28</v>
      </c>
      <c r="E3439" s="3" t="s">
        <v>97</v>
      </c>
      <c r="F3439" s="3" t="s">
        <v>9</v>
      </c>
      <c r="G34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39" s="3" t="s">
        <v>98</v>
      </c>
      <c r="I3439" s="3" t="s">
        <v>31</v>
      </c>
      <c r="J3439" s="3" t="s">
        <v>99</v>
      </c>
      <c r="K3439" s="3" t="s">
        <v>95</v>
      </c>
      <c r="L3439" s="3" t="s">
        <v>96</v>
      </c>
      <c r="M3439" s="4">
        <v>3.49</v>
      </c>
    </row>
    <row r="3440">
      <c r="A3440" s="2">
        <v>45851</v>
      </c>
      <c r="B34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0" s="3" t="str">
        <f>YEAR(KMART_DATA[[#This Row],[Date]])&amp;"-"&amp;TEXT(MONTH(KMART_DATA[[#This Row],[Date]]),"00")</f>
        <v>2025-07</v>
      </c>
      <c r="D3440" s="3" t="s">
        <v>28</v>
      </c>
      <c r="E3440" s="3" t="s">
        <v>131</v>
      </c>
      <c r="F3440" s="3" t="s">
        <v>11</v>
      </c>
      <c r="G34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40" s="3" t="s">
        <v>132</v>
      </c>
      <c r="I3440" s="3" t="s">
        <v>31</v>
      </c>
      <c r="J3440" s="3" t="s">
        <v>32</v>
      </c>
      <c r="K3440" s="3" t="s">
        <v>46</v>
      </c>
      <c r="L3440" s="3" t="s">
        <v>47</v>
      </c>
      <c r="M3440" s="4">
        <v>4.5</v>
      </c>
    </row>
    <row r="3441">
      <c r="A3441" s="2">
        <v>45851</v>
      </c>
      <c r="B34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1" s="3" t="str">
        <f>YEAR(KMART_DATA[[#This Row],[Date]])&amp;"-"&amp;TEXT(MONTH(KMART_DATA[[#This Row],[Date]]),"00")</f>
        <v>2025-07</v>
      </c>
      <c r="D3441" s="3" t="s">
        <v>45</v>
      </c>
      <c r="E3441" s="3" t="s">
        <v>87</v>
      </c>
      <c r="F3441" s="3" t="s">
        <v>10</v>
      </c>
      <c r="G34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41" s="3" t="s">
        <v>88</v>
      </c>
      <c r="I3441" s="3" t="s">
        <v>31</v>
      </c>
      <c r="J3441" s="3" t="s">
        <v>89</v>
      </c>
      <c r="K3441" s="3" t="s">
        <v>38</v>
      </c>
      <c r="L3441" s="3" t="s">
        <v>39</v>
      </c>
      <c r="M3441" s="4">
        <v>6.0</v>
      </c>
    </row>
    <row r="3442">
      <c r="A3442" s="2">
        <v>45851</v>
      </c>
      <c r="B34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2" s="3" t="str">
        <f>YEAR(KMART_DATA[[#This Row],[Date]])&amp;"-"&amp;TEXT(MONTH(KMART_DATA[[#This Row],[Date]]),"00")</f>
        <v>2025-07</v>
      </c>
      <c r="D3442" s="3" t="s">
        <v>28</v>
      </c>
      <c r="E3442" s="3" t="s">
        <v>133</v>
      </c>
      <c r="F3442" s="3" t="s">
        <v>10</v>
      </c>
      <c r="G34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42" s="3" t="s">
        <v>134</v>
      </c>
      <c r="I3442" s="3" t="s">
        <v>31</v>
      </c>
      <c r="J3442" s="3" t="s">
        <v>37</v>
      </c>
      <c r="K3442" s="3" t="s">
        <v>71</v>
      </c>
      <c r="L3442" s="3" t="s">
        <v>72</v>
      </c>
      <c r="M3442" s="4">
        <v>25.98</v>
      </c>
    </row>
    <row r="3443">
      <c r="A3443" s="2">
        <v>45851</v>
      </c>
      <c r="B34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3" s="3" t="str">
        <f>YEAR(KMART_DATA[[#This Row],[Date]])&amp;"-"&amp;TEXT(MONTH(KMART_DATA[[#This Row],[Date]]),"00")</f>
        <v>2025-07</v>
      </c>
      <c r="D3443" s="3" t="s">
        <v>45</v>
      </c>
      <c r="E3443" s="3" t="s">
        <v>114</v>
      </c>
      <c r="F3443" s="3" t="s">
        <v>9</v>
      </c>
      <c r="G34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43" s="3" t="s">
        <v>115</v>
      </c>
      <c r="I3443" s="3" t="s">
        <v>31</v>
      </c>
      <c r="J3443" s="3" t="s">
        <v>99</v>
      </c>
      <c r="K3443" s="3" t="s">
        <v>95</v>
      </c>
      <c r="L3443" s="3" t="s">
        <v>96</v>
      </c>
      <c r="M3443" s="4">
        <v>147.8</v>
      </c>
    </row>
    <row r="3444">
      <c r="A3444" s="2">
        <v>45851</v>
      </c>
      <c r="B34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4" s="3" t="str">
        <f>YEAR(KMART_DATA[[#This Row],[Date]])&amp;"-"&amp;TEXT(MONTH(KMART_DATA[[#This Row],[Date]]),"00")</f>
        <v>2025-07</v>
      </c>
      <c r="D3444" s="3" t="s">
        <v>45</v>
      </c>
      <c r="E3444" s="3" t="s">
        <v>148</v>
      </c>
      <c r="F3444" s="3" t="s">
        <v>12</v>
      </c>
      <c r="G34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44" s="3" t="s">
        <v>149</v>
      </c>
      <c r="I3444" s="3" t="s">
        <v>31</v>
      </c>
      <c r="J3444" s="3" t="s">
        <v>50</v>
      </c>
      <c r="K3444" s="3" t="s">
        <v>71</v>
      </c>
      <c r="L3444" s="3" t="s">
        <v>72</v>
      </c>
      <c r="M3444" s="4">
        <v>159.11</v>
      </c>
    </row>
    <row r="3445">
      <c r="A3445" s="2">
        <v>45851</v>
      </c>
      <c r="B34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5" s="3" t="str">
        <f>YEAR(KMART_DATA[[#This Row],[Date]])&amp;"-"&amp;TEXT(MONTH(KMART_DATA[[#This Row],[Date]]),"00")</f>
        <v>2025-07</v>
      </c>
      <c r="D3445" s="3" t="s">
        <v>45</v>
      </c>
      <c r="E3445" s="3" t="s">
        <v>108</v>
      </c>
      <c r="F3445" s="3" t="s">
        <v>9</v>
      </c>
      <c r="G34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45" s="3" t="s">
        <v>109</v>
      </c>
      <c r="I3445" s="3" t="s">
        <v>31</v>
      </c>
      <c r="J3445" s="3" t="s">
        <v>75</v>
      </c>
      <c r="K3445" s="3" t="s">
        <v>123</v>
      </c>
      <c r="L3445" s="3" t="s">
        <v>124</v>
      </c>
      <c r="M3445" s="4">
        <v>597.21</v>
      </c>
    </row>
    <row r="3446">
      <c r="A3446" s="2">
        <v>45851</v>
      </c>
      <c r="B34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6" s="3" t="str">
        <f>YEAR(KMART_DATA[[#This Row],[Date]])&amp;"-"&amp;TEXT(MONTH(KMART_DATA[[#This Row],[Date]]),"00")</f>
        <v>2025-07</v>
      </c>
      <c r="D3446" s="3" t="s">
        <v>28</v>
      </c>
      <c r="E3446" s="3" t="s">
        <v>105</v>
      </c>
      <c r="F3446" s="3" t="s">
        <v>9</v>
      </c>
      <c r="G34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46" s="3" t="s">
        <v>106</v>
      </c>
      <c r="I3446" s="3" t="s">
        <v>31</v>
      </c>
      <c r="J3446" s="3" t="s">
        <v>107</v>
      </c>
      <c r="K3446" s="3" t="s">
        <v>57</v>
      </c>
      <c r="L3446" s="3" t="s">
        <v>58</v>
      </c>
      <c r="M3446" s="4">
        <v>605.54</v>
      </c>
    </row>
    <row r="3447">
      <c r="A3447" s="2">
        <v>45851</v>
      </c>
      <c r="B34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7" s="3" t="str">
        <f>YEAR(KMART_DATA[[#This Row],[Date]])&amp;"-"&amp;TEXT(MONTH(KMART_DATA[[#This Row],[Date]]),"00")</f>
        <v>2025-07</v>
      </c>
      <c r="D3447" s="3" t="s">
        <v>28</v>
      </c>
      <c r="E3447" s="3" t="s">
        <v>228</v>
      </c>
      <c r="F3447" s="3" t="s">
        <v>11</v>
      </c>
      <c r="G34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47" s="3" t="s">
        <v>229</v>
      </c>
      <c r="I3447" s="3" t="s">
        <v>31</v>
      </c>
      <c r="J3447" s="3" t="s">
        <v>32</v>
      </c>
      <c r="K3447" s="3" t="s">
        <v>71</v>
      </c>
      <c r="L3447" s="3" t="s">
        <v>72</v>
      </c>
      <c r="M3447" s="4">
        <v>2140.92</v>
      </c>
    </row>
    <row r="3448">
      <c r="A3448" s="2">
        <v>45852</v>
      </c>
      <c r="B34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8" s="3" t="str">
        <f>YEAR(KMART_DATA[[#This Row],[Date]])&amp;"-"&amp;TEXT(MONTH(KMART_DATA[[#This Row],[Date]]),"00")</f>
        <v>2025-07</v>
      </c>
      <c r="D3448" s="3" t="s">
        <v>45</v>
      </c>
      <c r="E3448" s="3" t="s">
        <v>154</v>
      </c>
      <c r="F3448" s="3" t="s">
        <v>11</v>
      </c>
      <c r="G34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48" s="3" t="s">
        <v>155</v>
      </c>
      <c r="I3448" s="3" t="s">
        <v>31</v>
      </c>
      <c r="J3448" s="3" t="s">
        <v>84</v>
      </c>
      <c r="K3448" s="3" t="s">
        <v>57</v>
      </c>
      <c r="L3448" s="3" t="s">
        <v>58</v>
      </c>
      <c r="M3448" s="4">
        <v>5.0</v>
      </c>
    </row>
    <row r="3449">
      <c r="A3449" s="2">
        <v>45852</v>
      </c>
      <c r="B34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49" s="3" t="str">
        <f>YEAR(KMART_DATA[[#This Row],[Date]])&amp;"-"&amp;TEXT(MONTH(KMART_DATA[[#This Row],[Date]]),"00")</f>
        <v>2025-07</v>
      </c>
      <c r="D3449" s="3" t="s">
        <v>28</v>
      </c>
      <c r="E3449" s="3" t="s">
        <v>64</v>
      </c>
      <c r="F3449" s="3" t="s">
        <v>11</v>
      </c>
      <c r="G34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49" s="3" t="s">
        <v>65</v>
      </c>
      <c r="I3449" s="3" t="s">
        <v>31</v>
      </c>
      <c r="J3449" s="3" t="s">
        <v>61</v>
      </c>
      <c r="K3449" s="3" t="s">
        <v>57</v>
      </c>
      <c r="L3449" s="3" t="s">
        <v>58</v>
      </c>
      <c r="M3449" s="4">
        <v>200.71</v>
      </c>
    </row>
    <row r="3450">
      <c r="A3450" s="2">
        <v>45852</v>
      </c>
      <c r="B34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0" s="3" t="str">
        <f>YEAR(KMART_DATA[[#This Row],[Date]])&amp;"-"&amp;TEXT(MONTH(KMART_DATA[[#This Row],[Date]]),"00")</f>
        <v>2025-07</v>
      </c>
      <c r="D3450" s="3" t="s">
        <v>28</v>
      </c>
      <c r="E3450" s="3" t="s">
        <v>108</v>
      </c>
      <c r="F3450" s="3" t="s">
        <v>9</v>
      </c>
      <c r="G34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50" s="3" t="s">
        <v>109</v>
      </c>
      <c r="I3450" s="3" t="s">
        <v>31</v>
      </c>
      <c r="J3450" s="3" t="s">
        <v>75</v>
      </c>
      <c r="K3450" s="3" t="s">
        <v>38</v>
      </c>
      <c r="L3450" s="3" t="s">
        <v>39</v>
      </c>
      <c r="M3450" s="4">
        <v>264.73</v>
      </c>
    </row>
    <row r="3451">
      <c r="A3451" s="2">
        <v>45852</v>
      </c>
      <c r="B34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1" s="3" t="str">
        <f>YEAR(KMART_DATA[[#This Row],[Date]])&amp;"-"&amp;TEXT(MONTH(KMART_DATA[[#This Row],[Date]]),"00")</f>
        <v>2025-07</v>
      </c>
      <c r="D3451" s="3" t="s">
        <v>28</v>
      </c>
      <c r="E3451" s="3" t="s">
        <v>169</v>
      </c>
      <c r="F3451" s="3" t="s">
        <v>12</v>
      </c>
      <c r="G34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51" s="3" t="s">
        <v>170</v>
      </c>
      <c r="I3451" s="3" t="s">
        <v>31</v>
      </c>
      <c r="J3451" s="3" t="s">
        <v>102</v>
      </c>
      <c r="K3451" s="3" t="s">
        <v>43</v>
      </c>
      <c r="L3451" s="3" t="s">
        <v>44</v>
      </c>
      <c r="M3451" s="4">
        <v>401.66</v>
      </c>
    </row>
    <row r="3452">
      <c r="A3452" s="2">
        <v>45852</v>
      </c>
      <c r="B34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2" s="3" t="str">
        <f>YEAR(KMART_DATA[[#This Row],[Date]])&amp;"-"&amp;TEXT(MONTH(KMART_DATA[[#This Row],[Date]]),"00")</f>
        <v>2025-07</v>
      </c>
      <c r="D3452" s="3" t="s">
        <v>28</v>
      </c>
      <c r="E3452" s="3" t="s">
        <v>82</v>
      </c>
      <c r="F3452" s="3" t="s">
        <v>11</v>
      </c>
      <c r="G34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52" s="3" t="s">
        <v>83</v>
      </c>
      <c r="I3452" s="3" t="s">
        <v>31</v>
      </c>
      <c r="J3452" s="3" t="s">
        <v>84</v>
      </c>
      <c r="K3452" s="3" t="s">
        <v>123</v>
      </c>
      <c r="L3452" s="3" t="s">
        <v>124</v>
      </c>
      <c r="M3452" s="4">
        <v>965.94</v>
      </c>
    </row>
    <row r="3453">
      <c r="A3453" s="2">
        <v>45853</v>
      </c>
      <c r="B34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3" s="3" t="str">
        <f>YEAR(KMART_DATA[[#This Row],[Date]])&amp;"-"&amp;TEXT(MONTH(KMART_DATA[[#This Row],[Date]]),"00")</f>
        <v>2025-07</v>
      </c>
      <c r="D3453" s="3" t="s">
        <v>28</v>
      </c>
      <c r="E3453" s="3" t="s">
        <v>197</v>
      </c>
      <c r="F3453" s="3" t="s">
        <v>9</v>
      </c>
      <c r="G34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53" s="3" t="s">
        <v>198</v>
      </c>
      <c r="I3453" s="3" t="s">
        <v>31</v>
      </c>
      <c r="J3453" s="3" t="s">
        <v>107</v>
      </c>
      <c r="K3453" s="3" t="s">
        <v>71</v>
      </c>
      <c r="L3453" s="3" t="s">
        <v>72</v>
      </c>
      <c r="M3453" s="4">
        <v>55.0</v>
      </c>
    </row>
    <row r="3454">
      <c r="A3454" s="2">
        <v>45853</v>
      </c>
      <c r="B34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4" s="3" t="str">
        <f>YEAR(KMART_DATA[[#This Row],[Date]])&amp;"-"&amp;TEXT(MONTH(KMART_DATA[[#This Row],[Date]]),"00")</f>
        <v>2025-07</v>
      </c>
      <c r="D3454" s="3" t="s">
        <v>45</v>
      </c>
      <c r="E3454" s="3" t="s">
        <v>244</v>
      </c>
      <c r="F3454" s="3" t="s">
        <v>13</v>
      </c>
      <c r="G34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454" s="3" t="s">
        <v>245</v>
      </c>
      <c r="I3454" s="3" t="s">
        <v>31</v>
      </c>
      <c r="J3454" s="3" t="s">
        <v>42</v>
      </c>
      <c r="K3454" s="3" t="s">
        <v>71</v>
      </c>
      <c r="L3454" s="3" t="s">
        <v>72</v>
      </c>
      <c r="M3454" s="4">
        <v>89.9</v>
      </c>
    </row>
    <row r="3455">
      <c r="A3455" s="2">
        <v>45853</v>
      </c>
      <c r="B34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5" s="3" t="str">
        <f>YEAR(KMART_DATA[[#This Row],[Date]])&amp;"-"&amp;TEXT(MONTH(KMART_DATA[[#This Row],[Date]]),"00")</f>
        <v>2025-07</v>
      </c>
      <c r="D3455" s="3" t="s">
        <v>28</v>
      </c>
      <c r="E3455" s="3" t="s">
        <v>250</v>
      </c>
      <c r="F3455" s="3" t="s">
        <v>10</v>
      </c>
      <c r="G34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55" s="3" t="s">
        <v>251</v>
      </c>
      <c r="I3455" s="3" t="s">
        <v>31</v>
      </c>
      <c r="J3455" s="3" t="s">
        <v>37</v>
      </c>
      <c r="K3455" s="3" t="s">
        <v>46</v>
      </c>
      <c r="L3455" s="3" t="s">
        <v>47</v>
      </c>
      <c r="M3455" s="4">
        <v>116.91</v>
      </c>
    </row>
    <row r="3456">
      <c r="A3456" s="2">
        <v>45853</v>
      </c>
      <c r="B34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6" s="3" t="str">
        <f>YEAR(KMART_DATA[[#This Row],[Date]])&amp;"-"&amp;TEXT(MONTH(KMART_DATA[[#This Row],[Date]]),"00")</f>
        <v>2025-07</v>
      </c>
      <c r="D3456" s="3" t="s">
        <v>45</v>
      </c>
      <c r="E3456" s="3" t="s">
        <v>76</v>
      </c>
      <c r="F3456" s="3" t="s">
        <v>11</v>
      </c>
      <c r="G34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56" s="3" t="s">
        <v>77</v>
      </c>
      <c r="I3456" s="3" t="s">
        <v>31</v>
      </c>
      <c r="J3456" s="3" t="s">
        <v>78</v>
      </c>
      <c r="K3456" s="3" t="s">
        <v>57</v>
      </c>
      <c r="L3456" s="3" t="s">
        <v>58</v>
      </c>
      <c r="M3456" s="4">
        <v>654.07</v>
      </c>
    </row>
    <row r="3457">
      <c r="A3457" s="2">
        <v>45853</v>
      </c>
      <c r="B34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7" s="3" t="str">
        <f>YEAR(KMART_DATA[[#This Row],[Date]])&amp;"-"&amp;TEXT(MONTH(KMART_DATA[[#This Row],[Date]]),"00")</f>
        <v>2025-07</v>
      </c>
      <c r="D3457" s="3" t="s">
        <v>28</v>
      </c>
      <c r="E3457" s="3" t="s">
        <v>87</v>
      </c>
      <c r="F3457" s="3" t="s">
        <v>10</v>
      </c>
      <c r="G34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57" s="3" t="s">
        <v>88</v>
      </c>
      <c r="I3457" s="3" t="s">
        <v>31</v>
      </c>
      <c r="J3457" s="3" t="s">
        <v>89</v>
      </c>
      <c r="K3457" s="3" t="s">
        <v>57</v>
      </c>
      <c r="L3457" s="3" t="s">
        <v>58</v>
      </c>
      <c r="M3457" s="4">
        <v>931.81</v>
      </c>
    </row>
    <row r="3458">
      <c r="A3458" s="2">
        <v>45853</v>
      </c>
      <c r="B34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8" s="3" t="str">
        <f>YEAR(KMART_DATA[[#This Row],[Date]])&amp;"-"&amp;TEXT(MONTH(KMART_DATA[[#This Row],[Date]]),"00")</f>
        <v>2025-07</v>
      </c>
      <c r="D3458" s="3" t="s">
        <v>28</v>
      </c>
      <c r="E3458" s="3" t="s">
        <v>143</v>
      </c>
      <c r="F3458" s="3" t="s">
        <v>14</v>
      </c>
      <c r="G34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458" s="3" t="s">
        <v>144</v>
      </c>
      <c r="I3458" s="3" t="s">
        <v>31</v>
      </c>
      <c r="J3458" s="3" t="s">
        <v>145</v>
      </c>
      <c r="K3458" s="3" t="s">
        <v>71</v>
      </c>
      <c r="L3458" s="3" t="s">
        <v>72</v>
      </c>
      <c r="M3458" s="4">
        <v>3245.14</v>
      </c>
    </row>
    <row r="3459">
      <c r="A3459" s="2">
        <v>45853</v>
      </c>
      <c r="B34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59" s="3" t="str">
        <f>YEAR(KMART_DATA[[#This Row],[Date]])&amp;"-"&amp;TEXT(MONTH(KMART_DATA[[#This Row],[Date]]),"00")</f>
        <v>2025-07</v>
      </c>
      <c r="D3459" s="3" t="s">
        <v>28</v>
      </c>
      <c r="E3459" s="3" t="s">
        <v>139</v>
      </c>
      <c r="F3459" s="3" t="s">
        <v>10</v>
      </c>
      <c r="G34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59" s="3" t="s">
        <v>140</v>
      </c>
      <c r="I3459" s="3" t="s">
        <v>31</v>
      </c>
      <c r="J3459" s="3" t="s">
        <v>89</v>
      </c>
      <c r="K3459" s="3" t="s">
        <v>57</v>
      </c>
      <c r="L3459" s="3" t="s">
        <v>58</v>
      </c>
      <c r="M3459" s="4">
        <v>6630.37</v>
      </c>
    </row>
    <row r="3460">
      <c r="A3460" s="2">
        <v>45854</v>
      </c>
      <c r="B34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0" s="3" t="str">
        <f>YEAR(KMART_DATA[[#This Row],[Date]])&amp;"-"&amp;TEXT(MONTH(KMART_DATA[[#This Row],[Date]]),"00")</f>
        <v>2025-07</v>
      </c>
      <c r="D3460" s="3" t="s">
        <v>28</v>
      </c>
      <c r="E3460" s="3" t="s">
        <v>256</v>
      </c>
      <c r="F3460" s="3" t="s">
        <v>9</v>
      </c>
      <c r="G34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60" s="3" t="s">
        <v>257</v>
      </c>
      <c r="I3460" s="3" t="s">
        <v>31</v>
      </c>
      <c r="J3460" s="3" t="s">
        <v>70</v>
      </c>
      <c r="K3460" s="3" t="s">
        <v>95</v>
      </c>
      <c r="L3460" s="3" t="s">
        <v>96</v>
      </c>
      <c r="M3460" s="4">
        <v>47.88</v>
      </c>
    </row>
    <row r="3461">
      <c r="A3461" s="2">
        <v>45854</v>
      </c>
      <c r="B34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1" s="3" t="str">
        <f>YEAR(KMART_DATA[[#This Row],[Date]])&amp;"-"&amp;TEXT(MONTH(KMART_DATA[[#This Row],[Date]]),"00")</f>
        <v>2025-07</v>
      </c>
      <c r="D3461" s="3" t="s">
        <v>45</v>
      </c>
      <c r="E3461" s="3" t="s">
        <v>252</v>
      </c>
      <c r="F3461" s="3" t="s">
        <v>10</v>
      </c>
      <c r="G34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61" s="3" t="s">
        <v>253</v>
      </c>
      <c r="I3461" s="3" t="s">
        <v>31</v>
      </c>
      <c r="J3461" s="3" t="s">
        <v>94</v>
      </c>
      <c r="K3461" s="3" t="s">
        <v>43</v>
      </c>
      <c r="L3461" s="3" t="s">
        <v>44</v>
      </c>
      <c r="M3461" s="4">
        <v>49.0</v>
      </c>
    </row>
    <row r="3462">
      <c r="A3462" s="2">
        <v>45854</v>
      </c>
      <c r="B34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2" s="3" t="str">
        <f>YEAR(KMART_DATA[[#This Row],[Date]])&amp;"-"&amp;TEXT(MONTH(KMART_DATA[[#This Row],[Date]]),"00")</f>
        <v>2025-07</v>
      </c>
      <c r="D3462" s="3" t="s">
        <v>28</v>
      </c>
      <c r="E3462" s="3" t="s">
        <v>51</v>
      </c>
      <c r="F3462" s="3" t="s">
        <v>15</v>
      </c>
      <c r="G34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462" s="3" t="s">
        <v>52</v>
      </c>
      <c r="I3462" s="3" t="s">
        <v>31</v>
      </c>
      <c r="J3462" s="3" t="s">
        <v>53</v>
      </c>
      <c r="K3462" s="3" t="s">
        <v>57</v>
      </c>
      <c r="L3462" s="3" t="s">
        <v>58</v>
      </c>
      <c r="M3462" s="4">
        <v>53.46</v>
      </c>
    </row>
    <row r="3463">
      <c r="A3463" s="2">
        <v>45854</v>
      </c>
      <c r="B34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3" s="3" t="str">
        <f>YEAR(KMART_DATA[[#This Row],[Date]])&amp;"-"&amp;TEXT(MONTH(KMART_DATA[[#This Row],[Date]]),"00")</f>
        <v>2025-07</v>
      </c>
      <c r="D3463" s="3" t="s">
        <v>28</v>
      </c>
      <c r="E3463" s="3" t="s">
        <v>143</v>
      </c>
      <c r="F3463" s="3" t="s">
        <v>14</v>
      </c>
      <c r="G34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463" s="3" t="s">
        <v>144</v>
      </c>
      <c r="I3463" s="3" t="s">
        <v>31</v>
      </c>
      <c r="J3463" s="3" t="s">
        <v>145</v>
      </c>
      <c r="K3463" s="3" t="s">
        <v>43</v>
      </c>
      <c r="L3463" s="3" t="s">
        <v>44</v>
      </c>
      <c r="M3463" s="4">
        <v>73.12</v>
      </c>
    </row>
    <row r="3464">
      <c r="A3464" s="2">
        <v>45854</v>
      </c>
      <c r="B34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4" s="3" t="str">
        <f>YEAR(KMART_DATA[[#This Row],[Date]])&amp;"-"&amp;TEXT(MONTH(KMART_DATA[[#This Row],[Date]]),"00")</f>
        <v>2025-07</v>
      </c>
      <c r="D3464" s="3" t="s">
        <v>28</v>
      </c>
      <c r="E3464" s="3" t="s">
        <v>209</v>
      </c>
      <c r="F3464" s="3" t="s">
        <v>9</v>
      </c>
      <c r="G34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64" s="3" t="s">
        <v>210</v>
      </c>
      <c r="I3464" s="3" t="s">
        <v>31</v>
      </c>
      <c r="J3464" s="3" t="s">
        <v>81</v>
      </c>
      <c r="K3464" s="3" t="s">
        <v>112</v>
      </c>
      <c r="L3464" s="3" t="s">
        <v>113</v>
      </c>
      <c r="M3464" s="4">
        <v>110.62</v>
      </c>
    </row>
    <row r="3465">
      <c r="A3465" s="2">
        <v>45854</v>
      </c>
      <c r="B34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5" s="3" t="str">
        <f>YEAR(KMART_DATA[[#This Row],[Date]])&amp;"-"&amp;TEXT(MONTH(KMART_DATA[[#This Row],[Date]]),"00")</f>
        <v>2025-07</v>
      </c>
      <c r="D3465" s="3" t="s">
        <v>28</v>
      </c>
      <c r="E3465" s="3" t="s">
        <v>219</v>
      </c>
      <c r="F3465" s="3" t="s">
        <v>11</v>
      </c>
      <c r="G34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65" s="3" t="s">
        <v>220</v>
      </c>
      <c r="I3465" s="3" t="s">
        <v>31</v>
      </c>
      <c r="J3465" s="3" t="s">
        <v>56</v>
      </c>
      <c r="K3465" s="3" t="s">
        <v>112</v>
      </c>
      <c r="L3465" s="3" t="s">
        <v>113</v>
      </c>
      <c r="M3465" s="4">
        <v>176.54</v>
      </c>
    </row>
    <row r="3466">
      <c r="A3466" s="2">
        <v>45854</v>
      </c>
      <c r="B34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6" s="3" t="str">
        <f>YEAR(KMART_DATA[[#This Row],[Date]])&amp;"-"&amp;TEXT(MONTH(KMART_DATA[[#This Row],[Date]]),"00")</f>
        <v>2025-07</v>
      </c>
      <c r="D3466" s="3" t="s">
        <v>28</v>
      </c>
      <c r="E3466" s="3" t="s">
        <v>105</v>
      </c>
      <c r="F3466" s="3" t="s">
        <v>9</v>
      </c>
      <c r="G34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66" s="3" t="s">
        <v>106</v>
      </c>
      <c r="I3466" s="3" t="s">
        <v>31</v>
      </c>
      <c r="J3466" s="3" t="s">
        <v>107</v>
      </c>
      <c r="K3466" s="3" t="s">
        <v>43</v>
      </c>
      <c r="L3466" s="3" t="s">
        <v>44</v>
      </c>
      <c r="M3466" s="4">
        <v>521.35</v>
      </c>
    </row>
    <row r="3467">
      <c r="A3467" s="2">
        <v>45855</v>
      </c>
      <c r="B34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7" s="3" t="str">
        <f>YEAR(KMART_DATA[[#This Row],[Date]])&amp;"-"&amp;TEXT(MONTH(KMART_DATA[[#This Row],[Date]]),"00")</f>
        <v>2025-07</v>
      </c>
      <c r="D3467" s="3" t="s">
        <v>28</v>
      </c>
      <c r="E3467" s="3" t="s">
        <v>207</v>
      </c>
      <c r="F3467" s="3" t="s">
        <v>11</v>
      </c>
      <c r="G34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67" s="3" t="s">
        <v>208</v>
      </c>
      <c r="I3467" s="3" t="s">
        <v>31</v>
      </c>
      <c r="J3467" s="3" t="s">
        <v>78</v>
      </c>
      <c r="K3467" s="3" t="s">
        <v>43</v>
      </c>
      <c r="L3467" s="3" t="s">
        <v>44</v>
      </c>
      <c r="M3467" s="4">
        <v>3.0</v>
      </c>
    </row>
    <row r="3468">
      <c r="A3468" s="2">
        <v>45855</v>
      </c>
      <c r="B34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8" s="3" t="str">
        <f>YEAR(KMART_DATA[[#This Row],[Date]])&amp;"-"&amp;TEXT(MONTH(KMART_DATA[[#This Row],[Date]]),"00")</f>
        <v>2025-07</v>
      </c>
      <c r="D3468" s="3" t="s">
        <v>45</v>
      </c>
      <c r="E3468" s="3" t="s">
        <v>114</v>
      </c>
      <c r="F3468" s="3" t="s">
        <v>9</v>
      </c>
      <c r="G34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68" s="3" t="s">
        <v>115</v>
      </c>
      <c r="I3468" s="3" t="s">
        <v>31</v>
      </c>
      <c r="J3468" s="3" t="s">
        <v>99</v>
      </c>
      <c r="K3468" s="3" t="s">
        <v>95</v>
      </c>
      <c r="L3468" s="3" t="s">
        <v>96</v>
      </c>
      <c r="M3468" s="4">
        <v>19.95</v>
      </c>
    </row>
    <row r="3469">
      <c r="A3469" s="2">
        <v>45855</v>
      </c>
      <c r="B34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69" s="3" t="str">
        <f>YEAR(KMART_DATA[[#This Row],[Date]])&amp;"-"&amp;TEXT(MONTH(KMART_DATA[[#This Row],[Date]]),"00")</f>
        <v>2025-07</v>
      </c>
      <c r="D3469" s="3" t="s">
        <v>45</v>
      </c>
      <c r="E3469" s="3" t="s">
        <v>211</v>
      </c>
      <c r="F3469" s="3" t="s">
        <v>9</v>
      </c>
      <c r="G34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69" s="3" t="s">
        <v>212</v>
      </c>
      <c r="I3469" s="3" t="s">
        <v>31</v>
      </c>
      <c r="J3469" s="3" t="s">
        <v>75</v>
      </c>
      <c r="K3469" s="3" t="s">
        <v>112</v>
      </c>
      <c r="L3469" s="3" t="s">
        <v>113</v>
      </c>
      <c r="M3469" s="4">
        <v>25.93</v>
      </c>
    </row>
    <row r="3470">
      <c r="A3470" s="2">
        <v>45855</v>
      </c>
      <c r="B34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0" s="3" t="str">
        <f>YEAR(KMART_DATA[[#This Row],[Date]])&amp;"-"&amp;TEXT(MONTH(KMART_DATA[[#This Row],[Date]]),"00")</f>
        <v>2025-07</v>
      </c>
      <c r="D3470" s="3" t="s">
        <v>45</v>
      </c>
      <c r="E3470" s="3" t="s">
        <v>163</v>
      </c>
      <c r="F3470" s="3" t="s">
        <v>9</v>
      </c>
      <c r="G34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70" s="3" t="s">
        <v>164</v>
      </c>
      <c r="I3470" s="3" t="s">
        <v>31</v>
      </c>
      <c r="J3470" s="3" t="s">
        <v>81</v>
      </c>
      <c r="K3470" s="3" t="s">
        <v>57</v>
      </c>
      <c r="L3470" s="3" t="s">
        <v>58</v>
      </c>
      <c r="M3470" s="4">
        <v>77.94</v>
      </c>
    </row>
    <row r="3471">
      <c r="A3471" s="2">
        <v>45855</v>
      </c>
      <c r="B34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1" s="3" t="str">
        <f>YEAR(KMART_DATA[[#This Row],[Date]])&amp;"-"&amp;TEXT(MONTH(KMART_DATA[[#This Row],[Date]]),"00")</f>
        <v>2025-07</v>
      </c>
      <c r="D3471" s="3" t="s">
        <v>28</v>
      </c>
      <c r="E3471" s="3" t="s">
        <v>135</v>
      </c>
      <c r="F3471" s="3" t="s">
        <v>16</v>
      </c>
      <c r="G34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471" s="3" t="s">
        <v>136</v>
      </c>
      <c r="I3471" s="3" t="s">
        <v>31</v>
      </c>
      <c r="J3471" s="3" t="s">
        <v>107</v>
      </c>
      <c r="K3471" s="3" t="s">
        <v>71</v>
      </c>
      <c r="L3471" s="3" t="s">
        <v>72</v>
      </c>
      <c r="M3471" s="4">
        <v>5935.05</v>
      </c>
    </row>
    <row r="3472">
      <c r="A3472" s="2">
        <v>45856</v>
      </c>
      <c r="B34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2" s="3" t="str">
        <f>YEAR(KMART_DATA[[#This Row],[Date]])&amp;"-"&amp;TEXT(MONTH(KMART_DATA[[#This Row],[Date]]),"00")</f>
        <v>2025-07</v>
      </c>
      <c r="D3472" s="3" t="s">
        <v>28</v>
      </c>
      <c r="E3472" s="3" t="s">
        <v>156</v>
      </c>
      <c r="F3472" s="3" t="s">
        <v>9</v>
      </c>
      <c r="G34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72" s="3" t="s">
        <v>157</v>
      </c>
      <c r="I3472" s="3" t="s">
        <v>31</v>
      </c>
      <c r="J3472" s="3" t="s">
        <v>75</v>
      </c>
      <c r="K3472" s="3" t="s">
        <v>95</v>
      </c>
      <c r="L3472" s="3" t="s">
        <v>96</v>
      </c>
      <c r="M3472" s="4">
        <v>2.0</v>
      </c>
    </row>
    <row r="3473">
      <c r="A3473" s="2">
        <v>45856</v>
      </c>
      <c r="B34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3" s="3" t="str">
        <f>YEAR(KMART_DATA[[#This Row],[Date]])&amp;"-"&amp;TEXT(MONTH(KMART_DATA[[#This Row],[Date]]),"00")</f>
        <v>2025-07</v>
      </c>
      <c r="D3473" s="3" t="s">
        <v>28</v>
      </c>
      <c r="E3473" s="3" t="s">
        <v>177</v>
      </c>
      <c r="F3473" s="3" t="s">
        <v>12</v>
      </c>
      <c r="G34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73" s="3" t="s">
        <v>178</v>
      </c>
      <c r="I3473" s="3" t="s">
        <v>31</v>
      </c>
      <c r="J3473" s="3" t="s">
        <v>162</v>
      </c>
      <c r="K3473" s="3" t="s">
        <v>57</v>
      </c>
      <c r="L3473" s="3" t="s">
        <v>58</v>
      </c>
      <c r="M3473" s="4">
        <v>9.99</v>
      </c>
    </row>
    <row r="3474">
      <c r="A3474" s="2">
        <v>45856</v>
      </c>
      <c r="B34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4" s="3" t="str">
        <f>YEAR(KMART_DATA[[#This Row],[Date]])&amp;"-"&amp;TEXT(MONTH(KMART_DATA[[#This Row],[Date]]),"00")</f>
        <v>2025-07</v>
      </c>
      <c r="D3474" s="3" t="s">
        <v>28</v>
      </c>
      <c r="E3474" s="3" t="s">
        <v>76</v>
      </c>
      <c r="F3474" s="3" t="s">
        <v>11</v>
      </c>
      <c r="G34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74" s="3" t="s">
        <v>77</v>
      </c>
      <c r="I3474" s="3" t="s">
        <v>31</v>
      </c>
      <c r="J3474" s="3" t="s">
        <v>78</v>
      </c>
      <c r="K3474" s="3" t="s">
        <v>38</v>
      </c>
      <c r="L3474" s="3" t="s">
        <v>39</v>
      </c>
      <c r="M3474" s="4">
        <v>26.98</v>
      </c>
    </row>
    <row r="3475">
      <c r="A3475" s="2">
        <v>45856</v>
      </c>
      <c r="B34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5" s="3" t="str">
        <f>YEAR(KMART_DATA[[#This Row],[Date]])&amp;"-"&amp;TEXT(MONTH(KMART_DATA[[#This Row],[Date]]),"00")</f>
        <v>2025-07</v>
      </c>
      <c r="D3475" s="3" t="s">
        <v>45</v>
      </c>
      <c r="E3475" s="3" t="s">
        <v>199</v>
      </c>
      <c r="F3475" s="3" t="s">
        <v>13</v>
      </c>
      <c r="G34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475" s="3" t="s">
        <v>200</v>
      </c>
      <c r="I3475" s="3" t="s">
        <v>31</v>
      </c>
      <c r="J3475" s="3" t="s">
        <v>42</v>
      </c>
      <c r="K3475" s="3" t="s">
        <v>71</v>
      </c>
      <c r="L3475" s="3" t="s">
        <v>72</v>
      </c>
      <c r="M3475" s="4">
        <v>204.64</v>
      </c>
    </row>
    <row r="3476">
      <c r="A3476" s="2">
        <v>45856</v>
      </c>
      <c r="B34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6" s="3" t="str">
        <f>YEAR(KMART_DATA[[#This Row],[Date]])&amp;"-"&amp;TEXT(MONTH(KMART_DATA[[#This Row],[Date]]),"00")</f>
        <v>2025-07</v>
      </c>
      <c r="D3476" s="3" t="s">
        <v>28</v>
      </c>
      <c r="E3476" s="3" t="s">
        <v>175</v>
      </c>
      <c r="F3476" s="3" t="s">
        <v>16</v>
      </c>
      <c r="G34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476" s="3" t="s">
        <v>176</v>
      </c>
      <c r="I3476" s="3" t="s">
        <v>31</v>
      </c>
      <c r="J3476" s="3" t="s">
        <v>107</v>
      </c>
      <c r="K3476" s="3" t="s">
        <v>71</v>
      </c>
      <c r="L3476" s="3" t="s">
        <v>72</v>
      </c>
      <c r="M3476" s="4">
        <v>552.62</v>
      </c>
    </row>
    <row r="3477">
      <c r="A3477" s="2">
        <v>45856</v>
      </c>
      <c r="B34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7" s="3" t="str">
        <f>YEAR(KMART_DATA[[#This Row],[Date]])&amp;"-"&amp;TEXT(MONTH(KMART_DATA[[#This Row],[Date]]),"00")</f>
        <v>2025-07</v>
      </c>
      <c r="D3477" s="3" t="s">
        <v>28</v>
      </c>
      <c r="E3477" s="3" t="s">
        <v>262</v>
      </c>
      <c r="F3477" s="3" t="s">
        <v>10</v>
      </c>
      <c r="G34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77" s="3" t="s">
        <v>263</v>
      </c>
      <c r="I3477" s="3" t="s">
        <v>31</v>
      </c>
      <c r="J3477" s="3" t="s">
        <v>120</v>
      </c>
      <c r="K3477" s="3" t="s">
        <v>43</v>
      </c>
      <c r="L3477" s="3" t="s">
        <v>44</v>
      </c>
      <c r="M3477" s="4">
        <v>698.61</v>
      </c>
    </row>
    <row r="3478">
      <c r="A3478" s="2">
        <v>45856</v>
      </c>
      <c r="B34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8" s="3" t="str">
        <f>YEAR(KMART_DATA[[#This Row],[Date]])&amp;"-"&amp;TEXT(MONTH(KMART_DATA[[#This Row],[Date]]),"00")</f>
        <v>2025-07</v>
      </c>
      <c r="D3478" s="3" t="s">
        <v>28</v>
      </c>
      <c r="E3478" s="3" t="s">
        <v>85</v>
      </c>
      <c r="F3478" s="3" t="s">
        <v>9</v>
      </c>
      <c r="G34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78" s="3" t="s">
        <v>86</v>
      </c>
      <c r="I3478" s="3" t="s">
        <v>31</v>
      </c>
      <c r="J3478" s="3" t="s">
        <v>81</v>
      </c>
      <c r="K3478" s="3" t="s">
        <v>57</v>
      </c>
      <c r="L3478" s="3" t="s">
        <v>58</v>
      </c>
      <c r="M3478" s="4">
        <v>1002.67</v>
      </c>
    </row>
    <row r="3479">
      <c r="A3479" s="2">
        <v>45856</v>
      </c>
      <c r="B34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79" s="3" t="str">
        <f>YEAR(KMART_DATA[[#This Row],[Date]])&amp;"-"&amp;TEXT(MONTH(KMART_DATA[[#This Row],[Date]]),"00")</f>
        <v>2025-07</v>
      </c>
      <c r="D3479" s="3" t="s">
        <v>28</v>
      </c>
      <c r="E3479" s="3" t="s">
        <v>105</v>
      </c>
      <c r="F3479" s="3" t="s">
        <v>9</v>
      </c>
      <c r="G34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79" s="3" t="s">
        <v>106</v>
      </c>
      <c r="I3479" s="3" t="s">
        <v>31</v>
      </c>
      <c r="J3479" s="3" t="s">
        <v>107</v>
      </c>
      <c r="K3479" s="3" t="s">
        <v>43</v>
      </c>
      <c r="L3479" s="3" t="s">
        <v>44</v>
      </c>
      <c r="M3479" s="4">
        <v>1745.6</v>
      </c>
    </row>
    <row r="3480">
      <c r="A3480" s="2">
        <v>45856</v>
      </c>
      <c r="B34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0" s="3" t="str">
        <f>YEAR(KMART_DATA[[#This Row],[Date]])&amp;"-"&amp;TEXT(MONTH(KMART_DATA[[#This Row],[Date]]),"00")</f>
        <v>2025-07</v>
      </c>
      <c r="D3480" s="3" t="s">
        <v>28</v>
      </c>
      <c r="E3480" s="3" t="s">
        <v>195</v>
      </c>
      <c r="F3480" s="3" t="s">
        <v>11</v>
      </c>
      <c r="G34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80" s="3" t="s">
        <v>196</v>
      </c>
      <c r="I3480" s="3" t="s">
        <v>31</v>
      </c>
      <c r="J3480" s="3" t="s">
        <v>32</v>
      </c>
      <c r="K3480" s="3" t="s">
        <v>71</v>
      </c>
      <c r="L3480" s="3" t="s">
        <v>72</v>
      </c>
      <c r="M3480" s="4">
        <v>1839.38</v>
      </c>
    </row>
    <row r="3481">
      <c r="A3481" s="2">
        <v>45857</v>
      </c>
      <c r="B34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1" s="3" t="str">
        <f>YEAR(KMART_DATA[[#This Row],[Date]])&amp;"-"&amp;TEXT(MONTH(KMART_DATA[[#This Row],[Date]]),"00")</f>
        <v>2025-07</v>
      </c>
      <c r="D3481" s="3" t="s">
        <v>28</v>
      </c>
      <c r="E3481" s="3" t="s">
        <v>203</v>
      </c>
      <c r="F3481" s="3" t="s">
        <v>10</v>
      </c>
      <c r="G34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81" s="3" t="s">
        <v>204</v>
      </c>
      <c r="I3481" s="3" t="s">
        <v>31</v>
      </c>
      <c r="J3481" s="3" t="s">
        <v>89</v>
      </c>
      <c r="K3481" s="3" t="s">
        <v>43</v>
      </c>
      <c r="L3481" s="3" t="s">
        <v>44</v>
      </c>
      <c r="M3481" s="4">
        <v>7.0</v>
      </c>
    </row>
    <row r="3482">
      <c r="A3482" s="2">
        <v>45857</v>
      </c>
      <c r="B34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2" s="3" t="str">
        <f>YEAR(KMART_DATA[[#This Row],[Date]])&amp;"-"&amp;TEXT(MONTH(KMART_DATA[[#This Row],[Date]]),"00")</f>
        <v>2025-07</v>
      </c>
      <c r="D3482" s="3" t="s">
        <v>28</v>
      </c>
      <c r="E3482" s="3" t="s">
        <v>232</v>
      </c>
      <c r="F3482" s="3" t="s">
        <v>9</v>
      </c>
      <c r="G34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82" s="3" t="s">
        <v>233</v>
      </c>
      <c r="I3482" s="3" t="s">
        <v>31</v>
      </c>
      <c r="J3482" s="3" t="s">
        <v>75</v>
      </c>
      <c r="K3482" s="3" t="s">
        <v>43</v>
      </c>
      <c r="L3482" s="3" t="s">
        <v>44</v>
      </c>
      <c r="M3482" s="4">
        <v>41.87</v>
      </c>
    </row>
    <row r="3483">
      <c r="A3483" s="2">
        <v>45857</v>
      </c>
      <c r="B34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3" s="3" t="str">
        <f>YEAR(KMART_DATA[[#This Row],[Date]])&amp;"-"&amp;TEXT(MONTH(KMART_DATA[[#This Row],[Date]]),"00")</f>
        <v>2025-07</v>
      </c>
      <c r="D3483" s="3" t="s">
        <v>45</v>
      </c>
      <c r="E3483" s="3" t="s">
        <v>121</v>
      </c>
      <c r="F3483" s="3" t="s">
        <v>11</v>
      </c>
      <c r="G34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83" s="3" t="s">
        <v>122</v>
      </c>
      <c r="I3483" s="3" t="s">
        <v>31</v>
      </c>
      <c r="J3483" s="3" t="s">
        <v>84</v>
      </c>
      <c r="K3483" s="3" t="s">
        <v>38</v>
      </c>
      <c r="L3483" s="3" t="s">
        <v>39</v>
      </c>
      <c r="M3483" s="4">
        <v>66.11</v>
      </c>
    </row>
    <row r="3484">
      <c r="A3484" s="2">
        <v>45857</v>
      </c>
      <c r="B34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4" s="3" t="str">
        <f>YEAR(KMART_DATA[[#This Row],[Date]])&amp;"-"&amp;TEXT(MONTH(KMART_DATA[[#This Row],[Date]]),"00")</f>
        <v>2025-07</v>
      </c>
      <c r="D3484" s="3" t="s">
        <v>45</v>
      </c>
      <c r="E3484" s="3" t="s">
        <v>223</v>
      </c>
      <c r="F3484" s="3" t="s">
        <v>10</v>
      </c>
      <c r="G34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84" s="3" t="s">
        <v>224</v>
      </c>
      <c r="I3484" s="3" t="s">
        <v>31</v>
      </c>
      <c r="J3484" s="3" t="s">
        <v>94</v>
      </c>
      <c r="K3484" s="3" t="s">
        <v>112</v>
      </c>
      <c r="L3484" s="3" t="s">
        <v>113</v>
      </c>
      <c r="M3484" s="4">
        <v>220.18</v>
      </c>
    </row>
    <row r="3485">
      <c r="A3485" s="2">
        <v>45857</v>
      </c>
      <c r="B34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5" s="3" t="str">
        <f>YEAR(KMART_DATA[[#This Row],[Date]])&amp;"-"&amp;TEXT(MONTH(KMART_DATA[[#This Row],[Date]]),"00")</f>
        <v>2025-07</v>
      </c>
      <c r="D3485" s="3" t="s">
        <v>45</v>
      </c>
      <c r="E3485" s="3" t="s">
        <v>213</v>
      </c>
      <c r="F3485" s="3" t="s">
        <v>11</v>
      </c>
      <c r="G34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85" s="3" t="s">
        <v>214</v>
      </c>
      <c r="I3485" s="3" t="s">
        <v>31</v>
      </c>
      <c r="J3485" s="3" t="s">
        <v>32</v>
      </c>
      <c r="K3485" s="3" t="s">
        <v>43</v>
      </c>
      <c r="L3485" s="3" t="s">
        <v>44</v>
      </c>
      <c r="M3485" s="4">
        <v>286.8</v>
      </c>
    </row>
    <row r="3486">
      <c r="A3486" s="2">
        <v>45857</v>
      </c>
      <c r="B34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6" s="3" t="str">
        <f>YEAR(KMART_DATA[[#This Row],[Date]])&amp;"-"&amp;TEXT(MONTH(KMART_DATA[[#This Row],[Date]]),"00")</f>
        <v>2025-07</v>
      </c>
      <c r="D3486" s="3" t="s">
        <v>28</v>
      </c>
      <c r="E3486" s="3" t="s">
        <v>73</v>
      </c>
      <c r="F3486" s="3" t="s">
        <v>9</v>
      </c>
      <c r="G34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86" s="3" t="s">
        <v>74</v>
      </c>
      <c r="I3486" s="3" t="s">
        <v>31</v>
      </c>
      <c r="J3486" s="3" t="s">
        <v>75</v>
      </c>
      <c r="K3486" s="3" t="s">
        <v>123</v>
      </c>
      <c r="L3486" s="3" t="s">
        <v>124</v>
      </c>
      <c r="M3486" s="4">
        <v>420.39</v>
      </c>
    </row>
    <row r="3487">
      <c r="A3487" s="2">
        <v>45857</v>
      </c>
      <c r="B34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7" s="3" t="str">
        <f>YEAR(KMART_DATA[[#This Row],[Date]])&amp;"-"&amp;TEXT(MONTH(KMART_DATA[[#This Row],[Date]]),"00")</f>
        <v>2025-07</v>
      </c>
      <c r="D3487" s="3" t="s">
        <v>28</v>
      </c>
      <c r="E3487" s="3" t="s">
        <v>205</v>
      </c>
      <c r="F3487" s="3" t="s">
        <v>10</v>
      </c>
      <c r="G34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87" s="3" t="s">
        <v>206</v>
      </c>
      <c r="I3487" s="3" t="s">
        <v>31</v>
      </c>
      <c r="J3487" s="3" t="s">
        <v>37</v>
      </c>
      <c r="K3487" s="3" t="s">
        <v>33</v>
      </c>
      <c r="L3487" s="3" t="s">
        <v>34</v>
      </c>
      <c r="M3487" s="4">
        <v>507.3</v>
      </c>
    </row>
    <row r="3488">
      <c r="A3488" s="2">
        <v>45857</v>
      </c>
      <c r="B34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8" s="3" t="str">
        <f>YEAR(KMART_DATA[[#This Row],[Date]])&amp;"-"&amp;TEXT(MONTH(KMART_DATA[[#This Row],[Date]]),"00")</f>
        <v>2025-07</v>
      </c>
      <c r="D3488" s="3" t="s">
        <v>28</v>
      </c>
      <c r="E3488" s="3" t="s">
        <v>169</v>
      </c>
      <c r="F3488" s="3" t="s">
        <v>12</v>
      </c>
      <c r="G34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88" s="3" t="s">
        <v>170</v>
      </c>
      <c r="I3488" s="3" t="s">
        <v>31</v>
      </c>
      <c r="J3488" s="3" t="s">
        <v>102</v>
      </c>
      <c r="K3488" s="3" t="s">
        <v>33</v>
      </c>
      <c r="L3488" s="3" t="s">
        <v>34</v>
      </c>
      <c r="M3488" s="4">
        <v>541.59</v>
      </c>
    </row>
    <row r="3489">
      <c r="A3489" s="2">
        <v>45857</v>
      </c>
      <c r="B34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89" s="3" t="str">
        <f>YEAR(KMART_DATA[[#This Row],[Date]])&amp;"-"&amp;TEXT(MONTH(KMART_DATA[[#This Row],[Date]]),"00")</f>
        <v>2025-07</v>
      </c>
      <c r="D3489" s="3" t="s">
        <v>28</v>
      </c>
      <c r="E3489" s="3" t="s">
        <v>54</v>
      </c>
      <c r="F3489" s="3" t="s">
        <v>11</v>
      </c>
      <c r="G34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89" s="3" t="s">
        <v>55</v>
      </c>
      <c r="I3489" s="3" t="s">
        <v>31</v>
      </c>
      <c r="J3489" s="3" t="s">
        <v>56</v>
      </c>
      <c r="K3489" s="3" t="s">
        <v>57</v>
      </c>
      <c r="L3489" s="3" t="s">
        <v>58</v>
      </c>
      <c r="M3489" s="4">
        <v>1913.18</v>
      </c>
    </row>
    <row r="3490">
      <c r="A3490" s="2">
        <v>45858</v>
      </c>
      <c r="B34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0" s="3" t="str">
        <f>YEAR(KMART_DATA[[#This Row],[Date]])&amp;"-"&amp;TEXT(MONTH(KMART_DATA[[#This Row],[Date]]),"00")</f>
        <v>2025-07</v>
      </c>
      <c r="D3490" s="3" t="s">
        <v>28</v>
      </c>
      <c r="E3490" s="3" t="s">
        <v>160</v>
      </c>
      <c r="F3490" s="3" t="s">
        <v>12</v>
      </c>
      <c r="G34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90" s="3" t="s">
        <v>161</v>
      </c>
      <c r="I3490" s="3" t="s">
        <v>31</v>
      </c>
      <c r="J3490" s="3" t="s">
        <v>162</v>
      </c>
      <c r="K3490" s="3" t="s">
        <v>33</v>
      </c>
      <c r="L3490" s="3" t="s">
        <v>34</v>
      </c>
      <c r="M3490" s="4">
        <v>5.98</v>
      </c>
    </row>
    <row r="3491">
      <c r="A3491" s="2">
        <v>45858</v>
      </c>
      <c r="B34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1" s="3" t="str">
        <f>YEAR(KMART_DATA[[#This Row],[Date]])&amp;"-"&amp;TEXT(MONTH(KMART_DATA[[#This Row],[Date]]),"00")</f>
        <v>2025-07</v>
      </c>
      <c r="D3491" s="3" t="s">
        <v>45</v>
      </c>
      <c r="E3491" s="3" t="s">
        <v>114</v>
      </c>
      <c r="F3491" s="3" t="s">
        <v>9</v>
      </c>
      <c r="G34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91" s="3" t="s">
        <v>115</v>
      </c>
      <c r="I3491" s="3" t="s">
        <v>31</v>
      </c>
      <c r="J3491" s="3" t="s">
        <v>99</v>
      </c>
      <c r="K3491" s="3" t="s">
        <v>71</v>
      </c>
      <c r="L3491" s="3" t="s">
        <v>72</v>
      </c>
      <c r="M3491" s="4">
        <v>8.0</v>
      </c>
    </row>
    <row r="3492">
      <c r="A3492" s="2">
        <v>45858</v>
      </c>
      <c r="B34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2" s="3" t="str">
        <f>YEAR(KMART_DATA[[#This Row],[Date]])&amp;"-"&amp;TEXT(MONTH(KMART_DATA[[#This Row],[Date]]),"00")</f>
        <v>2025-07</v>
      </c>
      <c r="D3492" s="3" t="s">
        <v>28</v>
      </c>
      <c r="E3492" s="3" t="s">
        <v>68</v>
      </c>
      <c r="F3492" s="3" t="s">
        <v>9</v>
      </c>
      <c r="G34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92" s="3" t="s">
        <v>69</v>
      </c>
      <c r="I3492" s="3" t="s">
        <v>31</v>
      </c>
      <c r="J3492" s="3" t="s">
        <v>70</v>
      </c>
      <c r="K3492" s="3" t="s">
        <v>38</v>
      </c>
      <c r="L3492" s="3" t="s">
        <v>39</v>
      </c>
      <c r="M3492" s="4">
        <v>28.0</v>
      </c>
    </row>
    <row r="3493">
      <c r="A3493" s="2">
        <v>45858</v>
      </c>
      <c r="B34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3" s="3" t="str">
        <f>YEAR(KMART_DATA[[#This Row],[Date]])&amp;"-"&amp;TEXT(MONTH(KMART_DATA[[#This Row],[Date]]),"00")</f>
        <v>2025-07</v>
      </c>
      <c r="D3493" s="3" t="s">
        <v>28</v>
      </c>
      <c r="E3493" s="3" t="s">
        <v>232</v>
      </c>
      <c r="F3493" s="3" t="s">
        <v>9</v>
      </c>
      <c r="G34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93" s="3" t="s">
        <v>233</v>
      </c>
      <c r="I3493" s="3" t="s">
        <v>31</v>
      </c>
      <c r="J3493" s="3" t="s">
        <v>75</v>
      </c>
      <c r="K3493" s="3" t="s">
        <v>123</v>
      </c>
      <c r="L3493" s="3" t="s">
        <v>124</v>
      </c>
      <c r="M3493" s="4">
        <v>5012.69</v>
      </c>
    </row>
    <row r="3494">
      <c r="A3494" s="2">
        <v>45859</v>
      </c>
      <c r="B34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4" s="3" t="str">
        <f>YEAR(KMART_DATA[[#This Row],[Date]])&amp;"-"&amp;TEXT(MONTH(KMART_DATA[[#This Row],[Date]]),"00")</f>
        <v>2025-07</v>
      </c>
      <c r="D3494" s="3" t="s">
        <v>28</v>
      </c>
      <c r="E3494" s="3" t="s">
        <v>76</v>
      </c>
      <c r="F3494" s="3" t="s">
        <v>11</v>
      </c>
      <c r="G34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494" s="3" t="s">
        <v>77</v>
      </c>
      <c r="I3494" s="3" t="s">
        <v>31</v>
      </c>
      <c r="J3494" s="3" t="s">
        <v>78</v>
      </c>
      <c r="K3494" s="3" t="s">
        <v>95</v>
      </c>
      <c r="L3494" s="3" t="s">
        <v>96</v>
      </c>
      <c r="M3494" s="4">
        <v>34.93</v>
      </c>
    </row>
    <row r="3495">
      <c r="A3495" s="2">
        <v>45859</v>
      </c>
      <c r="B34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5" s="3" t="str">
        <f>YEAR(KMART_DATA[[#This Row],[Date]])&amp;"-"&amp;TEXT(MONTH(KMART_DATA[[#This Row],[Date]]),"00")</f>
        <v>2025-07</v>
      </c>
      <c r="D3495" s="3" t="s">
        <v>28</v>
      </c>
      <c r="E3495" s="3" t="s">
        <v>262</v>
      </c>
      <c r="F3495" s="3" t="s">
        <v>10</v>
      </c>
      <c r="G34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95" s="3" t="s">
        <v>263</v>
      </c>
      <c r="I3495" s="3" t="s">
        <v>31</v>
      </c>
      <c r="J3495" s="3" t="s">
        <v>120</v>
      </c>
      <c r="K3495" s="3" t="s">
        <v>66</v>
      </c>
      <c r="L3495" s="3" t="s">
        <v>67</v>
      </c>
      <c r="M3495" s="4">
        <v>229.38</v>
      </c>
    </row>
    <row r="3496">
      <c r="A3496" s="2">
        <v>45859</v>
      </c>
      <c r="B34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6" s="3" t="str">
        <f>YEAR(KMART_DATA[[#This Row],[Date]])&amp;"-"&amp;TEXT(MONTH(KMART_DATA[[#This Row],[Date]]),"00")</f>
        <v>2025-07</v>
      </c>
      <c r="D3496" s="3" t="s">
        <v>28</v>
      </c>
      <c r="E3496" s="3" t="s">
        <v>246</v>
      </c>
      <c r="F3496" s="3" t="s">
        <v>10</v>
      </c>
      <c r="G34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496" s="3" t="s">
        <v>247</v>
      </c>
      <c r="I3496" s="3" t="s">
        <v>31</v>
      </c>
      <c r="J3496" s="3" t="s">
        <v>37</v>
      </c>
      <c r="K3496" s="3" t="s">
        <v>33</v>
      </c>
      <c r="L3496" s="3" t="s">
        <v>34</v>
      </c>
      <c r="M3496" s="4">
        <v>304.0</v>
      </c>
    </row>
    <row r="3497">
      <c r="A3497" s="2">
        <v>45859</v>
      </c>
      <c r="B34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7" s="3" t="str">
        <f>YEAR(KMART_DATA[[#This Row],[Date]])&amp;"-"&amp;TEXT(MONTH(KMART_DATA[[#This Row],[Date]]),"00")</f>
        <v>2025-07</v>
      </c>
      <c r="D3497" s="3" t="s">
        <v>28</v>
      </c>
      <c r="E3497" s="3" t="s">
        <v>105</v>
      </c>
      <c r="F3497" s="3" t="s">
        <v>9</v>
      </c>
      <c r="G34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497" s="3" t="s">
        <v>106</v>
      </c>
      <c r="I3497" s="3" t="s">
        <v>31</v>
      </c>
      <c r="J3497" s="3" t="s">
        <v>107</v>
      </c>
      <c r="K3497" s="3" t="s">
        <v>38</v>
      </c>
      <c r="L3497" s="3" t="s">
        <v>39</v>
      </c>
      <c r="M3497" s="4">
        <v>340.43</v>
      </c>
    </row>
    <row r="3498">
      <c r="A3498" s="2">
        <v>45859</v>
      </c>
      <c r="B34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8" s="3" t="str">
        <f>YEAR(KMART_DATA[[#This Row],[Date]])&amp;"-"&amp;TEXT(MONTH(KMART_DATA[[#This Row],[Date]]),"00")</f>
        <v>2025-07</v>
      </c>
      <c r="D3498" s="3" t="s">
        <v>28</v>
      </c>
      <c r="E3498" s="3" t="s">
        <v>160</v>
      </c>
      <c r="F3498" s="3" t="s">
        <v>12</v>
      </c>
      <c r="G34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498" s="3" t="s">
        <v>161</v>
      </c>
      <c r="I3498" s="3" t="s">
        <v>31</v>
      </c>
      <c r="J3498" s="3" t="s">
        <v>162</v>
      </c>
      <c r="K3498" s="3" t="s">
        <v>43</v>
      </c>
      <c r="L3498" s="3" t="s">
        <v>44</v>
      </c>
      <c r="M3498" s="4">
        <v>551.76</v>
      </c>
    </row>
    <row r="3499">
      <c r="A3499" s="2">
        <v>45859</v>
      </c>
      <c r="B34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499" s="3" t="str">
        <f>YEAR(KMART_DATA[[#This Row],[Date]])&amp;"-"&amp;TEXT(MONTH(KMART_DATA[[#This Row],[Date]]),"00")</f>
        <v>2025-07</v>
      </c>
      <c r="D3499" s="3" t="s">
        <v>28</v>
      </c>
      <c r="E3499" s="3" t="s">
        <v>225</v>
      </c>
      <c r="F3499" s="3" t="s">
        <v>13</v>
      </c>
      <c r="G34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499" s="3" t="s">
        <v>226</v>
      </c>
      <c r="I3499" s="3" t="s">
        <v>31</v>
      </c>
      <c r="J3499" s="3" t="s">
        <v>227</v>
      </c>
      <c r="K3499" s="3" t="s">
        <v>95</v>
      </c>
      <c r="L3499" s="3" t="s">
        <v>96</v>
      </c>
      <c r="M3499" s="4">
        <v>559.35</v>
      </c>
    </row>
    <row r="3500">
      <c r="A3500" s="2">
        <v>45859</v>
      </c>
      <c r="B35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0" s="3" t="str">
        <f>YEAR(KMART_DATA[[#This Row],[Date]])&amp;"-"&amp;TEXT(MONTH(KMART_DATA[[#This Row],[Date]]),"00")</f>
        <v>2025-07</v>
      </c>
      <c r="D3500" s="3" t="s">
        <v>28</v>
      </c>
      <c r="E3500" s="3" t="s">
        <v>118</v>
      </c>
      <c r="F3500" s="3" t="s">
        <v>10</v>
      </c>
      <c r="G35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00" s="3" t="s">
        <v>119</v>
      </c>
      <c r="I3500" s="3" t="s">
        <v>31</v>
      </c>
      <c r="J3500" s="3" t="s">
        <v>120</v>
      </c>
      <c r="K3500" s="3" t="s">
        <v>57</v>
      </c>
      <c r="L3500" s="3" t="s">
        <v>58</v>
      </c>
      <c r="M3500" s="4">
        <v>4231.64</v>
      </c>
    </row>
    <row r="3501">
      <c r="A3501" s="2">
        <v>45859</v>
      </c>
      <c r="B35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1" s="3" t="str">
        <f>YEAR(KMART_DATA[[#This Row],[Date]])&amp;"-"&amp;TEXT(MONTH(KMART_DATA[[#This Row],[Date]]),"00")</f>
        <v>2025-07</v>
      </c>
      <c r="D3501" s="3" t="s">
        <v>28</v>
      </c>
      <c r="E3501" s="3" t="s">
        <v>59</v>
      </c>
      <c r="F3501" s="3" t="s">
        <v>11</v>
      </c>
      <c r="G35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01" s="3" t="s">
        <v>60</v>
      </c>
      <c r="I3501" s="3" t="s">
        <v>31</v>
      </c>
      <c r="J3501" s="3" t="s">
        <v>61</v>
      </c>
      <c r="K3501" s="3" t="s">
        <v>123</v>
      </c>
      <c r="L3501" s="3" t="s">
        <v>124</v>
      </c>
      <c r="M3501" s="4">
        <v>5429.46</v>
      </c>
    </row>
    <row r="3502">
      <c r="A3502" s="2">
        <v>45859</v>
      </c>
      <c r="B35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2" s="3" t="str">
        <f>YEAR(KMART_DATA[[#This Row],[Date]])&amp;"-"&amp;TEXT(MONTH(KMART_DATA[[#This Row],[Date]]),"00")</f>
        <v>2025-07</v>
      </c>
      <c r="D3502" s="3" t="s">
        <v>45</v>
      </c>
      <c r="E3502" s="3" t="s">
        <v>256</v>
      </c>
      <c r="F3502" s="3" t="s">
        <v>9</v>
      </c>
      <c r="G35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02" s="3" t="s">
        <v>257</v>
      </c>
      <c r="I3502" s="3" t="s">
        <v>31</v>
      </c>
      <c r="J3502" s="3" t="s">
        <v>70</v>
      </c>
      <c r="K3502" s="3" t="s">
        <v>57</v>
      </c>
      <c r="L3502" s="3" t="s">
        <v>58</v>
      </c>
      <c r="M3502" s="4">
        <v>10648.29</v>
      </c>
    </row>
    <row r="3503">
      <c r="A3503" s="2">
        <v>45860</v>
      </c>
      <c r="B35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3" s="3" t="str">
        <f>YEAR(KMART_DATA[[#This Row],[Date]])&amp;"-"&amp;TEXT(MONTH(KMART_DATA[[#This Row],[Date]]),"00")</f>
        <v>2025-07</v>
      </c>
      <c r="D3503" s="3" t="s">
        <v>45</v>
      </c>
      <c r="E3503" s="3" t="s">
        <v>97</v>
      </c>
      <c r="F3503" s="3" t="s">
        <v>9</v>
      </c>
      <c r="G35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03" s="3" t="s">
        <v>98</v>
      </c>
      <c r="I3503" s="3" t="s">
        <v>31</v>
      </c>
      <c r="J3503" s="3" t="s">
        <v>99</v>
      </c>
      <c r="K3503" s="3" t="s">
        <v>33</v>
      </c>
      <c r="L3503" s="3" t="s">
        <v>34</v>
      </c>
      <c r="M3503" s="4">
        <v>9.98</v>
      </c>
    </row>
    <row r="3504">
      <c r="A3504" s="2">
        <v>45860</v>
      </c>
      <c r="B35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4" s="3" t="str">
        <f>YEAR(KMART_DATA[[#This Row],[Date]])&amp;"-"&amp;TEXT(MONTH(KMART_DATA[[#This Row],[Date]]),"00")</f>
        <v>2025-07</v>
      </c>
      <c r="D3504" s="3" t="s">
        <v>45</v>
      </c>
      <c r="E3504" s="3" t="s">
        <v>150</v>
      </c>
      <c r="F3504" s="3" t="s">
        <v>15</v>
      </c>
      <c r="G35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504" s="3" t="s">
        <v>151</v>
      </c>
      <c r="I3504" s="3" t="s">
        <v>31</v>
      </c>
      <c r="J3504" s="3" t="s">
        <v>53</v>
      </c>
      <c r="K3504" s="3" t="s">
        <v>43</v>
      </c>
      <c r="L3504" s="3" t="s">
        <v>44</v>
      </c>
      <c r="M3504" s="4">
        <v>29.98</v>
      </c>
    </row>
    <row r="3505">
      <c r="A3505" s="2">
        <v>45860</v>
      </c>
      <c r="B35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5" s="3" t="str">
        <f>YEAR(KMART_DATA[[#This Row],[Date]])&amp;"-"&amp;TEXT(MONTH(KMART_DATA[[#This Row],[Date]]),"00")</f>
        <v>2025-07</v>
      </c>
      <c r="D3505" s="3" t="s">
        <v>28</v>
      </c>
      <c r="E3505" s="3" t="s">
        <v>129</v>
      </c>
      <c r="F3505" s="3" t="s">
        <v>10</v>
      </c>
      <c r="G35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05" s="3" t="s">
        <v>130</v>
      </c>
      <c r="I3505" s="3" t="s">
        <v>31</v>
      </c>
      <c r="J3505" s="3" t="s">
        <v>120</v>
      </c>
      <c r="K3505" s="3" t="s">
        <v>95</v>
      </c>
      <c r="L3505" s="3" t="s">
        <v>96</v>
      </c>
      <c r="M3505" s="4">
        <v>40.39</v>
      </c>
    </row>
    <row r="3506">
      <c r="A3506" s="2">
        <v>45860</v>
      </c>
      <c r="B35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6" s="3" t="str">
        <f>YEAR(KMART_DATA[[#This Row],[Date]])&amp;"-"&amp;TEXT(MONTH(KMART_DATA[[#This Row],[Date]]),"00")</f>
        <v>2025-07</v>
      </c>
      <c r="D3506" s="3" t="s">
        <v>45</v>
      </c>
      <c r="E3506" s="3" t="s">
        <v>181</v>
      </c>
      <c r="F3506" s="3" t="s">
        <v>11</v>
      </c>
      <c r="G35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06" s="3" t="s">
        <v>182</v>
      </c>
      <c r="I3506" s="3" t="s">
        <v>31</v>
      </c>
      <c r="J3506" s="3" t="s">
        <v>56</v>
      </c>
      <c r="K3506" s="3" t="s">
        <v>66</v>
      </c>
      <c r="L3506" s="3" t="s">
        <v>67</v>
      </c>
      <c r="M3506" s="4">
        <v>136.17</v>
      </c>
    </row>
    <row r="3507">
      <c r="A3507" s="2">
        <v>45860</v>
      </c>
      <c r="B35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7" s="3" t="str">
        <f>YEAR(KMART_DATA[[#This Row],[Date]])&amp;"-"&amp;TEXT(MONTH(KMART_DATA[[#This Row],[Date]]),"00")</f>
        <v>2025-07</v>
      </c>
      <c r="D3507" s="3" t="s">
        <v>28</v>
      </c>
      <c r="E3507" s="3" t="s">
        <v>175</v>
      </c>
      <c r="F3507" s="3" t="s">
        <v>16</v>
      </c>
      <c r="G35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507" s="3" t="s">
        <v>176</v>
      </c>
      <c r="I3507" s="3" t="s">
        <v>31</v>
      </c>
      <c r="J3507" s="3" t="s">
        <v>107</v>
      </c>
      <c r="K3507" s="3" t="s">
        <v>33</v>
      </c>
      <c r="L3507" s="3" t="s">
        <v>34</v>
      </c>
      <c r="M3507" s="4">
        <v>893.99</v>
      </c>
    </row>
    <row r="3508">
      <c r="A3508" s="2">
        <v>45860</v>
      </c>
      <c r="B35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8" s="3" t="str">
        <f>YEAR(KMART_DATA[[#This Row],[Date]])&amp;"-"&amp;TEXT(MONTH(KMART_DATA[[#This Row],[Date]]),"00")</f>
        <v>2025-07</v>
      </c>
      <c r="D3508" s="3" t="s">
        <v>28</v>
      </c>
      <c r="E3508" s="3" t="s">
        <v>211</v>
      </c>
      <c r="F3508" s="3" t="s">
        <v>9</v>
      </c>
      <c r="G35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08" s="3" t="s">
        <v>212</v>
      </c>
      <c r="I3508" s="3" t="s">
        <v>31</v>
      </c>
      <c r="J3508" s="3" t="s">
        <v>75</v>
      </c>
      <c r="K3508" s="3" t="s">
        <v>43</v>
      </c>
      <c r="L3508" s="3" t="s">
        <v>44</v>
      </c>
      <c r="M3508" s="4">
        <v>2003.56</v>
      </c>
    </row>
    <row r="3509">
      <c r="A3509" s="2">
        <v>45861</v>
      </c>
      <c r="B35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09" s="3" t="str">
        <f>YEAR(KMART_DATA[[#This Row],[Date]])&amp;"-"&amp;TEXT(MONTH(KMART_DATA[[#This Row],[Date]]),"00")</f>
        <v>2025-07</v>
      </c>
      <c r="D3509" s="3" t="s">
        <v>28</v>
      </c>
      <c r="E3509" s="3" t="s">
        <v>85</v>
      </c>
      <c r="F3509" s="3" t="s">
        <v>9</v>
      </c>
      <c r="G35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09" s="3" t="s">
        <v>86</v>
      </c>
      <c r="I3509" s="3" t="s">
        <v>31</v>
      </c>
      <c r="J3509" s="3" t="s">
        <v>81</v>
      </c>
      <c r="K3509" s="3" t="s">
        <v>43</v>
      </c>
      <c r="L3509" s="3" t="s">
        <v>44</v>
      </c>
      <c r="M3509" s="4">
        <v>19.99</v>
      </c>
    </row>
    <row r="3510">
      <c r="A3510" s="2">
        <v>45861</v>
      </c>
      <c r="B35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0" s="3" t="str">
        <f>YEAR(KMART_DATA[[#This Row],[Date]])&amp;"-"&amp;TEXT(MONTH(KMART_DATA[[#This Row],[Date]]),"00")</f>
        <v>2025-07</v>
      </c>
      <c r="D3510" s="3" t="s">
        <v>45</v>
      </c>
      <c r="E3510" s="3" t="s">
        <v>108</v>
      </c>
      <c r="F3510" s="3" t="s">
        <v>9</v>
      </c>
      <c r="G35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10" s="3" t="s">
        <v>109</v>
      </c>
      <c r="I3510" s="3" t="s">
        <v>31</v>
      </c>
      <c r="J3510" s="3" t="s">
        <v>75</v>
      </c>
      <c r="K3510" s="3" t="s">
        <v>57</v>
      </c>
      <c r="L3510" s="3" t="s">
        <v>58</v>
      </c>
      <c r="M3510" s="4">
        <v>24.99</v>
      </c>
    </row>
    <row r="3511">
      <c r="A3511" s="2">
        <v>45861</v>
      </c>
      <c r="B35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1" s="3" t="str">
        <f>YEAR(KMART_DATA[[#This Row],[Date]])&amp;"-"&amp;TEXT(MONTH(KMART_DATA[[#This Row],[Date]]),"00")</f>
        <v>2025-07</v>
      </c>
      <c r="D3511" s="3" t="s">
        <v>45</v>
      </c>
      <c r="E3511" s="3" t="s">
        <v>110</v>
      </c>
      <c r="F3511" s="3" t="s">
        <v>9</v>
      </c>
      <c r="G35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11" s="3" t="s">
        <v>111</v>
      </c>
      <c r="I3511" s="3" t="s">
        <v>31</v>
      </c>
      <c r="J3511" s="3" t="s">
        <v>81</v>
      </c>
      <c r="K3511" s="3" t="s">
        <v>95</v>
      </c>
      <c r="L3511" s="3" t="s">
        <v>96</v>
      </c>
      <c r="M3511" s="4">
        <v>41.64</v>
      </c>
    </row>
    <row r="3512">
      <c r="A3512" s="2">
        <v>45861</v>
      </c>
      <c r="B35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2" s="3" t="str">
        <f>YEAR(KMART_DATA[[#This Row],[Date]])&amp;"-"&amp;TEXT(MONTH(KMART_DATA[[#This Row],[Date]]),"00")</f>
        <v>2025-07</v>
      </c>
      <c r="D3512" s="3" t="s">
        <v>45</v>
      </c>
      <c r="E3512" s="3" t="s">
        <v>152</v>
      </c>
      <c r="F3512" s="3" t="s">
        <v>11</v>
      </c>
      <c r="G35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12" s="3" t="s">
        <v>153</v>
      </c>
      <c r="I3512" s="3" t="s">
        <v>31</v>
      </c>
      <c r="J3512" s="3" t="s">
        <v>61</v>
      </c>
      <c r="K3512" s="3" t="s">
        <v>43</v>
      </c>
      <c r="L3512" s="3" t="s">
        <v>44</v>
      </c>
      <c r="M3512" s="4">
        <v>122.91</v>
      </c>
    </row>
    <row r="3513">
      <c r="A3513" s="2">
        <v>45861</v>
      </c>
      <c r="B35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3" s="3" t="str">
        <f>YEAR(KMART_DATA[[#This Row],[Date]])&amp;"-"&amp;TEXT(MONTH(KMART_DATA[[#This Row],[Date]]),"00")</f>
        <v>2025-07</v>
      </c>
      <c r="D3513" s="3" t="s">
        <v>28</v>
      </c>
      <c r="E3513" s="3" t="s">
        <v>175</v>
      </c>
      <c r="F3513" s="3" t="s">
        <v>16</v>
      </c>
      <c r="G35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513" s="3" t="s">
        <v>176</v>
      </c>
      <c r="I3513" s="3" t="s">
        <v>31</v>
      </c>
      <c r="J3513" s="3" t="s">
        <v>107</v>
      </c>
      <c r="K3513" s="3" t="s">
        <v>95</v>
      </c>
      <c r="L3513" s="3" t="s">
        <v>96</v>
      </c>
      <c r="M3513" s="4">
        <v>156.04</v>
      </c>
    </row>
    <row r="3514">
      <c r="A3514" s="2">
        <v>45861</v>
      </c>
      <c r="B35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4" s="3" t="str">
        <f>YEAR(KMART_DATA[[#This Row],[Date]])&amp;"-"&amp;TEXT(MONTH(KMART_DATA[[#This Row],[Date]]),"00")</f>
        <v>2025-07</v>
      </c>
      <c r="D3514" s="3" t="s">
        <v>28</v>
      </c>
      <c r="E3514" s="3" t="s">
        <v>68</v>
      </c>
      <c r="F3514" s="3" t="s">
        <v>9</v>
      </c>
      <c r="G35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14" s="3" t="s">
        <v>69</v>
      </c>
      <c r="I3514" s="3" t="s">
        <v>31</v>
      </c>
      <c r="J3514" s="3" t="s">
        <v>70</v>
      </c>
      <c r="K3514" s="3" t="s">
        <v>57</v>
      </c>
      <c r="L3514" s="3" t="s">
        <v>58</v>
      </c>
      <c r="M3514" s="4">
        <v>2181.59</v>
      </c>
    </row>
    <row r="3515">
      <c r="A3515" s="2">
        <v>45862</v>
      </c>
      <c r="B35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5" s="3" t="str">
        <f>YEAR(KMART_DATA[[#This Row],[Date]])&amp;"-"&amp;TEXT(MONTH(KMART_DATA[[#This Row],[Date]]),"00")</f>
        <v>2025-07</v>
      </c>
      <c r="D3515" s="3" t="s">
        <v>45</v>
      </c>
      <c r="E3515" s="3" t="s">
        <v>156</v>
      </c>
      <c r="F3515" s="3" t="s">
        <v>9</v>
      </c>
      <c r="G35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15" s="3" t="s">
        <v>157</v>
      </c>
      <c r="I3515" s="3" t="s">
        <v>31</v>
      </c>
      <c r="J3515" s="3" t="s">
        <v>75</v>
      </c>
      <c r="K3515" s="3" t="s">
        <v>43</v>
      </c>
      <c r="L3515" s="3" t="s">
        <v>44</v>
      </c>
      <c r="M3515" s="4">
        <v>182.3</v>
      </c>
    </row>
    <row r="3516">
      <c r="A3516" s="2">
        <v>45862</v>
      </c>
      <c r="B35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6" s="3" t="str">
        <f>YEAR(KMART_DATA[[#This Row],[Date]])&amp;"-"&amp;TEXT(MONTH(KMART_DATA[[#This Row],[Date]]),"00")</f>
        <v>2025-07</v>
      </c>
      <c r="D3516" s="3" t="s">
        <v>45</v>
      </c>
      <c r="E3516" s="3" t="s">
        <v>228</v>
      </c>
      <c r="F3516" s="3" t="s">
        <v>11</v>
      </c>
      <c r="G35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16" s="3" t="s">
        <v>229</v>
      </c>
      <c r="I3516" s="3" t="s">
        <v>31</v>
      </c>
      <c r="J3516" s="3" t="s">
        <v>32</v>
      </c>
      <c r="K3516" s="3" t="s">
        <v>71</v>
      </c>
      <c r="L3516" s="3" t="s">
        <v>72</v>
      </c>
      <c r="M3516" s="4">
        <v>436.96</v>
      </c>
    </row>
    <row r="3517">
      <c r="A3517" s="2">
        <v>45862</v>
      </c>
      <c r="B35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7" s="3" t="str">
        <f>YEAR(KMART_DATA[[#This Row],[Date]])&amp;"-"&amp;TEXT(MONTH(KMART_DATA[[#This Row],[Date]]),"00")</f>
        <v>2025-07</v>
      </c>
      <c r="D3517" s="3" t="s">
        <v>28</v>
      </c>
      <c r="E3517" s="3" t="s">
        <v>264</v>
      </c>
      <c r="F3517" s="3" t="s">
        <v>13</v>
      </c>
      <c r="G35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517" s="3" t="s">
        <v>265</v>
      </c>
      <c r="I3517" s="3" t="s">
        <v>31</v>
      </c>
      <c r="J3517" s="3" t="s">
        <v>42</v>
      </c>
      <c r="K3517" s="3" t="s">
        <v>71</v>
      </c>
      <c r="L3517" s="3" t="s">
        <v>72</v>
      </c>
      <c r="M3517" s="4">
        <v>5286.48</v>
      </c>
    </row>
    <row r="3518">
      <c r="A3518" s="2">
        <v>45863</v>
      </c>
      <c r="B35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8" s="3" t="str">
        <f>YEAR(KMART_DATA[[#This Row],[Date]])&amp;"-"&amp;TEXT(MONTH(KMART_DATA[[#This Row],[Date]]),"00")</f>
        <v>2025-07</v>
      </c>
      <c r="D3518" s="3" t="s">
        <v>45</v>
      </c>
      <c r="E3518" s="3" t="s">
        <v>246</v>
      </c>
      <c r="F3518" s="3" t="s">
        <v>10</v>
      </c>
      <c r="G35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18" s="3" t="s">
        <v>247</v>
      </c>
      <c r="I3518" s="3" t="s">
        <v>31</v>
      </c>
      <c r="J3518" s="3" t="s">
        <v>37</v>
      </c>
      <c r="K3518" s="3" t="s">
        <v>112</v>
      </c>
      <c r="L3518" s="3" t="s">
        <v>113</v>
      </c>
      <c r="M3518" s="4">
        <v>23.76</v>
      </c>
    </row>
    <row r="3519">
      <c r="A3519" s="2">
        <v>45863</v>
      </c>
      <c r="B35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19" s="3" t="str">
        <f>YEAR(KMART_DATA[[#This Row],[Date]])&amp;"-"&amp;TEXT(MONTH(KMART_DATA[[#This Row],[Date]]),"00")</f>
        <v>2025-07</v>
      </c>
      <c r="D3519" s="3" t="s">
        <v>45</v>
      </c>
      <c r="E3519" s="3" t="s">
        <v>173</v>
      </c>
      <c r="F3519" s="3" t="s">
        <v>11</v>
      </c>
      <c r="G35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19" s="3" t="s">
        <v>174</v>
      </c>
      <c r="I3519" s="3" t="s">
        <v>31</v>
      </c>
      <c r="J3519" s="3" t="s">
        <v>61</v>
      </c>
      <c r="K3519" s="3" t="s">
        <v>95</v>
      </c>
      <c r="L3519" s="3" t="s">
        <v>96</v>
      </c>
      <c r="M3519" s="4">
        <v>71.82</v>
      </c>
    </row>
    <row r="3520">
      <c r="A3520" s="2">
        <v>45863</v>
      </c>
      <c r="B35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0" s="3" t="str">
        <f>YEAR(KMART_DATA[[#This Row],[Date]])&amp;"-"&amp;TEXT(MONTH(KMART_DATA[[#This Row],[Date]]),"00")</f>
        <v>2025-07</v>
      </c>
      <c r="D3520" s="3" t="s">
        <v>28</v>
      </c>
      <c r="E3520" s="3" t="s">
        <v>131</v>
      </c>
      <c r="F3520" s="3" t="s">
        <v>11</v>
      </c>
      <c r="G35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20" s="3" t="s">
        <v>132</v>
      </c>
      <c r="I3520" s="3" t="s">
        <v>31</v>
      </c>
      <c r="J3520" s="3" t="s">
        <v>32</v>
      </c>
      <c r="K3520" s="3" t="s">
        <v>57</v>
      </c>
      <c r="L3520" s="3" t="s">
        <v>58</v>
      </c>
      <c r="M3520" s="4">
        <v>988.03</v>
      </c>
    </row>
    <row r="3521">
      <c r="A3521" s="2">
        <v>45863</v>
      </c>
      <c r="B35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1" s="3" t="str">
        <f>YEAR(KMART_DATA[[#This Row],[Date]])&amp;"-"&amp;TEXT(MONTH(KMART_DATA[[#This Row],[Date]]),"00")</f>
        <v>2025-07</v>
      </c>
      <c r="D3521" s="3" t="s">
        <v>45</v>
      </c>
      <c r="E3521" s="3" t="s">
        <v>177</v>
      </c>
      <c r="F3521" s="3" t="s">
        <v>12</v>
      </c>
      <c r="G35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21" s="3" t="s">
        <v>178</v>
      </c>
      <c r="I3521" s="3" t="s">
        <v>31</v>
      </c>
      <c r="J3521" s="3" t="s">
        <v>162</v>
      </c>
      <c r="K3521" s="3" t="s">
        <v>33</v>
      </c>
      <c r="L3521" s="3" t="s">
        <v>34</v>
      </c>
      <c r="M3521" s="4">
        <v>3186.85</v>
      </c>
    </row>
    <row r="3522">
      <c r="A3522" s="2">
        <v>45864</v>
      </c>
      <c r="B35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2" s="3" t="str">
        <f>YEAR(KMART_DATA[[#This Row],[Date]])&amp;"-"&amp;TEXT(MONTH(KMART_DATA[[#This Row],[Date]]),"00")</f>
        <v>2025-07</v>
      </c>
      <c r="D3522" s="3" t="s">
        <v>28</v>
      </c>
      <c r="E3522" s="3" t="s">
        <v>209</v>
      </c>
      <c r="F3522" s="3" t="s">
        <v>9</v>
      </c>
      <c r="G35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22" s="3" t="s">
        <v>210</v>
      </c>
      <c r="I3522" s="3" t="s">
        <v>31</v>
      </c>
      <c r="J3522" s="3" t="s">
        <v>81</v>
      </c>
      <c r="K3522" s="3" t="s">
        <v>112</v>
      </c>
      <c r="L3522" s="3" t="s">
        <v>113</v>
      </c>
      <c r="M3522" s="4">
        <v>31.68</v>
      </c>
    </row>
    <row r="3523">
      <c r="A3523" s="2">
        <v>45864</v>
      </c>
      <c r="B35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3" s="3" t="str">
        <f>YEAR(KMART_DATA[[#This Row],[Date]])&amp;"-"&amp;TEXT(MONTH(KMART_DATA[[#This Row],[Date]]),"00")</f>
        <v>2025-07</v>
      </c>
      <c r="D3523" s="3" t="s">
        <v>28</v>
      </c>
      <c r="E3523" s="3" t="s">
        <v>154</v>
      </c>
      <c r="F3523" s="3" t="s">
        <v>11</v>
      </c>
      <c r="G35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23" s="3" t="s">
        <v>155</v>
      </c>
      <c r="I3523" s="3" t="s">
        <v>31</v>
      </c>
      <c r="J3523" s="3" t="s">
        <v>84</v>
      </c>
      <c r="K3523" s="3" t="s">
        <v>71</v>
      </c>
      <c r="L3523" s="3" t="s">
        <v>72</v>
      </c>
      <c r="M3523" s="4">
        <v>158.54</v>
      </c>
    </row>
    <row r="3524">
      <c r="A3524" s="2">
        <v>45865</v>
      </c>
      <c r="B35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4" s="3" t="str">
        <f>YEAR(KMART_DATA[[#This Row],[Date]])&amp;"-"&amp;TEXT(MONTH(KMART_DATA[[#This Row],[Date]]),"00")</f>
        <v>2025-07</v>
      </c>
      <c r="D3524" s="3" t="s">
        <v>28</v>
      </c>
      <c r="E3524" s="3" t="s">
        <v>179</v>
      </c>
      <c r="F3524" s="3" t="s">
        <v>9</v>
      </c>
      <c r="G35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24" s="3" t="s">
        <v>180</v>
      </c>
      <c r="I3524" s="3" t="s">
        <v>31</v>
      </c>
      <c r="J3524" s="3" t="s">
        <v>99</v>
      </c>
      <c r="K3524" s="3" t="s">
        <v>46</v>
      </c>
      <c r="L3524" s="3" t="s">
        <v>47</v>
      </c>
      <c r="M3524" s="4">
        <v>3.0</v>
      </c>
    </row>
    <row r="3525">
      <c r="A3525" s="2">
        <v>45865</v>
      </c>
      <c r="B35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5" s="3" t="str">
        <f>YEAR(KMART_DATA[[#This Row],[Date]])&amp;"-"&amp;TEXT(MONTH(KMART_DATA[[#This Row],[Date]]),"00")</f>
        <v>2025-07</v>
      </c>
      <c r="D3525" s="3" t="s">
        <v>45</v>
      </c>
      <c r="E3525" s="3" t="s">
        <v>248</v>
      </c>
      <c r="F3525" s="3" t="s">
        <v>12</v>
      </c>
      <c r="G35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25" s="3" t="s">
        <v>249</v>
      </c>
      <c r="I3525" s="3" t="s">
        <v>31</v>
      </c>
      <c r="J3525" s="3" t="s">
        <v>162</v>
      </c>
      <c r="K3525" s="3" t="s">
        <v>71</v>
      </c>
      <c r="L3525" s="3" t="s">
        <v>72</v>
      </c>
      <c r="M3525" s="4">
        <v>9.99</v>
      </c>
    </row>
    <row r="3526">
      <c r="A3526" s="2">
        <v>45865</v>
      </c>
      <c r="B35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6" s="3" t="str">
        <f>YEAR(KMART_DATA[[#This Row],[Date]])&amp;"-"&amp;TEXT(MONTH(KMART_DATA[[#This Row],[Date]]),"00")</f>
        <v>2025-07</v>
      </c>
      <c r="D3526" s="3" t="s">
        <v>28</v>
      </c>
      <c r="E3526" s="3" t="s">
        <v>100</v>
      </c>
      <c r="F3526" s="3" t="s">
        <v>12</v>
      </c>
      <c r="G35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26" s="3" t="s">
        <v>101</v>
      </c>
      <c r="I3526" s="3" t="s">
        <v>31</v>
      </c>
      <c r="J3526" s="3" t="s">
        <v>102</v>
      </c>
      <c r="K3526" s="3" t="s">
        <v>123</v>
      </c>
      <c r="L3526" s="3" t="s">
        <v>124</v>
      </c>
      <c r="M3526" s="4">
        <v>425.74</v>
      </c>
    </row>
    <row r="3527">
      <c r="A3527" s="2">
        <v>45865</v>
      </c>
      <c r="B35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7" s="3" t="str">
        <f>YEAR(KMART_DATA[[#This Row],[Date]])&amp;"-"&amp;TEXT(MONTH(KMART_DATA[[#This Row],[Date]]),"00")</f>
        <v>2025-07</v>
      </c>
      <c r="D3527" s="3" t="s">
        <v>28</v>
      </c>
      <c r="E3527" s="3" t="s">
        <v>139</v>
      </c>
      <c r="F3527" s="3" t="s">
        <v>10</v>
      </c>
      <c r="G35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27" s="3" t="s">
        <v>140</v>
      </c>
      <c r="I3527" s="3" t="s">
        <v>31</v>
      </c>
      <c r="J3527" s="3" t="s">
        <v>89</v>
      </c>
      <c r="K3527" s="3" t="s">
        <v>95</v>
      </c>
      <c r="L3527" s="3" t="s">
        <v>96</v>
      </c>
      <c r="M3527" s="4">
        <v>432.91</v>
      </c>
    </row>
    <row r="3528">
      <c r="A3528" s="2">
        <v>45865</v>
      </c>
      <c r="B35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8" s="3" t="str">
        <f>YEAR(KMART_DATA[[#This Row],[Date]])&amp;"-"&amp;TEXT(MONTH(KMART_DATA[[#This Row],[Date]]),"00")</f>
        <v>2025-07</v>
      </c>
      <c r="D3528" s="3" t="s">
        <v>28</v>
      </c>
      <c r="E3528" s="3" t="s">
        <v>209</v>
      </c>
      <c r="F3528" s="3" t="s">
        <v>9</v>
      </c>
      <c r="G35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28" s="3" t="s">
        <v>210</v>
      </c>
      <c r="I3528" s="3" t="s">
        <v>31</v>
      </c>
      <c r="J3528" s="3" t="s">
        <v>81</v>
      </c>
      <c r="K3528" s="3" t="s">
        <v>123</v>
      </c>
      <c r="L3528" s="3" t="s">
        <v>124</v>
      </c>
      <c r="M3528" s="4">
        <v>592.06</v>
      </c>
    </row>
    <row r="3529">
      <c r="A3529" s="2">
        <v>45866</v>
      </c>
      <c r="B35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29" s="3" t="str">
        <f>YEAR(KMART_DATA[[#This Row],[Date]])&amp;"-"&amp;TEXT(MONTH(KMART_DATA[[#This Row],[Date]]),"00")</f>
        <v>2025-07</v>
      </c>
      <c r="D3529" s="3" t="s">
        <v>28</v>
      </c>
      <c r="E3529" s="3" t="s">
        <v>87</v>
      </c>
      <c r="F3529" s="3" t="s">
        <v>10</v>
      </c>
      <c r="G35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29" s="3" t="s">
        <v>88</v>
      </c>
      <c r="I3529" s="3" t="s">
        <v>31</v>
      </c>
      <c r="J3529" s="3" t="s">
        <v>89</v>
      </c>
      <c r="K3529" s="3" t="s">
        <v>95</v>
      </c>
      <c r="L3529" s="3" t="s">
        <v>96</v>
      </c>
      <c r="M3529" s="4">
        <v>15.39</v>
      </c>
    </row>
    <row r="3530">
      <c r="A3530" s="2">
        <v>45866</v>
      </c>
      <c r="B35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0" s="3" t="str">
        <f>YEAR(KMART_DATA[[#This Row],[Date]])&amp;"-"&amp;TEXT(MONTH(KMART_DATA[[#This Row],[Date]]),"00")</f>
        <v>2025-07</v>
      </c>
      <c r="D3530" s="3" t="s">
        <v>45</v>
      </c>
      <c r="E3530" s="3" t="s">
        <v>183</v>
      </c>
      <c r="F3530" s="3" t="s">
        <v>9</v>
      </c>
      <c r="G35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30" s="3" t="s">
        <v>184</v>
      </c>
      <c r="I3530" s="3" t="s">
        <v>31</v>
      </c>
      <c r="J3530" s="3" t="s">
        <v>70</v>
      </c>
      <c r="K3530" s="3" t="s">
        <v>66</v>
      </c>
      <c r="L3530" s="3" t="s">
        <v>67</v>
      </c>
      <c r="M3530" s="4">
        <v>37.19</v>
      </c>
    </row>
    <row r="3531">
      <c r="A3531" s="2">
        <v>45866</v>
      </c>
      <c r="B35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1" s="3" t="str">
        <f>YEAR(KMART_DATA[[#This Row],[Date]])&amp;"-"&amp;TEXT(MONTH(KMART_DATA[[#This Row],[Date]]),"00")</f>
        <v>2025-07</v>
      </c>
      <c r="D3531" s="3" t="s">
        <v>45</v>
      </c>
      <c r="E3531" s="3" t="s">
        <v>152</v>
      </c>
      <c r="F3531" s="3" t="s">
        <v>11</v>
      </c>
      <c r="G35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31" s="3" t="s">
        <v>153</v>
      </c>
      <c r="I3531" s="3" t="s">
        <v>31</v>
      </c>
      <c r="J3531" s="3" t="s">
        <v>61</v>
      </c>
      <c r="K3531" s="3" t="s">
        <v>38</v>
      </c>
      <c r="L3531" s="3" t="s">
        <v>39</v>
      </c>
      <c r="M3531" s="4">
        <v>112.64</v>
      </c>
    </row>
    <row r="3532">
      <c r="A3532" s="2">
        <v>45866</v>
      </c>
      <c r="B35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2" s="3" t="str">
        <f>YEAR(KMART_DATA[[#This Row],[Date]])&amp;"-"&amp;TEXT(MONTH(KMART_DATA[[#This Row],[Date]]),"00")</f>
        <v>2025-07</v>
      </c>
      <c r="D3532" s="3" t="s">
        <v>28</v>
      </c>
      <c r="E3532" s="3" t="s">
        <v>163</v>
      </c>
      <c r="F3532" s="3" t="s">
        <v>9</v>
      </c>
      <c r="G35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32" s="3" t="s">
        <v>164</v>
      </c>
      <c r="I3532" s="3" t="s">
        <v>31</v>
      </c>
      <c r="J3532" s="3" t="s">
        <v>81</v>
      </c>
      <c r="K3532" s="3" t="s">
        <v>43</v>
      </c>
      <c r="L3532" s="3" t="s">
        <v>44</v>
      </c>
      <c r="M3532" s="4">
        <v>445.52</v>
      </c>
    </row>
    <row r="3533">
      <c r="A3533" s="2">
        <v>45866</v>
      </c>
      <c r="B35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3" s="3" t="str">
        <f>YEAR(KMART_DATA[[#This Row],[Date]])&amp;"-"&amp;TEXT(MONTH(KMART_DATA[[#This Row],[Date]]),"00")</f>
        <v>2025-07</v>
      </c>
      <c r="D3533" s="3" t="s">
        <v>28</v>
      </c>
      <c r="E3533" s="3" t="s">
        <v>203</v>
      </c>
      <c r="F3533" s="3" t="s">
        <v>10</v>
      </c>
      <c r="G35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33" s="3" t="s">
        <v>204</v>
      </c>
      <c r="I3533" s="3" t="s">
        <v>31</v>
      </c>
      <c r="J3533" s="3" t="s">
        <v>89</v>
      </c>
      <c r="K3533" s="3" t="s">
        <v>57</v>
      </c>
      <c r="L3533" s="3" t="s">
        <v>58</v>
      </c>
      <c r="M3533" s="4">
        <v>5375.47</v>
      </c>
    </row>
    <row r="3534">
      <c r="A3534" s="2">
        <v>45867</v>
      </c>
      <c r="B35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4" s="3" t="str">
        <f>YEAR(KMART_DATA[[#This Row],[Date]])&amp;"-"&amp;TEXT(MONTH(KMART_DATA[[#This Row],[Date]]),"00")</f>
        <v>2025-07</v>
      </c>
      <c r="D3534" s="3" t="s">
        <v>28</v>
      </c>
      <c r="E3534" s="3" t="s">
        <v>260</v>
      </c>
      <c r="F3534" s="3" t="s">
        <v>10</v>
      </c>
      <c r="G35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34" s="3" t="s">
        <v>261</v>
      </c>
      <c r="I3534" s="3" t="s">
        <v>31</v>
      </c>
      <c r="J3534" s="3" t="s">
        <v>89</v>
      </c>
      <c r="K3534" s="3" t="s">
        <v>43</v>
      </c>
      <c r="L3534" s="3" t="s">
        <v>44</v>
      </c>
      <c r="M3534" s="4">
        <v>11.5</v>
      </c>
    </row>
    <row r="3535">
      <c r="A3535" s="2">
        <v>45867</v>
      </c>
      <c r="B35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5" s="3" t="str">
        <f>YEAR(KMART_DATA[[#This Row],[Date]])&amp;"-"&amp;TEXT(MONTH(KMART_DATA[[#This Row],[Date]]),"00")</f>
        <v>2025-07</v>
      </c>
      <c r="D3535" s="3" t="s">
        <v>28</v>
      </c>
      <c r="E3535" s="3" t="s">
        <v>197</v>
      </c>
      <c r="F3535" s="3" t="s">
        <v>9</v>
      </c>
      <c r="G35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35" s="3" t="s">
        <v>198</v>
      </c>
      <c r="I3535" s="3" t="s">
        <v>31</v>
      </c>
      <c r="J3535" s="3" t="s">
        <v>107</v>
      </c>
      <c r="K3535" s="3" t="s">
        <v>71</v>
      </c>
      <c r="L3535" s="3" t="s">
        <v>72</v>
      </c>
      <c r="M3535" s="4">
        <v>19.98</v>
      </c>
    </row>
    <row r="3536">
      <c r="A3536" s="2">
        <v>45867</v>
      </c>
      <c r="B35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6" s="3" t="str">
        <f>YEAR(KMART_DATA[[#This Row],[Date]])&amp;"-"&amp;TEXT(MONTH(KMART_DATA[[#This Row],[Date]]),"00")</f>
        <v>2025-07</v>
      </c>
      <c r="D3536" s="3" t="s">
        <v>28</v>
      </c>
      <c r="E3536" s="3" t="s">
        <v>146</v>
      </c>
      <c r="F3536" s="3" t="s">
        <v>9</v>
      </c>
      <c r="G35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36" s="3" t="s">
        <v>147</v>
      </c>
      <c r="I3536" s="3" t="s">
        <v>31</v>
      </c>
      <c r="J3536" s="3" t="s">
        <v>75</v>
      </c>
      <c r="K3536" s="3" t="s">
        <v>123</v>
      </c>
      <c r="L3536" s="3" t="s">
        <v>124</v>
      </c>
      <c r="M3536" s="4">
        <v>24.99</v>
      </c>
    </row>
    <row r="3537">
      <c r="A3537" s="2">
        <v>45867</v>
      </c>
      <c r="B35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7" s="3" t="str">
        <f>YEAR(KMART_DATA[[#This Row],[Date]])&amp;"-"&amp;TEXT(MONTH(KMART_DATA[[#This Row],[Date]]),"00")</f>
        <v>2025-07</v>
      </c>
      <c r="D3537" s="3" t="s">
        <v>28</v>
      </c>
      <c r="E3537" s="3" t="s">
        <v>177</v>
      </c>
      <c r="F3537" s="3" t="s">
        <v>12</v>
      </c>
      <c r="G35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37" s="3" t="s">
        <v>178</v>
      </c>
      <c r="I3537" s="3" t="s">
        <v>31</v>
      </c>
      <c r="J3537" s="3" t="s">
        <v>162</v>
      </c>
      <c r="K3537" s="3" t="s">
        <v>43</v>
      </c>
      <c r="L3537" s="3" t="s">
        <v>44</v>
      </c>
      <c r="M3537" s="4">
        <v>25.6</v>
      </c>
    </row>
    <row r="3538">
      <c r="A3538" s="2">
        <v>45867</v>
      </c>
      <c r="B35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8" s="3" t="str">
        <f>YEAR(KMART_DATA[[#This Row],[Date]])&amp;"-"&amp;TEXT(MONTH(KMART_DATA[[#This Row],[Date]]),"00")</f>
        <v>2025-07</v>
      </c>
      <c r="D3538" s="3" t="s">
        <v>45</v>
      </c>
      <c r="E3538" s="3" t="s">
        <v>148</v>
      </c>
      <c r="F3538" s="3" t="s">
        <v>12</v>
      </c>
      <c r="G35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38" s="3" t="s">
        <v>149</v>
      </c>
      <c r="I3538" s="3" t="s">
        <v>31</v>
      </c>
      <c r="J3538" s="3" t="s">
        <v>50</v>
      </c>
      <c r="K3538" s="3" t="s">
        <v>38</v>
      </c>
      <c r="L3538" s="3" t="s">
        <v>39</v>
      </c>
      <c r="M3538" s="4">
        <v>196.62</v>
      </c>
    </row>
    <row r="3539">
      <c r="A3539" s="2">
        <v>45867</v>
      </c>
      <c r="B35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39" s="3" t="str">
        <f>YEAR(KMART_DATA[[#This Row],[Date]])&amp;"-"&amp;TEXT(MONTH(KMART_DATA[[#This Row],[Date]]),"00")</f>
        <v>2025-07</v>
      </c>
      <c r="D3539" s="3" t="s">
        <v>28</v>
      </c>
      <c r="E3539" s="3" t="s">
        <v>193</v>
      </c>
      <c r="F3539" s="3" t="s">
        <v>9</v>
      </c>
      <c r="G35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39" s="3" t="s">
        <v>194</v>
      </c>
      <c r="I3539" s="3" t="s">
        <v>31</v>
      </c>
      <c r="J3539" s="3" t="s">
        <v>99</v>
      </c>
      <c r="K3539" s="3" t="s">
        <v>38</v>
      </c>
      <c r="L3539" s="3" t="s">
        <v>39</v>
      </c>
      <c r="M3539" s="4">
        <v>540.88</v>
      </c>
    </row>
    <row r="3540">
      <c r="A3540" s="2">
        <v>45867</v>
      </c>
      <c r="B35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0" s="3" t="str">
        <f>YEAR(KMART_DATA[[#This Row],[Date]])&amp;"-"&amp;TEXT(MONTH(KMART_DATA[[#This Row],[Date]]),"00")</f>
        <v>2025-07</v>
      </c>
      <c r="D3540" s="3" t="s">
        <v>28</v>
      </c>
      <c r="E3540" s="3" t="s">
        <v>167</v>
      </c>
      <c r="F3540" s="3" t="s">
        <v>12</v>
      </c>
      <c r="G35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40" s="3" t="s">
        <v>168</v>
      </c>
      <c r="I3540" s="3" t="s">
        <v>31</v>
      </c>
      <c r="J3540" s="3" t="s">
        <v>102</v>
      </c>
      <c r="K3540" s="3" t="s">
        <v>43</v>
      </c>
      <c r="L3540" s="3" t="s">
        <v>44</v>
      </c>
      <c r="M3540" s="4">
        <v>623.55</v>
      </c>
    </row>
    <row r="3541">
      <c r="A3541" s="2">
        <v>45867</v>
      </c>
      <c r="B35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1" s="3" t="str">
        <f>YEAR(KMART_DATA[[#This Row],[Date]])&amp;"-"&amp;TEXT(MONTH(KMART_DATA[[#This Row],[Date]]),"00")</f>
        <v>2025-07</v>
      </c>
      <c r="D3541" s="3" t="s">
        <v>45</v>
      </c>
      <c r="E3541" s="3" t="s">
        <v>165</v>
      </c>
      <c r="F3541" s="3" t="s">
        <v>9</v>
      </c>
      <c r="G35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41" s="3" t="s">
        <v>166</v>
      </c>
      <c r="I3541" s="3" t="s">
        <v>31</v>
      </c>
      <c r="J3541" s="3" t="s">
        <v>99</v>
      </c>
      <c r="K3541" s="3" t="s">
        <v>33</v>
      </c>
      <c r="L3541" s="3" t="s">
        <v>34</v>
      </c>
      <c r="M3541" s="4">
        <v>1793.64</v>
      </c>
    </row>
    <row r="3542">
      <c r="A3542" s="2">
        <v>45868</v>
      </c>
      <c r="B35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2" s="3" t="str">
        <f>YEAR(KMART_DATA[[#This Row],[Date]])&amp;"-"&amp;TEXT(MONTH(KMART_DATA[[#This Row],[Date]]),"00")</f>
        <v>2025-07</v>
      </c>
      <c r="D3542" s="3" t="s">
        <v>45</v>
      </c>
      <c r="E3542" s="3" t="s">
        <v>150</v>
      </c>
      <c r="F3542" s="3" t="s">
        <v>15</v>
      </c>
      <c r="G35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542" s="3" t="s">
        <v>151</v>
      </c>
      <c r="I3542" s="3" t="s">
        <v>31</v>
      </c>
      <c r="J3542" s="3" t="s">
        <v>53</v>
      </c>
      <c r="K3542" s="3" t="s">
        <v>95</v>
      </c>
      <c r="L3542" s="3" t="s">
        <v>96</v>
      </c>
      <c r="M3542" s="4">
        <v>7.0</v>
      </c>
    </row>
    <row r="3543">
      <c r="A3543" s="2">
        <v>45868</v>
      </c>
      <c r="B35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3" s="3" t="str">
        <f>YEAR(KMART_DATA[[#This Row],[Date]])&amp;"-"&amp;TEXT(MONTH(KMART_DATA[[#This Row],[Date]]),"00")</f>
        <v>2025-07</v>
      </c>
      <c r="D3543" s="3" t="s">
        <v>45</v>
      </c>
      <c r="E3543" s="3" t="s">
        <v>173</v>
      </c>
      <c r="F3543" s="3" t="s">
        <v>11</v>
      </c>
      <c r="G35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43" s="3" t="s">
        <v>174</v>
      </c>
      <c r="I3543" s="3" t="s">
        <v>31</v>
      </c>
      <c r="J3543" s="3" t="s">
        <v>61</v>
      </c>
      <c r="K3543" s="3" t="s">
        <v>43</v>
      </c>
      <c r="L3543" s="3" t="s">
        <v>44</v>
      </c>
      <c r="M3543" s="4">
        <v>146.88</v>
      </c>
    </row>
    <row r="3544">
      <c r="A3544" s="2">
        <v>45869</v>
      </c>
      <c r="B35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4" s="3" t="str">
        <f>YEAR(KMART_DATA[[#This Row],[Date]])&amp;"-"&amp;TEXT(MONTH(KMART_DATA[[#This Row],[Date]]),"00")</f>
        <v>2025-07</v>
      </c>
      <c r="D3544" s="3" t="s">
        <v>28</v>
      </c>
      <c r="E3544" s="3" t="s">
        <v>203</v>
      </c>
      <c r="F3544" s="3" t="s">
        <v>10</v>
      </c>
      <c r="G35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44" s="3" t="s">
        <v>204</v>
      </c>
      <c r="I3544" s="3" t="s">
        <v>31</v>
      </c>
      <c r="J3544" s="3" t="s">
        <v>89</v>
      </c>
      <c r="K3544" s="3" t="s">
        <v>38</v>
      </c>
      <c r="L3544" s="3" t="s">
        <v>39</v>
      </c>
      <c r="M3544" s="4">
        <v>21.81</v>
      </c>
    </row>
    <row r="3545">
      <c r="A3545" s="2">
        <v>45870</v>
      </c>
      <c r="B35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5" s="3" t="str">
        <f>YEAR(KMART_DATA[[#This Row],[Date]])&amp;"-"&amp;TEXT(MONTH(KMART_DATA[[#This Row],[Date]]),"00")</f>
        <v>2025-08</v>
      </c>
      <c r="D3545" s="3" t="s">
        <v>28</v>
      </c>
      <c r="E3545" s="3" t="s">
        <v>252</v>
      </c>
      <c r="F3545" s="3" t="s">
        <v>10</v>
      </c>
      <c r="G35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45" s="3" t="s">
        <v>253</v>
      </c>
      <c r="I3545" s="3" t="s">
        <v>31</v>
      </c>
      <c r="J3545" s="3" t="s">
        <v>94</v>
      </c>
      <c r="K3545" s="3" t="s">
        <v>57</v>
      </c>
      <c r="L3545" s="3" t="s">
        <v>58</v>
      </c>
      <c r="M3545" s="4">
        <v>2.0</v>
      </c>
    </row>
    <row r="3546">
      <c r="A3546" s="2">
        <v>45870</v>
      </c>
      <c r="B35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6" s="3" t="str">
        <f>YEAR(KMART_DATA[[#This Row],[Date]])&amp;"-"&amp;TEXT(MONTH(KMART_DATA[[#This Row],[Date]]),"00")</f>
        <v>2025-08</v>
      </c>
      <c r="D3546" s="3" t="s">
        <v>28</v>
      </c>
      <c r="E3546" s="3" t="s">
        <v>238</v>
      </c>
      <c r="F3546" s="3" t="s">
        <v>13</v>
      </c>
      <c r="G35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546" s="3" t="s">
        <v>239</v>
      </c>
      <c r="I3546" s="3" t="s">
        <v>31</v>
      </c>
      <c r="J3546" s="3" t="s">
        <v>42</v>
      </c>
      <c r="K3546" s="3" t="s">
        <v>43</v>
      </c>
      <c r="L3546" s="3" t="s">
        <v>44</v>
      </c>
      <c r="M3546" s="4">
        <v>14.99</v>
      </c>
    </row>
    <row r="3547">
      <c r="A3547" s="2">
        <v>45870</v>
      </c>
      <c r="B35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7" s="3" t="str">
        <f>YEAR(KMART_DATA[[#This Row],[Date]])&amp;"-"&amp;TEXT(MONTH(KMART_DATA[[#This Row],[Date]]),"00")</f>
        <v>2025-08</v>
      </c>
      <c r="D3547" s="3" t="s">
        <v>28</v>
      </c>
      <c r="E3547" s="3" t="s">
        <v>179</v>
      </c>
      <c r="F3547" s="3" t="s">
        <v>9</v>
      </c>
      <c r="G35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47" s="3" t="s">
        <v>180</v>
      </c>
      <c r="I3547" s="3" t="s">
        <v>31</v>
      </c>
      <c r="J3547" s="3" t="s">
        <v>99</v>
      </c>
      <c r="K3547" s="3" t="s">
        <v>123</v>
      </c>
      <c r="L3547" s="3" t="s">
        <v>124</v>
      </c>
      <c r="M3547" s="4">
        <v>71.71</v>
      </c>
    </row>
    <row r="3548">
      <c r="A3548" s="2">
        <v>45870</v>
      </c>
      <c r="B35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8" s="3" t="str">
        <f>YEAR(KMART_DATA[[#This Row],[Date]])&amp;"-"&amp;TEXT(MONTH(KMART_DATA[[#This Row],[Date]]),"00")</f>
        <v>2025-08</v>
      </c>
      <c r="D3548" s="3" t="s">
        <v>28</v>
      </c>
      <c r="E3548" s="3" t="s">
        <v>156</v>
      </c>
      <c r="F3548" s="3" t="s">
        <v>9</v>
      </c>
      <c r="G35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48" s="3" t="s">
        <v>157</v>
      </c>
      <c r="I3548" s="3" t="s">
        <v>31</v>
      </c>
      <c r="J3548" s="3" t="s">
        <v>75</v>
      </c>
      <c r="K3548" s="3" t="s">
        <v>33</v>
      </c>
      <c r="L3548" s="3" t="s">
        <v>34</v>
      </c>
      <c r="M3548" s="4">
        <v>94.0</v>
      </c>
    </row>
    <row r="3549">
      <c r="A3549" s="2">
        <v>45870</v>
      </c>
      <c r="B35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49" s="3" t="str">
        <f>YEAR(KMART_DATA[[#This Row],[Date]])&amp;"-"&amp;TEXT(MONTH(KMART_DATA[[#This Row],[Date]]),"00")</f>
        <v>2025-08</v>
      </c>
      <c r="D3549" s="3" t="s">
        <v>28</v>
      </c>
      <c r="E3549" s="3" t="s">
        <v>197</v>
      </c>
      <c r="F3549" s="3" t="s">
        <v>9</v>
      </c>
      <c r="G35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49" s="3" t="s">
        <v>198</v>
      </c>
      <c r="I3549" s="3" t="s">
        <v>31</v>
      </c>
      <c r="J3549" s="3" t="s">
        <v>107</v>
      </c>
      <c r="K3549" s="3" t="s">
        <v>123</v>
      </c>
      <c r="L3549" s="3" t="s">
        <v>124</v>
      </c>
      <c r="M3549" s="4">
        <v>7487.49</v>
      </c>
    </row>
    <row r="3550">
      <c r="A3550" s="2">
        <v>45870</v>
      </c>
      <c r="B35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0" s="3" t="str">
        <f>YEAR(KMART_DATA[[#This Row],[Date]])&amp;"-"&amp;TEXT(MONTH(KMART_DATA[[#This Row],[Date]]),"00")</f>
        <v>2025-08</v>
      </c>
      <c r="D3550" s="3" t="s">
        <v>28</v>
      </c>
      <c r="E3550" s="3" t="s">
        <v>87</v>
      </c>
      <c r="F3550" s="3" t="s">
        <v>10</v>
      </c>
      <c r="G35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50" s="3" t="s">
        <v>88</v>
      </c>
      <c r="I3550" s="3" t="s">
        <v>31</v>
      </c>
      <c r="J3550" s="3" t="s">
        <v>89</v>
      </c>
      <c r="K3550" s="3" t="s">
        <v>95</v>
      </c>
      <c r="L3550" s="3" t="s">
        <v>96</v>
      </c>
      <c r="M3550" s="4">
        <v>11864.76</v>
      </c>
    </row>
    <row r="3551">
      <c r="A3551" s="2">
        <v>45871</v>
      </c>
      <c r="B35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1" s="3" t="str">
        <f>YEAR(KMART_DATA[[#This Row],[Date]])&amp;"-"&amp;TEXT(MONTH(KMART_DATA[[#This Row],[Date]]),"00")</f>
        <v>2025-08</v>
      </c>
      <c r="D3551" s="3" t="s">
        <v>28</v>
      </c>
      <c r="E3551" s="3" t="s">
        <v>139</v>
      </c>
      <c r="F3551" s="3" t="s">
        <v>10</v>
      </c>
      <c r="G35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51" s="3" t="s">
        <v>140</v>
      </c>
      <c r="I3551" s="3" t="s">
        <v>31</v>
      </c>
      <c r="J3551" s="3" t="s">
        <v>89</v>
      </c>
      <c r="K3551" s="3" t="s">
        <v>71</v>
      </c>
      <c r="L3551" s="3" t="s">
        <v>72</v>
      </c>
      <c r="M3551" s="4">
        <v>3.0</v>
      </c>
    </row>
    <row r="3552">
      <c r="A3552" s="2">
        <v>45871</v>
      </c>
      <c r="B35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2" s="3" t="str">
        <f>YEAR(KMART_DATA[[#This Row],[Date]])&amp;"-"&amp;TEXT(MONTH(KMART_DATA[[#This Row],[Date]]),"00")</f>
        <v>2025-08</v>
      </c>
      <c r="D3552" s="3" t="s">
        <v>28</v>
      </c>
      <c r="E3552" s="3" t="s">
        <v>29</v>
      </c>
      <c r="F3552" s="3" t="s">
        <v>11</v>
      </c>
      <c r="G35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52" s="3" t="s">
        <v>30</v>
      </c>
      <c r="I3552" s="3" t="s">
        <v>31</v>
      </c>
      <c r="J3552" s="3" t="s">
        <v>32</v>
      </c>
      <c r="K3552" s="3" t="s">
        <v>71</v>
      </c>
      <c r="L3552" s="3" t="s">
        <v>72</v>
      </c>
      <c r="M3552" s="4">
        <v>19.98</v>
      </c>
    </row>
    <row r="3553">
      <c r="A3553" s="2">
        <v>45871</v>
      </c>
      <c r="B35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3" s="3" t="str">
        <f>YEAR(KMART_DATA[[#This Row],[Date]])&amp;"-"&amp;TEXT(MONTH(KMART_DATA[[#This Row],[Date]]),"00")</f>
        <v>2025-08</v>
      </c>
      <c r="D3553" s="3" t="s">
        <v>28</v>
      </c>
      <c r="E3553" s="3" t="s">
        <v>54</v>
      </c>
      <c r="F3553" s="3" t="s">
        <v>11</v>
      </c>
      <c r="G35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53" s="3" t="s">
        <v>55</v>
      </c>
      <c r="I3553" s="3" t="s">
        <v>31</v>
      </c>
      <c r="J3553" s="3" t="s">
        <v>56</v>
      </c>
      <c r="K3553" s="3" t="s">
        <v>95</v>
      </c>
      <c r="L3553" s="3" t="s">
        <v>96</v>
      </c>
      <c r="M3553" s="4">
        <v>29.95</v>
      </c>
    </row>
    <row r="3554">
      <c r="A3554" s="2">
        <v>45871</v>
      </c>
      <c r="B35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4" s="3" t="str">
        <f>YEAR(KMART_DATA[[#This Row],[Date]])&amp;"-"&amp;TEXT(MONTH(KMART_DATA[[#This Row],[Date]]),"00")</f>
        <v>2025-08</v>
      </c>
      <c r="D3554" s="3" t="s">
        <v>28</v>
      </c>
      <c r="E3554" s="3" t="s">
        <v>195</v>
      </c>
      <c r="F3554" s="3" t="s">
        <v>11</v>
      </c>
      <c r="G35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54" s="3" t="s">
        <v>196</v>
      </c>
      <c r="I3554" s="3" t="s">
        <v>31</v>
      </c>
      <c r="J3554" s="3" t="s">
        <v>32</v>
      </c>
      <c r="K3554" s="3" t="s">
        <v>46</v>
      </c>
      <c r="L3554" s="3" t="s">
        <v>47</v>
      </c>
      <c r="M3554" s="4">
        <v>38.97</v>
      </c>
    </row>
    <row r="3555">
      <c r="A3555" s="2">
        <v>45871</v>
      </c>
      <c r="B35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5" s="3" t="str">
        <f>YEAR(KMART_DATA[[#This Row],[Date]])&amp;"-"&amp;TEXT(MONTH(KMART_DATA[[#This Row],[Date]]),"00")</f>
        <v>2025-08</v>
      </c>
      <c r="D3555" s="3" t="s">
        <v>45</v>
      </c>
      <c r="E3555" s="3" t="s">
        <v>205</v>
      </c>
      <c r="F3555" s="3" t="s">
        <v>10</v>
      </c>
      <c r="G35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55" s="3" t="s">
        <v>206</v>
      </c>
      <c r="I3555" s="3" t="s">
        <v>31</v>
      </c>
      <c r="J3555" s="3" t="s">
        <v>37</v>
      </c>
      <c r="K3555" s="3" t="s">
        <v>123</v>
      </c>
      <c r="L3555" s="3" t="s">
        <v>124</v>
      </c>
      <c r="M3555" s="4">
        <v>103.87</v>
      </c>
    </row>
    <row r="3556">
      <c r="A3556" s="2">
        <v>45871</v>
      </c>
      <c r="B35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6" s="3" t="str">
        <f>YEAR(KMART_DATA[[#This Row],[Date]])&amp;"-"&amp;TEXT(MONTH(KMART_DATA[[#This Row],[Date]]),"00")</f>
        <v>2025-08</v>
      </c>
      <c r="D3556" s="3" t="s">
        <v>28</v>
      </c>
      <c r="E3556" s="3" t="s">
        <v>242</v>
      </c>
      <c r="F3556" s="3" t="s">
        <v>10</v>
      </c>
      <c r="G35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56" s="3" t="s">
        <v>243</v>
      </c>
      <c r="I3556" s="3" t="s">
        <v>31</v>
      </c>
      <c r="J3556" s="3" t="s">
        <v>94</v>
      </c>
      <c r="K3556" s="3" t="s">
        <v>33</v>
      </c>
      <c r="L3556" s="3" t="s">
        <v>34</v>
      </c>
      <c r="M3556" s="4">
        <v>355.17</v>
      </c>
    </row>
    <row r="3557">
      <c r="A3557" s="2">
        <v>45871</v>
      </c>
      <c r="B35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7" s="3" t="str">
        <f>YEAR(KMART_DATA[[#This Row],[Date]])&amp;"-"&amp;TEXT(MONTH(KMART_DATA[[#This Row],[Date]]),"00")</f>
        <v>2025-08</v>
      </c>
      <c r="D3557" s="3" t="s">
        <v>28</v>
      </c>
      <c r="E3557" s="3" t="s">
        <v>244</v>
      </c>
      <c r="F3557" s="3" t="s">
        <v>13</v>
      </c>
      <c r="G35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557" s="3" t="s">
        <v>245</v>
      </c>
      <c r="I3557" s="3" t="s">
        <v>31</v>
      </c>
      <c r="J3557" s="3" t="s">
        <v>42</v>
      </c>
      <c r="K3557" s="3" t="s">
        <v>71</v>
      </c>
      <c r="L3557" s="3" t="s">
        <v>72</v>
      </c>
      <c r="M3557" s="4">
        <v>652.14</v>
      </c>
    </row>
    <row r="3558">
      <c r="A3558" s="2">
        <v>45872</v>
      </c>
      <c r="B35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8" s="3" t="str">
        <f>YEAR(KMART_DATA[[#This Row],[Date]])&amp;"-"&amp;TEXT(MONTH(KMART_DATA[[#This Row],[Date]]),"00")</f>
        <v>2025-08</v>
      </c>
      <c r="D3558" s="3" t="s">
        <v>45</v>
      </c>
      <c r="E3558" s="3" t="s">
        <v>108</v>
      </c>
      <c r="F3558" s="3" t="s">
        <v>9</v>
      </c>
      <c r="G35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58" s="3" t="s">
        <v>109</v>
      </c>
      <c r="I3558" s="3" t="s">
        <v>31</v>
      </c>
      <c r="J3558" s="3" t="s">
        <v>75</v>
      </c>
      <c r="K3558" s="3" t="s">
        <v>95</v>
      </c>
      <c r="L3558" s="3" t="s">
        <v>96</v>
      </c>
      <c r="M3558" s="4">
        <v>8.94</v>
      </c>
    </row>
    <row r="3559">
      <c r="A3559" s="2">
        <v>45872</v>
      </c>
      <c r="B35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59" s="3" t="str">
        <f>YEAR(KMART_DATA[[#This Row],[Date]])&amp;"-"&amp;TEXT(MONTH(KMART_DATA[[#This Row],[Date]]),"00")</f>
        <v>2025-08</v>
      </c>
      <c r="D3559" s="3" t="s">
        <v>28</v>
      </c>
      <c r="E3559" s="3" t="s">
        <v>173</v>
      </c>
      <c r="F3559" s="3" t="s">
        <v>11</v>
      </c>
      <c r="G35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59" s="3" t="s">
        <v>174</v>
      </c>
      <c r="I3559" s="3" t="s">
        <v>31</v>
      </c>
      <c r="J3559" s="3" t="s">
        <v>61</v>
      </c>
      <c r="K3559" s="3" t="s">
        <v>43</v>
      </c>
      <c r="L3559" s="3" t="s">
        <v>44</v>
      </c>
      <c r="M3559" s="4">
        <v>71.14</v>
      </c>
    </row>
    <row r="3560">
      <c r="A3560" s="2">
        <v>45872</v>
      </c>
      <c r="B35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0" s="3" t="str">
        <f>YEAR(KMART_DATA[[#This Row],[Date]])&amp;"-"&amp;TEXT(MONTH(KMART_DATA[[#This Row],[Date]]),"00")</f>
        <v>2025-08</v>
      </c>
      <c r="D3560" s="3" t="s">
        <v>45</v>
      </c>
      <c r="E3560" s="3" t="s">
        <v>35</v>
      </c>
      <c r="F3560" s="3" t="s">
        <v>10</v>
      </c>
      <c r="G35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60" s="3" t="s">
        <v>36</v>
      </c>
      <c r="I3560" s="3" t="s">
        <v>31</v>
      </c>
      <c r="J3560" s="3" t="s">
        <v>37</v>
      </c>
      <c r="K3560" s="3" t="s">
        <v>71</v>
      </c>
      <c r="L3560" s="3" t="s">
        <v>72</v>
      </c>
      <c r="M3560" s="4">
        <v>91.91</v>
      </c>
    </row>
    <row r="3561">
      <c r="A3561" s="2">
        <v>45872</v>
      </c>
      <c r="B35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1" s="3" t="str">
        <f>YEAR(KMART_DATA[[#This Row],[Date]])&amp;"-"&amp;TEXT(MONTH(KMART_DATA[[#This Row],[Date]]),"00")</f>
        <v>2025-08</v>
      </c>
      <c r="D3561" s="3" t="s">
        <v>28</v>
      </c>
      <c r="E3561" s="3" t="s">
        <v>252</v>
      </c>
      <c r="F3561" s="3" t="s">
        <v>10</v>
      </c>
      <c r="G35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61" s="3" t="s">
        <v>253</v>
      </c>
      <c r="I3561" s="3" t="s">
        <v>31</v>
      </c>
      <c r="J3561" s="3" t="s">
        <v>94</v>
      </c>
      <c r="K3561" s="3" t="s">
        <v>123</v>
      </c>
      <c r="L3561" s="3" t="s">
        <v>124</v>
      </c>
      <c r="M3561" s="4">
        <v>175.13</v>
      </c>
    </row>
    <row r="3562">
      <c r="A3562" s="2">
        <v>45872</v>
      </c>
      <c r="B35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2" s="3" t="str">
        <f>YEAR(KMART_DATA[[#This Row],[Date]])&amp;"-"&amp;TEXT(MONTH(KMART_DATA[[#This Row],[Date]]),"00")</f>
        <v>2025-08</v>
      </c>
      <c r="D3562" s="3" t="s">
        <v>45</v>
      </c>
      <c r="E3562" s="3" t="s">
        <v>264</v>
      </c>
      <c r="F3562" s="3" t="s">
        <v>13</v>
      </c>
      <c r="G35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562" s="3" t="s">
        <v>265</v>
      </c>
      <c r="I3562" s="3" t="s">
        <v>31</v>
      </c>
      <c r="J3562" s="3" t="s">
        <v>42</v>
      </c>
      <c r="K3562" s="3" t="s">
        <v>112</v>
      </c>
      <c r="L3562" s="3" t="s">
        <v>113</v>
      </c>
      <c r="M3562" s="4">
        <v>231.54</v>
      </c>
    </row>
    <row r="3563">
      <c r="A3563" s="2">
        <v>45872</v>
      </c>
      <c r="B35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3" s="3" t="str">
        <f>YEAR(KMART_DATA[[#This Row],[Date]])&amp;"-"&amp;TEXT(MONTH(KMART_DATA[[#This Row],[Date]]),"00")</f>
        <v>2025-08</v>
      </c>
      <c r="D3563" s="3" t="s">
        <v>28</v>
      </c>
      <c r="E3563" s="3" t="s">
        <v>209</v>
      </c>
      <c r="F3563" s="3" t="s">
        <v>9</v>
      </c>
      <c r="G35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63" s="3" t="s">
        <v>210</v>
      </c>
      <c r="I3563" s="3" t="s">
        <v>31</v>
      </c>
      <c r="J3563" s="3" t="s">
        <v>81</v>
      </c>
      <c r="K3563" s="3" t="s">
        <v>43</v>
      </c>
      <c r="L3563" s="3" t="s">
        <v>44</v>
      </c>
      <c r="M3563" s="4">
        <v>376.5</v>
      </c>
    </row>
    <row r="3564">
      <c r="A3564" s="2">
        <v>45872</v>
      </c>
      <c r="B35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4" s="3" t="str">
        <f>YEAR(KMART_DATA[[#This Row],[Date]])&amp;"-"&amp;TEXT(MONTH(KMART_DATA[[#This Row],[Date]]),"00")</f>
        <v>2025-08</v>
      </c>
      <c r="D3564" s="3" t="s">
        <v>45</v>
      </c>
      <c r="E3564" s="3" t="s">
        <v>146</v>
      </c>
      <c r="F3564" s="3" t="s">
        <v>9</v>
      </c>
      <c r="G35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64" s="3" t="s">
        <v>147</v>
      </c>
      <c r="I3564" s="3" t="s">
        <v>31</v>
      </c>
      <c r="J3564" s="3" t="s">
        <v>75</v>
      </c>
      <c r="K3564" s="3" t="s">
        <v>46</v>
      </c>
      <c r="L3564" s="3" t="s">
        <v>47</v>
      </c>
      <c r="M3564" s="4">
        <v>1138.88</v>
      </c>
    </row>
    <row r="3565">
      <c r="A3565" s="2">
        <v>45872</v>
      </c>
      <c r="B35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5" s="3" t="str">
        <f>YEAR(KMART_DATA[[#This Row],[Date]])&amp;"-"&amp;TEXT(MONTH(KMART_DATA[[#This Row],[Date]]),"00")</f>
        <v>2025-08</v>
      </c>
      <c r="D3565" s="3" t="s">
        <v>45</v>
      </c>
      <c r="E3565" s="3" t="s">
        <v>209</v>
      </c>
      <c r="F3565" s="3" t="s">
        <v>9</v>
      </c>
      <c r="G35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65" s="3" t="s">
        <v>210</v>
      </c>
      <c r="I3565" s="3" t="s">
        <v>31</v>
      </c>
      <c r="J3565" s="3" t="s">
        <v>81</v>
      </c>
      <c r="K3565" s="3" t="s">
        <v>46</v>
      </c>
      <c r="L3565" s="3" t="s">
        <v>47</v>
      </c>
      <c r="M3565" s="4">
        <v>1637.24</v>
      </c>
    </row>
    <row r="3566">
      <c r="A3566" s="2">
        <v>45872</v>
      </c>
      <c r="B35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6" s="3" t="str">
        <f>YEAR(KMART_DATA[[#This Row],[Date]])&amp;"-"&amp;TEXT(MONTH(KMART_DATA[[#This Row],[Date]]),"00")</f>
        <v>2025-08</v>
      </c>
      <c r="D3566" s="3" t="s">
        <v>45</v>
      </c>
      <c r="E3566" s="3" t="s">
        <v>256</v>
      </c>
      <c r="F3566" s="3" t="s">
        <v>9</v>
      </c>
      <c r="G35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66" s="3" t="s">
        <v>257</v>
      </c>
      <c r="I3566" s="3" t="s">
        <v>31</v>
      </c>
      <c r="J3566" s="3" t="s">
        <v>70</v>
      </c>
      <c r="K3566" s="3" t="s">
        <v>33</v>
      </c>
      <c r="L3566" s="3" t="s">
        <v>34</v>
      </c>
      <c r="M3566" s="4">
        <v>3254.77</v>
      </c>
    </row>
    <row r="3567">
      <c r="A3567" s="2">
        <v>45872</v>
      </c>
      <c r="B35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7" s="3" t="str">
        <f>YEAR(KMART_DATA[[#This Row],[Date]])&amp;"-"&amp;TEXT(MONTH(KMART_DATA[[#This Row],[Date]]),"00")</f>
        <v>2025-08</v>
      </c>
      <c r="D3567" s="3" t="s">
        <v>28</v>
      </c>
      <c r="E3567" s="3" t="s">
        <v>193</v>
      </c>
      <c r="F3567" s="3" t="s">
        <v>9</v>
      </c>
      <c r="G35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67" s="3" t="s">
        <v>194</v>
      </c>
      <c r="I3567" s="3" t="s">
        <v>31</v>
      </c>
      <c r="J3567" s="3" t="s">
        <v>99</v>
      </c>
      <c r="K3567" s="3" t="s">
        <v>95</v>
      </c>
      <c r="L3567" s="3" t="s">
        <v>96</v>
      </c>
      <c r="M3567" s="4">
        <v>3870.99</v>
      </c>
    </row>
    <row r="3568">
      <c r="A3568" s="2">
        <v>45873</v>
      </c>
      <c r="B35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8" s="3" t="str">
        <f>YEAR(KMART_DATA[[#This Row],[Date]])&amp;"-"&amp;TEXT(MONTH(KMART_DATA[[#This Row],[Date]]),"00")</f>
        <v>2025-08</v>
      </c>
      <c r="D3568" s="3" t="s">
        <v>28</v>
      </c>
      <c r="E3568" s="3" t="s">
        <v>92</v>
      </c>
      <c r="F3568" s="3" t="s">
        <v>10</v>
      </c>
      <c r="G35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68" s="3" t="s">
        <v>93</v>
      </c>
      <c r="I3568" s="3" t="s">
        <v>31</v>
      </c>
      <c r="J3568" s="3" t="s">
        <v>94</v>
      </c>
      <c r="K3568" s="3" t="s">
        <v>43</v>
      </c>
      <c r="L3568" s="3" t="s">
        <v>44</v>
      </c>
      <c r="M3568" s="4">
        <v>12.99</v>
      </c>
    </row>
    <row r="3569">
      <c r="A3569" s="2">
        <v>45873</v>
      </c>
      <c r="B35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69" s="3" t="str">
        <f>YEAR(KMART_DATA[[#This Row],[Date]])&amp;"-"&amp;TEXT(MONTH(KMART_DATA[[#This Row],[Date]]),"00")</f>
        <v>2025-08</v>
      </c>
      <c r="D3569" s="3" t="s">
        <v>28</v>
      </c>
      <c r="E3569" s="3" t="s">
        <v>262</v>
      </c>
      <c r="F3569" s="3" t="s">
        <v>10</v>
      </c>
      <c r="G35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69" s="3" t="s">
        <v>263</v>
      </c>
      <c r="I3569" s="3" t="s">
        <v>31</v>
      </c>
      <c r="J3569" s="3" t="s">
        <v>120</v>
      </c>
      <c r="K3569" s="3" t="s">
        <v>46</v>
      </c>
      <c r="L3569" s="3" t="s">
        <v>47</v>
      </c>
      <c r="M3569" s="4">
        <v>31.96</v>
      </c>
    </row>
    <row r="3570">
      <c r="A3570" s="2">
        <v>45873</v>
      </c>
      <c r="B35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0" s="3" t="str">
        <f>YEAR(KMART_DATA[[#This Row],[Date]])&amp;"-"&amp;TEXT(MONTH(KMART_DATA[[#This Row],[Date]]),"00")</f>
        <v>2025-08</v>
      </c>
      <c r="D3570" s="3" t="s">
        <v>28</v>
      </c>
      <c r="E3570" s="3" t="s">
        <v>97</v>
      </c>
      <c r="F3570" s="3" t="s">
        <v>9</v>
      </c>
      <c r="G35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70" s="3" t="s">
        <v>98</v>
      </c>
      <c r="I3570" s="3" t="s">
        <v>31</v>
      </c>
      <c r="J3570" s="3" t="s">
        <v>99</v>
      </c>
      <c r="K3570" s="3" t="s">
        <v>71</v>
      </c>
      <c r="L3570" s="3" t="s">
        <v>72</v>
      </c>
      <c r="M3570" s="4">
        <v>39.96</v>
      </c>
    </row>
    <row r="3571">
      <c r="A3571" s="2">
        <v>45873</v>
      </c>
      <c r="B35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1" s="3" t="str">
        <f>YEAR(KMART_DATA[[#This Row],[Date]])&amp;"-"&amp;TEXT(MONTH(KMART_DATA[[#This Row],[Date]]),"00")</f>
        <v>2025-08</v>
      </c>
      <c r="D3571" s="3" t="s">
        <v>28</v>
      </c>
      <c r="E3571" s="3" t="s">
        <v>141</v>
      </c>
      <c r="F3571" s="3" t="s">
        <v>9</v>
      </c>
      <c r="G35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71" s="3" t="s">
        <v>142</v>
      </c>
      <c r="I3571" s="3" t="s">
        <v>31</v>
      </c>
      <c r="J3571" s="3" t="s">
        <v>107</v>
      </c>
      <c r="K3571" s="3" t="s">
        <v>95</v>
      </c>
      <c r="L3571" s="3" t="s">
        <v>96</v>
      </c>
      <c r="M3571" s="4">
        <v>54.89</v>
      </c>
    </row>
    <row r="3572">
      <c r="A3572" s="2">
        <v>45873</v>
      </c>
      <c r="B35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2" s="3" t="str">
        <f>YEAR(KMART_DATA[[#This Row],[Date]])&amp;"-"&amp;TEXT(MONTH(KMART_DATA[[#This Row],[Date]]),"00")</f>
        <v>2025-08</v>
      </c>
      <c r="D3572" s="3" t="s">
        <v>28</v>
      </c>
      <c r="E3572" s="3" t="s">
        <v>183</v>
      </c>
      <c r="F3572" s="3" t="s">
        <v>9</v>
      </c>
      <c r="G35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72" s="3" t="s">
        <v>184</v>
      </c>
      <c r="I3572" s="3" t="s">
        <v>31</v>
      </c>
      <c r="J3572" s="3" t="s">
        <v>70</v>
      </c>
      <c r="K3572" s="3" t="s">
        <v>95</v>
      </c>
      <c r="L3572" s="3" t="s">
        <v>96</v>
      </c>
      <c r="M3572" s="4">
        <v>376.57</v>
      </c>
    </row>
    <row r="3573">
      <c r="A3573" s="2">
        <v>45873</v>
      </c>
      <c r="B35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3" s="3" t="str">
        <f>YEAR(KMART_DATA[[#This Row],[Date]])&amp;"-"&amp;TEXT(MONTH(KMART_DATA[[#This Row],[Date]]),"00")</f>
        <v>2025-08</v>
      </c>
      <c r="D3573" s="3" t="s">
        <v>45</v>
      </c>
      <c r="E3573" s="3" t="s">
        <v>207</v>
      </c>
      <c r="F3573" s="3" t="s">
        <v>11</v>
      </c>
      <c r="G35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73" s="3" t="s">
        <v>208</v>
      </c>
      <c r="I3573" s="3" t="s">
        <v>31</v>
      </c>
      <c r="J3573" s="3" t="s">
        <v>78</v>
      </c>
      <c r="K3573" s="3" t="s">
        <v>57</v>
      </c>
      <c r="L3573" s="3" t="s">
        <v>58</v>
      </c>
      <c r="M3573" s="4">
        <v>848.82</v>
      </c>
    </row>
    <row r="3574">
      <c r="A3574" s="2">
        <v>45874</v>
      </c>
      <c r="B35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4" s="3" t="str">
        <f>YEAR(KMART_DATA[[#This Row],[Date]])&amp;"-"&amp;TEXT(MONTH(KMART_DATA[[#This Row],[Date]]),"00")</f>
        <v>2025-08</v>
      </c>
      <c r="D3574" s="3" t="s">
        <v>28</v>
      </c>
      <c r="E3574" s="3" t="s">
        <v>160</v>
      </c>
      <c r="F3574" s="3" t="s">
        <v>12</v>
      </c>
      <c r="G35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74" s="3" t="s">
        <v>161</v>
      </c>
      <c r="I3574" s="3" t="s">
        <v>31</v>
      </c>
      <c r="J3574" s="3" t="s">
        <v>162</v>
      </c>
      <c r="K3574" s="3" t="s">
        <v>43</v>
      </c>
      <c r="L3574" s="3" t="s">
        <v>44</v>
      </c>
      <c r="M3574" s="4">
        <v>9.52</v>
      </c>
    </row>
    <row r="3575">
      <c r="A3575" s="2">
        <v>45874</v>
      </c>
      <c r="B35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5" s="3" t="str">
        <f>YEAR(KMART_DATA[[#This Row],[Date]])&amp;"-"&amp;TEXT(MONTH(KMART_DATA[[#This Row],[Date]]),"00")</f>
        <v>2025-08</v>
      </c>
      <c r="D3575" s="3" t="s">
        <v>28</v>
      </c>
      <c r="E3575" s="3" t="s">
        <v>189</v>
      </c>
      <c r="F3575" s="3" t="s">
        <v>9</v>
      </c>
      <c r="G35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75" s="3" t="s">
        <v>190</v>
      </c>
      <c r="I3575" s="3" t="s">
        <v>31</v>
      </c>
      <c r="J3575" s="3" t="s">
        <v>81</v>
      </c>
      <c r="K3575" s="3" t="s">
        <v>43</v>
      </c>
      <c r="L3575" s="3" t="s">
        <v>44</v>
      </c>
      <c r="M3575" s="4">
        <v>26.0</v>
      </c>
    </row>
    <row r="3576">
      <c r="A3576" s="2">
        <v>45874</v>
      </c>
      <c r="B35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6" s="3" t="str">
        <f>YEAR(KMART_DATA[[#This Row],[Date]])&amp;"-"&amp;TEXT(MONTH(KMART_DATA[[#This Row],[Date]]),"00")</f>
        <v>2025-08</v>
      </c>
      <c r="D3576" s="3" t="s">
        <v>28</v>
      </c>
      <c r="E3576" s="3" t="s">
        <v>135</v>
      </c>
      <c r="F3576" s="3" t="s">
        <v>16</v>
      </c>
      <c r="G35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576" s="3" t="s">
        <v>136</v>
      </c>
      <c r="I3576" s="3" t="s">
        <v>31</v>
      </c>
      <c r="J3576" s="3" t="s">
        <v>107</v>
      </c>
      <c r="K3576" s="3" t="s">
        <v>123</v>
      </c>
      <c r="L3576" s="3" t="s">
        <v>124</v>
      </c>
      <c r="M3576" s="4">
        <v>37.49</v>
      </c>
    </row>
    <row r="3577">
      <c r="A3577" s="2">
        <v>45874</v>
      </c>
      <c r="B35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7" s="3" t="str">
        <f>YEAR(KMART_DATA[[#This Row],[Date]])&amp;"-"&amp;TEXT(MONTH(KMART_DATA[[#This Row],[Date]]),"00")</f>
        <v>2025-08</v>
      </c>
      <c r="D3577" s="3" t="s">
        <v>45</v>
      </c>
      <c r="E3577" s="3" t="s">
        <v>246</v>
      </c>
      <c r="F3577" s="3" t="s">
        <v>10</v>
      </c>
      <c r="G35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77" s="3" t="s">
        <v>247</v>
      </c>
      <c r="I3577" s="3" t="s">
        <v>31</v>
      </c>
      <c r="J3577" s="3" t="s">
        <v>37</v>
      </c>
      <c r="K3577" s="3" t="s">
        <v>46</v>
      </c>
      <c r="L3577" s="3" t="s">
        <v>47</v>
      </c>
      <c r="M3577" s="4">
        <v>51.96</v>
      </c>
    </row>
    <row r="3578">
      <c r="A3578" s="2">
        <v>45874</v>
      </c>
      <c r="B35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8" s="3" t="str">
        <f>YEAR(KMART_DATA[[#This Row],[Date]])&amp;"-"&amp;TEXT(MONTH(KMART_DATA[[#This Row],[Date]]),"00")</f>
        <v>2025-08</v>
      </c>
      <c r="D3578" s="3" t="s">
        <v>28</v>
      </c>
      <c r="E3578" s="3" t="s">
        <v>143</v>
      </c>
      <c r="F3578" s="3" t="s">
        <v>14</v>
      </c>
      <c r="G35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578" s="3" t="s">
        <v>144</v>
      </c>
      <c r="I3578" s="3" t="s">
        <v>31</v>
      </c>
      <c r="J3578" s="3" t="s">
        <v>145</v>
      </c>
      <c r="K3578" s="3" t="s">
        <v>95</v>
      </c>
      <c r="L3578" s="3" t="s">
        <v>96</v>
      </c>
      <c r="M3578" s="4">
        <v>325.47</v>
      </c>
    </row>
    <row r="3579">
      <c r="A3579" s="2">
        <v>45874</v>
      </c>
      <c r="B35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79" s="3" t="str">
        <f>YEAR(KMART_DATA[[#This Row],[Date]])&amp;"-"&amp;TEXT(MONTH(KMART_DATA[[#This Row],[Date]]),"00")</f>
        <v>2025-08</v>
      </c>
      <c r="D3579" s="3" t="s">
        <v>28</v>
      </c>
      <c r="E3579" s="3" t="s">
        <v>105</v>
      </c>
      <c r="F3579" s="3" t="s">
        <v>9</v>
      </c>
      <c r="G35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79" s="3" t="s">
        <v>106</v>
      </c>
      <c r="I3579" s="3" t="s">
        <v>31</v>
      </c>
      <c r="J3579" s="3" t="s">
        <v>107</v>
      </c>
      <c r="K3579" s="3" t="s">
        <v>33</v>
      </c>
      <c r="L3579" s="3" t="s">
        <v>34</v>
      </c>
      <c r="M3579" s="4">
        <v>2171.88</v>
      </c>
    </row>
    <row r="3580">
      <c r="A3580" s="2">
        <v>45874</v>
      </c>
      <c r="B35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0" s="3" t="str">
        <f>YEAR(KMART_DATA[[#This Row],[Date]])&amp;"-"&amp;TEXT(MONTH(KMART_DATA[[#This Row],[Date]]),"00")</f>
        <v>2025-08</v>
      </c>
      <c r="D3580" s="3" t="s">
        <v>45</v>
      </c>
      <c r="E3580" s="3" t="s">
        <v>256</v>
      </c>
      <c r="F3580" s="3" t="s">
        <v>9</v>
      </c>
      <c r="G35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80" s="3" t="s">
        <v>257</v>
      </c>
      <c r="I3580" s="3" t="s">
        <v>31</v>
      </c>
      <c r="J3580" s="3" t="s">
        <v>70</v>
      </c>
      <c r="K3580" s="3" t="s">
        <v>123</v>
      </c>
      <c r="L3580" s="3" t="s">
        <v>124</v>
      </c>
      <c r="M3580" s="4">
        <v>3713.36</v>
      </c>
    </row>
    <row r="3581">
      <c r="A3581" s="2">
        <v>45874</v>
      </c>
      <c r="B35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1" s="3" t="str">
        <f>YEAR(KMART_DATA[[#This Row],[Date]])&amp;"-"&amp;TEXT(MONTH(KMART_DATA[[#This Row],[Date]]),"00")</f>
        <v>2025-08</v>
      </c>
      <c r="D3581" s="3" t="s">
        <v>45</v>
      </c>
      <c r="E3581" s="3" t="s">
        <v>129</v>
      </c>
      <c r="F3581" s="3" t="s">
        <v>10</v>
      </c>
      <c r="G35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81" s="3" t="s">
        <v>130</v>
      </c>
      <c r="I3581" s="3" t="s">
        <v>31</v>
      </c>
      <c r="J3581" s="3" t="s">
        <v>120</v>
      </c>
      <c r="K3581" s="3" t="s">
        <v>71</v>
      </c>
      <c r="L3581" s="3" t="s">
        <v>72</v>
      </c>
      <c r="M3581" s="4">
        <v>3852.25</v>
      </c>
    </row>
    <row r="3582">
      <c r="A3582" s="2">
        <v>45874</v>
      </c>
      <c r="B35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2" s="3" t="str">
        <f>YEAR(KMART_DATA[[#This Row],[Date]])&amp;"-"&amp;TEXT(MONTH(KMART_DATA[[#This Row],[Date]]),"00")</f>
        <v>2025-08</v>
      </c>
      <c r="D3582" s="3" t="s">
        <v>28</v>
      </c>
      <c r="E3582" s="3" t="s">
        <v>246</v>
      </c>
      <c r="F3582" s="3" t="s">
        <v>10</v>
      </c>
      <c r="G35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82" s="3" t="s">
        <v>247</v>
      </c>
      <c r="I3582" s="3" t="s">
        <v>31</v>
      </c>
      <c r="J3582" s="3" t="s">
        <v>37</v>
      </c>
      <c r="K3582" s="3" t="s">
        <v>57</v>
      </c>
      <c r="L3582" s="3" t="s">
        <v>58</v>
      </c>
      <c r="M3582" s="4">
        <v>4245.89</v>
      </c>
    </row>
    <row r="3583">
      <c r="A3583" s="2">
        <v>45874</v>
      </c>
      <c r="B35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3" s="3" t="str">
        <f>YEAR(KMART_DATA[[#This Row],[Date]])&amp;"-"&amp;TEXT(MONTH(KMART_DATA[[#This Row],[Date]]),"00")</f>
        <v>2025-08</v>
      </c>
      <c r="D3583" s="3" t="s">
        <v>28</v>
      </c>
      <c r="E3583" s="3" t="s">
        <v>110</v>
      </c>
      <c r="F3583" s="3" t="s">
        <v>9</v>
      </c>
      <c r="G35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83" s="3" t="s">
        <v>111</v>
      </c>
      <c r="I3583" s="3" t="s">
        <v>31</v>
      </c>
      <c r="J3583" s="3" t="s">
        <v>81</v>
      </c>
      <c r="K3583" s="3" t="s">
        <v>95</v>
      </c>
      <c r="L3583" s="3" t="s">
        <v>96</v>
      </c>
      <c r="M3583" s="4">
        <v>7135.28</v>
      </c>
    </row>
    <row r="3584">
      <c r="A3584" s="2">
        <v>45875</v>
      </c>
      <c r="B35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4" s="3" t="str">
        <f>YEAR(KMART_DATA[[#This Row],[Date]])&amp;"-"&amp;TEXT(MONTH(KMART_DATA[[#This Row],[Date]]),"00")</f>
        <v>2025-08</v>
      </c>
      <c r="D3584" s="3" t="s">
        <v>45</v>
      </c>
      <c r="E3584" s="3" t="s">
        <v>92</v>
      </c>
      <c r="F3584" s="3" t="s">
        <v>10</v>
      </c>
      <c r="G35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84" s="3" t="s">
        <v>93</v>
      </c>
      <c r="I3584" s="3" t="s">
        <v>31</v>
      </c>
      <c r="J3584" s="3" t="s">
        <v>94</v>
      </c>
      <c r="K3584" s="3" t="s">
        <v>95</v>
      </c>
      <c r="L3584" s="3" t="s">
        <v>96</v>
      </c>
      <c r="M3584" s="4">
        <v>139.86</v>
      </c>
    </row>
    <row r="3585">
      <c r="A3585" s="2">
        <v>45875</v>
      </c>
      <c r="B35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5" s="3" t="str">
        <f>YEAR(KMART_DATA[[#This Row],[Date]])&amp;"-"&amp;TEXT(MONTH(KMART_DATA[[#This Row],[Date]]),"00")</f>
        <v>2025-08</v>
      </c>
      <c r="D3585" s="3" t="s">
        <v>28</v>
      </c>
      <c r="E3585" s="3" t="s">
        <v>179</v>
      </c>
      <c r="F3585" s="3" t="s">
        <v>9</v>
      </c>
      <c r="G35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85" s="3" t="s">
        <v>180</v>
      </c>
      <c r="I3585" s="3" t="s">
        <v>31</v>
      </c>
      <c r="J3585" s="3" t="s">
        <v>99</v>
      </c>
      <c r="K3585" s="3" t="s">
        <v>33</v>
      </c>
      <c r="L3585" s="3" t="s">
        <v>34</v>
      </c>
      <c r="M3585" s="4">
        <v>200.05</v>
      </c>
    </row>
    <row r="3586">
      <c r="A3586" s="2">
        <v>45875</v>
      </c>
      <c r="B35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6" s="3" t="str">
        <f>YEAR(KMART_DATA[[#This Row],[Date]])&amp;"-"&amp;TEXT(MONTH(KMART_DATA[[#This Row],[Date]]),"00")</f>
        <v>2025-08</v>
      </c>
      <c r="D3586" s="3" t="s">
        <v>28</v>
      </c>
      <c r="E3586" s="3" t="s">
        <v>189</v>
      </c>
      <c r="F3586" s="3" t="s">
        <v>9</v>
      </c>
      <c r="G35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86" s="3" t="s">
        <v>190</v>
      </c>
      <c r="I3586" s="3" t="s">
        <v>31</v>
      </c>
      <c r="J3586" s="3" t="s">
        <v>81</v>
      </c>
      <c r="K3586" s="3" t="s">
        <v>95</v>
      </c>
      <c r="L3586" s="3" t="s">
        <v>96</v>
      </c>
      <c r="M3586" s="4">
        <v>206.74</v>
      </c>
    </row>
    <row r="3587">
      <c r="A3587" s="2">
        <v>45875</v>
      </c>
      <c r="B35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7" s="3" t="str">
        <f>YEAR(KMART_DATA[[#This Row],[Date]])&amp;"-"&amp;TEXT(MONTH(KMART_DATA[[#This Row],[Date]]),"00")</f>
        <v>2025-08</v>
      </c>
      <c r="D3587" s="3" t="s">
        <v>45</v>
      </c>
      <c r="E3587" s="3" t="s">
        <v>146</v>
      </c>
      <c r="F3587" s="3" t="s">
        <v>9</v>
      </c>
      <c r="G35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87" s="3" t="s">
        <v>147</v>
      </c>
      <c r="I3587" s="3" t="s">
        <v>31</v>
      </c>
      <c r="J3587" s="3" t="s">
        <v>75</v>
      </c>
      <c r="K3587" s="3" t="s">
        <v>33</v>
      </c>
      <c r="L3587" s="3" t="s">
        <v>34</v>
      </c>
      <c r="M3587" s="4">
        <v>240.01</v>
      </c>
    </row>
    <row r="3588">
      <c r="A3588" s="2">
        <v>45875</v>
      </c>
      <c r="B35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8" s="3" t="str">
        <f>YEAR(KMART_DATA[[#This Row],[Date]])&amp;"-"&amp;TEXT(MONTH(KMART_DATA[[#This Row],[Date]]),"00")</f>
        <v>2025-08</v>
      </c>
      <c r="D3588" s="3" t="s">
        <v>28</v>
      </c>
      <c r="E3588" s="3" t="s">
        <v>97</v>
      </c>
      <c r="F3588" s="3" t="s">
        <v>9</v>
      </c>
      <c r="G35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88" s="3" t="s">
        <v>98</v>
      </c>
      <c r="I3588" s="3" t="s">
        <v>31</v>
      </c>
      <c r="J3588" s="3" t="s">
        <v>99</v>
      </c>
      <c r="K3588" s="3" t="s">
        <v>95</v>
      </c>
      <c r="L3588" s="3" t="s">
        <v>96</v>
      </c>
      <c r="M3588" s="4">
        <v>819.14</v>
      </c>
    </row>
    <row r="3589">
      <c r="A3589" s="2">
        <v>45875</v>
      </c>
      <c r="B35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89" s="3" t="str">
        <f>YEAR(KMART_DATA[[#This Row],[Date]])&amp;"-"&amp;TEXT(MONTH(KMART_DATA[[#This Row],[Date]]),"00")</f>
        <v>2025-08</v>
      </c>
      <c r="D3589" s="3" t="s">
        <v>28</v>
      </c>
      <c r="E3589" s="3" t="s">
        <v>201</v>
      </c>
      <c r="F3589" s="3" t="s">
        <v>10</v>
      </c>
      <c r="G35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89" s="3" t="s">
        <v>202</v>
      </c>
      <c r="I3589" s="3" t="s">
        <v>31</v>
      </c>
      <c r="J3589" s="3" t="s">
        <v>89</v>
      </c>
      <c r="K3589" s="3" t="s">
        <v>46</v>
      </c>
      <c r="L3589" s="3" t="s">
        <v>47</v>
      </c>
      <c r="M3589" s="4">
        <v>1460.24</v>
      </c>
    </row>
    <row r="3590">
      <c r="A3590" s="2">
        <v>45875</v>
      </c>
      <c r="B35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0" s="3" t="str">
        <f>YEAR(KMART_DATA[[#This Row],[Date]])&amp;"-"&amp;TEXT(MONTH(KMART_DATA[[#This Row],[Date]]),"00")</f>
        <v>2025-08</v>
      </c>
      <c r="D3590" s="3" t="s">
        <v>28</v>
      </c>
      <c r="E3590" s="3" t="s">
        <v>48</v>
      </c>
      <c r="F3590" s="3" t="s">
        <v>12</v>
      </c>
      <c r="G35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90" s="3" t="s">
        <v>49</v>
      </c>
      <c r="I3590" s="3" t="s">
        <v>31</v>
      </c>
      <c r="J3590" s="3" t="s">
        <v>50</v>
      </c>
      <c r="K3590" s="3" t="s">
        <v>71</v>
      </c>
      <c r="L3590" s="3" t="s">
        <v>72</v>
      </c>
      <c r="M3590" s="4">
        <v>2957.02</v>
      </c>
    </row>
    <row r="3591">
      <c r="A3591" s="2">
        <v>45875</v>
      </c>
      <c r="B35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1" s="3" t="str">
        <f>YEAR(KMART_DATA[[#This Row],[Date]])&amp;"-"&amp;TEXT(MONTH(KMART_DATA[[#This Row],[Date]]),"00")</f>
        <v>2025-08</v>
      </c>
      <c r="D3591" s="3" t="s">
        <v>28</v>
      </c>
      <c r="E3591" s="3" t="s">
        <v>156</v>
      </c>
      <c r="F3591" s="3" t="s">
        <v>9</v>
      </c>
      <c r="G35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91" s="3" t="s">
        <v>157</v>
      </c>
      <c r="I3591" s="3" t="s">
        <v>31</v>
      </c>
      <c r="J3591" s="3" t="s">
        <v>75</v>
      </c>
      <c r="K3591" s="3" t="s">
        <v>95</v>
      </c>
      <c r="L3591" s="3" t="s">
        <v>96</v>
      </c>
      <c r="M3591" s="4">
        <v>11753.83</v>
      </c>
    </row>
    <row r="3592">
      <c r="A3592" s="2">
        <v>45876</v>
      </c>
      <c r="B35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2" s="3" t="str">
        <f>YEAR(KMART_DATA[[#This Row],[Date]])&amp;"-"&amp;TEXT(MONTH(KMART_DATA[[#This Row],[Date]]),"00")</f>
        <v>2025-08</v>
      </c>
      <c r="D3592" s="3" t="s">
        <v>28</v>
      </c>
      <c r="E3592" s="3" t="s">
        <v>129</v>
      </c>
      <c r="F3592" s="3" t="s">
        <v>10</v>
      </c>
      <c r="G35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592" s="3" t="s">
        <v>130</v>
      </c>
      <c r="I3592" s="3" t="s">
        <v>31</v>
      </c>
      <c r="J3592" s="3" t="s">
        <v>120</v>
      </c>
      <c r="K3592" s="3" t="s">
        <v>123</v>
      </c>
      <c r="L3592" s="3" t="s">
        <v>124</v>
      </c>
      <c r="M3592" s="4">
        <v>126.35</v>
      </c>
    </row>
    <row r="3593">
      <c r="A3593" s="2">
        <v>45876</v>
      </c>
      <c r="B35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3" s="3" t="str">
        <f>YEAR(KMART_DATA[[#This Row],[Date]])&amp;"-"&amp;TEXT(MONTH(KMART_DATA[[#This Row],[Date]]),"00")</f>
        <v>2025-08</v>
      </c>
      <c r="D3593" s="3" t="s">
        <v>45</v>
      </c>
      <c r="E3593" s="3" t="s">
        <v>54</v>
      </c>
      <c r="F3593" s="3" t="s">
        <v>11</v>
      </c>
      <c r="G35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93" s="3" t="s">
        <v>55</v>
      </c>
      <c r="I3593" s="3" t="s">
        <v>31</v>
      </c>
      <c r="J3593" s="3" t="s">
        <v>56</v>
      </c>
      <c r="K3593" s="3" t="s">
        <v>71</v>
      </c>
      <c r="L3593" s="3" t="s">
        <v>72</v>
      </c>
      <c r="M3593" s="4">
        <v>391.47</v>
      </c>
    </row>
    <row r="3594">
      <c r="A3594" s="2">
        <v>45876</v>
      </c>
      <c r="B35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4" s="3" t="str">
        <f>YEAR(KMART_DATA[[#This Row],[Date]])&amp;"-"&amp;TEXT(MONTH(KMART_DATA[[#This Row],[Date]]),"00")</f>
        <v>2025-08</v>
      </c>
      <c r="D3594" s="3" t="s">
        <v>28</v>
      </c>
      <c r="E3594" s="3" t="s">
        <v>177</v>
      </c>
      <c r="F3594" s="3" t="s">
        <v>12</v>
      </c>
      <c r="G35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94" s="3" t="s">
        <v>178</v>
      </c>
      <c r="I3594" s="3" t="s">
        <v>31</v>
      </c>
      <c r="J3594" s="3" t="s">
        <v>162</v>
      </c>
      <c r="K3594" s="3" t="s">
        <v>112</v>
      </c>
      <c r="L3594" s="3" t="s">
        <v>113</v>
      </c>
      <c r="M3594" s="4">
        <v>433.0</v>
      </c>
    </row>
    <row r="3595">
      <c r="A3595" s="2">
        <v>45876</v>
      </c>
      <c r="B35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5" s="3" t="str">
        <f>YEAR(KMART_DATA[[#This Row],[Date]])&amp;"-"&amp;TEXT(MONTH(KMART_DATA[[#This Row],[Date]]),"00")</f>
        <v>2025-08</v>
      </c>
      <c r="D3595" s="3" t="s">
        <v>28</v>
      </c>
      <c r="E3595" s="3" t="s">
        <v>154</v>
      </c>
      <c r="F3595" s="3" t="s">
        <v>11</v>
      </c>
      <c r="G35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595" s="3" t="s">
        <v>155</v>
      </c>
      <c r="I3595" s="3" t="s">
        <v>31</v>
      </c>
      <c r="J3595" s="3" t="s">
        <v>84</v>
      </c>
      <c r="K3595" s="3" t="s">
        <v>66</v>
      </c>
      <c r="L3595" s="3" t="s">
        <v>67</v>
      </c>
      <c r="M3595" s="4">
        <v>1636.11</v>
      </c>
    </row>
    <row r="3596">
      <c r="A3596" s="2">
        <v>45876</v>
      </c>
      <c r="B35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6" s="3" t="str">
        <f>YEAR(KMART_DATA[[#This Row],[Date]])&amp;"-"&amp;TEXT(MONTH(KMART_DATA[[#This Row],[Date]]),"00")</f>
        <v>2025-08</v>
      </c>
      <c r="D3596" s="3" t="s">
        <v>28</v>
      </c>
      <c r="E3596" s="3" t="s">
        <v>197</v>
      </c>
      <c r="F3596" s="3" t="s">
        <v>9</v>
      </c>
      <c r="G35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596" s="3" t="s">
        <v>198</v>
      </c>
      <c r="I3596" s="3" t="s">
        <v>31</v>
      </c>
      <c r="J3596" s="3" t="s">
        <v>107</v>
      </c>
      <c r="K3596" s="3" t="s">
        <v>71</v>
      </c>
      <c r="L3596" s="3" t="s">
        <v>72</v>
      </c>
      <c r="M3596" s="4">
        <v>5184.95</v>
      </c>
    </row>
    <row r="3597">
      <c r="A3597" s="2">
        <v>45877</v>
      </c>
      <c r="B35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7" s="3" t="str">
        <f>YEAR(KMART_DATA[[#This Row],[Date]])&amp;"-"&amp;TEXT(MONTH(KMART_DATA[[#This Row],[Date]]),"00")</f>
        <v>2025-08</v>
      </c>
      <c r="D3597" s="3" t="s">
        <v>45</v>
      </c>
      <c r="E3597" s="3" t="s">
        <v>175</v>
      </c>
      <c r="F3597" s="3" t="s">
        <v>16</v>
      </c>
      <c r="G35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597" s="3" t="s">
        <v>176</v>
      </c>
      <c r="I3597" s="3" t="s">
        <v>31</v>
      </c>
      <c r="J3597" s="3" t="s">
        <v>107</v>
      </c>
      <c r="K3597" s="3" t="s">
        <v>43</v>
      </c>
      <c r="L3597" s="3" t="s">
        <v>44</v>
      </c>
      <c r="M3597" s="4">
        <v>26.28</v>
      </c>
    </row>
    <row r="3598">
      <c r="A3598" s="2">
        <v>45877</v>
      </c>
      <c r="B35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8" s="3" t="str">
        <f>YEAR(KMART_DATA[[#This Row],[Date]])&amp;"-"&amp;TEXT(MONTH(KMART_DATA[[#This Row],[Date]]),"00")</f>
        <v>2025-08</v>
      </c>
      <c r="D3598" s="3" t="s">
        <v>45</v>
      </c>
      <c r="E3598" s="3" t="s">
        <v>215</v>
      </c>
      <c r="F3598" s="3" t="s">
        <v>15</v>
      </c>
      <c r="G35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598" s="3" t="s">
        <v>216</v>
      </c>
      <c r="I3598" s="3" t="s">
        <v>31</v>
      </c>
      <c r="J3598" s="3" t="s">
        <v>53</v>
      </c>
      <c r="K3598" s="3" t="s">
        <v>112</v>
      </c>
      <c r="L3598" s="3" t="s">
        <v>113</v>
      </c>
      <c r="M3598" s="4">
        <v>187.53</v>
      </c>
    </row>
    <row r="3599">
      <c r="A3599" s="2">
        <v>45877</v>
      </c>
      <c r="B35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599" s="3" t="str">
        <f>YEAR(KMART_DATA[[#This Row],[Date]])&amp;"-"&amp;TEXT(MONTH(KMART_DATA[[#This Row],[Date]]),"00")</f>
        <v>2025-08</v>
      </c>
      <c r="D3599" s="3" t="s">
        <v>28</v>
      </c>
      <c r="E3599" s="3" t="s">
        <v>169</v>
      </c>
      <c r="F3599" s="3" t="s">
        <v>12</v>
      </c>
      <c r="G35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599" s="3" t="s">
        <v>170</v>
      </c>
      <c r="I3599" s="3" t="s">
        <v>31</v>
      </c>
      <c r="J3599" s="3" t="s">
        <v>102</v>
      </c>
      <c r="K3599" s="3" t="s">
        <v>57</v>
      </c>
      <c r="L3599" s="3" t="s">
        <v>58</v>
      </c>
      <c r="M3599" s="4">
        <v>199.95</v>
      </c>
    </row>
    <row r="3600">
      <c r="A3600" s="2">
        <v>45878</v>
      </c>
      <c r="B36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0" s="3" t="str">
        <f>YEAR(KMART_DATA[[#This Row],[Date]])&amp;"-"&amp;TEXT(MONTH(KMART_DATA[[#This Row],[Date]]),"00")</f>
        <v>2025-08</v>
      </c>
      <c r="D3600" s="3" t="s">
        <v>28</v>
      </c>
      <c r="E3600" s="3" t="s">
        <v>35</v>
      </c>
      <c r="F3600" s="3" t="s">
        <v>10</v>
      </c>
      <c r="G36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00" s="3" t="s">
        <v>36</v>
      </c>
      <c r="I3600" s="3" t="s">
        <v>31</v>
      </c>
      <c r="J3600" s="3" t="s">
        <v>37</v>
      </c>
      <c r="K3600" s="3" t="s">
        <v>57</v>
      </c>
      <c r="L3600" s="3" t="s">
        <v>58</v>
      </c>
      <c r="M3600" s="4">
        <v>12.99</v>
      </c>
    </row>
    <row r="3601">
      <c r="A3601" s="2">
        <v>45878</v>
      </c>
      <c r="B36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1" s="3" t="str">
        <f>YEAR(KMART_DATA[[#This Row],[Date]])&amp;"-"&amp;TEXT(MONTH(KMART_DATA[[#This Row],[Date]]),"00")</f>
        <v>2025-08</v>
      </c>
      <c r="D3601" s="3" t="s">
        <v>28</v>
      </c>
      <c r="E3601" s="3" t="s">
        <v>250</v>
      </c>
      <c r="F3601" s="3" t="s">
        <v>10</v>
      </c>
      <c r="G36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01" s="3" t="s">
        <v>251</v>
      </c>
      <c r="I3601" s="3" t="s">
        <v>31</v>
      </c>
      <c r="J3601" s="3" t="s">
        <v>37</v>
      </c>
      <c r="K3601" s="3" t="s">
        <v>46</v>
      </c>
      <c r="L3601" s="3" t="s">
        <v>47</v>
      </c>
      <c r="M3601" s="4">
        <v>17.99</v>
      </c>
    </row>
    <row r="3602">
      <c r="A3602" s="2">
        <v>45878</v>
      </c>
      <c r="B36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2" s="3" t="str">
        <f>YEAR(KMART_DATA[[#This Row],[Date]])&amp;"-"&amp;TEXT(MONTH(KMART_DATA[[#This Row],[Date]]),"00")</f>
        <v>2025-08</v>
      </c>
      <c r="D3602" s="3" t="s">
        <v>28</v>
      </c>
      <c r="E3602" s="3" t="s">
        <v>232</v>
      </c>
      <c r="F3602" s="3" t="s">
        <v>9</v>
      </c>
      <c r="G36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02" s="3" t="s">
        <v>233</v>
      </c>
      <c r="I3602" s="3" t="s">
        <v>31</v>
      </c>
      <c r="J3602" s="3" t="s">
        <v>75</v>
      </c>
      <c r="K3602" s="3" t="s">
        <v>123</v>
      </c>
      <c r="L3602" s="3" t="s">
        <v>124</v>
      </c>
      <c r="M3602" s="4">
        <v>32.74</v>
      </c>
    </row>
    <row r="3603">
      <c r="A3603" s="2">
        <v>45878</v>
      </c>
      <c r="B36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3" s="3" t="str">
        <f>YEAR(KMART_DATA[[#This Row],[Date]])&amp;"-"&amp;TEXT(MONTH(KMART_DATA[[#This Row],[Date]]),"00")</f>
        <v>2025-08</v>
      </c>
      <c r="D3603" s="3" t="s">
        <v>28</v>
      </c>
      <c r="E3603" s="3" t="s">
        <v>193</v>
      </c>
      <c r="F3603" s="3" t="s">
        <v>9</v>
      </c>
      <c r="G36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03" s="3" t="s">
        <v>194</v>
      </c>
      <c r="I3603" s="3" t="s">
        <v>31</v>
      </c>
      <c r="J3603" s="3" t="s">
        <v>99</v>
      </c>
      <c r="K3603" s="3" t="s">
        <v>33</v>
      </c>
      <c r="L3603" s="3" t="s">
        <v>34</v>
      </c>
      <c r="M3603" s="4">
        <v>440.3</v>
      </c>
    </row>
    <row r="3604">
      <c r="A3604" s="2">
        <v>45878</v>
      </c>
      <c r="B36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4" s="3" t="str">
        <f>YEAR(KMART_DATA[[#This Row],[Date]])&amp;"-"&amp;TEXT(MONTH(KMART_DATA[[#This Row],[Date]]),"00")</f>
        <v>2025-08</v>
      </c>
      <c r="D3604" s="3" t="s">
        <v>28</v>
      </c>
      <c r="E3604" s="3" t="s">
        <v>59</v>
      </c>
      <c r="F3604" s="3" t="s">
        <v>11</v>
      </c>
      <c r="G36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04" s="3" t="s">
        <v>60</v>
      </c>
      <c r="I3604" s="3" t="s">
        <v>31</v>
      </c>
      <c r="J3604" s="3" t="s">
        <v>61</v>
      </c>
      <c r="K3604" s="3" t="s">
        <v>123</v>
      </c>
      <c r="L3604" s="3" t="s">
        <v>124</v>
      </c>
      <c r="M3604" s="4">
        <v>963.69</v>
      </c>
    </row>
    <row r="3605">
      <c r="A3605" s="2">
        <v>45878</v>
      </c>
      <c r="B36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5" s="3" t="str">
        <f>YEAR(KMART_DATA[[#This Row],[Date]])&amp;"-"&amp;TEXT(MONTH(KMART_DATA[[#This Row],[Date]]),"00")</f>
        <v>2025-08</v>
      </c>
      <c r="D3605" s="3" t="s">
        <v>28</v>
      </c>
      <c r="E3605" s="3" t="s">
        <v>87</v>
      </c>
      <c r="F3605" s="3" t="s">
        <v>10</v>
      </c>
      <c r="G36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05" s="3" t="s">
        <v>88</v>
      </c>
      <c r="I3605" s="3" t="s">
        <v>31</v>
      </c>
      <c r="J3605" s="3" t="s">
        <v>89</v>
      </c>
      <c r="K3605" s="3" t="s">
        <v>43</v>
      </c>
      <c r="L3605" s="3" t="s">
        <v>44</v>
      </c>
      <c r="M3605" s="4">
        <v>1211.68</v>
      </c>
    </row>
    <row r="3606">
      <c r="A3606" s="2">
        <v>45878</v>
      </c>
      <c r="B36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6" s="3" t="str">
        <f>YEAR(KMART_DATA[[#This Row],[Date]])&amp;"-"&amp;TEXT(MONTH(KMART_DATA[[#This Row],[Date]]),"00")</f>
        <v>2025-08</v>
      </c>
      <c r="D3606" s="3" t="s">
        <v>28</v>
      </c>
      <c r="E3606" s="3" t="s">
        <v>197</v>
      </c>
      <c r="F3606" s="3" t="s">
        <v>9</v>
      </c>
      <c r="G36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06" s="3" t="s">
        <v>198</v>
      </c>
      <c r="I3606" s="3" t="s">
        <v>31</v>
      </c>
      <c r="J3606" s="3" t="s">
        <v>107</v>
      </c>
      <c r="K3606" s="3" t="s">
        <v>43</v>
      </c>
      <c r="L3606" s="3" t="s">
        <v>44</v>
      </c>
      <c r="M3606" s="4">
        <v>1257.97</v>
      </c>
    </row>
    <row r="3607">
      <c r="A3607" s="2">
        <v>45878</v>
      </c>
      <c r="B36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7" s="3" t="str">
        <f>YEAR(KMART_DATA[[#This Row],[Date]])&amp;"-"&amp;TEXT(MONTH(KMART_DATA[[#This Row],[Date]]),"00")</f>
        <v>2025-08</v>
      </c>
      <c r="D3607" s="3" t="s">
        <v>45</v>
      </c>
      <c r="E3607" s="3" t="s">
        <v>262</v>
      </c>
      <c r="F3607" s="3" t="s">
        <v>10</v>
      </c>
      <c r="G36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07" s="3" t="s">
        <v>263</v>
      </c>
      <c r="I3607" s="3" t="s">
        <v>31</v>
      </c>
      <c r="J3607" s="3" t="s">
        <v>120</v>
      </c>
      <c r="K3607" s="3" t="s">
        <v>57</v>
      </c>
      <c r="L3607" s="3" t="s">
        <v>58</v>
      </c>
      <c r="M3607" s="4">
        <v>5306.62</v>
      </c>
    </row>
    <row r="3608">
      <c r="A3608" s="2">
        <v>45879</v>
      </c>
      <c r="B36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8" s="3" t="str">
        <f>YEAR(KMART_DATA[[#This Row],[Date]])&amp;"-"&amp;TEXT(MONTH(KMART_DATA[[#This Row],[Date]]),"00")</f>
        <v>2025-08</v>
      </c>
      <c r="D3608" s="3" t="s">
        <v>28</v>
      </c>
      <c r="E3608" s="3" t="s">
        <v>105</v>
      </c>
      <c r="F3608" s="3" t="s">
        <v>9</v>
      </c>
      <c r="G36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08" s="3" t="s">
        <v>106</v>
      </c>
      <c r="I3608" s="3" t="s">
        <v>31</v>
      </c>
      <c r="J3608" s="3" t="s">
        <v>107</v>
      </c>
      <c r="K3608" s="3" t="s">
        <v>71</v>
      </c>
      <c r="L3608" s="3" t="s">
        <v>72</v>
      </c>
      <c r="M3608" s="4">
        <v>6.0</v>
      </c>
    </row>
    <row r="3609">
      <c r="A3609" s="2">
        <v>45879</v>
      </c>
      <c r="B36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09" s="3" t="str">
        <f>YEAR(KMART_DATA[[#This Row],[Date]])&amp;"-"&amp;TEXT(MONTH(KMART_DATA[[#This Row],[Date]]),"00")</f>
        <v>2025-08</v>
      </c>
      <c r="D3609" s="3" t="s">
        <v>28</v>
      </c>
      <c r="E3609" s="3" t="s">
        <v>59</v>
      </c>
      <c r="F3609" s="3" t="s">
        <v>11</v>
      </c>
      <c r="G36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09" s="3" t="s">
        <v>60</v>
      </c>
      <c r="I3609" s="3" t="s">
        <v>31</v>
      </c>
      <c r="J3609" s="3" t="s">
        <v>61</v>
      </c>
      <c r="K3609" s="3" t="s">
        <v>43</v>
      </c>
      <c r="L3609" s="3" t="s">
        <v>44</v>
      </c>
      <c r="M3609" s="4">
        <v>74.91</v>
      </c>
    </row>
    <row r="3610">
      <c r="A3610" s="2">
        <v>45879</v>
      </c>
      <c r="B36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0" s="3" t="str">
        <f>YEAR(KMART_DATA[[#This Row],[Date]])&amp;"-"&amp;TEXT(MONTH(KMART_DATA[[#This Row],[Date]]),"00")</f>
        <v>2025-08</v>
      </c>
      <c r="D3610" s="3" t="s">
        <v>45</v>
      </c>
      <c r="E3610" s="3" t="s">
        <v>146</v>
      </c>
      <c r="F3610" s="3" t="s">
        <v>9</v>
      </c>
      <c r="G36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10" s="3" t="s">
        <v>147</v>
      </c>
      <c r="I3610" s="3" t="s">
        <v>31</v>
      </c>
      <c r="J3610" s="3" t="s">
        <v>75</v>
      </c>
      <c r="K3610" s="3" t="s">
        <v>38</v>
      </c>
      <c r="L3610" s="3" t="s">
        <v>39</v>
      </c>
      <c r="M3610" s="4">
        <v>310.58</v>
      </c>
    </row>
    <row r="3611">
      <c r="A3611" s="2">
        <v>45879</v>
      </c>
      <c r="B36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1" s="3" t="str">
        <f>YEAR(KMART_DATA[[#This Row],[Date]])&amp;"-"&amp;TEXT(MONTH(KMART_DATA[[#This Row],[Date]]),"00")</f>
        <v>2025-08</v>
      </c>
      <c r="D3611" s="3" t="s">
        <v>28</v>
      </c>
      <c r="E3611" s="3" t="s">
        <v>59</v>
      </c>
      <c r="F3611" s="3" t="s">
        <v>11</v>
      </c>
      <c r="G36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11" s="3" t="s">
        <v>60</v>
      </c>
      <c r="I3611" s="3" t="s">
        <v>31</v>
      </c>
      <c r="J3611" s="3" t="s">
        <v>61</v>
      </c>
      <c r="K3611" s="3" t="s">
        <v>43</v>
      </c>
      <c r="L3611" s="3" t="s">
        <v>44</v>
      </c>
      <c r="M3611" s="4">
        <v>797.2</v>
      </c>
    </row>
    <row r="3612">
      <c r="A3612" s="2">
        <v>45879</v>
      </c>
      <c r="B36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2" s="3" t="str">
        <f>YEAR(KMART_DATA[[#This Row],[Date]])&amp;"-"&amp;TEXT(MONTH(KMART_DATA[[#This Row],[Date]]),"00")</f>
        <v>2025-08</v>
      </c>
      <c r="D3612" s="3" t="s">
        <v>45</v>
      </c>
      <c r="E3612" s="3" t="s">
        <v>256</v>
      </c>
      <c r="F3612" s="3" t="s">
        <v>9</v>
      </c>
      <c r="G36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12" s="3" t="s">
        <v>257</v>
      </c>
      <c r="I3612" s="3" t="s">
        <v>31</v>
      </c>
      <c r="J3612" s="3" t="s">
        <v>70</v>
      </c>
      <c r="K3612" s="3" t="s">
        <v>57</v>
      </c>
      <c r="L3612" s="3" t="s">
        <v>58</v>
      </c>
      <c r="M3612" s="4">
        <v>1437.57</v>
      </c>
    </row>
    <row r="3613">
      <c r="A3613" s="2">
        <v>45879</v>
      </c>
      <c r="B36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3" s="3" t="str">
        <f>YEAR(KMART_DATA[[#This Row],[Date]])&amp;"-"&amp;TEXT(MONTH(KMART_DATA[[#This Row],[Date]]),"00")</f>
        <v>2025-08</v>
      </c>
      <c r="D3613" s="3" t="s">
        <v>28</v>
      </c>
      <c r="E3613" s="3" t="s">
        <v>154</v>
      </c>
      <c r="F3613" s="3" t="s">
        <v>11</v>
      </c>
      <c r="G36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13" s="3" t="s">
        <v>155</v>
      </c>
      <c r="I3613" s="3" t="s">
        <v>31</v>
      </c>
      <c r="J3613" s="3" t="s">
        <v>84</v>
      </c>
      <c r="K3613" s="3" t="s">
        <v>43</v>
      </c>
      <c r="L3613" s="3" t="s">
        <v>44</v>
      </c>
      <c r="M3613" s="4">
        <v>1450.49</v>
      </c>
    </row>
    <row r="3614">
      <c r="A3614" s="2">
        <v>45880</v>
      </c>
      <c r="B36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4" s="3" t="str">
        <f>YEAR(KMART_DATA[[#This Row],[Date]])&amp;"-"&amp;TEXT(MONTH(KMART_DATA[[#This Row],[Date]]),"00")</f>
        <v>2025-08</v>
      </c>
      <c r="D3614" s="3" t="s">
        <v>28</v>
      </c>
      <c r="E3614" s="3" t="s">
        <v>154</v>
      </c>
      <c r="F3614" s="3" t="s">
        <v>11</v>
      </c>
      <c r="G36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14" s="3" t="s">
        <v>155</v>
      </c>
      <c r="I3614" s="3" t="s">
        <v>31</v>
      </c>
      <c r="J3614" s="3" t="s">
        <v>84</v>
      </c>
      <c r="K3614" s="3" t="s">
        <v>43</v>
      </c>
      <c r="L3614" s="3" t="s">
        <v>44</v>
      </c>
      <c r="M3614" s="4">
        <v>3.0</v>
      </c>
    </row>
    <row r="3615">
      <c r="A3615" s="2">
        <v>45880</v>
      </c>
      <c r="B36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5" s="3" t="str">
        <f>YEAR(KMART_DATA[[#This Row],[Date]])&amp;"-"&amp;TEXT(MONTH(KMART_DATA[[#This Row],[Date]]),"00")</f>
        <v>2025-08</v>
      </c>
      <c r="D3615" s="3" t="s">
        <v>28</v>
      </c>
      <c r="E3615" s="3" t="s">
        <v>116</v>
      </c>
      <c r="F3615" s="3" t="s">
        <v>9</v>
      </c>
      <c r="G36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15" s="3" t="s">
        <v>117</v>
      </c>
      <c r="I3615" s="3" t="s">
        <v>31</v>
      </c>
      <c r="J3615" s="3" t="s">
        <v>70</v>
      </c>
      <c r="K3615" s="3" t="s">
        <v>71</v>
      </c>
      <c r="L3615" s="3" t="s">
        <v>72</v>
      </c>
      <c r="M3615" s="4">
        <v>10.0</v>
      </c>
    </row>
    <row r="3616">
      <c r="A3616" s="2">
        <v>45880</v>
      </c>
      <c r="B36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6" s="3" t="str">
        <f>YEAR(KMART_DATA[[#This Row],[Date]])&amp;"-"&amp;TEXT(MONTH(KMART_DATA[[#This Row],[Date]]),"00")</f>
        <v>2025-08</v>
      </c>
      <c r="D3616" s="3" t="s">
        <v>45</v>
      </c>
      <c r="E3616" s="3" t="s">
        <v>232</v>
      </c>
      <c r="F3616" s="3" t="s">
        <v>9</v>
      </c>
      <c r="G36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16" s="3" t="s">
        <v>233</v>
      </c>
      <c r="I3616" s="3" t="s">
        <v>31</v>
      </c>
      <c r="J3616" s="3" t="s">
        <v>75</v>
      </c>
      <c r="K3616" s="3" t="s">
        <v>57</v>
      </c>
      <c r="L3616" s="3" t="s">
        <v>58</v>
      </c>
      <c r="M3616" s="4">
        <v>49.93</v>
      </c>
    </row>
    <row r="3617">
      <c r="A3617" s="2">
        <v>45880</v>
      </c>
      <c r="B36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7" s="3" t="str">
        <f>YEAR(KMART_DATA[[#This Row],[Date]])&amp;"-"&amp;TEXT(MONTH(KMART_DATA[[#This Row],[Date]]),"00")</f>
        <v>2025-08</v>
      </c>
      <c r="D3617" s="3" t="s">
        <v>45</v>
      </c>
      <c r="E3617" s="3" t="s">
        <v>118</v>
      </c>
      <c r="F3617" s="3" t="s">
        <v>10</v>
      </c>
      <c r="G36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17" s="3" t="s">
        <v>119</v>
      </c>
      <c r="I3617" s="3" t="s">
        <v>31</v>
      </c>
      <c r="J3617" s="3" t="s">
        <v>120</v>
      </c>
      <c r="K3617" s="3" t="s">
        <v>123</v>
      </c>
      <c r="L3617" s="3" t="s">
        <v>124</v>
      </c>
      <c r="M3617" s="4">
        <v>467.08</v>
      </c>
    </row>
    <row r="3618">
      <c r="A3618" s="2">
        <v>45880</v>
      </c>
      <c r="B36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8" s="3" t="str">
        <f>YEAR(KMART_DATA[[#This Row],[Date]])&amp;"-"&amp;TEXT(MONTH(KMART_DATA[[#This Row],[Date]]),"00")</f>
        <v>2025-08</v>
      </c>
      <c r="D3618" s="3" t="s">
        <v>28</v>
      </c>
      <c r="E3618" s="3" t="s">
        <v>248</v>
      </c>
      <c r="F3618" s="3" t="s">
        <v>12</v>
      </c>
      <c r="G36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18" s="3" t="s">
        <v>249</v>
      </c>
      <c r="I3618" s="3" t="s">
        <v>31</v>
      </c>
      <c r="J3618" s="3" t="s">
        <v>162</v>
      </c>
      <c r="K3618" s="3" t="s">
        <v>71</v>
      </c>
      <c r="L3618" s="3" t="s">
        <v>72</v>
      </c>
      <c r="M3618" s="4">
        <v>560.37</v>
      </c>
    </row>
    <row r="3619">
      <c r="A3619" s="2">
        <v>45880</v>
      </c>
      <c r="B36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19" s="3" t="str">
        <f>YEAR(KMART_DATA[[#This Row],[Date]])&amp;"-"&amp;TEXT(MONTH(KMART_DATA[[#This Row],[Date]]),"00")</f>
        <v>2025-08</v>
      </c>
      <c r="D3619" s="3" t="s">
        <v>28</v>
      </c>
      <c r="E3619" s="3" t="s">
        <v>223</v>
      </c>
      <c r="F3619" s="3" t="s">
        <v>10</v>
      </c>
      <c r="G36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19" s="3" t="s">
        <v>224</v>
      </c>
      <c r="I3619" s="3" t="s">
        <v>31</v>
      </c>
      <c r="J3619" s="3" t="s">
        <v>94</v>
      </c>
      <c r="K3619" s="3" t="s">
        <v>95</v>
      </c>
      <c r="L3619" s="3" t="s">
        <v>96</v>
      </c>
      <c r="M3619" s="4">
        <v>801.37</v>
      </c>
    </row>
    <row r="3620">
      <c r="A3620" s="2">
        <v>45880</v>
      </c>
      <c r="B36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0" s="3" t="str">
        <f>YEAR(KMART_DATA[[#This Row],[Date]])&amp;"-"&amp;TEXT(MONTH(KMART_DATA[[#This Row],[Date]]),"00")</f>
        <v>2025-08</v>
      </c>
      <c r="D3620" s="3" t="s">
        <v>28</v>
      </c>
      <c r="E3620" s="3" t="s">
        <v>118</v>
      </c>
      <c r="F3620" s="3" t="s">
        <v>10</v>
      </c>
      <c r="G36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20" s="3" t="s">
        <v>119</v>
      </c>
      <c r="I3620" s="3" t="s">
        <v>31</v>
      </c>
      <c r="J3620" s="3" t="s">
        <v>120</v>
      </c>
      <c r="K3620" s="3" t="s">
        <v>123</v>
      </c>
      <c r="L3620" s="3" t="s">
        <v>124</v>
      </c>
      <c r="M3620" s="4">
        <v>2752.15</v>
      </c>
    </row>
    <row r="3621">
      <c r="A3621" s="2">
        <v>45881</v>
      </c>
      <c r="B36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1" s="3" t="str">
        <f>YEAR(KMART_DATA[[#This Row],[Date]])&amp;"-"&amp;TEXT(MONTH(KMART_DATA[[#This Row],[Date]]),"00")</f>
        <v>2025-08</v>
      </c>
      <c r="D3621" s="3" t="s">
        <v>28</v>
      </c>
      <c r="E3621" s="3" t="s">
        <v>217</v>
      </c>
      <c r="F3621" s="3" t="s">
        <v>10</v>
      </c>
      <c r="G36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21" s="3" t="s">
        <v>218</v>
      </c>
      <c r="I3621" s="3" t="s">
        <v>31</v>
      </c>
      <c r="J3621" s="3" t="s">
        <v>89</v>
      </c>
      <c r="K3621" s="3" t="s">
        <v>38</v>
      </c>
      <c r="L3621" s="3" t="s">
        <v>39</v>
      </c>
      <c r="M3621" s="4">
        <v>34.47</v>
      </c>
    </row>
    <row r="3622">
      <c r="A3622" s="2">
        <v>45881</v>
      </c>
      <c r="B36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2" s="3" t="str">
        <f>YEAR(KMART_DATA[[#This Row],[Date]])&amp;"-"&amp;TEXT(MONTH(KMART_DATA[[#This Row],[Date]]),"00")</f>
        <v>2025-08</v>
      </c>
      <c r="D3622" s="3" t="s">
        <v>28</v>
      </c>
      <c r="E3622" s="3" t="s">
        <v>173</v>
      </c>
      <c r="F3622" s="3" t="s">
        <v>11</v>
      </c>
      <c r="G36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22" s="3" t="s">
        <v>174</v>
      </c>
      <c r="I3622" s="3" t="s">
        <v>31</v>
      </c>
      <c r="J3622" s="3" t="s">
        <v>61</v>
      </c>
      <c r="K3622" s="3" t="s">
        <v>46</v>
      </c>
      <c r="L3622" s="3" t="s">
        <v>47</v>
      </c>
      <c r="M3622" s="4">
        <v>79.0</v>
      </c>
    </row>
    <row r="3623">
      <c r="A3623" s="2">
        <v>45881</v>
      </c>
      <c r="B36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3" s="3" t="str">
        <f>YEAR(KMART_DATA[[#This Row],[Date]])&amp;"-"&amp;TEXT(MONTH(KMART_DATA[[#This Row],[Date]]),"00")</f>
        <v>2025-08</v>
      </c>
      <c r="D3623" s="3" t="s">
        <v>28</v>
      </c>
      <c r="E3623" s="3" t="s">
        <v>79</v>
      </c>
      <c r="F3623" s="3" t="s">
        <v>9</v>
      </c>
      <c r="G36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23" s="3" t="s">
        <v>80</v>
      </c>
      <c r="I3623" s="3" t="s">
        <v>31</v>
      </c>
      <c r="J3623" s="3" t="s">
        <v>81</v>
      </c>
      <c r="K3623" s="3" t="s">
        <v>38</v>
      </c>
      <c r="L3623" s="3" t="s">
        <v>39</v>
      </c>
      <c r="M3623" s="4">
        <v>429.35</v>
      </c>
    </row>
    <row r="3624">
      <c r="A3624" s="2">
        <v>45882</v>
      </c>
      <c r="B36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4" s="3" t="str">
        <f>YEAR(KMART_DATA[[#This Row],[Date]])&amp;"-"&amp;TEXT(MONTH(KMART_DATA[[#This Row],[Date]]),"00")</f>
        <v>2025-08</v>
      </c>
      <c r="D3624" s="3" t="s">
        <v>45</v>
      </c>
      <c r="E3624" s="3" t="s">
        <v>87</v>
      </c>
      <c r="F3624" s="3" t="s">
        <v>10</v>
      </c>
      <c r="G36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24" s="3" t="s">
        <v>88</v>
      </c>
      <c r="I3624" s="3" t="s">
        <v>31</v>
      </c>
      <c r="J3624" s="3" t="s">
        <v>89</v>
      </c>
      <c r="K3624" s="3" t="s">
        <v>112</v>
      </c>
      <c r="L3624" s="3" t="s">
        <v>113</v>
      </c>
      <c r="M3624" s="4">
        <v>83.39</v>
      </c>
    </row>
    <row r="3625">
      <c r="A3625" s="2">
        <v>45882</v>
      </c>
      <c r="B36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5" s="3" t="str">
        <f>YEAR(KMART_DATA[[#This Row],[Date]])&amp;"-"&amp;TEXT(MONTH(KMART_DATA[[#This Row],[Date]]),"00")</f>
        <v>2025-08</v>
      </c>
      <c r="D3625" s="3" t="s">
        <v>28</v>
      </c>
      <c r="E3625" s="3" t="s">
        <v>167</v>
      </c>
      <c r="F3625" s="3" t="s">
        <v>12</v>
      </c>
      <c r="G36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25" s="3" t="s">
        <v>168</v>
      </c>
      <c r="I3625" s="3" t="s">
        <v>31</v>
      </c>
      <c r="J3625" s="3" t="s">
        <v>102</v>
      </c>
      <c r="K3625" s="3" t="s">
        <v>43</v>
      </c>
      <c r="L3625" s="3" t="s">
        <v>44</v>
      </c>
      <c r="M3625" s="4">
        <v>218.78</v>
      </c>
    </row>
    <row r="3626">
      <c r="A3626" s="2">
        <v>45882</v>
      </c>
      <c r="B36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6" s="3" t="str">
        <f>YEAR(KMART_DATA[[#This Row],[Date]])&amp;"-"&amp;TEXT(MONTH(KMART_DATA[[#This Row],[Date]]),"00")</f>
        <v>2025-08</v>
      </c>
      <c r="D3626" s="3" t="s">
        <v>28</v>
      </c>
      <c r="E3626" s="3" t="s">
        <v>97</v>
      </c>
      <c r="F3626" s="3" t="s">
        <v>9</v>
      </c>
      <c r="G36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26" s="3" t="s">
        <v>98</v>
      </c>
      <c r="I3626" s="3" t="s">
        <v>31</v>
      </c>
      <c r="J3626" s="3" t="s">
        <v>99</v>
      </c>
      <c r="K3626" s="3" t="s">
        <v>43</v>
      </c>
      <c r="L3626" s="3" t="s">
        <v>44</v>
      </c>
      <c r="M3626" s="4">
        <v>4074.37</v>
      </c>
    </row>
    <row r="3627">
      <c r="A3627" s="2">
        <v>45883</v>
      </c>
      <c r="B36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7" s="3" t="str">
        <f>YEAR(KMART_DATA[[#This Row],[Date]])&amp;"-"&amp;TEXT(MONTH(KMART_DATA[[#This Row],[Date]]),"00")</f>
        <v>2025-08</v>
      </c>
      <c r="D3627" s="3" t="s">
        <v>45</v>
      </c>
      <c r="E3627" s="3" t="s">
        <v>213</v>
      </c>
      <c r="F3627" s="3" t="s">
        <v>11</v>
      </c>
      <c r="G36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27" s="3" t="s">
        <v>214</v>
      </c>
      <c r="I3627" s="3" t="s">
        <v>31</v>
      </c>
      <c r="J3627" s="3" t="s">
        <v>32</v>
      </c>
      <c r="K3627" s="3" t="s">
        <v>43</v>
      </c>
      <c r="L3627" s="3" t="s">
        <v>44</v>
      </c>
      <c r="M3627" s="4">
        <v>48.97</v>
      </c>
    </row>
    <row r="3628">
      <c r="A3628" s="2">
        <v>45883</v>
      </c>
      <c r="B36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8" s="3" t="str">
        <f>YEAR(KMART_DATA[[#This Row],[Date]])&amp;"-"&amp;TEXT(MONTH(KMART_DATA[[#This Row],[Date]]),"00")</f>
        <v>2025-08</v>
      </c>
      <c r="D3628" s="3" t="s">
        <v>45</v>
      </c>
      <c r="E3628" s="3" t="s">
        <v>215</v>
      </c>
      <c r="F3628" s="3" t="s">
        <v>15</v>
      </c>
      <c r="G36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628" s="3" t="s">
        <v>216</v>
      </c>
      <c r="I3628" s="3" t="s">
        <v>31</v>
      </c>
      <c r="J3628" s="3" t="s">
        <v>53</v>
      </c>
      <c r="K3628" s="3" t="s">
        <v>33</v>
      </c>
      <c r="L3628" s="3" t="s">
        <v>34</v>
      </c>
      <c r="M3628" s="4">
        <v>65.9</v>
      </c>
    </row>
    <row r="3629">
      <c r="A3629" s="2">
        <v>45883</v>
      </c>
      <c r="B36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29" s="3" t="str">
        <f>YEAR(KMART_DATA[[#This Row],[Date]])&amp;"-"&amp;TEXT(MONTH(KMART_DATA[[#This Row],[Date]]),"00")</f>
        <v>2025-08</v>
      </c>
      <c r="D3629" s="3" t="s">
        <v>45</v>
      </c>
      <c r="E3629" s="3" t="s">
        <v>118</v>
      </c>
      <c r="F3629" s="3" t="s">
        <v>10</v>
      </c>
      <c r="G36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29" s="3" t="s">
        <v>119</v>
      </c>
      <c r="I3629" s="3" t="s">
        <v>31</v>
      </c>
      <c r="J3629" s="3" t="s">
        <v>120</v>
      </c>
      <c r="K3629" s="3" t="s">
        <v>43</v>
      </c>
      <c r="L3629" s="3" t="s">
        <v>44</v>
      </c>
      <c r="M3629" s="4">
        <v>405.42</v>
      </c>
    </row>
    <row r="3630">
      <c r="A3630" s="2">
        <v>45883</v>
      </c>
      <c r="B36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0" s="3" t="str">
        <f>YEAR(KMART_DATA[[#This Row],[Date]])&amp;"-"&amp;TEXT(MONTH(KMART_DATA[[#This Row],[Date]]),"00")</f>
        <v>2025-08</v>
      </c>
      <c r="D3630" s="3" t="s">
        <v>28</v>
      </c>
      <c r="E3630" s="3" t="s">
        <v>73</v>
      </c>
      <c r="F3630" s="3" t="s">
        <v>9</v>
      </c>
      <c r="G36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30" s="3" t="s">
        <v>74</v>
      </c>
      <c r="I3630" s="3" t="s">
        <v>31</v>
      </c>
      <c r="J3630" s="3" t="s">
        <v>75</v>
      </c>
      <c r="K3630" s="3" t="s">
        <v>71</v>
      </c>
      <c r="L3630" s="3" t="s">
        <v>72</v>
      </c>
      <c r="M3630" s="4">
        <v>481.61</v>
      </c>
    </row>
    <row r="3631">
      <c r="A3631" s="2">
        <v>45883</v>
      </c>
      <c r="B36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1" s="3" t="str">
        <f>YEAR(KMART_DATA[[#This Row],[Date]])&amp;"-"&amp;TEXT(MONTH(KMART_DATA[[#This Row],[Date]]),"00")</f>
        <v>2025-08</v>
      </c>
      <c r="D3631" s="3" t="s">
        <v>28</v>
      </c>
      <c r="E3631" s="3" t="s">
        <v>79</v>
      </c>
      <c r="F3631" s="3" t="s">
        <v>9</v>
      </c>
      <c r="G36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31" s="3" t="s">
        <v>80</v>
      </c>
      <c r="I3631" s="3" t="s">
        <v>31</v>
      </c>
      <c r="J3631" s="3" t="s">
        <v>81</v>
      </c>
      <c r="K3631" s="3" t="s">
        <v>71</v>
      </c>
      <c r="L3631" s="3" t="s">
        <v>72</v>
      </c>
      <c r="M3631" s="4">
        <v>1029.47</v>
      </c>
    </row>
    <row r="3632">
      <c r="A3632" s="2">
        <v>45883</v>
      </c>
      <c r="B36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2" s="3" t="str">
        <f>YEAR(KMART_DATA[[#This Row],[Date]])&amp;"-"&amp;TEXT(MONTH(KMART_DATA[[#This Row],[Date]]),"00")</f>
        <v>2025-08</v>
      </c>
      <c r="D3632" s="3" t="s">
        <v>28</v>
      </c>
      <c r="E3632" s="3" t="s">
        <v>219</v>
      </c>
      <c r="F3632" s="3" t="s">
        <v>11</v>
      </c>
      <c r="G36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32" s="3" t="s">
        <v>220</v>
      </c>
      <c r="I3632" s="3" t="s">
        <v>31</v>
      </c>
      <c r="J3632" s="3" t="s">
        <v>56</v>
      </c>
      <c r="K3632" s="3" t="s">
        <v>71</v>
      </c>
      <c r="L3632" s="3" t="s">
        <v>72</v>
      </c>
      <c r="M3632" s="4">
        <v>1267.02</v>
      </c>
    </row>
    <row r="3633">
      <c r="A3633" s="2">
        <v>45883</v>
      </c>
      <c r="B36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3" s="3" t="str">
        <f>YEAR(KMART_DATA[[#This Row],[Date]])&amp;"-"&amp;TEXT(MONTH(KMART_DATA[[#This Row],[Date]]),"00")</f>
        <v>2025-08</v>
      </c>
      <c r="D3633" s="3" t="s">
        <v>28</v>
      </c>
      <c r="E3633" s="3" t="s">
        <v>129</v>
      </c>
      <c r="F3633" s="3" t="s">
        <v>10</v>
      </c>
      <c r="G36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33" s="3" t="s">
        <v>130</v>
      </c>
      <c r="I3633" s="3" t="s">
        <v>31</v>
      </c>
      <c r="J3633" s="3" t="s">
        <v>120</v>
      </c>
      <c r="K3633" s="3" t="s">
        <v>43</v>
      </c>
      <c r="L3633" s="3" t="s">
        <v>44</v>
      </c>
      <c r="M3633" s="4">
        <v>1778.2</v>
      </c>
    </row>
    <row r="3634">
      <c r="A3634" s="2">
        <v>45884</v>
      </c>
      <c r="B36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4" s="3" t="str">
        <f>YEAR(KMART_DATA[[#This Row],[Date]])&amp;"-"&amp;TEXT(MONTH(KMART_DATA[[#This Row],[Date]]),"00")</f>
        <v>2025-08</v>
      </c>
      <c r="D3634" s="3" t="s">
        <v>28</v>
      </c>
      <c r="E3634" s="3" t="s">
        <v>114</v>
      </c>
      <c r="F3634" s="3" t="s">
        <v>9</v>
      </c>
      <c r="G36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34" s="3" t="s">
        <v>115</v>
      </c>
      <c r="I3634" s="3" t="s">
        <v>31</v>
      </c>
      <c r="J3634" s="3" t="s">
        <v>99</v>
      </c>
      <c r="K3634" s="3" t="s">
        <v>43</v>
      </c>
      <c r="L3634" s="3" t="s">
        <v>44</v>
      </c>
      <c r="M3634" s="4">
        <v>44.9</v>
      </c>
    </row>
    <row r="3635">
      <c r="A3635" s="2">
        <v>45884</v>
      </c>
      <c r="B36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5" s="3" t="str">
        <f>YEAR(KMART_DATA[[#This Row],[Date]])&amp;"-"&amp;TEXT(MONTH(KMART_DATA[[#This Row],[Date]]),"00")</f>
        <v>2025-08</v>
      </c>
      <c r="D3635" s="3" t="s">
        <v>28</v>
      </c>
      <c r="E3635" s="3" t="s">
        <v>234</v>
      </c>
      <c r="F3635" s="3" t="s">
        <v>9</v>
      </c>
      <c r="G36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35" s="3" t="s">
        <v>235</v>
      </c>
      <c r="I3635" s="3" t="s">
        <v>31</v>
      </c>
      <c r="J3635" s="3" t="s">
        <v>81</v>
      </c>
      <c r="K3635" s="3" t="s">
        <v>46</v>
      </c>
      <c r="L3635" s="3" t="s">
        <v>47</v>
      </c>
      <c r="M3635" s="4">
        <v>49.98</v>
      </c>
    </row>
    <row r="3636">
      <c r="A3636" s="2">
        <v>45884</v>
      </c>
      <c r="B36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6" s="3" t="str">
        <f>YEAR(KMART_DATA[[#This Row],[Date]])&amp;"-"&amp;TEXT(MONTH(KMART_DATA[[#This Row],[Date]]),"00")</f>
        <v>2025-08</v>
      </c>
      <c r="D3636" s="3" t="s">
        <v>28</v>
      </c>
      <c r="E3636" s="3" t="s">
        <v>127</v>
      </c>
      <c r="F3636" s="3" t="s">
        <v>11</v>
      </c>
      <c r="G36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36" s="3" t="s">
        <v>128</v>
      </c>
      <c r="I3636" s="3" t="s">
        <v>31</v>
      </c>
      <c r="J3636" s="3" t="s">
        <v>78</v>
      </c>
      <c r="K3636" s="3" t="s">
        <v>43</v>
      </c>
      <c r="L3636" s="3" t="s">
        <v>44</v>
      </c>
      <c r="M3636" s="4">
        <v>53.96</v>
      </c>
    </row>
    <row r="3637">
      <c r="A3637" s="2">
        <v>45884</v>
      </c>
      <c r="B36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7" s="3" t="str">
        <f>YEAR(KMART_DATA[[#This Row],[Date]])&amp;"-"&amp;TEXT(MONTH(KMART_DATA[[#This Row],[Date]]),"00")</f>
        <v>2025-08</v>
      </c>
      <c r="D3637" s="3" t="s">
        <v>28</v>
      </c>
      <c r="E3637" s="3" t="s">
        <v>215</v>
      </c>
      <c r="F3637" s="3" t="s">
        <v>15</v>
      </c>
      <c r="G36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637" s="3" t="s">
        <v>216</v>
      </c>
      <c r="I3637" s="3" t="s">
        <v>31</v>
      </c>
      <c r="J3637" s="3" t="s">
        <v>53</v>
      </c>
      <c r="K3637" s="3" t="s">
        <v>46</v>
      </c>
      <c r="L3637" s="3" t="s">
        <v>47</v>
      </c>
      <c r="M3637" s="4">
        <v>168.87</v>
      </c>
    </row>
    <row r="3638">
      <c r="A3638" s="2">
        <v>45884</v>
      </c>
      <c r="B36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8" s="3" t="str">
        <f>YEAR(KMART_DATA[[#This Row],[Date]])&amp;"-"&amp;TEXT(MONTH(KMART_DATA[[#This Row],[Date]]),"00")</f>
        <v>2025-08</v>
      </c>
      <c r="D3638" s="3" t="s">
        <v>45</v>
      </c>
      <c r="E3638" s="3" t="s">
        <v>223</v>
      </c>
      <c r="F3638" s="3" t="s">
        <v>10</v>
      </c>
      <c r="G36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38" s="3" t="s">
        <v>224</v>
      </c>
      <c r="I3638" s="3" t="s">
        <v>31</v>
      </c>
      <c r="J3638" s="3" t="s">
        <v>94</v>
      </c>
      <c r="K3638" s="3" t="s">
        <v>46</v>
      </c>
      <c r="L3638" s="3" t="s">
        <v>47</v>
      </c>
      <c r="M3638" s="4">
        <v>479.47</v>
      </c>
    </row>
    <row r="3639">
      <c r="A3639" s="2">
        <v>45884</v>
      </c>
      <c r="B36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39" s="3" t="str">
        <f>YEAR(KMART_DATA[[#This Row],[Date]])&amp;"-"&amp;TEXT(MONTH(KMART_DATA[[#This Row],[Date]]),"00")</f>
        <v>2025-08</v>
      </c>
      <c r="D3639" s="3" t="s">
        <v>28</v>
      </c>
      <c r="E3639" s="3" t="s">
        <v>158</v>
      </c>
      <c r="F3639" s="3" t="s">
        <v>11</v>
      </c>
      <c r="G36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39" s="3" t="s">
        <v>159</v>
      </c>
      <c r="I3639" s="3" t="s">
        <v>31</v>
      </c>
      <c r="J3639" s="3" t="s">
        <v>84</v>
      </c>
      <c r="K3639" s="3" t="s">
        <v>71</v>
      </c>
      <c r="L3639" s="3" t="s">
        <v>72</v>
      </c>
      <c r="M3639" s="4">
        <v>535.02</v>
      </c>
    </row>
    <row r="3640">
      <c r="A3640" s="2">
        <v>45884</v>
      </c>
      <c r="B36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0" s="3" t="str">
        <f>YEAR(KMART_DATA[[#This Row],[Date]])&amp;"-"&amp;TEXT(MONTH(KMART_DATA[[#This Row],[Date]]),"00")</f>
        <v>2025-08</v>
      </c>
      <c r="D3640" s="3" t="s">
        <v>28</v>
      </c>
      <c r="E3640" s="3" t="s">
        <v>64</v>
      </c>
      <c r="F3640" s="3" t="s">
        <v>11</v>
      </c>
      <c r="G36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40" s="3" t="s">
        <v>65</v>
      </c>
      <c r="I3640" s="3" t="s">
        <v>31</v>
      </c>
      <c r="J3640" s="3" t="s">
        <v>61</v>
      </c>
      <c r="K3640" s="3" t="s">
        <v>71</v>
      </c>
      <c r="L3640" s="3" t="s">
        <v>72</v>
      </c>
      <c r="M3640" s="4">
        <v>1158.84</v>
      </c>
    </row>
    <row r="3641">
      <c r="A3641" s="2">
        <v>45884</v>
      </c>
      <c r="B36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1" s="3" t="str">
        <f>YEAR(KMART_DATA[[#This Row],[Date]])&amp;"-"&amp;TEXT(MONTH(KMART_DATA[[#This Row],[Date]]),"00")</f>
        <v>2025-08</v>
      </c>
      <c r="D3641" s="3" t="s">
        <v>45</v>
      </c>
      <c r="E3641" s="3" t="s">
        <v>256</v>
      </c>
      <c r="F3641" s="3" t="s">
        <v>9</v>
      </c>
      <c r="G36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41" s="3" t="s">
        <v>257</v>
      </c>
      <c r="I3641" s="3" t="s">
        <v>31</v>
      </c>
      <c r="J3641" s="3" t="s">
        <v>70</v>
      </c>
      <c r="K3641" s="3" t="s">
        <v>46</v>
      </c>
      <c r="L3641" s="3" t="s">
        <v>47</v>
      </c>
      <c r="M3641" s="4">
        <v>5894.89</v>
      </c>
    </row>
    <row r="3642">
      <c r="A3642" s="2">
        <v>45885</v>
      </c>
      <c r="B36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2" s="3" t="str">
        <f>YEAR(KMART_DATA[[#This Row],[Date]])&amp;"-"&amp;TEXT(MONTH(KMART_DATA[[#This Row],[Date]]),"00")</f>
        <v>2025-08</v>
      </c>
      <c r="D3642" s="3" t="s">
        <v>45</v>
      </c>
      <c r="E3642" s="3" t="s">
        <v>73</v>
      </c>
      <c r="F3642" s="3" t="s">
        <v>9</v>
      </c>
      <c r="G36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42" s="3" t="s">
        <v>74</v>
      </c>
      <c r="I3642" s="3" t="s">
        <v>31</v>
      </c>
      <c r="J3642" s="3" t="s">
        <v>75</v>
      </c>
      <c r="K3642" s="3" t="s">
        <v>33</v>
      </c>
      <c r="L3642" s="3" t="s">
        <v>34</v>
      </c>
      <c r="M3642" s="4">
        <v>11.97</v>
      </c>
    </row>
    <row r="3643">
      <c r="A3643" s="2">
        <v>45885</v>
      </c>
      <c r="B36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3" s="3" t="str">
        <f>YEAR(KMART_DATA[[#This Row],[Date]])&amp;"-"&amp;TEXT(MONTH(KMART_DATA[[#This Row],[Date]]),"00")</f>
        <v>2025-08</v>
      </c>
      <c r="D3643" s="3" t="s">
        <v>28</v>
      </c>
      <c r="E3643" s="3" t="s">
        <v>85</v>
      </c>
      <c r="F3643" s="3" t="s">
        <v>9</v>
      </c>
      <c r="G36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43" s="3" t="s">
        <v>86</v>
      </c>
      <c r="I3643" s="3" t="s">
        <v>31</v>
      </c>
      <c r="J3643" s="3" t="s">
        <v>81</v>
      </c>
      <c r="K3643" s="3" t="s">
        <v>43</v>
      </c>
      <c r="L3643" s="3" t="s">
        <v>44</v>
      </c>
      <c r="M3643" s="4">
        <v>18.01</v>
      </c>
    </row>
    <row r="3644">
      <c r="A3644" s="2">
        <v>45885</v>
      </c>
      <c r="B36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4" s="3" t="str">
        <f>YEAR(KMART_DATA[[#This Row],[Date]])&amp;"-"&amp;TEXT(MONTH(KMART_DATA[[#This Row],[Date]]),"00")</f>
        <v>2025-08</v>
      </c>
      <c r="D3644" s="3" t="s">
        <v>28</v>
      </c>
      <c r="E3644" s="3" t="s">
        <v>85</v>
      </c>
      <c r="F3644" s="3" t="s">
        <v>9</v>
      </c>
      <c r="G36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44" s="3" t="s">
        <v>86</v>
      </c>
      <c r="I3644" s="3" t="s">
        <v>31</v>
      </c>
      <c r="J3644" s="3" t="s">
        <v>81</v>
      </c>
      <c r="K3644" s="3" t="s">
        <v>123</v>
      </c>
      <c r="L3644" s="3" t="s">
        <v>124</v>
      </c>
      <c r="M3644" s="4">
        <v>68.44</v>
      </c>
    </row>
    <row r="3645">
      <c r="A3645" s="2">
        <v>45885</v>
      </c>
      <c r="B36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5" s="3" t="str">
        <f>YEAR(KMART_DATA[[#This Row],[Date]])&amp;"-"&amp;TEXT(MONTH(KMART_DATA[[#This Row],[Date]]),"00")</f>
        <v>2025-08</v>
      </c>
      <c r="D3645" s="3" t="s">
        <v>28</v>
      </c>
      <c r="E3645" s="3" t="s">
        <v>160</v>
      </c>
      <c r="F3645" s="3" t="s">
        <v>12</v>
      </c>
      <c r="G36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45" s="3" t="s">
        <v>161</v>
      </c>
      <c r="I3645" s="3" t="s">
        <v>31</v>
      </c>
      <c r="J3645" s="3" t="s">
        <v>162</v>
      </c>
      <c r="K3645" s="3" t="s">
        <v>43</v>
      </c>
      <c r="L3645" s="3" t="s">
        <v>44</v>
      </c>
      <c r="M3645" s="4">
        <v>117.99</v>
      </c>
    </row>
    <row r="3646">
      <c r="A3646" s="2">
        <v>45885</v>
      </c>
      <c r="B36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6" s="3" t="str">
        <f>YEAR(KMART_DATA[[#This Row],[Date]])&amp;"-"&amp;TEXT(MONTH(KMART_DATA[[#This Row],[Date]]),"00")</f>
        <v>2025-08</v>
      </c>
      <c r="D3646" s="3" t="s">
        <v>45</v>
      </c>
      <c r="E3646" s="3" t="s">
        <v>205</v>
      </c>
      <c r="F3646" s="3" t="s">
        <v>10</v>
      </c>
      <c r="G36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46" s="3" t="s">
        <v>206</v>
      </c>
      <c r="I3646" s="3" t="s">
        <v>31</v>
      </c>
      <c r="J3646" s="3" t="s">
        <v>37</v>
      </c>
      <c r="K3646" s="3" t="s">
        <v>112</v>
      </c>
      <c r="L3646" s="3" t="s">
        <v>113</v>
      </c>
      <c r="M3646" s="4">
        <v>160.45</v>
      </c>
    </row>
    <row r="3647">
      <c r="A3647" s="2">
        <v>45885</v>
      </c>
      <c r="B36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7" s="3" t="str">
        <f>YEAR(KMART_DATA[[#This Row],[Date]])&amp;"-"&amp;TEXT(MONTH(KMART_DATA[[#This Row],[Date]]),"00")</f>
        <v>2025-08</v>
      </c>
      <c r="D3647" s="3" t="s">
        <v>28</v>
      </c>
      <c r="E3647" s="3" t="s">
        <v>110</v>
      </c>
      <c r="F3647" s="3" t="s">
        <v>9</v>
      </c>
      <c r="G36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47" s="3" t="s">
        <v>111</v>
      </c>
      <c r="I3647" s="3" t="s">
        <v>31</v>
      </c>
      <c r="J3647" s="3" t="s">
        <v>81</v>
      </c>
      <c r="K3647" s="3" t="s">
        <v>123</v>
      </c>
      <c r="L3647" s="3" t="s">
        <v>124</v>
      </c>
      <c r="M3647" s="4">
        <v>875.0</v>
      </c>
    </row>
    <row r="3648">
      <c r="A3648" s="2">
        <v>45885</v>
      </c>
      <c r="B36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8" s="3" t="str">
        <f>YEAR(KMART_DATA[[#This Row],[Date]])&amp;"-"&amp;TEXT(MONTH(KMART_DATA[[#This Row],[Date]]),"00")</f>
        <v>2025-08</v>
      </c>
      <c r="D3648" s="3" t="s">
        <v>28</v>
      </c>
      <c r="E3648" s="3" t="s">
        <v>163</v>
      </c>
      <c r="F3648" s="3" t="s">
        <v>9</v>
      </c>
      <c r="G36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48" s="3" t="s">
        <v>164</v>
      </c>
      <c r="I3648" s="3" t="s">
        <v>31</v>
      </c>
      <c r="J3648" s="3" t="s">
        <v>81</v>
      </c>
      <c r="K3648" s="3" t="s">
        <v>57</v>
      </c>
      <c r="L3648" s="3" t="s">
        <v>58</v>
      </c>
      <c r="M3648" s="4">
        <v>1444.28</v>
      </c>
    </row>
    <row r="3649">
      <c r="A3649" s="2">
        <v>45885</v>
      </c>
      <c r="B36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49" s="3" t="str">
        <f>YEAR(KMART_DATA[[#This Row],[Date]])&amp;"-"&amp;TEXT(MONTH(KMART_DATA[[#This Row],[Date]]),"00")</f>
        <v>2025-08</v>
      </c>
      <c r="D3649" s="3" t="s">
        <v>28</v>
      </c>
      <c r="E3649" s="3" t="s">
        <v>108</v>
      </c>
      <c r="F3649" s="3" t="s">
        <v>9</v>
      </c>
      <c r="G36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49" s="3" t="s">
        <v>109</v>
      </c>
      <c r="I3649" s="3" t="s">
        <v>31</v>
      </c>
      <c r="J3649" s="3" t="s">
        <v>75</v>
      </c>
      <c r="K3649" s="3" t="s">
        <v>95</v>
      </c>
      <c r="L3649" s="3" t="s">
        <v>96</v>
      </c>
      <c r="M3649" s="4">
        <v>4529.53</v>
      </c>
    </row>
    <row r="3650">
      <c r="A3650" s="2">
        <v>45886</v>
      </c>
      <c r="B36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0" s="3" t="str">
        <f>YEAR(KMART_DATA[[#This Row],[Date]])&amp;"-"&amp;TEXT(MONTH(KMART_DATA[[#This Row],[Date]]),"00")</f>
        <v>2025-08</v>
      </c>
      <c r="D3650" s="3" t="s">
        <v>28</v>
      </c>
      <c r="E3650" s="3" t="s">
        <v>256</v>
      </c>
      <c r="F3650" s="3" t="s">
        <v>9</v>
      </c>
      <c r="G36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50" s="3" t="s">
        <v>257</v>
      </c>
      <c r="I3650" s="3" t="s">
        <v>31</v>
      </c>
      <c r="J3650" s="3" t="s">
        <v>70</v>
      </c>
      <c r="K3650" s="3" t="s">
        <v>112</v>
      </c>
      <c r="L3650" s="3" t="s">
        <v>113</v>
      </c>
      <c r="M3650" s="4">
        <v>34.57</v>
      </c>
    </row>
    <row r="3651">
      <c r="A3651" s="2">
        <v>45886</v>
      </c>
      <c r="B36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1" s="3" t="str">
        <f>YEAR(KMART_DATA[[#This Row],[Date]])&amp;"-"&amp;TEXT(MONTH(KMART_DATA[[#This Row],[Date]]),"00")</f>
        <v>2025-08</v>
      </c>
      <c r="D3651" s="3" t="s">
        <v>45</v>
      </c>
      <c r="E3651" s="3" t="s">
        <v>29</v>
      </c>
      <c r="F3651" s="3" t="s">
        <v>11</v>
      </c>
      <c r="G36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51" s="3" t="s">
        <v>30</v>
      </c>
      <c r="I3651" s="3" t="s">
        <v>31</v>
      </c>
      <c r="J3651" s="3" t="s">
        <v>32</v>
      </c>
      <c r="K3651" s="3" t="s">
        <v>71</v>
      </c>
      <c r="L3651" s="3" t="s">
        <v>72</v>
      </c>
      <c r="M3651" s="4">
        <v>44.42</v>
      </c>
    </row>
    <row r="3652">
      <c r="A3652" s="2">
        <v>45886</v>
      </c>
      <c r="B36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2" s="3" t="str">
        <f>YEAR(KMART_DATA[[#This Row],[Date]])&amp;"-"&amp;TEXT(MONTH(KMART_DATA[[#This Row],[Date]]),"00")</f>
        <v>2025-08</v>
      </c>
      <c r="D3652" s="3" t="s">
        <v>28</v>
      </c>
      <c r="E3652" s="3" t="s">
        <v>154</v>
      </c>
      <c r="F3652" s="3" t="s">
        <v>11</v>
      </c>
      <c r="G36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52" s="3" t="s">
        <v>155</v>
      </c>
      <c r="I3652" s="3" t="s">
        <v>31</v>
      </c>
      <c r="J3652" s="3" t="s">
        <v>84</v>
      </c>
      <c r="K3652" s="3" t="s">
        <v>43</v>
      </c>
      <c r="L3652" s="3" t="s">
        <v>44</v>
      </c>
      <c r="M3652" s="4">
        <v>77.12</v>
      </c>
    </row>
    <row r="3653">
      <c r="A3653" s="2">
        <v>45886</v>
      </c>
      <c r="B36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3" s="3" t="str">
        <f>YEAR(KMART_DATA[[#This Row],[Date]])&amp;"-"&amp;TEXT(MONTH(KMART_DATA[[#This Row],[Date]]),"00")</f>
        <v>2025-08</v>
      </c>
      <c r="D3653" s="3" t="s">
        <v>28</v>
      </c>
      <c r="E3653" s="3" t="s">
        <v>177</v>
      </c>
      <c r="F3653" s="3" t="s">
        <v>12</v>
      </c>
      <c r="G36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53" s="3" t="s">
        <v>178</v>
      </c>
      <c r="I3653" s="3" t="s">
        <v>31</v>
      </c>
      <c r="J3653" s="3" t="s">
        <v>162</v>
      </c>
      <c r="K3653" s="3" t="s">
        <v>43</v>
      </c>
      <c r="L3653" s="3" t="s">
        <v>44</v>
      </c>
      <c r="M3653" s="4">
        <v>240.82</v>
      </c>
    </row>
    <row r="3654">
      <c r="A3654" s="2">
        <v>45886</v>
      </c>
      <c r="B36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4" s="3" t="str">
        <f>YEAR(KMART_DATA[[#This Row],[Date]])&amp;"-"&amp;TEXT(MONTH(KMART_DATA[[#This Row],[Date]]),"00")</f>
        <v>2025-08</v>
      </c>
      <c r="D3654" s="3" t="s">
        <v>45</v>
      </c>
      <c r="E3654" s="3" t="s">
        <v>223</v>
      </c>
      <c r="F3654" s="3" t="s">
        <v>10</v>
      </c>
      <c r="G36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54" s="3" t="s">
        <v>224</v>
      </c>
      <c r="I3654" s="3" t="s">
        <v>31</v>
      </c>
      <c r="J3654" s="3" t="s">
        <v>94</v>
      </c>
      <c r="K3654" s="3" t="s">
        <v>123</v>
      </c>
      <c r="L3654" s="3" t="s">
        <v>124</v>
      </c>
      <c r="M3654" s="4">
        <v>510.09</v>
      </c>
    </row>
    <row r="3655">
      <c r="A3655" s="2">
        <v>45886</v>
      </c>
      <c r="B36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5" s="3" t="str">
        <f>YEAR(KMART_DATA[[#This Row],[Date]])&amp;"-"&amp;TEXT(MONTH(KMART_DATA[[#This Row],[Date]]),"00")</f>
        <v>2025-08</v>
      </c>
      <c r="D3655" s="3" t="s">
        <v>28</v>
      </c>
      <c r="E3655" s="3" t="s">
        <v>179</v>
      </c>
      <c r="F3655" s="3" t="s">
        <v>9</v>
      </c>
      <c r="G36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55" s="3" t="s">
        <v>180</v>
      </c>
      <c r="I3655" s="3" t="s">
        <v>31</v>
      </c>
      <c r="J3655" s="3" t="s">
        <v>99</v>
      </c>
      <c r="K3655" s="3" t="s">
        <v>112</v>
      </c>
      <c r="L3655" s="3" t="s">
        <v>113</v>
      </c>
      <c r="M3655" s="4">
        <v>1294.34</v>
      </c>
    </row>
    <row r="3656">
      <c r="A3656" s="2">
        <v>45886</v>
      </c>
      <c r="B36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6" s="3" t="str">
        <f>YEAR(KMART_DATA[[#This Row],[Date]])&amp;"-"&amp;TEXT(MONTH(KMART_DATA[[#This Row],[Date]]),"00")</f>
        <v>2025-08</v>
      </c>
      <c r="D3656" s="3" t="s">
        <v>28</v>
      </c>
      <c r="E3656" s="3" t="s">
        <v>62</v>
      </c>
      <c r="F3656" s="3" t="s">
        <v>12</v>
      </c>
      <c r="G36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56" s="3" t="s">
        <v>63</v>
      </c>
      <c r="I3656" s="3" t="s">
        <v>31</v>
      </c>
      <c r="J3656" s="3" t="s">
        <v>50</v>
      </c>
      <c r="K3656" s="3" t="s">
        <v>57</v>
      </c>
      <c r="L3656" s="3" t="s">
        <v>58</v>
      </c>
      <c r="M3656" s="4">
        <v>2881.7</v>
      </c>
    </row>
    <row r="3657">
      <c r="A3657" s="2">
        <v>45886</v>
      </c>
      <c r="B36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7" s="3" t="str">
        <f>YEAR(KMART_DATA[[#This Row],[Date]])&amp;"-"&amp;TEXT(MONTH(KMART_DATA[[#This Row],[Date]]),"00")</f>
        <v>2025-08</v>
      </c>
      <c r="D3657" s="3" t="s">
        <v>28</v>
      </c>
      <c r="E3657" s="3" t="s">
        <v>250</v>
      </c>
      <c r="F3657" s="3" t="s">
        <v>10</v>
      </c>
      <c r="G36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57" s="3" t="s">
        <v>251</v>
      </c>
      <c r="I3657" s="3" t="s">
        <v>31</v>
      </c>
      <c r="J3657" s="3" t="s">
        <v>37</v>
      </c>
      <c r="K3657" s="3" t="s">
        <v>95</v>
      </c>
      <c r="L3657" s="3" t="s">
        <v>96</v>
      </c>
      <c r="M3657" s="4">
        <v>7040.84</v>
      </c>
    </row>
    <row r="3658">
      <c r="A3658" s="2">
        <v>45887</v>
      </c>
      <c r="B36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8" s="3" t="str">
        <f>YEAR(KMART_DATA[[#This Row],[Date]])&amp;"-"&amp;TEXT(MONTH(KMART_DATA[[#This Row],[Date]]),"00")</f>
        <v>2025-08</v>
      </c>
      <c r="D3658" s="3" t="s">
        <v>28</v>
      </c>
      <c r="E3658" s="3" t="s">
        <v>211</v>
      </c>
      <c r="F3658" s="3" t="s">
        <v>9</v>
      </c>
      <c r="G36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58" s="3" t="s">
        <v>212</v>
      </c>
      <c r="I3658" s="3" t="s">
        <v>31</v>
      </c>
      <c r="J3658" s="3" t="s">
        <v>75</v>
      </c>
      <c r="K3658" s="3" t="s">
        <v>46</v>
      </c>
      <c r="L3658" s="3" t="s">
        <v>47</v>
      </c>
      <c r="M3658" s="4">
        <v>5.79</v>
      </c>
    </row>
    <row r="3659">
      <c r="A3659" s="2">
        <v>45887</v>
      </c>
      <c r="B36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59" s="3" t="str">
        <f>YEAR(KMART_DATA[[#This Row],[Date]])&amp;"-"&amp;TEXT(MONTH(KMART_DATA[[#This Row],[Date]]),"00")</f>
        <v>2025-08</v>
      </c>
      <c r="D3659" s="3" t="s">
        <v>45</v>
      </c>
      <c r="E3659" s="3" t="s">
        <v>125</v>
      </c>
      <c r="F3659" s="3" t="s">
        <v>10</v>
      </c>
      <c r="G36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59" s="3" t="s">
        <v>126</v>
      </c>
      <c r="I3659" s="3" t="s">
        <v>31</v>
      </c>
      <c r="J3659" s="3" t="s">
        <v>94</v>
      </c>
      <c r="K3659" s="3" t="s">
        <v>71</v>
      </c>
      <c r="L3659" s="3" t="s">
        <v>72</v>
      </c>
      <c r="M3659" s="4">
        <v>37.62</v>
      </c>
    </row>
    <row r="3660">
      <c r="A3660" s="2">
        <v>45887</v>
      </c>
      <c r="B36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0" s="3" t="str">
        <f>YEAR(KMART_DATA[[#This Row],[Date]])&amp;"-"&amp;TEXT(MONTH(KMART_DATA[[#This Row],[Date]]),"00")</f>
        <v>2025-08</v>
      </c>
      <c r="D3660" s="3" t="s">
        <v>45</v>
      </c>
      <c r="E3660" s="3" t="s">
        <v>181</v>
      </c>
      <c r="F3660" s="3" t="s">
        <v>11</v>
      </c>
      <c r="G36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60" s="3" t="s">
        <v>182</v>
      </c>
      <c r="I3660" s="3" t="s">
        <v>31</v>
      </c>
      <c r="J3660" s="3" t="s">
        <v>56</v>
      </c>
      <c r="K3660" s="3" t="s">
        <v>66</v>
      </c>
      <c r="L3660" s="3" t="s">
        <v>67</v>
      </c>
      <c r="M3660" s="4">
        <v>81.73</v>
      </c>
    </row>
    <row r="3661">
      <c r="A3661" s="2">
        <v>45887</v>
      </c>
      <c r="B36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1" s="3" t="str">
        <f>YEAR(KMART_DATA[[#This Row],[Date]])&amp;"-"&amp;TEXT(MONTH(KMART_DATA[[#This Row],[Date]]),"00")</f>
        <v>2025-08</v>
      </c>
      <c r="D3661" s="3" t="s">
        <v>28</v>
      </c>
      <c r="E3661" s="3" t="s">
        <v>199</v>
      </c>
      <c r="F3661" s="3" t="s">
        <v>13</v>
      </c>
      <c r="G36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661" s="3" t="s">
        <v>200</v>
      </c>
      <c r="I3661" s="3" t="s">
        <v>31</v>
      </c>
      <c r="J3661" s="3" t="s">
        <v>42</v>
      </c>
      <c r="K3661" s="3" t="s">
        <v>71</v>
      </c>
      <c r="L3661" s="3" t="s">
        <v>72</v>
      </c>
      <c r="M3661" s="4">
        <v>3516.87</v>
      </c>
    </row>
    <row r="3662">
      <c r="A3662" s="2">
        <v>45888</v>
      </c>
      <c r="B36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2" s="3" t="str">
        <f>YEAR(KMART_DATA[[#This Row],[Date]])&amp;"-"&amp;TEXT(MONTH(KMART_DATA[[#This Row],[Date]]),"00")</f>
        <v>2025-08</v>
      </c>
      <c r="D3662" s="3" t="s">
        <v>28</v>
      </c>
      <c r="E3662" s="3" t="s">
        <v>246</v>
      </c>
      <c r="F3662" s="3" t="s">
        <v>10</v>
      </c>
      <c r="G36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62" s="3" t="s">
        <v>247</v>
      </c>
      <c r="I3662" s="3" t="s">
        <v>31</v>
      </c>
      <c r="J3662" s="3" t="s">
        <v>37</v>
      </c>
      <c r="K3662" s="3" t="s">
        <v>95</v>
      </c>
      <c r="L3662" s="3" t="s">
        <v>96</v>
      </c>
      <c r="M3662" s="4">
        <v>2.52</v>
      </c>
    </row>
    <row r="3663">
      <c r="A3663" s="2">
        <v>45888</v>
      </c>
      <c r="B36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3" s="3" t="str">
        <f>YEAR(KMART_DATA[[#This Row],[Date]])&amp;"-"&amp;TEXT(MONTH(KMART_DATA[[#This Row],[Date]]),"00")</f>
        <v>2025-08</v>
      </c>
      <c r="D3663" s="3" t="s">
        <v>28</v>
      </c>
      <c r="E3663" s="3" t="s">
        <v>234</v>
      </c>
      <c r="F3663" s="3" t="s">
        <v>9</v>
      </c>
      <c r="G36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63" s="3" t="s">
        <v>235</v>
      </c>
      <c r="I3663" s="3" t="s">
        <v>31</v>
      </c>
      <c r="J3663" s="3" t="s">
        <v>81</v>
      </c>
      <c r="K3663" s="3" t="s">
        <v>43</v>
      </c>
      <c r="L3663" s="3" t="s">
        <v>44</v>
      </c>
      <c r="M3663" s="4">
        <v>9.99</v>
      </c>
    </row>
    <row r="3664">
      <c r="A3664" s="2">
        <v>45888</v>
      </c>
      <c r="B36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4" s="3" t="str">
        <f>YEAR(KMART_DATA[[#This Row],[Date]])&amp;"-"&amp;TEXT(MONTH(KMART_DATA[[#This Row],[Date]]),"00")</f>
        <v>2025-08</v>
      </c>
      <c r="D3664" s="3" t="s">
        <v>45</v>
      </c>
      <c r="E3664" s="3" t="s">
        <v>167</v>
      </c>
      <c r="F3664" s="3" t="s">
        <v>12</v>
      </c>
      <c r="G36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64" s="3" t="s">
        <v>168</v>
      </c>
      <c r="I3664" s="3" t="s">
        <v>31</v>
      </c>
      <c r="J3664" s="3" t="s">
        <v>102</v>
      </c>
      <c r="K3664" s="3" t="s">
        <v>112</v>
      </c>
      <c r="L3664" s="3" t="s">
        <v>113</v>
      </c>
      <c r="M3664" s="4">
        <v>17.37</v>
      </c>
    </row>
    <row r="3665">
      <c r="A3665" s="2">
        <v>45888</v>
      </c>
      <c r="B36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5" s="3" t="str">
        <f>YEAR(KMART_DATA[[#This Row],[Date]])&amp;"-"&amp;TEXT(MONTH(KMART_DATA[[#This Row],[Date]]),"00")</f>
        <v>2025-08</v>
      </c>
      <c r="D3665" s="3" t="s">
        <v>28</v>
      </c>
      <c r="E3665" s="3" t="s">
        <v>238</v>
      </c>
      <c r="F3665" s="3" t="s">
        <v>13</v>
      </c>
      <c r="G36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665" s="3" t="s">
        <v>239</v>
      </c>
      <c r="I3665" s="3" t="s">
        <v>31</v>
      </c>
      <c r="J3665" s="3" t="s">
        <v>42</v>
      </c>
      <c r="K3665" s="3" t="s">
        <v>43</v>
      </c>
      <c r="L3665" s="3" t="s">
        <v>44</v>
      </c>
      <c r="M3665" s="4">
        <v>25.0</v>
      </c>
    </row>
    <row r="3666">
      <c r="A3666" s="2">
        <v>45888</v>
      </c>
      <c r="B36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6" s="3" t="str">
        <f>YEAR(KMART_DATA[[#This Row],[Date]])&amp;"-"&amp;TEXT(MONTH(KMART_DATA[[#This Row],[Date]]),"00")</f>
        <v>2025-08</v>
      </c>
      <c r="D3666" s="3" t="s">
        <v>28</v>
      </c>
      <c r="E3666" s="3" t="s">
        <v>152</v>
      </c>
      <c r="F3666" s="3" t="s">
        <v>11</v>
      </c>
      <c r="G36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66" s="3" t="s">
        <v>153</v>
      </c>
      <c r="I3666" s="3" t="s">
        <v>31</v>
      </c>
      <c r="J3666" s="3" t="s">
        <v>61</v>
      </c>
      <c r="K3666" s="3" t="s">
        <v>71</v>
      </c>
      <c r="L3666" s="3" t="s">
        <v>72</v>
      </c>
      <c r="M3666" s="4">
        <v>55.86</v>
      </c>
    </row>
    <row r="3667">
      <c r="A3667" s="2">
        <v>45888</v>
      </c>
      <c r="B36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7" s="3" t="str">
        <f>YEAR(KMART_DATA[[#This Row],[Date]])&amp;"-"&amp;TEXT(MONTH(KMART_DATA[[#This Row],[Date]]),"00")</f>
        <v>2025-08</v>
      </c>
      <c r="D3667" s="3" t="s">
        <v>45</v>
      </c>
      <c r="E3667" s="3" t="s">
        <v>125</v>
      </c>
      <c r="F3667" s="3" t="s">
        <v>10</v>
      </c>
      <c r="G36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67" s="3" t="s">
        <v>126</v>
      </c>
      <c r="I3667" s="3" t="s">
        <v>31</v>
      </c>
      <c r="J3667" s="3" t="s">
        <v>94</v>
      </c>
      <c r="K3667" s="3" t="s">
        <v>46</v>
      </c>
      <c r="L3667" s="3" t="s">
        <v>47</v>
      </c>
      <c r="M3667" s="4">
        <v>119.88</v>
      </c>
    </row>
    <row r="3668">
      <c r="A3668" s="2">
        <v>45888</v>
      </c>
      <c r="B36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8" s="3" t="str">
        <f>YEAR(KMART_DATA[[#This Row],[Date]])&amp;"-"&amp;TEXT(MONTH(KMART_DATA[[#This Row],[Date]]),"00")</f>
        <v>2025-08</v>
      </c>
      <c r="D3668" s="3" t="s">
        <v>28</v>
      </c>
      <c r="E3668" s="3" t="s">
        <v>79</v>
      </c>
      <c r="F3668" s="3" t="s">
        <v>9</v>
      </c>
      <c r="G36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68" s="3" t="s">
        <v>80</v>
      </c>
      <c r="I3668" s="3" t="s">
        <v>31</v>
      </c>
      <c r="J3668" s="3" t="s">
        <v>81</v>
      </c>
      <c r="K3668" s="3" t="s">
        <v>95</v>
      </c>
      <c r="L3668" s="3" t="s">
        <v>96</v>
      </c>
      <c r="M3668" s="4">
        <v>384.1</v>
      </c>
    </row>
    <row r="3669">
      <c r="A3669" s="2">
        <v>45888</v>
      </c>
      <c r="B36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69" s="3" t="str">
        <f>YEAR(KMART_DATA[[#This Row],[Date]])&amp;"-"&amp;TEXT(MONTH(KMART_DATA[[#This Row],[Date]]),"00")</f>
        <v>2025-08</v>
      </c>
      <c r="D3669" s="3" t="s">
        <v>28</v>
      </c>
      <c r="E3669" s="3" t="s">
        <v>238</v>
      </c>
      <c r="F3669" s="3" t="s">
        <v>13</v>
      </c>
      <c r="G36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669" s="3" t="s">
        <v>239</v>
      </c>
      <c r="I3669" s="3" t="s">
        <v>31</v>
      </c>
      <c r="J3669" s="3" t="s">
        <v>42</v>
      </c>
      <c r="K3669" s="3" t="s">
        <v>71</v>
      </c>
      <c r="L3669" s="3" t="s">
        <v>72</v>
      </c>
      <c r="M3669" s="4">
        <v>659.45</v>
      </c>
    </row>
    <row r="3670">
      <c r="A3670" s="2">
        <v>45888</v>
      </c>
      <c r="B36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0" s="3" t="str">
        <f>YEAR(KMART_DATA[[#This Row],[Date]])&amp;"-"&amp;TEXT(MONTH(KMART_DATA[[#This Row],[Date]]),"00")</f>
        <v>2025-08</v>
      </c>
      <c r="D3670" s="3" t="s">
        <v>45</v>
      </c>
      <c r="E3670" s="3" t="s">
        <v>262</v>
      </c>
      <c r="F3670" s="3" t="s">
        <v>10</v>
      </c>
      <c r="G36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70" s="3" t="s">
        <v>263</v>
      </c>
      <c r="I3670" s="3" t="s">
        <v>31</v>
      </c>
      <c r="J3670" s="3" t="s">
        <v>120</v>
      </c>
      <c r="K3670" s="3" t="s">
        <v>71</v>
      </c>
      <c r="L3670" s="3" t="s">
        <v>72</v>
      </c>
      <c r="M3670" s="4">
        <v>995.43</v>
      </c>
    </row>
    <row r="3671">
      <c r="A3671" s="2">
        <v>45889</v>
      </c>
      <c r="B36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1" s="3" t="str">
        <f>YEAR(KMART_DATA[[#This Row],[Date]])&amp;"-"&amp;TEXT(MONTH(KMART_DATA[[#This Row],[Date]]),"00")</f>
        <v>2025-08</v>
      </c>
      <c r="D3671" s="3" t="s">
        <v>28</v>
      </c>
      <c r="E3671" s="3" t="s">
        <v>183</v>
      </c>
      <c r="F3671" s="3" t="s">
        <v>9</v>
      </c>
      <c r="G36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71" s="3" t="s">
        <v>184</v>
      </c>
      <c r="I3671" s="3" t="s">
        <v>31</v>
      </c>
      <c r="J3671" s="3" t="s">
        <v>70</v>
      </c>
      <c r="K3671" s="3" t="s">
        <v>38</v>
      </c>
      <c r="L3671" s="3" t="s">
        <v>39</v>
      </c>
      <c r="M3671" s="4">
        <v>297.34</v>
      </c>
    </row>
    <row r="3672">
      <c r="A3672" s="2">
        <v>45889</v>
      </c>
      <c r="B36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2" s="3" t="str">
        <f>YEAR(KMART_DATA[[#This Row],[Date]])&amp;"-"&amp;TEXT(MONTH(KMART_DATA[[#This Row],[Date]]),"00")</f>
        <v>2025-08</v>
      </c>
      <c r="D3672" s="3" t="s">
        <v>28</v>
      </c>
      <c r="E3672" s="3" t="s">
        <v>110</v>
      </c>
      <c r="F3672" s="3" t="s">
        <v>9</v>
      </c>
      <c r="G36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72" s="3" t="s">
        <v>111</v>
      </c>
      <c r="I3672" s="3" t="s">
        <v>31</v>
      </c>
      <c r="J3672" s="3" t="s">
        <v>81</v>
      </c>
      <c r="K3672" s="3" t="s">
        <v>43</v>
      </c>
      <c r="L3672" s="3" t="s">
        <v>44</v>
      </c>
      <c r="M3672" s="4">
        <v>467.04</v>
      </c>
    </row>
    <row r="3673">
      <c r="A3673" s="2">
        <v>45889</v>
      </c>
      <c r="B36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3" s="3" t="str">
        <f>YEAR(KMART_DATA[[#This Row],[Date]])&amp;"-"&amp;TEXT(MONTH(KMART_DATA[[#This Row],[Date]]),"00")</f>
        <v>2025-08</v>
      </c>
      <c r="D3673" s="3" t="s">
        <v>28</v>
      </c>
      <c r="E3673" s="3" t="s">
        <v>209</v>
      </c>
      <c r="F3673" s="3" t="s">
        <v>9</v>
      </c>
      <c r="G36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73" s="3" t="s">
        <v>210</v>
      </c>
      <c r="I3673" s="3" t="s">
        <v>31</v>
      </c>
      <c r="J3673" s="3" t="s">
        <v>81</v>
      </c>
      <c r="K3673" s="3" t="s">
        <v>43</v>
      </c>
      <c r="L3673" s="3" t="s">
        <v>44</v>
      </c>
      <c r="M3673" s="4">
        <v>673.93</v>
      </c>
    </row>
    <row r="3674">
      <c r="A3674" s="2">
        <v>45889</v>
      </c>
      <c r="B36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4" s="3" t="str">
        <f>YEAR(KMART_DATA[[#This Row],[Date]])&amp;"-"&amp;TEXT(MONTH(KMART_DATA[[#This Row],[Date]]),"00")</f>
        <v>2025-08</v>
      </c>
      <c r="D3674" s="3" t="s">
        <v>28</v>
      </c>
      <c r="E3674" s="3" t="s">
        <v>90</v>
      </c>
      <c r="F3674" s="3" t="s">
        <v>10</v>
      </c>
      <c r="G36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74" s="3" t="s">
        <v>91</v>
      </c>
      <c r="I3674" s="3" t="s">
        <v>31</v>
      </c>
      <c r="J3674" s="3" t="s">
        <v>37</v>
      </c>
      <c r="K3674" s="3" t="s">
        <v>71</v>
      </c>
      <c r="L3674" s="3" t="s">
        <v>72</v>
      </c>
      <c r="M3674" s="4">
        <v>2709.6</v>
      </c>
    </row>
    <row r="3675">
      <c r="A3675" s="2">
        <v>45889</v>
      </c>
      <c r="B36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5" s="3" t="str">
        <f>YEAR(KMART_DATA[[#This Row],[Date]])&amp;"-"&amp;TEXT(MONTH(KMART_DATA[[#This Row],[Date]]),"00")</f>
        <v>2025-08</v>
      </c>
      <c r="D3675" s="3" t="s">
        <v>28</v>
      </c>
      <c r="E3675" s="3" t="s">
        <v>110</v>
      </c>
      <c r="F3675" s="3" t="s">
        <v>9</v>
      </c>
      <c r="G36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75" s="3" t="s">
        <v>111</v>
      </c>
      <c r="I3675" s="3" t="s">
        <v>31</v>
      </c>
      <c r="J3675" s="3" t="s">
        <v>81</v>
      </c>
      <c r="K3675" s="3" t="s">
        <v>46</v>
      </c>
      <c r="L3675" s="3" t="s">
        <v>47</v>
      </c>
      <c r="M3675" s="4">
        <v>6228.03</v>
      </c>
    </row>
    <row r="3676">
      <c r="A3676" s="2">
        <v>45890</v>
      </c>
      <c r="B36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6" s="3" t="str">
        <f>YEAR(KMART_DATA[[#This Row],[Date]])&amp;"-"&amp;TEXT(MONTH(KMART_DATA[[#This Row],[Date]]),"00")</f>
        <v>2025-08</v>
      </c>
      <c r="D3676" s="3" t="s">
        <v>28</v>
      </c>
      <c r="E3676" s="3" t="s">
        <v>48</v>
      </c>
      <c r="F3676" s="3" t="s">
        <v>12</v>
      </c>
      <c r="G36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76" s="3" t="s">
        <v>49</v>
      </c>
      <c r="I3676" s="3" t="s">
        <v>31</v>
      </c>
      <c r="J3676" s="3" t="s">
        <v>50</v>
      </c>
      <c r="K3676" s="3" t="s">
        <v>112</v>
      </c>
      <c r="L3676" s="3" t="s">
        <v>113</v>
      </c>
      <c r="M3676" s="4">
        <v>5.53</v>
      </c>
    </row>
    <row r="3677">
      <c r="A3677" s="2">
        <v>45890</v>
      </c>
      <c r="B36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7" s="3" t="str">
        <f>YEAR(KMART_DATA[[#This Row],[Date]])&amp;"-"&amp;TEXT(MONTH(KMART_DATA[[#This Row],[Date]]),"00")</f>
        <v>2025-08</v>
      </c>
      <c r="D3677" s="3" t="s">
        <v>45</v>
      </c>
      <c r="E3677" s="3" t="s">
        <v>185</v>
      </c>
      <c r="F3677" s="3" t="s">
        <v>12</v>
      </c>
      <c r="G36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77" s="3" t="s">
        <v>186</v>
      </c>
      <c r="I3677" s="3" t="s">
        <v>31</v>
      </c>
      <c r="J3677" s="3" t="s">
        <v>162</v>
      </c>
      <c r="K3677" s="3" t="s">
        <v>46</v>
      </c>
      <c r="L3677" s="3" t="s">
        <v>47</v>
      </c>
      <c r="M3677" s="4">
        <v>102.62</v>
      </c>
    </row>
    <row r="3678">
      <c r="A3678" s="2">
        <v>45890</v>
      </c>
      <c r="B36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8" s="3" t="str">
        <f>YEAR(KMART_DATA[[#This Row],[Date]])&amp;"-"&amp;TEXT(MONTH(KMART_DATA[[#This Row],[Date]]),"00")</f>
        <v>2025-08</v>
      </c>
      <c r="D3678" s="3" t="s">
        <v>28</v>
      </c>
      <c r="E3678" s="3" t="s">
        <v>59</v>
      </c>
      <c r="F3678" s="3" t="s">
        <v>11</v>
      </c>
      <c r="G36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78" s="3" t="s">
        <v>60</v>
      </c>
      <c r="I3678" s="3" t="s">
        <v>31</v>
      </c>
      <c r="J3678" s="3" t="s">
        <v>61</v>
      </c>
      <c r="K3678" s="3" t="s">
        <v>38</v>
      </c>
      <c r="L3678" s="3" t="s">
        <v>39</v>
      </c>
      <c r="M3678" s="4">
        <v>127.25</v>
      </c>
    </row>
    <row r="3679">
      <c r="A3679" s="2">
        <v>45890</v>
      </c>
      <c r="B36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79" s="3" t="str">
        <f>YEAR(KMART_DATA[[#This Row],[Date]])&amp;"-"&amp;TEXT(MONTH(KMART_DATA[[#This Row],[Date]]),"00")</f>
        <v>2025-08</v>
      </c>
      <c r="D3679" s="3" t="s">
        <v>28</v>
      </c>
      <c r="E3679" s="3" t="s">
        <v>256</v>
      </c>
      <c r="F3679" s="3" t="s">
        <v>9</v>
      </c>
      <c r="G36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79" s="3" t="s">
        <v>257</v>
      </c>
      <c r="I3679" s="3" t="s">
        <v>31</v>
      </c>
      <c r="J3679" s="3" t="s">
        <v>70</v>
      </c>
      <c r="K3679" s="3" t="s">
        <v>38</v>
      </c>
      <c r="L3679" s="3" t="s">
        <v>39</v>
      </c>
      <c r="M3679" s="4">
        <v>192.65</v>
      </c>
    </row>
    <row r="3680">
      <c r="A3680" s="2">
        <v>45890</v>
      </c>
      <c r="B36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0" s="3" t="str">
        <f>YEAR(KMART_DATA[[#This Row],[Date]])&amp;"-"&amp;TEXT(MONTH(KMART_DATA[[#This Row],[Date]]),"00")</f>
        <v>2025-08</v>
      </c>
      <c r="D3680" s="3" t="s">
        <v>45</v>
      </c>
      <c r="E3680" s="3" t="s">
        <v>116</v>
      </c>
      <c r="F3680" s="3" t="s">
        <v>9</v>
      </c>
      <c r="G36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80" s="3" t="s">
        <v>117</v>
      </c>
      <c r="I3680" s="3" t="s">
        <v>31</v>
      </c>
      <c r="J3680" s="3" t="s">
        <v>70</v>
      </c>
      <c r="K3680" s="3" t="s">
        <v>71</v>
      </c>
      <c r="L3680" s="3" t="s">
        <v>72</v>
      </c>
      <c r="M3680" s="4">
        <v>696.71</v>
      </c>
    </row>
    <row r="3681">
      <c r="A3681" s="2">
        <v>45890</v>
      </c>
      <c r="B36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1" s="3" t="str">
        <f>YEAR(KMART_DATA[[#This Row],[Date]])&amp;"-"&amp;TEXT(MONTH(KMART_DATA[[#This Row],[Date]]),"00")</f>
        <v>2025-08</v>
      </c>
      <c r="D3681" s="3" t="s">
        <v>28</v>
      </c>
      <c r="E3681" s="3" t="s">
        <v>201</v>
      </c>
      <c r="F3681" s="3" t="s">
        <v>10</v>
      </c>
      <c r="G36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81" s="3" t="s">
        <v>202</v>
      </c>
      <c r="I3681" s="3" t="s">
        <v>31</v>
      </c>
      <c r="J3681" s="3" t="s">
        <v>89</v>
      </c>
      <c r="K3681" s="3" t="s">
        <v>71</v>
      </c>
      <c r="L3681" s="3" t="s">
        <v>72</v>
      </c>
      <c r="M3681" s="4">
        <v>858.84</v>
      </c>
    </row>
    <row r="3682">
      <c r="A3682" s="2">
        <v>45890</v>
      </c>
      <c r="B36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2" s="3" t="str">
        <f>YEAR(KMART_DATA[[#This Row],[Date]])&amp;"-"&amp;TEXT(MONTH(KMART_DATA[[#This Row],[Date]]),"00")</f>
        <v>2025-08</v>
      </c>
      <c r="D3682" s="3" t="s">
        <v>28</v>
      </c>
      <c r="E3682" s="3" t="s">
        <v>154</v>
      </c>
      <c r="F3682" s="3" t="s">
        <v>11</v>
      </c>
      <c r="G36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82" s="3" t="s">
        <v>155</v>
      </c>
      <c r="I3682" s="3" t="s">
        <v>31</v>
      </c>
      <c r="J3682" s="3" t="s">
        <v>84</v>
      </c>
      <c r="K3682" s="3" t="s">
        <v>43</v>
      </c>
      <c r="L3682" s="3" t="s">
        <v>44</v>
      </c>
      <c r="M3682" s="4">
        <v>869.43</v>
      </c>
    </row>
    <row r="3683">
      <c r="A3683" s="2">
        <v>45890</v>
      </c>
      <c r="B36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3" s="3" t="str">
        <f>YEAR(KMART_DATA[[#This Row],[Date]])&amp;"-"&amp;TEXT(MONTH(KMART_DATA[[#This Row],[Date]]),"00")</f>
        <v>2025-08</v>
      </c>
      <c r="D3683" s="3" t="s">
        <v>28</v>
      </c>
      <c r="E3683" s="3" t="s">
        <v>219</v>
      </c>
      <c r="F3683" s="3" t="s">
        <v>11</v>
      </c>
      <c r="G36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83" s="3" t="s">
        <v>220</v>
      </c>
      <c r="I3683" s="3" t="s">
        <v>31</v>
      </c>
      <c r="J3683" s="3" t="s">
        <v>56</v>
      </c>
      <c r="K3683" s="3" t="s">
        <v>71</v>
      </c>
      <c r="L3683" s="3" t="s">
        <v>72</v>
      </c>
      <c r="M3683" s="4">
        <v>1301.8</v>
      </c>
    </row>
    <row r="3684">
      <c r="A3684" s="2">
        <v>45890</v>
      </c>
      <c r="B36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4" s="3" t="str">
        <f>YEAR(KMART_DATA[[#This Row],[Date]])&amp;"-"&amp;TEXT(MONTH(KMART_DATA[[#This Row],[Date]]),"00")</f>
        <v>2025-08</v>
      </c>
      <c r="D3684" s="3" t="s">
        <v>28</v>
      </c>
      <c r="E3684" s="3" t="s">
        <v>211</v>
      </c>
      <c r="F3684" s="3" t="s">
        <v>9</v>
      </c>
      <c r="G36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84" s="3" t="s">
        <v>212</v>
      </c>
      <c r="I3684" s="3" t="s">
        <v>31</v>
      </c>
      <c r="J3684" s="3" t="s">
        <v>75</v>
      </c>
      <c r="K3684" s="3" t="s">
        <v>46</v>
      </c>
      <c r="L3684" s="3" t="s">
        <v>47</v>
      </c>
      <c r="M3684" s="4">
        <v>1791.45</v>
      </c>
    </row>
    <row r="3685">
      <c r="A3685" s="2">
        <v>45891</v>
      </c>
      <c r="B36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5" s="3" t="str">
        <f>YEAR(KMART_DATA[[#This Row],[Date]])&amp;"-"&amp;TEXT(MONTH(KMART_DATA[[#This Row],[Date]]),"00")</f>
        <v>2025-08</v>
      </c>
      <c r="D3685" s="3" t="s">
        <v>28</v>
      </c>
      <c r="E3685" s="3" t="s">
        <v>35</v>
      </c>
      <c r="F3685" s="3" t="s">
        <v>10</v>
      </c>
      <c r="G36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85" s="3" t="s">
        <v>36</v>
      </c>
      <c r="I3685" s="3" t="s">
        <v>31</v>
      </c>
      <c r="J3685" s="3" t="s">
        <v>37</v>
      </c>
      <c r="K3685" s="3" t="s">
        <v>95</v>
      </c>
      <c r="L3685" s="3" t="s">
        <v>96</v>
      </c>
      <c r="M3685" s="4">
        <v>1.5</v>
      </c>
    </row>
    <row r="3686">
      <c r="A3686" s="2">
        <v>45891</v>
      </c>
      <c r="B36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6" s="3" t="str">
        <f>YEAR(KMART_DATA[[#This Row],[Date]])&amp;"-"&amp;TEXT(MONTH(KMART_DATA[[#This Row],[Date]]),"00")</f>
        <v>2025-08</v>
      </c>
      <c r="D3686" s="3" t="s">
        <v>28</v>
      </c>
      <c r="E3686" s="3" t="s">
        <v>203</v>
      </c>
      <c r="F3686" s="3" t="s">
        <v>10</v>
      </c>
      <c r="G36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86" s="3" t="s">
        <v>204</v>
      </c>
      <c r="I3686" s="3" t="s">
        <v>31</v>
      </c>
      <c r="J3686" s="3" t="s">
        <v>89</v>
      </c>
      <c r="K3686" s="3" t="s">
        <v>57</v>
      </c>
      <c r="L3686" s="3" t="s">
        <v>58</v>
      </c>
      <c r="M3686" s="4">
        <v>7.99</v>
      </c>
    </row>
    <row r="3687">
      <c r="A3687" s="2">
        <v>45891</v>
      </c>
      <c r="B36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7" s="3" t="str">
        <f>YEAR(KMART_DATA[[#This Row],[Date]])&amp;"-"&amp;TEXT(MONTH(KMART_DATA[[#This Row],[Date]]),"00")</f>
        <v>2025-08</v>
      </c>
      <c r="D3687" s="3" t="s">
        <v>28</v>
      </c>
      <c r="E3687" s="3" t="s">
        <v>252</v>
      </c>
      <c r="F3687" s="3" t="s">
        <v>10</v>
      </c>
      <c r="G36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87" s="3" t="s">
        <v>253</v>
      </c>
      <c r="I3687" s="3" t="s">
        <v>31</v>
      </c>
      <c r="J3687" s="3" t="s">
        <v>94</v>
      </c>
      <c r="K3687" s="3" t="s">
        <v>112</v>
      </c>
      <c r="L3687" s="3" t="s">
        <v>113</v>
      </c>
      <c r="M3687" s="4">
        <v>116.8</v>
      </c>
    </row>
    <row r="3688">
      <c r="A3688" s="2">
        <v>45891</v>
      </c>
      <c r="B36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8" s="3" t="str">
        <f>YEAR(KMART_DATA[[#This Row],[Date]])&amp;"-"&amp;TEXT(MONTH(KMART_DATA[[#This Row],[Date]]),"00")</f>
        <v>2025-08</v>
      </c>
      <c r="D3688" s="3" t="s">
        <v>28</v>
      </c>
      <c r="E3688" s="3" t="s">
        <v>127</v>
      </c>
      <c r="F3688" s="3" t="s">
        <v>11</v>
      </c>
      <c r="G36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88" s="3" t="s">
        <v>128</v>
      </c>
      <c r="I3688" s="3" t="s">
        <v>31</v>
      </c>
      <c r="J3688" s="3" t="s">
        <v>78</v>
      </c>
      <c r="K3688" s="3" t="s">
        <v>43</v>
      </c>
      <c r="L3688" s="3" t="s">
        <v>44</v>
      </c>
      <c r="M3688" s="4">
        <v>123.16</v>
      </c>
    </row>
    <row r="3689">
      <c r="A3689" s="2">
        <v>45891</v>
      </c>
      <c r="B36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89" s="3" t="str">
        <f>YEAR(KMART_DATA[[#This Row],[Date]])&amp;"-"&amp;TEXT(MONTH(KMART_DATA[[#This Row],[Date]]),"00")</f>
        <v>2025-08</v>
      </c>
      <c r="D3689" s="3" t="s">
        <v>28</v>
      </c>
      <c r="E3689" s="3" t="s">
        <v>209</v>
      </c>
      <c r="F3689" s="3" t="s">
        <v>9</v>
      </c>
      <c r="G36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89" s="3" t="s">
        <v>210</v>
      </c>
      <c r="I3689" s="3" t="s">
        <v>31</v>
      </c>
      <c r="J3689" s="3" t="s">
        <v>81</v>
      </c>
      <c r="K3689" s="3" t="s">
        <v>38</v>
      </c>
      <c r="L3689" s="3" t="s">
        <v>39</v>
      </c>
      <c r="M3689" s="4">
        <v>413.26</v>
      </c>
    </row>
    <row r="3690">
      <c r="A3690" s="2">
        <v>45891</v>
      </c>
      <c r="B36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0" s="3" t="str">
        <f>YEAR(KMART_DATA[[#This Row],[Date]])&amp;"-"&amp;TEXT(MONTH(KMART_DATA[[#This Row],[Date]]),"00")</f>
        <v>2025-08</v>
      </c>
      <c r="D3690" s="3" t="s">
        <v>28</v>
      </c>
      <c r="E3690" s="3" t="s">
        <v>125</v>
      </c>
      <c r="F3690" s="3" t="s">
        <v>10</v>
      </c>
      <c r="G36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90" s="3" t="s">
        <v>126</v>
      </c>
      <c r="I3690" s="3" t="s">
        <v>31</v>
      </c>
      <c r="J3690" s="3" t="s">
        <v>94</v>
      </c>
      <c r="K3690" s="3" t="s">
        <v>57</v>
      </c>
      <c r="L3690" s="3" t="s">
        <v>58</v>
      </c>
      <c r="M3690" s="4">
        <v>1178.76</v>
      </c>
    </row>
    <row r="3691">
      <c r="A3691" s="2">
        <v>45891</v>
      </c>
      <c r="B36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1" s="3" t="str">
        <f>YEAR(KMART_DATA[[#This Row],[Date]])&amp;"-"&amp;TEXT(MONTH(KMART_DATA[[#This Row],[Date]]),"00")</f>
        <v>2025-08</v>
      </c>
      <c r="D3691" s="3" t="s">
        <v>45</v>
      </c>
      <c r="E3691" s="3" t="s">
        <v>90</v>
      </c>
      <c r="F3691" s="3" t="s">
        <v>10</v>
      </c>
      <c r="G36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91" s="3" t="s">
        <v>91</v>
      </c>
      <c r="I3691" s="3" t="s">
        <v>31</v>
      </c>
      <c r="J3691" s="3" t="s">
        <v>37</v>
      </c>
      <c r="K3691" s="3" t="s">
        <v>43</v>
      </c>
      <c r="L3691" s="3" t="s">
        <v>44</v>
      </c>
      <c r="M3691" s="4">
        <v>1189.83</v>
      </c>
    </row>
    <row r="3692">
      <c r="A3692" s="2">
        <v>45892</v>
      </c>
      <c r="B36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2" s="3" t="str">
        <f>YEAR(KMART_DATA[[#This Row],[Date]])&amp;"-"&amp;TEXT(MONTH(KMART_DATA[[#This Row],[Date]]),"00")</f>
        <v>2025-08</v>
      </c>
      <c r="D3692" s="3" t="s">
        <v>28</v>
      </c>
      <c r="E3692" s="3" t="s">
        <v>118</v>
      </c>
      <c r="F3692" s="3" t="s">
        <v>10</v>
      </c>
      <c r="G36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92" s="3" t="s">
        <v>119</v>
      </c>
      <c r="I3692" s="3" t="s">
        <v>31</v>
      </c>
      <c r="J3692" s="3" t="s">
        <v>120</v>
      </c>
      <c r="K3692" s="3" t="s">
        <v>33</v>
      </c>
      <c r="L3692" s="3" t="s">
        <v>34</v>
      </c>
      <c r="M3692" s="4">
        <v>31.93</v>
      </c>
    </row>
    <row r="3693">
      <c r="A3693" s="2">
        <v>45892</v>
      </c>
      <c r="B36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3" s="3" t="str">
        <f>YEAR(KMART_DATA[[#This Row],[Date]])&amp;"-"&amp;TEXT(MONTH(KMART_DATA[[#This Row],[Date]]),"00")</f>
        <v>2025-08</v>
      </c>
      <c r="D3693" s="3" t="s">
        <v>45</v>
      </c>
      <c r="E3693" s="3" t="s">
        <v>137</v>
      </c>
      <c r="F3693" s="3" t="s">
        <v>10</v>
      </c>
      <c r="G36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693" s="3" t="s">
        <v>138</v>
      </c>
      <c r="I3693" s="3" t="s">
        <v>31</v>
      </c>
      <c r="J3693" s="3" t="s">
        <v>89</v>
      </c>
      <c r="K3693" s="3" t="s">
        <v>112</v>
      </c>
      <c r="L3693" s="3" t="s">
        <v>113</v>
      </c>
      <c r="M3693" s="4">
        <v>80.95</v>
      </c>
    </row>
    <row r="3694">
      <c r="A3694" s="2">
        <v>45892</v>
      </c>
      <c r="B36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4" s="3" t="str">
        <f>YEAR(KMART_DATA[[#This Row],[Date]])&amp;"-"&amp;TEXT(MONTH(KMART_DATA[[#This Row],[Date]]),"00")</f>
        <v>2025-08</v>
      </c>
      <c r="D3694" s="3" t="s">
        <v>45</v>
      </c>
      <c r="E3694" s="3" t="s">
        <v>82</v>
      </c>
      <c r="F3694" s="3" t="s">
        <v>11</v>
      </c>
      <c r="G36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94" s="3" t="s">
        <v>83</v>
      </c>
      <c r="I3694" s="3" t="s">
        <v>31</v>
      </c>
      <c r="J3694" s="3" t="s">
        <v>84</v>
      </c>
      <c r="K3694" s="3" t="s">
        <v>57</v>
      </c>
      <c r="L3694" s="3" t="s">
        <v>58</v>
      </c>
      <c r="M3694" s="4">
        <v>101.88</v>
      </c>
    </row>
    <row r="3695">
      <c r="A3695" s="2">
        <v>45892</v>
      </c>
      <c r="B36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5" s="3" t="str">
        <f>YEAR(KMART_DATA[[#This Row],[Date]])&amp;"-"&amp;TEXT(MONTH(KMART_DATA[[#This Row],[Date]]),"00")</f>
        <v>2025-08</v>
      </c>
      <c r="D3695" s="3" t="s">
        <v>28</v>
      </c>
      <c r="E3695" s="3" t="s">
        <v>167</v>
      </c>
      <c r="F3695" s="3" t="s">
        <v>12</v>
      </c>
      <c r="G36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695" s="3" t="s">
        <v>168</v>
      </c>
      <c r="I3695" s="3" t="s">
        <v>31</v>
      </c>
      <c r="J3695" s="3" t="s">
        <v>102</v>
      </c>
      <c r="K3695" s="3" t="s">
        <v>38</v>
      </c>
      <c r="L3695" s="3" t="s">
        <v>39</v>
      </c>
      <c r="M3695" s="4">
        <v>143.79</v>
      </c>
    </row>
    <row r="3696">
      <c r="A3696" s="2">
        <v>45892</v>
      </c>
      <c r="B36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6" s="3" t="str">
        <f>YEAR(KMART_DATA[[#This Row],[Date]])&amp;"-"&amp;TEXT(MONTH(KMART_DATA[[#This Row],[Date]]),"00")</f>
        <v>2025-08</v>
      </c>
      <c r="D3696" s="3" t="s">
        <v>45</v>
      </c>
      <c r="E3696" s="3" t="s">
        <v>108</v>
      </c>
      <c r="F3696" s="3" t="s">
        <v>9</v>
      </c>
      <c r="G36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96" s="3" t="s">
        <v>109</v>
      </c>
      <c r="I3696" s="3" t="s">
        <v>31</v>
      </c>
      <c r="J3696" s="3" t="s">
        <v>75</v>
      </c>
      <c r="K3696" s="3" t="s">
        <v>95</v>
      </c>
      <c r="L3696" s="3" t="s">
        <v>96</v>
      </c>
      <c r="M3696" s="4">
        <v>844.36</v>
      </c>
    </row>
    <row r="3697">
      <c r="A3697" s="2">
        <v>45892</v>
      </c>
      <c r="B36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7" s="3" t="str">
        <f>YEAR(KMART_DATA[[#This Row],[Date]])&amp;"-"&amp;TEXT(MONTH(KMART_DATA[[#This Row],[Date]]),"00")</f>
        <v>2025-08</v>
      </c>
      <c r="D3697" s="3" t="s">
        <v>28</v>
      </c>
      <c r="E3697" s="3" t="s">
        <v>163</v>
      </c>
      <c r="F3697" s="3" t="s">
        <v>9</v>
      </c>
      <c r="G36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697" s="3" t="s">
        <v>164</v>
      </c>
      <c r="I3697" s="3" t="s">
        <v>31</v>
      </c>
      <c r="J3697" s="3" t="s">
        <v>81</v>
      </c>
      <c r="K3697" s="3" t="s">
        <v>46</v>
      </c>
      <c r="L3697" s="3" t="s">
        <v>47</v>
      </c>
      <c r="M3697" s="4">
        <v>5438.45</v>
      </c>
    </row>
    <row r="3698">
      <c r="A3698" s="2">
        <v>45893</v>
      </c>
      <c r="B36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8" s="3" t="str">
        <f>YEAR(KMART_DATA[[#This Row],[Date]])&amp;"-"&amp;TEXT(MONTH(KMART_DATA[[#This Row],[Date]]),"00")</f>
        <v>2025-08</v>
      </c>
      <c r="D3698" s="3" t="s">
        <v>28</v>
      </c>
      <c r="E3698" s="3" t="s">
        <v>150</v>
      </c>
      <c r="F3698" s="3" t="s">
        <v>15</v>
      </c>
      <c r="G36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698" s="3" t="s">
        <v>151</v>
      </c>
      <c r="I3698" s="3" t="s">
        <v>31</v>
      </c>
      <c r="J3698" s="3" t="s">
        <v>53</v>
      </c>
      <c r="K3698" s="3" t="s">
        <v>33</v>
      </c>
      <c r="L3698" s="3" t="s">
        <v>34</v>
      </c>
      <c r="M3698" s="4">
        <v>9.99</v>
      </c>
    </row>
    <row r="3699">
      <c r="A3699" s="2">
        <v>45893</v>
      </c>
      <c r="B36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699" s="3" t="str">
        <f>YEAR(KMART_DATA[[#This Row],[Date]])&amp;"-"&amp;TEXT(MONTH(KMART_DATA[[#This Row],[Date]]),"00")</f>
        <v>2025-08</v>
      </c>
      <c r="D3699" s="3" t="s">
        <v>28</v>
      </c>
      <c r="E3699" s="3" t="s">
        <v>64</v>
      </c>
      <c r="F3699" s="3" t="s">
        <v>11</v>
      </c>
      <c r="G36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699" s="3" t="s">
        <v>65</v>
      </c>
      <c r="I3699" s="3" t="s">
        <v>31</v>
      </c>
      <c r="J3699" s="3" t="s">
        <v>61</v>
      </c>
      <c r="K3699" s="3" t="s">
        <v>112</v>
      </c>
      <c r="L3699" s="3" t="s">
        <v>113</v>
      </c>
      <c r="M3699" s="4">
        <v>47.88</v>
      </c>
    </row>
    <row r="3700">
      <c r="A3700" s="2">
        <v>45893</v>
      </c>
      <c r="B37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0" s="3" t="str">
        <f>YEAR(KMART_DATA[[#This Row],[Date]])&amp;"-"&amp;TEXT(MONTH(KMART_DATA[[#This Row],[Date]]),"00")</f>
        <v>2025-08</v>
      </c>
      <c r="D3700" s="3" t="s">
        <v>45</v>
      </c>
      <c r="E3700" s="3" t="s">
        <v>163</v>
      </c>
      <c r="F3700" s="3" t="s">
        <v>9</v>
      </c>
      <c r="G37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00" s="3" t="s">
        <v>164</v>
      </c>
      <c r="I3700" s="3" t="s">
        <v>31</v>
      </c>
      <c r="J3700" s="3" t="s">
        <v>81</v>
      </c>
      <c r="K3700" s="3" t="s">
        <v>46</v>
      </c>
      <c r="L3700" s="3" t="s">
        <v>47</v>
      </c>
      <c r="M3700" s="4">
        <v>113.81</v>
      </c>
    </row>
    <row r="3701">
      <c r="A3701" s="2">
        <v>45893</v>
      </c>
      <c r="B37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1" s="3" t="str">
        <f>YEAR(KMART_DATA[[#This Row],[Date]])&amp;"-"&amp;TEXT(MONTH(KMART_DATA[[#This Row],[Date]]),"00")</f>
        <v>2025-08</v>
      </c>
      <c r="D3701" s="3" t="s">
        <v>28</v>
      </c>
      <c r="E3701" s="3" t="s">
        <v>90</v>
      </c>
      <c r="F3701" s="3" t="s">
        <v>10</v>
      </c>
      <c r="G37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01" s="3" t="s">
        <v>91</v>
      </c>
      <c r="I3701" s="3" t="s">
        <v>31</v>
      </c>
      <c r="J3701" s="3" t="s">
        <v>37</v>
      </c>
      <c r="K3701" s="3" t="s">
        <v>112</v>
      </c>
      <c r="L3701" s="3" t="s">
        <v>113</v>
      </c>
      <c r="M3701" s="4">
        <v>257.24</v>
      </c>
    </row>
    <row r="3702">
      <c r="A3702" s="2">
        <v>45893</v>
      </c>
      <c r="B37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2" s="3" t="str">
        <f>YEAR(KMART_DATA[[#This Row],[Date]])&amp;"-"&amp;TEXT(MONTH(KMART_DATA[[#This Row],[Date]]),"00")</f>
        <v>2025-08</v>
      </c>
      <c r="D3702" s="3" t="s">
        <v>28</v>
      </c>
      <c r="E3702" s="3" t="s">
        <v>118</v>
      </c>
      <c r="F3702" s="3" t="s">
        <v>10</v>
      </c>
      <c r="G37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02" s="3" t="s">
        <v>119</v>
      </c>
      <c r="I3702" s="3" t="s">
        <v>31</v>
      </c>
      <c r="J3702" s="3" t="s">
        <v>120</v>
      </c>
      <c r="K3702" s="3" t="s">
        <v>71</v>
      </c>
      <c r="L3702" s="3" t="s">
        <v>72</v>
      </c>
      <c r="M3702" s="4">
        <v>1828.15</v>
      </c>
    </row>
    <row r="3703">
      <c r="A3703" s="2">
        <v>45893</v>
      </c>
      <c r="B37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3" s="3" t="str">
        <f>YEAR(KMART_DATA[[#This Row],[Date]])&amp;"-"&amp;TEXT(MONTH(KMART_DATA[[#This Row],[Date]]),"00")</f>
        <v>2025-08</v>
      </c>
      <c r="D3703" s="3" t="s">
        <v>45</v>
      </c>
      <c r="E3703" s="3" t="s">
        <v>179</v>
      </c>
      <c r="F3703" s="3" t="s">
        <v>9</v>
      </c>
      <c r="G37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03" s="3" t="s">
        <v>180</v>
      </c>
      <c r="I3703" s="3" t="s">
        <v>31</v>
      </c>
      <c r="J3703" s="3" t="s">
        <v>99</v>
      </c>
      <c r="K3703" s="3" t="s">
        <v>33</v>
      </c>
      <c r="L3703" s="3" t="s">
        <v>34</v>
      </c>
      <c r="M3703" s="4">
        <v>2017.0</v>
      </c>
    </row>
    <row r="3704">
      <c r="A3704" s="2">
        <v>45894</v>
      </c>
      <c r="B37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4" s="3" t="str">
        <f>YEAR(KMART_DATA[[#This Row],[Date]])&amp;"-"&amp;TEXT(MONTH(KMART_DATA[[#This Row],[Date]]),"00")</f>
        <v>2025-08</v>
      </c>
      <c r="D3704" s="3" t="s">
        <v>28</v>
      </c>
      <c r="E3704" s="3" t="s">
        <v>116</v>
      </c>
      <c r="F3704" s="3" t="s">
        <v>9</v>
      </c>
      <c r="G37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04" s="3" t="s">
        <v>117</v>
      </c>
      <c r="I3704" s="3" t="s">
        <v>31</v>
      </c>
      <c r="J3704" s="3" t="s">
        <v>70</v>
      </c>
      <c r="K3704" s="3" t="s">
        <v>38</v>
      </c>
      <c r="L3704" s="3" t="s">
        <v>39</v>
      </c>
      <c r="M3704" s="4">
        <v>27.38</v>
      </c>
    </row>
    <row r="3705">
      <c r="A3705" s="2">
        <v>45894</v>
      </c>
      <c r="B37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5" s="3" t="str">
        <f>YEAR(KMART_DATA[[#This Row],[Date]])&amp;"-"&amp;TEXT(MONTH(KMART_DATA[[#This Row],[Date]]),"00")</f>
        <v>2025-08</v>
      </c>
      <c r="D3705" s="3" t="s">
        <v>45</v>
      </c>
      <c r="E3705" s="3" t="s">
        <v>211</v>
      </c>
      <c r="F3705" s="3" t="s">
        <v>9</v>
      </c>
      <c r="G37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05" s="3" t="s">
        <v>212</v>
      </c>
      <c r="I3705" s="3" t="s">
        <v>31</v>
      </c>
      <c r="J3705" s="3" t="s">
        <v>75</v>
      </c>
      <c r="K3705" s="3" t="s">
        <v>33</v>
      </c>
      <c r="L3705" s="3" t="s">
        <v>34</v>
      </c>
      <c r="M3705" s="4">
        <v>71.88</v>
      </c>
    </row>
    <row r="3706">
      <c r="A3706" s="2">
        <v>45894</v>
      </c>
      <c r="B37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6" s="3" t="str">
        <f>YEAR(KMART_DATA[[#This Row],[Date]])&amp;"-"&amp;TEXT(MONTH(KMART_DATA[[#This Row],[Date]]),"00")</f>
        <v>2025-08</v>
      </c>
      <c r="D3706" s="3" t="s">
        <v>28</v>
      </c>
      <c r="E3706" s="3" t="s">
        <v>154</v>
      </c>
      <c r="F3706" s="3" t="s">
        <v>11</v>
      </c>
      <c r="G37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06" s="3" t="s">
        <v>155</v>
      </c>
      <c r="I3706" s="3" t="s">
        <v>31</v>
      </c>
      <c r="J3706" s="3" t="s">
        <v>84</v>
      </c>
      <c r="K3706" s="3" t="s">
        <v>33</v>
      </c>
      <c r="L3706" s="3" t="s">
        <v>34</v>
      </c>
      <c r="M3706" s="4">
        <v>248.37</v>
      </c>
    </row>
    <row r="3707">
      <c r="A3707" s="2">
        <v>45894</v>
      </c>
      <c r="B37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7" s="3" t="str">
        <f>YEAR(KMART_DATA[[#This Row],[Date]])&amp;"-"&amp;TEXT(MONTH(KMART_DATA[[#This Row],[Date]]),"00")</f>
        <v>2025-08</v>
      </c>
      <c r="D3707" s="3" t="s">
        <v>28</v>
      </c>
      <c r="E3707" s="3" t="s">
        <v>87</v>
      </c>
      <c r="F3707" s="3" t="s">
        <v>10</v>
      </c>
      <c r="G37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07" s="3" t="s">
        <v>88</v>
      </c>
      <c r="I3707" s="3" t="s">
        <v>31</v>
      </c>
      <c r="J3707" s="3" t="s">
        <v>89</v>
      </c>
      <c r="K3707" s="3" t="s">
        <v>33</v>
      </c>
      <c r="L3707" s="3" t="s">
        <v>34</v>
      </c>
      <c r="M3707" s="4">
        <v>465.92</v>
      </c>
    </row>
    <row r="3708">
      <c r="A3708" s="2">
        <v>45894</v>
      </c>
      <c r="B37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8" s="3" t="str">
        <f>YEAR(KMART_DATA[[#This Row],[Date]])&amp;"-"&amp;TEXT(MONTH(KMART_DATA[[#This Row],[Date]]),"00")</f>
        <v>2025-08</v>
      </c>
      <c r="D3708" s="3" t="s">
        <v>45</v>
      </c>
      <c r="E3708" s="3" t="s">
        <v>62</v>
      </c>
      <c r="F3708" s="3" t="s">
        <v>12</v>
      </c>
      <c r="G37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08" s="3" t="s">
        <v>63</v>
      </c>
      <c r="I3708" s="3" t="s">
        <v>31</v>
      </c>
      <c r="J3708" s="3" t="s">
        <v>50</v>
      </c>
      <c r="K3708" s="3" t="s">
        <v>43</v>
      </c>
      <c r="L3708" s="3" t="s">
        <v>44</v>
      </c>
      <c r="M3708" s="4">
        <v>648.24</v>
      </c>
    </row>
    <row r="3709">
      <c r="A3709" s="2">
        <v>45894</v>
      </c>
      <c r="B37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09" s="3" t="str">
        <f>YEAR(KMART_DATA[[#This Row],[Date]])&amp;"-"&amp;TEXT(MONTH(KMART_DATA[[#This Row],[Date]]),"00")</f>
        <v>2025-08</v>
      </c>
      <c r="D3709" s="3" t="s">
        <v>28</v>
      </c>
      <c r="E3709" s="3" t="s">
        <v>191</v>
      </c>
      <c r="F3709" s="3" t="s">
        <v>10</v>
      </c>
      <c r="G37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09" s="3" t="s">
        <v>192</v>
      </c>
      <c r="I3709" s="3" t="s">
        <v>31</v>
      </c>
      <c r="J3709" s="3" t="s">
        <v>120</v>
      </c>
      <c r="K3709" s="3" t="s">
        <v>46</v>
      </c>
      <c r="L3709" s="3" t="s">
        <v>47</v>
      </c>
      <c r="M3709" s="4">
        <v>1101.09</v>
      </c>
    </row>
    <row r="3710">
      <c r="A3710" s="2">
        <v>45895</v>
      </c>
      <c r="B37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0" s="3" t="str">
        <f>YEAR(KMART_DATA[[#This Row],[Date]])&amp;"-"&amp;TEXT(MONTH(KMART_DATA[[#This Row],[Date]]),"00")</f>
        <v>2025-08</v>
      </c>
      <c r="D3710" s="3" t="s">
        <v>28</v>
      </c>
      <c r="E3710" s="3" t="s">
        <v>201</v>
      </c>
      <c r="F3710" s="3" t="s">
        <v>10</v>
      </c>
      <c r="G37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10" s="3" t="s">
        <v>202</v>
      </c>
      <c r="I3710" s="3" t="s">
        <v>31</v>
      </c>
      <c r="J3710" s="3" t="s">
        <v>89</v>
      </c>
      <c r="K3710" s="3" t="s">
        <v>43</v>
      </c>
      <c r="L3710" s="3" t="s">
        <v>44</v>
      </c>
      <c r="M3710" s="4">
        <v>1.5</v>
      </c>
    </row>
    <row r="3711">
      <c r="A3711" s="2">
        <v>45895</v>
      </c>
      <c r="B37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1" s="3" t="str">
        <f>YEAR(KMART_DATA[[#This Row],[Date]])&amp;"-"&amp;TEXT(MONTH(KMART_DATA[[#This Row],[Date]]),"00")</f>
        <v>2025-08</v>
      </c>
      <c r="D3711" s="3" t="s">
        <v>45</v>
      </c>
      <c r="E3711" s="3" t="s">
        <v>246</v>
      </c>
      <c r="F3711" s="3" t="s">
        <v>10</v>
      </c>
      <c r="G37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11" s="3" t="s">
        <v>247</v>
      </c>
      <c r="I3711" s="3" t="s">
        <v>31</v>
      </c>
      <c r="J3711" s="3" t="s">
        <v>37</v>
      </c>
      <c r="K3711" s="3" t="s">
        <v>112</v>
      </c>
      <c r="L3711" s="3" t="s">
        <v>113</v>
      </c>
      <c r="M3711" s="4">
        <v>24.95</v>
      </c>
    </row>
    <row r="3712">
      <c r="A3712" s="2">
        <v>45895</v>
      </c>
      <c r="B37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2" s="3" t="str">
        <f>YEAR(KMART_DATA[[#This Row],[Date]])&amp;"-"&amp;TEXT(MONTH(KMART_DATA[[#This Row],[Date]]),"00")</f>
        <v>2025-08</v>
      </c>
      <c r="D3712" s="3" t="s">
        <v>45</v>
      </c>
      <c r="E3712" s="3" t="s">
        <v>108</v>
      </c>
      <c r="F3712" s="3" t="s">
        <v>9</v>
      </c>
      <c r="G37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12" s="3" t="s">
        <v>109</v>
      </c>
      <c r="I3712" s="3" t="s">
        <v>31</v>
      </c>
      <c r="J3712" s="3" t="s">
        <v>75</v>
      </c>
      <c r="K3712" s="3" t="s">
        <v>57</v>
      </c>
      <c r="L3712" s="3" t="s">
        <v>58</v>
      </c>
      <c r="M3712" s="4">
        <v>40.21</v>
      </c>
    </row>
    <row r="3713">
      <c r="A3713" s="2">
        <v>45895</v>
      </c>
      <c r="B37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3" s="3" t="str">
        <f>YEAR(KMART_DATA[[#This Row],[Date]])&amp;"-"&amp;TEXT(MONTH(KMART_DATA[[#This Row],[Date]]),"00")</f>
        <v>2025-08</v>
      </c>
      <c r="D3713" s="3" t="s">
        <v>45</v>
      </c>
      <c r="E3713" s="3" t="s">
        <v>195</v>
      </c>
      <c r="F3713" s="3" t="s">
        <v>11</v>
      </c>
      <c r="G37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13" s="3" t="s">
        <v>196</v>
      </c>
      <c r="I3713" s="3" t="s">
        <v>31</v>
      </c>
      <c r="J3713" s="3" t="s">
        <v>32</v>
      </c>
      <c r="K3713" s="3" t="s">
        <v>57</v>
      </c>
      <c r="L3713" s="3" t="s">
        <v>58</v>
      </c>
      <c r="M3713" s="4">
        <v>54.99</v>
      </c>
    </row>
    <row r="3714">
      <c r="A3714" s="2">
        <v>45895</v>
      </c>
      <c r="B37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4" s="3" t="str">
        <f>YEAR(KMART_DATA[[#This Row],[Date]])&amp;"-"&amp;TEXT(MONTH(KMART_DATA[[#This Row],[Date]]),"00")</f>
        <v>2025-08</v>
      </c>
      <c r="D3714" s="3" t="s">
        <v>45</v>
      </c>
      <c r="E3714" s="3" t="s">
        <v>152</v>
      </c>
      <c r="F3714" s="3" t="s">
        <v>11</v>
      </c>
      <c r="G37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14" s="3" t="s">
        <v>153</v>
      </c>
      <c r="I3714" s="3" t="s">
        <v>31</v>
      </c>
      <c r="J3714" s="3" t="s">
        <v>61</v>
      </c>
      <c r="K3714" s="3" t="s">
        <v>123</v>
      </c>
      <c r="L3714" s="3" t="s">
        <v>124</v>
      </c>
      <c r="M3714" s="4">
        <v>187.41</v>
      </c>
    </row>
    <row r="3715">
      <c r="A3715" s="2">
        <v>45895</v>
      </c>
      <c r="B37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5" s="3" t="str">
        <f>YEAR(KMART_DATA[[#This Row],[Date]])&amp;"-"&amp;TEXT(MONTH(KMART_DATA[[#This Row],[Date]]),"00")</f>
        <v>2025-08</v>
      </c>
      <c r="D3715" s="3" t="s">
        <v>45</v>
      </c>
      <c r="E3715" s="3" t="s">
        <v>171</v>
      </c>
      <c r="F3715" s="3" t="s">
        <v>10</v>
      </c>
      <c r="G37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15" s="3" t="s">
        <v>172</v>
      </c>
      <c r="I3715" s="3" t="s">
        <v>31</v>
      </c>
      <c r="J3715" s="3" t="s">
        <v>37</v>
      </c>
      <c r="K3715" s="3" t="s">
        <v>112</v>
      </c>
      <c r="L3715" s="3" t="s">
        <v>113</v>
      </c>
      <c r="M3715" s="4">
        <v>196.21</v>
      </c>
    </row>
    <row r="3716">
      <c r="A3716" s="2">
        <v>45895</v>
      </c>
      <c r="B37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6" s="3" t="str">
        <f>YEAR(KMART_DATA[[#This Row],[Date]])&amp;"-"&amp;TEXT(MONTH(KMART_DATA[[#This Row],[Date]]),"00")</f>
        <v>2025-08</v>
      </c>
      <c r="D3716" s="3" t="s">
        <v>45</v>
      </c>
      <c r="E3716" s="3" t="s">
        <v>118</v>
      </c>
      <c r="F3716" s="3" t="s">
        <v>10</v>
      </c>
      <c r="G37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16" s="3" t="s">
        <v>119</v>
      </c>
      <c r="I3716" s="3" t="s">
        <v>31</v>
      </c>
      <c r="J3716" s="3" t="s">
        <v>120</v>
      </c>
      <c r="K3716" s="3" t="s">
        <v>46</v>
      </c>
      <c r="L3716" s="3" t="s">
        <v>47</v>
      </c>
      <c r="M3716" s="4">
        <v>200.82</v>
      </c>
    </row>
    <row r="3717">
      <c r="A3717" s="2">
        <v>45895</v>
      </c>
      <c r="B37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7" s="3" t="str">
        <f>YEAR(KMART_DATA[[#This Row],[Date]])&amp;"-"&amp;TEXT(MONTH(KMART_DATA[[#This Row],[Date]]),"00")</f>
        <v>2025-08</v>
      </c>
      <c r="D3717" s="3" t="s">
        <v>28</v>
      </c>
      <c r="E3717" s="3" t="s">
        <v>167</v>
      </c>
      <c r="F3717" s="3" t="s">
        <v>12</v>
      </c>
      <c r="G37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17" s="3" t="s">
        <v>168</v>
      </c>
      <c r="I3717" s="3" t="s">
        <v>31</v>
      </c>
      <c r="J3717" s="3" t="s">
        <v>102</v>
      </c>
      <c r="K3717" s="3" t="s">
        <v>33</v>
      </c>
      <c r="L3717" s="3" t="s">
        <v>34</v>
      </c>
      <c r="M3717" s="4">
        <v>866.95</v>
      </c>
    </row>
    <row r="3718">
      <c r="A3718" s="2">
        <v>45896</v>
      </c>
      <c r="B37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8" s="3" t="str">
        <f>YEAR(KMART_DATA[[#This Row],[Date]])&amp;"-"&amp;TEXT(MONTH(KMART_DATA[[#This Row],[Date]]),"00")</f>
        <v>2025-08</v>
      </c>
      <c r="D3718" s="3" t="s">
        <v>28</v>
      </c>
      <c r="E3718" s="3" t="s">
        <v>141</v>
      </c>
      <c r="F3718" s="3" t="s">
        <v>9</v>
      </c>
      <c r="G37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18" s="3" t="s">
        <v>142</v>
      </c>
      <c r="I3718" s="3" t="s">
        <v>31</v>
      </c>
      <c r="J3718" s="3" t="s">
        <v>107</v>
      </c>
      <c r="K3718" s="3" t="s">
        <v>43</v>
      </c>
      <c r="L3718" s="3" t="s">
        <v>44</v>
      </c>
      <c r="M3718" s="4">
        <v>6.0</v>
      </c>
    </row>
    <row r="3719">
      <c r="A3719" s="2">
        <v>45896</v>
      </c>
      <c r="B37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19" s="3" t="str">
        <f>YEAR(KMART_DATA[[#This Row],[Date]])&amp;"-"&amp;TEXT(MONTH(KMART_DATA[[#This Row],[Date]]),"00")</f>
        <v>2025-08</v>
      </c>
      <c r="D3719" s="3" t="s">
        <v>28</v>
      </c>
      <c r="E3719" s="3" t="s">
        <v>211</v>
      </c>
      <c r="F3719" s="3" t="s">
        <v>9</v>
      </c>
      <c r="G37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19" s="3" t="s">
        <v>212</v>
      </c>
      <c r="I3719" s="3" t="s">
        <v>31</v>
      </c>
      <c r="J3719" s="3" t="s">
        <v>75</v>
      </c>
      <c r="K3719" s="3" t="s">
        <v>123</v>
      </c>
      <c r="L3719" s="3" t="s">
        <v>124</v>
      </c>
      <c r="M3719" s="4">
        <v>9.29</v>
      </c>
    </row>
    <row r="3720">
      <c r="A3720" s="2">
        <v>45896</v>
      </c>
      <c r="B37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0" s="3" t="str">
        <f>YEAR(KMART_DATA[[#This Row],[Date]])&amp;"-"&amp;TEXT(MONTH(KMART_DATA[[#This Row],[Date]]),"00")</f>
        <v>2025-08</v>
      </c>
      <c r="D3720" s="3" t="s">
        <v>45</v>
      </c>
      <c r="E3720" s="3" t="s">
        <v>48</v>
      </c>
      <c r="F3720" s="3" t="s">
        <v>12</v>
      </c>
      <c r="G37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20" s="3" t="s">
        <v>49</v>
      </c>
      <c r="I3720" s="3" t="s">
        <v>31</v>
      </c>
      <c r="J3720" s="3" t="s">
        <v>50</v>
      </c>
      <c r="K3720" s="3" t="s">
        <v>123</v>
      </c>
      <c r="L3720" s="3" t="s">
        <v>124</v>
      </c>
      <c r="M3720" s="4">
        <v>45.15</v>
      </c>
    </row>
    <row r="3721">
      <c r="A3721" s="2">
        <v>45896</v>
      </c>
      <c r="B37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1" s="3" t="str">
        <f>YEAR(KMART_DATA[[#This Row],[Date]])&amp;"-"&amp;TEXT(MONTH(KMART_DATA[[#This Row],[Date]]),"00")</f>
        <v>2025-08</v>
      </c>
      <c r="D3721" s="3" t="s">
        <v>28</v>
      </c>
      <c r="E3721" s="3" t="s">
        <v>87</v>
      </c>
      <c r="F3721" s="3" t="s">
        <v>10</v>
      </c>
      <c r="G37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21" s="3" t="s">
        <v>88</v>
      </c>
      <c r="I3721" s="3" t="s">
        <v>31</v>
      </c>
      <c r="J3721" s="3" t="s">
        <v>89</v>
      </c>
      <c r="K3721" s="3" t="s">
        <v>95</v>
      </c>
      <c r="L3721" s="3" t="s">
        <v>96</v>
      </c>
      <c r="M3721" s="4">
        <v>350.75</v>
      </c>
    </row>
    <row r="3722">
      <c r="A3722" s="2">
        <v>45896</v>
      </c>
      <c r="B37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2" s="3" t="str">
        <f>YEAR(KMART_DATA[[#This Row],[Date]])&amp;"-"&amp;TEXT(MONTH(KMART_DATA[[#This Row],[Date]]),"00")</f>
        <v>2025-08</v>
      </c>
      <c r="D3722" s="3" t="s">
        <v>28</v>
      </c>
      <c r="E3722" s="3" t="s">
        <v>118</v>
      </c>
      <c r="F3722" s="3" t="s">
        <v>10</v>
      </c>
      <c r="G37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22" s="3" t="s">
        <v>119</v>
      </c>
      <c r="I3722" s="3" t="s">
        <v>31</v>
      </c>
      <c r="J3722" s="3" t="s">
        <v>120</v>
      </c>
      <c r="K3722" s="3" t="s">
        <v>112</v>
      </c>
      <c r="L3722" s="3" t="s">
        <v>113</v>
      </c>
      <c r="M3722" s="4">
        <v>1167.87</v>
      </c>
    </row>
    <row r="3723">
      <c r="A3723" s="2">
        <v>45896</v>
      </c>
      <c r="B37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3" s="3" t="str">
        <f>YEAR(KMART_DATA[[#This Row],[Date]])&amp;"-"&amp;TEXT(MONTH(KMART_DATA[[#This Row],[Date]]),"00")</f>
        <v>2025-08</v>
      </c>
      <c r="D3723" s="3" t="s">
        <v>28</v>
      </c>
      <c r="E3723" s="3" t="s">
        <v>250</v>
      </c>
      <c r="F3723" s="3" t="s">
        <v>10</v>
      </c>
      <c r="G37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23" s="3" t="s">
        <v>251</v>
      </c>
      <c r="I3723" s="3" t="s">
        <v>31</v>
      </c>
      <c r="J3723" s="3" t="s">
        <v>37</v>
      </c>
      <c r="K3723" s="3" t="s">
        <v>57</v>
      </c>
      <c r="L3723" s="3" t="s">
        <v>58</v>
      </c>
      <c r="M3723" s="4">
        <v>3282.9</v>
      </c>
    </row>
    <row r="3724">
      <c r="A3724" s="2">
        <v>45897</v>
      </c>
      <c r="B37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4" s="3" t="str">
        <f>YEAR(KMART_DATA[[#This Row],[Date]])&amp;"-"&amp;TEXT(MONTH(KMART_DATA[[#This Row],[Date]]),"00")</f>
        <v>2025-08</v>
      </c>
      <c r="D3724" s="3" t="s">
        <v>45</v>
      </c>
      <c r="E3724" s="3" t="s">
        <v>167</v>
      </c>
      <c r="F3724" s="3" t="s">
        <v>12</v>
      </c>
      <c r="G37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24" s="3" t="s">
        <v>168</v>
      </c>
      <c r="I3724" s="3" t="s">
        <v>31</v>
      </c>
      <c r="J3724" s="3" t="s">
        <v>102</v>
      </c>
      <c r="K3724" s="3" t="s">
        <v>43</v>
      </c>
      <c r="L3724" s="3" t="s">
        <v>44</v>
      </c>
      <c r="M3724" s="4">
        <v>9.99</v>
      </c>
    </row>
    <row r="3725">
      <c r="A3725" s="2">
        <v>45897</v>
      </c>
      <c r="B37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5" s="3" t="str">
        <f>YEAR(KMART_DATA[[#This Row],[Date]])&amp;"-"&amp;TEXT(MONTH(KMART_DATA[[#This Row],[Date]]),"00")</f>
        <v>2025-08</v>
      </c>
      <c r="D3725" s="3" t="s">
        <v>45</v>
      </c>
      <c r="E3725" s="3" t="s">
        <v>187</v>
      </c>
      <c r="F3725" s="3" t="s">
        <v>11</v>
      </c>
      <c r="G37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25" s="3" t="s">
        <v>188</v>
      </c>
      <c r="I3725" s="3" t="s">
        <v>31</v>
      </c>
      <c r="J3725" s="3" t="s">
        <v>78</v>
      </c>
      <c r="K3725" s="3" t="s">
        <v>95</v>
      </c>
      <c r="L3725" s="3" t="s">
        <v>96</v>
      </c>
      <c r="M3725" s="4">
        <v>59.88</v>
      </c>
    </row>
    <row r="3726">
      <c r="A3726" s="2">
        <v>45897</v>
      </c>
      <c r="B37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6" s="3" t="str">
        <f>YEAR(KMART_DATA[[#This Row],[Date]])&amp;"-"&amp;TEXT(MONTH(KMART_DATA[[#This Row],[Date]]),"00")</f>
        <v>2025-08</v>
      </c>
      <c r="D3726" s="3" t="s">
        <v>28</v>
      </c>
      <c r="E3726" s="3" t="s">
        <v>139</v>
      </c>
      <c r="F3726" s="3" t="s">
        <v>10</v>
      </c>
      <c r="G37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26" s="3" t="s">
        <v>140</v>
      </c>
      <c r="I3726" s="3" t="s">
        <v>31</v>
      </c>
      <c r="J3726" s="3" t="s">
        <v>89</v>
      </c>
      <c r="K3726" s="3" t="s">
        <v>33</v>
      </c>
      <c r="L3726" s="3" t="s">
        <v>34</v>
      </c>
      <c r="M3726" s="4">
        <v>4354.21</v>
      </c>
    </row>
    <row r="3727">
      <c r="A3727" s="2">
        <v>45897</v>
      </c>
      <c r="B37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7" s="3" t="str">
        <f>YEAR(KMART_DATA[[#This Row],[Date]])&amp;"-"&amp;TEXT(MONTH(KMART_DATA[[#This Row],[Date]]),"00")</f>
        <v>2025-08</v>
      </c>
      <c r="D3727" s="3" t="s">
        <v>28</v>
      </c>
      <c r="E3727" s="3" t="s">
        <v>82</v>
      </c>
      <c r="F3727" s="3" t="s">
        <v>11</v>
      </c>
      <c r="G37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27" s="3" t="s">
        <v>83</v>
      </c>
      <c r="I3727" s="3" t="s">
        <v>31</v>
      </c>
      <c r="J3727" s="3" t="s">
        <v>84</v>
      </c>
      <c r="K3727" s="3" t="s">
        <v>123</v>
      </c>
      <c r="L3727" s="3" t="s">
        <v>124</v>
      </c>
      <c r="M3727" s="4">
        <v>5294.92</v>
      </c>
    </row>
    <row r="3728">
      <c r="A3728" s="2">
        <v>45898</v>
      </c>
      <c r="B37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8" s="3" t="str">
        <f>YEAR(KMART_DATA[[#This Row],[Date]])&amp;"-"&amp;TEXT(MONTH(KMART_DATA[[#This Row],[Date]]),"00")</f>
        <v>2025-08</v>
      </c>
      <c r="D3728" s="3" t="s">
        <v>45</v>
      </c>
      <c r="E3728" s="3" t="s">
        <v>116</v>
      </c>
      <c r="F3728" s="3" t="s">
        <v>9</v>
      </c>
      <c r="G37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28" s="3" t="s">
        <v>117</v>
      </c>
      <c r="I3728" s="3" t="s">
        <v>31</v>
      </c>
      <c r="J3728" s="3" t="s">
        <v>70</v>
      </c>
      <c r="K3728" s="3" t="s">
        <v>71</v>
      </c>
      <c r="L3728" s="3" t="s">
        <v>72</v>
      </c>
      <c r="M3728" s="4">
        <v>223.31</v>
      </c>
    </row>
    <row r="3729">
      <c r="A3729" s="2">
        <v>45898</v>
      </c>
      <c r="B37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29" s="3" t="str">
        <f>YEAR(KMART_DATA[[#This Row],[Date]])&amp;"-"&amp;TEXT(MONTH(KMART_DATA[[#This Row],[Date]]),"00")</f>
        <v>2025-08</v>
      </c>
      <c r="D3729" s="3" t="s">
        <v>28</v>
      </c>
      <c r="E3729" s="3" t="s">
        <v>179</v>
      </c>
      <c r="F3729" s="3" t="s">
        <v>9</v>
      </c>
      <c r="G37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29" s="3" t="s">
        <v>180</v>
      </c>
      <c r="I3729" s="3" t="s">
        <v>31</v>
      </c>
      <c r="J3729" s="3" t="s">
        <v>99</v>
      </c>
      <c r="K3729" s="3" t="s">
        <v>43</v>
      </c>
      <c r="L3729" s="3" t="s">
        <v>44</v>
      </c>
      <c r="M3729" s="4">
        <v>318.78</v>
      </c>
    </row>
    <row r="3730">
      <c r="A3730" s="2">
        <v>45898</v>
      </c>
      <c r="B37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0" s="3" t="str">
        <f>YEAR(KMART_DATA[[#This Row],[Date]])&amp;"-"&amp;TEXT(MONTH(KMART_DATA[[#This Row],[Date]]),"00")</f>
        <v>2025-08</v>
      </c>
      <c r="D3730" s="3" t="s">
        <v>28</v>
      </c>
      <c r="E3730" s="3" t="s">
        <v>64</v>
      </c>
      <c r="F3730" s="3" t="s">
        <v>11</v>
      </c>
      <c r="G37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30" s="3" t="s">
        <v>65</v>
      </c>
      <c r="I3730" s="3" t="s">
        <v>31</v>
      </c>
      <c r="J3730" s="3" t="s">
        <v>61</v>
      </c>
      <c r="K3730" s="3" t="s">
        <v>112</v>
      </c>
      <c r="L3730" s="3" t="s">
        <v>113</v>
      </c>
      <c r="M3730" s="4">
        <v>902.49</v>
      </c>
    </row>
    <row r="3731">
      <c r="A3731" s="2">
        <v>45898</v>
      </c>
      <c r="B37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1" s="3" t="str">
        <f>YEAR(KMART_DATA[[#This Row],[Date]])&amp;"-"&amp;TEXT(MONTH(KMART_DATA[[#This Row],[Date]]),"00")</f>
        <v>2025-08</v>
      </c>
      <c r="D3731" s="3" t="s">
        <v>45</v>
      </c>
      <c r="E3731" s="3" t="s">
        <v>90</v>
      </c>
      <c r="F3731" s="3" t="s">
        <v>10</v>
      </c>
      <c r="G37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31" s="3" t="s">
        <v>91</v>
      </c>
      <c r="I3731" s="3" t="s">
        <v>31</v>
      </c>
      <c r="J3731" s="3" t="s">
        <v>37</v>
      </c>
      <c r="K3731" s="3" t="s">
        <v>71</v>
      </c>
      <c r="L3731" s="3" t="s">
        <v>72</v>
      </c>
      <c r="M3731" s="4">
        <v>2037.57</v>
      </c>
    </row>
    <row r="3732">
      <c r="A3732" s="2">
        <v>45898</v>
      </c>
      <c r="B37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2" s="3" t="str">
        <f>YEAR(KMART_DATA[[#This Row],[Date]])&amp;"-"&amp;TEXT(MONTH(KMART_DATA[[#This Row],[Date]]),"00")</f>
        <v>2025-08</v>
      </c>
      <c r="D3732" s="3" t="s">
        <v>45</v>
      </c>
      <c r="E3732" s="3" t="s">
        <v>177</v>
      </c>
      <c r="F3732" s="3" t="s">
        <v>12</v>
      </c>
      <c r="G37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32" s="3" t="s">
        <v>178</v>
      </c>
      <c r="I3732" s="3" t="s">
        <v>31</v>
      </c>
      <c r="J3732" s="3" t="s">
        <v>162</v>
      </c>
      <c r="K3732" s="3" t="s">
        <v>95</v>
      </c>
      <c r="L3732" s="3" t="s">
        <v>96</v>
      </c>
      <c r="M3732" s="4">
        <v>10622.69</v>
      </c>
    </row>
    <row r="3733">
      <c r="A3733" s="2">
        <v>45899</v>
      </c>
      <c r="B37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3" s="3" t="str">
        <f>YEAR(KMART_DATA[[#This Row],[Date]])&amp;"-"&amp;TEXT(MONTH(KMART_DATA[[#This Row],[Date]]),"00")</f>
        <v>2025-08</v>
      </c>
      <c r="D3733" s="3" t="s">
        <v>28</v>
      </c>
      <c r="E3733" s="3" t="s">
        <v>219</v>
      </c>
      <c r="F3733" s="3" t="s">
        <v>11</v>
      </c>
      <c r="G37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33" s="3" t="s">
        <v>220</v>
      </c>
      <c r="I3733" s="3" t="s">
        <v>31</v>
      </c>
      <c r="J3733" s="3" t="s">
        <v>56</v>
      </c>
      <c r="K3733" s="3" t="s">
        <v>46</v>
      </c>
      <c r="L3733" s="3" t="s">
        <v>47</v>
      </c>
      <c r="M3733" s="4">
        <v>5.0</v>
      </c>
    </row>
    <row r="3734">
      <c r="A3734" s="2">
        <v>45899</v>
      </c>
      <c r="B37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4" s="3" t="str">
        <f>YEAR(KMART_DATA[[#This Row],[Date]])&amp;"-"&amp;TEXT(MONTH(KMART_DATA[[#This Row],[Date]]),"00")</f>
        <v>2025-08</v>
      </c>
      <c r="D3734" s="3" t="s">
        <v>45</v>
      </c>
      <c r="E3734" s="3" t="s">
        <v>167</v>
      </c>
      <c r="F3734" s="3" t="s">
        <v>12</v>
      </c>
      <c r="G37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34" s="3" t="s">
        <v>168</v>
      </c>
      <c r="I3734" s="3" t="s">
        <v>31</v>
      </c>
      <c r="J3734" s="3" t="s">
        <v>102</v>
      </c>
      <c r="K3734" s="3" t="s">
        <v>33</v>
      </c>
      <c r="L3734" s="3" t="s">
        <v>34</v>
      </c>
      <c r="M3734" s="4">
        <v>21.98</v>
      </c>
    </row>
    <row r="3735">
      <c r="A3735" s="2">
        <v>45899</v>
      </c>
      <c r="B37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5" s="3" t="str">
        <f>YEAR(KMART_DATA[[#This Row],[Date]])&amp;"-"&amp;TEXT(MONTH(KMART_DATA[[#This Row],[Date]]),"00")</f>
        <v>2025-08</v>
      </c>
      <c r="D3735" s="3" t="s">
        <v>28</v>
      </c>
      <c r="E3735" s="3" t="s">
        <v>219</v>
      </c>
      <c r="F3735" s="3" t="s">
        <v>11</v>
      </c>
      <c r="G37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35" s="3" t="s">
        <v>220</v>
      </c>
      <c r="I3735" s="3" t="s">
        <v>31</v>
      </c>
      <c r="J3735" s="3" t="s">
        <v>56</v>
      </c>
      <c r="K3735" s="3" t="s">
        <v>95</v>
      </c>
      <c r="L3735" s="3" t="s">
        <v>96</v>
      </c>
      <c r="M3735" s="4">
        <v>22.99</v>
      </c>
    </row>
    <row r="3736">
      <c r="A3736" s="2">
        <v>45899</v>
      </c>
      <c r="B37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6" s="3" t="str">
        <f>YEAR(KMART_DATA[[#This Row],[Date]])&amp;"-"&amp;TEXT(MONTH(KMART_DATA[[#This Row],[Date]]),"00")</f>
        <v>2025-08</v>
      </c>
      <c r="D3736" s="3" t="s">
        <v>28</v>
      </c>
      <c r="E3736" s="3" t="s">
        <v>215</v>
      </c>
      <c r="F3736" s="3" t="s">
        <v>15</v>
      </c>
      <c r="G37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736" s="3" t="s">
        <v>216</v>
      </c>
      <c r="I3736" s="3" t="s">
        <v>31</v>
      </c>
      <c r="J3736" s="3" t="s">
        <v>53</v>
      </c>
      <c r="K3736" s="3" t="s">
        <v>71</v>
      </c>
      <c r="L3736" s="3" t="s">
        <v>72</v>
      </c>
      <c r="M3736" s="4">
        <v>23.94</v>
      </c>
    </row>
    <row r="3737">
      <c r="A3737" s="2">
        <v>45899</v>
      </c>
      <c r="B37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7" s="3" t="str">
        <f>YEAR(KMART_DATA[[#This Row],[Date]])&amp;"-"&amp;TEXT(MONTH(KMART_DATA[[#This Row],[Date]]),"00")</f>
        <v>2025-08</v>
      </c>
      <c r="D3737" s="3" t="s">
        <v>45</v>
      </c>
      <c r="E3737" s="3" t="s">
        <v>175</v>
      </c>
      <c r="F3737" s="3" t="s">
        <v>16</v>
      </c>
      <c r="G37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737" s="3" t="s">
        <v>176</v>
      </c>
      <c r="I3737" s="3" t="s">
        <v>31</v>
      </c>
      <c r="J3737" s="3" t="s">
        <v>107</v>
      </c>
      <c r="K3737" s="3" t="s">
        <v>46</v>
      </c>
      <c r="L3737" s="3" t="s">
        <v>47</v>
      </c>
      <c r="M3737" s="4">
        <v>27.48</v>
      </c>
    </row>
    <row r="3738">
      <c r="A3738" s="2">
        <v>45899</v>
      </c>
      <c r="B37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8" s="3" t="str">
        <f>YEAR(KMART_DATA[[#This Row],[Date]])&amp;"-"&amp;TEXT(MONTH(KMART_DATA[[#This Row],[Date]]),"00")</f>
        <v>2025-08</v>
      </c>
      <c r="D3738" s="3" t="s">
        <v>45</v>
      </c>
      <c r="E3738" s="3" t="s">
        <v>254</v>
      </c>
      <c r="F3738" s="3" t="s">
        <v>13</v>
      </c>
      <c r="G37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738" s="3" t="s">
        <v>255</v>
      </c>
      <c r="I3738" s="3" t="s">
        <v>31</v>
      </c>
      <c r="J3738" s="3" t="s">
        <v>227</v>
      </c>
      <c r="K3738" s="3" t="s">
        <v>123</v>
      </c>
      <c r="L3738" s="3" t="s">
        <v>124</v>
      </c>
      <c r="M3738" s="4">
        <v>44.96</v>
      </c>
    </row>
    <row r="3739">
      <c r="A3739" s="2">
        <v>45899</v>
      </c>
      <c r="B37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39" s="3" t="str">
        <f>YEAR(KMART_DATA[[#This Row],[Date]])&amp;"-"&amp;TEXT(MONTH(KMART_DATA[[#This Row],[Date]]),"00")</f>
        <v>2025-08</v>
      </c>
      <c r="D3739" s="3" t="s">
        <v>45</v>
      </c>
      <c r="E3739" s="3" t="s">
        <v>59</v>
      </c>
      <c r="F3739" s="3" t="s">
        <v>11</v>
      </c>
      <c r="G37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39" s="3" t="s">
        <v>60</v>
      </c>
      <c r="I3739" s="3" t="s">
        <v>31</v>
      </c>
      <c r="J3739" s="3" t="s">
        <v>61</v>
      </c>
      <c r="K3739" s="3" t="s">
        <v>95</v>
      </c>
      <c r="L3739" s="3" t="s">
        <v>96</v>
      </c>
      <c r="M3739" s="4">
        <v>65.21</v>
      </c>
    </row>
    <row r="3740">
      <c r="A3740" s="2">
        <v>45899</v>
      </c>
      <c r="B37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0" s="3" t="str">
        <f>YEAR(KMART_DATA[[#This Row],[Date]])&amp;"-"&amp;TEXT(MONTH(KMART_DATA[[#This Row],[Date]]),"00")</f>
        <v>2025-08</v>
      </c>
      <c r="D3740" s="3" t="s">
        <v>45</v>
      </c>
      <c r="E3740" s="3" t="s">
        <v>189</v>
      </c>
      <c r="F3740" s="3" t="s">
        <v>9</v>
      </c>
      <c r="G37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40" s="3" t="s">
        <v>190</v>
      </c>
      <c r="I3740" s="3" t="s">
        <v>31</v>
      </c>
      <c r="J3740" s="3" t="s">
        <v>81</v>
      </c>
      <c r="K3740" s="3" t="s">
        <v>33</v>
      </c>
      <c r="L3740" s="3" t="s">
        <v>34</v>
      </c>
      <c r="M3740" s="4">
        <v>649.99</v>
      </c>
    </row>
    <row r="3741">
      <c r="A3741" s="2">
        <v>45899</v>
      </c>
      <c r="B37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1" s="3" t="str">
        <f>YEAR(KMART_DATA[[#This Row],[Date]])&amp;"-"&amp;TEXT(MONTH(KMART_DATA[[#This Row],[Date]]),"00")</f>
        <v>2025-08</v>
      </c>
      <c r="D3741" s="3" t="s">
        <v>28</v>
      </c>
      <c r="E3741" s="3" t="s">
        <v>108</v>
      </c>
      <c r="F3741" s="3" t="s">
        <v>9</v>
      </c>
      <c r="G37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41" s="3" t="s">
        <v>109</v>
      </c>
      <c r="I3741" s="3" t="s">
        <v>31</v>
      </c>
      <c r="J3741" s="3" t="s">
        <v>75</v>
      </c>
      <c r="K3741" s="3" t="s">
        <v>57</v>
      </c>
      <c r="L3741" s="3" t="s">
        <v>58</v>
      </c>
      <c r="M3741" s="4">
        <v>1659.36</v>
      </c>
    </row>
    <row r="3742">
      <c r="A3742" s="2">
        <v>45900</v>
      </c>
      <c r="B37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2" s="3" t="str">
        <f>YEAR(KMART_DATA[[#This Row],[Date]])&amp;"-"&amp;TEXT(MONTH(KMART_DATA[[#This Row],[Date]]),"00")</f>
        <v>2025-08</v>
      </c>
      <c r="D3742" s="3" t="s">
        <v>45</v>
      </c>
      <c r="E3742" s="3" t="s">
        <v>197</v>
      </c>
      <c r="F3742" s="3" t="s">
        <v>9</v>
      </c>
      <c r="G37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42" s="3" t="s">
        <v>198</v>
      </c>
      <c r="I3742" s="3" t="s">
        <v>31</v>
      </c>
      <c r="J3742" s="3" t="s">
        <v>107</v>
      </c>
      <c r="K3742" s="3" t="s">
        <v>46</v>
      </c>
      <c r="L3742" s="3" t="s">
        <v>47</v>
      </c>
      <c r="M3742" s="4">
        <v>65.89</v>
      </c>
    </row>
    <row r="3743">
      <c r="A3743" s="2">
        <v>45901</v>
      </c>
      <c r="B37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3" s="3" t="str">
        <f>YEAR(KMART_DATA[[#This Row],[Date]])&amp;"-"&amp;TEXT(MONTH(KMART_DATA[[#This Row],[Date]]),"00")</f>
        <v>2025-09</v>
      </c>
      <c r="D3743" s="3" t="s">
        <v>28</v>
      </c>
      <c r="E3743" s="3" t="s">
        <v>73</v>
      </c>
      <c r="F3743" s="3" t="s">
        <v>9</v>
      </c>
      <c r="G37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43" s="3" t="s">
        <v>74</v>
      </c>
      <c r="I3743" s="3" t="s">
        <v>31</v>
      </c>
      <c r="J3743" s="3" t="s">
        <v>75</v>
      </c>
      <c r="K3743" s="3" t="s">
        <v>38</v>
      </c>
      <c r="L3743" s="3" t="s">
        <v>39</v>
      </c>
      <c r="M3743" s="4">
        <v>1.99</v>
      </c>
    </row>
    <row r="3744">
      <c r="A3744" s="2">
        <v>45901</v>
      </c>
      <c r="B37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4" s="3" t="str">
        <f>YEAR(KMART_DATA[[#This Row],[Date]])&amp;"-"&amp;TEXT(MONTH(KMART_DATA[[#This Row],[Date]]),"00")</f>
        <v>2025-09</v>
      </c>
      <c r="D3744" s="3" t="s">
        <v>28</v>
      </c>
      <c r="E3744" s="3" t="s">
        <v>79</v>
      </c>
      <c r="F3744" s="3" t="s">
        <v>9</v>
      </c>
      <c r="G37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44" s="3" t="s">
        <v>80</v>
      </c>
      <c r="I3744" s="3" t="s">
        <v>31</v>
      </c>
      <c r="J3744" s="3" t="s">
        <v>81</v>
      </c>
      <c r="K3744" s="3" t="s">
        <v>33</v>
      </c>
      <c r="L3744" s="3" t="s">
        <v>34</v>
      </c>
      <c r="M3744" s="4">
        <v>3.99</v>
      </c>
    </row>
    <row r="3745">
      <c r="A3745" s="2">
        <v>45901</v>
      </c>
      <c r="B37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5" s="3" t="str">
        <f>YEAR(KMART_DATA[[#This Row],[Date]])&amp;"-"&amp;TEXT(MONTH(KMART_DATA[[#This Row],[Date]]),"00")</f>
        <v>2025-09</v>
      </c>
      <c r="D3745" s="3" t="s">
        <v>28</v>
      </c>
      <c r="E3745" s="3" t="s">
        <v>173</v>
      </c>
      <c r="F3745" s="3" t="s">
        <v>11</v>
      </c>
      <c r="G37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45" s="3" t="s">
        <v>174</v>
      </c>
      <c r="I3745" s="3" t="s">
        <v>31</v>
      </c>
      <c r="J3745" s="3" t="s">
        <v>61</v>
      </c>
      <c r="K3745" s="3" t="s">
        <v>112</v>
      </c>
      <c r="L3745" s="3" t="s">
        <v>113</v>
      </c>
      <c r="M3745" s="4">
        <v>29.6</v>
      </c>
    </row>
    <row r="3746">
      <c r="A3746" s="2">
        <v>45901</v>
      </c>
      <c r="B37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6" s="3" t="str">
        <f>YEAR(KMART_DATA[[#This Row],[Date]])&amp;"-"&amp;TEXT(MONTH(KMART_DATA[[#This Row],[Date]]),"00")</f>
        <v>2025-09</v>
      </c>
      <c r="D3746" s="3" t="s">
        <v>28</v>
      </c>
      <c r="E3746" s="3" t="s">
        <v>92</v>
      </c>
      <c r="F3746" s="3" t="s">
        <v>10</v>
      </c>
      <c r="G37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46" s="3" t="s">
        <v>93</v>
      </c>
      <c r="I3746" s="3" t="s">
        <v>31</v>
      </c>
      <c r="J3746" s="3" t="s">
        <v>94</v>
      </c>
      <c r="K3746" s="3" t="s">
        <v>46</v>
      </c>
      <c r="L3746" s="3" t="s">
        <v>47</v>
      </c>
      <c r="M3746" s="4">
        <v>53.91</v>
      </c>
    </row>
    <row r="3747">
      <c r="A3747" s="2">
        <v>45901</v>
      </c>
      <c r="B37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7" s="3" t="str">
        <f>YEAR(KMART_DATA[[#This Row],[Date]])&amp;"-"&amp;TEXT(MONTH(KMART_DATA[[#This Row],[Date]]),"00")</f>
        <v>2025-09</v>
      </c>
      <c r="D3747" s="3" t="s">
        <v>28</v>
      </c>
      <c r="E3747" s="3" t="s">
        <v>90</v>
      </c>
      <c r="F3747" s="3" t="s">
        <v>10</v>
      </c>
      <c r="G37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47" s="3" t="s">
        <v>91</v>
      </c>
      <c r="I3747" s="3" t="s">
        <v>31</v>
      </c>
      <c r="J3747" s="3" t="s">
        <v>37</v>
      </c>
      <c r="K3747" s="3" t="s">
        <v>66</v>
      </c>
      <c r="L3747" s="3" t="s">
        <v>67</v>
      </c>
      <c r="M3747" s="4">
        <v>174.04</v>
      </c>
    </row>
    <row r="3748">
      <c r="A3748" s="2">
        <v>45901</v>
      </c>
      <c r="B37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8" s="3" t="str">
        <f>YEAR(KMART_DATA[[#This Row],[Date]])&amp;"-"&amp;TEXT(MONTH(KMART_DATA[[#This Row],[Date]]),"00")</f>
        <v>2025-09</v>
      </c>
      <c r="D3748" s="3" t="s">
        <v>28</v>
      </c>
      <c r="E3748" s="3" t="s">
        <v>232</v>
      </c>
      <c r="F3748" s="3" t="s">
        <v>9</v>
      </c>
      <c r="G37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48" s="3" t="s">
        <v>233</v>
      </c>
      <c r="I3748" s="3" t="s">
        <v>31</v>
      </c>
      <c r="J3748" s="3" t="s">
        <v>75</v>
      </c>
      <c r="K3748" s="3" t="s">
        <v>112</v>
      </c>
      <c r="L3748" s="3" t="s">
        <v>113</v>
      </c>
      <c r="M3748" s="4">
        <v>200.39</v>
      </c>
    </row>
    <row r="3749">
      <c r="A3749" s="2">
        <v>45901</v>
      </c>
      <c r="B37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49" s="3" t="str">
        <f>YEAR(KMART_DATA[[#This Row],[Date]])&amp;"-"&amp;TEXT(MONTH(KMART_DATA[[#This Row],[Date]]),"00")</f>
        <v>2025-09</v>
      </c>
      <c r="D3749" s="3" t="s">
        <v>45</v>
      </c>
      <c r="E3749" s="3" t="s">
        <v>250</v>
      </c>
      <c r="F3749" s="3" t="s">
        <v>10</v>
      </c>
      <c r="G37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49" s="3" t="s">
        <v>251</v>
      </c>
      <c r="I3749" s="3" t="s">
        <v>31</v>
      </c>
      <c r="J3749" s="3" t="s">
        <v>37</v>
      </c>
      <c r="K3749" s="3" t="s">
        <v>33</v>
      </c>
      <c r="L3749" s="3" t="s">
        <v>34</v>
      </c>
      <c r="M3749" s="4">
        <v>447.95</v>
      </c>
    </row>
    <row r="3750">
      <c r="A3750" s="2">
        <v>45901</v>
      </c>
      <c r="B37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0" s="3" t="str">
        <f>YEAR(KMART_DATA[[#This Row],[Date]])&amp;"-"&amp;TEXT(MONTH(KMART_DATA[[#This Row],[Date]]),"00")</f>
        <v>2025-09</v>
      </c>
      <c r="D3750" s="3" t="s">
        <v>28</v>
      </c>
      <c r="E3750" s="3" t="s">
        <v>118</v>
      </c>
      <c r="F3750" s="3" t="s">
        <v>10</v>
      </c>
      <c r="G37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50" s="3" t="s">
        <v>119</v>
      </c>
      <c r="I3750" s="3" t="s">
        <v>31</v>
      </c>
      <c r="J3750" s="3" t="s">
        <v>120</v>
      </c>
      <c r="K3750" s="3" t="s">
        <v>71</v>
      </c>
      <c r="L3750" s="3" t="s">
        <v>72</v>
      </c>
      <c r="M3750" s="4">
        <v>1419.69</v>
      </c>
    </row>
    <row r="3751">
      <c r="A3751" s="2">
        <v>45901</v>
      </c>
      <c r="B37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1" s="3" t="str">
        <f>YEAR(KMART_DATA[[#This Row],[Date]])&amp;"-"&amp;TEXT(MONTH(KMART_DATA[[#This Row],[Date]]),"00")</f>
        <v>2025-09</v>
      </c>
      <c r="D3751" s="3" t="s">
        <v>28</v>
      </c>
      <c r="E3751" s="3" t="s">
        <v>213</v>
      </c>
      <c r="F3751" s="3" t="s">
        <v>11</v>
      </c>
      <c r="G37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51" s="3" t="s">
        <v>214</v>
      </c>
      <c r="I3751" s="3" t="s">
        <v>31</v>
      </c>
      <c r="J3751" s="3" t="s">
        <v>32</v>
      </c>
      <c r="K3751" s="3" t="s">
        <v>57</v>
      </c>
      <c r="L3751" s="3" t="s">
        <v>58</v>
      </c>
      <c r="M3751" s="4">
        <v>1764.82</v>
      </c>
    </row>
    <row r="3752">
      <c r="A3752" s="2">
        <v>45901</v>
      </c>
      <c r="B37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2" s="3" t="str">
        <f>YEAR(KMART_DATA[[#This Row],[Date]])&amp;"-"&amp;TEXT(MONTH(KMART_DATA[[#This Row],[Date]]),"00")</f>
        <v>2025-09</v>
      </c>
      <c r="D3752" s="3" t="s">
        <v>28</v>
      </c>
      <c r="E3752" s="3" t="s">
        <v>51</v>
      </c>
      <c r="F3752" s="3" t="s">
        <v>15</v>
      </c>
      <c r="G37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752" s="3" t="s">
        <v>52</v>
      </c>
      <c r="I3752" s="3" t="s">
        <v>31</v>
      </c>
      <c r="J3752" s="3" t="s">
        <v>53</v>
      </c>
      <c r="K3752" s="3" t="s">
        <v>71</v>
      </c>
      <c r="L3752" s="3" t="s">
        <v>72</v>
      </c>
      <c r="M3752" s="4">
        <v>3332.72</v>
      </c>
    </row>
    <row r="3753">
      <c r="A3753" s="2">
        <v>45901</v>
      </c>
      <c r="B37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3" s="3" t="str">
        <f>YEAR(KMART_DATA[[#This Row],[Date]])&amp;"-"&amp;TEXT(MONTH(KMART_DATA[[#This Row],[Date]]),"00")</f>
        <v>2025-09</v>
      </c>
      <c r="D3753" s="3" t="s">
        <v>28</v>
      </c>
      <c r="E3753" s="3" t="s">
        <v>163</v>
      </c>
      <c r="F3753" s="3" t="s">
        <v>9</v>
      </c>
      <c r="G37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53" s="3" t="s">
        <v>164</v>
      </c>
      <c r="I3753" s="3" t="s">
        <v>31</v>
      </c>
      <c r="J3753" s="3" t="s">
        <v>81</v>
      </c>
      <c r="K3753" s="3" t="s">
        <v>57</v>
      </c>
      <c r="L3753" s="3" t="s">
        <v>58</v>
      </c>
      <c r="M3753" s="4">
        <v>5238.66</v>
      </c>
    </row>
    <row r="3754">
      <c r="A3754" s="2">
        <v>45902</v>
      </c>
      <c r="B37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4" s="3" t="str">
        <f>YEAR(KMART_DATA[[#This Row],[Date]])&amp;"-"&amp;TEXT(MONTH(KMART_DATA[[#This Row],[Date]]),"00")</f>
        <v>2025-09</v>
      </c>
      <c r="D3754" s="3" t="s">
        <v>45</v>
      </c>
      <c r="E3754" s="3" t="s">
        <v>207</v>
      </c>
      <c r="F3754" s="3" t="s">
        <v>11</v>
      </c>
      <c r="G37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54" s="3" t="s">
        <v>208</v>
      </c>
      <c r="I3754" s="3" t="s">
        <v>31</v>
      </c>
      <c r="J3754" s="3" t="s">
        <v>78</v>
      </c>
      <c r="K3754" s="3" t="s">
        <v>95</v>
      </c>
      <c r="L3754" s="3" t="s">
        <v>96</v>
      </c>
      <c r="M3754" s="4">
        <v>78.89</v>
      </c>
    </row>
    <row r="3755">
      <c r="A3755" s="2">
        <v>45902</v>
      </c>
      <c r="B37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5" s="3" t="str">
        <f>YEAR(KMART_DATA[[#This Row],[Date]])&amp;"-"&amp;TEXT(MONTH(KMART_DATA[[#This Row],[Date]]),"00")</f>
        <v>2025-09</v>
      </c>
      <c r="D3755" s="3" t="s">
        <v>28</v>
      </c>
      <c r="E3755" s="3" t="s">
        <v>211</v>
      </c>
      <c r="F3755" s="3" t="s">
        <v>9</v>
      </c>
      <c r="G37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55" s="3" t="s">
        <v>212</v>
      </c>
      <c r="I3755" s="3" t="s">
        <v>31</v>
      </c>
      <c r="J3755" s="3" t="s">
        <v>75</v>
      </c>
      <c r="K3755" s="3" t="s">
        <v>95</v>
      </c>
      <c r="L3755" s="3" t="s">
        <v>96</v>
      </c>
      <c r="M3755" s="4">
        <v>6879.29</v>
      </c>
    </row>
    <row r="3756">
      <c r="A3756" s="2">
        <v>45903</v>
      </c>
      <c r="B37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6" s="3" t="str">
        <f>YEAR(KMART_DATA[[#This Row],[Date]])&amp;"-"&amp;TEXT(MONTH(KMART_DATA[[#This Row],[Date]]),"00")</f>
        <v>2025-09</v>
      </c>
      <c r="D3756" s="3" t="s">
        <v>28</v>
      </c>
      <c r="E3756" s="3" t="s">
        <v>240</v>
      </c>
      <c r="F3756" s="3" t="s">
        <v>15</v>
      </c>
      <c r="G37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756" s="3" t="s">
        <v>241</v>
      </c>
      <c r="I3756" s="3" t="s">
        <v>31</v>
      </c>
      <c r="J3756" s="3" t="s">
        <v>53</v>
      </c>
      <c r="K3756" s="3" t="s">
        <v>33</v>
      </c>
      <c r="L3756" s="3" t="s">
        <v>34</v>
      </c>
      <c r="M3756" s="4">
        <v>7.98</v>
      </c>
    </row>
    <row r="3757">
      <c r="A3757" s="2">
        <v>45903</v>
      </c>
      <c r="B37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7" s="3" t="str">
        <f>YEAR(KMART_DATA[[#This Row],[Date]])&amp;"-"&amp;TEXT(MONTH(KMART_DATA[[#This Row],[Date]]),"00")</f>
        <v>2025-09</v>
      </c>
      <c r="D3757" s="3" t="s">
        <v>28</v>
      </c>
      <c r="E3757" s="3" t="s">
        <v>169</v>
      </c>
      <c r="F3757" s="3" t="s">
        <v>12</v>
      </c>
      <c r="G37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57" s="3" t="s">
        <v>170</v>
      </c>
      <c r="I3757" s="3" t="s">
        <v>31</v>
      </c>
      <c r="J3757" s="3" t="s">
        <v>102</v>
      </c>
      <c r="K3757" s="3" t="s">
        <v>71</v>
      </c>
      <c r="L3757" s="3" t="s">
        <v>72</v>
      </c>
      <c r="M3757" s="4">
        <v>17.98</v>
      </c>
    </row>
    <row r="3758">
      <c r="A3758" s="2">
        <v>45903</v>
      </c>
      <c r="B37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8" s="3" t="str">
        <f>YEAR(KMART_DATA[[#This Row],[Date]])&amp;"-"&amp;TEXT(MONTH(KMART_DATA[[#This Row],[Date]]),"00")</f>
        <v>2025-09</v>
      </c>
      <c r="D3758" s="3" t="s">
        <v>28</v>
      </c>
      <c r="E3758" s="3" t="s">
        <v>76</v>
      </c>
      <c r="F3758" s="3" t="s">
        <v>11</v>
      </c>
      <c r="G37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58" s="3" t="s">
        <v>77</v>
      </c>
      <c r="I3758" s="3" t="s">
        <v>31</v>
      </c>
      <c r="J3758" s="3" t="s">
        <v>78</v>
      </c>
      <c r="K3758" s="3" t="s">
        <v>33</v>
      </c>
      <c r="L3758" s="3" t="s">
        <v>34</v>
      </c>
      <c r="M3758" s="4">
        <v>29.92</v>
      </c>
    </row>
    <row r="3759">
      <c r="A3759" s="2">
        <v>45903</v>
      </c>
      <c r="B37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59" s="3" t="str">
        <f>YEAR(KMART_DATA[[#This Row],[Date]])&amp;"-"&amp;TEXT(MONTH(KMART_DATA[[#This Row],[Date]]),"00")</f>
        <v>2025-09</v>
      </c>
      <c r="D3759" s="3" t="s">
        <v>28</v>
      </c>
      <c r="E3759" s="3" t="s">
        <v>199</v>
      </c>
      <c r="F3759" s="3" t="s">
        <v>13</v>
      </c>
      <c r="G37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759" s="3" t="s">
        <v>200</v>
      </c>
      <c r="I3759" s="3" t="s">
        <v>31</v>
      </c>
      <c r="J3759" s="3" t="s">
        <v>42</v>
      </c>
      <c r="K3759" s="3" t="s">
        <v>112</v>
      </c>
      <c r="L3759" s="3" t="s">
        <v>113</v>
      </c>
      <c r="M3759" s="4">
        <v>47.84</v>
      </c>
    </row>
    <row r="3760">
      <c r="A3760" s="2">
        <v>45903</v>
      </c>
      <c r="B37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0" s="3" t="str">
        <f>YEAR(KMART_DATA[[#This Row],[Date]])&amp;"-"&amp;TEXT(MONTH(KMART_DATA[[#This Row],[Date]]),"00")</f>
        <v>2025-09</v>
      </c>
      <c r="D3760" s="3" t="s">
        <v>45</v>
      </c>
      <c r="E3760" s="3" t="s">
        <v>116</v>
      </c>
      <c r="F3760" s="3" t="s">
        <v>9</v>
      </c>
      <c r="G37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60" s="3" t="s">
        <v>117</v>
      </c>
      <c r="I3760" s="3" t="s">
        <v>31</v>
      </c>
      <c r="J3760" s="3" t="s">
        <v>70</v>
      </c>
      <c r="K3760" s="3" t="s">
        <v>71</v>
      </c>
      <c r="L3760" s="3" t="s">
        <v>72</v>
      </c>
      <c r="M3760" s="4">
        <v>96.93</v>
      </c>
    </row>
    <row r="3761">
      <c r="A3761" s="2">
        <v>45903</v>
      </c>
      <c r="B37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1" s="3" t="str">
        <f>YEAR(KMART_DATA[[#This Row],[Date]])&amp;"-"&amp;TEXT(MONTH(KMART_DATA[[#This Row],[Date]]),"00")</f>
        <v>2025-09</v>
      </c>
      <c r="D3761" s="3" t="s">
        <v>28</v>
      </c>
      <c r="E3761" s="3" t="s">
        <v>185</v>
      </c>
      <c r="F3761" s="3" t="s">
        <v>12</v>
      </c>
      <c r="G37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61" s="3" t="s">
        <v>186</v>
      </c>
      <c r="I3761" s="3" t="s">
        <v>31</v>
      </c>
      <c r="J3761" s="3" t="s">
        <v>162</v>
      </c>
      <c r="K3761" s="3" t="s">
        <v>71</v>
      </c>
      <c r="L3761" s="3" t="s">
        <v>72</v>
      </c>
      <c r="M3761" s="4">
        <v>319.45</v>
      </c>
    </row>
    <row r="3762">
      <c r="A3762" s="2">
        <v>45903</v>
      </c>
      <c r="B37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2" s="3" t="str">
        <f>YEAR(KMART_DATA[[#This Row],[Date]])&amp;"-"&amp;TEXT(MONTH(KMART_DATA[[#This Row],[Date]]),"00")</f>
        <v>2025-09</v>
      </c>
      <c r="D3762" s="3" t="s">
        <v>28</v>
      </c>
      <c r="E3762" s="3" t="s">
        <v>179</v>
      </c>
      <c r="F3762" s="3" t="s">
        <v>9</v>
      </c>
      <c r="G37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62" s="3" t="s">
        <v>180</v>
      </c>
      <c r="I3762" s="3" t="s">
        <v>31</v>
      </c>
      <c r="J3762" s="3" t="s">
        <v>99</v>
      </c>
      <c r="K3762" s="3" t="s">
        <v>43</v>
      </c>
      <c r="L3762" s="3" t="s">
        <v>44</v>
      </c>
      <c r="M3762" s="4">
        <v>371.1</v>
      </c>
    </row>
    <row r="3763">
      <c r="A3763" s="2">
        <v>45904</v>
      </c>
      <c r="B37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3" s="3" t="str">
        <f>YEAR(KMART_DATA[[#This Row],[Date]])&amp;"-"&amp;TEXT(MONTH(KMART_DATA[[#This Row],[Date]]),"00")</f>
        <v>2025-09</v>
      </c>
      <c r="D3763" s="3" t="s">
        <v>28</v>
      </c>
      <c r="E3763" s="3" t="s">
        <v>201</v>
      </c>
      <c r="F3763" s="3" t="s">
        <v>10</v>
      </c>
      <c r="G37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63" s="3" t="s">
        <v>202</v>
      </c>
      <c r="I3763" s="3" t="s">
        <v>31</v>
      </c>
      <c r="J3763" s="3" t="s">
        <v>89</v>
      </c>
      <c r="K3763" s="3" t="s">
        <v>33</v>
      </c>
      <c r="L3763" s="3" t="s">
        <v>34</v>
      </c>
      <c r="M3763" s="4">
        <v>7.98</v>
      </c>
    </row>
    <row r="3764">
      <c r="A3764" s="2">
        <v>45904</v>
      </c>
      <c r="B37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4" s="3" t="str">
        <f>YEAR(KMART_DATA[[#This Row],[Date]])&amp;"-"&amp;TEXT(MONTH(KMART_DATA[[#This Row],[Date]]),"00")</f>
        <v>2025-09</v>
      </c>
      <c r="D3764" s="3" t="s">
        <v>45</v>
      </c>
      <c r="E3764" s="3" t="s">
        <v>154</v>
      </c>
      <c r="F3764" s="3" t="s">
        <v>11</v>
      </c>
      <c r="G37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64" s="3" t="s">
        <v>155</v>
      </c>
      <c r="I3764" s="3" t="s">
        <v>31</v>
      </c>
      <c r="J3764" s="3" t="s">
        <v>84</v>
      </c>
      <c r="K3764" s="3" t="s">
        <v>38</v>
      </c>
      <c r="L3764" s="3" t="s">
        <v>39</v>
      </c>
      <c r="M3764" s="4">
        <v>8.63</v>
      </c>
    </row>
    <row r="3765">
      <c r="A3765" s="2">
        <v>45904</v>
      </c>
      <c r="B37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5" s="3" t="str">
        <f>YEAR(KMART_DATA[[#This Row],[Date]])&amp;"-"&amp;TEXT(MONTH(KMART_DATA[[#This Row],[Date]]),"00")</f>
        <v>2025-09</v>
      </c>
      <c r="D3765" s="3" t="s">
        <v>28</v>
      </c>
      <c r="E3765" s="3" t="s">
        <v>199</v>
      </c>
      <c r="F3765" s="3" t="s">
        <v>13</v>
      </c>
      <c r="G37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765" s="3" t="s">
        <v>200</v>
      </c>
      <c r="I3765" s="3" t="s">
        <v>31</v>
      </c>
      <c r="J3765" s="3" t="s">
        <v>42</v>
      </c>
      <c r="K3765" s="3" t="s">
        <v>43</v>
      </c>
      <c r="L3765" s="3" t="s">
        <v>44</v>
      </c>
      <c r="M3765" s="4">
        <v>74.93</v>
      </c>
    </row>
    <row r="3766">
      <c r="A3766" s="2">
        <v>45904</v>
      </c>
      <c r="B37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6" s="3" t="str">
        <f>YEAR(KMART_DATA[[#This Row],[Date]])&amp;"-"&amp;TEXT(MONTH(KMART_DATA[[#This Row],[Date]]),"00")</f>
        <v>2025-09</v>
      </c>
      <c r="D3766" s="3" t="s">
        <v>45</v>
      </c>
      <c r="E3766" s="3" t="s">
        <v>215</v>
      </c>
      <c r="F3766" s="3" t="s">
        <v>15</v>
      </c>
      <c r="G37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766" s="3" t="s">
        <v>216</v>
      </c>
      <c r="I3766" s="3" t="s">
        <v>31</v>
      </c>
      <c r="J3766" s="3" t="s">
        <v>53</v>
      </c>
      <c r="K3766" s="3" t="s">
        <v>43</v>
      </c>
      <c r="L3766" s="3" t="s">
        <v>44</v>
      </c>
      <c r="M3766" s="4">
        <v>123.42</v>
      </c>
    </row>
    <row r="3767">
      <c r="A3767" s="2">
        <v>45904</v>
      </c>
      <c r="B37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7" s="3" t="str">
        <f>YEAR(KMART_DATA[[#This Row],[Date]])&amp;"-"&amp;TEXT(MONTH(KMART_DATA[[#This Row],[Date]]),"00")</f>
        <v>2025-09</v>
      </c>
      <c r="D3767" s="3" t="s">
        <v>28</v>
      </c>
      <c r="E3767" s="3" t="s">
        <v>97</v>
      </c>
      <c r="F3767" s="3" t="s">
        <v>9</v>
      </c>
      <c r="G37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67" s="3" t="s">
        <v>98</v>
      </c>
      <c r="I3767" s="3" t="s">
        <v>31</v>
      </c>
      <c r="J3767" s="3" t="s">
        <v>99</v>
      </c>
      <c r="K3767" s="3" t="s">
        <v>71</v>
      </c>
      <c r="L3767" s="3" t="s">
        <v>72</v>
      </c>
      <c r="M3767" s="4">
        <v>415.68</v>
      </c>
    </row>
    <row r="3768">
      <c r="A3768" s="2">
        <v>45904</v>
      </c>
      <c r="B37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8" s="3" t="str">
        <f>YEAR(KMART_DATA[[#This Row],[Date]])&amp;"-"&amp;TEXT(MONTH(KMART_DATA[[#This Row],[Date]]),"00")</f>
        <v>2025-09</v>
      </c>
      <c r="D3768" s="3" t="s">
        <v>45</v>
      </c>
      <c r="E3768" s="3" t="s">
        <v>141</v>
      </c>
      <c r="F3768" s="3" t="s">
        <v>9</v>
      </c>
      <c r="G37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68" s="3" t="s">
        <v>142</v>
      </c>
      <c r="I3768" s="3" t="s">
        <v>31</v>
      </c>
      <c r="J3768" s="3" t="s">
        <v>107</v>
      </c>
      <c r="K3768" s="3" t="s">
        <v>95</v>
      </c>
      <c r="L3768" s="3" t="s">
        <v>96</v>
      </c>
      <c r="M3768" s="4">
        <v>726.35</v>
      </c>
    </row>
    <row r="3769">
      <c r="A3769" s="2">
        <v>45904</v>
      </c>
      <c r="B37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69" s="3" t="str">
        <f>YEAR(KMART_DATA[[#This Row],[Date]])&amp;"-"&amp;TEXT(MONTH(KMART_DATA[[#This Row],[Date]]),"00")</f>
        <v>2025-09</v>
      </c>
      <c r="D3769" s="3" t="s">
        <v>28</v>
      </c>
      <c r="E3769" s="3" t="s">
        <v>211</v>
      </c>
      <c r="F3769" s="3" t="s">
        <v>9</v>
      </c>
      <c r="G37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69" s="3" t="s">
        <v>212</v>
      </c>
      <c r="I3769" s="3" t="s">
        <v>31</v>
      </c>
      <c r="J3769" s="3" t="s">
        <v>75</v>
      </c>
      <c r="K3769" s="3" t="s">
        <v>123</v>
      </c>
      <c r="L3769" s="3" t="s">
        <v>124</v>
      </c>
      <c r="M3769" s="4">
        <v>2807.3</v>
      </c>
    </row>
    <row r="3770">
      <c r="A3770" s="2">
        <v>45905</v>
      </c>
      <c r="B37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0" s="3" t="str">
        <f>YEAR(KMART_DATA[[#This Row],[Date]])&amp;"-"&amp;TEXT(MONTH(KMART_DATA[[#This Row],[Date]]),"00")</f>
        <v>2025-09</v>
      </c>
      <c r="D3770" s="3" t="s">
        <v>28</v>
      </c>
      <c r="E3770" s="3" t="s">
        <v>156</v>
      </c>
      <c r="F3770" s="3" t="s">
        <v>9</v>
      </c>
      <c r="G37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70" s="3" t="s">
        <v>157</v>
      </c>
      <c r="I3770" s="3" t="s">
        <v>31</v>
      </c>
      <c r="J3770" s="3" t="s">
        <v>75</v>
      </c>
      <c r="K3770" s="3" t="s">
        <v>38</v>
      </c>
      <c r="L3770" s="3" t="s">
        <v>39</v>
      </c>
      <c r="M3770" s="4">
        <v>29.95</v>
      </c>
    </row>
    <row r="3771">
      <c r="A3771" s="2">
        <v>45905</v>
      </c>
      <c r="B37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1" s="3" t="str">
        <f>YEAR(KMART_DATA[[#This Row],[Date]])&amp;"-"&amp;TEXT(MONTH(KMART_DATA[[#This Row],[Date]]),"00")</f>
        <v>2025-09</v>
      </c>
      <c r="D3771" s="3" t="s">
        <v>45</v>
      </c>
      <c r="E3771" s="3" t="s">
        <v>250</v>
      </c>
      <c r="F3771" s="3" t="s">
        <v>10</v>
      </c>
      <c r="G37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71" s="3" t="s">
        <v>251</v>
      </c>
      <c r="I3771" s="3" t="s">
        <v>31</v>
      </c>
      <c r="J3771" s="3" t="s">
        <v>37</v>
      </c>
      <c r="K3771" s="3" t="s">
        <v>57</v>
      </c>
      <c r="L3771" s="3" t="s">
        <v>58</v>
      </c>
      <c r="M3771" s="4">
        <v>715.88</v>
      </c>
    </row>
    <row r="3772">
      <c r="A3772" s="2">
        <v>45905</v>
      </c>
      <c r="B37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2" s="3" t="str">
        <f>YEAR(KMART_DATA[[#This Row],[Date]])&amp;"-"&amp;TEXT(MONTH(KMART_DATA[[#This Row],[Date]]),"00")</f>
        <v>2025-09</v>
      </c>
      <c r="D3772" s="3" t="s">
        <v>28</v>
      </c>
      <c r="E3772" s="3" t="s">
        <v>177</v>
      </c>
      <c r="F3772" s="3" t="s">
        <v>12</v>
      </c>
      <c r="G37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72" s="3" t="s">
        <v>178</v>
      </c>
      <c r="I3772" s="3" t="s">
        <v>31</v>
      </c>
      <c r="J3772" s="3" t="s">
        <v>162</v>
      </c>
      <c r="K3772" s="3" t="s">
        <v>123</v>
      </c>
      <c r="L3772" s="3" t="s">
        <v>124</v>
      </c>
      <c r="M3772" s="4">
        <v>951.84</v>
      </c>
    </row>
    <row r="3773">
      <c r="A3773" s="2">
        <v>45906</v>
      </c>
      <c r="B37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3" s="3" t="str">
        <f>YEAR(KMART_DATA[[#This Row],[Date]])&amp;"-"&amp;TEXT(MONTH(KMART_DATA[[#This Row],[Date]]),"00")</f>
        <v>2025-09</v>
      </c>
      <c r="D3773" s="3" t="s">
        <v>45</v>
      </c>
      <c r="E3773" s="3" t="s">
        <v>181</v>
      </c>
      <c r="F3773" s="3" t="s">
        <v>11</v>
      </c>
      <c r="G37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73" s="3" t="s">
        <v>182</v>
      </c>
      <c r="I3773" s="3" t="s">
        <v>31</v>
      </c>
      <c r="J3773" s="3" t="s">
        <v>56</v>
      </c>
      <c r="K3773" s="3" t="s">
        <v>43</v>
      </c>
      <c r="L3773" s="3" t="s">
        <v>44</v>
      </c>
      <c r="M3773" s="4">
        <v>82.3</v>
      </c>
    </row>
    <row r="3774">
      <c r="A3774" s="2">
        <v>45906</v>
      </c>
      <c r="B37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4" s="3" t="str">
        <f>YEAR(KMART_DATA[[#This Row],[Date]])&amp;"-"&amp;TEXT(MONTH(KMART_DATA[[#This Row],[Date]]),"00")</f>
        <v>2025-09</v>
      </c>
      <c r="D3774" s="3" t="s">
        <v>28</v>
      </c>
      <c r="E3774" s="3" t="s">
        <v>262</v>
      </c>
      <c r="F3774" s="3" t="s">
        <v>10</v>
      </c>
      <c r="G37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74" s="3" t="s">
        <v>263</v>
      </c>
      <c r="I3774" s="3" t="s">
        <v>31</v>
      </c>
      <c r="J3774" s="3" t="s">
        <v>120</v>
      </c>
      <c r="K3774" s="3" t="s">
        <v>43</v>
      </c>
      <c r="L3774" s="3" t="s">
        <v>44</v>
      </c>
      <c r="M3774" s="4">
        <v>83.86</v>
      </c>
    </row>
    <row r="3775">
      <c r="A3775" s="2">
        <v>45906</v>
      </c>
      <c r="B37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5" s="3" t="str">
        <f>YEAR(KMART_DATA[[#This Row],[Date]])&amp;"-"&amp;TEXT(MONTH(KMART_DATA[[#This Row],[Date]]),"00")</f>
        <v>2025-09</v>
      </c>
      <c r="D3775" s="3" t="s">
        <v>28</v>
      </c>
      <c r="E3775" s="3" t="s">
        <v>232</v>
      </c>
      <c r="F3775" s="3" t="s">
        <v>9</v>
      </c>
      <c r="G37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75" s="3" t="s">
        <v>233</v>
      </c>
      <c r="I3775" s="3" t="s">
        <v>31</v>
      </c>
      <c r="J3775" s="3" t="s">
        <v>75</v>
      </c>
      <c r="K3775" s="3" t="s">
        <v>95</v>
      </c>
      <c r="L3775" s="3" t="s">
        <v>96</v>
      </c>
      <c r="M3775" s="4">
        <v>136.28</v>
      </c>
    </row>
    <row r="3776">
      <c r="A3776" s="2">
        <v>45906</v>
      </c>
      <c r="B37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6" s="3" t="str">
        <f>YEAR(KMART_DATA[[#This Row],[Date]])&amp;"-"&amp;TEXT(MONTH(KMART_DATA[[#This Row],[Date]]),"00")</f>
        <v>2025-09</v>
      </c>
      <c r="D3776" s="3" t="s">
        <v>28</v>
      </c>
      <c r="E3776" s="3" t="s">
        <v>262</v>
      </c>
      <c r="F3776" s="3" t="s">
        <v>10</v>
      </c>
      <c r="G37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76" s="3" t="s">
        <v>263</v>
      </c>
      <c r="I3776" s="3" t="s">
        <v>31</v>
      </c>
      <c r="J3776" s="3" t="s">
        <v>120</v>
      </c>
      <c r="K3776" s="3" t="s">
        <v>95</v>
      </c>
      <c r="L3776" s="3" t="s">
        <v>96</v>
      </c>
      <c r="M3776" s="4">
        <v>405.97</v>
      </c>
    </row>
    <row r="3777">
      <c r="A3777" s="2">
        <v>45906</v>
      </c>
      <c r="B37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7" s="3" t="str">
        <f>YEAR(KMART_DATA[[#This Row],[Date]])&amp;"-"&amp;TEXT(MONTH(KMART_DATA[[#This Row],[Date]]),"00")</f>
        <v>2025-09</v>
      </c>
      <c r="D3777" s="3" t="s">
        <v>28</v>
      </c>
      <c r="E3777" s="3" t="s">
        <v>129</v>
      </c>
      <c r="F3777" s="3" t="s">
        <v>10</v>
      </c>
      <c r="G37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77" s="3" t="s">
        <v>130</v>
      </c>
      <c r="I3777" s="3" t="s">
        <v>31</v>
      </c>
      <c r="J3777" s="3" t="s">
        <v>120</v>
      </c>
      <c r="K3777" s="3" t="s">
        <v>71</v>
      </c>
      <c r="L3777" s="3" t="s">
        <v>72</v>
      </c>
      <c r="M3777" s="4">
        <v>452.17</v>
      </c>
    </row>
    <row r="3778">
      <c r="A3778" s="2">
        <v>45906</v>
      </c>
      <c r="B37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8" s="3" t="str">
        <f>YEAR(KMART_DATA[[#This Row],[Date]])&amp;"-"&amp;TEXT(MONTH(KMART_DATA[[#This Row],[Date]]),"00")</f>
        <v>2025-09</v>
      </c>
      <c r="D3778" s="3" t="s">
        <v>28</v>
      </c>
      <c r="E3778" s="3" t="s">
        <v>207</v>
      </c>
      <c r="F3778" s="3" t="s">
        <v>11</v>
      </c>
      <c r="G37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78" s="3" t="s">
        <v>208</v>
      </c>
      <c r="I3778" s="3" t="s">
        <v>31</v>
      </c>
      <c r="J3778" s="3" t="s">
        <v>78</v>
      </c>
      <c r="K3778" s="3" t="s">
        <v>46</v>
      </c>
      <c r="L3778" s="3" t="s">
        <v>47</v>
      </c>
      <c r="M3778" s="4">
        <v>1119.66</v>
      </c>
    </row>
    <row r="3779">
      <c r="A3779" s="2">
        <v>45906</v>
      </c>
      <c r="B37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79" s="3" t="str">
        <f>YEAR(KMART_DATA[[#This Row],[Date]])&amp;"-"&amp;TEXT(MONTH(KMART_DATA[[#This Row],[Date]]),"00")</f>
        <v>2025-09</v>
      </c>
      <c r="D3779" s="3" t="s">
        <v>28</v>
      </c>
      <c r="E3779" s="3" t="s">
        <v>35</v>
      </c>
      <c r="F3779" s="3" t="s">
        <v>10</v>
      </c>
      <c r="G37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79" s="3" t="s">
        <v>36</v>
      </c>
      <c r="I3779" s="3" t="s">
        <v>31</v>
      </c>
      <c r="J3779" s="3" t="s">
        <v>37</v>
      </c>
      <c r="K3779" s="3" t="s">
        <v>57</v>
      </c>
      <c r="L3779" s="3" t="s">
        <v>58</v>
      </c>
      <c r="M3779" s="4">
        <v>1821.34</v>
      </c>
    </row>
    <row r="3780">
      <c r="A3780" s="2">
        <v>45907</v>
      </c>
      <c r="B37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0" s="3" t="str">
        <f>YEAR(KMART_DATA[[#This Row],[Date]])&amp;"-"&amp;TEXT(MONTH(KMART_DATA[[#This Row],[Date]]),"00")</f>
        <v>2025-09</v>
      </c>
      <c r="D3780" s="3" t="s">
        <v>28</v>
      </c>
      <c r="E3780" s="3" t="s">
        <v>90</v>
      </c>
      <c r="F3780" s="3" t="s">
        <v>10</v>
      </c>
      <c r="G37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80" s="3" t="s">
        <v>91</v>
      </c>
      <c r="I3780" s="3" t="s">
        <v>31</v>
      </c>
      <c r="J3780" s="3" t="s">
        <v>37</v>
      </c>
      <c r="K3780" s="3" t="s">
        <v>33</v>
      </c>
      <c r="L3780" s="3" t="s">
        <v>34</v>
      </c>
      <c r="M3780" s="4">
        <v>20.93</v>
      </c>
    </row>
    <row r="3781">
      <c r="A3781" s="2">
        <v>45907</v>
      </c>
      <c r="B37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1" s="3" t="str">
        <f>YEAR(KMART_DATA[[#This Row],[Date]])&amp;"-"&amp;TEXT(MONTH(KMART_DATA[[#This Row],[Date]]),"00")</f>
        <v>2025-09</v>
      </c>
      <c r="D3781" s="3" t="s">
        <v>28</v>
      </c>
      <c r="E3781" s="3" t="s">
        <v>234</v>
      </c>
      <c r="F3781" s="3" t="s">
        <v>9</v>
      </c>
      <c r="G37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81" s="3" t="s">
        <v>235</v>
      </c>
      <c r="I3781" s="3" t="s">
        <v>31</v>
      </c>
      <c r="J3781" s="3" t="s">
        <v>81</v>
      </c>
      <c r="K3781" s="3" t="s">
        <v>123</v>
      </c>
      <c r="L3781" s="3" t="s">
        <v>124</v>
      </c>
      <c r="M3781" s="4">
        <v>39.94</v>
      </c>
    </row>
    <row r="3782">
      <c r="A3782" s="2">
        <v>45907</v>
      </c>
      <c r="B37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2" s="3" t="str">
        <f>YEAR(KMART_DATA[[#This Row],[Date]])&amp;"-"&amp;TEXT(MONTH(KMART_DATA[[#This Row],[Date]]),"00")</f>
        <v>2025-09</v>
      </c>
      <c r="D3782" s="3" t="s">
        <v>28</v>
      </c>
      <c r="E3782" s="3" t="s">
        <v>167</v>
      </c>
      <c r="F3782" s="3" t="s">
        <v>12</v>
      </c>
      <c r="G37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82" s="3" t="s">
        <v>168</v>
      </c>
      <c r="I3782" s="3" t="s">
        <v>31</v>
      </c>
      <c r="J3782" s="3" t="s">
        <v>102</v>
      </c>
      <c r="K3782" s="3" t="s">
        <v>95</v>
      </c>
      <c r="L3782" s="3" t="s">
        <v>96</v>
      </c>
      <c r="M3782" s="4">
        <v>157.8</v>
      </c>
    </row>
    <row r="3783">
      <c r="A3783" s="2">
        <v>45907</v>
      </c>
      <c r="B37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3" s="3" t="str">
        <f>YEAR(KMART_DATA[[#This Row],[Date]])&amp;"-"&amp;TEXT(MONTH(KMART_DATA[[#This Row],[Date]]),"00")</f>
        <v>2025-09</v>
      </c>
      <c r="D3783" s="3" t="s">
        <v>28</v>
      </c>
      <c r="E3783" s="3" t="s">
        <v>211</v>
      </c>
      <c r="F3783" s="3" t="s">
        <v>9</v>
      </c>
      <c r="G37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83" s="3" t="s">
        <v>212</v>
      </c>
      <c r="I3783" s="3" t="s">
        <v>31</v>
      </c>
      <c r="J3783" s="3" t="s">
        <v>75</v>
      </c>
      <c r="K3783" s="3" t="s">
        <v>123</v>
      </c>
      <c r="L3783" s="3" t="s">
        <v>124</v>
      </c>
      <c r="M3783" s="4">
        <v>756.55</v>
      </c>
    </row>
    <row r="3784">
      <c r="A3784" s="2">
        <v>45907</v>
      </c>
      <c r="B37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4" s="3" t="str">
        <f>YEAR(KMART_DATA[[#This Row],[Date]])&amp;"-"&amp;TEXT(MONTH(KMART_DATA[[#This Row],[Date]]),"00")</f>
        <v>2025-09</v>
      </c>
      <c r="D3784" s="3" t="s">
        <v>45</v>
      </c>
      <c r="E3784" s="3" t="s">
        <v>209</v>
      </c>
      <c r="F3784" s="3" t="s">
        <v>9</v>
      </c>
      <c r="G37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84" s="3" t="s">
        <v>210</v>
      </c>
      <c r="I3784" s="3" t="s">
        <v>31</v>
      </c>
      <c r="J3784" s="3" t="s">
        <v>81</v>
      </c>
      <c r="K3784" s="3" t="s">
        <v>71</v>
      </c>
      <c r="L3784" s="3" t="s">
        <v>72</v>
      </c>
      <c r="M3784" s="4">
        <v>2100.31</v>
      </c>
    </row>
    <row r="3785">
      <c r="A3785" s="2">
        <v>45907</v>
      </c>
      <c r="B37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5" s="3" t="str">
        <f>YEAR(KMART_DATA[[#This Row],[Date]])&amp;"-"&amp;TEXT(MONTH(KMART_DATA[[#This Row],[Date]]),"00")</f>
        <v>2025-09</v>
      </c>
      <c r="D3785" s="3" t="s">
        <v>28</v>
      </c>
      <c r="E3785" s="3" t="s">
        <v>221</v>
      </c>
      <c r="F3785" s="3" t="s">
        <v>11</v>
      </c>
      <c r="G37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85" s="3" t="s">
        <v>222</v>
      </c>
      <c r="I3785" s="3" t="s">
        <v>31</v>
      </c>
      <c r="J3785" s="3" t="s">
        <v>56</v>
      </c>
      <c r="K3785" s="3" t="s">
        <v>46</v>
      </c>
      <c r="L3785" s="3" t="s">
        <v>47</v>
      </c>
      <c r="M3785" s="4">
        <v>3050.32</v>
      </c>
    </row>
    <row r="3786">
      <c r="A3786" s="2">
        <v>45908</v>
      </c>
      <c r="B37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6" s="3" t="str">
        <f>YEAR(KMART_DATA[[#This Row],[Date]])&amp;"-"&amp;TEXT(MONTH(KMART_DATA[[#This Row],[Date]]),"00")</f>
        <v>2025-09</v>
      </c>
      <c r="D3786" s="3" t="s">
        <v>28</v>
      </c>
      <c r="E3786" s="3" t="s">
        <v>191</v>
      </c>
      <c r="F3786" s="3" t="s">
        <v>10</v>
      </c>
      <c r="G37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86" s="3" t="s">
        <v>192</v>
      </c>
      <c r="I3786" s="3" t="s">
        <v>31</v>
      </c>
      <c r="J3786" s="3" t="s">
        <v>120</v>
      </c>
      <c r="K3786" s="3" t="s">
        <v>57</v>
      </c>
      <c r="L3786" s="3" t="s">
        <v>58</v>
      </c>
      <c r="M3786" s="4">
        <v>32.99</v>
      </c>
    </row>
    <row r="3787">
      <c r="A3787" s="2">
        <v>45908</v>
      </c>
      <c r="B37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7" s="3" t="str">
        <f>YEAR(KMART_DATA[[#This Row],[Date]])&amp;"-"&amp;TEXT(MONTH(KMART_DATA[[#This Row],[Date]]),"00")</f>
        <v>2025-09</v>
      </c>
      <c r="D3787" s="3" t="s">
        <v>45</v>
      </c>
      <c r="E3787" s="3" t="s">
        <v>244</v>
      </c>
      <c r="F3787" s="3" t="s">
        <v>13</v>
      </c>
      <c r="G37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787" s="3" t="s">
        <v>245</v>
      </c>
      <c r="I3787" s="3" t="s">
        <v>31</v>
      </c>
      <c r="J3787" s="3" t="s">
        <v>42</v>
      </c>
      <c r="K3787" s="3" t="s">
        <v>71</v>
      </c>
      <c r="L3787" s="3" t="s">
        <v>72</v>
      </c>
      <c r="M3787" s="4">
        <v>45.91</v>
      </c>
    </row>
    <row r="3788">
      <c r="A3788" s="2">
        <v>45908</v>
      </c>
      <c r="B37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8" s="3" t="str">
        <f>YEAR(KMART_DATA[[#This Row],[Date]])&amp;"-"&amp;TEXT(MONTH(KMART_DATA[[#This Row],[Date]]),"00")</f>
        <v>2025-09</v>
      </c>
      <c r="D3788" s="3" t="s">
        <v>28</v>
      </c>
      <c r="E3788" s="3" t="s">
        <v>209</v>
      </c>
      <c r="F3788" s="3" t="s">
        <v>9</v>
      </c>
      <c r="G37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88" s="3" t="s">
        <v>210</v>
      </c>
      <c r="I3788" s="3" t="s">
        <v>31</v>
      </c>
      <c r="J3788" s="3" t="s">
        <v>81</v>
      </c>
      <c r="K3788" s="3" t="s">
        <v>38</v>
      </c>
      <c r="L3788" s="3" t="s">
        <v>39</v>
      </c>
      <c r="M3788" s="4">
        <v>48.91</v>
      </c>
    </row>
    <row r="3789">
      <c r="A3789" s="2">
        <v>45908</v>
      </c>
      <c r="B37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89" s="3" t="str">
        <f>YEAR(KMART_DATA[[#This Row],[Date]])&amp;"-"&amp;TEXT(MONTH(KMART_DATA[[#This Row],[Date]]),"00")</f>
        <v>2025-09</v>
      </c>
      <c r="D3789" s="3" t="s">
        <v>28</v>
      </c>
      <c r="E3789" s="3" t="s">
        <v>234</v>
      </c>
      <c r="F3789" s="3" t="s">
        <v>9</v>
      </c>
      <c r="G37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89" s="3" t="s">
        <v>235</v>
      </c>
      <c r="I3789" s="3" t="s">
        <v>31</v>
      </c>
      <c r="J3789" s="3" t="s">
        <v>81</v>
      </c>
      <c r="K3789" s="3" t="s">
        <v>43</v>
      </c>
      <c r="L3789" s="3" t="s">
        <v>44</v>
      </c>
      <c r="M3789" s="4">
        <v>106.94</v>
      </c>
    </row>
    <row r="3790">
      <c r="A3790" s="2">
        <v>45908</v>
      </c>
      <c r="B37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0" s="3" t="str">
        <f>YEAR(KMART_DATA[[#This Row],[Date]])&amp;"-"&amp;TEXT(MONTH(KMART_DATA[[#This Row],[Date]]),"00")</f>
        <v>2025-09</v>
      </c>
      <c r="D3790" s="3" t="s">
        <v>28</v>
      </c>
      <c r="E3790" s="3" t="s">
        <v>143</v>
      </c>
      <c r="F3790" s="3" t="s">
        <v>14</v>
      </c>
      <c r="G37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790" s="3" t="s">
        <v>144</v>
      </c>
      <c r="I3790" s="3" t="s">
        <v>31</v>
      </c>
      <c r="J3790" s="3" t="s">
        <v>145</v>
      </c>
      <c r="K3790" s="3" t="s">
        <v>71</v>
      </c>
      <c r="L3790" s="3" t="s">
        <v>72</v>
      </c>
      <c r="M3790" s="4">
        <v>131.27</v>
      </c>
    </row>
    <row r="3791">
      <c r="A3791" s="2">
        <v>45908</v>
      </c>
      <c r="B37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1" s="3" t="str">
        <f>YEAR(KMART_DATA[[#This Row],[Date]])&amp;"-"&amp;TEXT(MONTH(KMART_DATA[[#This Row],[Date]]),"00")</f>
        <v>2025-09</v>
      </c>
      <c r="D3791" s="3" t="s">
        <v>28</v>
      </c>
      <c r="E3791" s="3" t="s">
        <v>137</v>
      </c>
      <c r="F3791" s="3" t="s">
        <v>10</v>
      </c>
      <c r="G37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91" s="3" t="s">
        <v>138</v>
      </c>
      <c r="I3791" s="3" t="s">
        <v>31</v>
      </c>
      <c r="J3791" s="3" t="s">
        <v>89</v>
      </c>
      <c r="K3791" s="3" t="s">
        <v>46</v>
      </c>
      <c r="L3791" s="3" t="s">
        <v>47</v>
      </c>
      <c r="M3791" s="4">
        <v>270.67</v>
      </c>
    </row>
    <row r="3792">
      <c r="A3792" s="2">
        <v>45908</v>
      </c>
      <c r="B37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2" s="3" t="str">
        <f>YEAR(KMART_DATA[[#This Row],[Date]])&amp;"-"&amp;TEXT(MONTH(KMART_DATA[[#This Row],[Date]]),"00")</f>
        <v>2025-09</v>
      </c>
      <c r="D3792" s="3" t="s">
        <v>45</v>
      </c>
      <c r="E3792" s="3" t="s">
        <v>238</v>
      </c>
      <c r="F3792" s="3" t="s">
        <v>13</v>
      </c>
      <c r="G37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792" s="3" t="s">
        <v>239</v>
      </c>
      <c r="I3792" s="3" t="s">
        <v>31</v>
      </c>
      <c r="J3792" s="3" t="s">
        <v>42</v>
      </c>
      <c r="K3792" s="3" t="s">
        <v>71</v>
      </c>
      <c r="L3792" s="3" t="s">
        <v>72</v>
      </c>
      <c r="M3792" s="4">
        <v>293.34</v>
      </c>
    </row>
    <row r="3793">
      <c r="A3793" s="2">
        <v>45908</v>
      </c>
      <c r="B37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3" s="3" t="str">
        <f>YEAR(KMART_DATA[[#This Row],[Date]])&amp;"-"&amp;TEXT(MONTH(KMART_DATA[[#This Row],[Date]]),"00")</f>
        <v>2025-09</v>
      </c>
      <c r="D3793" s="3" t="s">
        <v>28</v>
      </c>
      <c r="E3793" s="3" t="s">
        <v>51</v>
      </c>
      <c r="F3793" s="3" t="s">
        <v>15</v>
      </c>
      <c r="G37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793" s="3" t="s">
        <v>52</v>
      </c>
      <c r="I3793" s="3" t="s">
        <v>31</v>
      </c>
      <c r="J3793" s="3" t="s">
        <v>53</v>
      </c>
      <c r="K3793" s="3" t="s">
        <v>57</v>
      </c>
      <c r="L3793" s="3" t="s">
        <v>58</v>
      </c>
      <c r="M3793" s="4">
        <v>356.27</v>
      </c>
    </row>
    <row r="3794">
      <c r="A3794" s="2">
        <v>45908</v>
      </c>
      <c r="B37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4" s="3" t="str">
        <f>YEAR(KMART_DATA[[#This Row],[Date]])&amp;"-"&amp;TEXT(MONTH(KMART_DATA[[#This Row],[Date]]),"00")</f>
        <v>2025-09</v>
      </c>
      <c r="D3794" s="3" t="s">
        <v>28</v>
      </c>
      <c r="E3794" s="3" t="s">
        <v>158</v>
      </c>
      <c r="F3794" s="3" t="s">
        <v>11</v>
      </c>
      <c r="G37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794" s="3" t="s">
        <v>159</v>
      </c>
      <c r="I3794" s="3" t="s">
        <v>31</v>
      </c>
      <c r="J3794" s="3" t="s">
        <v>84</v>
      </c>
      <c r="K3794" s="3" t="s">
        <v>71</v>
      </c>
      <c r="L3794" s="3" t="s">
        <v>72</v>
      </c>
      <c r="M3794" s="4">
        <v>1836.5</v>
      </c>
    </row>
    <row r="3795">
      <c r="A3795" s="2">
        <v>45909</v>
      </c>
      <c r="B37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5" s="3" t="str">
        <f>YEAR(KMART_DATA[[#This Row],[Date]])&amp;"-"&amp;TEXT(MONTH(KMART_DATA[[#This Row],[Date]]),"00")</f>
        <v>2025-09</v>
      </c>
      <c r="D3795" s="3" t="s">
        <v>28</v>
      </c>
      <c r="E3795" s="3" t="s">
        <v>100</v>
      </c>
      <c r="F3795" s="3" t="s">
        <v>12</v>
      </c>
      <c r="G37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795" s="3" t="s">
        <v>101</v>
      </c>
      <c r="I3795" s="3" t="s">
        <v>31</v>
      </c>
      <c r="J3795" s="3" t="s">
        <v>102</v>
      </c>
      <c r="K3795" s="3" t="s">
        <v>38</v>
      </c>
      <c r="L3795" s="3" t="s">
        <v>39</v>
      </c>
      <c r="M3795" s="4">
        <v>217.11</v>
      </c>
    </row>
    <row r="3796">
      <c r="A3796" s="2">
        <v>45909</v>
      </c>
      <c r="B37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6" s="3" t="str">
        <f>YEAR(KMART_DATA[[#This Row],[Date]])&amp;"-"&amp;TEXT(MONTH(KMART_DATA[[#This Row],[Date]]),"00")</f>
        <v>2025-09</v>
      </c>
      <c r="D3796" s="3" t="s">
        <v>28</v>
      </c>
      <c r="E3796" s="3" t="s">
        <v>165</v>
      </c>
      <c r="F3796" s="3" t="s">
        <v>9</v>
      </c>
      <c r="G37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96" s="3" t="s">
        <v>166</v>
      </c>
      <c r="I3796" s="3" t="s">
        <v>31</v>
      </c>
      <c r="J3796" s="3" t="s">
        <v>99</v>
      </c>
      <c r="K3796" s="3" t="s">
        <v>57</v>
      </c>
      <c r="L3796" s="3" t="s">
        <v>58</v>
      </c>
      <c r="M3796" s="4">
        <v>898.86</v>
      </c>
    </row>
    <row r="3797">
      <c r="A3797" s="2">
        <v>45910</v>
      </c>
      <c r="B37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7" s="3" t="str">
        <f>YEAR(KMART_DATA[[#This Row],[Date]])&amp;"-"&amp;TEXT(MONTH(KMART_DATA[[#This Row],[Date]]),"00")</f>
        <v>2025-09</v>
      </c>
      <c r="D3797" s="3" t="s">
        <v>28</v>
      </c>
      <c r="E3797" s="3" t="s">
        <v>141</v>
      </c>
      <c r="F3797" s="3" t="s">
        <v>9</v>
      </c>
      <c r="G37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97" s="3" t="s">
        <v>142</v>
      </c>
      <c r="I3797" s="3" t="s">
        <v>31</v>
      </c>
      <c r="J3797" s="3" t="s">
        <v>107</v>
      </c>
      <c r="K3797" s="3" t="s">
        <v>33</v>
      </c>
      <c r="L3797" s="3" t="s">
        <v>34</v>
      </c>
      <c r="M3797" s="4">
        <v>7.98</v>
      </c>
    </row>
    <row r="3798">
      <c r="A3798" s="2">
        <v>45910</v>
      </c>
      <c r="B37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8" s="3" t="str">
        <f>YEAR(KMART_DATA[[#This Row],[Date]])&amp;"-"&amp;TEXT(MONTH(KMART_DATA[[#This Row],[Date]]),"00")</f>
        <v>2025-09</v>
      </c>
      <c r="D3798" s="3" t="s">
        <v>28</v>
      </c>
      <c r="E3798" s="3" t="s">
        <v>262</v>
      </c>
      <c r="F3798" s="3" t="s">
        <v>10</v>
      </c>
      <c r="G37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798" s="3" t="s">
        <v>263</v>
      </c>
      <c r="I3798" s="3" t="s">
        <v>31</v>
      </c>
      <c r="J3798" s="3" t="s">
        <v>120</v>
      </c>
      <c r="K3798" s="3" t="s">
        <v>43</v>
      </c>
      <c r="L3798" s="3" t="s">
        <v>44</v>
      </c>
      <c r="M3798" s="4">
        <v>13.08</v>
      </c>
    </row>
    <row r="3799">
      <c r="A3799" s="2">
        <v>45910</v>
      </c>
      <c r="B37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799" s="3" t="str">
        <f>YEAR(KMART_DATA[[#This Row],[Date]])&amp;"-"&amp;TEXT(MONTH(KMART_DATA[[#This Row],[Date]]),"00")</f>
        <v>2025-09</v>
      </c>
      <c r="D3799" s="3" t="s">
        <v>28</v>
      </c>
      <c r="E3799" s="3" t="s">
        <v>141</v>
      </c>
      <c r="F3799" s="3" t="s">
        <v>9</v>
      </c>
      <c r="G37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799" s="3" t="s">
        <v>142</v>
      </c>
      <c r="I3799" s="3" t="s">
        <v>31</v>
      </c>
      <c r="J3799" s="3" t="s">
        <v>107</v>
      </c>
      <c r="K3799" s="3" t="s">
        <v>71</v>
      </c>
      <c r="L3799" s="3" t="s">
        <v>72</v>
      </c>
      <c r="M3799" s="4">
        <v>40.0</v>
      </c>
    </row>
    <row r="3800">
      <c r="A3800" s="2">
        <v>45910</v>
      </c>
      <c r="B38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0" s="3" t="str">
        <f>YEAR(KMART_DATA[[#This Row],[Date]])&amp;"-"&amp;TEXT(MONTH(KMART_DATA[[#This Row],[Date]]),"00")</f>
        <v>2025-09</v>
      </c>
      <c r="D3800" s="3" t="s">
        <v>28</v>
      </c>
      <c r="E3800" s="3" t="s">
        <v>59</v>
      </c>
      <c r="F3800" s="3" t="s">
        <v>11</v>
      </c>
      <c r="G38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00" s="3" t="s">
        <v>60</v>
      </c>
      <c r="I3800" s="3" t="s">
        <v>31</v>
      </c>
      <c r="J3800" s="3" t="s">
        <v>61</v>
      </c>
      <c r="K3800" s="3" t="s">
        <v>112</v>
      </c>
      <c r="L3800" s="3" t="s">
        <v>113</v>
      </c>
      <c r="M3800" s="4">
        <v>239.94</v>
      </c>
    </row>
    <row r="3801">
      <c r="A3801" s="2">
        <v>45910</v>
      </c>
      <c r="B38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1" s="3" t="str">
        <f>YEAR(KMART_DATA[[#This Row],[Date]])&amp;"-"&amp;TEXT(MONTH(KMART_DATA[[#This Row],[Date]]),"00")</f>
        <v>2025-09</v>
      </c>
      <c r="D3801" s="3" t="s">
        <v>45</v>
      </c>
      <c r="E3801" s="3" t="s">
        <v>250</v>
      </c>
      <c r="F3801" s="3" t="s">
        <v>10</v>
      </c>
      <c r="G38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01" s="3" t="s">
        <v>251</v>
      </c>
      <c r="I3801" s="3" t="s">
        <v>31</v>
      </c>
      <c r="J3801" s="3" t="s">
        <v>37</v>
      </c>
      <c r="K3801" s="3" t="s">
        <v>123</v>
      </c>
      <c r="L3801" s="3" t="s">
        <v>124</v>
      </c>
      <c r="M3801" s="4">
        <v>680.99</v>
      </c>
    </row>
    <row r="3802">
      <c r="A3802" s="2">
        <v>45911</v>
      </c>
      <c r="B38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2" s="3" t="str">
        <f>YEAR(KMART_DATA[[#This Row],[Date]])&amp;"-"&amp;TEXT(MONTH(KMART_DATA[[#This Row],[Date]]),"00")</f>
        <v>2025-09</v>
      </c>
      <c r="D3802" s="3" t="s">
        <v>28</v>
      </c>
      <c r="E3802" s="3" t="s">
        <v>256</v>
      </c>
      <c r="F3802" s="3" t="s">
        <v>9</v>
      </c>
      <c r="G38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02" s="3" t="s">
        <v>257</v>
      </c>
      <c r="I3802" s="3" t="s">
        <v>31</v>
      </c>
      <c r="J3802" s="3" t="s">
        <v>70</v>
      </c>
      <c r="K3802" s="3" t="s">
        <v>33</v>
      </c>
      <c r="L3802" s="3" t="s">
        <v>34</v>
      </c>
      <c r="M3802" s="4">
        <v>7.98</v>
      </c>
    </row>
    <row r="3803">
      <c r="A3803" s="2">
        <v>45911</v>
      </c>
      <c r="B38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3" s="3" t="str">
        <f>YEAR(KMART_DATA[[#This Row],[Date]])&amp;"-"&amp;TEXT(MONTH(KMART_DATA[[#This Row],[Date]]),"00")</f>
        <v>2025-09</v>
      </c>
      <c r="D3803" s="3" t="s">
        <v>28</v>
      </c>
      <c r="E3803" s="3" t="s">
        <v>177</v>
      </c>
      <c r="F3803" s="3" t="s">
        <v>12</v>
      </c>
      <c r="G38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03" s="3" t="s">
        <v>178</v>
      </c>
      <c r="I3803" s="3" t="s">
        <v>31</v>
      </c>
      <c r="J3803" s="3" t="s">
        <v>162</v>
      </c>
      <c r="K3803" s="3" t="s">
        <v>95</v>
      </c>
      <c r="L3803" s="3" t="s">
        <v>96</v>
      </c>
      <c r="M3803" s="4">
        <v>79.1</v>
      </c>
    </row>
    <row r="3804">
      <c r="A3804" s="2">
        <v>45911</v>
      </c>
      <c r="B38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4" s="3" t="str">
        <f>YEAR(KMART_DATA[[#This Row],[Date]])&amp;"-"&amp;TEXT(MONTH(KMART_DATA[[#This Row],[Date]]),"00")</f>
        <v>2025-09</v>
      </c>
      <c r="D3804" s="3" t="s">
        <v>45</v>
      </c>
      <c r="E3804" s="3" t="s">
        <v>211</v>
      </c>
      <c r="F3804" s="3" t="s">
        <v>9</v>
      </c>
      <c r="G38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04" s="3" t="s">
        <v>212</v>
      </c>
      <c r="I3804" s="3" t="s">
        <v>31</v>
      </c>
      <c r="J3804" s="3" t="s">
        <v>75</v>
      </c>
      <c r="K3804" s="3" t="s">
        <v>43</v>
      </c>
      <c r="L3804" s="3" t="s">
        <v>44</v>
      </c>
      <c r="M3804" s="4">
        <v>81.25</v>
      </c>
    </row>
    <row r="3805">
      <c r="A3805" s="2">
        <v>45911</v>
      </c>
      <c r="B38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5" s="3" t="str">
        <f>YEAR(KMART_DATA[[#This Row],[Date]])&amp;"-"&amp;TEXT(MONTH(KMART_DATA[[#This Row],[Date]]),"00")</f>
        <v>2025-09</v>
      </c>
      <c r="D3805" s="3" t="s">
        <v>45</v>
      </c>
      <c r="E3805" s="3" t="s">
        <v>171</v>
      </c>
      <c r="F3805" s="3" t="s">
        <v>10</v>
      </c>
      <c r="G38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05" s="3" t="s">
        <v>172</v>
      </c>
      <c r="I3805" s="3" t="s">
        <v>31</v>
      </c>
      <c r="J3805" s="3" t="s">
        <v>37</v>
      </c>
      <c r="K3805" s="3" t="s">
        <v>43</v>
      </c>
      <c r="L3805" s="3" t="s">
        <v>44</v>
      </c>
      <c r="M3805" s="4">
        <v>176.12</v>
      </c>
    </row>
    <row r="3806">
      <c r="A3806" s="2">
        <v>45911</v>
      </c>
      <c r="B38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6" s="3" t="str">
        <f>YEAR(KMART_DATA[[#This Row],[Date]])&amp;"-"&amp;TEXT(MONTH(KMART_DATA[[#This Row],[Date]]),"00")</f>
        <v>2025-09</v>
      </c>
      <c r="D3806" s="3" t="s">
        <v>28</v>
      </c>
      <c r="E3806" s="3" t="s">
        <v>152</v>
      </c>
      <c r="F3806" s="3" t="s">
        <v>11</v>
      </c>
      <c r="G38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06" s="3" t="s">
        <v>153</v>
      </c>
      <c r="I3806" s="3" t="s">
        <v>31</v>
      </c>
      <c r="J3806" s="3" t="s">
        <v>61</v>
      </c>
      <c r="K3806" s="3" t="s">
        <v>71</v>
      </c>
      <c r="L3806" s="3" t="s">
        <v>72</v>
      </c>
      <c r="M3806" s="4">
        <v>465.56</v>
      </c>
    </row>
    <row r="3807">
      <c r="A3807" s="2">
        <v>45911</v>
      </c>
      <c r="B38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7" s="3" t="str">
        <f>YEAR(KMART_DATA[[#This Row],[Date]])&amp;"-"&amp;TEXT(MONTH(KMART_DATA[[#This Row],[Date]]),"00")</f>
        <v>2025-09</v>
      </c>
      <c r="D3807" s="3" t="s">
        <v>28</v>
      </c>
      <c r="E3807" s="3" t="s">
        <v>256</v>
      </c>
      <c r="F3807" s="3" t="s">
        <v>9</v>
      </c>
      <c r="G38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07" s="3" t="s">
        <v>257</v>
      </c>
      <c r="I3807" s="3" t="s">
        <v>31</v>
      </c>
      <c r="J3807" s="3" t="s">
        <v>70</v>
      </c>
      <c r="K3807" s="3" t="s">
        <v>38</v>
      </c>
      <c r="L3807" s="3" t="s">
        <v>39</v>
      </c>
      <c r="M3807" s="4">
        <v>535.75</v>
      </c>
    </row>
    <row r="3808">
      <c r="A3808" s="2">
        <v>45911</v>
      </c>
      <c r="B38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8" s="3" t="str">
        <f>YEAR(KMART_DATA[[#This Row],[Date]])&amp;"-"&amp;TEXT(MONTH(KMART_DATA[[#This Row],[Date]]),"00")</f>
        <v>2025-09</v>
      </c>
      <c r="D3808" s="3" t="s">
        <v>28</v>
      </c>
      <c r="E3808" s="3" t="s">
        <v>97</v>
      </c>
      <c r="F3808" s="3" t="s">
        <v>9</v>
      </c>
      <c r="G38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08" s="3" t="s">
        <v>98</v>
      </c>
      <c r="I3808" s="3" t="s">
        <v>31</v>
      </c>
      <c r="J3808" s="3" t="s">
        <v>99</v>
      </c>
      <c r="K3808" s="3" t="s">
        <v>95</v>
      </c>
      <c r="L3808" s="3" t="s">
        <v>96</v>
      </c>
      <c r="M3808" s="4">
        <v>6641.99</v>
      </c>
    </row>
    <row r="3809">
      <c r="A3809" s="2">
        <v>45912</v>
      </c>
      <c r="B38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09" s="3" t="str">
        <f>YEAR(KMART_DATA[[#This Row],[Date]])&amp;"-"&amp;TEXT(MONTH(KMART_DATA[[#This Row],[Date]]),"00")</f>
        <v>2025-09</v>
      </c>
      <c r="D3809" s="3" t="s">
        <v>45</v>
      </c>
      <c r="E3809" s="3" t="s">
        <v>183</v>
      </c>
      <c r="F3809" s="3" t="s">
        <v>9</v>
      </c>
      <c r="G38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09" s="3" t="s">
        <v>184</v>
      </c>
      <c r="I3809" s="3" t="s">
        <v>31</v>
      </c>
      <c r="J3809" s="3" t="s">
        <v>70</v>
      </c>
      <c r="K3809" s="3" t="s">
        <v>46</v>
      </c>
      <c r="L3809" s="3" t="s">
        <v>47</v>
      </c>
      <c r="M3809" s="4">
        <v>12.99</v>
      </c>
    </row>
    <row r="3810">
      <c r="A3810" s="2">
        <v>45912</v>
      </c>
      <c r="B38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0" s="3" t="str">
        <f>YEAR(KMART_DATA[[#This Row],[Date]])&amp;"-"&amp;TEXT(MONTH(KMART_DATA[[#This Row],[Date]]),"00")</f>
        <v>2025-09</v>
      </c>
      <c r="D3810" s="3" t="s">
        <v>45</v>
      </c>
      <c r="E3810" s="3" t="s">
        <v>146</v>
      </c>
      <c r="F3810" s="3" t="s">
        <v>9</v>
      </c>
      <c r="G38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10" s="3" t="s">
        <v>147</v>
      </c>
      <c r="I3810" s="3" t="s">
        <v>31</v>
      </c>
      <c r="J3810" s="3" t="s">
        <v>75</v>
      </c>
      <c r="K3810" s="3" t="s">
        <v>57</v>
      </c>
      <c r="L3810" s="3" t="s">
        <v>58</v>
      </c>
      <c r="M3810" s="4">
        <v>79.98</v>
      </c>
    </row>
    <row r="3811">
      <c r="A3811" s="2">
        <v>45912</v>
      </c>
      <c r="B38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1" s="3" t="str">
        <f>YEAR(KMART_DATA[[#This Row],[Date]])&amp;"-"&amp;TEXT(MONTH(KMART_DATA[[#This Row],[Date]]),"00")</f>
        <v>2025-09</v>
      </c>
      <c r="D3811" s="3" t="s">
        <v>28</v>
      </c>
      <c r="E3811" s="3" t="s">
        <v>248</v>
      </c>
      <c r="F3811" s="3" t="s">
        <v>12</v>
      </c>
      <c r="G38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11" s="3" t="s">
        <v>249</v>
      </c>
      <c r="I3811" s="3" t="s">
        <v>31</v>
      </c>
      <c r="J3811" s="3" t="s">
        <v>162</v>
      </c>
      <c r="K3811" s="3" t="s">
        <v>43</v>
      </c>
      <c r="L3811" s="3" t="s">
        <v>44</v>
      </c>
      <c r="M3811" s="4">
        <v>130.93</v>
      </c>
    </row>
    <row r="3812">
      <c r="A3812" s="2">
        <v>45912</v>
      </c>
      <c r="B38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2" s="3" t="str">
        <f>YEAR(KMART_DATA[[#This Row],[Date]])&amp;"-"&amp;TEXT(MONTH(KMART_DATA[[#This Row],[Date]]),"00")</f>
        <v>2025-09</v>
      </c>
      <c r="D3812" s="3" t="s">
        <v>28</v>
      </c>
      <c r="E3812" s="3" t="s">
        <v>175</v>
      </c>
      <c r="F3812" s="3" t="s">
        <v>16</v>
      </c>
      <c r="G38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812" s="3" t="s">
        <v>176</v>
      </c>
      <c r="I3812" s="3" t="s">
        <v>31</v>
      </c>
      <c r="J3812" s="3" t="s">
        <v>107</v>
      </c>
      <c r="K3812" s="3" t="s">
        <v>38</v>
      </c>
      <c r="L3812" s="3" t="s">
        <v>39</v>
      </c>
      <c r="M3812" s="4">
        <v>300.66</v>
      </c>
    </row>
    <row r="3813">
      <c r="A3813" s="2">
        <v>45912</v>
      </c>
      <c r="B38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3" s="3" t="str">
        <f>YEAR(KMART_DATA[[#This Row],[Date]])&amp;"-"&amp;TEXT(MONTH(KMART_DATA[[#This Row],[Date]]),"00")</f>
        <v>2025-09</v>
      </c>
      <c r="D3813" s="3" t="s">
        <v>28</v>
      </c>
      <c r="E3813" s="3" t="s">
        <v>236</v>
      </c>
      <c r="F3813" s="3" t="s">
        <v>12</v>
      </c>
      <c r="G38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13" s="3" t="s">
        <v>237</v>
      </c>
      <c r="I3813" s="3" t="s">
        <v>31</v>
      </c>
      <c r="J3813" s="3" t="s">
        <v>102</v>
      </c>
      <c r="K3813" s="3" t="s">
        <v>46</v>
      </c>
      <c r="L3813" s="3" t="s">
        <v>47</v>
      </c>
      <c r="M3813" s="4">
        <v>318.63</v>
      </c>
    </row>
    <row r="3814">
      <c r="A3814" s="2">
        <v>45912</v>
      </c>
      <c r="B38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4" s="3" t="str">
        <f>YEAR(KMART_DATA[[#This Row],[Date]])&amp;"-"&amp;TEXT(MONTH(KMART_DATA[[#This Row],[Date]]),"00")</f>
        <v>2025-09</v>
      </c>
      <c r="D3814" s="3" t="s">
        <v>28</v>
      </c>
      <c r="E3814" s="3" t="s">
        <v>185</v>
      </c>
      <c r="F3814" s="3" t="s">
        <v>12</v>
      </c>
      <c r="G38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14" s="3" t="s">
        <v>186</v>
      </c>
      <c r="I3814" s="3" t="s">
        <v>31</v>
      </c>
      <c r="J3814" s="3" t="s">
        <v>162</v>
      </c>
      <c r="K3814" s="3" t="s">
        <v>71</v>
      </c>
      <c r="L3814" s="3" t="s">
        <v>72</v>
      </c>
      <c r="M3814" s="4">
        <v>393.69</v>
      </c>
    </row>
    <row r="3815">
      <c r="A3815" s="2">
        <v>45912</v>
      </c>
      <c r="B38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5" s="3" t="str">
        <f>YEAR(KMART_DATA[[#This Row],[Date]])&amp;"-"&amp;TEXT(MONTH(KMART_DATA[[#This Row],[Date]]),"00")</f>
        <v>2025-09</v>
      </c>
      <c r="D3815" s="3" t="s">
        <v>45</v>
      </c>
      <c r="E3815" s="3" t="s">
        <v>146</v>
      </c>
      <c r="F3815" s="3" t="s">
        <v>9</v>
      </c>
      <c r="G38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15" s="3" t="s">
        <v>147</v>
      </c>
      <c r="I3815" s="3" t="s">
        <v>31</v>
      </c>
      <c r="J3815" s="3" t="s">
        <v>75</v>
      </c>
      <c r="K3815" s="3" t="s">
        <v>123</v>
      </c>
      <c r="L3815" s="3" t="s">
        <v>124</v>
      </c>
      <c r="M3815" s="4">
        <v>636.2</v>
      </c>
    </row>
    <row r="3816">
      <c r="A3816" s="2">
        <v>45913</v>
      </c>
      <c r="B38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6" s="3" t="str">
        <f>YEAR(KMART_DATA[[#This Row],[Date]])&amp;"-"&amp;TEXT(MONTH(KMART_DATA[[#This Row],[Date]]),"00")</f>
        <v>2025-09</v>
      </c>
      <c r="D3816" s="3" t="s">
        <v>28</v>
      </c>
      <c r="E3816" s="3" t="s">
        <v>139</v>
      </c>
      <c r="F3816" s="3" t="s">
        <v>10</v>
      </c>
      <c r="G38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16" s="3" t="s">
        <v>140</v>
      </c>
      <c r="I3816" s="3" t="s">
        <v>31</v>
      </c>
      <c r="J3816" s="3" t="s">
        <v>89</v>
      </c>
      <c r="K3816" s="3" t="s">
        <v>112</v>
      </c>
      <c r="L3816" s="3" t="s">
        <v>113</v>
      </c>
      <c r="M3816" s="4">
        <v>7.98</v>
      </c>
    </row>
    <row r="3817">
      <c r="A3817" s="2">
        <v>45913</v>
      </c>
      <c r="B38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7" s="3" t="str">
        <f>YEAR(KMART_DATA[[#This Row],[Date]])&amp;"-"&amp;TEXT(MONTH(KMART_DATA[[#This Row],[Date]]),"00")</f>
        <v>2025-09</v>
      </c>
      <c r="D3817" s="3" t="s">
        <v>28</v>
      </c>
      <c r="E3817" s="3" t="s">
        <v>100</v>
      </c>
      <c r="F3817" s="3" t="s">
        <v>12</v>
      </c>
      <c r="G38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17" s="3" t="s">
        <v>101</v>
      </c>
      <c r="I3817" s="3" t="s">
        <v>31</v>
      </c>
      <c r="J3817" s="3" t="s">
        <v>102</v>
      </c>
      <c r="K3817" s="3" t="s">
        <v>43</v>
      </c>
      <c r="L3817" s="3" t="s">
        <v>44</v>
      </c>
      <c r="M3817" s="4">
        <v>23.0</v>
      </c>
    </row>
    <row r="3818">
      <c r="A3818" s="2">
        <v>45913</v>
      </c>
      <c r="B38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8" s="3" t="str">
        <f>YEAR(KMART_DATA[[#This Row],[Date]])&amp;"-"&amp;TEXT(MONTH(KMART_DATA[[#This Row],[Date]]),"00")</f>
        <v>2025-09</v>
      </c>
      <c r="D3818" s="3" t="s">
        <v>28</v>
      </c>
      <c r="E3818" s="3" t="s">
        <v>191</v>
      </c>
      <c r="F3818" s="3" t="s">
        <v>10</v>
      </c>
      <c r="G38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18" s="3" t="s">
        <v>192</v>
      </c>
      <c r="I3818" s="3" t="s">
        <v>31</v>
      </c>
      <c r="J3818" s="3" t="s">
        <v>120</v>
      </c>
      <c r="K3818" s="3" t="s">
        <v>38</v>
      </c>
      <c r="L3818" s="3" t="s">
        <v>39</v>
      </c>
      <c r="M3818" s="4">
        <v>67.89</v>
      </c>
    </row>
    <row r="3819">
      <c r="A3819" s="2">
        <v>45913</v>
      </c>
      <c r="B38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19" s="3" t="str">
        <f>YEAR(KMART_DATA[[#This Row],[Date]])&amp;"-"&amp;TEXT(MONTH(KMART_DATA[[#This Row],[Date]]),"00")</f>
        <v>2025-09</v>
      </c>
      <c r="D3819" s="3" t="s">
        <v>28</v>
      </c>
      <c r="E3819" s="3" t="s">
        <v>183</v>
      </c>
      <c r="F3819" s="3" t="s">
        <v>9</v>
      </c>
      <c r="G38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19" s="3" t="s">
        <v>184</v>
      </c>
      <c r="I3819" s="3" t="s">
        <v>31</v>
      </c>
      <c r="J3819" s="3" t="s">
        <v>70</v>
      </c>
      <c r="K3819" s="3" t="s">
        <v>38</v>
      </c>
      <c r="L3819" s="3" t="s">
        <v>39</v>
      </c>
      <c r="M3819" s="4">
        <v>77.87</v>
      </c>
    </row>
    <row r="3820">
      <c r="A3820" s="2">
        <v>45913</v>
      </c>
      <c r="B38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0" s="3" t="str">
        <f>YEAR(KMART_DATA[[#This Row],[Date]])&amp;"-"&amp;TEXT(MONTH(KMART_DATA[[#This Row],[Date]]),"00")</f>
        <v>2025-09</v>
      </c>
      <c r="D3820" s="3" t="s">
        <v>28</v>
      </c>
      <c r="E3820" s="3" t="s">
        <v>64</v>
      </c>
      <c r="F3820" s="3" t="s">
        <v>11</v>
      </c>
      <c r="G38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20" s="3" t="s">
        <v>65</v>
      </c>
      <c r="I3820" s="3" t="s">
        <v>31</v>
      </c>
      <c r="J3820" s="3" t="s">
        <v>61</v>
      </c>
      <c r="K3820" s="3" t="s">
        <v>43</v>
      </c>
      <c r="L3820" s="3" t="s">
        <v>44</v>
      </c>
      <c r="M3820" s="4">
        <v>443.54</v>
      </c>
    </row>
    <row r="3821">
      <c r="A3821" s="2">
        <v>45913</v>
      </c>
      <c r="B38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1" s="3" t="str">
        <f>YEAR(KMART_DATA[[#This Row],[Date]])&amp;"-"&amp;TEXT(MONTH(KMART_DATA[[#This Row],[Date]]),"00")</f>
        <v>2025-09</v>
      </c>
      <c r="D3821" s="3" t="s">
        <v>28</v>
      </c>
      <c r="E3821" s="3" t="s">
        <v>199</v>
      </c>
      <c r="F3821" s="3" t="s">
        <v>13</v>
      </c>
      <c r="G38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821" s="3" t="s">
        <v>200</v>
      </c>
      <c r="I3821" s="3" t="s">
        <v>31</v>
      </c>
      <c r="J3821" s="3" t="s">
        <v>42</v>
      </c>
      <c r="K3821" s="3" t="s">
        <v>57</v>
      </c>
      <c r="L3821" s="3" t="s">
        <v>58</v>
      </c>
      <c r="M3821" s="4">
        <v>833.7</v>
      </c>
    </row>
    <row r="3822">
      <c r="A3822" s="2">
        <v>45913</v>
      </c>
      <c r="B38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2" s="3" t="str">
        <f>YEAR(KMART_DATA[[#This Row],[Date]])&amp;"-"&amp;TEXT(MONTH(KMART_DATA[[#This Row],[Date]]),"00")</f>
        <v>2025-09</v>
      </c>
      <c r="D3822" s="3" t="s">
        <v>45</v>
      </c>
      <c r="E3822" s="3" t="s">
        <v>258</v>
      </c>
      <c r="F3822" s="3" t="s">
        <v>14</v>
      </c>
      <c r="G38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822" s="3" t="s">
        <v>259</v>
      </c>
      <c r="I3822" s="3" t="s">
        <v>31</v>
      </c>
      <c r="J3822" s="3" t="s">
        <v>145</v>
      </c>
      <c r="K3822" s="3" t="s">
        <v>71</v>
      </c>
      <c r="L3822" s="3" t="s">
        <v>72</v>
      </c>
      <c r="M3822" s="4">
        <v>1574.38</v>
      </c>
    </row>
    <row r="3823">
      <c r="A3823" s="2">
        <v>45913</v>
      </c>
      <c r="B38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3" s="3" t="str">
        <f>YEAR(KMART_DATA[[#This Row],[Date]])&amp;"-"&amp;TEXT(MONTH(KMART_DATA[[#This Row],[Date]]),"00")</f>
        <v>2025-09</v>
      </c>
      <c r="D3823" s="3" t="s">
        <v>28</v>
      </c>
      <c r="E3823" s="3" t="s">
        <v>139</v>
      </c>
      <c r="F3823" s="3" t="s">
        <v>10</v>
      </c>
      <c r="G38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23" s="3" t="s">
        <v>140</v>
      </c>
      <c r="I3823" s="3" t="s">
        <v>31</v>
      </c>
      <c r="J3823" s="3" t="s">
        <v>89</v>
      </c>
      <c r="K3823" s="3" t="s">
        <v>43</v>
      </c>
      <c r="L3823" s="3" t="s">
        <v>44</v>
      </c>
      <c r="M3823" s="4">
        <v>2614.3</v>
      </c>
    </row>
    <row r="3824">
      <c r="A3824" s="2">
        <v>45914</v>
      </c>
      <c r="B38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4" s="3" t="str">
        <f>YEAR(KMART_DATA[[#This Row],[Date]])&amp;"-"&amp;TEXT(MONTH(KMART_DATA[[#This Row],[Date]]),"00")</f>
        <v>2025-09</v>
      </c>
      <c r="D3824" s="3" t="s">
        <v>28</v>
      </c>
      <c r="E3824" s="3" t="s">
        <v>250</v>
      </c>
      <c r="F3824" s="3" t="s">
        <v>10</v>
      </c>
      <c r="G38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24" s="3" t="s">
        <v>251</v>
      </c>
      <c r="I3824" s="3" t="s">
        <v>31</v>
      </c>
      <c r="J3824" s="3" t="s">
        <v>37</v>
      </c>
      <c r="K3824" s="3" t="s">
        <v>112</v>
      </c>
      <c r="L3824" s="3" t="s">
        <v>113</v>
      </c>
      <c r="M3824" s="4">
        <v>74.86</v>
      </c>
    </row>
    <row r="3825">
      <c r="A3825" s="2">
        <v>45914</v>
      </c>
      <c r="B38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5" s="3" t="str">
        <f>YEAR(KMART_DATA[[#This Row],[Date]])&amp;"-"&amp;TEXT(MONTH(KMART_DATA[[#This Row],[Date]]),"00")</f>
        <v>2025-09</v>
      </c>
      <c r="D3825" s="3" t="s">
        <v>45</v>
      </c>
      <c r="E3825" s="3" t="s">
        <v>203</v>
      </c>
      <c r="F3825" s="3" t="s">
        <v>10</v>
      </c>
      <c r="G38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25" s="3" t="s">
        <v>204</v>
      </c>
      <c r="I3825" s="3" t="s">
        <v>31</v>
      </c>
      <c r="J3825" s="3" t="s">
        <v>89</v>
      </c>
      <c r="K3825" s="3" t="s">
        <v>43</v>
      </c>
      <c r="L3825" s="3" t="s">
        <v>44</v>
      </c>
      <c r="M3825" s="4">
        <v>157.91</v>
      </c>
    </row>
    <row r="3826">
      <c r="A3826" s="2">
        <v>45914</v>
      </c>
      <c r="B38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6" s="3" t="str">
        <f>YEAR(KMART_DATA[[#This Row],[Date]])&amp;"-"&amp;TEXT(MONTH(KMART_DATA[[#This Row],[Date]]),"00")</f>
        <v>2025-09</v>
      </c>
      <c r="D3826" s="3" t="s">
        <v>28</v>
      </c>
      <c r="E3826" s="3" t="s">
        <v>225</v>
      </c>
      <c r="F3826" s="3" t="s">
        <v>13</v>
      </c>
      <c r="G38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826" s="3" t="s">
        <v>226</v>
      </c>
      <c r="I3826" s="3" t="s">
        <v>31</v>
      </c>
      <c r="J3826" s="3" t="s">
        <v>227</v>
      </c>
      <c r="K3826" s="3" t="s">
        <v>46</v>
      </c>
      <c r="L3826" s="3" t="s">
        <v>47</v>
      </c>
      <c r="M3826" s="4">
        <v>250.28</v>
      </c>
    </row>
    <row r="3827">
      <c r="A3827" s="2">
        <v>45914</v>
      </c>
      <c r="B38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7" s="3" t="str">
        <f>YEAR(KMART_DATA[[#This Row],[Date]])&amp;"-"&amp;TEXT(MONTH(KMART_DATA[[#This Row],[Date]]),"00")</f>
        <v>2025-09</v>
      </c>
      <c r="D3827" s="3" t="s">
        <v>28</v>
      </c>
      <c r="E3827" s="3" t="s">
        <v>62</v>
      </c>
      <c r="F3827" s="3" t="s">
        <v>12</v>
      </c>
      <c r="G38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27" s="3" t="s">
        <v>63</v>
      </c>
      <c r="I3827" s="3" t="s">
        <v>31</v>
      </c>
      <c r="J3827" s="3" t="s">
        <v>50</v>
      </c>
      <c r="K3827" s="3" t="s">
        <v>123</v>
      </c>
      <c r="L3827" s="3" t="s">
        <v>124</v>
      </c>
      <c r="M3827" s="4">
        <v>3344.77</v>
      </c>
    </row>
    <row r="3828">
      <c r="A3828" s="2">
        <v>45915</v>
      </c>
      <c r="B38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8" s="3" t="str">
        <f>YEAR(KMART_DATA[[#This Row],[Date]])&amp;"-"&amp;TEXT(MONTH(KMART_DATA[[#This Row],[Date]]),"00")</f>
        <v>2025-09</v>
      </c>
      <c r="D3828" s="3" t="s">
        <v>28</v>
      </c>
      <c r="E3828" s="3" t="s">
        <v>163</v>
      </c>
      <c r="F3828" s="3" t="s">
        <v>9</v>
      </c>
      <c r="G38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28" s="3" t="s">
        <v>164</v>
      </c>
      <c r="I3828" s="3" t="s">
        <v>31</v>
      </c>
      <c r="J3828" s="3" t="s">
        <v>81</v>
      </c>
      <c r="K3828" s="3" t="s">
        <v>46</v>
      </c>
      <c r="L3828" s="3" t="s">
        <v>47</v>
      </c>
      <c r="M3828" s="4">
        <v>14.0</v>
      </c>
    </row>
    <row r="3829">
      <c r="A3829" s="2">
        <v>45915</v>
      </c>
      <c r="B38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29" s="3" t="str">
        <f>YEAR(KMART_DATA[[#This Row],[Date]])&amp;"-"&amp;TEXT(MONTH(KMART_DATA[[#This Row],[Date]]),"00")</f>
        <v>2025-09</v>
      </c>
      <c r="D3829" s="3" t="s">
        <v>28</v>
      </c>
      <c r="E3829" s="3" t="s">
        <v>127</v>
      </c>
      <c r="F3829" s="3" t="s">
        <v>11</v>
      </c>
      <c r="G38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29" s="3" t="s">
        <v>128</v>
      </c>
      <c r="I3829" s="3" t="s">
        <v>31</v>
      </c>
      <c r="J3829" s="3" t="s">
        <v>78</v>
      </c>
      <c r="K3829" s="3" t="s">
        <v>71</v>
      </c>
      <c r="L3829" s="3" t="s">
        <v>72</v>
      </c>
      <c r="M3829" s="4">
        <v>74.95</v>
      </c>
    </row>
    <row r="3830">
      <c r="A3830" s="2">
        <v>45915</v>
      </c>
      <c r="B38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0" s="3" t="str">
        <f>YEAR(KMART_DATA[[#This Row],[Date]])&amp;"-"&amp;TEXT(MONTH(KMART_DATA[[#This Row],[Date]]),"00")</f>
        <v>2025-09</v>
      </c>
      <c r="D3830" s="3" t="s">
        <v>45</v>
      </c>
      <c r="E3830" s="3" t="s">
        <v>199</v>
      </c>
      <c r="F3830" s="3" t="s">
        <v>13</v>
      </c>
      <c r="G38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830" s="3" t="s">
        <v>200</v>
      </c>
      <c r="I3830" s="3" t="s">
        <v>31</v>
      </c>
      <c r="J3830" s="3" t="s">
        <v>42</v>
      </c>
      <c r="K3830" s="3" t="s">
        <v>123</v>
      </c>
      <c r="L3830" s="3" t="s">
        <v>124</v>
      </c>
      <c r="M3830" s="4">
        <v>211.57</v>
      </c>
    </row>
    <row r="3831">
      <c r="A3831" s="2">
        <v>45915</v>
      </c>
      <c r="B38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1" s="3" t="str">
        <f>YEAR(KMART_DATA[[#This Row],[Date]])&amp;"-"&amp;TEXT(MONTH(KMART_DATA[[#This Row],[Date]]),"00")</f>
        <v>2025-09</v>
      </c>
      <c r="D3831" s="3" t="s">
        <v>28</v>
      </c>
      <c r="E3831" s="3" t="s">
        <v>29</v>
      </c>
      <c r="F3831" s="3" t="s">
        <v>11</v>
      </c>
      <c r="G38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31" s="3" t="s">
        <v>30</v>
      </c>
      <c r="I3831" s="3" t="s">
        <v>31</v>
      </c>
      <c r="J3831" s="3" t="s">
        <v>32</v>
      </c>
      <c r="K3831" s="3" t="s">
        <v>123</v>
      </c>
      <c r="L3831" s="3" t="s">
        <v>124</v>
      </c>
      <c r="M3831" s="4">
        <v>258.33</v>
      </c>
    </row>
    <row r="3832">
      <c r="A3832" s="2">
        <v>45915</v>
      </c>
      <c r="B38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2" s="3" t="str">
        <f>YEAR(KMART_DATA[[#This Row],[Date]])&amp;"-"&amp;TEXT(MONTH(KMART_DATA[[#This Row],[Date]]),"00")</f>
        <v>2025-09</v>
      </c>
      <c r="D3832" s="3" t="s">
        <v>45</v>
      </c>
      <c r="E3832" s="3" t="s">
        <v>103</v>
      </c>
      <c r="F3832" s="3" t="s">
        <v>12</v>
      </c>
      <c r="G38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32" s="3" t="s">
        <v>104</v>
      </c>
      <c r="I3832" s="3" t="s">
        <v>31</v>
      </c>
      <c r="J3832" s="3" t="s">
        <v>102</v>
      </c>
      <c r="K3832" s="3" t="s">
        <v>57</v>
      </c>
      <c r="L3832" s="3" t="s">
        <v>58</v>
      </c>
      <c r="M3832" s="4">
        <v>1095.78</v>
      </c>
    </row>
    <row r="3833">
      <c r="A3833" s="2">
        <v>45915</v>
      </c>
      <c r="B38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3" s="3" t="str">
        <f>YEAR(KMART_DATA[[#This Row],[Date]])&amp;"-"&amp;TEXT(MONTH(KMART_DATA[[#This Row],[Date]]),"00")</f>
        <v>2025-09</v>
      </c>
      <c r="D3833" s="3" t="s">
        <v>45</v>
      </c>
      <c r="E3833" s="3" t="s">
        <v>165</v>
      </c>
      <c r="F3833" s="3" t="s">
        <v>9</v>
      </c>
      <c r="G38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33" s="3" t="s">
        <v>166</v>
      </c>
      <c r="I3833" s="3" t="s">
        <v>31</v>
      </c>
      <c r="J3833" s="3" t="s">
        <v>99</v>
      </c>
      <c r="K3833" s="3" t="s">
        <v>71</v>
      </c>
      <c r="L3833" s="3" t="s">
        <v>72</v>
      </c>
      <c r="M3833" s="4">
        <v>6954.6</v>
      </c>
    </row>
    <row r="3834">
      <c r="A3834" s="2">
        <v>45916</v>
      </c>
      <c r="B38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4" s="3" t="str">
        <f>YEAR(KMART_DATA[[#This Row],[Date]])&amp;"-"&amp;TEXT(MONTH(KMART_DATA[[#This Row],[Date]]),"00")</f>
        <v>2025-09</v>
      </c>
      <c r="D3834" s="3" t="s">
        <v>28</v>
      </c>
      <c r="E3834" s="3" t="s">
        <v>68</v>
      </c>
      <c r="F3834" s="3" t="s">
        <v>9</v>
      </c>
      <c r="G38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34" s="3" t="s">
        <v>69</v>
      </c>
      <c r="I3834" s="3" t="s">
        <v>31</v>
      </c>
      <c r="J3834" s="3" t="s">
        <v>70</v>
      </c>
      <c r="K3834" s="3" t="s">
        <v>95</v>
      </c>
      <c r="L3834" s="3" t="s">
        <v>96</v>
      </c>
      <c r="M3834" s="4">
        <v>3.99</v>
      </c>
    </row>
    <row r="3835">
      <c r="A3835" s="2">
        <v>45916</v>
      </c>
      <c r="B38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5" s="3" t="str">
        <f>YEAR(KMART_DATA[[#This Row],[Date]])&amp;"-"&amp;TEXT(MONTH(KMART_DATA[[#This Row],[Date]]),"00")</f>
        <v>2025-09</v>
      </c>
      <c r="D3835" s="3" t="s">
        <v>28</v>
      </c>
      <c r="E3835" s="3" t="s">
        <v>97</v>
      </c>
      <c r="F3835" s="3" t="s">
        <v>9</v>
      </c>
      <c r="G38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35" s="3" t="s">
        <v>98</v>
      </c>
      <c r="I3835" s="3" t="s">
        <v>31</v>
      </c>
      <c r="J3835" s="3" t="s">
        <v>99</v>
      </c>
      <c r="K3835" s="3" t="s">
        <v>112</v>
      </c>
      <c r="L3835" s="3" t="s">
        <v>113</v>
      </c>
      <c r="M3835" s="4">
        <v>56.0</v>
      </c>
    </row>
    <row r="3836">
      <c r="A3836" s="2">
        <v>45916</v>
      </c>
      <c r="B38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6" s="3" t="str">
        <f>YEAR(KMART_DATA[[#This Row],[Date]])&amp;"-"&amp;TEXT(MONTH(KMART_DATA[[#This Row],[Date]]),"00")</f>
        <v>2025-09</v>
      </c>
      <c r="D3836" s="3" t="s">
        <v>28</v>
      </c>
      <c r="E3836" s="3" t="s">
        <v>68</v>
      </c>
      <c r="F3836" s="3" t="s">
        <v>9</v>
      </c>
      <c r="G38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36" s="3" t="s">
        <v>69</v>
      </c>
      <c r="I3836" s="3" t="s">
        <v>31</v>
      </c>
      <c r="J3836" s="3" t="s">
        <v>70</v>
      </c>
      <c r="K3836" s="3" t="s">
        <v>71</v>
      </c>
      <c r="L3836" s="3" t="s">
        <v>72</v>
      </c>
      <c r="M3836" s="4">
        <v>549.59</v>
      </c>
    </row>
    <row r="3837">
      <c r="A3837" s="2">
        <v>45916</v>
      </c>
      <c r="B38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7" s="3" t="str">
        <f>YEAR(KMART_DATA[[#This Row],[Date]])&amp;"-"&amp;TEXT(MONTH(KMART_DATA[[#This Row],[Date]]),"00")</f>
        <v>2025-09</v>
      </c>
      <c r="D3837" s="3" t="s">
        <v>45</v>
      </c>
      <c r="E3837" s="3" t="s">
        <v>92</v>
      </c>
      <c r="F3837" s="3" t="s">
        <v>10</v>
      </c>
      <c r="G38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37" s="3" t="s">
        <v>93</v>
      </c>
      <c r="I3837" s="3" t="s">
        <v>31</v>
      </c>
      <c r="J3837" s="3" t="s">
        <v>94</v>
      </c>
      <c r="K3837" s="3" t="s">
        <v>71</v>
      </c>
      <c r="L3837" s="3" t="s">
        <v>72</v>
      </c>
      <c r="M3837" s="4">
        <v>693.95</v>
      </c>
    </row>
    <row r="3838">
      <c r="A3838" s="2">
        <v>45916</v>
      </c>
      <c r="B38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8" s="3" t="str">
        <f>YEAR(KMART_DATA[[#This Row],[Date]])&amp;"-"&amp;TEXT(MONTH(KMART_DATA[[#This Row],[Date]]),"00")</f>
        <v>2025-09</v>
      </c>
      <c r="D3838" s="3" t="s">
        <v>28</v>
      </c>
      <c r="E3838" s="3" t="s">
        <v>105</v>
      </c>
      <c r="F3838" s="3" t="s">
        <v>9</v>
      </c>
      <c r="G38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38" s="3" t="s">
        <v>106</v>
      </c>
      <c r="I3838" s="3" t="s">
        <v>31</v>
      </c>
      <c r="J3838" s="3" t="s">
        <v>107</v>
      </c>
      <c r="K3838" s="3" t="s">
        <v>71</v>
      </c>
      <c r="L3838" s="3" t="s">
        <v>72</v>
      </c>
      <c r="M3838" s="4">
        <v>5012.21</v>
      </c>
    </row>
    <row r="3839">
      <c r="A3839" s="2">
        <v>45917</v>
      </c>
      <c r="B38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39" s="3" t="str">
        <f>YEAR(KMART_DATA[[#This Row],[Date]])&amp;"-"&amp;TEXT(MONTH(KMART_DATA[[#This Row],[Date]]),"00")</f>
        <v>2025-09</v>
      </c>
      <c r="D3839" s="3" t="s">
        <v>28</v>
      </c>
      <c r="E3839" s="3" t="s">
        <v>260</v>
      </c>
      <c r="F3839" s="3" t="s">
        <v>10</v>
      </c>
      <c r="G38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39" s="3" t="s">
        <v>261</v>
      </c>
      <c r="I3839" s="3" t="s">
        <v>31</v>
      </c>
      <c r="J3839" s="3" t="s">
        <v>89</v>
      </c>
      <c r="K3839" s="3" t="s">
        <v>43</v>
      </c>
      <c r="L3839" s="3" t="s">
        <v>44</v>
      </c>
      <c r="M3839" s="4">
        <v>17.0</v>
      </c>
    </row>
    <row r="3840">
      <c r="A3840" s="2">
        <v>45917</v>
      </c>
      <c r="B38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0" s="3" t="str">
        <f>YEAR(KMART_DATA[[#This Row],[Date]])&amp;"-"&amp;TEXT(MONTH(KMART_DATA[[#This Row],[Date]]),"00")</f>
        <v>2025-09</v>
      </c>
      <c r="D3840" s="3" t="s">
        <v>45</v>
      </c>
      <c r="E3840" s="3" t="s">
        <v>219</v>
      </c>
      <c r="F3840" s="3" t="s">
        <v>11</v>
      </c>
      <c r="G38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40" s="3" t="s">
        <v>220</v>
      </c>
      <c r="I3840" s="3" t="s">
        <v>31</v>
      </c>
      <c r="J3840" s="3" t="s">
        <v>56</v>
      </c>
      <c r="K3840" s="3" t="s">
        <v>95</v>
      </c>
      <c r="L3840" s="3" t="s">
        <v>96</v>
      </c>
      <c r="M3840" s="4">
        <v>28.98</v>
      </c>
    </row>
    <row r="3841">
      <c r="A3841" s="2">
        <v>45917</v>
      </c>
      <c r="B38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1" s="3" t="str">
        <f>YEAR(KMART_DATA[[#This Row],[Date]])&amp;"-"&amp;TEXT(MONTH(KMART_DATA[[#This Row],[Date]]),"00")</f>
        <v>2025-09</v>
      </c>
      <c r="D3841" s="3" t="s">
        <v>45</v>
      </c>
      <c r="E3841" s="3" t="s">
        <v>125</v>
      </c>
      <c r="F3841" s="3" t="s">
        <v>10</v>
      </c>
      <c r="G38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41" s="3" t="s">
        <v>126</v>
      </c>
      <c r="I3841" s="3" t="s">
        <v>31</v>
      </c>
      <c r="J3841" s="3" t="s">
        <v>94</v>
      </c>
      <c r="K3841" s="3" t="s">
        <v>38</v>
      </c>
      <c r="L3841" s="3" t="s">
        <v>39</v>
      </c>
      <c r="M3841" s="4">
        <v>98.93</v>
      </c>
    </row>
    <row r="3842">
      <c r="A3842" s="2">
        <v>45917</v>
      </c>
      <c r="B38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2" s="3" t="str">
        <f>YEAR(KMART_DATA[[#This Row],[Date]])&amp;"-"&amp;TEXT(MONTH(KMART_DATA[[#This Row],[Date]]),"00")</f>
        <v>2025-09</v>
      </c>
      <c r="D3842" s="3" t="s">
        <v>28</v>
      </c>
      <c r="E3842" s="3" t="s">
        <v>143</v>
      </c>
      <c r="F3842" s="3" t="s">
        <v>14</v>
      </c>
      <c r="G38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842" s="3" t="s">
        <v>144</v>
      </c>
      <c r="I3842" s="3" t="s">
        <v>31</v>
      </c>
      <c r="J3842" s="3" t="s">
        <v>145</v>
      </c>
      <c r="K3842" s="3" t="s">
        <v>57</v>
      </c>
      <c r="L3842" s="3" t="s">
        <v>58</v>
      </c>
      <c r="M3842" s="4">
        <v>130.86</v>
      </c>
    </row>
    <row r="3843">
      <c r="A3843" s="2">
        <v>45917</v>
      </c>
      <c r="B38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3" s="3" t="str">
        <f>YEAR(KMART_DATA[[#This Row],[Date]])&amp;"-"&amp;TEXT(MONTH(KMART_DATA[[#This Row],[Date]]),"00")</f>
        <v>2025-09</v>
      </c>
      <c r="D3843" s="3" t="s">
        <v>28</v>
      </c>
      <c r="E3843" s="3" t="s">
        <v>160</v>
      </c>
      <c r="F3843" s="3" t="s">
        <v>12</v>
      </c>
      <c r="G38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43" s="3" t="s">
        <v>161</v>
      </c>
      <c r="I3843" s="3" t="s">
        <v>31</v>
      </c>
      <c r="J3843" s="3" t="s">
        <v>162</v>
      </c>
      <c r="K3843" s="3" t="s">
        <v>57</v>
      </c>
      <c r="L3843" s="3" t="s">
        <v>58</v>
      </c>
      <c r="M3843" s="4">
        <v>277.66</v>
      </c>
    </row>
    <row r="3844">
      <c r="A3844" s="2">
        <v>45917</v>
      </c>
      <c r="B38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4" s="3" t="str">
        <f>YEAR(KMART_DATA[[#This Row],[Date]])&amp;"-"&amp;TEXT(MONTH(KMART_DATA[[#This Row],[Date]]),"00")</f>
        <v>2025-09</v>
      </c>
      <c r="D3844" s="3" t="s">
        <v>28</v>
      </c>
      <c r="E3844" s="3" t="s">
        <v>238</v>
      </c>
      <c r="F3844" s="3" t="s">
        <v>13</v>
      </c>
      <c r="G38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844" s="3" t="s">
        <v>239</v>
      </c>
      <c r="I3844" s="3" t="s">
        <v>31</v>
      </c>
      <c r="J3844" s="3" t="s">
        <v>42</v>
      </c>
      <c r="K3844" s="3" t="s">
        <v>95</v>
      </c>
      <c r="L3844" s="3" t="s">
        <v>96</v>
      </c>
      <c r="M3844" s="4">
        <v>747.42</v>
      </c>
    </row>
    <row r="3845">
      <c r="A3845" s="2">
        <v>45917</v>
      </c>
      <c r="B38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5" s="3" t="str">
        <f>YEAR(KMART_DATA[[#This Row],[Date]])&amp;"-"&amp;TEXT(MONTH(KMART_DATA[[#This Row],[Date]]),"00")</f>
        <v>2025-09</v>
      </c>
      <c r="D3845" s="3" t="s">
        <v>45</v>
      </c>
      <c r="E3845" s="3" t="s">
        <v>116</v>
      </c>
      <c r="F3845" s="3" t="s">
        <v>9</v>
      </c>
      <c r="G38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45" s="3" t="s">
        <v>117</v>
      </c>
      <c r="I3845" s="3" t="s">
        <v>31</v>
      </c>
      <c r="J3845" s="3" t="s">
        <v>70</v>
      </c>
      <c r="K3845" s="3" t="s">
        <v>57</v>
      </c>
      <c r="L3845" s="3" t="s">
        <v>58</v>
      </c>
      <c r="M3845" s="4">
        <v>1059.84</v>
      </c>
    </row>
    <row r="3846">
      <c r="A3846" s="2">
        <v>45918</v>
      </c>
      <c r="B38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6" s="3" t="str">
        <f>YEAR(KMART_DATA[[#This Row],[Date]])&amp;"-"&amp;TEXT(MONTH(KMART_DATA[[#This Row],[Date]]),"00")</f>
        <v>2025-09</v>
      </c>
      <c r="D3846" s="3" t="s">
        <v>28</v>
      </c>
      <c r="E3846" s="3" t="s">
        <v>76</v>
      </c>
      <c r="F3846" s="3" t="s">
        <v>11</v>
      </c>
      <c r="G38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46" s="3" t="s">
        <v>77</v>
      </c>
      <c r="I3846" s="3" t="s">
        <v>31</v>
      </c>
      <c r="J3846" s="3" t="s">
        <v>78</v>
      </c>
      <c r="K3846" s="3" t="s">
        <v>112</v>
      </c>
      <c r="L3846" s="3" t="s">
        <v>113</v>
      </c>
      <c r="M3846" s="4">
        <v>4.49</v>
      </c>
    </row>
    <row r="3847">
      <c r="A3847" s="2">
        <v>45918</v>
      </c>
      <c r="B38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7" s="3" t="str">
        <f>YEAR(KMART_DATA[[#This Row],[Date]])&amp;"-"&amp;TEXT(MONTH(KMART_DATA[[#This Row],[Date]]),"00")</f>
        <v>2025-09</v>
      </c>
      <c r="D3847" s="3" t="s">
        <v>28</v>
      </c>
      <c r="E3847" s="3" t="s">
        <v>207</v>
      </c>
      <c r="F3847" s="3" t="s">
        <v>11</v>
      </c>
      <c r="G38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47" s="3" t="s">
        <v>208</v>
      </c>
      <c r="I3847" s="3" t="s">
        <v>31</v>
      </c>
      <c r="J3847" s="3" t="s">
        <v>78</v>
      </c>
      <c r="K3847" s="3" t="s">
        <v>95</v>
      </c>
      <c r="L3847" s="3" t="s">
        <v>96</v>
      </c>
      <c r="M3847" s="4">
        <v>23.96</v>
      </c>
    </row>
    <row r="3848">
      <c r="A3848" s="2">
        <v>45918</v>
      </c>
      <c r="B38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8" s="3" t="str">
        <f>YEAR(KMART_DATA[[#This Row],[Date]])&amp;"-"&amp;TEXT(MONTH(KMART_DATA[[#This Row],[Date]]),"00")</f>
        <v>2025-09</v>
      </c>
      <c r="D3848" s="3" t="s">
        <v>28</v>
      </c>
      <c r="E3848" s="3" t="s">
        <v>179</v>
      </c>
      <c r="F3848" s="3" t="s">
        <v>9</v>
      </c>
      <c r="G38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48" s="3" t="s">
        <v>180</v>
      </c>
      <c r="I3848" s="3" t="s">
        <v>31</v>
      </c>
      <c r="J3848" s="3" t="s">
        <v>99</v>
      </c>
      <c r="K3848" s="3" t="s">
        <v>33</v>
      </c>
      <c r="L3848" s="3" t="s">
        <v>34</v>
      </c>
      <c r="M3848" s="4">
        <v>30.86</v>
      </c>
    </row>
    <row r="3849">
      <c r="A3849" s="2">
        <v>45918</v>
      </c>
      <c r="B38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49" s="3" t="str">
        <f>YEAR(KMART_DATA[[#This Row],[Date]])&amp;"-"&amp;TEXT(MONTH(KMART_DATA[[#This Row],[Date]]),"00")</f>
        <v>2025-09</v>
      </c>
      <c r="D3849" s="3" t="s">
        <v>28</v>
      </c>
      <c r="E3849" s="3" t="s">
        <v>223</v>
      </c>
      <c r="F3849" s="3" t="s">
        <v>10</v>
      </c>
      <c r="G38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49" s="3" t="s">
        <v>224</v>
      </c>
      <c r="I3849" s="3" t="s">
        <v>31</v>
      </c>
      <c r="J3849" s="3" t="s">
        <v>94</v>
      </c>
      <c r="K3849" s="3" t="s">
        <v>71</v>
      </c>
      <c r="L3849" s="3" t="s">
        <v>72</v>
      </c>
      <c r="M3849" s="4">
        <v>37.98</v>
      </c>
    </row>
    <row r="3850">
      <c r="A3850" s="2">
        <v>45918</v>
      </c>
      <c r="B38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0" s="3" t="str">
        <f>YEAR(KMART_DATA[[#This Row],[Date]])&amp;"-"&amp;TEXT(MONTH(KMART_DATA[[#This Row],[Date]]),"00")</f>
        <v>2025-09</v>
      </c>
      <c r="D3850" s="3" t="s">
        <v>45</v>
      </c>
      <c r="E3850" s="3" t="s">
        <v>82</v>
      </c>
      <c r="F3850" s="3" t="s">
        <v>11</v>
      </c>
      <c r="G38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50" s="3" t="s">
        <v>83</v>
      </c>
      <c r="I3850" s="3" t="s">
        <v>31</v>
      </c>
      <c r="J3850" s="3" t="s">
        <v>84</v>
      </c>
      <c r="K3850" s="3" t="s">
        <v>33</v>
      </c>
      <c r="L3850" s="3" t="s">
        <v>34</v>
      </c>
      <c r="M3850" s="4">
        <v>38.34</v>
      </c>
    </row>
    <row r="3851">
      <c r="A3851" s="2">
        <v>45918</v>
      </c>
      <c r="B38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1" s="3" t="str">
        <f>YEAR(KMART_DATA[[#This Row],[Date]])&amp;"-"&amp;TEXT(MONTH(KMART_DATA[[#This Row],[Date]]),"00")</f>
        <v>2025-09</v>
      </c>
      <c r="D3851" s="3" t="s">
        <v>45</v>
      </c>
      <c r="E3851" s="3" t="s">
        <v>158</v>
      </c>
      <c r="F3851" s="3" t="s">
        <v>11</v>
      </c>
      <c r="G38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51" s="3" t="s">
        <v>159</v>
      </c>
      <c r="I3851" s="3" t="s">
        <v>31</v>
      </c>
      <c r="J3851" s="3" t="s">
        <v>84</v>
      </c>
      <c r="K3851" s="3" t="s">
        <v>43</v>
      </c>
      <c r="L3851" s="3" t="s">
        <v>44</v>
      </c>
      <c r="M3851" s="4">
        <v>95.94</v>
      </c>
    </row>
    <row r="3852">
      <c r="A3852" s="2">
        <v>45918</v>
      </c>
      <c r="B38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2" s="3" t="str">
        <f>YEAR(KMART_DATA[[#This Row],[Date]])&amp;"-"&amp;TEXT(MONTH(KMART_DATA[[#This Row],[Date]]),"00")</f>
        <v>2025-09</v>
      </c>
      <c r="D3852" s="3" t="s">
        <v>28</v>
      </c>
      <c r="E3852" s="3" t="s">
        <v>51</v>
      </c>
      <c r="F3852" s="3" t="s">
        <v>15</v>
      </c>
      <c r="G38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852" s="3" t="s">
        <v>52</v>
      </c>
      <c r="I3852" s="3" t="s">
        <v>31</v>
      </c>
      <c r="J3852" s="3" t="s">
        <v>53</v>
      </c>
      <c r="K3852" s="3" t="s">
        <v>43</v>
      </c>
      <c r="L3852" s="3" t="s">
        <v>44</v>
      </c>
      <c r="M3852" s="4">
        <v>236.78</v>
      </c>
    </row>
    <row r="3853">
      <c r="A3853" s="2">
        <v>45918</v>
      </c>
      <c r="B38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3" s="3" t="str">
        <f>YEAR(KMART_DATA[[#This Row],[Date]])&amp;"-"&amp;TEXT(MONTH(KMART_DATA[[#This Row],[Date]]),"00")</f>
        <v>2025-09</v>
      </c>
      <c r="D3853" s="3" t="s">
        <v>45</v>
      </c>
      <c r="E3853" s="3" t="s">
        <v>234</v>
      </c>
      <c r="F3853" s="3" t="s">
        <v>9</v>
      </c>
      <c r="G38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53" s="3" t="s">
        <v>235</v>
      </c>
      <c r="I3853" s="3" t="s">
        <v>31</v>
      </c>
      <c r="J3853" s="3" t="s">
        <v>81</v>
      </c>
      <c r="K3853" s="3" t="s">
        <v>46</v>
      </c>
      <c r="L3853" s="3" t="s">
        <v>47</v>
      </c>
      <c r="M3853" s="4">
        <v>433.6</v>
      </c>
    </row>
    <row r="3854">
      <c r="A3854" s="2">
        <v>45918</v>
      </c>
      <c r="B38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4" s="3" t="str">
        <f>YEAR(KMART_DATA[[#This Row],[Date]])&amp;"-"&amp;TEXT(MONTH(KMART_DATA[[#This Row],[Date]]),"00")</f>
        <v>2025-09</v>
      </c>
      <c r="D3854" s="3" t="s">
        <v>28</v>
      </c>
      <c r="E3854" s="3" t="s">
        <v>160</v>
      </c>
      <c r="F3854" s="3" t="s">
        <v>12</v>
      </c>
      <c r="G38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54" s="3" t="s">
        <v>161</v>
      </c>
      <c r="I3854" s="3" t="s">
        <v>31</v>
      </c>
      <c r="J3854" s="3" t="s">
        <v>162</v>
      </c>
      <c r="K3854" s="3" t="s">
        <v>71</v>
      </c>
      <c r="L3854" s="3" t="s">
        <v>72</v>
      </c>
      <c r="M3854" s="4">
        <v>1013.66</v>
      </c>
    </row>
    <row r="3855">
      <c r="A3855" s="2">
        <v>45918</v>
      </c>
      <c r="B38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5" s="3" t="str">
        <f>YEAR(KMART_DATA[[#This Row],[Date]])&amp;"-"&amp;TEXT(MONTH(KMART_DATA[[#This Row],[Date]]),"00")</f>
        <v>2025-09</v>
      </c>
      <c r="D3855" s="3" t="s">
        <v>28</v>
      </c>
      <c r="E3855" s="3" t="s">
        <v>156</v>
      </c>
      <c r="F3855" s="3" t="s">
        <v>9</v>
      </c>
      <c r="G38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55" s="3" t="s">
        <v>157</v>
      </c>
      <c r="I3855" s="3" t="s">
        <v>31</v>
      </c>
      <c r="J3855" s="3" t="s">
        <v>75</v>
      </c>
      <c r="K3855" s="3" t="s">
        <v>123</v>
      </c>
      <c r="L3855" s="3" t="s">
        <v>124</v>
      </c>
      <c r="M3855" s="4">
        <v>2869.6</v>
      </c>
    </row>
    <row r="3856">
      <c r="A3856" s="2">
        <v>45919</v>
      </c>
      <c r="B38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6" s="3" t="str">
        <f>YEAR(KMART_DATA[[#This Row],[Date]])&amp;"-"&amp;TEXT(MONTH(KMART_DATA[[#This Row],[Date]]),"00")</f>
        <v>2025-09</v>
      </c>
      <c r="D3856" s="3" t="s">
        <v>28</v>
      </c>
      <c r="E3856" s="3" t="s">
        <v>242</v>
      </c>
      <c r="F3856" s="3" t="s">
        <v>10</v>
      </c>
      <c r="G38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56" s="3" t="s">
        <v>243</v>
      </c>
      <c r="I3856" s="3" t="s">
        <v>31</v>
      </c>
      <c r="J3856" s="3" t="s">
        <v>94</v>
      </c>
      <c r="K3856" s="3" t="s">
        <v>71</v>
      </c>
      <c r="L3856" s="3" t="s">
        <v>72</v>
      </c>
      <c r="M3856" s="4">
        <v>11.97</v>
      </c>
    </row>
    <row r="3857">
      <c r="A3857" s="2">
        <v>45919</v>
      </c>
      <c r="B38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7" s="3" t="str">
        <f>YEAR(KMART_DATA[[#This Row],[Date]])&amp;"-"&amp;TEXT(MONTH(KMART_DATA[[#This Row],[Date]]),"00")</f>
        <v>2025-09</v>
      </c>
      <c r="D3857" s="3" t="s">
        <v>28</v>
      </c>
      <c r="E3857" s="3" t="s">
        <v>205</v>
      </c>
      <c r="F3857" s="3" t="s">
        <v>10</v>
      </c>
      <c r="G38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57" s="3" t="s">
        <v>206</v>
      </c>
      <c r="I3857" s="3" t="s">
        <v>31</v>
      </c>
      <c r="J3857" s="3" t="s">
        <v>37</v>
      </c>
      <c r="K3857" s="3" t="s">
        <v>123</v>
      </c>
      <c r="L3857" s="3" t="s">
        <v>124</v>
      </c>
      <c r="M3857" s="4">
        <v>43.47</v>
      </c>
    </row>
    <row r="3858">
      <c r="A3858" s="2">
        <v>45919</v>
      </c>
      <c r="B38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8" s="3" t="str">
        <f>YEAR(KMART_DATA[[#This Row],[Date]])&amp;"-"&amp;TEXT(MONTH(KMART_DATA[[#This Row],[Date]]),"00")</f>
        <v>2025-09</v>
      </c>
      <c r="D3858" s="3" t="s">
        <v>28</v>
      </c>
      <c r="E3858" s="3" t="s">
        <v>121</v>
      </c>
      <c r="F3858" s="3" t="s">
        <v>11</v>
      </c>
      <c r="G38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58" s="3" t="s">
        <v>122</v>
      </c>
      <c r="I3858" s="3" t="s">
        <v>31</v>
      </c>
      <c r="J3858" s="3" t="s">
        <v>84</v>
      </c>
      <c r="K3858" s="3" t="s">
        <v>57</v>
      </c>
      <c r="L3858" s="3" t="s">
        <v>58</v>
      </c>
      <c r="M3858" s="4">
        <v>45.0</v>
      </c>
    </row>
    <row r="3859">
      <c r="A3859" s="2">
        <v>45919</v>
      </c>
      <c r="B38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59" s="3" t="str">
        <f>YEAR(KMART_DATA[[#This Row],[Date]])&amp;"-"&amp;TEXT(MONTH(KMART_DATA[[#This Row],[Date]]),"00")</f>
        <v>2025-09</v>
      </c>
      <c r="D3859" s="3" t="s">
        <v>28</v>
      </c>
      <c r="E3859" s="3" t="s">
        <v>64</v>
      </c>
      <c r="F3859" s="3" t="s">
        <v>11</v>
      </c>
      <c r="G38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59" s="3" t="s">
        <v>65</v>
      </c>
      <c r="I3859" s="3" t="s">
        <v>31</v>
      </c>
      <c r="J3859" s="3" t="s">
        <v>61</v>
      </c>
      <c r="K3859" s="3" t="s">
        <v>112</v>
      </c>
      <c r="L3859" s="3" t="s">
        <v>113</v>
      </c>
      <c r="M3859" s="4">
        <v>74.75</v>
      </c>
    </row>
    <row r="3860">
      <c r="A3860" s="2">
        <v>45919</v>
      </c>
      <c r="B38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0" s="3" t="str">
        <f>YEAR(KMART_DATA[[#This Row],[Date]])&amp;"-"&amp;TEXT(MONTH(KMART_DATA[[#This Row],[Date]]),"00")</f>
        <v>2025-09</v>
      </c>
      <c r="D3860" s="3" t="s">
        <v>28</v>
      </c>
      <c r="E3860" s="3" t="s">
        <v>262</v>
      </c>
      <c r="F3860" s="3" t="s">
        <v>10</v>
      </c>
      <c r="G38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60" s="3" t="s">
        <v>263</v>
      </c>
      <c r="I3860" s="3" t="s">
        <v>31</v>
      </c>
      <c r="J3860" s="3" t="s">
        <v>120</v>
      </c>
      <c r="K3860" s="3" t="s">
        <v>57</v>
      </c>
      <c r="L3860" s="3" t="s">
        <v>58</v>
      </c>
      <c r="M3860" s="4">
        <v>119.96</v>
      </c>
    </row>
    <row r="3861">
      <c r="A3861" s="2">
        <v>45919</v>
      </c>
      <c r="B38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1" s="3" t="str">
        <f>YEAR(KMART_DATA[[#This Row],[Date]])&amp;"-"&amp;TEXT(MONTH(KMART_DATA[[#This Row],[Date]]),"00")</f>
        <v>2025-09</v>
      </c>
      <c r="D3861" s="3" t="s">
        <v>28</v>
      </c>
      <c r="E3861" s="3" t="s">
        <v>199</v>
      </c>
      <c r="F3861" s="3" t="s">
        <v>13</v>
      </c>
      <c r="G38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861" s="3" t="s">
        <v>200</v>
      </c>
      <c r="I3861" s="3" t="s">
        <v>31</v>
      </c>
      <c r="J3861" s="3" t="s">
        <v>42</v>
      </c>
      <c r="K3861" s="3" t="s">
        <v>43</v>
      </c>
      <c r="L3861" s="3" t="s">
        <v>44</v>
      </c>
      <c r="M3861" s="4">
        <v>394.43</v>
      </c>
    </row>
    <row r="3862">
      <c r="A3862" s="2">
        <v>45919</v>
      </c>
      <c r="B38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2" s="3" t="str">
        <f>YEAR(KMART_DATA[[#This Row],[Date]])&amp;"-"&amp;TEXT(MONTH(KMART_DATA[[#This Row],[Date]]),"00")</f>
        <v>2025-09</v>
      </c>
      <c r="D3862" s="3" t="s">
        <v>28</v>
      </c>
      <c r="E3862" s="3" t="s">
        <v>203</v>
      </c>
      <c r="F3862" s="3" t="s">
        <v>10</v>
      </c>
      <c r="G38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62" s="3" t="s">
        <v>204</v>
      </c>
      <c r="I3862" s="3" t="s">
        <v>31</v>
      </c>
      <c r="J3862" s="3" t="s">
        <v>89</v>
      </c>
      <c r="K3862" s="3" t="s">
        <v>112</v>
      </c>
      <c r="L3862" s="3" t="s">
        <v>113</v>
      </c>
      <c r="M3862" s="4">
        <v>450.11</v>
      </c>
    </row>
    <row r="3863">
      <c r="A3863" s="2">
        <v>45919</v>
      </c>
      <c r="B38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3" s="3" t="str">
        <f>YEAR(KMART_DATA[[#This Row],[Date]])&amp;"-"&amp;TEXT(MONTH(KMART_DATA[[#This Row],[Date]]),"00")</f>
        <v>2025-09</v>
      </c>
      <c r="D3863" s="3" t="s">
        <v>28</v>
      </c>
      <c r="E3863" s="3" t="s">
        <v>160</v>
      </c>
      <c r="F3863" s="3" t="s">
        <v>12</v>
      </c>
      <c r="G38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63" s="3" t="s">
        <v>161</v>
      </c>
      <c r="I3863" s="3" t="s">
        <v>31</v>
      </c>
      <c r="J3863" s="3" t="s">
        <v>162</v>
      </c>
      <c r="K3863" s="3" t="s">
        <v>71</v>
      </c>
      <c r="L3863" s="3" t="s">
        <v>72</v>
      </c>
      <c r="M3863" s="4">
        <v>1219.38</v>
      </c>
    </row>
    <row r="3864">
      <c r="A3864" s="2">
        <v>45920</v>
      </c>
      <c r="B38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4" s="3" t="str">
        <f>YEAR(KMART_DATA[[#This Row],[Date]])&amp;"-"&amp;TEXT(MONTH(KMART_DATA[[#This Row],[Date]]),"00")</f>
        <v>2025-09</v>
      </c>
      <c r="D3864" s="3" t="s">
        <v>45</v>
      </c>
      <c r="E3864" s="3" t="s">
        <v>87</v>
      </c>
      <c r="F3864" s="3" t="s">
        <v>10</v>
      </c>
      <c r="G38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64" s="3" t="s">
        <v>88</v>
      </c>
      <c r="I3864" s="3" t="s">
        <v>31</v>
      </c>
      <c r="J3864" s="3" t="s">
        <v>89</v>
      </c>
      <c r="K3864" s="3" t="s">
        <v>95</v>
      </c>
      <c r="L3864" s="3" t="s">
        <v>96</v>
      </c>
      <c r="M3864" s="4">
        <v>15.98</v>
      </c>
    </row>
    <row r="3865">
      <c r="A3865" s="2">
        <v>45920</v>
      </c>
      <c r="B38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5" s="3" t="str">
        <f>YEAR(KMART_DATA[[#This Row],[Date]])&amp;"-"&amp;TEXT(MONTH(KMART_DATA[[#This Row],[Date]]),"00")</f>
        <v>2025-09</v>
      </c>
      <c r="D3865" s="3" t="s">
        <v>28</v>
      </c>
      <c r="E3865" s="3" t="s">
        <v>76</v>
      </c>
      <c r="F3865" s="3" t="s">
        <v>11</v>
      </c>
      <c r="G38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65" s="3" t="s">
        <v>77</v>
      </c>
      <c r="I3865" s="3" t="s">
        <v>31</v>
      </c>
      <c r="J3865" s="3" t="s">
        <v>78</v>
      </c>
      <c r="K3865" s="3" t="s">
        <v>43</v>
      </c>
      <c r="L3865" s="3" t="s">
        <v>44</v>
      </c>
      <c r="M3865" s="4">
        <v>16.99</v>
      </c>
    </row>
    <row r="3866">
      <c r="A3866" s="2">
        <v>45920</v>
      </c>
      <c r="B38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6" s="3" t="str">
        <f>YEAR(KMART_DATA[[#This Row],[Date]])&amp;"-"&amp;TEXT(MONTH(KMART_DATA[[#This Row],[Date]]),"00")</f>
        <v>2025-09</v>
      </c>
      <c r="D3866" s="3" t="s">
        <v>28</v>
      </c>
      <c r="E3866" s="3" t="s">
        <v>175</v>
      </c>
      <c r="F3866" s="3" t="s">
        <v>16</v>
      </c>
      <c r="G38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866" s="3" t="s">
        <v>176</v>
      </c>
      <c r="I3866" s="3" t="s">
        <v>31</v>
      </c>
      <c r="J3866" s="3" t="s">
        <v>107</v>
      </c>
      <c r="K3866" s="3" t="s">
        <v>71</v>
      </c>
      <c r="L3866" s="3" t="s">
        <v>72</v>
      </c>
      <c r="M3866" s="4">
        <v>189.58</v>
      </c>
    </row>
    <row r="3867">
      <c r="A3867" s="2">
        <v>45920</v>
      </c>
      <c r="B38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7" s="3" t="str">
        <f>YEAR(KMART_DATA[[#This Row],[Date]])&amp;"-"&amp;TEXT(MONTH(KMART_DATA[[#This Row],[Date]]),"00")</f>
        <v>2025-09</v>
      </c>
      <c r="D3867" s="3" t="s">
        <v>28</v>
      </c>
      <c r="E3867" s="3" t="s">
        <v>114</v>
      </c>
      <c r="F3867" s="3" t="s">
        <v>9</v>
      </c>
      <c r="G38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67" s="3" t="s">
        <v>115</v>
      </c>
      <c r="I3867" s="3" t="s">
        <v>31</v>
      </c>
      <c r="J3867" s="3" t="s">
        <v>99</v>
      </c>
      <c r="K3867" s="3" t="s">
        <v>57</v>
      </c>
      <c r="L3867" s="3" t="s">
        <v>58</v>
      </c>
      <c r="M3867" s="4">
        <v>383.53</v>
      </c>
    </row>
    <row r="3868">
      <c r="A3868" s="2">
        <v>45920</v>
      </c>
      <c r="B38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8" s="3" t="str">
        <f>YEAR(KMART_DATA[[#This Row],[Date]])&amp;"-"&amp;TEXT(MONTH(KMART_DATA[[#This Row],[Date]]),"00")</f>
        <v>2025-09</v>
      </c>
      <c r="D3868" s="3" t="s">
        <v>45</v>
      </c>
      <c r="E3868" s="3" t="s">
        <v>54</v>
      </c>
      <c r="F3868" s="3" t="s">
        <v>11</v>
      </c>
      <c r="G38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68" s="3" t="s">
        <v>55</v>
      </c>
      <c r="I3868" s="3" t="s">
        <v>31</v>
      </c>
      <c r="J3868" s="3" t="s">
        <v>56</v>
      </c>
      <c r="K3868" s="3" t="s">
        <v>57</v>
      </c>
      <c r="L3868" s="3" t="s">
        <v>58</v>
      </c>
      <c r="M3868" s="4">
        <v>611.5</v>
      </c>
    </row>
    <row r="3869">
      <c r="A3869" s="2">
        <v>45920</v>
      </c>
      <c r="B38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69" s="3" t="str">
        <f>YEAR(KMART_DATA[[#This Row],[Date]])&amp;"-"&amp;TEXT(MONTH(KMART_DATA[[#This Row],[Date]]),"00")</f>
        <v>2025-09</v>
      </c>
      <c r="D3869" s="3" t="s">
        <v>28</v>
      </c>
      <c r="E3869" s="3" t="s">
        <v>213</v>
      </c>
      <c r="F3869" s="3" t="s">
        <v>11</v>
      </c>
      <c r="G38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69" s="3" t="s">
        <v>214</v>
      </c>
      <c r="I3869" s="3" t="s">
        <v>31</v>
      </c>
      <c r="J3869" s="3" t="s">
        <v>32</v>
      </c>
      <c r="K3869" s="3" t="s">
        <v>71</v>
      </c>
      <c r="L3869" s="3" t="s">
        <v>72</v>
      </c>
      <c r="M3869" s="4">
        <v>704.46</v>
      </c>
    </row>
    <row r="3870">
      <c r="A3870" s="2">
        <v>45921</v>
      </c>
      <c r="B38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0" s="3" t="str">
        <f>YEAR(KMART_DATA[[#This Row],[Date]])&amp;"-"&amp;TEXT(MONTH(KMART_DATA[[#This Row],[Date]]),"00")</f>
        <v>2025-09</v>
      </c>
      <c r="D3870" s="3" t="s">
        <v>28</v>
      </c>
      <c r="E3870" s="3" t="s">
        <v>213</v>
      </c>
      <c r="F3870" s="3" t="s">
        <v>11</v>
      </c>
      <c r="G38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70" s="3" t="s">
        <v>214</v>
      </c>
      <c r="I3870" s="3" t="s">
        <v>31</v>
      </c>
      <c r="J3870" s="3" t="s">
        <v>32</v>
      </c>
      <c r="K3870" s="3" t="s">
        <v>43</v>
      </c>
      <c r="L3870" s="3" t="s">
        <v>44</v>
      </c>
      <c r="M3870" s="4">
        <v>15.0</v>
      </c>
    </row>
    <row r="3871">
      <c r="A3871" s="2">
        <v>45921</v>
      </c>
      <c r="B38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1" s="3" t="str">
        <f>YEAR(KMART_DATA[[#This Row],[Date]])&amp;"-"&amp;TEXT(MONTH(KMART_DATA[[#This Row],[Date]]),"00")</f>
        <v>2025-09</v>
      </c>
      <c r="D3871" s="3" t="s">
        <v>28</v>
      </c>
      <c r="E3871" s="3" t="s">
        <v>205</v>
      </c>
      <c r="F3871" s="3" t="s">
        <v>10</v>
      </c>
      <c r="G38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71" s="3" t="s">
        <v>206</v>
      </c>
      <c r="I3871" s="3" t="s">
        <v>31</v>
      </c>
      <c r="J3871" s="3" t="s">
        <v>37</v>
      </c>
      <c r="K3871" s="3" t="s">
        <v>33</v>
      </c>
      <c r="L3871" s="3" t="s">
        <v>34</v>
      </c>
      <c r="M3871" s="4">
        <v>32.89</v>
      </c>
    </row>
    <row r="3872">
      <c r="A3872" s="2">
        <v>45921</v>
      </c>
      <c r="B38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2" s="3" t="str">
        <f>YEAR(KMART_DATA[[#This Row],[Date]])&amp;"-"&amp;TEXT(MONTH(KMART_DATA[[#This Row],[Date]]),"00")</f>
        <v>2025-09</v>
      </c>
      <c r="D3872" s="3" t="s">
        <v>28</v>
      </c>
      <c r="E3872" s="3" t="s">
        <v>252</v>
      </c>
      <c r="F3872" s="3" t="s">
        <v>10</v>
      </c>
      <c r="G38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72" s="3" t="s">
        <v>253</v>
      </c>
      <c r="I3872" s="3" t="s">
        <v>31</v>
      </c>
      <c r="J3872" s="3" t="s">
        <v>94</v>
      </c>
      <c r="K3872" s="3" t="s">
        <v>57</v>
      </c>
      <c r="L3872" s="3" t="s">
        <v>58</v>
      </c>
      <c r="M3872" s="4">
        <v>36.0</v>
      </c>
    </row>
    <row r="3873">
      <c r="A3873" s="2">
        <v>45921</v>
      </c>
      <c r="B38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3" s="3" t="str">
        <f>YEAR(KMART_DATA[[#This Row],[Date]])&amp;"-"&amp;TEXT(MONTH(KMART_DATA[[#This Row],[Date]]),"00")</f>
        <v>2025-09</v>
      </c>
      <c r="D3873" s="3" t="s">
        <v>45</v>
      </c>
      <c r="E3873" s="3" t="s">
        <v>118</v>
      </c>
      <c r="F3873" s="3" t="s">
        <v>10</v>
      </c>
      <c r="G38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73" s="3" t="s">
        <v>119</v>
      </c>
      <c r="I3873" s="3" t="s">
        <v>31</v>
      </c>
      <c r="J3873" s="3" t="s">
        <v>120</v>
      </c>
      <c r="K3873" s="3" t="s">
        <v>71</v>
      </c>
      <c r="L3873" s="3" t="s">
        <v>72</v>
      </c>
      <c r="M3873" s="4">
        <v>36.54</v>
      </c>
    </row>
    <row r="3874">
      <c r="A3874" s="2">
        <v>45921</v>
      </c>
      <c r="B38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4" s="3" t="str">
        <f>YEAR(KMART_DATA[[#This Row],[Date]])&amp;"-"&amp;TEXT(MONTH(KMART_DATA[[#This Row],[Date]]),"00")</f>
        <v>2025-09</v>
      </c>
      <c r="D3874" s="3" t="s">
        <v>45</v>
      </c>
      <c r="E3874" s="3" t="s">
        <v>219</v>
      </c>
      <c r="F3874" s="3" t="s">
        <v>11</v>
      </c>
      <c r="G38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74" s="3" t="s">
        <v>220</v>
      </c>
      <c r="I3874" s="3" t="s">
        <v>31</v>
      </c>
      <c r="J3874" s="3" t="s">
        <v>56</v>
      </c>
      <c r="K3874" s="3" t="s">
        <v>43</v>
      </c>
      <c r="L3874" s="3" t="s">
        <v>44</v>
      </c>
      <c r="M3874" s="4">
        <v>49.95</v>
      </c>
    </row>
    <row r="3875">
      <c r="A3875" s="2">
        <v>45921</v>
      </c>
      <c r="B38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5" s="3" t="str">
        <f>YEAR(KMART_DATA[[#This Row],[Date]])&amp;"-"&amp;TEXT(MONTH(KMART_DATA[[#This Row],[Date]]),"00")</f>
        <v>2025-09</v>
      </c>
      <c r="D3875" s="3" t="s">
        <v>45</v>
      </c>
      <c r="E3875" s="3" t="s">
        <v>135</v>
      </c>
      <c r="F3875" s="3" t="s">
        <v>16</v>
      </c>
      <c r="G38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875" s="3" t="s">
        <v>136</v>
      </c>
      <c r="I3875" s="3" t="s">
        <v>31</v>
      </c>
      <c r="J3875" s="3" t="s">
        <v>107</v>
      </c>
      <c r="K3875" s="3" t="s">
        <v>33</v>
      </c>
      <c r="L3875" s="3" t="s">
        <v>34</v>
      </c>
      <c r="M3875" s="4">
        <v>119.22</v>
      </c>
    </row>
    <row r="3876">
      <c r="A3876" s="2">
        <v>45921</v>
      </c>
      <c r="B38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6" s="3" t="str">
        <f>YEAR(KMART_DATA[[#This Row],[Date]])&amp;"-"&amp;TEXT(MONTH(KMART_DATA[[#This Row],[Date]]),"00")</f>
        <v>2025-09</v>
      </c>
      <c r="D3876" s="3" t="s">
        <v>28</v>
      </c>
      <c r="E3876" s="3" t="s">
        <v>238</v>
      </c>
      <c r="F3876" s="3" t="s">
        <v>13</v>
      </c>
      <c r="G38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876" s="3" t="s">
        <v>239</v>
      </c>
      <c r="I3876" s="3" t="s">
        <v>31</v>
      </c>
      <c r="J3876" s="3" t="s">
        <v>42</v>
      </c>
      <c r="K3876" s="3" t="s">
        <v>46</v>
      </c>
      <c r="L3876" s="3" t="s">
        <v>47</v>
      </c>
      <c r="M3876" s="4">
        <v>148.87</v>
      </c>
    </row>
    <row r="3877">
      <c r="A3877" s="2">
        <v>45921</v>
      </c>
      <c r="B38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7" s="3" t="str">
        <f>YEAR(KMART_DATA[[#This Row],[Date]])&amp;"-"&amp;TEXT(MONTH(KMART_DATA[[#This Row],[Date]]),"00")</f>
        <v>2025-09</v>
      </c>
      <c r="D3877" s="3" t="s">
        <v>45</v>
      </c>
      <c r="E3877" s="3" t="s">
        <v>118</v>
      </c>
      <c r="F3877" s="3" t="s">
        <v>10</v>
      </c>
      <c r="G38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77" s="3" t="s">
        <v>119</v>
      </c>
      <c r="I3877" s="3" t="s">
        <v>31</v>
      </c>
      <c r="J3877" s="3" t="s">
        <v>120</v>
      </c>
      <c r="K3877" s="3" t="s">
        <v>57</v>
      </c>
      <c r="L3877" s="3" t="s">
        <v>58</v>
      </c>
      <c r="M3877" s="4">
        <v>157.7</v>
      </c>
    </row>
    <row r="3878">
      <c r="A3878" s="2">
        <v>45921</v>
      </c>
      <c r="B38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8" s="3" t="str">
        <f>YEAR(KMART_DATA[[#This Row],[Date]])&amp;"-"&amp;TEXT(MONTH(KMART_DATA[[#This Row],[Date]]),"00")</f>
        <v>2025-09</v>
      </c>
      <c r="D3878" s="3" t="s">
        <v>28</v>
      </c>
      <c r="E3878" s="3" t="s">
        <v>64</v>
      </c>
      <c r="F3878" s="3" t="s">
        <v>11</v>
      </c>
      <c r="G38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78" s="3" t="s">
        <v>65</v>
      </c>
      <c r="I3878" s="3" t="s">
        <v>31</v>
      </c>
      <c r="J3878" s="3" t="s">
        <v>61</v>
      </c>
      <c r="K3878" s="3" t="s">
        <v>46</v>
      </c>
      <c r="L3878" s="3" t="s">
        <v>47</v>
      </c>
      <c r="M3878" s="4">
        <v>281.81</v>
      </c>
    </row>
    <row r="3879">
      <c r="A3879" s="2">
        <v>45921</v>
      </c>
      <c r="B38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79" s="3" t="str">
        <f>YEAR(KMART_DATA[[#This Row],[Date]])&amp;"-"&amp;TEXT(MONTH(KMART_DATA[[#This Row],[Date]]),"00")</f>
        <v>2025-09</v>
      </c>
      <c r="D3879" s="3" t="s">
        <v>28</v>
      </c>
      <c r="E3879" s="3" t="s">
        <v>252</v>
      </c>
      <c r="F3879" s="3" t="s">
        <v>10</v>
      </c>
      <c r="G38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79" s="3" t="s">
        <v>253</v>
      </c>
      <c r="I3879" s="3" t="s">
        <v>31</v>
      </c>
      <c r="J3879" s="3" t="s">
        <v>94</v>
      </c>
      <c r="K3879" s="3" t="s">
        <v>57</v>
      </c>
      <c r="L3879" s="3" t="s">
        <v>58</v>
      </c>
      <c r="M3879" s="4">
        <v>1591.82</v>
      </c>
    </row>
    <row r="3880">
      <c r="A3880" s="2">
        <v>45922</v>
      </c>
      <c r="B38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0" s="3" t="str">
        <f>YEAR(KMART_DATA[[#This Row],[Date]])&amp;"-"&amp;TEXT(MONTH(KMART_DATA[[#This Row],[Date]]),"00")</f>
        <v>2025-09</v>
      </c>
      <c r="D3880" s="3" t="s">
        <v>45</v>
      </c>
      <c r="E3880" s="3" t="s">
        <v>97</v>
      </c>
      <c r="F3880" s="3" t="s">
        <v>9</v>
      </c>
      <c r="G38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80" s="3" t="s">
        <v>98</v>
      </c>
      <c r="I3880" s="3" t="s">
        <v>31</v>
      </c>
      <c r="J3880" s="3" t="s">
        <v>99</v>
      </c>
      <c r="K3880" s="3" t="s">
        <v>46</v>
      </c>
      <c r="L3880" s="3" t="s">
        <v>47</v>
      </c>
      <c r="M3880" s="4">
        <v>5.99</v>
      </c>
    </row>
    <row r="3881">
      <c r="A3881" s="2">
        <v>45922</v>
      </c>
      <c r="B38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1" s="3" t="str">
        <f>YEAR(KMART_DATA[[#This Row],[Date]])&amp;"-"&amp;TEXT(MONTH(KMART_DATA[[#This Row],[Date]]),"00")</f>
        <v>2025-09</v>
      </c>
      <c r="D3881" s="3" t="s">
        <v>28</v>
      </c>
      <c r="E3881" s="3" t="s">
        <v>137</v>
      </c>
      <c r="F3881" s="3" t="s">
        <v>10</v>
      </c>
      <c r="G38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81" s="3" t="s">
        <v>138</v>
      </c>
      <c r="I3881" s="3" t="s">
        <v>31</v>
      </c>
      <c r="J3881" s="3" t="s">
        <v>89</v>
      </c>
      <c r="K3881" s="3" t="s">
        <v>46</v>
      </c>
      <c r="L3881" s="3" t="s">
        <v>47</v>
      </c>
      <c r="M3881" s="4">
        <v>240.93</v>
      </c>
    </row>
    <row r="3882">
      <c r="A3882" s="2">
        <v>45922</v>
      </c>
      <c r="B38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2" s="3" t="str">
        <f>YEAR(KMART_DATA[[#This Row],[Date]])&amp;"-"&amp;TEXT(MONTH(KMART_DATA[[#This Row],[Date]]),"00")</f>
        <v>2025-09</v>
      </c>
      <c r="D3882" s="3" t="s">
        <v>28</v>
      </c>
      <c r="E3882" s="3" t="s">
        <v>64</v>
      </c>
      <c r="F3882" s="3" t="s">
        <v>11</v>
      </c>
      <c r="G38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82" s="3" t="s">
        <v>65</v>
      </c>
      <c r="I3882" s="3" t="s">
        <v>31</v>
      </c>
      <c r="J3882" s="3" t="s">
        <v>61</v>
      </c>
      <c r="K3882" s="3" t="s">
        <v>43</v>
      </c>
      <c r="L3882" s="3" t="s">
        <v>44</v>
      </c>
      <c r="M3882" s="4">
        <v>327.45</v>
      </c>
    </row>
    <row r="3883">
      <c r="A3883" s="2">
        <v>45922</v>
      </c>
      <c r="B38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3" s="3" t="str">
        <f>YEAR(KMART_DATA[[#This Row],[Date]])&amp;"-"&amp;TEXT(MONTH(KMART_DATA[[#This Row],[Date]]),"00")</f>
        <v>2025-09</v>
      </c>
      <c r="D3883" s="3" t="s">
        <v>28</v>
      </c>
      <c r="E3883" s="3" t="s">
        <v>110</v>
      </c>
      <c r="F3883" s="3" t="s">
        <v>9</v>
      </c>
      <c r="G38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83" s="3" t="s">
        <v>111</v>
      </c>
      <c r="I3883" s="3" t="s">
        <v>31</v>
      </c>
      <c r="J3883" s="3" t="s">
        <v>81</v>
      </c>
      <c r="K3883" s="3" t="s">
        <v>71</v>
      </c>
      <c r="L3883" s="3" t="s">
        <v>72</v>
      </c>
      <c r="M3883" s="4">
        <v>731.58</v>
      </c>
    </row>
    <row r="3884">
      <c r="A3884" s="2">
        <v>45922</v>
      </c>
      <c r="B38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4" s="3" t="str">
        <f>YEAR(KMART_DATA[[#This Row],[Date]])&amp;"-"&amp;TEXT(MONTH(KMART_DATA[[#This Row],[Date]]),"00")</f>
        <v>2025-09</v>
      </c>
      <c r="D3884" s="3" t="s">
        <v>28</v>
      </c>
      <c r="E3884" s="3" t="s">
        <v>185</v>
      </c>
      <c r="F3884" s="3" t="s">
        <v>12</v>
      </c>
      <c r="G38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884" s="3" t="s">
        <v>186</v>
      </c>
      <c r="I3884" s="3" t="s">
        <v>31</v>
      </c>
      <c r="J3884" s="3" t="s">
        <v>162</v>
      </c>
      <c r="K3884" s="3" t="s">
        <v>57</v>
      </c>
      <c r="L3884" s="3" t="s">
        <v>58</v>
      </c>
      <c r="M3884" s="4">
        <v>915.68</v>
      </c>
    </row>
    <row r="3885">
      <c r="A3885" s="2">
        <v>45923</v>
      </c>
      <c r="B38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5" s="3" t="str">
        <f>YEAR(KMART_DATA[[#This Row],[Date]])&amp;"-"&amp;TEXT(MONTH(KMART_DATA[[#This Row],[Date]]),"00")</f>
        <v>2025-09</v>
      </c>
      <c r="D3885" s="3" t="s">
        <v>28</v>
      </c>
      <c r="E3885" s="3" t="s">
        <v>165</v>
      </c>
      <c r="F3885" s="3" t="s">
        <v>9</v>
      </c>
      <c r="G38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85" s="3" t="s">
        <v>166</v>
      </c>
      <c r="I3885" s="3" t="s">
        <v>31</v>
      </c>
      <c r="J3885" s="3" t="s">
        <v>99</v>
      </c>
      <c r="K3885" s="3" t="s">
        <v>123</v>
      </c>
      <c r="L3885" s="3" t="s">
        <v>124</v>
      </c>
      <c r="M3885" s="4">
        <v>20.96</v>
      </c>
    </row>
    <row r="3886">
      <c r="A3886" s="2">
        <v>45923</v>
      </c>
      <c r="B38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6" s="3" t="str">
        <f>YEAR(KMART_DATA[[#This Row],[Date]])&amp;"-"&amp;TEXT(MONTH(KMART_DATA[[#This Row],[Date]]),"00")</f>
        <v>2025-09</v>
      </c>
      <c r="D3886" s="3" t="s">
        <v>28</v>
      </c>
      <c r="E3886" s="3" t="s">
        <v>129</v>
      </c>
      <c r="F3886" s="3" t="s">
        <v>10</v>
      </c>
      <c r="G38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86" s="3" t="s">
        <v>130</v>
      </c>
      <c r="I3886" s="3" t="s">
        <v>31</v>
      </c>
      <c r="J3886" s="3" t="s">
        <v>120</v>
      </c>
      <c r="K3886" s="3" t="s">
        <v>43</v>
      </c>
      <c r="L3886" s="3" t="s">
        <v>44</v>
      </c>
      <c r="M3886" s="4">
        <v>71.76</v>
      </c>
    </row>
    <row r="3887">
      <c r="A3887" s="2">
        <v>45923</v>
      </c>
      <c r="B38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7" s="3" t="str">
        <f>YEAR(KMART_DATA[[#This Row],[Date]])&amp;"-"&amp;TEXT(MONTH(KMART_DATA[[#This Row],[Date]]),"00")</f>
        <v>2025-09</v>
      </c>
      <c r="D3887" s="3" t="s">
        <v>28</v>
      </c>
      <c r="E3887" s="3" t="s">
        <v>137</v>
      </c>
      <c r="F3887" s="3" t="s">
        <v>10</v>
      </c>
      <c r="G38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87" s="3" t="s">
        <v>138</v>
      </c>
      <c r="I3887" s="3" t="s">
        <v>31</v>
      </c>
      <c r="J3887" s="3" t="s">
        <v>89</v>
      </c>
      <c r="K3887" s="3" t="s">
        <v>57</v>
      </c>
      <c r="L3887" s="3" t="s">
        <v>58</v>
      </c>
      <c r="M3887" s="4">
        <v>617.74</v>
      </c>
    </row>
    <row r="3888">
      <c r="A3888" s="2">
        <v>45923</v>
      </c>
      <c r="B38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8" s="3" t="str">
        <f>YEAR(KMART_DATA[[#This Row],[Date]])&amp;"-"&amp;TEXT(MONTH(KMART_DATA[[#This Row],[Date]]),"00")</f>
        <v>2025-09</v>
      </c>
      <c r="D3888" s="3" t="s">
        <v>28</v>
      </c>
      <c r="E3888" s="3" t="s">
        <v>97</v>
      </c>
      <c r="F3888" s="3" t="s">
        <v>9</v>
      </c>
      <c r="G38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88" s="3" t="s">
        <v>98</v>
      </c>
      <c r="I3888" s="3" t="s">
        <v>31</v>
      </c>
      <c r="J3888" s="3" t="s">
        <v>99</v>
      </c>
      <c r="K3888" s="3" t="s">
        <v>43</v>
      </c>
      <c r="L3888" s="3" t="s">
        <v>44</v>
      </c>
      <c r="M3888" s="4">
        <v>924.9</v>
      </c>
    </row>
    <row r="3889">
      <c r="A3889" s="2">
        <v>45924</v>
      </c>
      <c r="B38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89" s="3" t="str">
        <f>YEAR(KMART_DATA[[#This Row],[Date]])&amp;"-"&amp;TEXT(MONTH(KMART_DATA[[#This Row],[Date]]),"00")</f>
        <v>2025-09</v>
      </c>
      <c r="D3889" s="3" t="s">
        <v>28</v>
      </c>
      <c r="E3889" s="3" t="s">
        <v>54</v>
      </c>
      <c r="F3889" s="3" t="s">
        <v>11</v>
      </c>
      <c r="G38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89" s="3" t="s">
        <v>55</v>
      </c>
      <c r="I3889" s="3" t="s">
        <v>31</v>
      </c>
      <c r="J3889" s="3" t="s">
        <v>56</v>
      </c>
      <c r="K3889" s="3" t="s">
        <v>43</v>
      </c>
      <c r="L3889" s="3" t="s">
        <v>44</v>
      </c>
      <c r="M3889" s="4">
        <v>7.0</v>
      </c>
    </row>
    <row r="3890">
      <c r="A3890" s="2">
        <v>45924</v>
      </c>
      <c r="B38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0" s="3" t="str">
        <f>YEAR(KMART_DATA[[#This Row],[Date]])&amp;"-"&amp;TEXT(MONTH(KMART_DATA[[#This Row],[Date]]),"00")</f>
        <v>2025-09</v>
      </c>
      <c r="D3890" s="3" t="s">
        <v>45</v>
      </c>
      <c r="E3890" s="3" t="s">
        <v>82</v>
      </c>
      <c r="F3890" s="3" t="s">
        <v>11</v>
      </c>
      <c r="G38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90" s="3" t="s">
        <v>83</v>
      </c>
      <c r="I3890" s="3" t="s">
        <v>31</v>
      </c>
      <c r="J3890" s="3" t="s">
        <v>84</v>
      </c>
      <c r="K3890" s="3" t="s">
        <v>43</v>
      </c>
      <c r="L3890" s="3" t="s">
        <v>44</v>
      </c>
      <c r="M3890" s="4">
        <v>655.54</v>
      </c>
    </row>
    <row r="3891">
      <c r="A3891" s="2">
        <v>45924</v>
      </c>
      <c r="B38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1" s="3" t="str">
        <f>YEAR(KMART_DATA[[#This Row],[Date]])&amp;"-"&amp;TEXT(MONTH(KMART_DATA[[#This Row],[Date]]),"00")</f>
        <v>2025-09</v>
      </c>
      <c r="D3891" s="3" t="s">
        <v>28</v>
      </c>
      <c r="E3891" s="3" t="s">
        <v>73</v>
      </c>
      <c r="F3891" s="3" t="s">
        <v>9</v>
      </c>
      <c r="G38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91" s="3" t="s">
        <v>74</v>
      </c>
      <c r="I3891" s="3" t="s">
        <v>31</v>
      </c>
      <c r="J3891" s="3" t="s">
        <v>75</v>
      </c>
      <c r="K3891" s="3" t="s">
        <v>71</v>
      </c>
      <c r="L3891" s="3" t="s">
        <v>72</v>
      </c>
      <c r="M3891" s="4">
        <v>1470.4</v>
      </c>
    </row>
    <row r="3892">
      <c r="A3892" s="2">
        <v>45925</v>
      </c>
      <c r="B38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2" s="3" t="str">
        <f>YEAR(KMART_DATA[[#This Row],[Date]])&amp;"-"&amp;TEXT(MONTH(KMART_DATA[[#This Row],[Date]]),"00")</f>
        <v>2025-09</v>
      </c>
      <c r="D3892" s="3" t="s">
        <v>45</v>
      </c>
      <c r="E3892" s="3" t="s">
        <v>244</v>
      </c>
      <c r="F3892" s="3" t="s">
        <v>13</v>
      </c>
      <c r="G38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892" s="3" t="s">
        <v>245</v>
      </c>
      <c r="I3892" s="3" t="s">
        <v>31</v>
      </c>
      <c r="J3892" s="3" t="s">
        <v>42</v>
      </c>
      <c r="K3892" s="3" t="s">
        <v>43</v>
      </c>
      <c r="L3892" s="3" t="s">
        <v>44</v>
      </c>
      <c r="M3892" s="4">
        <v>97.41</v>
      </c>
    </row>
    <row r="3893">
      <c r="A3893" s="2">
        <v>45925</v>
      </c>
      <c r="B38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3" s="3" t="str">
        <f>YEAR(KMART_DATA[[#This Row],[Date]])&amp;"-"&amp;TEXT(MONTH(KMART_DATA[[#This Row],[Date]]),"00")</f>
        <v>2025-09</v>
      </c>
      <c r="D3893" s="3" t="s">
        <v>28</v>
      </c>
      <c r="E3893" s="3" t="s">
        <v>215</v>
      </c>
      <c r="F3893" s="3" t="s">
        <v>15</v>
      </c>
      <c r="G38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893" s="3" t="s">
        <v>216</v>
      </c>
      <c r="I3893" s="3" t="s">
        <v>31</v>
      </c>
      <c r="J3893" s="3" t="s">
        <v>53</v>
      </c>
      <c r="K3893" s="3" t="s">
        <v>43</v>
      </c>
      <c r="L3893" s="3" t="s">
        <v>44</v>
      </c>
      <c r="M3893" s="4">
        <v>291.87</v>
      </c>
    </row>
    <row r="3894">
      <c r="A3894" s="2">
        <v>45925</v>
      </c>
      <c r="B38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4" s="3" t="str">
        <f>YEAR(KMART_DATA[[#This Row],[Date]])&amp;"-"&amp;TEXT(MONTH(KMART_DATA[[#This Row],[Date]]),"00")</f>
        <v>2025-09</v>
      </c>
      <c r="D3894" s="3" t="s">
        <v>28</v>
      </c>
      <c r="E3894" s="3" t="s">
        <v>228</v>
      </c>
      <c r="F3894" s="3" t="s">
        <v>11</v>
      </c>
      <c r="G38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894" s="3" t="s">
        <v>229</v>
      </c>
      <c r="I3894" s="3" t="s">
        <v>31</v>
      </c>
      <c r="J3894" s="3" t="s">
        <v>32</v>
      </c>
      <c r="K3894" s="3" t="s">
        <v>57</v>
      </c>
      <c r="L3894" s="3" t="s">
        <v>58</v>
      </c>
      <c r="M3894" s="4">
        <v>1173.55</v>
      </c>
    </row>
    <row r="3895">
      <c r="A3895" s="2">
        <v>45925</v>
      </c>
      <c r="B38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5" s="3" t="str">
        <f>YEAR(KMART_DATA[[#This Row],[Date]])&amp;"-"&amp;TEXT(MONTH(KMART_DATA[[#This Row],[Date]]),"00")</f>
        <v>2025-09</v>
      </c>
      <c r="D3895" s="3" t="s">
        <v>28</v>
      </c>
      <c r="E3895" s="3" t="s">
        <v>118</v>
      </c>
      <c r="F3895" s="3" t="s">
        <v>10</v>
      </c>
      <c r="G38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95" s="3" t="s">
        <v>119</v>
      </c>
      <c r="I3895" s="3" t="s">
        <v>31</v>
      </c>
      <c r="J3895" s="3" t="s">
        <v>120</v>
      </c>
      <c r="K3895" s="3" t="s">
        <v>43</v>
      </c>
      <c r="L3895" s="3" t="s">
        <v>44</v>
      </c>
      <c r="M3895" s="4">
        <v>2327.56</v>
      </c>
    </row>
    <row r="3896">
      <c r="A3896" s="2">
        <v>45926</v>
      </c>
      <c r="B38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6" s="3" t="str">
        <f>YEAR(KMART_DATA[[#This Row],[Date]])&amp;"-"&amp;TEXT(MONTH(KMART_DATA[[#This Row],[Date]]),"00")</f>
        <v>2025-09</v>
      </c>
      <c r="D3896" s="3" t="s">
        <v>28</v>
      </c>
      <c r="E3896" s="3" t="s">
        <v>179</v>
      </c>
      <c r="F3896" s="3" t="s">
        <v>9</v>
      </c>
      <c r="G38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96" s="3" t="s">
        <v>180</v>
      </c>
      <c r="I3896" s="3" t="s">
        <v>31</v>
      </c>
      <c r="J3896" s="3" t="s">
        <v>99</v>
      </c>
      <c r="K3896" s="3" t="s">
        <v>95</v>
      </c>
      <c r="L3896" s="3" t="s">
        <v>96</v>
      </c>
      <c r="M3896" s="4">
        <v>21.0</v>
      </c>
    </row>
    <row r="3897">
      <c r="A3897" s="2">
        <v>45926</v>
      </c>
      <c r="B38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7" s="3" t="str">
        <f>YEAR(KMART_DATA[[#This Row],[Date]])&amp;"-"&amp;TEXT(MONTH(KMART_DATA[[#This Row],[Date]]),"00")</f>
        <v>2025-09</v>
      </c>
      <c r="D3897" s="3" t="s">
        <v>28</v>
      </c>
      <c r="E3897" s="3" t="s">
        <v>250</v>
      </c>
      <c r="F3897" s="3" t="s">
        <v>10</v>
      </c>
      <c r="G38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897" s="3" t="s">
        <v>251</v>
      </c>
      <c r="I3897" s="3" t="s">
        <v>31</v>
      </c>
      <c r="J3897" s="3" t="s">
        <v>37</v>
      </c>
      <c r="K3897" s="3" t="s">
        <v>95</v>
      </c>
      <c r="L3897" s="3" t="s">
        <v>96</v>
      </c>
      <c r="M3897" s="4">
        <v>40.95</v>
      </c>
    </row>
    <row r="3898">
      <c r="A3898" s="2">
        <v>45926</v>
      </c>
      <c r="B38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8" s="3" t="str">
        <f>YEAR(KMART_DATA[[#This Row],[Date]])&amp;"-"&amp;TEXT(MONTH(KMART_DATA[[#This Row],[Date]]),"00")</f>
        <v>2025-09</v>
      </c>
      <c r="D3898" s="3" t="s">
        <v>45</v>
      </c>
      <c r="E3898" s="3" t="s">
        <v>211</v>
      </c>
      <c r="F3898" s="3" t="s">
        <v>9</v>
      </c>
      <c r="G38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98" s="3" t="s">
        <v>212</v>
      </c>
      <c r="I3898" s="3" t="s">
        <v>31</v>
      </c>
      <c r="J3898" s="3" t="s">
        <v>75</v>
      </c>
      <c r="K3898" s="3" t="s">
        <v>33</v>
      </c>
      <c r="L3898" s="3" t="s">
        <v>34</v>
      </c>
      <c r="M3898" s="4">
        <v>48.92</v>
      </c>
    </row>
    <row r="3899">
      <c r="A3899" s="2">
        <v>45926</v>
      </c>
      <c r="B38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899" s="3" t="str">
        <f>YEAR(KMART_DATA[[#This Row],[Date]])&amp;"-"&amp;TEXT(MONTH(KMART_DATA[[#This Row],[Date]]),"00")</f>
        <v>2025-09</v>
      </c>
      <c r="D3899" s="3" t="s">
        <v>45</v>
      </c>
      <c r="E3899" s="3" t="s">
        <v>110</v>
      </c>
      <c r="F3899" s="3" t="s">
        <v>9</v>
      </c>
      <c r="G38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899" s="3" t="s">
        <v>111</v>
      </c>
      <c r="I3899" s="3" t="s">
        <v>31</v>
      </c>
      <c r="J3899" s="3" t="s">
        <v>81</v>
      </c>
      <c r="K3899" s="3" t="s">
        <v>95</v>
      </c>
      <c r="L3899" s="3" t="s">
        <v>96</v>
      </c>
      <c r="M3899" s="4">
        <v>55.47</v>
      </c>
    </row>
    <row r="3900">
      <c r="A3900" s="2">
        <v>45926</v>
      </c>
      <c r="B39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0" s="3" t="str">
        <f>YEAR(KMART_DATA[[#This Row],[Date]])&amp;"-"&amp;TEXT(MONTH(KMART_DATA[[#This Row],[Date]]),"00")</f>
        <v>2025-09</v>
      </c>
      <c r="D3900" s="3" t="s">
        <v>45</v>
      </c>
      <c r="E3900" s="3" t="s">
        <v>238</v>
      </c>
      <c r="F3900" s="3" t="s">
        <v>13</v>
      </c>
      <c r="G39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900" s="3" t="s">
        <v>239</v>
      </c>
      <c r="I3900" s="3" t="s">
        <v>31</v>
      </c>
      <c r="J3900" s="3" t="s">
        <v>42</v>
      </c>
      <c r="K3900" s="3" t="s">
        <v>38</v>
      </c>
      <c r="L3900" s="3" t="s">
        <v>39</v>
      </c>
      <c r="M3900" s="4">
        <v>97.86</v>
      </c>
    </row>
    <row r="3901">
      <c r="A3901" s="2">
        <v>45926</v>
      </c>
      <c r="B39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1" s="3" t="str">
        <f>YEAR(KMART_DATA[[#This Row],[Date]])&amp;"-"&amp;TEXT(MONTH(KMART_DATA[[#This Row],[Date]]),"00")</f>
        <v>2025-09</v>
      </c>
      <c r="D3901" s="3" t="s">
        <v>28</v>
      </c>
      <c r="E3901" s="3" t="s">
        <v>232</v>
      </c>
      <c r="F3901" s="3" t="s">
        <v>9</v>
      </c>
      <c r="G39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01" s="3" t="s">
        <v>233</v>
      </c>
      <c r="I3901" s="3" t="s">
        <v>31</v>
      </c>
      <c r="J3901" s="3" t="s">
        <v>75</v>
      </c>
      <c r="K3901" s="3" t="s">
        <v>33</v>
      </c>
      <c r="L3901" s="3" t="s">
        <v>34</v>
      </c>
      <c r="M3901" s="4">
        <v>285.3</v>
      </c>
    </row>
    <row r="3902">
      <c r="A3902" s="2">
        <v>45926</v>
      </c>
      <c r="B39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2" s="3" t="str">
        <f>YEAR(KMART_DATA[[#This Row],[Date]])&amp;"-"&amp;TEXT(MONTH(KMART_DATA[[#This Row],[Date]]),"00")</f>
        <v>2025-09</v>
      </c>
      <c r="D3902" s="3" t="s">
        <v>28</v>
      </c>
      <c r="E3902" s="3" t="s">
        <v>238</v>
      </c>
      <c r="F3902" s="3" t="s">
        <v>13</v>
      </c>
      <c r="G39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902" s="3" t="s">
        <v>239</v>
      </c>
      <c r="I3902" s="3" t="s">
        <v>31</v>
      </c>
      <c r="J3902" s="3" t="s">
        <v>42</v>
      </c>
      <c r="K3902" s="3" t="s">
        <v>71</v>
      </c>
      <c r="L3902" s="3" t="s">
        <v>72</v>
      </c>
      <c r="M3902" s="4">
        <v>2390.21</v>
      </c>
    </row>
    <row r="3903">
      <c r="A3903" s="2">
        <v>45927</v>
      </c>
      <c r="B39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3" s="3" t="str">
        <f>YEAR(KMART_DATA[[#This Row],[Date]])&amp;"-"&amp;TEXT(MONTH(KMART_DATA[[#This Row],[Date]]),"00")</f>
        <v>2025-09</v>
      </c>
      <c r="D3903" s="3" t="s">
        <v>28</v>
      </c>
      <c r="E3903" s="3" t="s">
        <v>108</v>
      </c>
      <c r="F3903" s="3" t="s">
        <v>9</v>
      </c>
      <c r="G39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03" s="3" t="s">
        <v>109</v>
      </c>
      <c r="I3903" s="3" t="s">
        <v>31</v>
      </c>
      <c r="J3903" s="3" t="s">
        <v>75</v>
      </c>
      <c r="K3903" s="3" t="s">
        <v>43</v>
      </c>
      <c r="L3903" s="3" t="s">
        <v>44</v>
      </c>
      <c r="M3903" s="4">
        <v>14.9</v>
      </c>
    </row>
    <row r="3904">
      <c r="A3904" s="2">
        <v>45927</v>
      </c>
      <c r="B39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4" s="3" t="str">
        <f>YEAR(KMART_DATA[[#This Row],[Date]])&amp;"-"&amp;TEXT(MONTH(KMART_DATA[[#This Row],[Date]]),"00")</f>
        <v>2025-09</v>
      </c>
      <c r="D3904" s="3" t="s">
        <v>45</v>
      </c>
      <c r="E3904" s="3" t="s">
        <v>195</v>
      </c>
      <c r="F3904" s="3" t="s">
        <v>11</v>
      </c>
      <c r="G39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04" s="3" t="s">
        <v>196</v>
      </c>
      <c r="I3904" s="3" t="s">
        <v>31</v>
      </c>
      <c r="J3904" s="3" t="s">
        <v>32</v>
      </c>
      <c r="K3904" s="3" t="s">
        <v>33</v>
      </c>
      <c r="L3904" s="3" t="s">
        <v>34</v>
      </c>
      <c r="M3904" s="4">
        <v>31.91</v>
      </c>
    </row>
    <row r="3905">
      <c r="A3905" s="2">
        <v>45927</v>
      </c>
      <c r="B39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5" s="3" t="str">
        <f>YEAR(KMART_DATA[[#This Row],[Date]])&amp;"-"&amp;TEXT(MONTH(KMART_DATA[[#This Row],[Date]]),"00")</f>
        <v>2025-09</v>
      </c>
      <c r="D3905" s="3" t="s">
        <v>45</v>
      </c>
      <c r="E3905" s="3" t="s">
        <v>215</v>
      </c>
      <c r="F3905" s="3" t="s">
        <v>15</v>
      </c>
      <c r="G39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905" s="3" t="s">
        <v>216</v>
      </c>
      <c r="I3905" s="3" t="s">
        <v>31</v>
      </c>
      <c r="J3905" s="3" t="s">
        <v>53</v>
      </c>
      <c r="K3905" s="3" t="s">
        <v>33</v>
      </c>
      <c r="L3905" s="3" t="s">
        <v>34</v>
      </c>
      <c r="M3905" s="4">
        <v>61.8</v>
      </c>
    </row>
    <row r="3906">
      <c r="A3906" s="2">
        <v>45927</v>
      </c>
      <c r="B39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6" s="3" t="str">
        <f>YEAR(KMART_DATA[[#This Row],[Date]])&amp;"-"&amp;TEXT(MONTH(KMART_DATA[[#This Row],[Date]]),"00")</f>
        <v>2025-09</v>
      </c>
      <c r="D3906" s="3" t="s">
        <v>28</v>
      </c>
      <c r="E3906" s="3" t="s">
        <v>219</v>
      </c>
      <c r="F3906" s="3" t="s">
        <v>11</v>
      </c>
      <c r="G39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06" s="3" t="s">
        <v>220</v>
      </c>
      <c r="I3906" s="3" t="s">
        <v>31</v>
      </c>
      <c r="J3906" s="3" t="s">
        <v>56</v>
      </c>
      <c r="K3906" s="3" t="s">
        <v>71</v>
      </c>
      <c r="L3906" s="3" t="s">
        <v>72</v>
      </c>
      <c r="M3906" s="4">
        <v>1426.21</v>
      </c>
    </row>
    <row r="3907">
      <c r="A3907" s="2">
        <v>45927</v>
      </c>
      <c r="B39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7" s="3" t="str">
        <f>YEAR(KMART_DATA[[#This Row],[Date]])&amp;"-"&amp;TEXT(MONTH(KMART_DATA[[#This Row],[Date]]),"00")</f>
        <v>2025-09</v>
      </c>
      <c r="D3907" s="3" t="s">
        <v>28</v>
      </c>
      <c r="E3907" s="3" t="s">
        <v>143</v>
      </c>
      <c r="F3907" s="3" t="s">
        <v>14</v>
      </c>
      <c r="G39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907" s="3" t="s">
        <v>144</v>
      </c>
      <c r="I3907" s="3" t="s">
        <v>31</v>
      </c>
      <c r="J3907" s="3" t="s">
        <v>145</v>
      </c>
      <c r="K3907" s="3" t="s">
        <v>95</v>
      </c>
      <c r="L3907" s="3" t="s">
        <v>96</v>
      </c>
      <c r="M3907" s="4">
        <v>8078.87</v>
      </c>
    </row>
    <row r="3908">
      <c r="A3908" s="2">
        <v>45928</v>
      </c>
      <c r="B39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8" s="3" t="str">
        <f>YEAR(KMART_DATA[[#This Row],[Date]])&amp;"-"&amp;TEXT(MONTH(KMART_DATA[[#This Row],[Date]]),"00")</f>
        <v>2025-09</v>
      </c>
      <c r="D3908" s="3" t="s">
        <v>45</v>
      </c>
      <c r="E3908" s="3" t="s">
        <v>215</v>
      </c>
      <c r="F3908" s="3" t="s">
        <v>15</v>
      </c>
      <c r="G39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908" s="3" t="s">
        <v>216</v>
      </c>
      <c r="I3908" s="3" t="s">
        <v>31</v>
      </c>
      <c r="J3908" s="3" t="s">
        <v>53</v>
      </c>
      <c r="K3908" s="3" t="s">
        <v>43</v>
      </c>
      <c r="L3908" s="3" t="s">
        <v>44</v>
      </c>
      <c r="M3908" s="4">
        <v>59.97</v>
      </c>
    </row>
    <row r="3909">
      <c r="A3909" s="2">
        <v>45928</v>
      </c>
      <c r="B39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09" s="3" t="str">
        <f>YEAR(KMART_DATA[[#This Row],[Date]])&amp;"-"&amp;TEXT(MONTH(KMART_DATA[[#This Row],[Date]]),"00")</f>
        <v>2025-09</v>
      </c>
      <c r="D3909" s="3" t="s">
        <v>45</v>
      </c>
      <c r="E3909" s="3" t="s">
        <v>215</v>
      </c>
      <c r="F3909" s="3" t="s">
        <v>15</v>
      </c>
      <c r="G39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909" s="3" t="s">
        <v>216</v>
      </c>
      <c r="I3909" s="3" t="s">
        <v>31</v>
      </c>
      <c r="J3909" s="3" t="s">
        <v>53</v>
      </c>
      <c r="K3909" s="3" t="s">
        <v>123</v>
      </c>
      <c r="L3909" s="3" t="s">
        <v>124</v>
      </c>
      <c r="M3909" s="4">
        <v>105.92</v>
      </c>
    </row>
    <row r="3910">
      <c r="A3910" s="2">
        <v>45928</v>
      </c>
      <c r="B39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0" s="3" t="str">
        <f>YEAR(KMART_DATA[[#This Row],[Date]])&amp;"-"&amp;TEXT(MONTH(KMART_DATA[[#This Row],[Date]]),"00")</f>
        <v>2025-09</v>
      </c>
      <c r="D3910" s="3" t="s">
        <v>45</v>
      </c>
      <c r="E3910" s="3" t="s">
        <v>203</v>
      </c>
      <c r="F3910" s="3" t="s">
        <v>10</v>
      </c>
      <c r="G39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10" s="3" t="s">
        <v>204</v>
      </c>
      <c r="I3910" s="3" t="s">
        <v>31</v>
      </c>
      <c r="J3910" s="3" t="s">
        <v>89</v>
      </c>
      <c r="K3910" s="3" t="s">
        <v>33</v>
      </c>
      <c r="L3910" s="3" t="s">
        <v>34</v>
      </c>
      <c r="M3910" s="4">
        <v>331.33</v>
      </c>
    </row>
    <row r="3911">
      <c r="A3911" s="2">
        <v>45928</v>
      </c>
      <c r="B39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1" s="3" t="str">
        <f>YEAR(KMART_DATA[[#This Row],[Date]])&amp;"-"&amp;TEXT(MONTH(KMART_DATA[[#This Row],[Date]]),"00")</f>
        <v>2025-09</v>
      </c>
      <c r="D3911" s="3" t="s">
        <v>28</v>
      </c>
      <c r="E3911" s="3" t="s">
        <v>105</v>
      </c>
      <c r="F3911" s="3" t="s">
        <v>9</v>
      </c>
      <c r="G39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11" s="3" t="s">
        <v>106</v>
      </c>
      <c r="I3911" s="3" t="s">
        <v>31</v>
      </c>
      <c r="J3911" s="3" t="s">
        <v>107</v>
      </c>
      <c r="K3911" s="3" t="s">
        <v>123</v>
      </c>
      <c r="L3911" s="3" t="s">
        <v>124</v>
      </c>
      <c r="M3911" s="4">
        <v>380.3</v>
      </c>
    </row>
    <row r="3912">
      <c r="A3912" s="2">
        <v>45929</v>
      </c>
      <c r="B39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2" s="3" t="str">
        <f>YEAR(KMART_DATA[[#This Row],[Date]])&amp;"-"&amp;TEXT(MONTH(KMART_DATA[[#This Row],[Date]]),"00")</f>
        <v>2025-09</v>
      </c>
      <c r="D3912" s="3" t="s">
        <v>28</v>
      </c>
      <c r="E3912" s="3" t="s">
        <v>254</v>
      </c>
      <c r="F3912" s="3" t="s">
        <v>13</v>
      </c>
      <c r="G39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912" s="3" t="s">
        <v>255</v>
      </c>
      <c r="I3912" s="3" t="s">
        <v>31</v>
      </c>
      <c r="J3912" s="3" t="s">
        <v>227</v>
      </c>
      <c r="K3912" s="3" t="s">
        <v>43</v>
      </c>
      <c r="L3912" s="3" t="s">
        <v>44</v>
      </c>
      <c r="M3912" s="4">
        <v>19.2</v>
      </c>
    </row>
    <row r="3913">
      <c r="A3913" s="2">
        <v>45929</v>
      </c>
      <c r="B39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3" s="3" t="str">
        <f>YEAR(KMART_DATA[[#This Row],[Date]])&amp;"-"&amp;TEXT(MONTH(KMART_DATA[[#This Row],[Date]]),"00")</f>
        <v>2025-09</v>
      </c>
      <c r="D3913" s="3" t="s">
        <v>28</v>
      </c>
      <c r="E3913" s="3" t="s">
        <v>79</v>
      </c>
      <c r="F3913" s="3" t="s">
        <v>9</v>
      </c>
      <c r="G39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13" s="3" t="s">
        <v>80</v>
      </c>
      <c r="I3913" s="3" t="s">
        <v>31</v>
      </c>
      <c r="J3913" s="3" t="s">
        <v>81</v>
      </c>
      <c r="K3913" s="3" t="s">
        <v>95</v>
      </c>
      <c r="L3913" s="3" t="s">
        <v>96</v>
      </c>
      <c r="M3913" s="4">
        <v>776.77</v>
      </c>
    </row>
    <row r="3914">
      <c r="A3914" s="2">
        <v>45930</v>
      </c>
      <c r="B39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4" s="3" t="str">
        <f>YEAR(KMART_DATA[[#This Row],[Date]])&amp;"-"&amp;TEXT(MONTH(KMART_DATA[[#This Row],[Date]]),"00")</f>
        <v>2025-09</v>
      </c>
      <c r="D3914" s="3" t="s">
        <v>28</v>
      </c>
      <c r="E3914" s="3" t="s">
        <v>256</v>
      </c>
      <c r="F3914" s="3" t="s">
        <v>9</v>
      </c>
      <c r="G39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14" s="3" t="s">
        <v>257</v>
      </c>
      <c r="I3914" s="3" t="s">
        <v>31</v>
      </c>
      <c r="J3914" s="3" t="s">
        <v>70</v>
      </c>
      <c r="K3914" s="3" t="s">
        <v>43</v>
      </c>
      <c r="L3914" s="3" t="s">
        <v>44</v>
      </c>
      <c r="M3914" s="4">
        <v>5.99</v>
      </c>
    </row>
    <row r="3915">
      <c r="A3915" s="2">
        <v>45930</v>
      </c>
      <c r="B39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5" s="3" t="str">
        <f>YEAR(KMART_DATA[[#This Row],[Date]])&amp;"-"&amp;TEXT(MONTH(KMART_DATA[[#This Row],[Date]]),"00")</f>
        <v>2025-09</v>
      </c>
      <c r="D3915" s="3" t="s">
        <v>28</v>
      </c>
      <c r="E3915" s="3" t="s">
        <v>260</v>
      </c>
      <c r="F3915" s="3" t="s">
        <v>10</v>
      </c>
      <c r="G39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15" s="3" t="s">
        <v>261</v>
      </c>
      <c r="I3915" s="3" t="s">
        <v>31</v>
      </c>
      <c r="J3915" s="3" t="s">
        <v>89</v>
      </c>
      <c r="K3915" s="3" t="s">
        <v>43</v>
      </c>
      <c r="L3915" s="3" t="s">
        <v>44</v>
      </c>
      <c r="M3915" s="4">
        <v>6.0</v>
      </c>
    </row>
    <row r="3916">
      <c r="A3916" s="2">
        <v>45930</v>
      </c>
      <c r="B39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6" s="3" t="str">
        <f>YEAR(KMART_DATA[[#This Row],[Date]])&amp;"-"&amp;TEXT(MONTH(KMART_DATA[[#This Row],[Date]]),"00")</f>
        <v>2025-09</v>
      </c>
      <c r="D3916" s="3" t="s">
        <v>28</v>
      </c>
      <c r="E3916" s="3" t="s">
        <v>179</v>
      </c>
      <c r="F3916" s="3" t="s">
        <v>9</v>
      </c>
      <c r="G39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16" s="3" t="s">
        <v>180</v>
      </c>
      <c r="I3916" s="3" t="s">
        <v>31</v>
      </c>
      <c r="J3916" s="3" t="s">
        <v>99</v>
      </c>
      <c r="K3916" s="3" t="s">
        <v>38</v>
      </c>
      <c r="L3916" s="3" t="s">
        <v>39</v>
      </c>
      <c r="M3916" s="4">
        <v>6.99</v>
      </c>
    </row>
    <row r="3917">
      <c r="A3917" s="2">
        <v>45930</v>
      </c>
      <c r="B39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7" s="3" t="str">
        <f>YEAR(KMART_DATA[[#This Row],[Date]])&amp;"-"&amp;TEXT(MONTH(KMART_DATA[[#This Row],[Date]]),"00")</f>
        <v>2025-09</v>
      </c>
      <c r="D3917" s="3" t="s">
        <v>45</v>
      </c>
      <c r="E3917" s="3" t="s">
        <v>87</v>
      </c>
      <c r="F3917" s="3" t="s">
        <v>10</v>
      </c>
      <c r="G39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17" s="3" t="s">
        <v>88</v>
      </c>
      <c r="I3917" s="3" t="s">
        <v>31</v>
      </c>
      <c r="J3917" s="3" t="s">
        <v>89</v>
      </c>
      <c r="K3917" s="3" t="s">
        <v>38</v>
      </c>
      <c r="L3917" s="3" t="s">
        <v>39</v>
      </c>
      <c r="M3917" s="4">
        <v>15.97</v>
      </c>
    </row>
    <row r="3918">
      <c r="A3918" s="2">
        <v>45930</v>
      </c>
      <c r="B39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8" s="3" t="str">
        <f>YEAR(KMART_DATA[[#This Row],[Date]])&amp;"-"&amp;TEXT(MONTH(KMART_DATA[[#This Row],[Date]]),"00")</f>
        <v>2025-09</v>
      </c>
      <c r="D3918" s="3" t="s">
        <v>28</v>
      </c>
      <c r="E3918" s="3" t="s">
        <v>221</v>
      </c>
      <c r="F3918" s="3" t="s">
        <v>11</v>
      </c>
      <c r="G39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18" s="3" t="s">
        <v>222</v>
      </c>
      <c r="I3918" s="3" t="s">
        <v>31</v>
      </c>
      <c r="J3918" s="3" t="s">
        <v>56</v>
      </c>
      <c r="K3918" s="3" t="s">
        <v>46</v>
      </c>
      <c r="L3918" s="3" t="s">
        <v>47</v>
      </c>
      <c r="M3918" s="4">
        <v>30.37</v>
      </c>
    </row>
    <row r="3919">
      <c r="A3919" s="2">
        <v>45930</v>
      </c>
      <c r="B39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19" s="3" t="str">
        <f>YEAR(KMART_DATA[[#This Row],[Date]])&amp;"-"&amp;TEXT(MONTH(KMART_DATA[[#This Row],[Date]]),"00")</f>
        <v>2025-09</v>
      </c>
      <c r="D3919" s="3" t="s">
        <v>28</v>
      </c>
      <c r="E3919" s="3" t="s">
        <v>252</v>
      </c>
      <c r="F3919" s="3" t="s">
        <v>10</v>
      </c>
      <c r="G39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19" s="3" t="s">
        <v>253</v>
      </c>
      <c r="I3919" s="3" t="s">
        <v>31</v>
      </c>
      <c r="J3919" s="3" t="s">
        <v>94</v>
      </c>
      <c r="K3919" s="3" t="s">
        <v>123</v>
      </c>
      <c r="L3919" s="3" t="s">
        <v>124</v>
      </c>
      <c r="M3919" s="4">
        <v>111.25</v>
      </c>
    </row>
    <row r="3920">
      <c r="A3920" s="2">
        <v>45930</v>
      </c>
      <c r="B39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0" s="3" t="str">
        <f>YEAR(KMART_DATA[[#This Row],[Date]])&amp;"-"&amp;TEXT(MONTH(KMART_DATA[[#This Row],[Date]]),"00")</f>
        <v>2025-09</v>
      </c>
      <c r="D3920" s="3" t="s">
        <v>45</v>
      </c>
      <c r="E3920" s="3" t="s">
        <v>169</v>
      </c>
      <c r="F3920" s="3" t="s">
        <v>12</v>
      </c>
      <c r="G39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20" s="3" t="s">
        <v>170</v>
      </c>
      <c r="I3920" s="3" t="s">
        <v>31</v>
      </c>
      <c r="J3920" s="3" t="s">
        <v>102</v>
      </c>
      <c r="K3920" s="3" t="s">
        <v>43</v>
      </c>
      <c r="L3920" s="3" t="s">
        <v>44</v>
      </c>
      <c r="M3920" s="4">
        <v>139.88</v>
      </c>
    </row>
    <row r="3921">
      <c r="A3921" s="2">
        <v>45930</v>
      </c>
      <c r="B39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1" s="3" t="str">
        <f>YEAR(KMART_DATA[[#This Row],[Date]])&amp;"-"&amp;TEXT(MONTH(KMART_DATA[[#This Row],[Date]]),"00")</f>
        <v>2025-09</v>
      </c>
      <c r="D3921" s="3" t="s">
        <v>45</v>
      </c>
      <c r="E3921" s="3" t="s">
        <v>131</v>
      </c>
      <c r="F3921" s="3" t="s">
        <v>11</v>
      </c>
      <c r="G39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21" s="3" t="s">
        <v>132</v>
      </c>
      <c r="I3921" s="3" t="s">
        <v>31</v>
      </c>
      <c r="J3921" s="3" t="s">
        <v>32</v>
      </c>
      <c r="K3921" s="3" t="s">
        <v>38</v>
      </c>
      <c r="L3921" s="3" t="s">
        <v>39</v>
      </c>
      <c r="M3921" s="4">
        <v>169.1</v>
      </c>
    </row>
    <row r="3922">
      <c r="A3922" s="2">
        <v>45930</v>
      </c>
      <c r="B39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2" s="3" t="str">
        <f>YEAR(KMART_DATA[[#This Row],[Date]])&amp;"-"&amp;TEXT(MONTH(KMART_DATA[[#This Row],[Date]]),"00")</f>
        <v>2025-09</v>
      </c>
      <c r="D3922" s="3" t="s">
        <v>45</v>
      </c>
      <c r="E3922" s="3" t="s">
        <v>103</v>
      </c>
      <c r="F3922" s="3" t="s">
        <v>12</v>
      </c>
      <c r="G39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22" s="3" t="s">
        <v>104</v>
      </c>
      <c r="I3922" s="3" t="s">
        <v>31</v>
      </c>
      <c r="J3922" s="3" t="s">
        <v>102</v>
      </c>
      <c r="K3922" s="3" t="s">
        <v>71</v>
      </c>
      <c r="L3922" s="3" t="s">
        <v>72</v>
      </c>
      <c r="M3922" s="4">
        <v>646.72</v>
      </c>
    </row>
    <row r="3923">
      <c r="A3923" s="2">
        <v>45931</v>
      </c>
      <c r="B39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3" s="3" t="str">
        <f>YEAR(KMART_DATA[[#This Row],[Date]])&amp;"-"&amp;TEXT(MONTH(KMART_DATA[[#This Row],[Date]]),"00")</f>
        <v>2025-10</v>
      </c>
      <c r="D3923" s="3" t="s">
        <v>45</v>
      </c>
      <c r="E3923" s="3" t="s">
        <v>85</v>
      </c>
      <c r="F3923" s="3" t="s">
        <v>9</v>
      </c>
      <c r="G39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23" s="3" t="s">
        <v>86</v>
      </c>
      <c r="I3923" s="3" t="s">
        <v>31</v>
      </c>
      <c r="J3923" s="3" t="s">
        <v>81</v>
      </c>
      <c r="K3923" s="3" t="s">
        <v>71</v>
      </c>
      <c r="L3923" s="3" t="s">
        <v>72</v>
      </c>
      <c r="M3923" s="4">
        <v>183.7</v>
      </c>
    </row>
    <row r="3924">
      <c r="A3924" s="2">
        <v>45931</v>
      </c>
      <c r="B39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4" s="3" t="str">
        <f>YEAR(KMART_DATA[[#This Row],[Date]])&amp;"-"&amp;TEXT(MONTH(KMART_DATA[[#This Row],[Date]]),"00")</f>
        <v>2025-10</v>
      </c>
      <c r="D3924" s="3" t="s">
        <v>28</v>
      </c>
      <c r="E3924" s="3" t="s">
        <v>97</v>
      </c>
      <c r="F3924" s="3" t="s">
        <v>9</v>
      </c>
      <c r="G39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24" s="3" t="s">
        <v>98</v>
      </c>
      <c r="I3924" s="3" t="s">
        <v>31</v>
      </c>
      <c r="J3924" s="3" t="s">
        <v>99</v>
      </c>
      <c r="K3924" s="3" t="s">
        <v>95</v>
      </c>
      <c r="L3924" s="3" t="s">
        <v>96</v>
      </c>
      <c r="M3924" s="4">
        <v>187.81</v>
      </c>
    </row>
    <row r="3925">
      <c r="A3925" s="2">
        <v>45931</v>
      </c>
      <c r="B39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5" s="3" t="str">
        <f>YEAR(KMART_DATA[[#This Row],[Date]])&amp;"-"&amp;TEXT(MONTH(KMART_DATA[[#This Row],[Date]]),"00")</f>
        <v>2025-10</v>
      </c>
      <c r="D3925" s="3" t="s">
        <v>28</v>
      </c>
      <c r="E3925" s="3" t="s">
        <v>158</v>
      </c>
      <c r="F3925" s="3" t="s">
        <v>11</v>
      </c>
      <c r="G39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25" s="3" t="s">
        <v>159</v>
      </c>
      <c r="I3925" s="3" t="s">
        <v>31</v>
      </c>
      <c r="J3925" s="3" t="s">
        <v>84</v>
      </c>
      <c r="K3925" s="3" t="s">
        <v>71</v>
      </c>
      <c r="L3925" s="3" t="s">
        <v>72</v>
      </c>
      <c r="M3925" s="4">
        <v>494.04</v>
      </c>
    </row>
    <row r="3926">
      <c r="A3926" s="2">
        <v>45932</v>
      </c>
      <c r="B39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6" s="3" t="str">
        <f>YEAR(KMART_DATA[[#This Row],[Date]])&amp;"-"&amp;TEXT(MONTH(KMART_DATA[[#This Row],[Date]]),"00")</f>
        <v>2025-10</v>
      </c>
      <c r="D3926" s="3" t="s">
        <v>45</v>
      </c>
      <c r="E3926" s="3" t="s">
        <v>211</v>
      </c>
      <c r="F3926" s="3" t="s">
        <v>9</v>
      </c>
      <c r="G39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26" s="3" t="s">
        <v>212</v>
      </c>
      <c r="I3926" s="3" t="s">
        <v>31</v>
      </c>
      <c r="J3926" s="3" t="s">
        <v>75</v>
      </c>
      <c r="K3926" s="3" t="s">
        <v>112</v>
      </c>
      <c r="L3926" s="3" t="s">
        <v>113</v>
      </c>
      <c r="M3926" s="4">
        <v>6.81</v>
      </c>
    </row>
    <row r="3927">
      <c r="A3927" s="2">
        <v>45932</v>
      </c>
      <c r="B39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7" s="3" t="str">
        <f>YEAR(KMART_DATA[[#This Row],[Date]])&amp;"-"&amp;TEXT(MONTH(KMART_DATA[[#This Row],[Date]]),"00")</f>
        <v>2025-10</v>
      </c>
      <c r="D3927" s="3" t="s">
        <v>28</v>
      </c>
      <c r="E3927" s="3" t="s">
        <v>193</v>
      </c>
      <c r="F3927" s="3" t="s">
        <v>9</v>
      </c>
      <c r="G39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27" s="3" t="s">
        <v>194</v>
      </c>
      <c r="I3927" s="3" t="s">
        <v>31</v>
      </c>
      <c r="J3927" s="3" t="s">
        <v>99</v>
      </c>
      <c r="K3927" s="3" t="s">
        <v>95</v>
      </c>
      <c r="L3927" s="3" t="s">
        <v>96</v>
      </c>
      <c r="M3927" s="4">
        <v>47.94</v>
      </c>
    </row>
    <row r="3928">
      <c r="A3928" s="2">
        <v>45932</v>
      </c>
      <c r="B39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8" s="3" t="str">
        <f>YEAR(KMART_DATA[[#This Row],[Date]])&amp;"-"&amp;TEXT(MONTH(KMART_DATA[[#This Row],[Date]]),"00")</f>
        <v>2025-10</v>
      </c>
      <c r="D3928" s="3" t="s">
        <v>28</v>
      </c>
      <c r="E3928" s="3" t="s">
        <v>148</v>
      </c>
      <c r="F3928" s="3" t="s">
        <v>12</v>
      </c>
      <c r="G39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28" s="3" t="s">
        <v>149</v>
      </c>
      <c r="I3928" s="3" t="s">
        <v>31</v>
      </c>
      <c r="J3928" s="3" t="s">
        <v>50</v>
      </c>
      <c r="K3928" s="3" t="s">
        <v>112</v>
      </c>
      <c r="L3928" s="3" t="s">
        <v>113</v>
      </c>
      <c r="M3928" s="4">
        <v>76.87</v>
      </c>
    </row>
    <row r="3929">
      <c r="A3929" s="2">
        <v>45932</v>
      </c>
      <c r="B39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29" s="3" t="str">
        <f>YEAR(KMART_DATA[[#This Row],[Date]])&amp;"-"&amp;TEXT(MONTH(KMART_DATA[[#This Row],[Date]]),"00")</f>
        <v>2025-10</v>
      </c>
      <c r="D3929" s="3" t="s">
        <v>45</v>
      </c>
      <c r="E3929" s="3" t="s">
        <v>118</v>
      </c>
      <c r="F3929" s="3" t="s">
        <v>10</v>
      </c>
      <c r="G39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29" s="3" t="s">
        <v>119</v>
      </c>
      <c r="I3929" s="3" t="s">
        <v>31</v>
      </c>
      <c r="J3929" s="3" t="s">
        <v>120</v>
      </c>
      <c r="K3929" s="3" t="s">
        <v>43</v>
      </c>
      <c r="L3929" s="3" t="s">
        <v>44</v>
      </c>
      <c r="M3929" s="4">
        <v>90.97</v>
      </c>
    </row>
    <row r="3930">
      <c r="A3930" s="2">
        <v>45932</v>
      </c>
      <c r="B39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0" s="3" t="str">
        <f>YEAR(KMART_DATA[[#This Row],[Date]])&amp;"-"&amp;TEXT(MONTH(KMART_DATA[[#This Row],[Date]]),"00")</f>
        <v>2025-10</v>
      </c>
      <c r="D3930" s="3" t="s">
        <v>28</v>
      </c>
      <c r="E3930" s="3" t="s">
        <v>254</v>
      </c>
      <c r="F3930" s="3" t="s">
        <v>13</v>
      </c>
      <c r="G39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930" s="3" t="s">
        <v>255</v>
      </c>
      <c r="I3930" s="3" t="s">
        <v>31</v>
      </c>
      <c r="J3930" s="3" t="s">
        <v>227</v>
      </c>
      <c r="K3930" s="3" t="s">
        <v>43</v>
      </c>
      <c r="L3930" s="3" t="s">
        <v>44</v>
      </c>
      <c r="M3930" s="4">
        <v>100.6</v>
      </c>
    </row>
    <row r="3931">
      <c r="A3931" s="2">
        <v>45932</v>
      </c>
      <c r="B39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1" s="3" t="str">
        <f>YEAR(KMART_DATA[[#This Row],[Date]])&amp;"-"&amp;TEXT(MONTH(KMART_DATA[[#This Row],[Date]]),"00")</f>
        <v>2025-10</v>
      </c>
      <c r="D3931" s="3" t="s">
        <v>45</v>
      </c>
      <c r="E3931" s="3" t="s">
        <v>171</v>
      </c>
      <c r="F3931" s="3" t="s">
        <v>10</v>
      </c>
      <c r="G39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31" s="3" t="s">
        <v>172</v>
      </c>
      <c r="I3931" s="3" t="s">
        <v>31</v>
      </c>
      <c r="J3931" s="3" t="s">
        <v>37</v>
      </c>
      <c r="K3931" s="3" t="s">
        <v>38</v>
      </c>
      <c r="L3931" s="3" t="s">
        <v>39</v>
      </c>
      <c r="M3931" s="4">
        <v>137.76</v>
      </c>
    </row>
    <row r="3932">
      <c r="A3932" s="2">
        <v>45932</v>
      </c>
      <c r="B39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2" s="3" t="str">
        <f>YEAR(KMART_DATA[[#This Row],[Date]])&amp;"-"&amp;TEXT(MONTH(KMART_DATA[[#This Row],[Date]]),"00")</f>
        <v>2025-10</v>
      </c>
      <c r="D3932" s="3" t="s">
        <v>28</v>
      </c>
      <c r="E3932" s="3" t="s">
        <v>256</v>
      </c>
      <c r="F3932" s="3" t="s">
        <v>9</v>
      </c>
      <c r="G39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32" s="3" t="s">
        <v>257</v>
      </c>
      <c r="I3932" s="3" t="s">
        <v>31</v>
      </c>
      <c r="J3932" s="3" t="s">
        <v>70</v>
      </c>
      <c r="K3932" s="3" t="s">
        <v>123</v>
      </c>
      <c r="L3932" s="3" t="s">
        <v>124</v>
      </c>
      <c r="M3932" s="4">
        <v>724.68</v>
      </c>
    </row>
    <row r="3933">
      <c r="A3933" s="2">
        <v>45932</v>
      </c>
      <c r="B39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3" s="3" t="str">
        <f>YEAR(KMART_DATA[[#This Row],[Date]])&amp;"-"&amp;TEXT(MONTH(KMART_DATA[[#This Row],[Date]]),"00")</f>
        <v>2025-10</v>
      </c>
      <c r="D3933" s="3" t="s">
        <v>28</v>
      </c>
      <c r="E3933" s="3" t="s">
        <v>163</v>
      </c>
      <c r="F3933" s="3" t="s">
        <v>9</v>
      </c>
      <c r="G39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33" s="3" t="s">
        <v>164</v>
      </c>
      <c r="I3933" s="3" t="s">
        <v>31</v>
      </c>
      <c r="J3933" s="3" t="s">
        <v>81</v>
      </c>
      <c r="K3933" s="3" t="s">
        <v>123</v>
      </c>
      <c r="L3933" s="3" t="s">
        <v>124</v>
      </c>
      <c r="M3933" s="4">
        <v>5309.03</v>
      </c>
    </row>
    <row r="3934">
      <c r="A3934" s="2">
        <v>45932</v>
      </c>
      <c r="B39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4" s="3" t="str">
        <f>YEAR(KMART_DATA[[#This Row],[Date]])&amp;"-"&amp;TEXT(MONTH(KMART_DATA[[#This Row],[Date]]),"00")</f>
        <v>2025-10</v>
      </c>
      <c r="D3934" s="3" t="s">
        <v>28</v>
      </c>
      <c r="E3934" s="3" t="s">
        <v>246</v>
      </c>
      <c r="F3934" s="3" t="s">
        <v>10</v>
      </c>
      <c r="G39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34" s="3" t="s">
        <v>247</v>
      </c>
      <c r="I3934" s="3" t="s">
        <v>31</v>
      </c>
      <c r="J3934" s="3" t="s">
        <v>37</v>
      </c>
      <c r="K3934" s="3" t="s">
        <v>57</v>
      </c>
      <c r="L3934" s="3" t="s">
        <v>58</v>
      </c>
      <c r="M3934" s="4">
        <v>5464.64</v>
      </c>
    </row>
    <row r="3935">
      <c r="A3935" s="2">
        <v>45933</v>
      </c>
      <c r="B39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5" s="3" t="str">
        <f>YEAR(KMART_DATA[[#This Row],[Date]])&amp;"-"&amp;TEXT(MONTH(KMART_DATA[[#This Row],[Date]]),"00")</f>
        <v>2025-10</v>
      </c>
      <c r="D3935" s="3" t="s">
        <v>45</v>
      </c>
      <c r="E3935" s="3" t="s">
        <v>160</v>
      </c>
      <c r="F3935" s="3" t="s">
        <v>12</v>
      </c>
      <c r="G39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35" s="3" t="s">
        <v>161</v>
      </c>
      <c r="I3935" s="3" t="s">
        <v>31</v>
      </c>
      <c r="J3935" s="3" t="s">
        <v>162</v>
      </c>
      <c r="K3935" s="3" t="s">
        <v>43</v>
      </c>
      <c r="L3935" s="3" t="s">
        <v>44</v>
      </c>
      <c r="M3935" s="4">
        <v>20.01</v>
      </c>
    </row>
    <row r="3936">
      <c r="A3936" s="2">
        <v>45933</v>
      </c>
      <c r="B39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6" s="3" t="str">
        <f>YEAR(KMART_DATA[[#This Row],[Date]])&amp;"-"&amp;TEXT(MONTH(KMART_DATA[[#This Row],[Date]]),"00")</f>
        <v>2025-10</v>
      </c>
      <c r="D3936" s="3" t="s">
        <v>28</v>
      </c>
      <c r="E3936" s="3" t="s">
        <v>197</v>
      </c>
      <c r="F3936" s="3" t="s">
        <v>9</v>
      </c>
      <c r="G39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36" s="3" t="s">
        <v>198</v>
      </c>
      <c r="I3936" s="3" t="s">
        <v>31</v>
      </c>
      <c r="J3936" s="3" t="s">
        <v>107</v>
      </c>
      <c r="K3936" s="3" t="s">
        <v>43</v>
      </c>
      <c r="L3936" s="3" t="s">
        <v>44</v>
      </c>
      <c r="M3936" s="4">
        <v>21.5</v>
      </c>
    </row>
    <row r="3937">
      <c r="A3937" s="2">
        <v>45933</v>
      </c>
      <c r="B39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7" s="3" t="str">
        <f>YEAR(KMART_DATA[[#This Row],[Date]])&amp;"-"&amp;TEXT(MONTH(KMART_DATA[[#This Row],[Date]]),"00")</f>
        <v>2025-10</v>
      </c>
      <c r="D3937" s="3" t="s">
        <v>45</v>
      </c>
      <c r="E3937" s="3" t="s">
        <v>103</v>
      </c>
      <c r="F3937" s="3" t="s">
        <v>12</v>
      </c>
      <c r="G39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37" s="3" t="s">
        <v>104</v>
      </c>
      <c r="I3937" s="3" t="s">
        <v>31</v>
      </c>
      <c r="J3937" s="3" t="s">
        <v>102</v>
      </c>
      <c r="K3937" s="3" t="s">
        <v>46</v>
      </c>
      <c r="L3937" s="3" t="s">
        <v>47</v>
      </c>
      <c r="M3937" s="4">
        <v>41.93</v>
      </c>
    </row>
    <row r="3938">
      <c r="A3938" s="2">
        <v>45933</v>
      </c>
      <c r="B39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8" s="3" t="str">
        <f>YEAR(KMART_DATA[[#This Row],[Date]])&amp;"-"&amp;TEXT(MONTH(KMART_DATA[[#This Row],[Date]]),"00")</f>
        <v>2025-10</v>
      </c>
      <c r="D3938" s="3" t="s">
        <v>45</v>
      </c>
      <c r="E3938" s="3" t="s">
        <v>114</v>
      </c>
      <c r="F3938" s="3" t="s">
        <v>9</v>
      </c>
      <c r="G39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38" s="3" t="s">
        <v>115</v>
      </c>
      <c r="I3938" s="3" t="s">
        <v>31</v>
      </c>
      <c r="J3938" s="3" t="s">
        <v>99</v>
      </c>
      <c r="K3938" s="3" t="s">
        <v>43</v>
      </c>
      <c r="L3938" s="3" t="s">
        <v>44</v>
      </c>
      <c r="M3938" s="4">
        <v>59.97</v>
      </c>
    </row>
    <row r="3939">
      <c r="A3939" s="2">
        <v>45933</v>
      </c>
      <c r="B39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39" s="3" t="str">
        <f>YEAR(KMART_DATA[[#This Row],[Date]])&amp;"-"&amp;TEXT(MONTH(KMART_DATA[[#This Row],[Date]]),"00")</f>
        <v>2025-10</v>
      </c>
      <c r="D3939" s="3" t="s">
        <v>28</v>
      </c>
      <c r="E3939" s="3" t="s">
        <v>258</v>
      </c>
      <c r="F3939" s="3" t="s">
        <v>14</v>
      </c>
      <c r="G39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939" s="3" t="s">
        <v>259</v>
      </c>
      <c r="I3939" s="3" t="s">
        <v>31</v>
      </c>
      <c r="J3939" s="3" t="s">
        <v>145</v>
      </c>
      <c r="K3939" s="3" t="s">
        <v>43</v>
      </c>
      <c r="L3939" s="3" t="s">
        <v>44</v>
      </c>
      <c r="M3939" s="4">
        <v>85.92</v>
      </c>
    </row>
    <row r="3940">
      <c r="A3940" s="2">
        <v>45933</v>
      </c>
      <c r="B39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0" s="3" t="str">
        <f>YEAR(KMART_DATA[[#This Row],[Date]])&amp;"-"&amp;TEXT(MONTH(KMART_DATA[[#This Row],[Date]]),"00")</f>
        <v>2025-10</v>
      </c>
      <c r="D3940" s="3" t="s">
        <v>45</v>
      </c>
      <c r="E3940" s="3" t="s">
        <v>242</v>
      </c>
      <c r="F3940" s="3" t="s">
        <v>10</v>
      </c>
      <c r="G39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40" s="3" t="s">
        <v>243</v>
      </c>
      <c r="I3940" s="3" t="s">
        <v>31</v>
      </c>
      <c r="J3940" s="3" t="s">
        <v>94</v>
      </c>
      <c r="K3940" s="3" t="s">
        <v>43</v>
      </c>
      <c r="L3940" s="3" t="s">
        <v>44</v>
      </c>
      <c r="M3940" s="4">
        <v>94.5</v>
      </c>
    </row>
    <row r="3941">
      <c r="A3941" s="2">
        <v>45933</v>
      </c>
      <c r="B39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1" s="3" t="str">
        <f>YEAR(KMART_DATA[[#This Row],[Date]])&amp;"-"&amp;TEXT(MONTH(KMART_DATA[[#This Row],[Date]]),"00")</f>
        <v>2025-10</v>
      </c>
      <c r="D3941" s="3" t="s">
        <v>28</v>
      </c>
      <c r="E3941" s="3" t="s">
        <v>179</v>
      </c>
      <c r="F3941" s="3" t="s">
        <v>9</v>
      </c>
      <c r="G39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41" s="3" t="s">
        <v>180</v>
      </c>
      <c r="I3941" s="3" t="s">
        <v>31</v>
      </c>
      <c r="J3941" s="3" t="s">
        <v>99</v>
      </c>
      <c r="K3941" s="3" t="s">
        <v>43</v>
      </c>
      <c r="L3941" s="3" t="s">
        <v>44</v>
      </c>
      <c r="M3941" s="4">
        <v>500.63</v>
      </c>
    </row>
    <row r="3942">
      <c r="A3942" s="2">
        <v>45933</v>
      </c>
      <c r="B39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2" s="3" t="str">
        <f>YEAR(KMART_DATA[[#This Row],[Date]])&amp;"-"&amp;TEXT(MONTH(KMART_DATA[[#This Row],[Date]]),"00")</f>
        <v>2025-10</v>
      </c>
      <c r="D3942" s="3" t="s">
        <v>28</v>
      </c>
      <c r="E3942" s="3" t="s">
        <v>173</v>
      </c>
      <c r="F3942" s="3" t="s">
        <v>11</v>
      </c>
      <c r="G39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42" s="3" t="s">
        <v>174</v>
      </c>
      <c r="I3942" s="3" t="s">
        <v>31</v>
      </c>
      <c r="J3942" s="3" t="s">
        <v>61</v>
      </c>
      <c r="K3942" s="3" t="s">
        <v>95</v>
      </c>
      <c r="L3942" s="3" t="s">
        <v>96</v>
      </c>
      <c r="M3942" s="4">
        <v>563.58</v>
      </c>
    </row>
    <row r="3943">
      <c r="A3943" s="2">
        <v>45934</v>
      </c>
      <c r="B39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3" s="3" t="str">
        <f>YEAR(KMART_DATA[[#This Row],[Date]])&amp;"-"&amp;TEXT(MONTH(KMART_DATA[[#This Row],[Date]]),"00")</f>
        <v>2025-10</v>
      </c>
      <c r="D3943" s="3" t="s">
        <v>28</v>
      </c>
      <c r="E3943" s="3" t="s">
        <v>139</v>
      </c>
      <c r="F3943" s="3" t="s">
        <v>10</v>
      </c>
      <c r="G39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43" s="3" t="s">
        <v>140</v>
      </c>
      <c r="I3943" s="3" t="s">
        <v>31</v>
      </c>
      <c r="J3943" s="3" t="s">
        <v>89</v>
      </c>
      <c r="K3943" s="3" t="s">
        <v>43</v>
      </c>
      <c r="L3943" s="3" t="s">
        <v>44</v>
      </c>
      <c r="M3943" s="4">
        <v>3.0</v>
      </c>
    </row>
    <row r="3944">
      <c r="A3944" s="2">
        <v>45934</v>
      </c>
      <c r="B39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4" s="3" t="str">
        <f>YEAR(KMART_DATA[[#This Row],[Date]])&amp;"-"&amp;TEXT(MONTH(KMART_DATA[[#This Row],[Date]]),"00")</f>
        <v>2025-10</v>
      </c>
      <c r="D3944" s="3" t="s">
        <v>28</v>
      </c>
      <c r="E3944" s="3" t="s">
        <v>244</v>
      </c>
      <c r="F3944" s="3" t="s">
        <v>13</v>
      </c>
      <c r="G39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944" s="3" t="s">
        <v>245</v>
      </c>
      <c r="I3944" s="3" t="s">
        <v>31</v>
      </c>
      <c r="J3944" s="3" t="s">
        <v>42</v>
      </c>
      <c r="K3944" s="3" t="s">
        <v>95</v>
      </c>
      <c r="L3944" s="3" t="s">
        <v>96</v>
      </c>
      <c r="M3944" s="4">
        <v>20.0</v>
      </c>
    </row>
    <row r="3945">
      <c r="A3945" s="2">
        <v>45934</v>
      </c>
      <c r="B39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5" s="3" t="str">
        <f>YEAR(KMART_DATA[[#This Row],[Date]])&amp;"-"&amp;TEXT(MONTH(KMART_DATA[[#This Row],[Date]]),"00")</f>
        <v>2025-10</v>
      </c>
      <c r="D3945" s="3" t="s">
        <v>28</v>
      </c>
      <c r="E3945" s="3" t="s">
        <v>209</v>
      </c>
      <c r="F3945" s="3" t="s">
        <v>9</v>
      </c>
      <c r="G39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45" s="3" t="s">
        <v>210</v>
      </c>
      <c r="I3945" s="3" t="s">
        <v>31</v>
      </c>
      <c r="J3945" s="3" t="s">
        <v>81</v>
      </c>
      <c r="K3945" s="3" t="s">
        <v>71</v>
      </c>
      <c r="L3945" s="3" t="s">
        <v>72</v>
      </c>
      <c r="M3945" s="4">
        <v>292.11</v>
      </c>
    </row>
    <row r="3946">
      <c r="A3946" s="2">
        <v>45934</v>
      </c>
      <c r="B39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6" s="3" t="str">
        <f>YEAR(KMART_DATA[[#This Row],[Date]])&amp;"-"&amp;TEXT(MONTH(KMART_DATA[[#This Row],[Date]]),"00")</f>
        <v>2025-10</v>
      </c>
      <c r="D3946" s="3" t="s">
        <v>28</v>
      </c>
      <c r="E3946" s="3" t="s">
        <v>236</v>
      </c>
      <c r="F3946" s="3" t="s">
        <v>12</v>
      </c>
      <c r="G39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46" s="3" t="s">
        <v>237</v>
      </c>
      <c r="I3946" s="3" t="s">
        <v>31</v>
      </c>
      <c r="J3946" s="3" t="s">
        <v>102</v>
      </c>
      <c r="K3946" s="3" t="s">
        <v>95</v>
      </c>
      <c r="L3946" s="3" t="s">
        <v>96</v>
      </c>
      <c r="M3946" s="4">
        <v>358.71</v>
      </c>
    </row>
    <row r="3947">
      <c r="A3947" s="2">
        <v>45935</v>
      </c>
      <c r="B39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7" s="3" t="str">
        <f>YEAR(KMART_DATA[[#This Row],[Date]])&amp;"-"&amp;TEXT(MONTH(KMART_DATA[[#This Row],[Date]]),"00")</f>
        <v>2025-10</v>
      </c>
      <c r="D3947" s="3" t="s">
        <v>28</v>
      </c>
      <c r="E3947" s="3" t="s">
        <v>201</v>
      </c>
      <c r="F3947" s="3" t="s">
        <v>10</v>
      </c>
      <c r="G39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47" s="3" t="s">
        <v>202</v>
      </c>
      <c r="I3947" s="3" t="s">
        <v>31</v>
      </c>
      <c r="J3947" s="3" t="s">
        <v>89</v>
      </c>
      <c r="K3947" s="3" t="s">
        <v>43</v>
      </c>
      <c r="L3947" s="3" t="s">
        <v>44</v>
      </c>
      <c r="M3947" s="4">
        <v>11.99</v>
      </c>
    </row>
    <row r="3948">
      <c r="A3948" s="2">
        <v>45935</v>
      </c>
      <c r="B39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8" s="3" t="str">
        <f>YEAR(KMART_DATA[[#This Row],[Date]])&amp;"-"&amp;TEXT(MONTH(KMART_DATA[[#This Row],[Date]]),"00")</f>
        <v>2025-10</v>
      </c>
      <c r="D3948" s="3" t="s">
        <v>45</v>
      </c>
      <c r="E3948" s="3" t="s">
        <v>82</v>
      </c>
      <c r="F3948" s="3" t="s">
        <v>11</v>
      </c>
      <c r="G39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48" s="3" t="s">
        <v>83</v>
      </c>
      <c r="I3948" s="3" t="s">
        <v>31</v>
      </c>
      <c r="J3948" s="3" t="s">
        <v>84</v>
      </c>
      <c r="K3948" s="3" t="s">
        <v>38</v>
      </c>
      <c r="L3948" s="3" t="s">
        <v>39</v>
      </c>
      <c r="M3948" s="4">
        <v>24.93</v>
      </c>
    </row>
    <row r="3949">
      <c r="A3949" s="2">
        <v>45935</v>
      </c>
      <c r="B39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49" s="3" t="str">
        <f>YEAR(KMART_DATA[[#This Row],[Date]])&amp;"-"&amp;TEXT(MONTH(KMART_DATA[[#This Row],[Date]]),"00")</f>
        <v>2025-10</v>
      </c>
      <c r="D3949" s="3" t="s">
        <v>28</v>
      </c>
      <c r="E3949" s="3" t="s">
        <v>262</v>
      </c>
      <c r="F3949" s="3" t="s">
        <v>10</v>
      </c>
      <c r="G39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49" s="3" t="s">
        <v>263</v>
      </c>
      <c r="I3949" s="3" t="s">
        <v>31</v>
      </c>
      <c r="J3949" s="3" t="s">
        <v>120</v>
      </c>
      <c r="K3949" s="3" t="s">
        <v>66</v>
      </c>
      <c r="L3949" s="3" t="s">
        <v>67</v>
      </c>
      <c r="M3949" s="4">
        <v>92.61</v>
      </c>
    </row>
    <row r="3950">
      <c r="A3950" s="2">
        <v>45935</v>
      </c>
      <c r="B39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0" s="3" t="str">
        <f>YEAR(KMART_DATA[[#This Row],[Date]])&amp;"-"&amp;TEXT(MONTH(KMART_DATA[[#This Row],[Date]]),"00")</f>
        <v>2025-10</v>
      </c>
      <c r="D3950" s="3" t="s">
        <v>28</v>
      </c>
      <c r="E3950" s="3" t="s">
        <v>76</v>
      </c>
      <c r="F3950" s="3" t="s">
        <v>11</v>
      </c>
      <c r="G39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50" s="3" t="s">
        <v>77</v>
      </c>
      <c r="I3950" s="3" t="s">
        <v>31</v>
      </c>
      <c r="J3950" s="3" t="s">
        <v>78</v>
      </c>
      <c r="K3950" s="3" t="s">
        <v>38</v>
      </c>
      <c r="L3950" s="3" t="s">
        <v>39</v>
      </c>
      <c r="M3950" s="4">
        <v>181.29</v>
      </c>
    </row>
    <row r="3951">
      <c r="A3951" s="2">
        <v>45935</v>
      </c>
      <c r="B39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1" s="3" t="str">
        <f>YEAR(KMART_DATA[[#This Row],[Date]])&amp;"-"&amp;TEXT(MONTH(KMART_DATA[[#This Row],[Date]]),"00")</f>
        <v>2025-10</v>
      </c>
      <c r="D3951" s="3" t="s">
        <v>28</v>
      </c>
      <c r="E3951" s="3" t="s">
        <v>127</v>
      </c>
      <c r="F3951" s="3" t="s">
        <v>11</v>
      </c>
      <c r="G39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51" s="3" t="s">
        <v>128</v>
      </c>
      <c r="I3951" s="3" t="s">
        <v>31</v>
      </c>
      <c r="J3951" s="3" t="s">
        <v>78</v>
      </c>
      <c r="K3951" s="3" t="s">
        <v>123</v>
      </c>
      <c r="L3951" s="3" t="s">
        <v>124</v>
      </c>
      <c r="M3951" s="4">
        <v>313.93</v>
      </c>
    </row>
    <row r="3952">
      <c r="A3952" s="2">
        <v>45935</v>
      </c>
      <c r="B39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2" s="3" t="str">
        <f>YEAR(KMART_DATA[[#This Row],[Date]])&amp;"-"&amp;TEXT(MONTH(KMART_DATA[[#This Row],[Date]]),"00")</f>
        <v>2025-10</v>
      </c>
      <c r="D3952" s="3" t="s">
        <v>28</v>
      </c>
      <c r="E3952" s="3" t="s">
        <v>211</v>
      </c>
      <c r="F3952" s="3" t="s">
        <v>9</v>
      </c>
      <c r="G39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52" s="3" t="s">
        <v>212</v>
      </c>
      <c r="I3952" s="3" t="s">
        <v>31</v>
      </c>
      <c r="J3952" s="3" t="s">
        <v>75</v>
      </c>
      <c r="K3952" s="3" t="s">
        <v>43</v>
      </c>
      <c r="L3952" s="3" t="s">
        <v>44</v>
      </c>
      <c r="M3952" s="4">
        <v>510.34</v>
      </c>
    </row>
    <row r="3953">
      <c r="A3953" s="2">
        <v>45935</v>
      </c>
      <c r="B39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3" s="3" t="str">
        <f>YEAR(KMART_DATA[[#This Row],[Date]])&amp;"-"&amp;TEXT(MONTH(KMART_DATA[[#This Row],[Date]]),"00")</f>
        <v>2025-10</v>
      </c>
      <c r="D3953" s="3" t="s">
        <v>28</v>
      </c>
      <c r="E3953" s="3" t="s">
        <v>51</v>
      </c>
      <c r="F3953" s="3" t="s">
        <v>15</v>
      </c>
      <c r="G39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953" s="3" t="s">
        <v>52</v>
      </c>
      <c r="I3953" s="3" t="s">
        <v>31</v>
      </c>
      <c r="J3953" s="3" t="s">
        <v>53</v>
      </c>
      <c r="K3953" s="3" t="s">
        <v>95</v>
      </c>
      <c r="L3953" s="3" t="s">
        <v>96</v>
      </c>
      <c r="M3953" s="4">
        <v>523.21</v>
      </c>
    </row>
    <row r="3954">
      <c r="A3954" s="2">
        <v>45935</v>
      </c>
      <c r="B39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4" s="3" t="str">
        <f>YEAR(KMART_DATA[[#This Row],[Date]])&amp;"-"&amp;TEXT(MONTH(KMART_DATA[[#This Row],[Date]]),"00")</f>
        <v>2025-10</v>
      </c>
      <c r="D3954" s="3" t="s">
        <v>45</v>
      </c>
      <c r="E3954" s="3" t="s">
        <v>171</v>
      </c>
      <c r="F3954" s="3" t="s">
        <v>10</v>
      </c>
      <c r="G39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54" s="3" t="s">
        <v>172</v>
      </c>
      <c r="I3954" s="3" t="s">
        <v>31</v>
      </c>
      <c r="J3954" s="3" t="s">
        <v>37</v>
      </c>
      <c r="K3954" s="3" t="s">
        <v>46</v>
      </c>
      <c r="L3954" s="3" t="s">
        <v>47</v>
      </c>
      <c r="M3954" s="4">
        <v>594.49</v>
      </c>
    </row>
    <row r="3955">
      <c r="A3955" s="2">
        <v>45935</v>
      </c>
      <c r="B39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5" s="3" t="str">
        <f>YEAR(KMART_DATA[[#This Row],[Date]])&amp;"-"&amp;TEXT(MONTH(KMART_DATA[[#This Row],[Date]]),"00")</f>
        <v>2025-10</v>
      </c>
      <c r="D3955" s="3" t="s">
        <v>28</v>
      </c>
      <c r="E3955" s="3" t="s">
        <v>121</v>
      </c>
      <c r="F3955" s="3" t="s">
        <v>11</v>
      </c>
      <c r="G39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55" s="3" t="s">
        <v>122</v>
      </c>
      <c r="I3955" s="3" t="s">
        <v>31</v>
      </c>
      <c r="J3955" s="3" t="s">
        <v>84</v>
      </c>
      <c r="K3955" s="3" t="s">
        <v>46</v>
      </c>
      <c r="L3955" s="3" t="s">
        <v>47</v>
      </c>
      <c r="M3955" s="4">
        <v>872.49</v>
      </c>
    </row>
    <row r="3956">
      <c r="A3956" s="2">
        <v>45935</v>
      </c>
      <c r="B39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6" s="3" t="str">
        <f>YEAR(KMART_DATA[[#This Row],[Date]])&amp;"-"&amp;TEXT(MONTH(KMART_DATA[[#This Row],[Date]]),"00")</f>
        <v>2025-10</v>
      </c>
      <c r="D3956" s="3" t="s">
        <v>28</v>
      </c>
      <c r="E3956" s="3" t="s">
        <v>232</v>
      </c>
      <c r="F3956" s="3" t="s">
        <v>9</v>
      </c>
      <c r="G39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56" s="3" t="s">
        <v>233</v>
      </c>
      <c r="I3956" s="3" t="s">
        <v>31</v>
      </c>
      <c r="J3956" s="3" t="s">
        <v>75</v>
      </c>
      <c r="K3956" s="3" t="s">
        <v>71</v>
      </c>
      <c r="L3956" s="3" t="s">
        <v>72</v>
      </c>
      <c r="M3956" s="4">
        <v>4960.19</v>
      </c>
    </row>
    <row r="3957">
      <c r="A3957" s="2">
        <v>45936</v>
      </c>
      <c r="B39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7" s="3" t="str">
        <f>YEAR(KMART_DATA[[#This Row],[Date]])&amp;"-"&amp;TEXT(MONTH(KMART_DATA[[#This Row],[Date]]),"00")</f>
        <v>2025-10</v>
      </c>
      <c r="D3957" s="3" t="s">
        <v>28</v>
      </c>
      <c r="E3957" s="3" t="s">
        <v>165</v>
      </c>
      <c r="F3957" s="3" t="s">
        <v>9</v>
      </c>
      <c r="G39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57" s="3" t="s">
        <v>166</v>
      </c>
      <c r="I3957" s="3" t="s">
        <v>31</v>
      </c>
      <c r="J3957" s="3" t="s">
        <v>99</v>
      </c>
      <c r="K3957" s="3" t="s">
        <v>38</v>
      </c>
      <c r="L3957" s="3" t="s">
        <v>39</v>
      </c>
      <c r="M3957" s="4">
        <v>105.76</v>
      </c>
    </row>
    <row r="3958">
      <c r="A3958" s="2">
        <v>45937</v>
      </c>
      <c r="B39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8" s="3" t="str">
        <f>YEAR(KMART_DATA[[#This Row],[Date]])&amp;"-"&amp;TEXT(MONTH(KMART_DATA[[#This Row],[Date]]),"00")</f>
        <v>2025-10</v>
      </c>
      <c r="D3958" s="3" t="s">
        <v>28</v>
      </c>
      <c r="E3958" s="3" t="s">
        <v>100</v>
      </c>
      <c r="F3958" s="3" t="s">
        <v>12</v>
      </c>
      <c r="G39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58" s="3" t="s">
        <v>101</v>
      </c>
      <c r="I3958" s="3" t="s">
        <v>31</v>
      </c>
      <c r="J3958" s="3" t="s">
        <v>102</v>
      </c>
      <c r="K3958" s="3" t="s">
        <v>123</v>
      </c>
      <c r="L3958" s="3" t="s">
        <v>124</v>
      </c>
      <c r="M3958" s="4">
        <v>21.99</v>
      </c>
    </row>
    <row r="3959">
      <c r="A3959" s="2">
        <v>45937</v>
      </c>
      <c r="B39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59" s="3" t="str">
        <f>YEAR(KMART_DATA[[#This Row],[Date]])&amp;"-"&amp;TEXT(MONTH(KMART_DATA[[#This Row],[Date]]),"00")</f>
        <v>2025-10</v>
      </c>
      <c r="D3959" s="3" t="s">
        <v>28</v>
      </c>
      <c r="E3959" s="3" t="s">
        <v>59</v>
      </c>
      <c r="F3959" s="3" t="s">
        <v>11</v>
      </c>
      <c r="G39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59" s="3" t="s">
        <v>60</v>
      </c>
      <c r="I3959" s="3" t="s">
        <v>31</v>
      </c>
      <c r="J3959" s="3" t="s">
        <v>61</v>
      </c>
      <c r="K3959" s="3" t="s">
        <v>43</v>
      </c>
      <c r="L3959" s="3" t="s">
        <v>44</v>
      </c>
      <c r="M3959" s="4">
        <v>56.7</v>
      </c>
    </row>
    <row r="3960">
      <c r="A3960" s="2">
        <v>45937</v>
      </c>
      <c r="B39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0" s="3" t="str">
        <f>YEAR(KMART_DATA[[#This Row],[Date]])&amp;"-"&amp;TEXT(MONTH(KMART_DATA[[#This Row],[Date]]),"00")</f>
        <v>2025-10</v>
      </c>
      <c r="D3960" s="3" t="s">
        <v>45</v>
      </c>
      <c r="E3960" s="3" t="s">
        <v>116</v>
      </c>
      <c r="F3960" s="3" t="s">
        <v>9</v>
      </c>
      <c r="G39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60" s="3" t="s">
        <v>117</v>
      </c>
      <c r="I3960" s="3" t="s">
        <v>31</v>
      </c>
      <c r="J3960" s="3" t="s">
        <v>70</v>
      </c>
      <c r="K3960" s="3" t="s">
        <v>71</v>
      </c>
      <c r="L3960" s="3" t="s">
        <v>72</v>
      </c>
      <c r="M3960" s="4">
        <v>65.92</v>
      </c>
    </row>
    <row r="3961">
      <c r="A3961" s="2">
        <v>45937</v>
      </c>
      <c r="B39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1" s="3" t="str">
        <f>YEAR(KMART_DATA[[#This Row],[Date]])&amp;"-"&amp;TEXT(MONTH(KMART_DATA[[#This Row],[Date]]),"00")</f>
        <v>2025-10</v>
      </c>
      <c r="D3961" s="3" t="s">
        <v>28</v>
      </c>
      <c r="E3961" s="3" t="s">
        <v>258</v>
      </c>
      <c r="F3961" s="3" t="s">
        <v>14</v>
      </c>
      <c r="G39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3961" s="3" t="s">
        <v>259</v>
      </c>
      <c r="I3961" s="3" t="s">
        <v>31</v>
      </c>
      <c r="J3961" s="3" t="s">
        <v>145</v>
      </c>
      <c r="K3961" s="3" t="s">
        <v>57</v>
      </c>
      <c r="L3961" s="3" t="s">
        <v>58</v>
      </c>
      <c r="M3961" s="4">
        <v>239.94</v>
      </c>
    </row>
    <row r="3962">
      <c r="A3962" s="2">
        <v>45937</v>
      </c>
      <c r="B39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2" s="3" t="str">
        <f>YEAR(KMART_DATA[[#This Row],[Date]])&amp;"-"&amp;TEXT(MONTH(KMART_DATA[[#This Row],[Date]]),"00")</f>
        <v>2025-10</v>
      </c>
      <c r="D3962" s="3" t="s">
        <v>45</v>
      </c>
      <c r="E3962" s="3" t="s">
        <v>203</v>
      </c>
      <c r="F3962" s="3" t="s">
        <v>10</v>
      </c>
      <c r="G39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62" s="3" t="s">
        <v>204</v>
      </c>
      <c r="I3962" s="3" t="s">
        <v>31</v>
      </c>
      <c r="J3962" s="3" t="s">
        <v>89</v>
      </c>
      <c r="K3962" s="3" t="s">
        <v>123</v>
      </c>
      <c r="L3962" s="3" t="s">
        <v>124</v>
      </c>
      <c r="M3962" s="4">
        <v>977.49</v>
      </c>
    </row>
    <row r="3963">
      <c r="A3963" s="2">
        <v>45938</v>
      </c>
      <c r="B39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3" s="3" t="str">
        <f>YEAR(KMART_DATA[[#This Row],[Date]])&amp;"-"&amp;TEXT(MONTH(KMART_DATA[[#This Row],[Date]]),"00")</f>
        <v>2025-10</v>
      </c>
      <c r="D3963" s="3" t="s">
        <v>28</v>
      </c>
      <c r="E3963" s="3" t="s">
        <v>152</v>
      </c>
      <c r="F3963" s="3" t="s">
        <v>11</v>
      </c>
      <c r="G39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63" s="3" t="s">
        <v>153</v>
      </c>
      <c r="I3963" s="3" t="s">
        <v>31</v>
      </c>
      <c r="J3963" s="3" t="s">
        <v>61</v>
      </c>
      <c r="K3963" s="3" t="s">
        <v>71</v>
      </c>
      <c r="L3963" s="3" t="s">
        <v>72</v>
      </c>
      <c r="M3963" s="4">
        <v>51.96</v>
      </c>
    </row>
    <row r="3964">
      <c r="A3964" s="2">
        <v>45938</v>
      </c>
      <c r="B39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4" s="3" t="str">
        <f>YEAR(KMART_DATA[[#This Row],[Date]])&amp;"-"&amp;TEXT(MONTH(KMART_DATA[[#This Row],[Date]]),"00")</f>
        <v>2025-10</v>
      </c>
      <c r="D3964" s="3" t="s">
        <v>28</v>
      </c>
      <c r="E3964" s="3" t="s">
        <v>189</v>
      </c>
      <c r="F3964" s="3" t="s">
        <v>9</v>
      </c>
      <c r="G39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64" s="3" t="s">
        <v>190</v>
      </c>
      <c r="I3964" s="3" t="s">
        <v>31</v>
      </c>
      <c r="J3964" s="3" t="s">
        <v>81</v>
      </c>
      <c r="K3964" s="3" t="s">
        <v>71</v>
      </c>
      <c r="L3964" s="3" t="s">
        <v>72</v>
      </c>
      <c r="M3964" s="4">
        <v>99.48</v>
      </c>
    </row>
    <row r="3965">
      <c r="A3965" s="2">
        <v>45938</v>
      </c>
      <c r="B39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5" s="3" t="str">
        <f>YEAR(KMART_DATA[[#This Row],[Date]])&amp;"-"&amp;TEXT(MONTH(KMART_DATA[[#This Row],[Date]]),"00")</f>
        <v>2025-10</v>
      </c>
      <c r="D3965" s="3" t="s">
        <v>28</v>
      </c>
      <c r="E3965" s="3" t="s">
        <v>179</v>
      </c>
      <c r="F3965" s="3" t="s">
        <v>9</v>
      </c>
      <c r="G39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65" s="3" t="s">
        <v>180</v>
      </c>
      <c r="I3965" s="3" t="s">
        <v>31</v>
      </c>
      <c r="J3965" s="3" t="s">
        <v>99</v>
      </c>
      <c r="K3965" s="3" t="s">
        <v>123</v>
      </c>
      <c r="L3965" s="3" t="s">
        <v>124</v>
      </c>
      <c r="M3965" s="4">
        <v>195.65</v>
      </c>
    </row>
    <row r="3966">
      <c r="A3966" s="2">
        <v>45938</v>
      </c>
      <c r="B39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6" s="3" t="str">
        <f>YEAR(KMART_DATA[[#This Row],[Date]])&amp;"-"&amp;TEXT(MONTH(KMART_DATA[[#This Row],[Date]]),"00")</f>
        <v>2025-10</v>
      </c>
      <c r="D3966" s="3" t="s">
        <v>28</v>
      </c>
      <c r="E3966" s="3" t="s">
        <v>150</v>
      </c>
      <c r="F3966" s="3" t="s">
        <v>15</v>
      </c>
      <c r="G39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966" s="3" t="s">
        <v>151</v>
      </c>
      <c r="I3966" s="3" t="s">
        <v>31</v>
      </c>
      <c r="J3966" s="3" t="s">
        <v>53</v>
      </c>
      <c r="K3966" s="3" t="s">
        <v>123</v>
      </c>
      <c r="L3966" s="3" t="s">
        <v>124</v>
      </c>
      <c r="M3966" s="4">
        <v>199.82</v>
      </c>
    </row>
    <row r="3967">
      <c r="A3967" s="2">
        <v>45938</v>
      </c>
      <c r="B39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7" s="3" t="str">
        <f>YEAR(KMART_DATA[[#This Row],[Date]])&amp;"-"&amp;TEXT(MONTH(KMART_DATA[[#This Row],[Date]]),"00")</f>
        <v>2025-10</v>
      </c>
      <c r="D3967" s="3" t="s">
        <v>28</v>
      </c>
      <c r="E3967" s="3" t="s">
        <v>156</v>
      </c>
      <c r="F3967" s="3" t="s">
        <v>9</v>
      </c>
      <c r="G39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67" s="3" t="s">
        <v>157</v>
      </c>
      <c r="I3967" s="3" t="s">
        <v>31</v>
      </c>
      <c r="J3967" s="3" t="s">
        <v>75</v>
      </c>
      <c r="K3967" s="3" t="s">
        <v>71</v>
      </c>
      <c r="L3967" s="3" t="s">
        <v>72</v>
      </c>
      <c r="M3967" s="4">
        <v>984.29</v>
      </c>
    </row>
    <row r="3968">
      <c r="A3968" s="2">
        <v>45939</v>
      </c>
      <c r="B39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8" s="3" t="str">
        <f>YEAR(KMART_DATA[[#This Row],[Date]])&amp;"-"&amp;TEXT(MONTH(KMART_DATA[[#This Row],[Date]]),"00")</f>
        <v>2025-10</v>
      </c>
      <c r="D3968" s="3" t="s">
        <v>45</v>
      </c>
      <c r="E3968" s="3" t="s">
        <v>246</v>
      </c>
      <c r="F3968" s="3" t="s">
        <v>10</v>
      </c>
      <c r="G39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68" s="3" t="s">
        <v>247</v>
      </c>
      <c r="I3968" s="3" t="s">
        <v>31</v>
      </c>
      <c r="J3968" s="3" t="s">
        <v>37</v>
      </c>
      <c r="K3968" s="3" t="s">
        <v>46</v>
      </c>
      <c r="L3968" s="3" t="s">
        <v>47</v>
      </c>
      <c r="M3968" s="4">
        <v>2.44</v>
      </c>
    </row>
    <row r="3969">
      <c r="A3969" s="2">
        <v>45939</v>
      </c>
      <c r="B39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69" s="3" t="str">
        <f>YEAR(KMART_DATA[[#This Row],[Date]])&amp;"-"&amp;TEXT(MONTH(KMART_DATA[[#This Row],[Date]]),"00")</f>
        <v>2025-10</v>
      </c>
      <c r="D3969" s="3" t="s">
        <v>45</v>
      </c>
      <c r="E3969" s="3" t="s">
        <v>85</v>
      </c>
      <c r="F3969" s="3" t="s">
        <v>9</v>
      </c>
      <c r="G39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69" s="3" t="s">
        <v>86</v>
      </c>
      <c r="I3969" s="3" t="s">
        <v>31</v>
      </c>
      <c r="J3969" s="3" t="s">
        <v>81</v>
      </c>
      <c r="K3969" s="3" t="s">
        <v>43</v>
      </c>
      <c r="L3969" s="3" t="s">
        <v>44</v>
      </c>
      <c r="M3969" s="4">
        <v>90.43</v>
      </c>
    </row>
    <row r="3970">
      <c r="A3970" s="2">
        <v>45939</v>
      </c>
      <c r="B39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0" s="3" t="str">
        <f>YEAR(KMART_DATA[[#This Row],[Date]])&amp;"-"&amp;TEXT(MONTH(KMART_DATA[[#This Row],[Date]]),"00")</f>
        <v>2025-10</v>
      </c>
      <c r="D3970" s="3" t="s">
        <v>28</v>
      </c>
      <c r="E3970" s="3" t="s">
        <v>97</v>
      </c>
      <c r="F3970" s="3" t="s">
        <v>9</v>
      </c>
      <c r="G39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70" s="3" t="s">
        <v>98</v>
      </c>
      <c r="I3970" s="3" t="s">
        <v>31</v>
      </c>
      <c r="J3970" s="3" t="s">
        <v>99</v>
      </c>
      <c r="K3970" s="3" t="s">
        <v>38</v>
      </c>
      <c r="L3970" s="3" t="s">
        <v>39</v>
      </c>
      <c r="M3970" s="4">
        <v>90.87</v>
      </c>
    </row>
    <row r="3971">
      <c r="A3971" s="2">
        <v>45939</v>
      </c>
      <c r="B39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1" s="3" t="str">
        <f>YEAR(KMART_DATA[[#This Row],[Date]])&amp;"-"&amp;TEXT(MONTH(KMART_DATA[[#This Row],[Date]]),"00")</f>
        <v>2025-10</v>
      </c>
      <c r="D3971" s="3" t="s">
        <v>28</v>
      </c>
      <c r="E3971" s="3" t="s">
        <v>40</v>
      </c>
      <c r="F3971" s="3" t="s">
        <v>13</v>
      </c>
      <c r="G39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971" s="3" t="s">
        <v>41</v>
      </c>
      <c r="I3971" s="3" t="s">
        <v>31</v>
      </c>
      <c r="J3971" s="3" t="s">
        <v>42</v>
      </c>
      <c r="K3971" s="3" t="s">
        <v>95</v>
      </c>
      <c r="L3971" s="3" t="s">
        <v>96</v>
      </c>
      <c r="M3971" s="4">
        <v>204.59</v>
      </c>
    </row>
    <row r="3972">
      <c r="A3972" s="2">
        <v>45939</v>
      </c>
      <c r="B39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2" s="3" t="str">
        <f>YEAR(KMART_DATA[[#This Row],[Date]])&amp;"-"&amp;TEXT(MONTH(KMART_DATA[[#This Row],[Date]]),"00")</f>
        <v>2025-10</v>
      </c>
      <c r="D3972" s="3" t="s">
        <v>45</v>
      </c>
      <c r="E3972" s="3" t="s">
        <v>85</v>
      </c>
      <c r="F3972" s="3" t="s">
        <v>9</v>
      </c>
      <c r="G39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72" s="3" t="s">
        <v>86</v>
      </c>
      <c r="I3972" s="3" t="s">
        <v>31</v>
      </c>
      <c r="J3972" s="3" t="s">
        <v>81</v>
      </c>
      <c r="K3972" s="3" t="s">
        <v>38</v>
      </c>
      <c r="L3972" s="3" t="s">
        <v>39</v>
      </c>
      <c r="M3972" s="4">
        <v>269.54</v>
      </c>
    </row>
    <row r="3973">
      <c r="A3973" s="2">
        <v>45939</v>
      </c>
      <c r="B39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3" s="3" t="str">
        <f>YEAR(KMART_DATA[[#This Row],[Date]])&amp;"-"&amp;TEXT(MONTH(KMART_DATA[[#This Row],[Date]]),"00")</f>
        <v>2025-10</v>
      </c>
      <c r="D3973" s="3" t="s">
        <v>28</v>
      </c>
      <c r="E3973" s="3" t="s">
        <v>225</v>
      </c>
      <c r="F3973" s="3" t="s">
        <v>13</v>
      </c>
      <c r="G39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973" s="3" t="s">
        <v>226</v>
      </c>
      <c r="I3973" s="3" t="s">
        <v>31</v>
      </c>
      <c r="J3973" s="3" t="s">
        <v>227</v>
      </c>
      <c r="K3973" s="3" t="s">
        <v>33</v>
      </c>
      <c r="L3973" s="3" t="s">
        <v>34</v>
      </c>
      <c r="M3973" s="4">
        <v>498.46</v>
      </c>
    </row>
    <row r="3974">
      <c r="A3974" s="2">
        <v>45939</v>
      </c>
      <c r="B39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4" s="3" t="str">
        <f>YEAR(KMART_DATA[[#This Row],[Date]])&amp;"-"&amp;TEXT(MONTH(KMART_DATA[[#This Row],[Date]]),"00")</f>
        <v>2025-10</v>
      </c>
      <c r="D3974" s="3" t="s">
        <v>28</v>
      </c>
      <c r="E3974" s="3" t="s">
        <v>248</v>
      </c>
      <c r="F3974" s="3" t="s">
        <v>12</v>
      </c>
      <c r="G39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74" s="3" t="s">
        <v>249</v>
      </c>
      <c r="I3974" s="3" t="s">
        <v>31</v>
      </c>
      <c r="J3974" s="3" t="s">
        <v>162</v>
      </c>
      <c r="K3974" s="3" t="s">
        <v>46</v>
      </c>
      <c r="L3974" s="3" t="s">
        <v>47</v>
      </c>
      <c r="M3974" s="4">
        <v>665.11</v>
      </c>
    </row>
    <row r="3975">
      <c r="A3975" s="2">
        <v>45939</v>
      </c>
      <c r="B39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5" s="3" t="str">
        <f>YEAR(KMART_DATA[[#This Row],[Date]])&amp;"-"&amp;TEXT(MONTH(KMART_DATA[[#This Row],[Date]]),"00")</f>
        <v>2025-10</v>
      </c>
      <c r="D3975" s="3" t="s">
        <v>45</v>
      </c>
      <c r="E3975" s="3" t="s">
        <v>177</v>
      </c>
      <c r="F3975" s="3" t="s">
        <v>12</v>
      </c>
      <c r="G39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75" s="3" t="s">
        <v>178</v>
      </c>
      <c r="I3975" s="3" t="s">
        <v>31</v>
      </c>
      <c r="J3975" s="3" t="s">
        <v>162</v>
      </c>
      <c r="K3975" s="3" t="s">
        <v>57</v>
      </c>
      <c r="L3975" s="3" t="s">
        <v>58</v>
      </c>
      <c r="M3975" s="4">
        <v>1696.45</v>
      </c>
    </row>
    <row r="3976">
      <c r="A3976" s="2">
        <v>45940</v>
      </c>
      <c r="B39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6" s="3" t="str">
        <f>YEAR(KMART_DATA[[#This Row],[Date]])&amp;"-"&amp;TEXT(MONTH(KMART_DATA[[#This Row],[Date]]),"00")</f>
        <v>2025-10</v>
      </c>
      <c r="D3976" s="3" t="s">
        <v>28</v>
      </c>
      <c r="E3976" s="3" t="s">
        <v>173</v>
      </c>
      <c r="F3976" s="3" t="s">
        <v>11</v>
      </c>
      <c r="G39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76" s="3" t="s">
        <v>174</v>
      </c>
      <c r="I3976" s="3" t="s">
        <v>31</v>
      </c>
      <c r="J3976" s="3" t="s">
        <v>61</v>
      </c>
      <c r="K3976" s="3" t="s">
        <v>71</v>
      </c>
      <c r="L3976" s="3" t="s">
        <v>72</v>
      </c>
      <c r="M3976" s="4">
        <v>2.0</v>
      </c>
    </row>
    <row r="3977">
      <c r="A3977" s="2">
        <v>45940</v>
      </c>
      <c r="B39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7" s="3" t="str">
        <f>YEAR(KMART_DATA[[#This Row],[Date]])&amp;"-"&amp;TEXT(MONTH(KMART_DATA[[#This Row],[Date]]),"00")</f>
        <v>2025-10</v>
      </c>
      <c r="D3977" s="3" t="s">
        <v>28</v>
      </c>
      <c r="E3977" s="3" t="s">
        <v>141</v>
      </c>
      <c r="F3977" s="3" t="s">
        <v>9</v>
      </c>
      <c r="G39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77" s="3" t="s">
        <v>142</v>
      </c>
      <c r="I3977" s="3" t="s">
        <v>31</v>
      </c>
      <c r="J3977" s="3" t="s">
        <v>107</v>
      </c>
      <c r="K3977" s="3" t="s">
        <v>46</v>
      </c>
      <c r="L3977" s="3" t="s">
        <v>47</v>
      </c>
      <c r="M3977" s="4">
        <v>7.99</v>
      </c>
    </row>
    <row r="3978">
      <c r="A3978" s="2">
        <v>45940</v>
      </c>
      <c r="B39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8" s="3" t="str">
        <f>YEAR(KMART_DATA[[#This Row],[Date]])&amp;"-"&amp;TEXT(MONTH(KMART_DATA[[#This Row],[Date]]),"00")</f>
        <v>2025-10</v>
      </c>
      <c r="D3978" s="3" t="s">
        <v>28</v>
      </c>
      <c r="E3978" s="3" t="s">
        <v>248</v>
      </c>
      <c r="F3978" s="3" t="s">
        <v>12</v>
      </c>
      <c r="G39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78" s="3" t="s">
        <v>249</v>
      </c>
      <c r="I3978" s="3" t="s">
        <v>31</v>
      </c>
      <c r="J3978" s="3" t="s">
        <v>162</v>
      </c>
      <c r="K3978" s="3" t="s">
        <v>95</v>
      </c>
      <c r="L3978" s="3" t="s">
        <v>96</v>
      </c>
      <c r="M3978" s="4">
        <v>9.0</v>
      </c>
    </row>
    <row r="3979">
      <c r="A3979" s="2">
        <v>45940</v>
      </c>
      <c r="B39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79" s="3" t="str">
        <f>YEAR(KMART_DATA[[#This Row],[Date]])&amp;"-"&amp;TEXT(MONTH(KMART_DATA[[#This Row],[Date]]),"00")</f>
        <v>2025-10</v>
      </c>
      <c r="D3979" s="3" t="s">
        <v>28</v>
      </c>
      <c r="E3979" s="3" t="s">
        <v>195</v>
      </c>
      <c r="F3979" s="3" t="s">
        <v>11</v>
      </c>
      <c r="G39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79" s="3" t="s">
        <v>196</v>
      </c>
      <c r="I3979" s="3" t="s">
        <v>31</v>
      </c>
      <c r="J3979" s="3" t="s">
        <v>32</v>
      </c>
      <c r="K3979" s="3" t="s">
        <v>33</v>
      </c>
      <c r="L3979" s="3" t="s">
        <v>34</v>
      </c>
      <c r="M3979" s="4">
        <v>9.98</v>
      </c>
    </row>
    <row r="3980">
      <c r="A3980" s="2">
        <v>45940</v>
      </c>
      <c r="B39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0" s="3" t="str">
        <f>YEAR(KMART_DATA[[#This Row],[Date]])&amp;"-"&amp;TEXT(MONTH(KMART_DATA[[#This Row],[Date]]),"00")</f>
        <v>2025-10</v>
      </c>
      <c r="D3980" s="3" t="s">
        <v>45</v>
      </c>
      <c r="E3980" s="3" t="s">
        <v>160</v>
      </c>
      <c r="F3980" s="3" t="s">
        <v>12</v>
      </c>
      <c r="G39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80" s="3" t="s">
        <v>161</v>
      </c>
      <c r="I3980" s="3" t="s">
        <v>31</v>
      </c>
      <c r="J3980" s="3" t="s">
        <v>162</v>
      </c>
      <c r="K3980" s="3" t="s">
        <v>71</v>
      </c>
      <c r="L3980" s="3" t="s">
        <v>72</v>
      </c>
      <c r="M3980" s="4">
        <v>18.98</v>
      </c>
    </row>
    <row r="3981">
      <c r="A3981" s="2">
        <v>45940</v>
      </c>
      <c r="B39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1" s="3" t="str">
        <f>YEAR(KMART_DATA[[#This Row],[Date]])&amp;"-"&amp;TEXT(MONTH(KMART_DATA[[#This Row],[Date]]),"00")</f>
        <v>2025-10</v>
      </c>
      <c r="D3981" s="3" t="s">
        <v>45</v>
      </c>
      <c r="E3981" s="3" t="s">
        <v>223</v>
      </c>
      <c r="F3981" s="3" t="s">
        <v>10</v>
      </c>
      <c r="G39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81" s="3" t="s">
        <v>224</v>
      </c>
      <c r="I3981" s="3" t="s">
        <v>31</v>
      </c>
      <c r="J3981" s="3" t="s">
        <v>94</v>
      </c>
      <c r="K3981" s="3" t="s">
        <v>71</v>
      </c>
      <c r="L3981" s="3" t="s">
        <v>72</v>
      </c>
      <c r="M3981" s="4">
        <v>90.93</v>
      </c>
    </row>
    <row r="3982">
      <c r="A3982" s="2">
        <v>45940</v>
      </c>
      <c r="B39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2" s="3" t="str">
        <f>YEAR(KMART_DATA[[#This Row],[Date]])&amp;"-"&amp;TEXT(MONTH(KMART_DATA[[#This Row],[Date]]),"00")</f>
        <v>2025-10</v>
      </c>
      <c r="D3982" s="3" t="s">
        <v>28</v>
      </c>
      <c r="E3982" s="3" t="s">
        <v>242</v>
      </c>
      <c r="F3982" s="3" t="s">
        <v>10</v>
      </c>
      <c r="G39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82" s="3" t="s">
        <v>243</v>
      </c>
      <c r="I3982" s="3" t="s">
        <v>31</v>
      </c>
      <c r="J3982" s="3" t="s">
        <v>94</v>
      </c>
      <c r="K3982" s="3" t="s">
        <v>95</v>
      </c>
      <c r="L3982" s="3" t="s">
        <v>96</v>
      </c>
      <c r="M3982" s="4">
        <v>487.23</v>
      </c>
    </row>
    <row r="3983">
      <c r="A3983" s="2">
        <v>45941</v>
      </c>
      <c r="B39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3" s="3" t="str">
        <f>YEAR(KMART_DATA[[#This Row],[Date]])&amp;"-"&amp;TEXT(MONTH(KMART_DATA[[#This Row],[Date]]),"00")</f>
        <v>2025-10</v>
      </c>
      <c r="D3983" s="3" t="s">
        <v>28</v>
      </c>
      <c r="E3983" s="3" t="s">
        <v>129</v>
      </c>
      <c r="F3983" s="3" t="s">
        <v>10</v>
      </c>
      <c r="G39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83" s="3" t="s">
        <v>130</v>
      </c>
      <c r="I3983" s="3" t="s">
        <v>31</v>
      </c>
      <c r="J3983" s="3" t="s">
        <v>120</v>
      </c>
      <c r="K3983" s="3" t="s">
        <v>33</v>
      </c>
      <c r="L3983" s="3" t="s">
        <v>34</v>
      </c>
      <c r="M3983" s="4">
        <v>6.6</v>
      </c>
    </row>
    <row r="3984">
      <c r="A3984" s="2">
        <v>45941</v>
      </c>
      <c r="B39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4" s="3" t="str">
        <f>YEAR(KMART_DATA[[#This Row],[Date]])&amp;"-"&amp;TEXT(MONTH(KMART_DATA[[#This Row],[Date]]),"00")</f>
        <v>2025-10</v>
      </c>
      <c r="D3984" s="3" t="s">
        <v>28</v>
      </c>
      <c r="E3984" s="3" t="s">
        <v>177</v>
      </c>
      <c r="F3984" s="3" t="s">
        <v>12</v>
      </c>
      <c r="G39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84" s="3" t="s">
        <v>178</v>
      </c>
      <c r="I3984" s="3" t="s">
        <v>31</v>
      </c>
      <c r="J3984" s="3" t="s">
        <v>162</v>
      </c>
      <c r="K3984" s="3" t="s">
        <v>95</v>
      </c>
      <c r="L3984" s="3" t="s">
        <v>96</v>
      </c>
      <c r="M3984" s="4">
        <v>15.92</v>
      </c>
    </row>
    <row r="3985">
      <c r="A3985" s="2">
        <v>45941</v>
      </c>
      <c r="B39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5" s="3" t="str">
        <f>YEAR(KMART_DATA[[#This Row],[Date]])&amp;"-"&amp;TEXT(MONTH(KMART_DATA[[#This Row],[Date]]),"00")</f>
        <v>2025-10</v>
      </c>
      <c r="D3985" s="3" t="s">
        <v>28</v>
      </c>
      <c r="E3985" s="3" t="s">
        <v>219</v>
      </c>
      <c r="F3985" s="3" t="s">
        <v>11</v>
      </c>
      <c r="G39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85" s="3" t="s">
        <v>220</v>
      </c>
      <c r="I3985" s="3" t="s">
        <v>31</v>
      </c>
      <c r="J3985" s="3" t="s">
        <v>56</v>
      </c>
      <c r="K3985" s="3" t="s">
        <v>46</v>
      </c>
      <c r="L3985" s="3" t="s">
        <v>47</v>
      </c>
      <c r="M3985" s="4">
        <v>2111.92</v>
      </c>
    </row>
    <row r="3986">
      <c r="A3986" s="2">
        <v>45941</v>
      </c>
      <c r="B39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6" s="3" t="str">
        <f>YEAR(KMART_DATA[[#This Row],[Date]])&amp;"-"&amp;TEXT(MONTH(KMART_DATA[[#This Row],[Date]]),"00")</f>
        <v>2025-10</v>
      </c>
      <c r="D3986" s="3" t="s">
        <v>45</v>
      </c>
      <c r="E3986" s="3" t="s">
        <v>103</v>
      </c>
      <c r="F3986" s="3" t="s">
        <v>12</v>
      </c>
      <c r="G39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3986" s="3" t="s">
        <v>104</v>
      </c>
      <c r="I3986" s="3" t="s">
        <v>31</v>
      </c>
      <c r="J3986" s="3" t="s">
        <v>102</v>
      </c>
      <c r="K3986" s="3" t="s">
        <v>71</v>
      </c>
      <c r="L3986" s="3" t="s">
        <v>72</v>
      </c>
      <c r="M3986" s="4">
        <v>2190.23</v>
      </c>
    </row>
    <row r="3987">
      <c r="A3987" s="2">
        <v>45942</v>
      </c>
      <c r="B39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7" s="3" t="str">
        <f>YEAR(KMART_DATA[[#This Row],[Date]])&amp;"-"&amp;TEXT(MONTH(KMART_DATA[[#This Row],[Date]]),"00")</f>
        <v>2025-10</v>
      </c>
      <c r="D3987" s="3" t="s">
        <v>28</v>
      </c>
      <c r="E3987" s="3" t="s">
        <v>118</v>
      </c>
      <c r="F3987" s="3" t="s">
        <v>10</v>
      </c>
      <c r="G39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87" s="3" t="s">
        <v>119</v>
      </c>
      <c r="I3987" s="3" t="s">
        <v>31</v>
      </c>
      <c r="J3987" s="3" t="s">
        <v>120</v>
      </c>
      <c r="K3987" s="3" t="s">
        <v>38</v>
      </c>
      <c r="L3987" s="3" t="s">
        <v>39</v>
      </c>
      <c r="M3987" s="4">
        <v>2.3</v>
      </c>
    </row>
    <row r="3988">
      <c r="A3988" s="2">
        <v>45942</v>
      </c>
      <c r="B39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8" s="3" t="str">
        <f>YEAR(KMART_DATA[[#This Row],[Date]])&amp;"-"&amp;TEXT(MONTH(KMART_DATA[[#This Row],[Date]]),"00")</f>
        <v>2025-10</v>
      </c>
      <c r="D3988" s="3" t="s">
        <v>28</v>
      </c>
      <c r="E3988" s="3" t="s">
        <v>240</v>
      </c>
      <c r="F3988" s="3" t="s">
        <v>15</v>
      </c>
      <c r="G39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3988" s="3" t="s">
        <v>241</v>
      </c>
      <c r="I3988" s="3" t="s">
        <v>31</v>
      </c>
      <c r="J3988" s="3" t="s">
        <v>53</v>
      </c>
      <c r="K3988" s="3" t="s">
        <v>123</v>
      </c>
      <c r="L3988" s="3" t="s">
        <v>124</v>
      </c>
      <c r="M3988" s="4">
        <v>19.39</v>
      </c>
    </row>
    <row r="3989">
      <c r="A3989" s="2">
        <v>45942</v>
      </c>
      <c r="B39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89" s="3" t="str">
        <f>YEAR(KMART_DATA[[#This Row],[Date]])&amp;"-"&amp;TEXT(MONTH(KMART_DATA[[#This Row],[Date]]),"00")</f>
        <v>2025-10</v>
      </c>
      <c r="D3989" s="3" t="s">
        <v>45</v>
      </c>
      <c r="E3989" s="3" t="s">
        <v>260</v>
      </c>
      <c r="F3989" s="3" t="s">
        <v>10</v>
      </c>
      <c r="G39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89" s="3" t="s">
        <v>261</v>
      </c>
      <c r="I3989" s="3" t="s">
        <v>31</v>
      </c>
      <c r="J3989" s="3" t="s">
        <v>89</v>
      </c>
      <c r="K3989" s="3" t="s">
        <v>38</v>
      </c>
      <c r="L3989" s="3" t="s">
        <v>39</v>
      </c>
      <c r="M3989" s="4">
        <v>76.21</v>
      </c>
    </row>
    <row r="3990">
      <c r="A3990" s="2">
        <v>45942</v>
      </c>
      <c r="B39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0" s="3" t="str">
        <f>YEAR(KMART_DATA[[#This Row],[Date]])&amp;"-"&amp;TEXT(MONTH(KMART_DATA[[#This Row],[Date]]),"00")</f>
        <v>2025-10</v>
      </c>
      <c r="D3990" s="3" t="s">
        <v>28</v>
      </c>
      <c r="E3990" s="3" t="s">
        <v>79</v>
      </c>
      <c r="F3990" s="3" t="s">
        <v>9</v>
      </c>
      <c r="G39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90" s="3" t="s">
        <v>80</v>
      </c>
      <c r="I3990" s="3" t="s">
        <v>31</v>
      </c>
      <c r="J3990" s="3" t="s">
        <v>81</v>
      </c>
      <c r="K3990" s="3" t="s">
        <v>46</v>
      </c>
      <c r="L3990" s="3" t="s">
        <v>47</v>
      </c>
      <c r="M3990" s="4">
        <v>734.98</v>
      </c>
    </row>
    <row r="3991">
      <c r="A3991" s="2">
        <v>45942</v>
      </c>
      <c r="B39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1" s="3" t="str">
        <f>YEAR(KMART_DATA[[#This Row],[Date]])&amp;"-"&amp;TEXT(MONTH(KMART_DATA[[#This Row],[Date]]),"00")</f>
        <v>2025-10</v>
      </c>
      <c r="D3991" s="3" t="s">
        <v>28</v>
      </c>
      <c r="E3991" s="3" t="s">
        <v>254</v>
      </c>
      <c r="F3991" s="3" t="s">
        <v>13</v>
      </c>
      <c r="G39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991" s="3" t="s">
        <v>255</v>
      </c>
      <c r="I3991" s="3" t="s">
        <v>31</v>
      </c>
      <c r="J3991" s="3" t="s">
        <v>227</v>
      </c>
      <c r="K3991" s="3" t="s">
        <v>95</v>
      </c>
      <c r="L3991" s="3" t="s">
        <v>96</v>
      </c>
      <c r="M3991" s="4">
        <v>829.82</v>
      </c>
    </row>
    <row r="3992">
      <c r="A3992" s="2">
        <v>45942</v>
      </c>
      <c r="B39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2" s="3" t="str">
        <f>YEAR(KMART_DATA[[#This Row],[Date]])&amp;"-"&amp;TEXT(MONTH(KMART_DATA[[#This Row],[Date]]),"00")</f>
        <v>2025-10</v>
      </c>
      <c r="D3992" s="3" t="s">
        <v>28</v>
      </c>
      <c r="E3992" s="3" t="s">
        <v>156</v>
      </c>
      <c r="F3992" s="3" t="s">
        <v>9</v>
      </c>
      <c r="G39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92" s="3" t="s">
        <v>157</v>
      </c>
      <c r="I3992" s="3" t="s">
        <v>31</v>
      </c>
      <c r="J3992" s="3" t="s">
        <v>75</v>
      </c>
      <c r="K3992" s="3" t="s">
        <v>57</v>
      </c>
      <c r="L3992" s="3" t="s">
        <v>58</v>
      </c>
      <c r="M3992" s="4">
        <v>8620.21</v>
      </c>
    </row>
    <row r="3993">
      <c r="A3993" s="2">
        <v>45943</v>
      </c>
      <c r="B39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3" s="3" t="str">
        <f>YEAR(KMART_DATA[[#This Row],[Date]])&amp;"-"&amp;TEXT(MONTH(KMART_DATA[[#This Row],[Date]]),"00")</f>
        <v>2025-10</v>
      </c>
      <c r="D3993" s="3" t="s">
        <v>28</v>
      </c>
      <c r="E3993" s="3" t="s">
        <v>173</v>
      </c>
      <c r="F3993" s="3" t="s">
        <v>11</v>
      </c>
      <c r="G39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3993" s="3" t="s">
        <v>174</v>
      </c>
      <c r="I3993" s="3" t="s">
        <v>31</v>
      </c>
      <c r="J3993" s="3" t="s">
        <v>61</v>
      </c>
      <c r="K3993" s="3" t="s">
        <v>112</v>
      </c>
      <c r="L3993" s="3" t="s">
        <v>113</v>
      </c>
      <c r="M3993" s="4">
        <v>27.96</v>
      </c>
    </row>
    <row r="3994">
      <c r="A3994" s="2">
        <v>45943</v>
      </c>
      <c r="B39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4" s="3" t="str">
        <f>YEAR(KMART_DATA[[#This Row],[Date]])&amp;"-"&amp;TEXT(MONTH(KMART_DATA[[#This Row],[Date]]),"00")</f>
        <v>2025-10</v>
      </c>
      <c r="D3994" s="3" t="s">
        <v>28</v>
      </c>
      <c r="E3994" s="3" t="s">
        <v>105</v>
      </c>
      <c r="F3994" s="3" t="s">
        <v>9</v>
      </c>
      <c r="G39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94" s="3" t="s">
        <v>106</v>
      </c>
      <c r="I3994" s="3" t="s">
        <v>31</v>
      </c>
      <c r="J3994" s="3" t="s">
        <v>107</v>
      </c>
      <c r="K3994" s="3" t="s">
        <v>95</v>
      </c>
      <c r="L3994" s="3" t="s">
        <v>96</v>
      </c>
      <c r="M3994" s="4">
        <v>82.16</v>
      </c>
    </row>
    <row r="3995">
      <c r="A3995" s="2">
        <v>45943</v>
      </c>
      <c r="B39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5" s="3" t="str">
        <f>YEAR(KMART_DATA[[#This Row],[Date]])&amp;"-"&amp;TEXT(MONTH(KMART_DATA[[#This Row],[Date]]),"00")</f>
        <v>2025-10</v>
      </c>
      <c r="D3995" s="3" t="s">
        <v>28</v>
      </c>
      <c r="E3995" s="3" t="s">
        <v>179</v>
      </c>
      <c r="F3995" s="3" t="s">
        <v>9</v>
      </c>
      <c r="G39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95" s="3" t="s">
        <v>180</v>
      </c>
      <c r="I3995" s="3" t="s">
        <v>31</v>
      </c>
      <c r="J3995" s="3" t="s">
        <v>99</v>
      </c>
      <c r="K3995" s="3" t="s">
        <v>95</v>
      </c>
      <c r="L3995" s="3" t="s">
        <v>96</v>
      </c>
      <c r="M3995" s="4">
        <v>295.7</v>
      </c>
    </row>
    <row r="3996">
      <c r="A3996" s="2">
        <v>45943</v>
      </c>
      <c r="B39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6" s="3" t="str">
        <f>YEAR(KMART_DATA[[#This Row],[Date]])&amp;"-"&amp;TEXT(MONTH(KMART_DATA[[#This Row],[Date]]),"00")</f>
        <v>2025-10</v>
      </c>
      <c r="D3996" s="3" t="s">
        <v>28</v>
      </c>
      <c r="E3996" s="3" t="s">
        <v>135</v>
      </c>
      <c r="F3996" s="3" t="s">
        <v>16</v>
      </c>
      <c r="G39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3996" s="3" t="s">
        <v>136</v>
      </c>
      <c r="I3996" s="3" t="s">
        <v>31</v>
      </c>
      <c r="J3996" s="3" t="s">
        <v>107</v>
      </c>
      <c r="K3996" s="3" t="s">
        <v>43</v>
      </c>
      <c r="L3996" s="3" t="s">
        <v>44</v>
      </c>
      <c r="M3996" s="4">
        <v>308.82</v>
      </c>
    </row>
    <row r="3997">
      <c r="A3997" s="2">
        <v>45943</v>
      </c>
      <c r="B39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7" s="3" t="str">
        <f>YEAR(KMART_DATA[[#This Row],[Date]])&amp;"-"&amp;TEXT(MONTH(KMART_DATA[[#This Row],[Date]]),"00")</f>
        <v>2025-10</v>
      </c>
      <c r="D3997" s="3" t="s">
        <v>28</v>
      </c>
      <c r="E3997" s="3" t="s">
        <v>87</v>
      </c>
      <c r="F3997" s="3" t="s">
        <v>10</v>
      </c>
      <c r="G39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3997" s="3" t="s">
        <v>88</v>
      </c>
      <c r="I3997" s="3" t="s">
        <v>31</v>
      </c>
      <c r="J3997" s="3" t="s">
        <v>89</v>
      </c>
      <c r="K3997" s="3" t="s">
        <v>71</v>
      </c>
      <c r="L3997" s="3" t="s">
        <v>72</v>
      </c>
      <c r="M3997" s="4">
        <v>682.81</v>
      </c>
    </row>
    <row r="3998">
      <c r="A3998" s="2">
        <v>45943</v>
      </c>
      <c r="B39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8" s="3" t="str">
        <f>YEAR(KMART_DATA[[#This Row],[Date]])&amp;"-"&amp;TEXT(MONTH(KMART_DATA[[#This Row],[Date]]),"00")</f>
        <v>2025-10</v>
      </c>
      <c r="D3998" s="3" t="s">
        <v>28</v>
      </c>
      <c r="E3998" s="3" t="s">
        <v>156</v>
      </c>
      <c r="F3998" s="3" t="s">
        <v>9</v>
      </c>
      <c r="G39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3998" s="3" t="s">
        <v>157</v>
      </c>
      <c r="I3998" s="3" t="s">
        <v>31</v>
      </c>
      <c r="J3998" s="3" t="s">
        <v>75</v>
      </c>
      <c r="K3998" s="3" t="s">
        <v>95</v>
      </c>
      <c r="L3998" s="3" t="s">
        <v>96</v>
      </c>
      <c r="M3998" s="4">
        <v>922.07</v>
      </c>
    </row>
    <row r="3999">
      <c r="A3999" s="2">
        <v>45943</v>
      </c>
      <c r="B39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3999" s="3" t="str">
        <f>YEAR(KMART_DATA[[#This Row],[Date]])&amp;"-"&amp;TEXT(MONTH(KMART_DATA[[#This Row],[Date]]),"00")</f>
        <v>2025-10</v>
      </c>
      <c r="D3999" s="3" t="s">
        <v>28</v>
      </c>
      <c r="E3999" s="3" t="s">
        <v>199</v>
      </c>
      <c r="F3999" s="3" t="s">
        <v>13</v>
      </c>
      <c r="G39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3999" s="3" t="s">
        <v>200</v>
      </c>
      <c r="I3999" s="3" t="s">
        <v>31</v>
      </c>
      <c r="J3999" s="3" t="s">
        <v>42</v>
      </c>
      <c r="K3999" s="3" t="s">
        <v>46</v>
      </c>
      <c r="L3999" s="3" t="s">
        <v>47</v>
      </c>
      <c r="M3999" s="4">
        <v>1130.88</v>
      </c>
    </row>
    <row r="4000">
      <c r="A4000" s="2">
        <v>45944</v>
      </c>
      <c r="B40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0" s="3" t="str">
        <f>YEAR(KMART_DATA[[#This Row],[Date]])&amp;"-"&amp;TEXT(MONTH(KMART_DATA[[#This Row],[Date]]),"00")</f>
        <v>2025-10</v>
      </c>
      <c r="D4000" s="3" t="s">
        <v>28</v>
      </c>
      <c r="E4000" s="3" t="s">
        <v>108</v>
      </c>
      <c r="F4000" s="3" t="s">
        <v>9</v>
      </c>
      <c r="G40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00" s="3" t="s">
        <v>109</v>
      </c>
      <c r="I4000" s="3" t="s">
        <v>31</v>
      </c>
      <c r="J4000" s="3" t="s">
        <v>75</v>
      </c>
      <c r="K4000" s="3" t="s">
        <v>43</v>
      </c>
      <c r="L4000" s="3" t="s">
        <v>44</v>
      </c>
      <c r="M4000" s="4">
        <v>332.64</v>
      </c>
    </row>
    <row r="4001">
      <c r="A4001" s="2">
        <v>45944</v>
      </c>
      <c r="B40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1" s="3" t="str">
        <f>YEAR(KMART_DATA[[#This Row],[Date]])&amp;"-"&amp;TEXT(MONTH(KMART_DATA[[#This Row],[Date]]),"00")</f>
        <v>2025-10</v>
      </c>
      <c r="D4001" s="3" t="s">
        <v>45</v>
      </c>
      <c r="E4001" s="3" t="s">
        <v>234</v>
      </c>
      <c r="F4001" s="3" t="s">
        <v>9</v>
      </c>
      <c r="G40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01" s="3" t="s">
        <v>235</v>
      </c>
      <c r="I4001" s="3" t="s">
        <v>31</v>
      </c>
      <c r="J4001" s="3" t="s">
        <v>81</v>
      </c>
      <c r="K4001" s="3" t="s">
        <v>71</v>
      </c>
      <c r="L4001" s="3" t="s">
        <v>72</v>
      </c>
      <c r="M4001" s="4">
        <v>536.36</v>
      </c>
    </row>
    <row r="4002">
      <c r="A4002" s="2">
        <v>45944</v>
      </c>
      <c r="B40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2" s="3" t="str">
        <f>YEAR(KMART_DATA[[#This Row],[Date]])&amp;"-"&amp;TEXT(MONTH(KMART_DATA[[#This Row],[Date]]),"00")</f>
        <v>2025-10</v>
      </c>
      <c r="D4002" s="3" t="s">
        <v>28</v>
      </c>
      <c r="E4002" s="3" t="s">
        <v>246</v>
      </c>
      <c r="F4002" s="3" t="s">
        <v>10</v>
      </c>
      <c r="G40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02" s="3" t="s">
        <v>247</v>
      </c>
      <c r="I4002" s="3" t="s">
        <v>31</v>
      </c>
      <c r="J4002" s="3" t="s">
        <v>37</v>
      </c>
      <c r="K4002" s="3" t="s">
        <v>71</v>
      </c>
      <c r="L4002" s="3" t="s">
        <v>72</v>
      </c>
      <c r="M4002" s="4">
        <v>698.73</v>
      </c>
    </row>
    <row r="4003">
      <c r="A4003" s="2">
        <v>45944</v>
      </c>
      <c r="B40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3" s="3" t="str">
        <f>YEAR(KMART_DATA[[#This Row],[Date]])&amp;"-"&amp;TEXT(MONTH(KMART_DATA[[#This Row],[Date]]),"00")</f>
        <v>2025-10</v>
      </c>
      <c r="D4003" s="3" t="s">
        <v>28</v>
      </c>
      <c r="E4003" s="3" t="s">
        <v>169</v>
      </c>
      <c r="F4003" s="3" t="s">
        <v>12</v>
      </c>
      <c r="G40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03" s="3" t="s">
        <v>170</v>
      </c>
      <c r="I4003" s="3" t="s">
        <v>31</v>
      </c>
      <c r="J4003" s="3" t="s">
        <v>102</v>
      </c>
      <c r="K4003" s="3" t="s">
        <v>71</v>
      </c>
      <c r="L4003" s="3" t="s">
        <v>72</v>
      </c>
      <c r="M4003" s="4">
        <v>4995.61</v>
      </c>
    </row>
    <row r="4004">
      <c r="A4004" s="2">
        <v>45945</v>
      </c>
      <c r="B40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4" s="3" t="str">
        <f>YEAR(KMART_DATA[[#This Row],[Date]])&amp;"-"&amp;TEXT(MONTH(KMART_DATA[[#This Row],[Date]]),"00")</f>
        <v>2025-10</v>
      </c>
      <c r="D4004" s="3" t="s">
        <v>28</v>
      </c>
      <c r="E4004" s="3" t="s">
        <v>197</v>
      </c>
      <c r="F4004" s="3" t="s">
        <v>9</v>
      </c>
      <c r="G40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04" s="3" t="s">
        <v>198</v>
      </c>
      <c r="I4004" s="3" t="s">
        <v>31</v>
      </c>
      <c r="J4004" s="3" t="s">
        <v>107</v>
      </c>
      <c r="K4004" s="3" t="s">
        <v>46</v>
      </c>
      <c r="L4004" s="3" t="s">
        <v>47</v>
      </c>
      <c r="M4004" s="4">
        <v>2.0</v>
      </c>
    </row>
    <row r="4005">
      <c r="A4005" s="2">
        <v>45945</v>
      </c>
      <c r="B40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5" s="3" t="str">
        <f>YEAR(KMART_DATA[[#This Row],[Date]])&amp;"-"&amp;TEXT(MONTH(KMART_DATA[[#This Row],[Date]]),"00")</f>
        <v>2025-10</v>
      </c>
      <c r="D4005" s="3" t="s">
        <v>28</v>
      </c>
      <c r="E4005" s="3" t="s">
        <v>160</v>
      </c>
      <c r="F4005" s="3" t="s">
        <v>12</v>
      </c>
      <c r="G40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05" s="3" t="s">
        <v>161</v>
      </c>
      <c r="I4005" s="3" t="s">
        <v>31</v>
      </c>
      <c r="J4005" s="3" t="s">
        <v>162</v>
      </c>
      <c r="K4005" s="3" t="s">
        <v>95</v>
      </c>
      <c r="L4005" s="3" t="s">
        <v>96</v>
      </c>
      <c r="M4005" s="4">
        <v>64.0</v>
      </c>
    </row>
    <row r="4006">
      <c r="A4006" s="2">
        <v>45945</v>
      </c>
      <c r="B40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6" s="3" t="str">
        <f>YEAR(KMART_DATA[[#This Row],[Date]])&amp;"-"&amp;TEXT(MONTH(KMART_DATA[[#This Row],[Date]]),"00")</f>
        <v>2025-10</v>
      </c>
      <c r="D4006" s="3" t="s">
        <v>45</v>
      </c>
      <c r="E4006" s="3" t="s">
        <v>131</v>
      </c>
      <c r="F4006" s="3" t="s">
        <v>11</v>
      </c>
      <c r="G40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06" s="3" t="s">
        <v>132</v>
      </c>
      <c r="I4006" s="3" t="s">
        <v>31</v>
      </c>
      <c r="J4006" s="3" t="s">
        <v>32</v>
      </c>
      <c r="K4006" s="3" t="s">
        <v>71</v>
      </c>
      <c r="L4006" s="3" t="s">
        <v>72</v>
      </c>
      <c r="M4006" s="4">
        <v>193.8</v>
      </c>
    </row>
    <row r="4007">
      <c r="A4007" s="2">
        <v>45945</v>
      </c>
      <c r="B40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7" s="3" t="str">
        <f>YEAR(KMART_DATA[[#This Row],[Date]])&amp;"-"&amp;TEXT(MONTH(KMART_DATA[[#This Row],[Date]]),"00")</f>
        <v>2025-10</v>
      </c>
      <c r="D4007" s="3" t="s">
        <v>45</v>
      </c>
      <c r="E4007" s="3" t="s">
        <v>189</v>
      </c>
      <c r="F4007" s="3" t="s">
        <v>9</v>
      </c>
      <c r="G40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07" s="3" t="s">
        <v>190</v>
      </c>
      <c r="I4007" s="3" t="s">
        <v>31</v>
      </c>
      <c r="J4007" s="3" t="s">
        <v>81</v>
      </c>
      <c r="K4007" s="3" t="s">
        <v>33</v>
      </c>
      <c r="L4007" s="3" t="s">
        <v>34</v>
      </c>
      <c r="M4007" s="4">
        <v>382.42</v>
      </c>
    </row>
    <row r="4008">
      <c r="A4008" s="2">
        <v>45945</v>
      </c>
      <c r="B40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8" s="3" t="str">
        <f>YEAR(KMART_DATA[[#This Row],[Date]])&amp;"-"&amp;TEXT(MONTH(KMART_DATA[[#This Row],[Date]]),"00")</f>
        <v>2025-10</v>
      </c>
      <c r="D4008" s="3" t="s">
        <v>28</v>
      </c>
      <c r="E4008" s="3" t="s">
        <v>232</v>
      </c>
      <c r="F4008" s="3" t="s">
        <v>9</v>
      </c>
      <c r="G40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08" s="3" t="s">
        <v>233</v>
      </c>
      <c r="I4008" s="3" t="s">
        <v>31</v>
      </c>
      <c r="J4008" s="3" t="s">
        <v>75</v>
      </c>
      <c r="K4008" s="3" t="s">
        <v>38</v>
      </c>
      <c r="L4008" s="3" t="s">
        <v>39</v>
      </c>
      <c r="M4008" s="4">
        <v>491.43</v>
      </c>
    </row>
    <row r="4009">
      <c r="A4009" s="2">
        <v>45946</v>
      </c>
      <c r="B40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09" s="3" t="str">
        <f>YEAR(KMART_DATA[[#This Row],[Date]])&amp;"-"&amp;TEXT(MONTH(KMART_DATA[[#This Row],[Date]]),"00")</f>
        <v>2025-10</v>
      </c>
      <c r="D4009" s="3" t="s">
        <v>45</v>
      </c>
      <c r="E4009" s="3" t="s">
        <v>246</v>
      </c>
      <c r="F4009" s="3" t="s">
        <v>10</v>
      </c>
      <c r="G40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09" s="3" t="s">
        <v>247</v>
      </c>
      <c r="I4009" s="3" t="s">
        <v>31</v>
      </c>
      <c r="J4009" s="3" t="s">
        <v>37</v>
      </c>
      <c r="K4009" s="3" t="s">
        <v>43</v>
      </c>
      <c r="L4009" s="3" t="s">
        <v>44</v>
      </c>
      <c r="M4009" s="4">
        <v>11.32</v>
      </c>
    </row>
    <row r="4010">
      <c r="A4010" s="2">
        <v>45946</v>
      </c>
      <c r="B40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0" s="3" t="str">
        <f>YEAR(KMART_DATA[[#This Row],[Date]])&amp;"-"&amp;TEXT(MONTH(KMART_DATA[[#This Row],[Date]]),"00")</f>
        <v>2025-10</v>
      </c>
      <c r="D4010" s="3" t="s">
        <v>28</v>
      </c>
      <c r="E4010" s="3" t="s">
        <v>175</v>
      </c>
      <c r="F4010" s="3" t="s">
        <v>16</v>
      </c>
      <c r="G40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010" s="3" t="s">
        <v>176</v>
      </c>
      <c r="I4010" s="3" t="s">
        <v>31</v>
      </c>
      <c r="J4010" s="3" t="s">
        <v>107</v>
      </c>
      <c r="K4010" s="3" t="s">
        <v>95</v>
      </c>
      <c r="L4010" s="3" t="s">
        <v>96</v>
      </c>
      <c r="M4010" s="4">
        <v>13.47</v>
      </c>
    </row>
    <row r="4011">
      <c r="A4011" s="2">
        <v>45946</v>
      </c>
      <c r="B40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1" s="3" t="str">
        <f>YEAR(KMART_DATA[[#This Row],[Date]])&amp;"-"&amp;TEXT(MONTH(KMART_DATA[[#This Row],[Date]]),"00")</f>
        <v>2025-10</v>
      </c>
      <c r="D4011" s="3" t="s">
        <v>28</v>
      </c>
      <c r="E4011" s="3" t="s">
        <v>242</v>
      </c>
      <c r="F4011" s="3" t="s">
        <v>10</v>
      </c>
      <c r="G40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11" s="3" t="s">
        <v>243</v>
      </c>
      <c r="I4011" s="3" t="s">
        <v>31</v>
      </c>
      <c r="J4011" s="3" t="s">
        <v>94</v>
      </c>
      <c r="K4011" s="3" t="s">
        <v>95</v>
      </c>
      <c r="L4011" s="3" t="s">
        <v>96</v>
      </c>
      <c r="M4011" s="4">
        <v>20.97</v>
      </c>
    </row>
    <row r="4012">
      <c r="A4012" s="2">
        <v>45946</v>
      </c>
      <c r="B40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2" s="3" t="str">
        <f>YEAR(KMART_DATA[[#This Row],[Date]])&amp;"-"&amp;TEXT(MONTH(KMART_DATA[[#This Row],[Date]]),"00")</f>
        <v>2025-10</v>
      </c>
      <c r="D4012" s="3" t="s">
        <v>45</v>
      </c>
      <c r="E4012" s="3" t="s">
        <v>185</v>
      </c>
      <c r="F4012" s="3" t="s">
        <v>12</v>
      </c>
      <c r="G40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12" s="3" t="s">
        <v>186</v>
      </c>
      <c r="I4012" s="3" t="s">
        <v>31</v>
      </c>
      <c r="J4012" s="3" t="s">
        <v>162</v>
      </c>
      <c r="K4012" s="3" t="s">
        <v>38</v>
      </c>
      <c r="L4012" s="3" t="s">
        <v>39</v>
      </c>
      <c r="M4012" s="4">
        <v>29.95</v>
      </c>
    </row>
    <row r="4013">
      <c r="A4013" s="2">
        <v>45946</v>
      </c>
      <c r="B40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3" s="3" t="str">
        <f>YEAR(KMART_DATA[[#This Row],[Date]])&amp;"-"&amp;TEXT(MONTH(KMART_DATA[[#This Row],[Date]]),"00")</f>
        <v>2025-10</v>
      </c>
      <c r="D4013" s="3" t="s">
        <v>28</v>
      </c>
      <c r="E4013" s="3" t="s">
        <v>254</v>
      </c>
      <c r="F4013" s="3" t="s">
        <v>13</v>
      </c>
      <c r="G40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013" s="3" t="s">
        <v>255</v>
      </c>
      <c r="I4013" s="3" t="s">
        <v>31</v>
      </c>
      <c r="J4013" s="3" t="s">
        <v>227</v>
      </c>
      <c r="K4013" s="3" t="s">
        <v>123</v>
      </c>
      <c r="L4013" s="3" t="s">
        <v>124</v>
      </c>
      <c r="M4013" s="4">
        <v>164.52</v>
      </c>
    </row>
    <row r="4014">
      <c r="A4014" s="2">
        <v>45946</v>
      </c>
      <c r="B40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4" s="3" t="str">
        <f>YEAR(KMART_DATA[[#This Row],[Date]])&amp;"-"&amp;TEXT(MONTH(KMART_DATA[[#This Row],[Date]]),"00")</f>
        <v>2025-10</v>
      </c>
      <c r="D4014" s="3" t="s">
        <v>28</v>
      </c>
      <c r="E4014" s="3" t="s">
        <v>183</v>
      </c>
      <c r="F4014" s="3" t="s">
        <v>9</v>
      </c>
      <c r="G40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14" s="3" t="s">
        <v>184</v>
      </c>
      <c r="I4014" s="3" t="s">
        <v>31</v>
      </c>
      <c r="J4014" s="3" t="s">
        <v>70</v>
      </c>
      <c r="K4014" s="3" t="s">
        <v>123</v>
      </c>
      <c r="L4014" s="3" t="s">
        <v>124</v>
      </c>
      <c r="M4014" s="4">
        <v>769.59</v>
      </c>
    </row>
    <row r="4015">
      <c r="A4015" s="2">
        <v>45946</v>
      </c>
      <c r="B40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5" s="3" t="str">
        <f>YEAR(KMART_DATA[[#This Row],[Date]])&amp;"-"&amp;TEXT(MONTH(KMART_DATA[[#This Row],[Date]]),"00")</f>
        <v>2025-10</v>
      </c>
      <c r="D4015" s="3" t="s">
        <v>28</v>
      </c>
      <c r="E4015" s="3" t="s">
        <v>62</v>
      </c>
      <c r="F4015" s="3" t="s">
        <v>12</v>
      </c>
      <c r="G40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15" s="3" t="s">
        <v>63</v>
      </c>
      <c r="I4015" s="3" t="s">
        <v>31</v>
      </c>
      <c r="J4015" s="3" t="s">
        <v>50</v>
      </c>
      <c r="K4015" s="3" t="s">
        <v>71</v>
      </c>
      <c r="L4015" s="3" t="s">
        <v>72</v>
      </c>
      <c r="M4015" s="4">
        <v>3474.51</v>
      </c>
    </row>
    <row r="4016">
      <c r="A4016" s="2">
        <v>45946</v>
      </c>
      <c r="B40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6" s="3" t="str">
        <f>YEAR(KMART_DATA[[#This Row],[Date]])&amp;"-"&amp;TEXT(MONTH(KMART_DATA[[#This Row],[Date]]),"00")</f>
        <v>2025-10</v>
      </c>
      <c r="D4016" s="3" t="s">
        <v>45</v>
      </c>
      <c r="E4016" s="3" t="s">
        <v>129</v>
      </c>
      <c r="F4016" s="3" t="s">
        <v>10</v>
      </c>
      <c r="G40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16" s="3" t="s">
        <v>130</v>
      </c>
      <c r="I4016" s="3" t="s">
        <v>31</v>
      </c>
      <c r="J4016" s="3" t="s">
        <v>120</v>
      </c>
      <c r="K4016" s="3" t="s">
        <v>57</v>
      </c>
      <c r="L4016" s="3" t="s">
        <v>58</v>
      </c>
      <c r="M4016" s="4">
        <v>5433.69</v>
      </c>
    </row>
    <row r="4017">
      <c r="A4017" s="2">
        <v>45947</v>
      </c>
      <c r="B40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7" s="3" t="str">
        <f>YEAR(KMART_DATA[[#This Row],[Date]])&amp;"-"&amp;TEXT(MONTH(KMART_DATA[[#This Row],[Date]]),"00")</f>
        <v>2025-10</v>
      </c>
      <c r="D4017" s="3" t="s">
        <v>28</v>
      </c>
      <c r="E4017" s="3" t="s">
        <v>221</v>
      </c>
      <c r="F4017" s="3" t="s">
        <v>11</v>
      </c>
      <c r="G40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17" s="3" t="s">
        <v>222</v>
      </c>
      <c r="I4017" s="3" t="s">
        <v>31</v>
      </c>
      <c r="J4017" s="3" t="s">
        <v>56</v>
      </c>
      <c r="K4017" s="3" t="s">
        <v>123</v>
      </c>
      <c r="L4017" s="3" t="s">
        <v>124</v>
      </c>
      <c r="M4017" s="4">
        <v>2.67</v>
      </c>
    </row>
    <row r="4018">
      <c r="A4018" s="2">
        <v>45947</v>
      </c>
      <c r="B40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8" s="3" t="str">
        <f>YEAR(KMART_DATA[[#This Row],[Date]])&amp;"-"&amp;TEXT(MONTH(KMART_DATA[[#This Row],[Date]]),"00")</f>
        <v>2025-10</v>
      </c>
      <c r="D4018" s="3" t="s">
        <v>45</v>
      </c>
      <c r="E4018" s="3" t="s">
        <v>64</v>
      </c>
      <c r="F4018" s="3" t="s">
        <v>11</v>
      </c>
      <c r="G40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18" s="3" t="s">
        <v>65</v>
      </c>
      <c r="I4018" s="3" t="s">
        <v>31</v>
      </c>
      <c r="J4018" s="3" t="s">
        <v>61</v>
      </c>
      <c r="K4018" s="3" t="s">
        <v>95</v>
      </c>
      <c r="L4018" s="3" t="s">
        <v>96</v>
      </c>
      <c r="M4018" s="4">
        <v>7.76</v>
      </c>
    </row>
    <row r="4019">
      <c r="A4019" s="2">
        <v>45947</v>
      </c>
      <c r="B40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19" s="3" t="str">
        <f>YEAR(KMART_DATA[[#This Row],[Date]])&amp;"-"&amp;TEXT(MONTH(KMART_DATA[[#This Row],[Date]]),"00")</f>
        <v>2025-10</v>
      </c>
      <c r="D4019" s="3" t="s">
        <v>45</v>
      </c>
      <c r="E4019" s="3" t="s">
        <v>73</v>
      </c>
      <c r="F4019" s="3" t="s">
        <v>9</v>
      </c>
      <c r="G40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19" s="3" t="s">
        <v>74</v>
      </c>
      <c r="I4019" s="3" t="s">
        <v>31</v>
      </c>
      <c r="J4019" s="3" t="s">
        <v>75</v>
      </c>
      <c r="K4019" s="3" t="s">
        <v>95</v>
      </c>
      <c r="L4019" s="3" t="s">
        <v>96</v>
      </c>
      <c r="M4019" s="4">
        <v>26.95</v>
      </c>
    </row>
    <row r="4020">
      <c r="A4020" s="2">
        <v>45947</v>
      </c>
      <c r="B40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0" s="3" t="str">
        <f>YEAR(KMART_DATA[[#This Row],[Date]])&amp;"-"&amp;TEXT(MONTH(KMART_DATA[[#This Row],[Date]]),"00")</f>
        <v>2025-10</v>
      </c>
      <c r="D4020" s="3" t="s">
        <v>28</v>
      </c>
      <c r="E4020" s="3" t="s">
        <v>163</v>
      </c>
      <c r="F4020" s="3" t="s">
        <v>9</v>
      </c>
      <c r="G40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20" s="3" t="s">
        <v>164</v>
      </c>
      <c r="I4020" s="3" t="s">
        <v>31</v>
      </c>
      <c r="J4020" s="3" t="s">
        <v>81</v>
      </c>
      <c r="K4020" s="3" t="s">
        <v>33</v>
      </c>
      <c r="L4020" s="3" t="s">
        <v>34</v>
      </c>
      <c r="M4020" s="4">
        <v>38.0</v>
      </c>
    </row>
    <row r="4021">
      <c r="A4021" s="2">
        <v>45947</v>
      </c>
      <c r="B40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1" s="3" t="str">
        <f>YEAR(KMART_DATA[[#This Row],[Date]])&amp;"-"&amp;TEXT(MONTH(KMART_DATA[[#This Row],[Date]]),"00")</f>
        <v>2025-10</v>
      </c>
      <c r="D4021" s="3" t="s">
        <v>28</v>
      </c>
      <c r="E4021" s="3" t="s">
        <v>82</v>
      </c>
      <c r="F4021" s="3" t="s">
        <v>11</v>
      </c>
      <c r="G40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21" s="3" t="s">
        <v>83</v>
      </c>
      <c r="I4021" s="3" t="s">
        <v>31</v>
      </c>
      <c r="J4021" s="3" t="s">
        <v>84</v>
      </c>
      <c r="K4021" s="3" t="s">
        <v>123</v>
      </c>
      <c r="L4021" s="3" t="s">
        <v>124</v>
      </c>
      <c r="M4021" s="4">
        <v>882.84</v>
      </c>
    </row>
    <row r="4022">
      <c r="A4022" s="2">
        <v>45947</v>
      </c>
      <c r="B40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2" s="3" t="str">
        <f>YEAR(KMART_DATA[[#This Row],[Date]])&amp;"-"&amp;TEXT(MONTH(KMART_DATA[[#This Row],[Date]]),"00")</f>
        <v>2025-10</v>
      </c>
      <c r="D4022" s="3" t="s">
        <v>45</v>
      </c>
      <c r="E4022" s="3" t="s">
        <v>256</v>
      </c>
      <c r="F4022" s="3" t="s">
        <v>9</v>
      </c>
      <c r="G40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22" s="3" t="s">
        <v>257</v>
      </c>
      <c r="I4022" s="3" t="s">
        <v>31</v>
      </c>
      <c r="J4022" s="3" t="s">
        <v>70</v>
      </c>
      <c r="K4022" s="3" t="s">
        <v>95</v>
      </c>
      <c r="L4022" s="3" t="s">
        <v>96</v>
      </c>
      <c r="M4022" s="4">
        <v>7792.92</v>
      </c>
    </row>
    <row r="4023">
      <c r="A4023" s="2">
        <v>45948</v>
      </c>
      <c r="B40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3" s="3" t="str">
        <f>YEAR(KMART_DATA[[#This Row],[Date]])&amp;"-"&amp;TEXT(MONTH(KMART_DATA[[#This Row],[Date]]),"00")</f>
        <v>2025-10</v>
      </c>
      <c r="D4023" s="3" t="s">
        <v>28</v>
      </c>
      <c r="E4023" s="3" t="s">
        <v>29</v>
      </c>
      <c r="F4023" s="3" t="s">
        <v>11</v>
      </c>
      <c r="G40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23" s="3" t="s">
        <v>30</v>
      </c>
      <c r="I4023" s="3" t="s">
        <v>31</v>
      </c>
      <c r="J4023" s="3" t="s">
        <v>32</v>
      </c>
      <c r="K4023" s="3" t="s">
        <v>43</v>
      </c>
      <c r="L4023" s="3" t="s">
        <v>44</v>
      </c>
      <c r="M4023" s="4">
        <v>2.0</v>
      </c>
    </row>
    <row r="4024">
      <c r="A4024" s="2">
        <v>45948</v>
      </c>
      <c r="B40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4" s="3" t="str">
        <f>YEAR(KMART_DATA[[#This Row],[Date]])&amp;"-"&amp;TEXT(MONTH(KMART_DATA[[#This Row],[Date]]),"00")</f>
        <v>2025-10</v>
      </c>
      <c r="D4024" s="3" t="s">
        <v>28</v>
      </c>
      <c r="E4024" s="3" t="s">
        <v>262</v>
      </c>
      <c r="F4024" s="3" t="s">
        <v>10</v>
      </c>
      <c r="G40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24" s="3" t="s">
        <v>263</v>
      </c>
      <c r="I4024" s="3" t="s">
        <v>31</v>
      </c>
      <c r="J4024" s="3" t="s">
        <v>120</v>
      </c>
      <c r="K4024" s="3" t="s">
        <v>123</v>
      </c>
      <c r="L4024" s="3" t="s">
        <v>124</v>
      </c>
      <c r="M4024" s="4">
        <v>38.28</v>
      </c>
    </row>
    <row r="4025">
      <c r="A4025" s="2">
        <v>45948</v>
      </c>
      <c r="B40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5" s="3" t="str">
        <f>YEAR(KMART_DATA[[#This Row],[Date]])&amp;"-"&amp;TEXT(MONTH(KMART_DATA[[#This Row],[Date]]),"00")</f>
        <v>2025-10</v>
      </c>
      <c r="D4025" s="3" t="s">
        <v>45</v>
      </c>
      <c r="E4025" s="3" t="s">
        <v>118</v>
      </c>
      <c r="F4025" s="3" t="s">
        <v>10</v>
      </c>
      <c r="G40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25" s="3" t="s">
        <v>119</v>
      </c>
      <c r="I4025" s="3" t="s">
        <v>31</v>
      </c>
      <c r="J4025" s="3" t="s">
        <v>120</v>
      </c>
      <c r="K4025" s="3" t="s">
        <v>38</v>
      </c>
      <c r="L4025" s="3" t="s">
        <v>39</v>
      </c>
      <c r="M4025" s="4">
        <v>203.88</v>
      </c>
    </row>
    <row r="4026">
      <c r="A4026" s="2">
        <v>45948</v>
      </c>
      <c r="B40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6" s="3" t="str">
        <f>YEAR(KMART_DATA[[#This Row],[Date]])&amp;"-"&amp;TEXT(MONTH(KMART_DATA[[#This Row],[Date]]),"00")</f>
        <v>2025-10</v>
      </c>
      <c r="D4026" s="3" t="s">
        <v>28</v>
      </c>
      <c r="E4026" s="3" t="s">
        <v>173</v>
      </c>
      <c r="F4026" s="3" t="s">
        <v>11</v>
      </c>
      <c r="G40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26" s="3" t="s">
        <v>174</v>
      </c>
      <c r="I4026" s="3" t="s">
        <v>31</v>
      </c>
      <c r="J4026" s="3" t="s">
        <v>61</v>
      </c>
      <c r="K4026" s="3" t="s">
        <v>38</v>
      </c>
      <c r="L4026" s="3" t="s">
        <v>39</v>
      </c>
      <c r="M4026" s="4">
        <v>318.38</v>
      </c>
    </row>
    <row r="4027">
      <c r="A4027" s="2">
        <v>45948</v>
      </c>
      <c r="B40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7" s="3" t="str">
        <f>YEAR(KMART_DATA[[#This Row],[Date]])&amp;"-"&amp;TEXT(MONTH(KMART_DATA[[#This Row],[Date]]),"00")</f>
        <v>2025-10</v>
      </c>
      <c r="D4027" s="3" t="s">
        <v>45</v>
      </c>
      <c r="E4027" s="3" t="s">
        <v>54</v>
      </c>
      <c r="F4027" s="3" t="s">
        <v>11</v>
      </c>
      <c r="G40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27" s="3" t="s">
        <v>55</v>
      </c>
      <c r="I4027" s="3" t="s">
        <v>31</v>
      </c>
      <c r="J4027" s="3" t="s">
        <v>56</v>
      </c>
      <c r="K4027" s="3" t="s">
        <v>123</v>
      </c>
      <c r="L4027" s="3" t="s">
        <v>124</v>
      </c>
      <c r="M4027" s="4">
        <v>335.41</v>
      </c>
    </row>
    <row r="4028">
      <c r="A4028" s="2">
        <v>45948</v>
      </c>
      <c r="B40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8" s="3" t="str">
        <f>YEAR(KMART_DATA[[#This Row],[Date]])&amp;"-"&amp;TEXT(MONTH(KMART_DATA[[#This Row],[Date]]),"00")</f>
        <v>2025-10</v>
      </c>
      <c r="D4028" s="3" t="s">
        <v>28</v>
      </c>
      <c r="E4028" s="3" t="s">
        <v>105</v>
      </c>
      <c r="F4028" s="3" t="s">
        <v>9</v>
      </c>
      <c r="G40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28" s="3" t="s">
        <v>106</v>
      </c>
      <c r="I4028" s="3" t="s">
        <v>31</v>
      </c>
      <c r="J4028" s="3" t="s">
        <v>107</v>
      </c>
      <c r="K4028" s="3" t="s">
        <v>95</v>
      </c>
      <c r="L4028" s="3" t="s">
        <v>96</v>
      </c>
      <c r="M4028" s="4">
        <v>379.01</v>
      </c>
    </row>
    <row r="4029">
      <c r="A4029" s="2">
        <v>45948</v>
      </c>
      <c r="B40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29" s="3" t="str">
        <f>YEAR(KMART_DATA[[#This Row],[Date]])&amp;"-"&amp;TEXT(MONTH(KMART_DATA[[#This Row],[Date]]),"00")</f>
        <v>2025-10</v>
      </c>
      <c r="D4029" s="3" t="s">
        <v>45</v>
      </c>
      <c r="E4029" s="3" t="s">
        <v>118</v>
      </c>
      <c r="F4029" s="3" t="s">
        <v>10</v>
      </c>
      <c r="G40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29" s="3" t="s">
        <v>119</v>
      </c>
      <c r="I4029" s="3" t="s">
        <v>31</v>
      </c>
      <c r="J4029" s="3" t="s">
        <v>120</v>
      </c>
      <c r="K4029" s="3" t="s">
        <v>43</v>
      </c>
      <c r="L4029" s="3" t="s">
        <v>44</v>
      </c>
      <c r="M4029" s="4">
        <v>408.49</v>
      </c>
    </row>
    <row r="4030">
      <c r="A4030" s="2">
        <v>45948</v>
      </c>
      <c r="B40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0" s="3" t="str">
        <f>YEAR(KMART_DATA[[#This Row],[Date]])&amp;"-"&amp;TEXT(MONTH(KMART_DATA[[#This Row],[Date]]),"00")</f>
        <v>2025-10</v>
      </c>
      <c r="D4030" s="3" t="s">
        <v>28</v>
      </c>
      <c r="E4030" s="3" t="s">
        <v>79</v>
      </c>
      <c r="F4030" s="3" t="s">
        <v>9</v>
      </c>
      <c r="G40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30" s="3" t="s">
        <v>80</v>
      </c>
      <c r="I4030" s="3" t="s">
        <v>31</v>
      </c>
      <c r="J4030" s="3" t="s">
        <v>81</v>
      </c>
      <c r="K4030" s="3" t="s">
        <v>57</v>
      </c>
      <c r="L4030" s="3" t="s">
        <v>58</v>
      </c>
      <c r="M4030" s="4">
        <v>571.76</v>
      </c>
    </row>
    <row r="4031">
      <c r="A4031" s="2">
        <v>45948</v>
      </c>
      <c r="B40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1" s="3" t="str">
        <f>YEAR(KMART_DATA[[#This Row],[Date]])&amp;"-"&amp;TEXT(MONTH(KMART_DATA[[#This Row],[Date]]),"00")</f>
        <v>2025-10</v>
      </c>
      <c r="D4031" s="3" t="s">
        <v>28</v>
      </c>
      <c r="E4031" s="3" t="s">
        <v>252</v>
      </c>
      <c r="F4031" s="3" t="s">
        <v>10</v>
      </c>
      <c r="G40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31" s="3" t="s">
        <v>253</v>
      </c>
      <c r="I4031" s="3" t="s">
        <v>31</v>
      </c>
      <c r="J4031" s="3" t="s">
        <v>94</v>
      </c>
      <c r="K4031" s="3" t="s">
        <v>71</v>
      </c>
      <c r="L4031" s="3" t="s">
        <v>72</v>
      </c>
      <c r="M4031" s="4">
        <v>2385.37</v>
      </c>
    </row>
    <row r="4032">
      <c r="A4032" s="2">
        <v>45949</v>
      </c>
      <c r="B40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2" s="3" t="str">
        <f>YEAR(KMART_DATA[[#This Row],[Date]])&amp;"-"&amp;TEXT(MONTH(KMART_DATA[[#This Row],[Date]]),"00")</f>
        <v>2025-10</v>
      </c>
      <c r="D4032" s="3" t="s">
        <v>28</v>
      </c>
      <c r="E4032" s="3" t="s">
        <v>125</v>
      </c>
      <c r="F4032" s="3" t="s">
        <v>10</v>
      </c>
      <c r="G40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32" s="3" t="s">
        <v>126</v>
      </c>
      <c r="I4032" s="3" t="s">
        <v>31</v>
      </c>
      <c r="J4032" s="3" t="s">
        <v>94</v>
      </c>
      <c r="K4032" s="3" t="s">
        <v>43</v>
      </c>
      <c r="L4032" s="3" t="s">
        <v>44</v>
      </c>
      <c r="M4032" s="4">
        <v>3.0</v>
      </c>
    </row>
    <row r="4033">
      <c r="A4033" s="2">
        <v>45949</v>
      </c>
      <c r="B40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3" s="3" t="str">
        <f>YEAR(KMART_DATA[[#This Row],[Date]])&amp;"-"&amp;TEXT(MONTH(KMART_DATA[[#This Row],[Date]]),"00")</f>
        <v>2025-10</v>
      </c>
      <c r="D4033" s="3" t="s">
        <v>28</v>
      </c>
      <c r="E4033" s="3" t="s">
        <v>51</v>
      </c>
      <c r="F4033" s="3" t="s">
        <v>15</v>
      </c>
      <c r="G40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033" s="3" t="s">
        <v>52</v>
      </c>
      <c r="I4033" s="3" t="s">
        <v>31</v>
      </c>
      <c r="J4033" s="3" t="s">
        <v>53</v>
      </c>
      <c r="K4033" s="3" t="s">
        <v>123</v>
      </c>
      <c r="L4033" s="3" t="s">
        <v>124</v>
      </c>
      <c r="M4033" s="4">
        <v>29.98</v>
      </c>
    </row>
    <row r="4034">
      <c r="A4034" s="2">
        <v>45949</v>
      </c>
      <c r="B40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4" s="3" t="str">
        <f>YEAR(KMART_DATA[[#This Row],[Date]])&amp;"-"&amp;TEXT(MONTH(KMART_DATA[[#This Row],[Date]]),"00")</f>
        <v>2025-10</v>
      </c>
      <c r="D4034" s="3" t="s">
        <v>28</v>
      </c>
      <c r="E4034" s="3" t="s">
        <v>165</v>
      </c>
      <c r="F4034" s="3" t="s">
        <v>9</v>
      </c>
      <c r="G40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34" s="3" t="s">
        <v>166</v>
      </c>
      <c r="I4034" s="3" t="s">
        <v>31</v>
      </c>
      <c r="J4034" s="3" t="s">
        <v>99</v>
      </c>
      <c r="K4034" s="3" t="s">
        <v>33</v>
      </c>
      <c r="L4034" s="3" t="s">
        <v>34</v>
      </c>
      <c r="M4034" s="4">
        <v>129.68</v>
      </c>
    </row>
    <row r="4035">
      <c r="A4035" s="2">
        <v>45949</v>
      </c>
      <c r="B40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5" s="3" t="str">
        <f>YEAR(KMART_DATA[[#This Row],[Date]])&amp;"-"&amp;TEXT(MONTH(KMART_DATA[[#This Row],[Date]]),"00")</f>
        <v>2025-10</v>
      </c>
      <c r="D4035" s="3" t="s">
        <v>45</v>
      </c>
      <c r="E4035" s="3" t="s">
        <v>228</v>
      </c>
      <c r="F4035" s="3" t="s">
        <v>11</v>
      </c>
      <c r="G40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35" s="3" t="s">
        <v>229</v>
      </c>
      <c r="I4035" s="3" t="s">
        <v>31</v>
      </c>
      <c r="J4035" s="3" t="s">
        <v>32</v>
      </c>
      <c r="K4035" s="3" t="s">
        <v>33</v>
      </c>
      <c r="L4035" s="3" t="s">
        <v>34</v>
      </c>
      <c r="M4035" s="4">
        <v>303.34</v>
      </c>
    </row>
    <row r="4036">
      <c r="A4036" s="2">
        <v>45949</v>
      </c>
      <c r="B40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6" s="3" t="str">
        <f>YEAR(KMART_DATA[[#This Row],[Date]])&amp;"-"&amp;TEXT(MONTH(KMART_DATA[[#This Row],[Date]]),"00")</f>
        <v>2025-10</v>
      </c>
      <c r="D4036" s="3" t="s">
        <v>28</v>
      </c>
      <c r="E4036" s="3" t="s">
        <v>73</v>
      </c>
      <c r="F4036" s="3" t="s">
        <v>9</v>
      </c>
      <c r="G40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36" s="3" t="s">
        <v>74</v>
      </c>
      <c r="I4036" s="3" t="s">
        <v>31</v>
      </c>
      <c r="J4036" s="3" t="s">
        <v>75</v>
      </c>
      <c r="K4036" s="3" t="s">
        <v>95</v>
      </c>
      <c r="L4036" s="3" t="s">
        <v>96</v>
      </c>
      <c r="M4036" s="4">
        <v>568.37</v>
      </c>
    </row>
    <row r="4037">
      <c r="A4037" s="2">
        <v>45949</v>
      </c>
      <c r="B40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7" s="3" t="str">
        <f>YEAR(KMART_DATA[[#This Row],[Date]])&amp;"-"&amp;TEXT(MONTH(KMART_DATA[[#This Row],[Date]]),"00")</f>
        <v>2025-10</v>
      </c>
      <c r="D4037" s="3" t="s">
        <v>28</v>
      </c>
      <c r="E4037" s="3" t="s">
        <v>51</v>
      </c>
      <c r="F4037" s="3" t="s">
        <v>15</v>
      </c>
      <c r="G40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037" s="3" t="s">
        <v>52</v>
      </c>
      <c r="I4037" s="3" t="s">
        <v>31</v>
      </c>
      <c r="J4037" s="3" t="s">
        <v>53</v>
      </c>
      <c r="K4037" s="3" t="s">
        <v>123</v>
      </c>
      <c r="L4037" s="3" t="s">
        <v>124</v>
      </c>
      <c r="M4037" s="4">
        <v>819.13</v>
      </c>
    </row>
    <row r="4038">
      <c r="A4038" s="2">
        <v>45949</v>
      </c>
      <c r="B40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8" s="3" t="str">
        <f>YEAR(KMART_DATA[[#This Row],[Date]])&amp;"-"&amp;TEXT(MONTH(KMART_DATA[[#This Row],[Date]]),"00")</f>
        <v>2025-10</v>
      </c>
      <c r="D4038" s="3" t="s">
        <v>28</v>
      </c>
      <c r="E4038" s="3" t="s">
        <v>139</v>
      </c>
      <c r="F4038" s="3" t="s">
        <v>10</v>
      </c>
      <c r="G40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38" s="3" t="s">
        <v>140</v>
      </c>
      <c r="I4038" s="3" t="s">
        <v>31</v>
      </c>
      <c r="J4038" s="3" t="s">
        <v>89</v>
      </c>
      <c r="K4038" s="3" t="s">
        <v>46</v>
      </c>
      <c r="L4038" s="3" t="s">
        <v>47</v>
      </c>
      <c r="M4038" s="4">
        <v>1409.15</v>
      </c>
    </row>
    <row r="4039">
      <c r="A4039" s="2">
        <v>45949</v>
      </c>
      <c r="B40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39" s="3" t="str">
        <f>YEAR(KMART_DATA[[#This Row],[Date]])&amp;"-"&amp;TEXT(MONTH(KMART_DATA[[#This Row],[Date]]),"00")</f>
        <v>2025-10</v>
      </c>
      <c r="D4039" s="3" t="s">
        <v>28</v>
      </c>
      <c r="E4039" s="3" t="s">
        <v>108</v>
      </c>
      <c r="F4039" s="3" t="s">
        <v>9</v>
      </c>
      <c r="G40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39" s="3" t="s">
        <v>109</v>
      </c>
      <c r="I4039" s="3" t="s">
        <v>31</v>
      </c>
      <c r="J4039" s="3" t="s">
        <v>75</v>
      </c>
      <c r="K4039" s="3" t="s">
        <v>123</v>
      </c>
      <c r="L4039" s="3" t="s">
        <v>124</v>
      </c>
      <c r="M4039" s="4">
        <v>3399.23</v>
      </c>
    </row>
    <row r="4040">
      <c r="A4040" s="2">
        <v>45949</v>
      </c>
      <c r="B40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0" s="3" t="str">
        <f>YEAR(KMART_DATA[[#This Row],[Date]])&amp;"-"&amp;TEXT(MONTH(KMART_DATA[[#This Row],[Date]]),"00")</f>
        <v>2025-10</v>
      </c>
      <c r="D4040" s="3" t="s">
        <v>28</v>
      </c>
      <c r="E4040" s="3" t="s">
        <v>203</v>
      </c>
      <c r="F4040" s="3" t="s">
        <v>10</v>
      </c>
      <c r="G40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40" s="3" t="s">
        <v>204</v>
      </c>
      <c r="I4040" s="3" t="s">
        <v>31</v>
      </c>
      <c r="J4040" s="3" t="s">
        <v>89</v>
      </c>
      <c r="K4040" s="3" t="s">
        <v>123</v>
      </c>
      <c r="L4040" s="3" t="s">
        <v>124</v>
      </c>
      <c r="M4040" s="4">
        <v>5209.54</v>
      </c>
    </row>
    <row r="4041">
      <c r="A4041" s="2">
        <v>45950</v>
      </c>
      <c r="B40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1" s="3" t="str">
        <f>YEAR(KMART_DATA[[#This Row],[Date]])&amp;"-"&amp;TEXT(MONTH(KMART_DATA[[#This Row],[Date]]),"00")</f>
        <v>2025-10</v>
      </c>
      <c r="D4041" s="3" t="s">
        <v>45</v>
      </c>
      <c r="E4041" s="3" t="s">
        <v>221</v>
      </c>
      <c r="F4041" s="3" t="s">
        <v>11</v>
      </c>
      <c r="G40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41" s="3" t="s">
        <v>222</v>
      </c>
      <c r="I4041" s="3" t="s">
        <v>31</v>
      </c>
      <c r="J4041" s="3" t="s">
        <v>56</v>
      </c>
      <c r="K4041" s="3" t="s">
        <v>95</v>
      </c>
      <c r="L4041" s="3" t="s">
        <v>96</v>
      </c>
      <c r="M4041" s="4">
        <v>101.55</v>
      </c>
    </row>
    <row r="4042">
      <c r="A4042" s="2">
        <v>45950</v>
      </c>
      <c r="B40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2" s="3" t="str">
        <f>YEAR(KMART_DATA[[#This Row],[Date]])&amp;"-"&amp;TEXT(MONTH(KMART_DATA[[#This Row],[Date]]),"00")</f>
        <v>2025-10</v>
      </c>
      <c r="D4042" s="3" t="s">
        <v>45</v>
      </c>
      <c r="E4042" s="3" t="s">
        <v>215</v>
      </c>
      <c r="F4042" s="3" t="s">
        <v>15</v>
      </c>
      <c r="G40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042" s="3" t="s">
        <v>216</v>
      </c>
      <c r="I4042" s="3" t="s">
        <v>31</v>
      </c>
      <c r="J4042" s="3" t="s">
        <v>53</v>
      </c>
      <c r="K4042" s="3" t="s">
        <v>112</v>
      </c>
      <c r="L4042" s="3" t="s">
        <v>113</v>
      </c>
      <c r="M4042" s="4">
        <v>118.75</v>
      </c>
    </row>
    <row r="4043">
      <c r="A4043" s="2">
        <v>45950</v>
      </c>
      <c r="B40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3" s="3" t="str">
        <f>YEAR(KMART_DATA[[#This Row],[Date]])&amp;"-"&amp;TEXT(MONTH(KMART_DATA[[#This Row],[Date]]),"00")</f>
        <v>2025-10</v>
      </c>
      <c r="D4043" s="3" t="s">
        <v>28</v>
      </c>
      <c r="E4043" s="3" t="s">
        <v>87</v>
      </c>
      <c r="F4043" s="3" t="s">
        <v>10</v>
      </c>
      <c r="G40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43" s="3" t="s">
        <v>88</v>
      </c>
      <c r="I4043" s="3" t="s">
        <v>31</v>
      </c>
      <c r="J4043" s="3" t="s">
        <v>89</v>
      </c>
      <c r="K4043" s="3" t="s">
        <v>43</v>
      </c>
      <c r="L4043" s="3" t="s">
        <v>44</v>
      </c>
      <c r="M4043" s="4">
        <v>194.64</v>
      </c>
    </row>
    <row r="4044">
      <c r="A4044" s="2">
        <v>45950</v>
      </c>
      <c r="B40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4" s="3" t="str">
        <f>YEAR(KMART_DATA[[#This Row],[Date]])&amp;"-"&amp;TEXT(MONTH(KMART_DATA[[#This Row],[Date]]),"00")</f>
        <v>2025-10</v>
      </c>
      <c r="D4044" s="3" t="s">
        <v>28</v>
      </c>
      <c r="E4044" s="3" t="s">
        <v>152</v>
      </c>
      <c r="F4044" s="3" t="s">
        <v>11</v>
      </c>
      <c r="G40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44" s="3" t="s">
        <v>153</v>
      </c>
      <c r="I4044" s="3" t="s">
        <v>31</v>
      </c>
      <c r="J4044" s="3" t="s">
        <v>61</v>
      </c>
      <c r="K4044" s="3" t="s">
        <v>57</v>
      </c>
      <c r="L4044" s="3" t="s">
        <v>58</v>
      </c>
      <c r="M4044" s="4">
        <v>724.75</v>
      </c>
    </row>
    <row r="4045">
      <c r="A4045" s="2">
        <v>45950</v>
      </c>
      <c r="B40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5" s="3" t="str">
        <f>YEAR(KMART_DATA[[#This Row],[Date]])&amp;"-"&amp;TEXT(MONTH(KMART_DATA[[#This Row],[Date]]),"00")</f>
        <v>2025-10</v>
      </c>
      <c r="D4045" s="3" t="s">
        <v>28</v>
      </c>
      <c r="E4045" s="3" t="s">
        <v>260</v>
      </c>
      <c r="F4045" s="3" t="s">
        <v>10</v>
      </c>
      <c r="G40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45" s="3" t="s">
        <v>261</v>
      </c>
      <c r="I4045" s="3" t="s">
        <v>31</v>
      </c>
      <c r="J4045" s="3" t="s">
        <v>89</v>
      </c>
      <c r="K4045" s="3" t="s">
        <v>57</v>
      </c>
      <c r="L4045" s="3" t="s">
        <v>58</v>
      </c>
      <c r="M4045" s="4">
        <v>1335.41</v>
      </c>
    </row>
    <row r="4046">
      <c r="A4046" s="2">
        <v>45950</v>
      </c>
      <c r="B40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6" s="3" t="str">
        <f>YEAR(KMART_DATA[[#This Row],[Date]])&amp;"-"&amp;TEXT(MONTH(KMART_DATA[[#This Row],[Date]]),"00")</f>
        <v>2025-10</v>
      </c>
      <c r="D4046" s="3" t="s">
        <v>28</v>
      </c>
      <c r="E4046" s="3" t="s">
        <v>156</v>
      </c>
      <c r="F4046" s="3" t="s">
        <v>9</v>
      </c>
      <c r="G40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46" s="3" t="s">
        <v>157</v>
      </c>
      <c r="I4046" s="3" t="s">
        <v>31</v>
      </c>
      <c r="J4046" s="3" t="s">
        <v>75</v>
      </c>
      <c r="K4046" s="3" t="s">
        <v>43</v>
      </c>
      <c r="L4046" s="3" t="s">
        <v>44</v>
      </c>
      <c r="M4046" s="4">
        <v>1413.33</v>
      </c>
    </row>
    <row r="4047">
      <c r="A4047" s="2">
        <v>45951</v>
      </c>
      <c r="B40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7" s="3" t="str">
        <f>YEAR(KMART_DATA[[#This Row],[Date]])&amp;"-"&amp;TEXT(MONTH(KMART_DATA[[#This Row],[Date]]),"00")</f>
        <v>2025-10</v>
      </c>
      <c r="D4047" s="3" t="s">
        <v>28</v>
      </c>
      <c r="E4047" s="3" t="s">
        <v>260</v>
      </c>
      <c r="F4047" s="3" t="s">
        <v>10</v>
      </c>
      <c r="G40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47" s="3" t="s">
        <v>261</v>
      </c>
      <c r="I4047" s="3" t="s">
        <v>31</v>
      </c>
      <c r="J4047" s="3" t="s">
        <v>89</v>
      </c>
      <c r="K4047" s="3" t="s">
        <v>71</v>
      </c>
      <c r="L4047" s="3" t="s">
        <v>72</v>
      </c>
      <c r="M4047" s="4">
        <v>2.0</v>
      </c>
    </row>
    <row r="4048">
      <c r="A4048" s="2">
        <v>45951</v>
      </c>
      <c r="B40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8" s="3" t="str">
        <f>YEAR(KMART_DATA[[#This Row],[Date]])&amp;"-"&amp;TEXT(MONTH(KMART_DATA[[#This Row],[Date]]),"00")</f>
        <v>2025-10</v>
      </c>
      <c r="D4048" s="3" t="s">
        <v>45</v>
      </c>
      <c r="E4048" s="3" t="s">
        <v>246</v>
      </c>
      <c r="F4048" s="3" t="s">
        <v>10</v>
      </c>
      <c r="G40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48" s="3" t="s">
        <v>247</v>
      </c>
      <c r="I4048" s="3" t="s">
        <v>31</v>
      </c>
      <c r="J4048" s="3" t="s">
        <v>37</v>
      </c>
      <c r="K4048" s="3" t="s">
        <v>123</v>
      </c>
      <c r="L4048" s="3" t="s">
        <v>124</v>
      </c>
      <c r="M4048" s="4">
        <v>49.25</v>
      </c>
    </row>
    <row r="4049">
      <c r="A4049" s="2">
        <v>45951</v>
      </c>
      <c r="B40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49" s="3" t="str">
        <f>YEAR(KMART_DATA[[#This Row],[Date]])&amp;"-"&amp;TEXT(MONTH(KMART_DATA[[#This Row],[Date]]),"00")</f>
        <v>2025-10</v>
      </c>
      <c r="D4049" s="3" t="s">
        <v>28</v>
      </c>
      <c r="E4049" s="3" t="s">
        <v>193</v>
      </c>
      <c r="F4049" s="3" t="s">
        <v>9</v>
      </c>
      <c r="G40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49" s="3" t="s">
        <v>194</v>
      </c>
      <c r="I4049" s="3" t="s">
        <v>31</v>
      </c>
      <c r="J4049" s="3" t="s">
        <v>99</v>
      </c>
      <c r="K4049" s="3" t="s">
        <v>43</v>
      </c>
      <c r="L4049" s="3" t="s">
        <v>44</v>
      </c>
      <c r="M4049" s="4">
        <v>253.71</v>
      </c>
    </row>
    <row r="4050">
      <c r="A4050" s="2">
        <v>45951</v>
      </c>
      <c r="B40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0" s="3" t="str">
        <f>YEAR(KMART_DATA[[#This Row],[Date]])&amp;"-"&amp;TEXT(MONTH(KMART_DATA[[#This Row],[Date]]),"00")</f>
        <v>2025-10</v>
      </c>
      <c r="D4050" s="3" t="s">
        <v>28</v>
      </c>
      <c r="E4050" s="3" t="s">
        <v>87</v>
      </c>
      <c r="F4050" s="3" t="s">
        <v>10</v>
      </c>
      <c r="G40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50" s="3" t="s">
        <v>88</v>
      </c>
      <c r="I4050" s="3" t="s">
        <v>31</v>
      </c>
      <c r="J4050" s="3" t="s">
        <v>89</v>
      </c>
      <c r="K4050" s="3" t="s">
        <v>123</v>
      </c>
      <c r="L4050" s="3" t="s">
        <v>124</v>
      </c>
      <c r="M4050" s="4">
        <v>515.17</v>
      </c>
    </row>
    <row r="4051">
      <c r="A4051" s="2">
        <v>45951</v>
      </c>
      <c r="B40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1" s="3" t="str">
        <f>YEAR(KMART_DATA[[#This Row],[Date]])&amp;"-"&amp;TEXT(MONTH(KMART_DATA[[#This Row],[Date]]),"00")</f>
        <v>2025-10</v>
      </c>
      <c r="D4051" s="3" t="s">
        <v>28</v>
      </c>
      <c r="E4051" s="3" t="s">
        <v>105</v>
      </c>
      <c r="F4051" s="3" t="s">
        <v>9</v>
      </c>
      <c r="G40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51" s="3" t="s">
        <v>106</v>
      </c>
      <c r="I4051" s="3" t="s">
        <v>31</v>
      </c>
      <c r="J4051" s="3" t="s">
        <v>107</v>
      </c>
      <c r="K4051" s="3" t="s">
        <v>95</v>
      </c>
      <c r="L4051" s="3" t="s">
        <v>96</v>
      </c>
      <c r="M4051" s="4">
        <v>6304.05</v>
      </c>
    </row>
    <row r="4052">
      <c r="A4052" s="2">
        <v>45952</v>
      </c>
      <c r="B40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2" s="3" t="str">
        <f>YEAR(KMART_DATA[[#This Row],[Date]])&amp;"-"&amp;TEXT(MONTH(KMART_DATA[[#This Row],[Date]]),"00")</f>
        <v>2025-10</v>
      </c>
      <c r="D4052" s="3" t="s">
        <v>45</v>
      </c>
      <c r="E4052" s="3" t="s">
        <v>97</v>
      </c>
      <c r="F4052" s="3" t="s">
        <v>9</v>
      </c>
      <c r="G40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52" s="3" t="s">
        <v>98</v>
      </c>
      <c r="I4052" s="3" t="s">
        <v>31</v>
      </c>
      <c r="J4052" s="3" t="s">
        <v>99</v>
      </c>
      <c r="K4052" s="3" t="s">
        <v>123</v>
      </c>
      <c r="L4052" s="3" t="s">
        <v>124</v>
      </c>
      <c r="M4052" s="4">
        <v>11.92</v>
      </c>
    </row>
    <row r="4053">
      <c r="A4053" s="2">
        <v>45952</v>
      </c>
      <c r="B40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3" s="3" t="str">
        <f>YEAR(KMART_DATA[[#This Row],[Date]])&amp;"-"&amp;TEXT(MONTH(KMART_DATA[[#This Row],[Date]]),"00")</f>
        <v>2025-10</v>
      </c>
      <c r="D4053" s="3" t="s">
        <v>45</v>
      </c>
      <c r="E4053" s="3" t="s">
        <v>185</v>
      </c>
      <c r="F4053" s="3" t="s">
        <v>12</v>
      </c>
      <c r="G40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53" s="3" t="s">
        <v>186</v>
      </c>
      <c r="I4053" s="3" t="s">
        <v>31</v>
      </c>
      <c r="J4053" s="3" t="s">
        <v>162</v>
      </c>
      <c r="K4053" s="3" t="s">
        <v>71</v>
      </c>
      <c r="L4053" s="3" t="s">
        <v>72</v>
      </c>
      <c r="M4053" s="4">
        <v>58.96</v>
      </c>
    </row>
    <row r="4054">
      <c r="A4054" s="2">
        <v>45952</v>
      </c>
      <c r="B40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4" s="3" t="str">
        <f>YEAR(KMART_DATA[[#This Row],[Date]])&amp;"-"&amp;TEXT(MONTH(KMART_DATA[[#This Row],[Date]]),"00")</f>
        <v>2025-10</v>
      </c>
      <c r="D4054" s="3" t="s">
        <v>28</v>
      </c>
      <c r="E4054" s="3" t="s">
        <v>129</v>
      </c>
      <c r="F4054" s="3" t="s">
        <v>10</v>
      </c>
      <c r="G40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54" s="3" t="s">
        <v>130</v>
      </c>
      <c r="I4054" s="3" t="s">
        <v>31</v>
      </c>
      <c r="J4054" s="3" t="s">
        <v>120</v>
      </c>
      <c r="K4054" s="3" t="s">
        <v>123</v>
      </c>
      <c r="L4054" s="3" t="s">
        <v>124</v>
      </c>
      <c r="M4054" s="4">
        <v>82.17</v>
      </c>
    </row>
    <row r="4055">
      <c r="A4055" s="2">
        <v>45952</v>
      </c>
      <c r="B40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5" s="3" t="str">
        <f>YEAR(KMART_DATA[[#This Row],[Date]])&amp;"-"&amp;TEXT(MONTH(KMART_DATA[[#This Row],[Date]]),"00")</f>
        <v>2025-10</v>
      </c>
      <c r="D4055" s="3" t="s">
        <v>28</v>
      </c>
      <c r="E4055" s="3" t="s">
        <v>262</v>
      </c>
      <c r="F4055" s="3" t="s">
        <v>10</v>
      </c>
      <c r="G40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55" s="3" t="s">
        <v>263</v>
      </c>
      <c r="I4055" s="3" t="s">
        <v>31</v>
      </c>
      <c r="J4055" s="3" t="s">
        <v>120</v>
      </c>
      <c r="K4055" s="3" t="s">
        <v>57</v>
      </c>
      <c r="L4055" s="3" t="s">
        <v>58</v>
      </c>
      <c r="M4055" s="4">
        <v>172.26</v>
      </c>
    </row>
    <row r="4056">
      <c r="A4056" s="2">
        <v>45952</v>
      </c>
      <c r="B40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6" s="3" t="str">
        <f>YEAR(KMART_DATA[[#This Row],[Date]])&amp;"-"&amp;TEXT(MONTH(KMART_DATA[[#This Row],[Date]]),"00")</f>
        <v>2025-10</v>
      </c>
      <c r="D4056" s="3" t="s">
        <v>28</v>
      </c>
      <c r="E4056" s="3" t="s">
        <v>121</v>
      </c>
      <c r="F4056" s="3" t="s">
        <v>11</v>
      </c>
      <c r="G40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56" s="3" t="s">
        <v>122</v>
      </c>
      <c r="I4056" s="3" t="s">
        <v>31</v>
      </c>
      <c r="J4056" s="3" t="s">
        <v>84</v>
      </c>
      <c r="K4056" s="3" t="s">
        <v>71</v>
      </c>
      <c r="L4056" s="3" t="s">
        <v>72</v>
      </c>
      <c r="M4056" s="4">
        <v>445.42</v>
      </c>
    </row>
    <row r="4057">
      <c r="A4057" s="2">
        <v>45952</v>
      </c>
      <c r="B40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7" s="3" t="str">
        <f>YEAR(KMART_DATA[[#This Row],[Date]])&amp;"-"&amp;TEXT(MONTH(KMART_DATA[[#This Row],[Date]]),"00")</f>
        <v>2025-10</v>
      </c>
      <c r="D4057" s="3" t="s">
        <v>28</v>
      </c>
      <c r="E4057" s="3" t="s">
        <v>236</v>
      </c>
      <c r="F4057" s="3" t="s">
        <v>12</v>
      </c>
      <c r="G40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57" s="3" t="s">
        <v>237</v>
      </c>
      <c r="I4057" s="3" t="s">
        <v>31</v>
      </c>
      <c r="J4057" s="3" t="s">
        <v>102</v>
      </c>
      <c r="K4057" s="3" t="s">
        <v>95</v>
      </c>
      <c r="L4057" s="3" t="s">
        <v>96</v>
      </c>
      <c r="M4057" s="4">
        <v>580.8</v>
      </c>
    </row>
    <row r="4058">
      <c r="A4058" s="2">
        <v>45953</v>
      </c>
      <c r="B40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8" s="3" t="str">
        <f>YEAR(KMART_DATA[[#This Row],[Date]])&amp;"-"&amp;TEXT(MONTH(KMART_DATA[[#This Row],[Date]]),"00")</f>
        <v>2025-10</v>
      </c>
      <c r="D4058" s="3" t="s">
        <v>28</v>
      </c>
      <c r="E4058" s="3" t="s">
        <v>244</v>
      </c>
      <c r="F4058" s="3" t="s">
        <v>13</v>
      </c>
      <c r="G40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058" s="3" t="s">
        <v>245</v>
      </c>
      <c r="I4058" s="3" t="s">
        <v>31</v>
      </c>
      <c r="J4058" s="3" t="s">
        <v>42</v>
      </c>
      <c r="K4058" s="3" t="s">
        <v>33</v>
      </c>
      <c r="L4058" s="3" t="s">
        <v>34</v>
      </c>
      <c r="M4058" s="4">
        <v>1.99</v>
      </c>
    </row>
    <row r="4059">
      <c r="A4059" s="2">
        <v>45953</v>
      </c>
      <c r="B40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59" s="3" t="str">
        <f>YEAR(KMART_DATA[[#This Row],[Date]])&amp;"-"&amp;TEXT(MONTH(KMART_DATA[[#This Row],[Date]]),"00")</f>
        <v>2025-10</v>
      </c>
      <c r="D4059" s="3" t="s">
        <v>28</v>
      </c>
      <c r="E4059" s="3" t="s">
        <v>87</v>
      </c>
      <c r="F4059" s="3" t="s">
        <v>10</v>
      </c>
      <c r="G40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59" s="3" t="s">
        <v>88</v>
      </c>
      <c r="I4059" s="3" t="s">
        <v>31</v>
      </c>
      <c r="J4059" s="3" t="s">
        <v>89</v>
      </c>
      <c r="K4059" s="3" t="s">
        <v>71</v>
      </c>
      <c r="L4059" s="3" t="s">
        <v>72</v>
      </c>
      <c r="M4059" s="4">
        <v>15.0</v>
      </c>
    </row>
    <row r="4060">
      <c r="A4060" s="2">
        <v>45953</v>
      </c>
      <c r="B40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0" s="3" t="str">
        <f>YEAR(KMART_DATA[[#This Row],[Date]])&amp;"-"&amp;TEXT(MONTH(KMART_DATA[[#This Row],[Date]]),"00")</f>
        <v>2025-10</v>
      </c>
      <c r="D4060" s="3" t="s">
        <v>28</v>
      </c>
      <c r="E4060" s="3" t="s">
        <v>156</v>
      </c>
      <c r="F4060" s="3" t="s">
        <v>9</v>
      </c>
      <c r="G40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60" s="3" t="s">
        <v>157</v>
      </c>
      <c r="I4060" s="3" t="s">
        <v>31</v>
      </c>
      <c r="J4060" s="3" t="s">
        <v>75</v>
      </c>
      <c r="K4060" s="3" t="s">
        <v>123</v>
      </c>
      <c r="L4060" s="3" t="s">
        <v>124</v>
      </c>
      <c r="M4060" s="4">
        <v>53.94</v>
      </c>
    </row>
    <row r="4061">
      <c r="A4061" s="2">
        <v>45953</v>
      </c>
      <c r="B40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1" s="3" t="str">
        <f>YEAR(KMART_DATA[[#This Row],[Date]])&amp;"-"&amp;TEXT(MONTH(KMART_DATA[[#This Row],[Date]]),"00")</f>
        <v>2025-10</v>
      </c>
      <c r="D4061" s="3" t="s">
        <v>28</v>
      </c>
      <c r="E4061" s="3" t="s">
        <v>129</v>
      </c>
      <c r="F4061" s="3" t="s">
        <v>10</v>
      </c>
      <c r="G40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61" s="3" t="s">
        <v>130</v>
      </c>
      <c r="I4061" s="3" t="s">
        <v>31</v>
      </c>
      <c r="J4061" s="3" t="s">
        <v>120</v>
      </c>
      <c r="K4061" s="3" t="s">
        <v>112</v>
      </c>
      <c r="L4061" s="3" t="s">
        <v>113</v>
      </c>
      <c r="M4061" s="4">
        <v>83.79</v>
      </c>
    </row>
    <row r="4062">
      <c r="A4062" s="2">
        <v>45953</v>
      </c>
      <c r="B40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2" s="3" t="str">
        <f>YEAR(KMART_DATA[[#This Row],[Date]])&amp;"-"&amp;TEXT(MONTH(KMART_DATA[[#This Row],[Date]]),"00")</f>
        <v>2025-10</v>
      </c>
      <c r="D4062" s="3" t="s">
        <v>45</v>
      </c>
      <c r="E4062" s="3" t="s">
        <v>40</v>
      </c>
      <c r="F4062" s="3" t="s">
        <v>13</v>
      </c>
      <c r="G40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062" s="3" t="s">
        <v>41</v>
      </c>
      <c r="I4062" s="3" t="s">
        <v>31</v>
      </c>
      <c r="J4062" s="3" t="s">
        <v>42</v>
      </c>
      <c r="K4062" s="3" t="s">
        <v>57</v>
      </c>
      <c r="L4062" s="3" t="s">
        <v>58</v>
      </c>
      <c r="M4062" s="4">
        <v>288.18</v>
      </c>
    </row>
    <row r="4063">
      <c r="A4063" s="2">
        <v>45953</v>
      </c>
      <c r="B40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3" s="3" t="str">
        <f>YEAR(KMART_DATA[[#This Row],[Date]])&amp;"-"&amp;TEXT(MONTH(KMART_DATA[[#This Row],[Date]]),"00")</f>
        <v>2025-10</v>
      </c>
      <c r="D4063" s="3" t="s">
        <v>28</v>
      </c>
      <c r="E4063" s="3" t="s">
        <v>248</v>
      </c>
      <c r="F4063" s="3" t="s">
        <v>12</v>
      </c>
      <c r="G40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63" s="3" t="s">
        <v>249</v>
      </c>
      <c r="I4063" s="3" t="s">
        <v>31</v>
      </c>
      <c r="J4063" s="3" t="s">
        <v>162</v>
      </c>
      <c r="K4063" s="3" t="s">
        <v>57</v>
      </c>
      <c r="L4063" s="3" t="s">
        <v>58</v>
      </c>
      <c r="M4063" s="4">
        <v>771.19</v>
      </c>
    </row>
    <row r="4064">
      <c r="A4064" s="2">
        <v>45953</v>
      </c>
      <c r="B40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4" s="3" t="str">
        <f>YEAR(KMART_DATA[[#This Row],[Date]])&amp;"-"&amp;TEXT(MONTH(KMART_DATA[[#This Row],[Date]]),"00")</f>
        <v>2025-10</v>
      </c>
      <c r="D4064" s="3" t="s">
        <v>28</v>
      </c>
      <c r="E4064" s="3" t="s">
        <v>264</v>
      </c>
      <c r="F4064" s="3" t="s">
        <v>13</v>
      </c>
      <c r="G40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064" s="3" t="s">
        <v>265</v>
      </c>
      <c r="I4064" s="3" t="s">
        <v>31</v>
      </c>
      <c r="J4064" s="3" t="s">
        <v>42</v>
      </c>
      <c r="K4064" s="3" t="s">
        <v>71</v>
      </c>
      <c r="L4064" s="3" t="s">
        <v>72</v>
      </c>
      <c r="M4064" s="4">
        <v>819.16</v>
      </c>
    </row>
    <row r="4065">
      <c r="A4065" s="2">
        <v>45953</v>
      </c>
      <c r="B40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5" s="3" t="str">
        <f>YEAR(KMART_DATA[[#This Row],[Date]])&amp;"-"&amp;TEXT(MONTH(KMART_DATA[[#This Row],[Date]]),"00")</f>
        <v>2025-10</v>
      </c>
      <c r="D4065" s="3" t="s">
        <v>28</v>
      </c>
      <c r="E4065" s="3" t="s">
        <v>87</v>
      </c>
      <c r="F4065" s="3" t="s">
        <v>10</v>
      </c>
      <c r="G40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65" s="3" t="s">
        <v>88</v>
      </c>
      <c r="I4065" s="3" t="s">
        <v>31</v>
      </c>
      <c r="J4065" s="3" t="s">
        <v>89</v>
      </c>
      <c r="K4065" s="3" t="s">
        <v>43</v>
      </c>
      <c r="L4065" s="3" t="s">
        <v>44</v>
      </c>
      <c r="M4065" s="4">
        <v>920.17</v>
      </c>
    </row>
    <row r="4066">
      <c r="A4066" s="2">
        <v>45954</v>
      </c>
      <c r="B40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6" s="3" t="str">
        <f>YEAR(KMART_DATA[[#This Row],[Date]])&amp;"-"&amp;TEXT(MONTH(KMART_DATA[[#This Row],[Date]]),"00")</f>
        <v>2025-10</v>
      </c>
      <c r="D4066" s="3" t="s">
        <v>28</v>
      </c>
      <c r="E4066" s="3" t="s">
        <v>254</v>
      </c>
      <c r="F4066" s="3" t="s">
        <v>13</v>
      </c>
      <c r="G40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066" s="3" t="s">
        <v>255</v>
      </c>
      <c r="I4066" s="3" t="s">
        <v>31</v>
      </c>
      <c r="J4066" s="3" t="s">
        <v>227</v>
      </c>
      <c r="K4066" s="3" t="s">
        <v>112</v>
      </c>
      <c r="L4066" s="3" t="s">
        <v>113</v>
      </c>
      <c r="M4066" s="4">
        <v>2.99</v>
      </c>
    </row>
    <row r="4067">
      <c r="A4067" s="2">
        <v>45954</v>
      </c>
      <c r="B40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7" s="3" t="str">
        <f>YEAR(KMART_DATA[[#This Row],[Date]])&amp;"-"&amp;TEXT(MONTH(KMART_DATA[[#This Row],[Date]]),"00")</f>
        <v>2025-10</v>
      </c>
      <c r="D4067" s="3" t="s">
        <v>28</v>
      </c>
      <c r="E4067" s="3" t="s">
        <v>262</v>
      </c>
      <c r="F4067" s="3" t="s">
        <v>10</v>
      </c>
      <c r="G40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67" s="3" t="s">
        <v>263</v>
      </c>
      <c r="I4067" s="3" t="s">
        <v>31</v>
      </c>
      <c r="J4067" s="3" t="s">
        <v>120</v>
      </c>
      <c r="K4067" s="3" t="s">
        <v>95</v>
      </c>
      <c r="L4067" s="3" t="s">
        <v>96</v>
      </c>
      <c r="M4067" s="4">
        <v>9.36</v>
      </c>
    </row>
    <row r="4068">
      <c r="A4068" s="2">
        <v>45954</v>
      </c>
      <c r="B40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8" s="3" t="str">
        <f>YEAR(KMART_DATA[[#This Row],[Date]])&amp;"-"&amp;TEXT(MONTH(KMART_DATA[[#This Row],[Date]]),"00")</f>
        <v>2025-10</v>
      </c>
      <c r="D4068" s="3" t="s">
        <v>28</v>
      </c>
      <c r="E4068" s="3" t="s">
        <v>146</v>
      </c>
      <c r="F4068" s="3" t="s">
        <v>9</v>
      </c>
      <c r="G40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68" s="3" t="s">
        <v>147</v>
      </c>
      <c r="I4068" s="3" t="s">
        <v>31</v>
      </c>
      <c r="J4068" s="3" t="s">
        <v>75</v>
      </c>
      <c r="K4068" s="3" t="s">
        <v>95</v>
      </c>
      <c r="L4068" s="3" t="s">
        <v>96</v>
      </c>
      <c r="M4068" s="4">
        <v>59.85</v>
      </c>
    </row>
    <row r="4069">
      <c r="A4069" s="2">
        <v>45954</v>
      </c>
      <c r="B40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69" s="3" t="str">
        <f>YEAR(KMART_DATA[[#This Row],[Date]])&amp;"-"&amp;TEXT(MONTH(KMART_DATA[[#This Row],[Date]]),"00")</f>
        <v>2025-10</v>
      </c>
      <c r="D4069" s="3" t="s">
        <v>45</v>
      </c>
      <c r="E4069" s="3" t="s">
        <v>193</v>
      </c>
      <c r="F4069" s="3" t="s">
        <v>9</v>
      </c>
      <c r="G40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69" s="3" t="s">
        <v>194</v>
      </c>
      <c r="I4069" s="3" t="s">
        <v>31</v>
      </c>
      <c r="J4069" s="3" t="s">
        <v>99</v>
      </c>
      <c r="K4069" s="3" t="s">
        <v>71</v>
      </c>
      <c r="L4069" s="3" t="s">
        <v>72</v>
      </c>
      <c r="M4069" s="4">
        <v>101.5</v>
      </c>
    </row>
    <row r="4070">
      <c r="A4070" s="2">
        <v>45954</v>
      </c>
      <c r="B40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0" s="3" t="str">
        <f>YEAR(KMART_DATA[[#This Row],[Date]])&amp;"-"&amp;TEXT(MONTH(KMART_DATA[[#This Row],[Date]]),"00")</f>
        <v>2025-10</v>
      </c>
      <c r="D4070" s="3" t="s">
        <v>28</v>
      </c>
      <c r="E4070" s="3" t="s">
        <v>201</v>
      </c>
      <c r="F4070" s="3" t="s">
        <v>10</v>
      </c>
      <c r="G40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70" s="3" t="s">
        <v>202</v>
      </c>
      <c r="I4070" s="3" t="s">
        <v>31</v>
      </c>
      <c r="J4070" s="3" t="s">
        <v>89</v>
      </c>
      <c r="K4070" s="3" t="s">
        <v>95</v>
      </c>
      <c r="L4070" s="3" t="s">
        <v>96</v>
      </c>
      <c r="M4070" s="4">
        <v>455.37</v>
      </c>
    </row>
    <row r="4071">
      <c r="A4071" s="2">
        <v>45954</v>
      </c>
      <c r="B40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1" s="3" t="str">
        <f>YEAR(KMART_DATA[[#This Row],[Date]])&amp;"-"&amp;TEXT(MONTH(KMART_DATA[[#This Row],[Date]]),"00")</f>
        <v>2025-10</v>
      </c>
      <c r="D4071" s="3" t="s">
        <v>28</v>
      </c>
      <c r="E4071" s="3" t="s">
        <v>238</v>
      </c>
      <c r="F4071" s="3" t="s">
        <v>13</v>
      </c>
      <c r="G40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071" s="3" t="s">
        <v>239</v>
      </c>
      <c r="I4071" s="3" t="s">
        <v>31</v>
      </c>
      <c r="J4071" s="3" t="s">
        <v>42</v>
      </c>
      <c r="K4071" s="3" t="s">
        <v>123</v>
      </c>
      <c r="L4071" s="3" t="s">
        <v>124</v>
      </c>
      <c r="M4071" s="4">
        <v>458.33</v>
      </c>
    </row>
    <row r="4072">
      <c r="A4072" s="2">
        <v>45954</v>
      </c>
      <c r="B40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2" s="3" t="str">
        <f>YEAR(KMART_DATA[[#This Row],[Date]])&amp;"-"&amp;TEXT(MONTH(KMART_DATA[[#This Row],[Date]]),"00")</f>
        <v>2025-10</v>
      </c>
      <c r="D4072" s="3" t="s">
        <v>28</v>
      </c>
      <c r="E4072" s="3" t="s">
        <v>175</v>
      </c>
      <c r="F4072" s="3" t="s">
        <v>16</v>
      </c>
      <c r="G40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072" s="3" t="s">
        <v>176</v>
      </c>
      <c r="I4072" s="3" t="s">
        <v>31</v>
      </c>
      <c r="J4072" s="3" t="s">
        <v>107</v>
      </c>
      <c r="K4072" s="3" t="s">
        <v>33</v>
      </c>
      <c r="L4072" s="3" t="s">
        <v>34</v>
      </c>
      <c r="M4072" s="4">
        <v>601.51</v>
      </c>
    </row>
    <row r="4073">
      <c r="A4073" s="2">
        <v>45955</v>
      </c>
      <c r="B40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3" s="3" t="str">
        <f>YEAR(KMART_DATA[[#This Row],[Date]])&amp;"-"&amp;TEXT(MONTH(KMART_DATA[[#This Row],[Date]]),"00")</f>
        <v>2025-10</v>
      </c>
      <c r="D4073" s="3" t="s">
        <v>28</v>
      </c>
      <c r="E4073" s="3" t="s">
        <v>90</v>
      </c>
      <c r="F4073" s="3" t="s">
        <v>10</v>
      </c>
      <c r="G40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73" s="3" t="s">
        <v>91</v>
      </c>
      <c r="I4073" s="3" t="s">
        <v>31</v>
      </c>
      <c r="J4073" s="3" t="s">
        <v>37</v>
      </c>
      <c r="K4073" s="3" t="s">
        <v>71</v>
      </c>
      <c r="L4073" s="3" t="s">
        <v>72</v>
      </c>
      <c r="M4073" s="4">
        <v>9.99</v>
      </c>
    </row>
    <row r="4074">
      <c r="A4074" s="2">
        <v>45955</v>
      </c>
      <c r="B40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4" s="3" t="str">
        <f>YEAR(KMART_DATA[[#This Row],[Date]])&amp;"-"&amp;TEXT(MONTH(KMART_DATA[[#This Row],[Date]]),"00")</f>
        <v>2025-10</v>
      </c>
      <c r="D4074" s="3" t="s">
        <v>28</v>
      </c>
      <c r="E4074" s="3" t="s">
        <v>100</v>
      </c>
      <c r="F4074" s="3" t="s">
        <v>12</v>
      </c>
      <c r="G40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74" s="3" t="s">
        <v>101</v>
      </c>
      <c r="I4074" s="3" t="s">
        <v>31</v>
      </c>
      <c r="J4074" s="3" t="s">
        <v>102</v>
      </c>
      <c r="K4074" s="3" t="s">
        <v>33</v>
      </c>
      <c r="L4074" s="3" t="s">
        <v>34</v>
      </c>
      <c r="M4074" s="4">
        <v>43.89</v>
      </c>
    </row>
    <row r="4075">
      <c r="A4075" s="2">
        <v>45955</v>
      </c>
      <c r="B40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5" s="3" t="str">
        <f>YEAR(KMART_DATA[[#This Row],[Date]])&amp;"-"&amp;TEXT(MONTH(KMART_DATA[[#This Row],[Date]]),"00")</f>
        <v>2025-10</v>
      </c>
      <c r="D4075" s="3" t="s">
        <v>28</v>
      </c>
      <c r="E4075" s="3" t="s">
        <v>131</v>
      </c>
      <c r="F4075" s="3" t="s">
        <v>11</v>
      </c>
      <c r="G40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75" s="3" t="s">
        <v>132</v>
      </c>
      <c r="I4075" s="3" t="s">
        <v>31</v>
      </c>
      <c r="J4075" s="3" t="s">
        <v>32</v>
      </c>
      <c r="K4075" s="3" t="s">
        <v>46</v>
      </c>
      <c r="L4075" s="3" t="s">
        <v>47</v>
      </c>
      <c r="M4075" s="4">
        <v>63.0</v>
      </c>
    </row>
    <row r="4076">
      <c r="A4076" s="2">
        <v>45955</v>
      </c>
      <c r="B40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6" s="3" t="str">
        <f>YEAR(KMART_DATA[[#This Row],[Date]])&amp;"-"&amp;TEXT(MONTH(KMART_DATA[[#This Row],[Date]]),"00")</f>
        <v>2025-10</v>
      </c>
      <c r="D4076" s="3" t="s">
        <v>28</v>
      </c>
      <c r="E4076" s="3" t="s">
        <v>29</v>
      </c>
      <c r="F4076" s="3" t="s">
        <v>11</v>
      </c>
      <c r="G40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76" s="3" t="s">
        <v>30</v>
      </c>
      <c r="I4076" s="3" t="s">
        <v>31</v>
      </c>
      <c r="J4076" s="3" t="s">
        <v>32</v>
      </c>
      <c r="K4076" s="3" t="s">
        <v>123</v>
      </c>
      <c r="L4076" s="3" t="s">
        <v>124</v>
      </c>
      <c r="M4076" s="4">
        <v>113.68</v>
      </c>
    </row>
    <row r="4077">
      <c r="A4077" s="2">
        <v>45955</v>
      </c>
      <c r="B40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7" s="3" t="str">
        <f>YEAR(KMART_DATA[[#This Row],[Date]])&amp;"-"&amp;TEXT(MONTH(KMART_DATA[[#This Row],[Date]]),"00")</f>
        <v>2025-10</v>
      </c>
      <c r="D4077" s="3" t="s">
        <v>28</v>
      </c>
      <c r="E4077" s="3" t="s">
        <v>59</v>
      </c>
      <c r="F4077" s="3" t="s">
        <v>11</v>
      </c>
      <c r="G40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77" s="3" t="s">
        <v>60</v>
      </c>
      <c r="I4077" s="3" t="s">
        <v>31</v>
      </c>
      <c r="J4077" s="3" t="s">
        <v>61</v>
      </c>
      <c r="K4077" s="3" t="s">
        <v>112</v>
      </c>
      <c r="L4077" s="3" t="s">
        <v>113</v>
      </c>
      <c r="M4077" s="4">
        <v>161.68</v>
      </c>
    </row>
    <row r="4078">
      <c r="A4078" s="2">
        <v>45955</v>
      </c>
      <c r="B40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8" s="3" t="str">
        <f>YEAR(KMART_DATA[[#This Row],[Date]])&amp;"-"&amp;TEXT(MONTH(KMART_DATA[[#This Row],[Date]]),"00")</f>
        <v>2025-10</v>
      </c>
      <c r="D4078" s="3" t="s">
        <v>45</v>
      </c>
      <c r="E4078" s="3" t="s">
        <v>205</v>
      </c>
      <c r="F4078" s="3" t="s">
        <v>10</v>
      </c>
      <c r="G40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78" s="3" t="s">
        <v>206</v>
      </c>
      <c r="I4078" s="3" t="s">
        <v>31</v>
      </c>
      <c r="J4078" s="3" t="s">
        <v>37</v>
      </c>
      <c r="K4078" s="3" t="s">
        <v>57</v>
      </c>
      <c r="L4078" s="3" t="s">
        <v>58</v>
      </c>
      <c r="M4078" s="4">
        <v>209.9</v>
      </c>
    </row>
    <row r="4079">
      <c r="A4079" s="2">
        <v>45955</v>
      </c>
      <c r="B40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79" s="3" t="str">
        <f>YEAR(KMART_DATA[[#This Row],[Date]])&amp;"-"&amp;TEXT(MONTH(KMART_DATA[[#This Row],[Date]]),"00")</f>
        <v>2025-10</v>
      </c>
      <c r="D4079" s="3" t="s">
        <v>28</v>
      </c>
      <c r="E4079" s="3" t="s">
        <v>62</v>
      </c>
      <c r="F4079" s="3" t="s">
        <v>12</v>
      </c>
      <c r="G40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79" s="3" t="s">
        <v>63</v>
      </c>
      <c r="I4079" s="3" t="s">
        <v>31</v>
      </c>
      <c r="J4079" s="3" t="s">
        <v>50</v>
      </c>
      <c r="K4079" s="3" t="s">
        <v>95</v>
      </c>
      <c r="L4079" s="3" t="s">
        <v>96</v>
      </c>
      <c r="M4079" s="4">
        <v>294.79</v>
      </c>
    </row>
    <row r="4080">
      <c r="A4080" s="2">
        <v>45955</v>
      </c>
      <c r="B40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0" s="3" t="str">
        <f>YEAR(KMART_DATA[[#This Row],[Date]])&amp;"-"&amp;TEXT(MONTH(KMART_DATA[[#This Row],[Date]]),"00")</f>
        <v>2025-10</v>
      </c>
      <c r="D4080" s="3" t="s">
        <v>28</v>
      </c>
      <c r="E4080" s="3" t="s">
        <v>181</v>
      </c>
      <c r="F4080" s="3" t="s">
        <v>11</v>
      </c>
      <c r="G40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80" s="3" t="s">
        <v>182</v>
      </c>
      <c r="I4080" s="3" t="s">
        <v>31</v>
      </c>
      <c r="J4080" s="3" t="s">
        <v>56</v>
      </c>
      <c r="K4080" s="3" t="s">
        <v>33</v>
      </c>
      <c r="L4080" s="3" t="s">
        <v>34</v>
      </c>
      <c r="M4080" s="4">
        <v>551.24</v>
      </c>
    </row>
    <row r="4081">
      <c r="A4081" s="2">
        <v>45955</v>
      </c>
      <c r="B40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1" s="3" t="str">
        <f>YEAR(KMART_DATA[[#This Row],[Date]])&amp;"-"&amp;TEXT(MONTH(KMART_DATA[[#This Row],[Date]]),"00")</f>
        <v>2025-10</v>
      </c>
      <c r="D4081" s="3" t="s">
        <v>28</v>
      </c>
      <c r="E4081" s="3" t="s">
        <v>197</v>
      </c>
      <c r="F4081" s="3" t="s">
        <v>9</v>
      </c>
      <c r="G40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81" s="3" t="s">
        <v>198</v>
      </c>
      <c r="I4081" s="3" t="s">
        <v>31</v>
      </c>
      <c r="J4081" s="3" t="s">
        <v>107</v>
      </c>
      <c r="K4081" s="3" t="s">
        <v>71</v>
      </c>
      <c r="L4081" s="3" t="s">
        <v>72</v>
      </c>
      <c r="M4081" s="4">
        <v>3080.41</v>
      </c>
    </row>
    <row r="4082">
      <c r="A4082" s="2">
        <v>45955</v>
      </c>
      <c r="B40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2" s="3" t="str">
        <f>YEAR(KMART_DATA[[#This Row],[Date]])&amp;"-"&amp;TEXT(MONTH(KMART_DATA[[#This Row],[Date]]),"00")</f>
        <v>2025-10</v>
      </c>
      <c r="D4082" s="3" t="s">
        <v>28</v>
      </c>
      <c r="E4082" s="3" t="s">
        <v>139</v>
      </c>
      <c r="F4082" s="3" t="s">
        <v>10</v>
      </c>
      <c r="G40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82" s="3" t="s">
        <v>140</v>
      </c>
      <c r="I4082" s="3" t="s">
        <v>31</v>
      </c>
      <c r="J4082" s="3" t="s">
        <v>89</v>
      </c>
      <c r="K4082" s="3" t="s">
        <v>46</v>
      </c>
      <c r="L4082" s="3" t="s">
        <v>47</v>
      </c>
      <c r="M4082" s="4">
        <v>5521.92</v>
      </c>
    </row>
    <row r="4083">
      <c r="A4083" s="2">
        <v>45956</v>
      </c>
      <c r="B40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3" s="3" t="str">
        <f>YEAR(KMART_DATA[[#This Row],[Date]])&amp;"-"&amp;TEXT(MONTH(KMART_DATA[[#This Row],[Date]]),"00")</f>
        <v>2025-10</v>
      </c>
      <c r="D4083" s="3" t="s">
        <v>45</v>
      </c>
      <c r="E4083" s="3" t="s">
        <v>183</v>
      </c>
      <c r="F4083" s="3" t="s">
        <v>9</v>
      </c>
      <c r="G40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83" s="3" t="s">
        <v>184</v>
      </c>
      <c r="I4083" s="3" t="s">
        <v>31</v>
      </c>
      <c r="J4083" s="3" t="s">
        <v>70</v>
      </c>
      <c r="K4083" s="3" t="s">
        <v>112</v>
      </c>
      <c r="L4083" s="3" t="s">
        <v>113</v>
      </c>
      <c r="M4083" s="4">
        <v>6.99</v>
      </c>
    </row>
    <row r="4084">
      <c r="A4084" s="2">
        <v>45956</v>
      </c>
      <c r="B40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4" s="3" t="str">
        <f>YEAR(KMART_DATA[[#This Row],[Date]])&amp;"-"&amp;TEXT(MONTH(KMART_DATA[[#This Row],[Date]]),"00")</f>
        <v>2025-10</v>
      </c>
      <c r="D4084" s="3" t="s">
        <v>28</v>
      </c>
      <c r="E4084" s="3" t="s">
        <v>116</v>
      </c>
      <c r="F4084" s="3" t="s">
        <v>9</v>
      </c>
      <c r="G40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84" s="3" t="s">
        <v>117</v>
      </c>
      <c r="I4084" s="3" t="s">
        <v>31</v>
      </c>
      <c r="J4084" s="3" t="s">
        <v>70</v>
      </c>
      <c r="K4084" s="3" t="s">
        <v>33</v>
      </c>
      <c r="L4084" s="3" t="s">
        <v>34</v>
      </c>
      <c r="M4084" s="4">
        <v>19.95</v>
      </c>
    </row>
    <row r="4085">
      <c r="A4085" s="2">
        <v>45956</v>
      </c>
      <c r="B40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5" s="3" t="str">
        <f>YEAR(KMART_DATA[[#This Row],[Date]])&amp;"-"&amp;TEXT(MONTH(KMART_DATA[[#This Row],[Date]]),"00")</f>
        <v>2025-10</v>
      </c>
      <c r="D4085" s="3" t="s">
        <v>45</v>
      </c>
      <c r="E4085" s="3" t="s">
        <v>79</v>
      </c>
      <c r="F4085" s="3" t="s">
        <v>9</v>
      </c>
      <c r="G40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85" s="3" t="s">
        <v>80</v>
      </c>
      <c r="I4085" s="3" t="s">
        <v>31</v>
      </c>
      <c r="J4085" s="3" t="s">
        <v>81</v>
      </c>
      <c r="K4085" s="3" t="s">
        <v>43</v>
      </c>
      <c r="L4085" s="3" t="s">
        <v>44</v>
      </c>
      <c r="M4085" s="4">
        <v>59.97</v>
      </c>
    </row>
    <row r="4086">
      <c r="A4086" s="2">
        <v>45956</v>
      </c>
      <c r="B40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6" s="3" t="str">
        <f>YEAR(KMART_DATA[[#This Row],[Date]])&amp;"-"&amp;TEXT(MONTH(KMART_DATA[[#This Row],[Date]]),"00")</f>
        <v>2025-10</v>
      </c>
      <c r="D4086" s="3" t="s">
        <v>45</v>
      </c>
      <c r="E4086" s="3" t="s">
        <v>211</v>
      </c>
      <c r="F4086" s="3" t="s">
        <v>9</v>
      </c>
      <c r="G40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86" s="3" t="s">
        <v>212</v>
      </c>
      <c r="I4086" s="3" t="s">
        <v>31</v>
      </c>
      <c r="J4086" s="3" t="s">
        <v>75</v>
      </c>
      <c r="K4086" s="3" t="s">
        <v>66</v>
      </c>
      <c r="L4086" s="3" t="s">
        <v>67</v>
      </c>
      <c r="M4086" s="4">
        <v>336.41</v>
      </c>
    </row>
    <row r="4087">
      <c r="A4087" s="2">
        <v>45956</v>
      </c>
      <c r="B40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7" s="3" t="str">
        <f>YEAR(KMART_DATA[[#This Row],[Date]])&amp;"-"&amp;TEXT(MONTH(KMART_DATA[[#This Row],[Date]]),"00")</f>
        <v>2025-10</v>
      </c>
      <c r="D4087" s="3" t="s">
        <v>28</v>
      </c>
      <c r="E4087" s="3" t="s">
        <v>175</v>
      </c>
      <c r="F4087" s="3" t="s">
        <v>16</v>
      </c>
      <c r="G40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087" s="3" t="s">
        <v>176</v>
      </c>
      <c r="I4087" s="3" t="s">
        <v>31</v>
      </c>
      <c r="J4087" s="3" t="s">
        <v>107</v>
      </c>
      <c r="K4087" s="3" t="s">
        <v>95</v>
      </c>
      <c r="L4087" s="3" t="s">
        <v>96</v>
      </c>
      <c r="M4087" s="4">
        <v>2856.02</v>
      </c>
    </row>
    <row r="4088">
      <c r="A4088" s="2">
        <v>45957</v>
      </c>
      <c r="B40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8" s="3" t="str">
        <f>YEAR(KMART_DATA[[#This Row],[Date]])&amp;"-"&amp;TEXT(MONTH(KMART_DATA[[#This Row],[Date]]),"00")</f>
        <v>2025-10</v>
      </c>
      <c r="D4088" s="3" t="s">
        <v>28</v>
      </c>
      <c r="E4088" s="3" t="s">
        <v>156</v>
      </c>
      <c r="F4088" s="3" t="s">
        <v>9</v>
      </c>
      <c r="G40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88" s="3" t="s">
        <v>157</v>
      </c>
      <c r="I4088" s="3" t="s">
        <v>31</v>
      </c>
      <c r="J4088" s="3" t="s">
        <v>75</v>
      </c>
      <c r="K4088" s="3" t="s">
        <v>43</v>
      </c>
      <c r="L4088" s="3" t="s">
        <v>44</v>
      </c>
      <c r="M4088" s="4">
        <v>3.0</v>
      </c>
    </row>
    <row r="4089">
      <c r="A4089" s="2">
        <v>45957</v>
      </c>
      <c r="B40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89" s="3" t="str">
        <f>YEAR(KMART_DATA[[#This Row],[Date]])&amp;"-"&amp;TEXT(MONTH(KMART_DATA[[#This Row],[Date]]),"00")</f>
        <v>2025-10</v>
      </c>
      <c r="D4089" s="3" t="s">
        <v>45</v>
      </c>
      <c r="E4089" s="3" t="s">
        <v>167</v>
      </c>
      <c r="F4089" s="3" t="s">
        <v>12</v>
      </c>
      <c r="G40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89" s="3" t="s">
        <v>168</v>
      </c>
      <c r="I4089" s="3" t="s">
        <v>31</v>
      </c>
      <c r="J4089" s="3" t="s">
        <v>102</v>
      </c>
      <c r="K4089" s="3" t="s">
        <v>95</v>
      </c>
      <c r="L4089" s="3" t="s">
        <v>96</v>
      </c>
      <c r="M4089" s="4">
        <v>8.0</v>
      </c>
    </row>
    <row r="4090">
      <c r="A4090" s="2">
        <v>45957</v>
      </c>
      <c r="B40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0" s="3" t="str">
        <f>YEAR(KMART_DATA[[#This Row],[Date]])&amp;"-"&amp;TEXT(MONTH(KMART_DATA[[#This Row],[Date]]),"00")</f>
        <v>2025-10</v>
      </c>
      <c r="D4090" s="3" t="s">
        <v>28</v>
      </c>
      <c r="E4090" s="3" t="s">
        <v>125</v>
      </c>
      <c r="F4090" s="3" t="s">
        <v>10</v>
      </c>
      <c r="G40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90" s="3" t="s">
        <v>126</v>
      </c>
      <c r="I4090" s="3" t="s">
        <v>31</v>
      </c>
      <c r="J4090" s="3" t="s">
        <v>94</v>
      </c>
      <c r="K4090" s="3" t="s">
        <v>57</v>
      </c>
      <c r="L4090" s="3" t="s">
        <v>58</v>
      </c>
      <c r="M4090" s="4">
        <v>21.0</v>
      </c>
    </row>
    <row r="4091">
      <c r="A4091" s="2">
        <v>45957</v>
      </c>
      <c r="B40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1" s="3" t="str">
        <f>YEAR(KMART_DATA[[#This Row],[Date]])&amp;"-"&amp;TEXT(MONTH(KMART_DATA[[#This Row],[Date]]),"00")</f>
        <v>2025-10</v>
      </c>
      <c r="D4091" s="3" t="s">
        <v>28</v>
      </c>
      <c r="E4091" s="3" t="s">
        <v>183</v>
      </c>
      <c r="F4091" s="3" t="s">
        <v>9</v>
      </c>
      <c r="G40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91" s="3" t="s">
        <v>184</v>
      </c>
      <c r="I4091" s="3" t="s">
        <v>31</v>
      </c>
      <c r="J4091" s="3" t="s">
        <v>70</v>
      </c>
      <c r="K4091" s="3" t="s">
        <v>95</v>
      </c>
      <c r="L4091" s="3" t="s">
        <v>96</v>
      </c>
      <c r="M4091" s="4">
        <v>63.11</v>
      </c>
    </row>
    <row r="4092">
      <c r="A4092" s="2">
        <v>45957</v>
      </c>
      <c r="B40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2" s="3" t="str">
        <f>YEAR(KMART_DATA[[#This Row],[Date]])&amp;"-"&amp;TEXT(MONTH(KMART_DATA[[#This Row],[Date]]),"00")</f>
        <v>2025-10</v>
      </c>
      <c r="D4092" s="3" t="s">
        <v>45</v>
      </c>
      <c r="E4092" s="3" t="s">
        <v>148</v>
      </c>
      <c r="F4092" s="3" t="s">
        <v>12</v>
      </c>
      <c r="G40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92" s="3" t="s">
        <v>149</v>
      </c>
      <c r="I4092" s="3" t="s">
        <v>31</v>
      </c>
      <c r="J4092" s="3" t="s">
        <v>50</v>
      </c>
      <c r="K4092" s="3" t="s">
        <v>33</v>
      </c>
      <c r="L4092" s="3" t="s">
        <v>34</v>
      </c>
      <c r="M4092" s="4">
        <v>232.91</v>
      </c>
    </row>
    <row r="4093">
      <c r="A4093" s="2">
        <v>45957</v>
      </c>
      <c r="B40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3" s="3" t="str">
        <f>YEAR(KMART_DATA[[#This Row],[Date]])&amp;"-"&amp;TEXT(MONTH(KMART_DATA[[#This Row],[Date]]),"00")</f>
        <v>2025-10</v>
      </c>
      <c r="D4093" s="3" t="s">
        <v>45</v>
      </c>
      <c r="E4093" s="3" t="s">
        <v>148</v>
      </c>
      <c r="F4093" s="3" t="s">
        <v>12</v>
      </c>
      <c r="G40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93" s="3" t="s">
        <v>149</v>
      </c>
      <c r="I4093" s="3" t="s">
        <v>31</v>
      </c>
      <c r="J4093" s="3" t="s">
        <v>50</v>
      </c>
      <c r="K4093" s="3" t="s">
        <v>43</v>
      </c>
      <c r="L4093" s="3" t="s">
        <v>44</v>
      </c>
      <c r="M4093" s="4">
        <v>306.76</v>
      </c>
    </row>
    <row r="4094">
      <c r="A4094" s="2">
        <v>45957</v>
      </c>
      <c r="B40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4" s="3" t="str">
        <f>YEAR(KMART_DATA[[#This Row],[Date]])&amp;"-"&amp;TEXT(MONTH(KMART_DATA[[#This Row],[Date]]),"00")</f>
        <v>2025-10</v>
      </c>
      <c r="D4094" s="3" t="s">
        <v>45</v>
      </c>
      <c r="E4094" s="3" t="s">
        <v>213</v>
      </c>
      <c r="F4094" s="3" t="s">
        <v>11</v>
      </c>
      <c r="G40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94" s="3" t="s">
        <v>214</v>
      </c>
      <c r="I4094" s="3" t="s">
        <v>31</v>
      </c>
      <c r="J4094" s="3" t="s">
        <v>32</v>
      </c>
      <c r="K4094" s="3" t="s">
        <v>46</v>
      </c>
      <c r="L4094" s="3" t="s">
        <v>47</v>
      </c>
      <c r="M4094" s="4">
        <v>486.94</v>
      </c>
    </row>
    <row r="4095">
      <c r="A4095" s="2">
        <v>45957</v>
      </c>
      <c r="B40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5" s="3" t="str">
        <f>YEAR(KMART_DATA[[#This Row],[Date]])&amp;"-"&amp;TEXT(MONTH(KMART_DATA[[#This Row],[Date]]),"00")</f>
        <v>2025-10</v>
      </c>
      <c r="D4095" s="3" t="s">
        <v>28</v>
      </c>
      <c r="E4095" s="3" t="s">
        <v>92</v>
      </c>
      <c r="F4095" s="3" t="s">
        <v>10</v>
      </c>
      <c r="G40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095" s="3" t="s">
        <v>93</v>
      </c>
      <c r="I4095" s="3" t="s">
        <v>31</v>
      </c>
      <c r="J4095" s="3" t="s">
        <v>94</v>
      </c>
      <c r="K4095" s="3" t="s">
        <v>57</v>
      </c>
      <c r="L4095" s="3" t="s">
        <v>58</v>
      </c>
      <c r="M4095" s="4">
        <v>1458.73</v>
      </c>
    </row>
    <row r="4096">
      <c r="A4096" s="2">
        <v>45957</v>
      </c>
      <c r="B40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6" s="3" t="str">
        <f>YEAR(KMART_DATA[[#This Row],[Date]])&amp;"-"&amp;TEXT(MONTH(KMART_DATA[[#This Row],[Date]]),"00")</f>
        <v>2025-10</v>
      </c>
      <c r="D4096" s="3" t="s">
        <v>28</v>
      </c>
      <c r="E4096" s="3" t="s">
        <v>181</v>
      </c>
      <c r="F4096" s="3" t="s">
        <v>11</v>
      </c>
      <c r="G40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96" s="3" t="s">
        <v>182</v>
      </c>
      <c r="I4096" s="3" t="s">
        <v>31</v>
      </c>
      <c r="J4096" s="3" t="s">
        <v>56</v>
      </c>
      <c r="K4096" s="3" t="s">
        <v>123</v>
      </c>
      <c r="L4096" s="3" t="s">
        <v>124</v>
      </c>
      <c r="M4096" s="4">
        <v>6972.08</v>
      </c>
    </row>
    <row r="4097">
      <c r="A4097" s="2">
        <v>45958</v>
      </c>
      <c r="B40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7" s="3" t="str">
        <f>YEAR(KMART_DATA[[#This Row],[Date]])&amp;"-"&amp;TEXT(MONTH(KMART_DATA[[#This Row],[Date]]),"00")</f>
        <v>2025-10</v>
      </c>
      <c r="D4097" s="3" t="s">
        <v>28</v>
      </c>
      <c r="E4097" s="3" t="s">
        <v>167</v>
      </c>
      <c r="F4097" s="3" t="s">
        <v>12</v>
      </c>
      <c r="G40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097" s="3" t="s">
        <v>168</v>
      </c>
      <c r="I4097" s="3" t="s">
        <v>31</v>
      </c>
      <c r="J4097" s="3" t="s">
        <v>102</v>
      </c>
      <c r="K4097" s="3" t="s">
        <v>46</v>
      </c>
      <c r="L4097" s="3" t="s">
        <v>47</v>
      </c>
      <c r="M4097" s="4">
        <v>3.0</v>
      </c>
    </row>
    <row r="4098">
      <c r="A4098" s="2">
        <v>45958</v>
      </c>
      <c r="B40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8" s="3" t="str">
        <f>YEAR(KMART_DATA[[#This Row],[Date]])&amp;"-"&amp;TEXT(MONTH(KMART_DATA[[#This Row],[Date]]),"00")</f>
        <v>2025-10</v>
      </c>
      <c r="D4098" s="3" t="s">
        <v>45</v>
      </c>
      <c r="E4098" s="3" t="s">
        <v>108</v>
      </c>
      <c r="F4098" s="3" t="s">
        <v>9</v>
      </c>
      <c r="G40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098" s="3" t="s">
        <v>109</v>
      </c>
      <c r="I4098" s="3" t="s">
        <v>31</v>
      </c>
      <c r="J4098" s="3" t="s">
        <v>75</v>
      </c>
      <c r="K4098" s="3" t="s">
        <v>43</v>
      </c>
      <c r="L4098" s="3" t="s">
        <v>44</v>
      </c>
      <c r="M4098" s="4">
        <v>22.41</v>
      </c>
    </row>
    <row r="4099">
      <c r="A4099" s="2">
        <v>45958</v>
      </c>
      <c r="B40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099" s="3" t="str">
        <f>YEAR(KMART_DATA[[#This Row],[Date]])&amp;"-"&amp;TEXT(MONTH(KMART_DATA[[#This Row],[Date]]),"00")</f>
        <v>2025-10</v>
      </c>
      <c r="D4099" s="3" t="s">
        <v>28</v>
      </c>
      <c r="E4099" s="3" t="s">
        <v>154</v>
      </c>
      <c r="F4099" s="3" t="s">
        <v>11</v>
      </c>
      <c r="G40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099" s="3" t="s">
        <v>155</v>
      </c>
      <c r="I4099" s="3" t="s">
        <v>31</v>
      </c>
      <c r="J4099" s="3" t="s">
        <v>84</v>
      </c>
      <c r="K4099" s="3" t="s">
        <v>43</v>
      </c>
      <c r="L4099" s="3" t="s">
        <v>44</v>
      </c>
      <c r="M4099" s="4">
        <v>89.54</v>
      </c>
    </row>
    <row r="4100">
      <c r="A4100" s="2">
        <v>45959</v>
      </c>
      <c r="B41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0" s="3" t="str">
        <f>YEAR(KMART_DATA[[#This Row],[Date]])&amp;"-"&amp;TEXT(MONTH(KMART_DATA[[#This Row],[Date]]),"00")</f>
        <v>2025-10</v>
      </c>
      <c r="D4100" s="3" t="s">
        <v>28</v>
      </c>
      <c r="E4100" s="3" t="s">
        <v>191</v>
      </c>
      <c r="F4100" s="3" t="s">
        <v>10</v>
      </c>
      <c r="G41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00" s="3" t="s">
        <v>192</v>
      </c>
      <c r="I4100" s="3" t="s">
        <v>31</v>
      </c>
      <c r="J4100" s="3" t="s">
        <v>120</v>
      </c>
      <c r="K4100" s="3" t="s">
        <v>112</v>
      </c>
      <c r="L4100" s="3" t="s">
        <v>113</v>
      </c>
      <c r="M4100" s="4">
        <v>5.99</v>
      </c>
    </row>
    <row r="4101">
      <c r="A4101" s="2">
        <v>45959</v>
      </c>
      <c r="B41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1" s="3" t="str">
        <f>YEAR(KMART_DATA[[#This Row],[Date]])&amp;"-"&amp;TEXT(MONTH(KMART_DATA[[#This Row],[Date]]),"00")</f>
        <v>2025-10</v>
      </c>
      <c r="D4101" s="3" t="s">
        <v>28</v>
      </c>
      <c r="E4101" s="3" t="s">
        <v>195</v>
      </c>
      <c r="F4101" s="3" t="s">
        <v>11</v>
      </c>
      <c r="G41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01" s="3" t="s">
        <v>196</v>
      </c>
      <c r="I4101" s="3" t="s">
        <v>31</v>
      </c>
      <c r="J4101" s="3" t="s">
        <v>32</v>
      </c>
      <c r="K4101" s="3" t="s">
        <v>112</v>
      </c>
      <c r="L4101" s="3" t="s">
        <v>113</v>
      </c>
      <c r="M4101" s="4">
        <v>7.99</v>
      </c>
    </row>
    <row r="4102">
      <c r="A4102" s="2">
        <v>45959</v>
      </c>
      <c r="B41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2" s="3" t="str">
        <f>YEAR(KMART_DATA[[#This Row],[Date]])&amp;"-"&amp;TEXT(MONTH(KMART_DATA[[#This Row],[Date]]),"00")</f>
        <v>2025-10</v>
      </c>
      <c r="D4102" s="3" t="s">
        <v>28</v>
      </c>
      <c r="E4102" s="3" t="s">
        <v>203</v>
      </c>
      <c r="F4102" s="3" t="s">
        <v>10</v>
      </c>
      <c r="G41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02" s="3" t="s">
        <v>204</v>
      </c>
      <c r="I4102" s="3" t="s">
        <v>31</v>
      </c>
      <c r="J4102" s="3" t="s">
        <v>89</v>
      </c>
      <c r="K4102" s="3" t="s">
        <v>66</v>
      </c>
      <c r="L4102" s="3" t="s">
        <v>67</v>
      </c>
      <c r="M4102" s="4">
        <v>1480.54</v>
      </c>
    </row>
    <row r="4103">
      <c r="A4103" s="2">
        <v>45960</v>
      </c>
      <c r="B41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3" s="3" t="str">
        <f>YEAR(KMART_DATA[[#This Row],[Date]])&amp;"-"&amp;TEXT(MONTH(KMART_DATA[[#This Row],[Date]]),"00")</f>
        <v>2025-10</v>
      </c>
      <c r="D4103" s="3" t="s">
        <v>28</v>
      </c>
      <c r="E4103" s="3" t="s">
        <v>152</v>
      </c>
      <c r="F4103" s="3" t="s">
        <v>11</v>
      </c>
      <c r="G41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03" s="3" t="s">
        <v>153</v>
      </c>
      <c r="I4103" s="3" t="s">
        <v>31</v>
      </c>
      <c r="J4103" s="3" t="s">
        <v>61</v>
      </c>
      <c r="K4103" s="3" t="s">
        <v>46</v>
      </c>
      <c r="L4103" s="3" t="s">
        <v>47</v>
      </c>
      <c r="M4103" s="4">
        <v>8.0</v>
      </c>
    </row>
    <row r="4104">
      <c r="A4104" s="2">
        <v>45960</v>
      </c>
      <c r="B41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4" s="3" t="str">
        <f>YEAR(KMART_DATA[[#This Row],[Date]])&amp;"-"&amp;TEXT(MONTH(KMART_DATA[[#This Row],[Date]]),"00")</f>
        <v>2025-10</v>
      </c>
      <c r="D4104" s="3" t="s">
        <v>28</v>
      </c>
      <c r="E4104" s="3" t="s">
        <v>76</v>
      </c>
      <c r="F4104" s="3" t="s">
        <v>11</v>
      </c>
      <c r="G41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04" s="3" t="s">
        <v>77</v>
      </c>
      <c r="I4104" s="3" t="s">
        <v>31</v>
      </c>
      <c r="J4104" s="3" t="s">
        <v>78</v>
      </c>
      <c r="K4104" s="3" t="s">
        <v>43</v>
      </c>
      <c r="L4104" s="3" t="s">
        <v>44</v>
      </c>
      <c r="M4104" s="4">
        <v>57.44</v>
      </c>
    </row>
    <row r="4105">
      <c r="A4105" s="2">
        <v>45960</v>
      </c>
      <c r="B41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5" s="3" t="str">
        <f>YEAR(KMART_DATA[[#This Row],[Date]])&amp;"-"&amp;TEXT(MONTH(KMART_DATA[[#This Row],[Date]]),"00")</f>
        <v>2025-10</v>
      </c>
      <c r="D4105" s="3" t="s">
        <v>45</v>
      </c>
      <c r="E4105" s="3" t="s">
        <v>163</v>
      </c>
      <c r="F4105" s="3" t="s">
        <v>9</v>
      </c>
      <c r="G41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05" s="3" t="s">
        <v>164</v>
      </c>
      <c r="I4105" s="3" t="s">
        <v>31</v>
      </c>
      <c r="J4105" s="3" t="s">
        <v>81</v>
      </c>
      <c r="K4105" s="3" t="s">
        <v>46</v>
      </c>
      <c r="L4105" s="3" t="s">
        <v>47</v>
      </c>
      <c r="M4105" s="4">
        <v>224.8</v>
      </c>
    </row>
    <row r="4106">
      <c r="A4106" s="2">
        <v>45960</v>
      </c>
      <c r="B41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6" s="3" t="str">
        <f>YEAR(KMART_DATA[[#This Row],[Date]])&amp;"-"&amp;TEXT(MONTH(KMART_DATA[[#This Row],[Date]]),"00")</f>
        <v>2025-10</v>
      </c>
      <c r="D4106" s="3" t="s">
        <v>28</v>
      </c>
      <c r="E4106" s="3" t="s">
        <v>221</v>
      </c>
      <c r="F4106" s="3" t="s">
        <v>11</v>
      </c>
      <c r="G41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06" s="3" t="s">
        <v>222</v>
      </c>
      <c r="I4106" s="3" t="s">
        <v>31</v>
      </c>
      <c r="J4106" s="3" t="s">
        <v>56</v>
      </c>
      <c r="K4106" s="3" t="s">
        <v>71</v>
      </c>
      <c r="L4106" s="3" t="s">
        <v>72</v>
      </c>
      <c r="M4106" s="4">
        <v>337.69</v>
      </c>
    </row>
    <row r="4107">
      <c r="A4107" s="2">
        <v>45960</v>
      </c>
      <c r="B41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7" s="3" t="str">
        <f>YEAR(KMART_DATA[[#This Row],[Date]])&amp;"-"&amp;TEXT(MONTH(KMART_DATA[[#This Row],[Date]]),"00")</f>
        <v>2025-10</v>
      </c>
      <c r="D4107" s="3" t="s">
        <v>28</v>
      </c>
      <c r="E4107" s="3" t="s">
        <v>87</v>
      </c>
      <c r="F4107" s="3" t="s">
        <v>10</v>
      </c>
      <c r="G41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07" s="3" t="s">
        <v>88</v>
      </c>
      <c r="I4107" s="3" t="s">
        <v>31</v>
      </c>
      <c r="J4107" s="3" t="s">
        <v>89</v>
      </c>
      <c r="K4107" s="3" t="s">
        <v>43</v>
      </c>
      <c r="L4107" s="3" t="s">
        <v>44</v>
      </c>
      <c r="M4107" s="4">
        <v>1203.66</v>
      </c>
    </row>
    <row r="4108">
      <c r="A4108" s="2">
        <v>45961</v>
      </c>
      <c r="B41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8" s="3" t="str">
        <f>YEAR(KMART_DATA[[#This Row],[Date]])&amp;"-"&amp;TEXT(MONTH(KMART_DATA[[#This Row],[Date]]),"00")</f>
        <v>2025-10</v>
      </c>
      <c r="D4108" s="3" t="s">
        <v>28</v>
      </c>
      <c r="E4108" s="3" t="s">
        <v>244</v>
      </c>
      <c r="F4108" s="3" t="s">
        <v>13</v>
      </c>
      <c r="G41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108" s="3" t="s">
        <v>245</v>
      </c>
      <c r="I4108" s="3" t="s">
        <v>31</v>
      </c>
      <c r="J4108" s="3" t="s">
        <v>42</v>
      </c>
      <c r="K4108" s="3" t="s">
        <v>71</v>
      </c>
      <c r="L4108" s="3" t="s">
        <v>72</v>
      </c>
      <c r="M4108" s="4">
        <v>5.99</v>
      </c>
    </row>
    <row r="4109">
      <c r="A4109" s="2">
        <v>45961</v>
      </c>
      <c r="B41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09" s="3" t="str">
        <f>YEAR(KMART_DATA[[#This Row],[Date]])&amp;"-"&amp;TEXT(MONTH(KMART_DATA[[#This Row],[Date]]),"00")</f>
        <v>2025-10</v>
      </c>
      <c r="D4109" s="3" t="s">
        <v>45</v>
      </c>
      <c r="E4109" s="3" t="s">
        <v>207</v>
      </c>
      <c r="F4109" s="3" t="s">
        <v>11</v>
      </c>
      <c r="G41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09" s="3" t="s">
        <v>208</v>
      </c>
      <c r="I4109" s="3" t="s">
        <v>31</v>
      </c>
      <c r="J4109" s="3" t="s">
        <v>78</v>
      </c>
      <c r="K4109" s="3" t="s">
        <v>38</v>
      </c>
      <c r="L4109" s="3" t="s">
        <v>39</v>
      </c>
      <c r="M4109" s="4">
        <v>28.92</v>
      </c>
    </row>
    <row r="4110">
      <c r="A4110" s="2">
        <v>45961</v>
      </c>
      <c r="B41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0" s="3" t="str">
        <f>YEAR(KMART_DATA[[#This Row],[Date]])&amp;"-"&amp;TEXT(MONTH(KMART_DATA[[#This Row],[Date]]),"00")</f>
        <v>2025-10</v>
      </c>
      <c r="D4110" s="3" t="s">
        <v>28</v>
      </c>
      <c r="E4110" s="3" t="s">
        <v>73</v>
      </c>
      <c r="F4110" s="3" t="s">
        <v>9</v>
      </c>
      <c r="G41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10" s="3" t="s">
        <v>74</v>
      </c>
      <c r="I4110" s="3" t="s">
        <v>31</v>
      </c>
      <c r="J4110" s="3" t="s">
        <v>75</v>
      </c>
      <c r="K4110" s="3" t="s">
        <v>43</v>
      </c>
      <c r="L4110" s="3" t="s">
        <v>44</v>
      </c>
      <c r="M4110" s="4">
        <v>82.92</v>
      </c>
    </row>
    <row r="4111">
      <c r="A4111" s="2">
        <v>45961</v>
      </c>
      <c r="B41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1" s="3" t="str">
        <f>YEAR(KMART_DATA[[#This Row],[Date]])&amp;"-"&amp;TEXT(MONTH(KMART_DATA[[#This Row],[Date]]),"00")</f>
        <v>2025-10</v>
      </c>
      <c r="D4111" s="3" t="s">
        <v>45</v>
      </c>
      <c r="E4111" s="3" t="s">
        <v>203</v>
      </c>
      <c r="F4111" s="3" t="s">
        <v>10</v>
      </c>
      <c r="G41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11" s="3" t="s">
        <v>204</v>
      </c>
      <c r="I4111" s="3" t="s">
        <v>31</v>
      </c>
      <c r="J4111" s="3" t="s">
        <v>89</v>
      </c>
      <c r="K4111" s="3" t="s">
        <v>46</v>
      </c>
      <c r="L4111" s="3" t="s">
        <v>47</v>
      </c>
      <c r="M4111" s="4">
        <v>281.91</v>
      </c>
    </row>
    <row r="4112">
      <c r="A4112" s="2">
        <v>45961</v>
      </c>
      <c r="B41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2" s="3" t="str">
        <f>YEAR(KMART_DATA[[#This Row],[Date]])&amp;"-"&amp;TEXT(MONTH(KMART_DATA[[#This Row],[Date]]),"00")</f>
        <v>2025-10</v>
      </c>
      <c r="D4112" s="3" t="s">
        <v>45</v>
      </c>
      <c r="E4112" s="3" t="s">
        <v>256</v>
      </c>
      <c r="F4112" s="3" t="s">
        <v>9</v>
      </c>
      <c r="G41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12" s="3" t="s">
        <v>257</v>
      </c>
      <c r="I4112" s="3" t="s">
        <v>31</v>
      </c>
      <c r="J4112" s="3" t="s">
        <v>70</v>
      </c>
      <c r="K4112" s="3" t="s">
        <v>43</v>
      </c>
      <c r="L4112" s="3" t="s">
        <v>44</v>
      </c>
      <c r="M4112" s="4">
        <v>1430.29</v>
      </c>
    </row>
    <row r="4113">
      <c r="A4113" s="2">
        <v>45961</v>
      </c>
      <c r="B41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3" s="3" t="str">
        <f>YEAR(KMART_DATA[[#This Row],[Date]])&amp;"-"&amp;TEXT(MONTH(KMART_DATA[[#This Row],[Date]]),"00")</f>
        <v>2025-10</v>
      </c>
      <c r="D4113" s="3" t="s">
        <v>28</v>
      </c>
      <c r="E4113" s="3" t="s">
        <v>238</v>
      </c>
      <c r="F4113" s="3" t="s">
        <v>13</v>
      </c>
      <c r="G41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113" s="3" t="s">
        <v>239</v>
      </c>
      <c r="I4113" s="3" t="s">
        <v>31</v>
      </c>
      <c r="J4113" s="3" t="s">
        <v>42</v>
      </c>
      <c r="K4113" s="3" t="s">
        <v>57</v>
      </c>
      <c r="L4113" s="3" t="s">
        <v>58</v>
      </c>
      <c r="M4113" s="4">
        <v>2034.7</v>
      </c>
    </row>
    <row r="4114">
      <c r="A4114" s="2">
        <v>45961</v>
      </c>
      <c r="B41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4" s="3" t="str">
        <f>YEAR(KMART_DATA[[#This Row],[Date]])&amp;"-"&amp;TEXT(MONTH(KMART_DATA[[#This Row],[Date]]),"00")</f>
        <v>2025-10</v>
      </c>
      <c r="D4114" s="3" t="s">
        <v>28</v>
      </c>
      <c r="E4114" s="3" t="s">
        <v>105</v>
      </c>
      <c r="F4114" s="3" t="s">
        <v>9</v>
      </c>
      <c r="G41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14" s="3" t="s">
        <v>106</v>
      </c>
      <c r="I4114" s="3" t="s">
        <v>31</v>
      </c>
      <c r="J4114" s="3" t="s">
        <v>107</v>
      </c>
      <c r="K4114" s="3" t="s">
        <v>57</v>
      </c>
      <c r="L4114" s="3" t="s">
        <v>58</v>
      </c>
      <c r="M4114" s="4">
        <v>2200.87</v>
      </c>
    </row>
    <row r="4115">
      <c r="A4115" s="2">
        <v>45962</v>
      </c>
      <c r="B41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5" s="3" t="str">
        <f>YEAR(KMART_DATA[[#This Row],[Date]])&amp;"-"&amp;TEXT(MONTH(KMART_DATA[[#This Row],[Date]]),"00")</f>
        <v>2025-11</v>
      </c>
      <c r="D4115" s="3" t="s">
        <v>28</v>
      </c>
      <c r="E4115" s="3" t="s">
        <v>160</v>
      </c>
      <c r="F4115" s="3" t="s">
        <v>12</v>
      </c>
      <c r="G41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15" s="3" t="s">
        <v>161</v>
      </c>
      <c r="I4115" s="3" t="s">
        <v>31</v>
      </c>
      <c r="J4115" s="3" t="s">
        <v>162</v>
      </c>
      <c r="K4115" s="3" t="s">
        <v>95</v>
      </c>
      <c r="L4115" s="3" t="s">
        <v>96</v>
      </c>
      <c r="M4115" s="4">
        <v>1.5</v>
      </c>
    </row>
    <row r="4116">
      <c r="A4116" s="2">
        <v>45962</v>
      </c>
      <c r="B41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6" s="3" t="str">
        <f>YEAR(KMART_DATA[[#This Row],[Date]])&amp;"-"&amp;TEXT(MONTH(KMART_DATA[[#This Row],[Date]]),"00")</f>
        <v>2025-11</v>
      </c>
      <c r="D4116" s="3" t="s">
        <v>28</v>
      </c>
      <c r="E4116" s="3" t="s">
        <v>100</v>
      </c>
      <c r="F4116" s="3" t="s">
        <v>12</v>
      </c>
      <c r="G41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16" s="3" t="s">
        <v>101</v>
      </c>
      <c r="I4116" s="3" t="s">
        <v>31</v>
      </c>
      <c r="J4116" s="3" t="s">
        <v>102</v>
      </c>
      <c r="K4116" s="3" t="s">
        <v>33</v>
      </c>
      <c r="L4116" s="3" t="s">
        <v>34</v>
      </c>
      <c r="M4116" s="4">
        <v>4.99</v>
      </c>
    </row>
    <row r="4117">
      <c r="A4117" s="2">
        <v>45962</v>
      </c>
      <c r="B41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7" s="3" t="str">
        <f>YEAR(KMART_DATA[[#This Row],[Date]])&amp;"-"&amp;TEXT(MONTH(KMART_DATA[[#This Row],[Date]]),"00")</f>
        <v>2025-11</v>
      </c>
      <c r="D4117" s="3" t="s">
        <v>45</v>
      </c>
      <c r="E4117" s="3" t="s">
        <v>114</v>
      </c>
      <c r="F4117" s="3" t="s">
        <v>9</v>
      </c>
      <c r="G41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17" s="3" t="s">
        <v>115</v>
      </c>
      <c r="I4117" s="3" t="s">
        <v>31</v>
      </c>
      <c r="J4117" s="3" t="s">
        <v>99</v>
      </c>
      <c r="K4117" s="3" t="s">
        <v>112</v>
      </c>
      <c r="L4117" s="3" t="s">
        <v>113</v>
      </c>
      <c r="M4117" s="4">
        <v>35.88</v>
      </c>
    </row>
    <row r="4118">
      <c r="A4118" s="2">
        <v>45962</v>
      </c>
      <c r="B41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8" s="3" t="str">
        <f>YEAR(KMART_DATA[[#This Row],[Date]])&amp;"-"&amp;TEXT(MONTH(KMART_DATA[[#This Row],[Date]]),"00")</f>
        <v>2025-11</v>
      </c>
      <c r="D4118" s="3" t="s">
        <v>28</v>
      </c>
      <c r="E4118" s="3" t="s">
        <v>165</v>
      </c>
      <c r="F4118" s="3" t="s">
        <v>9</v>
      </c>
      <c r="G41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18" s="3" t="s">
        <v>166</v>
      </c>
      <c r="I4118" s="3" t="s">
        <v>31</v>
      </c>
      <c r="J4118" s="3" t="s">
        <v>99</v>
      </c>
      <c r="K4118" s="3" t="s">
        <v>71</v>
      </c>
      <c r="L4118" s="3" t="s">
        <v>72</v>
      </c>
      <c r="M4118" s="4">
        <v>73.93</v>
      </c>
    </row>
    <row r="4119">
      <c r="A4119" s="2">
        <v>45962</v>
      </c>
      <c r="B41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19" s="3" t="str">
        <f>YEAR(KMART_DATA[[#This Row],[Date]])&amp;"-"&amp;TEXT(MONTH(KMART_DATA[[#This Row],[Date]]),"00")</f>
        <v>2025-11</v>
      </c>
      <c r="D4119" s="3" t="s">
        <v>45</v>
      </c>
      <c r="E4119" s="3" t="s">
        <v>114</v>
      </c>
      <c r="F4119" s="3" t="s">
        <v>9</v>
      </c>
      <c r="G41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19" s="3" t="s">
        <v>115</v>
      </c>
      <c r="I4119" s="3" t="s">
        <v>31</v>
      </c>
      <c r="J4119" s="3" t="s">
        <v>99</v>
      </c>
      <c r="K4119" s="3" t="s">
        <v>66</v>
      </c>
      <c r="L4119" s="3" t="s">
        <v>67</v>
      </c>
      <c r="M4119" s="4">
        <v>85.65</v>
      </c>
    </row>
    <row r="4120">
      <c r="A4120" s="2">
        <v>45962</v>
      </c>
      <c r="B41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0" s="3" t="str">
        <f>YEAR(KMART_DATA[[#This Row],[Date]])&amp;"-"&amp;TEXT(MONTH(KMART_DATA[[#This Row],[Date]]),"00")</f>
        <v>2025-11</v>
      </c>
      <c r="D4120" s="3" t="s">
        <v>28</v>
      </c>
      <c r="E4120" s="3" t="s">
        <v>183</v>
      </c>
      <c r="F4120" s="3" t="s">
        <v>9</v>
      </c>
      <c r="G41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20" s="3" t="s">
        <v>184</v>
      </c>
      <c r="I4120" s="3" t="s">
        <v>31</v>
      </c>
      <c r="J4120" s="3" t="s">
        <v>70</v>
      </c>
      <c r="K4120" s="3" t="s">
        <v>43</v>
      </c>
      <c r="L4120" s="3" t="s">
        <v>44</v>
      </c>
      <c r="M4120" s="4">
        <v>358.05</v>
      </c>
    </row>
    <row r="4121">
      <c r="A4121" s="2">
        <v>45962</v>
      </c>
      <c r="B41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1" s="3" t="str">
        <f>YEAR(KMART_DATA[[#This Row],[Date]])&amp;"-"&amp;TEXT(MONTH(KMART_DATA[[#This Row],[Date]]),"00")</f>
        <v>2025-11</v>
      </c>
      <c r="D4121" s="3" t="s">
        <v>45</v>
      </c>
      <c r="E4121" s="3" t="s">
        <v>177</v>
      </c>
      <c r="F4121" s="3" t="s">
        <v>12</v>
      </c>
      <c r="G41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21" s="3" t="s">
        <v>178</v>
      </c>
      <c r="I4121" s="3" t="s">
        <v>31</v>
      </c>
      <c r="J4121" s="3" t="s">
        <v>162</v>
      </c>
      <c r="K4121" s="3" t="s">
        <v>38</v>
      </c>
      <c r="L4121" s="3" t="s">
        <v>39</v>
      </c>
      <c r="M4121" s="4">
        <v>816.98</v>
      </c>
    </row>
    <row r="4122">
      <c r="A4122" s="2">
        <v>45962</v>
      </c>
      <c r="B41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2" s="3" t="str">
        <f>YEAR(KMART_DATA[[#This Row],[Date]])&amp;"-"&amp;TEXT(MONTH(KMART_DATA[[#This Row],[Date]]),"00")</f>
        <v>2025-11</v>
      </c>
      <c r="D4122" s="3" t="s">
        <v>28</v>
      </c>
      <c r="E4122" s="3" t="s">
        <v>244</v>
      </c>
      <c r="F4122" s="3" t="s">
        <v>13</v>
      </c>
      <c r="G41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122" s="3" t="s">
        <v>245</v>
      </c>
      <c r="I4122" s="3" t="s">
        <v>31</v>
      </c>
      <c r="J4122" s="3" t="s">
        <v>42</v>
      </c>
      <c r="K4122" s="3" t="s">
        <v>95</v>
      </c>
      <c r="L4122" s="3" t="s">
        <v>96</v>
      </c>
      <c r="M4122" s="4">
        <v>1372.41</v>
      </c>
    </row>
    <row r="4123">
      <c r="A4123" s="2">
        <v>45963</v>
      </c>
      <c r="B41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3" s="3" t="str">
        <f>YEAR(KMART_DATA[[#This Row],[Date]])&amp;"-"&amp;TEXT(MONTH(KMART_DATA[[#This Row],[Date]]),"00")</f>
        <v>2025-11</v>
      </c>
      <c r="D4123" s="3" t="s">
        <v>28</v>
      </c>
      <c r="E4123" s="3" t="s">
        <v>225</v>
      </c>
      <c r="F4123" s="3" t="s">
        <v>13</v>
      </c>
      <c r="G41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123" s="3" t="s">
        <v>226</v>
      </c>
      <c r="I4123" s="3" t="s">
        <v>31</v>
      </c>
      <c r="J4123" s="3" t="s">
        <v>227</v>
      </c>
      <c r="K4123" s="3" t="s">
        <v>38</v>
      </c>
      <c r="L4123" s="3" t="s">
        <v>39</v>
      </c>
      <c r="M4123" s="4">
        <v>22.29</v>
      </c>
    </row>
    <row r="4124">
      <c r="A4124" s="2">
        <v>45963</v>
      </c>
      <c r="B41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4" s="3" t="str">
        <f>YEAR(KMART_DATA[[#This Row],[Date]])&amp;"-"&amp;TEXT(MONTH(KMART_DATA[[#This Row],[Date]]),"00")</f>
        <v>2025-11</v>
      </c>
      <c r="D4124" s="3" t="s">
        <v>28</v>
      </c>
      <c r="E4124" s="3" t="s">
        <v>114</v>
      </c>
      <c r="F4124" s="3" t="s">
        <v>9</v>
      </c>
      <c r="G41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24" s="3" t="s">
        <v>115</v>
      </c>
      <c r="I4124" s="3" t="s">
        <v>31</v>
      </c>
      <c r="J4124" s="3" t="s">
        <v>99</v>
      </c>
      <c r="K4124" s="3" t="s">
        <v>57</v>
      </c>
      <c r="L4124" s="3" t="s">
        <v>58</v>
      </c>
      <c r="M4124" s="4">
        <v>128.09</v>
      </c>
    </row>
    <row r="4125">
      <c r="A4125" s="2">
        <v>45963</v>
      </c>
      <c r="B41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5" s="3" t="str">
        <f>YEAR(KMART_DATA[[#This Row],[Date]])&amp;"-"&amp;TEXT(MONTH(KMART_DATA[[#This Row],[Date]]),"00")</f>
        <v>2025-11</v>
      </c>
      <c r="D4125" s="3" t="s">
        <v>28</v>
      </c>
      <c r="E4125" s="3" t="s">
        <v>248</v>
      </c>
      <c r="F4125" s="3" t="s">
        <v>12</v>
      </c>
      <c r="G41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25" s="3" t="s">
        <v>249</v>
      </c>
      <c r="I4125" s="3" t="s">
        <v>31</v>
      </c>
      <c r="J4125" s="3" t="s">
        <v>162</v>
      </c>
      <c r="K4125" s="3" t="s">
        <v>43</v>
      </c>
      <c r="L4125" s="3" t="s">
        <v>44</v>
      </c>
      <c r="M4125" s="4">
        <v>212.91</v>
      </c>
    </row>
    <row r="4126">
      <c r="A4126" s="2">
        <v>45963</v>
      </c>
      <c r="B41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6" s="3" t="str">
        <f>YEAR(KMART_DATA[[#This Row],[Date]])&amp;"-"&amp;TEXT(MONTH(KMART_DATA[[#This Row],[Date]]),"00")</f>
        <v>2025-11</v>
      </c>
      <c r="D4126" s="3" t="s">
        <v>28</v>
      </c>
      <c r="E4126" s="3" t="s">
        <v>165</v>
      </c>
      <c r="F4126" s="3" t="s">
        <v>9</v>
      </c>
      <c r="G41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26" s="3" t="s">
        <v>166</v>
      </c>
      <c r="I4126" s="3" t="s">
        <v>31</v>
      </c>
      <c r="J4126" s="3" t="s">
        <v>99</v>
      </c>
      <c r="K4126" s="3" t="s">
        <v>46</v>
      </c>
      <c r="L4126" s="3" t="s">
        <v>47</v>
      </c>
      <c r="M4126" s="4">
        <v>372.65</v>
      </c>
    </row>
    <row r="4127">
      <c r="A4127" s="2">
        <v>45964</v>
      </c>
      <c r="B41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7" s="3" t="str">
        <f>YEAR(KMART_DATA[[#This Row],[Date]])&amp;"-"&amp;TEXT(MONTH(KMART_DATA[[#This Row],[Date]]),"00")</f>
        <v>2025-11</v>
      </c>
      <c r="D4127" s="3" t="s">
        <v>28</v>
      </c>
      <c r="E4127" s="3" t="s">
        <v>103</v>
      </c>
      <c r="F4127" s="3" t="s">
        <v>12</v>
      </c>
      <c r="G41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27" s="3" t="s">
        <v>104</v>
      </c>
      <c r="I4127" s="3" t="s">
        <v>31</v>
      </c>
      <c r="J4127" s="3" t="s">
        <v>102</v>
      </c>
      <c r="K4127" s="3" t="s">
        <v>95</v>
      </c>
      <c r="L4127" s="3" t="s">
        <v>96</v>
      </c>
      <c r="M4127" s="4">
        <v>3.66</v>
      </c>
    </row>
    <row r="4128">
      <c r="A4128" s="2">
        <v>45964</v>
      </c>
      <c r="B41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8" s="3" t="str">
        <f>YEAR(KMART_DATA[[#This Row],[Date]])&amp;"-"&amp;TEXT(MONTH(KMART_DATA[[#This Row],[Date]]),"00")</f>
        <v>2025-11</v>
      </c>
      <c r="D4128" s="3" t="s">
        <v>28</v>
      </c>
      <c r="E4128" s="3" t="s">
        <v>118</v>
      </c>
      <c r="F4128" s="3" t="s">
        <v>10</v>
      </c>
      <c r="G41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28" s="3" t="s">
        <v>119</v>
      </c>
      <c r="I4128" s="3" t="s">
        <v>31</v>
      </c>
      <c r="J4128" s="3" t="s">
        <v>120</v>
      </c>
      <c r="K4128" s="3" t="s">
        <v>43</v>
      </c>
      <c r="L4128" s="3" t="s">
        <v>44</v>
      </c>
      <c r="M4128" s="4">
        <v>4.6</v>
      </c>
    </row>
    <row r="4129">
      <c r="A4129" s="2">
        <v>45964</v>
      </c>
      <c r="B41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29" s="3" t="str">
        <f>YEAR(KMART_DATA[[#This Row],[Date]])&amp;"-"&amp;TEXT(MONTH(KMART_DATA[[#This Row],[Date]]),"00")</f>
        <v>2025-11</v>
      </c>
      <c r="D4129" s="3" t="s">
        <v>28</v>
      </c>
      <c r="E4129" s="3" t="s">
        <v>82</v>
      </c>
      <c r="F4129" s="3" t="s">
        <v>11</v>
      </c>
      <c r="G41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29" s="3" t="s">
        <v>83</v>
      </c>
      <c r="I4129" s="3" t="s">
        <v>31</v>
      </c>
      <c r="J4129" s="3" t="s">
        <v>84</v>
      </c>
      <c r="K4129" s="3" t="s">
        <v>33</v>
      </c>
      <c r="L4129" s="3" t="s">
        <v>34</v>
      </c>
      <c r="M4129" s="4">
        <v>9.97</v>
      </c>
    </row>
    <row r="4130">
      <c r="A4130" s="2">
        <v>45964</v>
      </c>
      <c r="B41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0" s="3" t="str">
        <f>YEAR(KMART_DATA[[#This Row],[Date]])&amp;"-"&amp;TEXT(MONTH(KMART_DATA[[#This Row],[Date]]),"00")</f>
        <v>2025-11</v>
      </c>
      <c r="D4130" s="3" t="s">
        <v>45</v>
      </c>
      <c r="E4130" s="3" t="s">
        <v>105</v>
      </c>
      <c r="F4130" s="3" t="s">
        <v>9</v>
      </c>
      <c r="G41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30" s="3" t="s">
        <v>106</v>
      </c>
      <c r="I4130" s="3" t="s">
        <v>31</v>
      </c>
      <c r="J4130" s="3" t="s">
        <v>107</v>
      </c>
      <c r="K4130" s="3" t="s">
        <v>33</v>
      </c>
      <c r="L4130" s="3" t="s">
        <v>34</v>
      </c>
      <c r="M4130" s="4">
        <v>24.97</v>
      </c>
    </row>
    <row r="4131">
      <c r="A4131" s="2">
        <v>45964</v>
      </c>
      <c r="B41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1" s="3" t="str">
        <f>YEAR(KMART_DATA[[#This Row],[Date]])&amp;"-"&amp;TEXT(MONTH(KMART_DATA[[#This Row],[Date]]),"00")</f>
        <v>2025-11</v>
      </c>
      <c r="D4131" s="3" t="s">
        <v>28</v>
      </c>
      <c r="E4131" s="3" t="s">
        <v>125</v>
      </c>
      <c r="F4131" s="3" t="s">
        <v>10</v>
      </c>
      <c r="G41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31" s="3" t="s">
        <v>126</v>
      </c>
      <c r="I4131" s="3" t="s">
        <v>31</v>
      </c>
      <c r="J4131" s="3" t="s">
        <v>94</v>
      </c>
      <c r="K4131" s="3" t="s">
        <v>43</v>
      </c>
      <c r="L4131" s="3" t="s">
        <v>44</v>
      </c>
      <c r="M4131" s="4">
        <v>45.0</v>
      </c>
    </row>
    <row r="4132">
      <c r="A4132" s="2">
        <v>45964</v>
      </c>
      <c r="B41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2" s="3" t="str">
        <f>YEAR(KMART_DATA[[#This Row],[Date]])&amp;"-"&amp;TEXT(MONTH(KMART_DATA[[#This Row],[Date]]),"00")</f>
        <v>2025-11</v>
      </c>
      <c r="D4132" s="3" t="s">
        <v>28</v>
      </c>
      <c r="E4132" s="3" t="s">
        <v>114</v>
      </c>
      <c r="F4132" s="3" t="s">
        <v>9</v>
      </c>
      <c r="G41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32" s="3" t="s">
        <v>115</v>
      </c>
      <c r="I4132" s="3" t="s">
        <v>31</v>
      </c>
      <c r="J4132" s="3" t="s">
        <v>99</v>
      </c>
      <c r="K4132" s="3" t="s">
        <v>95</v>
      </c>
      <c r="L4132" s="3" t="s">
        <v>96</v>
      </c>
      <c r="M4132" s="4">
        <v>142.89</v>
      </c>
    </row>
    <row r="4133">
      <c r="A4133" s="2">
        <v>45964</v>
      </c>
      <c r="B41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3" s="3" t="str">
        <f>YEAR(KMART_DATA[[#This Row],[Date]])&amp;"-"&amp;TEXT(MONTH(KMART_DATA[[#This Row],[Date]]),"00")</f>
        <v>2025-11</v>
      </c>
      <c r="D4133" s="3" t="s">
        <v>28</v>
      </c>
      <c r="E4133" s="3" t="s">
        <v>48</v>
      </c>
      <c r="F4133" s="3" t="s">
        <v>12</v>
      </c>
      <c r="G41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33" s="3" t="s">
        <v>49</v>
      </c>
      <c r="I4133" s="3" t="s">
        <v>31</v>
      </c>
      <c r="J4133" s="3" t="s">
        <v>50</v>
      </c>
      <c r="K4133" s="3" t="s">
        <v>46</v>
      </c>
      <c r="L4133" s="3" t="s">
        <v>47</v>
      </c>
      <c r="M4133" s="4">
        <v>523.91</v>
      </c>
    </row>
    <row r="4134">
      <c r="A4134" s="2">
        <v>45964</v>
      </c>
      <c r="B41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4" s="3" t="str">
        <f>YEAR(KMART_DATA[[#This Row],[Date]])&amp;"-"&amp;TEXT(MONTH(KMART_DATA[[#This Row],[Date]]),"00")</f>
        <v>2025-11</v>
      </c>
      <c r="D4134" s="3" t="s">
        <v>45</v>
      </c>
      <c r="E4134" s="3" t="s">
        <v>250</v>
      </c>
      <c r="F4134" s="3" t="s">
        <v>10</v>
      </c>
      <c r="G41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34" s="3" t="s">
        <v>251</v>
      </c>
      <c r="I4134" s="3" t="s">
        <v>31</v>
      </c>
      <c r="J4134" s="3" t="s">
        <v>37</v>
      </c>
      <c r="K4134" s="3" t="s">
        <v>66</v>
      </c>
      <c r="L4134" s="3" t="s">
        <v>67</v>
      </c>
      <c r="M4134" s="4">
        <v>903.89</v>
      </c>
    </row>
    <row r="4135">
      <c r="A4135" s="2">
        <v>45965</v>
      </c>
      <c r="B41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5" s="3" t="str">
        <f>YEAR(KMART_DATA[[#This Row],[Date]])&amp;"-"&amp;TEXT(MONTH(KMART_DATA[[#This Row],[Date]]),"00")</f>
        <v>2025-11</v>
      </c>
      <c r="D4135" s="3" t="s">
        <v>28</v>
      </c>
      <c r="E4135" s="3" t="s">
        <v>209</v>
      </c>
      <c r="F4135" s="3" t="s">
        <v>9</v>
      </c>
      <c r="G41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35" s="3" t="s">
        <v>210</v>
      </c>
      <c r="I4135" s="3" t="s">
        <v>31</v>
      </c>
      <c r="J4135" s="3" t="s">
        <v>81</v>
      </c>
      <c r="K4135" s="3" t="s">
        <v>43</v>
      </c>
      <c r="L4135" s="3" t="s">
        <v>44</v>
      </c>
      <c r="M4135" s="4">
        <v>48.83</v>
      </c>
    </row>
    <row r="4136">
      <c r="A4136" s="2">
        <v>45965</v>
      </c>
      <c r="B41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6" s="3" t="str">
        <f>YEAR(KMART_DATA[[#This Row],[Date]])&amp;"-"&amp;TEXT(MONTH(KMART_DATA[[#This Row],[Date]]),"00")</f>
        <v>2025-11</v>
      </c>
      <c r="D4136" s="3" t="s">
        <v>28</v>
      </c>
      <c r="E4136" s="3" t="s">
        <v>139</v>
      </c>
      <c r="F4136" s="3" t="s">
        <v>10</v>
      </c>
      <c r="G41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36" s="3" t="s">
        <v>140</v>
      </c>
      <c r="I4136" s="3" t="s">
        <v>31</v>
      </c>
      <c r="J4136" s="3" t="s">
        <v>89</v>
      </c>
      <c r="K4136" s="3" t="s">
        <v>71</v>
      </c>
      <c r="L4136" s="3" t="s">
        <v>72</v>
      </c>
      <c r="M4136" s="4">
        <v>98.41</v>
      </c>
    </row>
    <row r="4137">
      <c r="A4137" s="2">
        <v>45965</v>
      </c>
      <c r="B41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7" s="3" t="str">
        <f>YEAR(KMART_DATA[[#This Row],[Date]])&amp;"-"&amp;TEXT(MONTH(KMART_DATA[[#This Row],[Date]]),"00")</f>
        <v>2025-11</v>
      </c>
      <c r="D4137" s="3" t="s">
        <v>45</v>
      </c>
      <c r="E4137" s="3" t="s">
        <v>232</v>
      </c>
      <c r="F4137" s="3" t="s">
        <v>9</v>
      </c>
      <c r="G41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37" s="3" t="s">
        <v>233</v>
      </c>
      <c r="I4137" s="3" t="s">
        <v>31</v>
      </c>
      <c r="J4137" s="3" t="s">
        <v>75</v>
      </c>
      <c r="K4137" s="3" t="s">
        <v>66</v>
      </c>
      <c r="L4137" s="3" t="s">
        <v>67</v>
      </c>
      <c r="M4137" s="4">
        <v>114.82</v>
      </c>
    </row>
    <row r="4138">
      <c r="A4138" s="2">
        <v>45965</v>
      </c>
      <c r="B41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8" s="3" t="str">
        <f>YEAR(KMART_DATA[[#This Row],[Date]])&amp;"-"&amp;TEXT(MONTH(KMART_DATA[[#This Row],[Date]]),"00")</f>
        <v>2025-11</v>
      </c>
      <c r="D4138" s="3" t="s">
        <v>28</v>
      </c>
      <c r="E4138" s="3" t="s">
        <v>209</v>
      </c>
      <c r="F4138" s="3" t="s">
        <v>9</v>
      </c>
      <c r="G41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38" s="3" t="s">
        <v>210</v>
      </c>
      <c r="I4138" s="3" t="s">
        <v>31</v>
      </c>
      <c r="J4138" s="3" t="s">
        <v>81</v>
      </c>
      <c r="K4138" s="3" t="s">
        <v>123</v>
      </c>
      <c r="L4138" s="3" t="s">
        <v>124</v>
      </c>
      <c r="M4138" s="4">
        <v>151.13</v>
      </c>
    </row>
    <row r="4139">
      <c r="A4139" s="2">
        <v>45965</v>
      </c>
      <c r="B41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39" s="3" t="str">
        <f>YEAR(KMART_DATA[[#This Row],[Date]])&amp;"-"&amp;TEXT(MONTH(KMART_DATA[[#This Row],[Date]]),"00")</f>
        <v>2025-11</v>
      </c>
      <c r="D4139" s="3" t="s">
        <v>28</v>
      </c>
      <c r="E4139" s="3" t="s">
        <v>181</v>
      </c>
      <c r="F4139" s="3" t="s">
        <v>11</v>
      </c>
      <c r="G41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39" s="3" t="s">
        <v>182</v>
      </c>
      <c r="I4139" s="3" t="s">
        <v>31</v>
      </c>
      <c r="J4139" s="3" t="s">
        <v>56</v>
      </c>
      <c r="K4139" s="3" t="s">
        <v>46</v>
      </c>
      <c r="L4139" s="3" t="s">
        <v>47</v>
      </c>
      <c r="M4139" s="4">
        <v>185.83</v>
      </c>
    </row>
    <row r="4140">
      <c r="A4140" s="2">
        <v>45965</v>
      </c>
      <c r="B41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0" s="3" t="str">
        <f>YEAR(KMART_DATA[[#This Row],[Date]])&amp;"-"&amp;TEXT(MONTH(KMART_DATA[[#This Row],[Date]]),"00")</f>
        <v>2025-11</v>
      </c>
      <c r="D4140" s="3" t="s">
        <v>28</v>
      </c>
      <c r="E4140" s="3" t="s">
        <v>250</v>
      </c>
      <c r="F4140" s="3" t="s">
        <v>10</v>
      </c>
      <c r="G41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40" s="3" t="s">
        <v>251</v>
      </c>
      <c r="I4140" s="3" t="s">
        <v>31</v>
      </c>
      <c r="J4140" s="3" t="s">
        <v>37</v>
      </c>
      <c r="K4140" s="3" t="s">
        <v>95</v>
      </c>
      <c r="L4140" s="3" t="s">
        <v>96</v>
      </c>
      <c r="M4140" s="4">
        <v>198.75</v>
      </c>
    </row>
    <row r="4141">
      <c r="A4141" s="2">
        <v>45965</v>
      </c>
      <c r="B41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1" s="3" t="str">
        <f>YEAR(KMART_DATA[[#This Row],[Date]])&amp;"-"&amp;TEXT(MONTH(KMART_DATA[[#This Row],[Date]]),"00")</f>
        <v>2025-11</v>
      </c>
      <c r="D4141" s="3" t="s">
        <v>45</v>
      </c>
      <c r="E4141" s="3" t="s">
        <v>90</v>
      </c>
      <c r="F4141" s="3" t="s">
        <v>10</v>
      </c>
      <c r="G41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41" s="3" t="s">
        <v>91</v>
      </c>
      <c r="I4141" s="3" t="s">
        <v>31</v>
      </c>
      <c r="J4141" s="3" t="s">
        <v>37</v>
      </c>
      <c r="K4141" s="3" t="s">
        <v>38</v>
      </c>
      <c r="L4141" s="3" t="s">
        <v>39</v>
      </c>
      <c r="M4141" s="4">
        <v>574.99</v>
      </c>
    </row>
    <row r="4142">
      <c r="A4142" s="2">
        <v>45965</v>
      </c>
      <c r="B41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2" s="3" t="str">
        <f>YEAR(KMART_DATA[[#This Row],[Date]])&amp;"-"&amp;TEXT(MONTH(KMART_DATA[[#This Row],[Date]]),"00")</f>
        <v>2025-11</v>
      </c>
      <c r="D4142" s="3" t="s">
        <v>28</v>
      </c>
      <c r="E4142" s="3" t="s">
        <v>219</v>
      </c>
      <c r="F4142" s="3" t="s">
        <v>11</v>
      </c>
      <c r="G41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42" s="3" t="s">
        <v>220</v>
      </c>
      <c r="I4142" s="3" t="s">
        <v>31</v>
      </c>
      <c r="J4142" s="3" t="s">
        <v>56</v>
      </c>
      <c r="K4142" s="3" t="s">
        <v>38</v>
      </c>
      <c r="L4142" s="3" t="s">
        <v>39</v>
      </c>
      <c r="M4142" s="4">
        <v>615.93</v>
      </c>
    </row>
    <row r="4143">
      <c r="A4143" s="2">
        <v>45965</v>
      </c>
      <c r="B41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3" s="3" t="str">
        <f>YEAR(KMART_DATA[[#This Row],[Date]])&amp;"-"&amp;TEXT(MONTH(KMART_DATA[[#This Row],[Date]]),"00")</f>
        <v>2025-11</v>
      </c>
      <c r="D4143" s="3" t="s">
        <v>28</v>
      </c>
      <c r="E4143" s="3" t="s">
        <v>187</v>
      </c>
      <c r="F4143" s="3" t="s">
        <v>11</v>
      </c>
      <c r="G41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43" s="3" t="s">
        <v>188</v>
      </c>
      <c r="I4143" s="3" t="s">
        <v>31</v>
      </c>
      <c r="J4143" s="3" t="s">
        <v>78</v>
      </c>
      <c r="K4143" s="3" t="s">
        <v>57</v>
      </c>
      <c r="L4143" s="3" t="s">
        <v>58</v>
      </c>
      <c r="M4143" s="4">
        <v>1681.41</v>
      </c>
    </row>
    <row r="4144">
      <c r="A4144" s="2">
        <v>45965</v>
      </c>
      <c r="B41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4" s="3" t="str">
        <f>YEAR(KMART_DATA[[#This Row],[Date]])&amp;"-"&amp;TEXT(MONTH(KMART_DATA[[#This Row],[Date]]),"00")</f>
        <v>2025-11</v>
      </c>
      <c r="D4144" s="3" t="s">
        <v>28</v>
      </c>
      <c r="E4144" s="3" t="s">
        <v>143</v>
      </c>
      <c r="F4144" s="3" t="s">
        <v>14</v>
      </c>
      <c r="G41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144" s="3" t="s">
        <v>144</v>
      </c>
      <c r="I4144" s="3" t="s">
        <v>31</v>
      </c>
      <c r="J4144" s="3" t="s">
        <v>145</v>
      </c>
      <c r="K4144" s="3" t="s">
        <v>57</v>
      </c>
      <c r="L4144" s="3" t="s">
        <v>58</v>
      </c>
      <c r="M4144" s="4">
        <v>2654.02</v>
      </c>
    </row>
    <row r="4145">
      <c r="A4145" s="2">
        <v>45966</v>
      </c>
      <c r="B41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5" s="3" t="str">
        <f>YEAR(KMART_DATA[[#This Row],[Date]])&amp;"-"&amp;TEXT(MONTH(KMART_DATA[[#This Row],[Date]]),"00")</f>
        <v>2025-11</v>
      </c>
      <c r="D4145" s="3" t="s">
        <v>28</v>
      </c>
      <c r="E4145" s="3" t="s">
        <v>262</v>
      </c>
      <c r="F4145" s="3" t="s">
        <v>10</v>
      </c>
      <c r="G41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45" s="3" t="s">
        <v>263</v>
      </c>
      <c r="I4145" s="3" t="s">
        <v>31</v>
      </c>
      <c r="J4145" s="3" t="s">
        <v>120</v>
      </c>
      <c r="K4145" s="3" t="s">
        <v>43</v>
      </c>
      <c r="L4145" s="3" t="s">
        <v>44</v>
      </c>
      <c r="M4145" s="4">
        <v>2.78</v>
      </c>
    </row>
    <row r="4146">
      <c r="A4146" s="2">
        <v>45966</v>
      </c>
      <c r="B41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6" s="3" t="str">
        <f>YEAR(KMART_DATA[[#This Row],[Date]])&amp;"-"&amp;TEXT(MONTH(KMART_DATA[[#This Row],[Date]]),"00")</f>
        <v>2025-11</v>
      </c>
      <c r="D4146" s="3" t="s">
        <v>45</v>
      </c>
      <c r="E4146" s="3" t="s">
        <v>103</v>
      </c>
      <c r="F4146" s="3" t="s">
        <v>12</v>
      </c>
      <c r="G41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46" s="3" t="s">
        <v>104</v>
      </c>
      <c r="I4146" s="3" t="s">
        <v>31</v>
      </c>
      <c r="J4146" s="3" t="s">
        <v>102</v>
      </c>
      <c r="K4146" s="3" t="s">
        <v>46</v>
      </c>
      <c r="L4146" s="3" t="s">
        <v>47</v>
      </c>
      <c r="M4146" s="4">
        <v>1746.34</v>
      </c>
    </row>
    <row r="4147">
      <c r="A4147" s="2">
        <v>45966</v>
      </c>
      <c r="B41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7" s="3" t="str">
        <f>YEAR(KMART_DATA[[#This Row],[Date]])&amp;"-"&amp;TEXT(MONTH(KMART_DATA[[#This Row],[Date]]),"00")</f>
        <v>2025-11</v>
      </c>
      <c r="D4147" s="3" t="s">
        <v>28</v>
      </c>
      <c r="E4147" s="3" t="s">
        <v>254</v>
      </c>
      <c r="F4147" s="3" t="s">
        <v>13</v>
      </c>
      <c r="G41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147" s="3" t="s">
        <v>255</v>
      </c>
      <c r="I4147" s="3" t="s">
        <v>31</v>
      </c>
      <c r="J4147" s="3" t="s">
        <v>227</v>
      </c>
      <c r="K4147" s="3" t="s">
        <v>71</v>
      </c>
      <c r="L4147" s="3" t="s">
        <v>72</v>
      </c>
      <c r="M4147" s="4">
        <v>3190.32</v>
      </c>
    </row>
    <row r="4148">
      <c r="A4148" s="2">
        <v>45966</v>
      </c>
      <c r="B41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8" s="3" t="str">
        <f>YEAR(KMART_DATA[[#This Row],[Date]])&amp;"-"&amp;TEXT(MONTH(KMART_DATA[[#This Row],[Date]]),"00")</f>
        <v>2025-11</v>
      </c>
      <c r="D4148" s="3" t="s">
        <v>28</v>
      </c>
      <c r="E4148" s="3" t="s">
        <v>203</v>
      </c>
      <c r="F4148" s="3" t="s">
        <v>10</v>
      </c>
      <c r="G41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48" s="3" t="s">
        <v>204</v>
      </c>
      <c r="I4148" s="3" t="s">
        <v>31</v>
      </c>
      <c r="J4148" s="3" t="s">
        <v>89</v>
      </c>
      <c r="K4148" s="3" t="s">
        <v>95</v>
      </c>
      <c r="L4148" s="3" t="s">
        <v>96</v>
      </c>
      <c r="M4148" s="4">
        <v>7828.06</v>
      </c>
    </row>
    <row r="4149">
      <c r="A4149" s="2">
        <v>45967</v>
      </c>
      <c r="B41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49" s="3" t="str">
        <f>YEAR(KMART_DATA[[#This Row],[Date]])&amp;"-"&amp;TEXT(MONTH(KMART_DATA[[#This Row],[Date]]),"00")</f>
        <v>2025-11</v>
      </c>
      <c r="D4149" s="3" t="s">
        <v>45</v>
      </c>
      <c r="E4149" s="3" t="s">
        <v>118</v>
      </c>
      <c r="F4149" s="3" t="s">
        <v>10</v>
      </c>
      <c r="G41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49" s="3" t="s">
        <v>119</v>
      </c>
      <c r="I4149" s="3" t="s">
        <v>31</v>
      </c>
      <c r="J4149" s="3" t="s">
        <v>120</v>
      </c>
      <c r="K4149" s="3" t="s">
        <v>57</v>
      </c>
      <c r="L4149" s="3" t="s">
        <v>58</v>
      </c>
      <c r="M4149" s="4">
        <v>59.94</v>
      </c>
    </row>
    <row r="4150">
      <c r="A4150" s="2">
        <v>45967</v>
      </c>
      <c r="B41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0" s="3" t="str">
        <f>YEAR(KMART_DATA[[#This Row],[Date]])&amp;"-"&amp;TEXT(MONTH(KMART_DATA[[#This Row],[Date]]),"00")</f>
        <v>2025-11</v>
      </c>
      <c r="D4150" s="3" t="s">
        <v>28</v>
      </c>
      <c r="E4150" s="3" t="s">
        <v>51</v>
      </c>
      <c r="F4150" s="3" t="s">
        <v>15</v>
      </c>
      <c r="G41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150" s="3" t="s">
        <v>52</v>
      </c>
      <c r="I4150" s="3" t="s">
        <v>31</v>
      </c>
      <c r="J4150" s="3" t="s">
        <v>53</v>
      </c>
      <c r="K4150" s="3" t="s">
        <v>123</v>
      </c>
      <c r="L4150" s="3" t="s">
        <v>124</v>
      </c>
      <c r="M4150" s="4">
        <v>63.64</v>
      </c>
    </row>
    <row r="4151">
      <c r="A4151" s="2">
        <v>45967</v>
      </c>
      <c r="B41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1" s="3" t="str">
        <f>YEAR(KMART_DATA[[#This Row],[Date]])&amp;"-"&amp;TEXT(MONTH(KMART_DATA[[#This Row],[Date]]),"00")</f>
        <v>2025-11</v>
      </c>
      <c r="D4151" s="3" t="s">
        <v>45</v>
      </c>
      <c r="E4151" s="3" t="s">
        <v>116</v>
      </c>
      <c r="F4151" s="3" t="s">
        <v>9</v>
      </c>
      <c r="G41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51" s="3" t="s">
        <v>117</v>
      </c>
      <c r="I4151" s="3" t="s">
        <v>31</v>
      </c>
      <c r="J4151" s="3" t="s">
        <v>70</v>
      </c>
      <c r="K4151" s="3" t="s">
        <v>38</v>
      </c>
      <c r="L4151" s="3" t="s">
        <v>39</v>
      </c>
      <c r="M4151" s="4">
        <v>65.56</v>
      </c>
    </row>
    <row r="4152">
      <c r="A4152" s="2">
        <v>45967</v>
      </c>
      <c r="B41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2" s="3" t="str">
        <f>YEAR(KMART_DATA[[#This Row],[Date]])&amp;"-"&amp;TEXT(MONTH(KMART_DATA[[#This Row],[Date]]),"00")</f>
        <v>2025-11</v>
      </c>
      <c r="D4152" s="3" t="s">
        <v>45</v>
      </c>
      <c r="E4152" s="3" t="s">
        <v>213</v>
      </c>
      <c r="F4152" s="3" t="s">
        <v>11</v>
      </c>
      <c r="G41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52" s="3" t="s">
        <v>214</v>
      </c>
      <c r="I4152" s="3" t="s">
        <v>31</v>
      </c>
      <c r="J4152" s="3" t="s">
        <v>32</v>
      </c>
      <c r="K4152" s="3" t="s">
        <v>57</v>
      </c>
      <c r="L4152" s="3" t="s">
        <v>58</v>
      </c>
      <c r="M4152" s="4">
        <v>605.92</v>
      </c>
    </row>
    <row r="4153">
      <c r="A4153" s="2">
        <v>45967</v>
      </c>
      <c r="B41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3" s="3" t="str">
        <f>YEAR(KMART_DATA[[#This Row],[Date]])&amp;"-"&amp;TEXT(MONTH(KMART_DATA[[#This Row],[Date]]),"00")</f>
        <v>2025-11</v>
      </c>
      <c r="D4153" s="3" t="s">
        <v>45</v>
      </c>
      <c r="E4153" s="3" t="s">
        <v>240</v>
      </c>
      <c r="F4153" s="3" t="s">
        <v>15</v>
      </c>
      <c r="G41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153" s="3" t="s">
        <v>241</v>
      </c>
      <c r="I4153" s="3" t="s">
        <v>31</v>
      </c>
      <c r="J4153" s="3" t="s">
        <v>53</v>
      </c>
      <c r="K4153" s="3" t="s">
        <v>71</v>
      </c>
      <c r="L4153" s="3" t="s">
        <v>72</v>
      </c>
      <c r="M4153" s="4">
        <v>812.19</v>
      </c>
    </row>
    <row r="4154">
      <c r="A4154" s="2">
        <v>45968</v>
      </c>
      <c r="B41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4" s="3" t="str">
        <f>YEAR(KMART_DATA[[#This Row],[Date]])&amp;"-"&amp;TEXT(MONTH(KMART_DATA[[#This Row],[Date]]),"00")</f>
        <v>2025-11</v>
      </c>
      <c r="D4154" s="3" t="s">
        <v>45</v>
      </c>
      <c r="E4154" s="3" t="s">
        <v>244</v>
      </c>
      <c r="F4154" s="3" t="s">
        <v>13</v>
      </c>
      <c r="G41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154" s="3" t="s">
        <v>245</v>
      </c>
      <c r="I4154" s="3" t="s">
        <v>31</v>
      </c>
      <c r="J4154" s="3" t="s">
        <v>42</v>
      </c>
      <c r="K4154" s="3" t="s">
        <v>38</v>
      </c>
      <c r="L4154" s="3" t="s">
        <v>39</v>
      </c>
      <c r="M4154" s="4">
        <v>26.91</v>
      </c>
    </row>
    <row r="4155">
      <c r="A4155" s="2">
        <v>45968</v>
      </c>
      <c r="B41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5" s="3" t="str">
        <f>YEAR(KMART_DATA[[#This Row],[Date]])&amp;"-"&amp;TEXT(MONTH(KMART_DATA[[#This Row],[Date]]),"00")</f>
        <v>2025-11</v>
      </c>
      <c r="D4155" s="3" t="s">
        <v>45</v>
      </c>
      <c r="E4155" s="3" t="s">
        <v>116</v>
      </c>
      <c r="F4155" s="3" t="s">
        <v>9</v>
      </c>
      <c r="G41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55" s="3" t="s">
        <v>117</v>
      </c>
      <c r="I4155" s="3" t="s">
        <v>31</v>
      </c>
      <c r="J4155" s="3" t="s">
        <v>70</v>
      </c>
      <c r="K4155" s="3" t="s">
        <v>46</v>
      </c>
      <c r="L4155" s="3" t="s">
        <v>47</v>
      </c>
      <c r="M4155" s="4">
        <v>265.32</v>
      </c>
    </row>
    <row r="4156">
      <c r="A4156" s="2">
        <v>45968</v>
      </c>
      <c r="B41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6" s="3" t="str">
        <f>YEAR(KMART_DATA[[#This Row],[Date]])&amp;"-"&amp;TEXT(MONTH(KMART_DATA[[#This Row],[Date]]),"00")</f>
        <v>2025-11</v>
      </c>
      <c r="D4156" s="3" t="s">
        <v>45</v>
      </c>
      <c r="E4156" s="3" t="s">
        <v>262</v>
      </c>
      <c r="F4156" s="3" t="s">
        <v>10</v>
      </c>
      <c r="G41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56" s="3" t="s">
        <v>263</v>
      </c>
      <c r="I4156" s="3" t="s">
        <v>31</v>
      </c>
      <c r="J4156" s="3" t="s">
        <v>120</v>
      </c>
      <c r="K4156" s="3" t="s">
        <v>112</v>
      </c>
      <c r="L4156" s="3" t="s">
        <v>113</v>
      </c>
      <c r="M4156" s="4">
        <v>1388.12</v>
      </c>
    </row>
    <row r="4157">
      <c r="A4157" s="2">
        <v>45968</v>
      </c>
      <c r="B41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7" s="3" t="str">
        <f>YEAR(KMART_DATA[[#This Row],[Date]])&amp;"-"&amp;TEXT(MONTH(KMART_DATA[[#This Row],[Date]]),"00")</f>
        <v>2025-11</v>
      </c>
      <c r="D4157" s="3" t="s">
        <v>28</v>
      </c>
      <c r="E4157" s="3" t="s">
        <v>105</v>
      </c>
      <c r="F4157" s="3" t="s">
        <v>9</v>
      </c>
      <c r="G41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57" s="3" t="s">
        <v>106</v>
      </c>
      <c r="I4157" s="3" t="s">
        <v>31</v>
      </c>
      <c r="J4157" s="3" t="s">
        <v>107</v>
      </c>
      <c r="K4157" s="3" t="s">
        <v>71</v>
      </c>
      <c r="L4157" s="3" t="s">
        <v>72</v>
      </c>
      <c r="M4157" s="4">
        <v>1724.36</v>
      </c>
    </row>
    <row r="4158">
      <c r="A4158" s="2">
        <v>45969</v>
      </c>
      <c r="B41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8" s="3" t="str">
        <f>YEAR(KMART_DATA[[#This Row],[Date]])&amp;"-"&amp;TEXT(MONTH(KMART_DATA[[#This Row],[Date]]),"00")</f>
        <v>2025-11</v>
      </c>
      <c r="D4158" s="3" t="s">
        <v>45</v>
      </c>
      <c r="E4158" s="3" t="s">
        <v>82</v>
      </c>
      <c r="F4158" s="3" t="s">
        <v>11</v>
      </c>
      <c r="G41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58" s="3" t="s">
        <v>83</v>
      </c>
      <c r="I4158" s="3" t="s">
        <v>31</v>
      </c>
      <c r="J4158" s="3" t="s">
        <v>84</v>
      </c>
      <c r="K4158" s="3" t="s">
        <v>57</v>
      </c>
      <c r="L4158" s="3" t="s">
        <v>58</v>
      </c>
      <c r="M4158" s="4">
        <v>2825.47</v>
      </c>
    </row>
    <row r="4159">
      <c r="A4159" s="2">
        <v>45969</v>
      </c>
      <c r="B41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59" s="3" t="str">
        <f>YEAR(KMART_DATA[[#This Row],[Date]])&amp;"-"&amp;TEXT(MONTH(KMART_DATA[[#This Row],[Date]]),"00")</f>
        <v>2025-11</v>
      </c>
      <c r="D4159" s="3" t="s">
        <v>28</v>
      </c>
      <c r="E4159" s="3" t="s">
        <v>173</v>
      </c>
      <c r="F4159" s="3" t="s">
        <v>11</v>
      </c>
      <c r="G41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59" s="3" t="s">
        <v>174</v>
      </c>
      <c r="I4159" s="3" t="s">
        <v>31</v>
      </c>
      <c r="J4159" s="3" t="s">
        <v>61</v>
      </c>
      <c r="K4159" s="3" t="s">
        <v>71</v>
      </c>
      <c r="L4159" s="3" t="s">
        <v>72</v>
      </c>
      <c r="M4159" s="4">
        <v>3443.64</v>
      </c>
    </row>
    <row r="4160">
      <c r="A4160" s="2">
        <v>45970</v>
      </c>
      <c r="B41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0" s="3" t="str">
        <f>YEAR(KMART_DATA[[#This Row],[Date]])&amp;"-"&amp;TEXT(MONTH(KMART_DATA[[#This Row],[Date]]),"00")</f>
        <v>2025-11</v>
      </c>
      <c r="D4160" s="3" t="s">
        <v>45</v>
      </c>
      <c r="E4160" s="3" t="s">
        <v>262</v>
      </c>
      <c r="F4160" s="3" t="s">
        <v>10</v>
      </c>
      <c r="G41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60" s="3" t="s">
        <v>263</v>
      </c>
      <c r="I4160" s="3" t="s">
        <v>31</v>
      </c>
      <c r="J4160" s="3" t="s">
        <v>120</v>
      </c>
      <c r="K4160" s="3" t="s">
        <v>71</v>
      </c>
      <c r="L4160" s="3" t="s">
        <v>72</v>
      </c>
      <c r="M4160" s="4">
        <v>1719.85</v>
      </c>
    </row>
    <row r="4161">
      <c r="A4161" s="2">
        <v>45970</v>
      </c>
      <c r="B41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1" s="3" t="str">
        <f>YEAR(KMART_DATA[[#This Row],[Date]])&amp;"-"&amp;TEXT(MONTH(KMART_DATA[[#This Row],[Date]]),"00")</f>
        <v>2025-11</v>
      </c>
      <c r="D4161" s="3" t="s">
        <v>28</v>
      </c>
      <c r="E4161" s="3" t="s">
        <v>211</v>
      </c>
      <c r="F4161" s="3" t="s">
        <v>9</v>
      </c>
      <c r="G41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61" s="3" t="s">
        <v>212</v>
      </c>
      <c r="I4161" s="3" t="s">
        <v>31</v>
      </c>
      <c r="J4161" s="3" t="s">
        <v>75</v>
      </c>
      <c r="K4161" s="3" t="s">
        <v>71</v>
      </c>
      <c r="L4161" s="3" t="s">
        <v>72</v>
      </c>
      <c r="M4161" s="4">
        <v>1970.08</v>
      </c>
    </row>
    <row r="4162">
      <c r="A4162" s="2">
        <v>45971</v>
      </c>
      <c r="B41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2" s="3" t="str">
        <f>YEAR(KMART_DATA[[#This Row],[Date]])&amp;"-"&amp;TEXT(MONTH(KMART_DATA[[#This Row],[Date]]),"00")</f>
        <v>2025-11</v>
      </c>
      <c r="D4162" s="3" t="s">
        <v>28</v>
      </c>
      <c r="E4162" s="3" t="s">
        <v>116</v>
      </c>
      <c r="F4162" s="3" t="s">
        <v>9</v>
      </c>
      <c r="G41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62" s="3" t="s">
        <v>117</v>
      </c>
      <c r="I4162" s="3" t="s">
        <v>31</v>
      </c>
      <c r="J4162" s="3" t="s">
        <v>70</v>
      </c>
      <c r="K4162" s="3" t="s">
        <v>43</v>
      </c>
      <c r="L4162" s="3" t="s">
        <v>44</v>
      </c>
      <c r="M4162" s="4">
        <v>15.0</v>
      </c>
    </row>
    <row r="4163">
      <c r="A4163" s="2">
        <v>45971</v>
      </c>
      <c r="B41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3" s="3" t="str">
        <f>YEAR(KMART_DATA[[#This Row],[Date]])&amp;"-"&amp;TEXT(MONTH(KMART_DATA[[#This Row],[Date]]),"00")</f>
        <v>2025-11</v>
      </c>
      <c r="D4163" s="3" t="s">
        <v>28</v>
      </c>
      <c r="E4163" s="3" t="s">
        <v>40</v>
      </c>
      <c r="F4163" s="3" t="s">
        <v>13</v>
      </c>
      <c r="G41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163" s="3" t="s">
        <v>41</v>
      </c>
      <c r="I4163" s="3" t="s">
        <v>31</v>
      </c>
      <c r="J4163" s="3" t="s">
        <v>42</v>
      </c>
      <c r="K4163" s="3" t="s">
        <v>38</v>
      </c>
      <c r="L4163" s="3" t="s">
        <v>39</v>
      </c>
      <c r="M4163" s="4">
        <v>23.96</v>
      </c>
    </row>
    <row r="4164">
      <c r="A4164" s="2">
        <v>45971</v>
      </c>
      <c r="B41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4" s="3" t="str">
        <f>YEAR(KMART_DATA[[#This Row],[Date]])&amp;"-"&amp;TEXT(MONTH(KMART_DATA[[#This Row],[Date]]),"00")</f>
        <v>2025-11</v>
      </c>
      <c r="D4164" s="3" t="s">
        <v>28</v>
      </c>
      <c r="E4164" s="3" t="s">
        <v>242</v>
      </c>
      <c r="F4164" s="3" t="s">
        <v>10</v>
      </c>
      <c r="G41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64" s="3" t="s">
        <v>243</v>
      </c>
      <c r="I4164" s="3" t="s">
        <v>31</v>
      </c>
      <c r="J4164" s="3" t="s">
        <v>94</v>
      </c>
      <c r="K4164" s="3" t="s">
        <v>46</v>
      </c>
      <c r="L4164" s="3" t="s">
        <v>47</v>
      </c>
      <c r="M4164" s="4">
        <v>27.99</v>
      </c>
    </row>
    <row r="4165">
      <c r="A4165" s="2">
        <v>45971</v>
      </c>
      <c r="B41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5" s="3" t="str">
        <f>YEAR(KMART_DATA[[#This Row],[Date]])&amp;"-"&amp;TEXT(MONTH(KMART_DATA[[#This Row],[Date]]),"00")</f>
        <v>2025-11</v>
      </c>
      <c r="D4165" s="3" t="s">
        <v>28</v>
      </c>
      <c r="E4165" s="3" t="s">
        <v>217</v>
      </c>
      <c r="F4165" s="3" t="s">
        <v>10</v>
      </c>
      <c r="G41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65" s="3" t="s">
        <v>218</v>
      </c>
      <c r="I4165" s="3" t="s">
        <v>31</v>
      </c>
      <c r="J4165" s="3" t="s">
        <v>89</v>
      </c>
      <c r="K4165" s="3" t="s">
        <v>112</v>
      </c>
      <c r="L4165" s="3" t="s">
        <v>113</v>
      </c>
      <c r="M4165" s="4">
        <v>42.92</v>
      </c>
    </row>
    <row r="4166">
      <c r="A4166" s="2">
        <v>45971</v>
      </c>
      <c r="B41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6" s="3" t="str">
        <f>YEAR(KMART_DATA[[#This Row],[Date]])&amp;"-"&amp;TEXT(MONTH(KMART_DATA[[#This Row],[Date]]),"00")</f>
        <v>2025-11</v>
      </c>
      <c r="D4166" s="3" t="s">
        <v>28</v>
      </c>
      <c r="E4166" s="3" t="s">
        <v>191</v>
      </c>
      <c r="F4166" s="3" t="s">
        <v>10</v>
      </c>
      <c r="G41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66" s="3" t="s">
        <v>192</v>
      </c>
      <c r="I4166" s="3" t="s">
        <v>31</v>
      </c>
      <c r="J4166" s="3" t="s">
        <v>120</v>
      </c>
      <c r="K4166" s="3" t="s">
        <v>71</v>
      </c>
      <c r="L4166" s="3" t="s">
        <v>72</v>
      </c>
      <c r="M4166" s="4">
        <v>158.05</v>
      </c>
    </row>
    <row r="4167">
      <c r="A4167" s="2">
        <v>45971</v>
      </c>
      <c r="B41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7" s="3" t="str">
        <f>YEAR(KMART_DATA[[#This Row],[Date]])&amp;"-"&amp;TEXT(MONTH(KMART_DATA[[#This Row],[Date]]),"00")</f>
        <v>2025-11</v>
      </c>
      <c r="D4167" s="3" t="s">
        <v>28</v>
      </c>
      <c r="E4167" s="3" t="s">
        <v>221</v>
      </c>
      <c r="F4167" s="3" t="s">
        <v>11</v>
      </c>
      <c r="G41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67" s="3" t="s">
        <v>222</v>
      </c>
      <c r="I4167" s="3" t="s">
        <v>31</v>
      </c>
      <c r="J4167" s="3" t="s">
        <v>56</v>
      </c>
      <c r="K4167" s="3" t="s">
        <v>71</v>
      </c>
      <c r="L4167" s="3" t="s">
        <v>72</v>
      </c>
      <c r="M4167" s="4">
        <v>484.14</v>
      </c>
    </row>
    <row r="4168">
      <c r="A4168" s="2">
        <v>45972</v>
      </c>
      <c r="B41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8" s="3" t="str">
        <f>YEAR(KMART_DATA[[#This Row],[Date]])&amp;"-"&amp;TEXT(MONTH(KMART_DATA[[#This Row],[Date]]),"00")</f>
        <v>2025-11</v>
      </c>
      <c r="D4168" s="3" t="s">
        <v>28</v>
      </c>
      <c r="E4168" s="3" t="s">
        <v>169</v>
      </c>
      <c r="F4168" s="3" t="s">
        <v>12</v>
      </c>
      <c r="G41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68" s="3" t="s">
        <v>170</v>
      </c>
      <c r="I4168" s="3" t="s">
        <v>31</v>
      </c>
      <c r="J4168" s="3" t="s">
        <v>102</v>
      </c>
      <c r="K4168" s="3" t="s">
        <v>38</v>
      </c>
      <c r="L4168" s="3" t="s">
        <v>39</v>
      </c>
      <c r="M4168" s="4">
        <v>169.78</v>
      </c>
    </row>
    <row r="4169">
      <c r="A4169" s="2">
        <v>45972</v>
      </c>
      <c r="B41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69" s="3" t="str">
        <f>YEAR(KMART_DATA[[#This Row],[Date]])&amp;"-"&amp;TEXT(MONTH(KMART_DATA[[#This Row],[Date]]),"00")</f>
        <v>2025-11</v>
      </c>
      <c r="D4169" s="3" t="s">
        <v>45</v>
      </c>
      <c r="E4169" s="3" t="s">
        <v>103</v>
      </c>
      <c r="F4169" s="3" t="s">
        <v>12</v>
      </c>
      <c r="G41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69" s="3" t="s">
        <v>104</v>
      </c>
      <c r="I4169" s="3" t="s">
        <v>31</v>
      </c>
      <c r="J4169" s="3" t="s">
        <v>102</v>
      </c>
      <c r="K4169" s="3" t="s">
        <v>43</v>
      </c>
      <c r="L4169" s="3" t="s">
        <v>44</v>
      </c>
      <c r="M4169" s="4">
        <v>193.95</v>
      </c>
    </row>
    <row r="4170">
      <c r="A4170" s="2">
        <v>45972</v>
      </c>
      <c r="B41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0" s="3" t="str">
        <f>YEAR(KMART_DATA[[#This Row],[Date]])&amp;"-"&amp;TEXT(MONTH(KMART_DATA[[#This Row],[Date]]),"00")</f>
        <v>2025-11</v>
      </c>
      <c r="D4170" s="3" t="s">
        <v>28</v>
      </c>
      <c r="E4170" s="3" t="s">
        <v>158</v>
      </c>
      <c r="F4170" s="3" t="s">
        <v>11</v>
      </c>
      <c r="G41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70" s="3" t="s">
        <v>159</v>
      </c>
      <c r="I4170" s="3" t="s">
        <v>31</v>
      </c>
      <c r="J4170" s="3" t="s">
        <v>84</v>
      </c>
      <c r="K4170" s="3" t="s">
        <v>57</v>
      </c>
      <c r="L4170" s="3" t="s">
        <v>58</v>
      </c>
      <c r="M4170" s="4">
        <v>395.74</v>
      </c>
    </row>
    <row r="4171">
      <c r="A4171" s="2">
        <v>45972</v>
      </c>
      <c r="B41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1" s="3" t="str">
        <f>YEAR(KMART_DATA[[#This Row],[Date]])&amp;"-"&amp;TEXT(MONTH(KMART_DATA[[#This Row],[Date]]),"00")</f>
        <v>2025-11</v>
      </c>
      <c r="D4171" s="3" t="s">
        <v>28</v>
      </c>
      <c r="E4171" s="3" t="s">
        <v>139</v>
      </c>
      <c r="F4171" s="3" t="s">
        <v>10</v>
      </c>
      <c r="G41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71" s="3" t="s">
        <v>140</v>
      </c>
      <c r="I4171" s="3" t="s">
        <v>31</v>
      </c>
      <c r="J4171" s="3" t="s">
        <v>89</v>
      </c>
      <c r="K4171" s="3" t="s">
        <v>43</v>
      </c>
      <c r="L4171" s="3" t="s">
        <v>44</v>
      </c>
      <c r="M4171" s="4">
        <v>887.93</v>
      </c>
    </row>
    <row r="4172">
      <c r="A4172" s="2">
        <v>45972</v>
      </c>
      <c r="B41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2" s="3" t="str">
        <f>YEAR(KMART_DATA[[#This Row],[Date]])&amp;"-"&amp;TEXT(MONTH(KMART_DATA[[#This Row],[Date]]),"00")</f>
        <v>2025-11</v>
      </c>
      <c r="D4172" s="3" t="s">
        <v>45</v>
      </c>
      <c r="E4172" s="3" t="s">
        <v>146</v>
      </c>
      <c r="F4172" s="3" t="s">
        <v>9</v>
      </c>
      <c r="G41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72" s="3" t="s">
        <v>147</v>
      </c>
      <c r="I4172" s="3" t="s">
        <v>31</v>
      </c>
      <c r="J4172" s="3" t="s">
        <v>75</v>
      </c>
      <c r="K4172" s="3" t="s">
        <v>95</v>
      </c>
      <c r="L4172" s="3" t="s">
        <v>96</v>
      </c>
      <c r="M4172" s="4">
        <v>1250.54</v>
      </c>
    </row>
    <row r="4173">
      <c r="A4173" s="2">
        <v>45972</v>
      </c>
      <c r="B41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3" s="3" t="str">
        <f>YEAR(KMART_DATA[[#This Row],[Date]])&amp;"-"&amp;TEXT(MONTH(KMART_DATA[[#This Row],[Date]]),"00")</f>
        <v>2025-11</v>
      </c>
      <c r="D4173" s="3" t="s">
        <v>28</v>
      </c>
      <c r="E4173" s="3" t="s">
        <v>108</v>
      </c>
      <c r="F4173" s="3" t="s">
        <v>9</v>
      </c>
      <c r="G41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73" s="3" t="s">
        <v>109</v>
      </c>
      <c r="I4173" s="3" t="s">
        <v>31</v>
      </c>
      <c r="J4173" s="3" t="s">
        <v>75</v>
      </c>
      <c r="K4173" s="3" t="s">
        <v>71</v>
      </c>
      <c r="L4173" s="3" t="s">
        <v>72</v>
      </c>
      <c r="M4173" s="4">
        <v>3668.9</v>
      </c>
    </row>
    <row r="4174">
      <c r="A4174" s="2">
        <v>45973</v>
      </c>
      <c r="B41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4" s="3" t="str">
        <f>YEAR(KMART_DATA[[#This Row],[Date]])&amp;"-"&amp;TEXT(MONTH(KMART_DATA[[#This Row],[Date]]),"00")</f>
        <v>2025-11</v>
      </c>
      <c r="D4174" s="3" t="s">
        <v>28</v>
      </c>
      <c r="E4174" s="3" t="s">
        <v>154</v>
      </c>
      <c r="F4174" s="3" t="s">
        <v>11</v>
      </c>
      <c r="G41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74" s="3" t="s">
        <v>155</v>
      </c>
      <c r="I4174" s="3" t="s">
        <v>31</v>
      </c>
      <c r="J4174" s="3" t="s">
        <v>84</v>
      </c>
      <c r="K4174" s="3" t="s">
        <v>95</v>
      </c>
      <c r="L4174" s="3" t="s">
        <v>96</v>
      </c>
      <c r="M4174" s="4">
        <v>50.22</v>
      </c>
    </row>
    <row r="4175">
      <c r="A4175" s="2">
        <v>45973</v>
      </c>
      <c r="B41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5" s="3" t="str">
        <f>YEAR(KMART_DATA[[#This Row],[Date]])&amp;"-"&amp;TEXT(MONTH(KMART_DATA[[#This Row],[Date]]),"00")</f>
        <v>2025-11</v>
      </c>
      <c r="D4175" s="3" t="s">
        <v>28</v>
      </c>
      <c r="E4175" s="3" t="s">
        <v>64</v>
      </c>
      <c r="F4175" s="3" t="s">
        <v>11</v>
      </c>
      <c r="G41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75" s="3" t="s">
        <v>65</v>
      </c>
      <c r="I4175" s="3" t="s">
        <v>31</v>
      </c>
      <c r="J4175" s="3" t="s">
        <v>61</v>
      </c>
      <c r="K4175" s="3" t="s">
        <v>123</v>
      </c>
      <c r="L4175" s="3" t="s">
        <v>124</v>
      </c>
      <c r="M4175" s="4">
        <v>74.16</v>
      </c>
    </row>
    <row r="4176">
      <c r="A4176" s="2">
        <v>45973</v>
      </c>
      <c r="B41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6" s="3" t="str">
        <f>YEAR(KMART_DATA[[#This Row],[Date]])&amp;"-"&amp;TEXT(MONTH(KMART_DATA[[#This Row],[Date]]),"00")</f>
        <v>2025-11</v>
      </c>
      <c r="D4176" s="3" t="s">
        <v>45</v>
      </c>
      <c r="E4176" s="3" t="s">
        <v>141</v>
      </c>
      <c r="F4176" s="3" t="s">
        <v>9</v>
      </c>
      <c r="G41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76" s="3" t="s">
        <v>142</v>
      </c>
      <c r="I4176" s="3" t="s">
        <v>31</v>
      </c>
      <c r="J4176" s="3" t="s">
        <v>107</v>
      </c>
      <c r="K4176" s="3" t="s">
        <v>33</v>
      </c>
      <c r="L4176" s="3" t="s">
        <v>34</v>
      </c>
      <c r="M4176" s="4">
        <v>284.17</v>
      </c>
    </row>
    <row r="4177">
      <c r="A4177" s="2">
        <v>45973</v>
      </c>
      <c r="B41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7" s="3" t="str">
        <f>YEAR(KMART_DATA[[#This Row],[Date]])&amp;"-"&amp;TEXT(MONTH(KMART_DATA[[#This Row],[Date]]),"00")</f>
        <v>2025-11</v>
      </c>
      <c r="D4177" s="3" t="s">
        <v>28</v>
      </c>
      <c r="E4177" s="3" t="s">
        <v>79</v>
      </c>
      <c r="F4177" s="3" t="s">
        <v>9</v>
      </c>
      <c r="G41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77" s="3" t="s">
        <v>80</v>
      </c>
      <c r="I4177" s="3" t="s">
        <v>31</v>
      </c>
      <c r="J4177" s="3" t="s">
        <v>81</v>
      </c>
      <c r="K4177" s="3" t="s">
        <v>43</v>
      </c>
      <c r="L4177" s="3" t="s">
        <v>44</v>
      </c>
      <c r="M4177" s="4">
        <v>378.7</v>
      </c>
    </row>
    <row r="4178">
      <c r="A4178" s="2">
        <v>45973</v>
      </c>
      <c r="B41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8" s="3" t="str">
        <f>YEAR(KMART_DATA[[#This Row],[Date]])&amp;"-"&amp;TEXT(MONTH(KMART_DATA[[#This Row],[Date]]),"00")</f>
        <v>2025-11</v>
      </c>
      <c r="D4178" s="3" t="s">
        <v>28</v>
      </c>
      <c r="E4178" s="3" t="s">
        <v>211</v>
      </c>
      <c r="F4178" s="3" t="s">
        <v>9</v>
      </c>
      <c r="G41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78" s="3" t="s">
        <v>212</v>
      </c>
      <c r="I4178" s="3" t="s">
        <v>31</v>
      </c>
      <c r="J4178" s="3" t="s">
        <v>75</v>
      </c>
      <c r="K4178" s="3" t="s">
        <v>43</v>
      </c>
      <c r="L4178" s="3" t="s">
        <v>44</v>
      </c>
      <c r="M4178" s="4">
        <v>1306.3</v>
      </c>
    </row>
    <row r="4179">
      <c r="A4179" s="2">
        <v>45973</v>
      </c>
      <c r="B41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79" s="3" t="str">
        <f>YEAR(KMART_DATA[[#This Row],[Date]])&amp;"-"&amp;TEXT(MONTH(KMART_DATA[[#This Row],[Date]]),"00")</f>
        <v>2025-11</v>
      </c>
      <c r="D4179" s="3" t="s">
        <v>28</v>
      </c>
      <c r="E4179" s="3" t="s">
        <v>183</v>
      </c>
      <c r="F4179" s="3" t="s">
        <v>9</v>
      </c>
      <c r="G41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79" s="3" t="s">
        <v>184</v>
      </c>
      <c r="I4179" s="3" t="s">
        <v>31</v>
      </c>
      <c r="J4179" s="3" t="s">
        <v>70</v>
      </c>
      <c r="K4179" s="3" t="s">
        <v>66</v>
      </c>
      <c r="L4179" s="3" t="s">
        <v>67</v>
      </c>
      <c r="M4179" s="4">
        <v>2463.41</v>
      </c>
    </row>
    <row r="4180">
      <c r="A4180" s="2">
        <v>45974</v>
      </c>
      <c r="B41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0" s="3" t="str">
        <f>YEAR(KMART_DATA[[#This Row],[Date]])&amp;"-"&amp;TEXT(MONTH(KMART_DATA[[#This Row],[Date]]),"00")</f>
        <v>2025-11</v>
      </c>
      <c r="D4180" s="3" t="s">
        <v>28</v>
      </c>
      <c r="E4180" s="3" t="s">
        <v>54</v>
      </c>
      <c r="F4180" s="3" t="s">
        <v>11</v>
      </c>
      <c r="G41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80" s="3" t="s">
        <v>55</v>
      </c>
      <c r="I4180" s="3" t="s">
        <v>31</v>
      </c>
      <c r="J4180" s="3" t="s">
        <v>56</v>
      </c>
      <c r="K4180" s="3" t="s">
        <v>43</v>
      </c>
      <c r="L4180" s="3" t="s">
        <v>44</v>
      </c>
      <c r="M4180" s="4">
        <v>1.0</v>
      </c>
    </row>
    <row r="4181">
      <c r="A4181" s="2">
        <v>45974</v>
      </c>
      <c r="B41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1" s="3" t="str">
        <f>YEAR(KMART_DATA[[#This Row],[Date]])&amp;"-"&amp;TEXT(MONTH(KMART_DATA[[#This Row],[Date]]),"00")</f>
        <v>2025-11</v>
      </c>
      <c r="D4181" s="3" t="s">
        <v>28</v>
      </c>
      <c r="E4181" s="3" t="s">
        <v>108</v>
      </c>
      <c r="F4181" s="3" t="s">
        <v>9</v>
      </c>
      <c r="G41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81" s="3" t="s">
        <v>109</v>
      </c>
      <c r="I4181" s="3" t="s">
        <v>31</v>
      </c>
      <c r="J4181" s="3" t="s">
        <v>75</v>
      </c>
      <c r="K4181" s="3" t="s">
        <v>33</v>
      </c>
      <c r="L4181" s="3" t="s">
        <v>34</v>
      </c>
      <c r="M4181" s="4">
        <v>14.75</v>
      </c>
    </row>
    <row r="4182">
      <c r="A4182" s="2">
        <v>45975</v>
      </c>
      <c r="B41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2" s="3" t="str">
        <f>YEAR(KMART_DATA[[#This Row],[Date]])&amp;"-"&amp;TEXT(MONTH(KMART_DATA[[#This Row],[Date]]),"00")</f>
        <v>2025-11</v>
      </c>
      <c r="D4182" s="3" t="s">
        <v>45</v>
      </c>
      <c r="E4182" s="3" t="s">
        <v>185</v>
      </c>
      <c r="F4182" s="3" t="s">
        <v>12</v>
      </c>
      <c r="G41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82" s="3" t="s">
        <v>186</v>
      </c>
      <c r="I4182" s="3" t="s">
        <v>31</v>
      </c>
      <c r="J4182" s="3" t="s">
        <v>162</v>
      </c>
      <c r="K4182" s="3" t="s">
        <v>95</v>
      </c>
      <c r="L4182" s="3" t="s">
        <v>96</v>
      </c>
      <c r="M4182" s="4">
        <v>104.79</v>
      </c>
    </row>
    <row r="4183">
      <c r="A4183" s="2">
        <v>45975</v>
      </c>
      <c r="B41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3" s="3" t="str">
        <f>YEAR(KMART_DATA[[#This Row],[Date]])&amp;"-"&amp;TEXT(MONTH(KMART_DATA[[#This Row],[Date]]),"00")</f>
        <v>2025-11</v>
      </c>
      <c r="D4183" s="3" t="s">
        <v>28</v>
      </c>
      <c r="E4183" s="3" t="s">
        <v>248</v>
      </c>
      <c r="F4183" s="3" t="s">
        <v>12</v>
      </c>
      <c r="G41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83" s="3" t="s">
        <v>249</v>
      </c>
      <c r="I4183" s="3" t="s">
        <v>31</v>
      </c>
      <c r="J4183" s="3" t="s">
        <v>162</v>
      </c>
      <c r="K4183" s="3" t="s">
        <v>33</v>
      </c>
      <c r="L4183" s="3" t="s">
        <v>34</v>
      </c>
      <c r="M4183" s="4">
        <v>335.42</v>
      </c>
    </row>
    <row r="4184">
      <c r="A4184" s="2">
        <v>45975</v>
      </c>
      <c r="B41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4" s="3" t="str">
        <f>YEAR(KMART_DATA[[#This Row],[Date]])&amp;"-"&amp;TEXT(MONTH(KMART_DATA[[#This Row],[Date]]),"00")</f>
        <v>2025-11</v>
      </c>
      <c r="D4184" s="3" t="s">
        <v>45</v>
      </c>
      <c r="E4184" s="3" t="s">
        <v>171</v>
      </c>
      <c r="F4184" s="3" t="s">
        <v>10</v>
      </c>
      <c r="G41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84" s="3" t="s">
        <v>172</v>
      </c>
      <c r="I4184" s="3" t="s">
        <v>31</v>
      </c>
      <c r="J4184" s="3" t="s">
        <v>37</v>
      </c>
      <c r="K4184" s="3" t="s">
        <v>71</v>
      </c>
      <c r="L4184" s="3" t="s">
        <v>72</v>
      </c>
      <c r="M4184" s="4">
        <v>487.04</v>
      </c>
    </row>
    <row r="4185">
      <c r="A4185" s="2">
        <v>45975</v>
      </c>
      <c r="B41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5" s="3" t="str">
        <f>YEAR(KMART_DATA[[#This Row],[Date]])&amp;"-"&amp;TEXT(MONTH(KMART_DATA[[#This Row],[Date]]),"00")</f>
        <v>2025-11</v>
      </c>
      <c r="D4185" s="3" t="s">
        <v>28</v>
      </c>
      <c r="E4185" s="3" t="s">
        <v>29</v>
      </c>
      <c r="F4185" s="3" t="s">
        <v>11</v>
      </c>
      <c r="G41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85" s="3" t="s">
        <v>30</v>
      </c>
      <c r="I4185" s="3" t="s">
        <v>31</v>
      </c>
      <c r="J4185" s="3" t="s">
        <v>32</v>
      </c>
      <c r="K4185" s="3" t="s">
        <v>46</v>
      </c>
      <c r="L4185" s="3" t="s">
        <v>47</v>
      </c>
      <c r="M4185" s="4">
        <v>1207.02</v>
      </c>
    </row>
    <row r="4186">
      <c r="A4186" s="2">
        <v>45975</v>
      </c>
      <c r="B41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6" s="3" t="str">
        <f>YEAR(KMART_DATA[[#This Row],[Date]])&amp;"-"&amp;TEXT(MONTH(KMART_DATA[[#This Row],[Date]]),"00")</f>
        <v>2025-11</v>
      </c>
      <c r="D4186" s="3" t="s">
        <v>28</v>
      </c>
      <c r="E4186" s="3" t="s">
        <v>143</v>
      </c>
      <c r="F4186" s="3" t="s">
        <v>14</v>
      </c>
      <c r="G41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186" s="3" t="s">
        <v>144</v>
      </c>
      <c r="I4186" s="3" t="s">
        <v>31</v>
      </c>
      <c r="J4186" s="3" t="s">
        <v>145</v>
      </c>
      <c r="K4186" s="3" t="s">
        <v>123</v>
      </c>
      <c r="L4186" s="3" t="s">
        <v>124</v>
      </c>
      <c r="M4186" s="4">
        <v>4330.65</v>
      </c>
    </row>
    <row r="4187">
      <c r="A4187" s="2">
        <v>45976</v>
      </c>
      <c r="B41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7" s="3" t="str">
        <f>YEAR(KMART_DATA[[#This Row],[Date]])&amp;"-"&amp;TEXT(MONTH(KMART_DATA[[#This Row],[Date]]),"00")</f>
        <v>2025-11</v>
      </c>
      <c r="D4187" s="3" t="s">
        <v>28</v>
      </c>
      <c r="E4187" s="3" t="s">
        <v>203</v>
      </c>
      <c r="F4187" s="3" t="s">
        <v>10</v>
      </c>
      <c r="G41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87" s="3" t="s">
        <v>204</v>
      </c>
      <c r="I4187" s="3" t="s">
        <v>31</v>
      </c>
      <c r="J4187" s="3" t="s">
        <v>89</v>
      </c>
      <c r="K4187" s="3" t="s">
        <v>66</v>
      </c>
      <c r="L4187" s="3" t="s">
        <v>67</v>
      </c>
      <c r="M4187" s="4">
        <v>11.61</v>
      </c>
    </row>
    <row r="4188">
      <c r="A4188" s="2">
        <v>45976</v>
      </c>
      <c r="B41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8" s="3" t="str">
        <f>YEAR(KMART_DATA[[#This Row],[Date]])&amp;"-"&amp;TEXT(MONTH(KMART_DATA[[#This Row],[Date]]),"00")</f>
        <v>2025-11</v>
      </c>
      <c r="D4188" s="3" t="s">
        <v>28</v>
      </c>
      <c r="E4188" s="3" t="s">
        <v>256</v>
      </c>
      <c r="F4188" s="3" t="s">
        <v>9</v>
      </c>
      <c r="G41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88" s="3" t="s">
        <v>257</v>
      </c>
      <c r="I4188" s="3" t="s">
        <v>31</v>
      </c>
      <c r="J4188" s="3" t="s">
        <v>70</v>
      </c>
      <c r="K4188" s="3" t="s">
        <v>66</v>
      </c>
      <c r="L4188" s="3" t="s">
        <v>67</v>
      </c>
      <c r="M4188" s="4">
        <v>23.9</v>
      </c>
    </row>
    <row r="4189">
      <c r="A4189" s="2">
        <v>45976</v>
      </c>
      <c r="B41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89" s="3" t="str">
        <f>YEAR(KMART_DATA[[#This Row],[Date]])&amp;"-"&amp;TEXT(MONTH(KMART_DATA[[#This Row],[Date]]),"00")</f>
        <v>2025-11</v>
      </c>
      <c r="D4189" s="3" t="s">
        <v>45</v>
      </c>
      <c r="E4189" s="3" t="s">
        <v>68</v>
      </c>
      <c r="F4189" s="3" t="s">
        <v>9</v>
      </c>
      <c r="G41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89" s="3" t="s">
        <v>69</v>
      </c>
      <c r="I4189" s="3" t="s">
        <v>31</v>
      </c>
      <c r="J4189" s="3" t="s">
        <v>70</v>
      </c>
      <c r="K4189" s="3" t="s">
        <v>33</v>
      </c>
      <c r="L4189" s="3" t="s">
        <v>34</v>
      </c>
      <c r="M4189" s="4">
        <v>29.97</v>
      </c>
    </row>
    <row r="4190">
      <c r="A4190" s="2">
        <v>45976</v>
      </c>
      <c r="B41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0" s="3" t="str">
        <f>YEAR(KMART_DATA[[#This Row],[Date]])&amp;"-"&amp;TEXT(MONTH(KMART_DATA[[#This Row],[Date]]),"00")</f>
        <v>2025-11</v>
      </c>
      <c r="D4190" s="3" t="s">
        <v>45</v>
      </c>
      <c r="E4190" s="3" t="s">
        <v>79</v>
      </c>
      <c r="F4190" s="3" t="s">
        <v>9</v>
      </c>
      <c r="G41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90" s="3" t="s">
        <v>80</v>
      </c>
      <c r="I4190" s="3" t="s">
        <v>31</v>
      </c>
      <c r="J4190" s="3" t="s">
        <v>81</v>
      </c>
      <c r="K4190" s="3" t="s">
        <v>71</v>
      </c>
      <c r="L4190" s="3" t="s">
        <v>72</v>
      </c>
      <c r="M4190" s="4">
        <v>38.97</v>
      </c>
    </row>
    <row r="4191">
      <c r="A4191" s="2">
        <v>45976</v>
      </c>
      <c r="B41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1" s="3" t="str">
        <f>YEAR(KMART_DATA[[#This Row],[Date]])&amp;"-"&amp;TEXT(MONTH(KMART_DATA[[#This Row],[Date]]),"00")</f>
        <v>2025-11</v>
      </c>
      <c r="D4191" s="3" t="s">
        <v>28</v>
      </c>
      <c r="E4191" s="3" t="s">
        <v>87</v>
      </c>
      <c r="F4191" s="3" t="s">
        <v>10</v>
      </c>
      <c r="G41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191" s="3" t="s">
        <v>88</v>
      </c>
      <c r="I4191" s="3" t="s">
        <v>31</v>
      </c>
      <c r="J4191" s="3" t="s">
        <v>89</v>
      </c>
      <c r="K4191" s="3" t="s">
        <v>33</v>
      </c>
      <c r="L4191" s="3" t="s">
        <v>34</v>
      </c>
      <c r="M4191" s="4">
        <v>226.2</v>
      </c>
    </row>
    <row r="4192">
      <c r="A4192" s="2">
        <v>45976</v>
      </c>
      <c r="B41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2" s="3" t="str">
        <f>YEAR(KMART_DATA[[#This Row],[Date]])&amp;"-"&amp;TEXT(MONTH(KMART_DATA[[#This Row],[Date]]),"00")</f>
        <v>2025-11</v>
      </c>
      <c r="D4192" s="3" t="s">
        <v>28</v>
      </c>
      <c r="E4192" s="3" t="s">
        <v>181</v>
      </c>
      <c r="F4192" s="3" t="s">
        <v>11</v>
      </c>
      <c r="G41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92" s="3" t="s">
        <v>182</v>
      </c>
      <c r="I4192" s="3" t="s">
        <v>31</v>
      </c>
      <c r="J4192" s="3" t="s">
        <v>56</v>
      </c>
      <c r="K4192" s="3" t="s">
        <v>123</v>
      </c>
      <c r="L4192" s="3" t="s">
        <v>124</v>
      </c>
      <c r="M4192" s="4">
        <v>845.6</v>
      </c>
    </row>
    <row r="4193">
      <c r="A4193" s="2">
        <v>45977</v>
      </c>
      <c r="B41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3" s="3" t="str">
        <f>YEAR(KMART_DATA[[#This Row],[Date]])&amp;"-"&amp;TEXT(MONTH(KMART_DATA[[#This Row],[Date]]),"00")</f>
        <v>2025-11</v>
      </c>
      <c r="D4193" s="3" t="s">
        <v>45</v>
      </c>
      <c r="E4193" s="3" t="s">
        <v>114</v>
      </c>
      <c r="F4193" s="3" t="s">
        <v>9</v>
      </c>
      <c r="G41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93" s="3" t="s">
        <v>115</v>
      </c>
      <c r="I4193" s="3" t="s">
        <v>31</v>
      </c>
      <c r="J4193" s="3" t="s">
        <v>99</v>
      </c>
      <c r="K4193" s="3" t="s">
        <v>33</v>
      </c>
      <c r="L4193" s="3" t="s">
        <v>34</v>
      </c>
      <c r="M4193" s="4">
        <v>14.97</v>
      </c>
    </row>
    <row r="4194">
      <c r="A4194" s="2">
        <v>45977</v>
      </c>
      <c r="B41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4" s="3" t="str">
        <f>YEAR(KMART_DATA[[#This Row],[Date]])&amp;"-"&amp;TEXT(MONTH(KMART_DATA[[#This Row],[Date]]),"00")</f>
        <v>2025-11</v>
      </c>
      <c r="D4194" s="3" t="s">
        <v>28</v>
      </c>
      <c r="E4194" s="3" t="s">
        <v>256</v>
      </c>
      <c r="F4194" s="3" t="s">
        <v>9</v>
      </c>
      <c r="G41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194" s="3" t="s">
        <v>257</v>
      </c>
      <c r="I4194" s="3" t="s">
        <v>31</v>
      </c>
      <c r="J4194" s="3" t="s">
        <v>70</v>
      </c>
      <c r="K4194" s="3" t="s">
        <v>95</v>
      </c>
      <c r="L4194" s="3" t="s">
        <v>96</v>
      </c>
      <c r="M4194" s="4">
        <v>15.06</v>
      </c>
    </row>
    <row r="4195">
      <c r="A4195" s="2">
        <v>45977</v>
      </c>
      <c r="B41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5" s="3" t="str">
        <f>YEAR(KMART_DATA[[#This Row],[Date]])&amp;"-"&amp;TEXT(MONTH(KMART_DATA[[#This Row],[Date]]),"00")</f>
        <v>2025-11</v>
      </c>
      <c r="D4195" s="3" t="s">
        <v>28</v>
      </c>
      <c r="E4195" s="3" t="s">
        <v>131</v>
      </c>
      <c r="F4195" s="3" t="s">
        <v>11</v>
      </c>
      <c r="G41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95" s="3" t="s">
        <v>132</v>
      </c>
      <c r="I4195" s="3" t="s">
        <v>31</v>
      </c>
      <c r="J4195" s="3" t="s">
        <v>32</v>
      </c>
      <c r="K4195" s="3" t="s">
        <v>71</v>
      </c>
      <c r="L4195" s="3" t="s">
        <v>72</v>
      </c>
      <c r="M4195" s="4">
        <v>23.96</v>
      </c>
    </row>
    <row r="4196">
      <c r="A4196" s="2">
        <v>45977</v>
      </c>
      <c r="B41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6" s="3" t="str">
        <f>YEAR(KMART_DATA[[#This Row],[Date]])&amp;"-"&amp;TEXT(MONTH(KMART_DATA[[#This Row],[Date]]),"00")</f>
        <v>2025-11</v>
      </c>
      <c r="D4196" s="3" t="s">
        <v>45</v>
      </c>
      <c r="E4196" s="3" t="s">
        <v>121</v>
      </c>
      <c r="F4196" s="3" t="s">
        <v>11</v>
      </c>
      <c r="G41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96" s="3" t="s">
        <v>122</v>
      </c>
      <c r="I4196" s="3" t="s">
        <v>31</v>
      </c>
      <c r="J4196" s="3" t="s">
        <v>84</v>
      </c>
      <c r="K4196" s="3" t="s">
        <v>112</v>
      </c>
      <c r="L4196" s="3" t="s">
        <v>113</v>
      </c>
      <c r="M4196" s="4">
        <v>31.97</v>
      </c>
    </row>
    <row r="4197">
      <c r="A4197" s="2">
        <v>45977</v>
      </c>
      <c r="B41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7" s="3" t="str">
        <f>YEAR(KMART_DATA[[#This Row],[Date]])&amp;"-"&amp;TEXT(MONTH(KMART_DATA[[#This Row],[Date]]),"00")</f>
        <v>2025-11</v>
      </c>
      <c r="D4197" s="3" t="s">
        <v>28</v>
      </c>
      <c r="E4197" s="3" t="s">
        <v>181</v>
      </c>
      <c r="F4197" s="3" t="s">
        <v>11</v>
      </c>
      <c r="G41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97" s="3" t="s">
        <v>182</v>
      </c>
      <c r="I4197" s="3" t="s">
        <v>31</v>
      </c>
      <c r="J4197" s="3" t="s">
        <v>56</v>
      </c>
      <c r="K4197" s="3" t="s">
        <v>95</v>
      </c>
      <c r="L4197" s="3" t="s">
        <v>96</v>
      </c>
      <c r="M4197" s="4">
        <v>39.8</v>
      </c>
    </row>
    <row r="4198">
      <c r="A4198" s="2">
        <v>45977</v>
      </c>
      <c r="B41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8" s="3" t="str">
        <f>YEAR(KMART_DATA[[#This Row],[Date]])&amp;"-"&amp;TEXT(MONTH(KMART_DATA[[#This Row],[Date]]),"00")</f>
        <v>2025-11</v>
      </c>
      <c r="D4198" s="3" t="s">
        <v>28</v>
      </c>
      <c r="E4198" s="3" t="s">
        <v>54</v>
      </c>
      <c r="F4198" s="3" t="s">
        <v>11</v>
      </c>
      <c r="G41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198" s="3" t="s">
        <v>55</v>
      </c>
      <c r="I4198" s="3" t="s">
        <v>31</v>
      </c>
      <c r="J4198" s="3" t="s">
        <v>56</v>
      </c>
      <c r="K4198" s="3" t="s">
        <v>38</v>
      </c>
      <c r="L4198" s="3" t="s">
        <v>39</v>
      </c>
      <c r="M4198" s="4">
        <v>101.87</v>
      </c>
    </row>
    <row r="4199">
      <c r="A4199" s="2">
        <v>45977</v>
      </c>
      <c r="B41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199" s="3" t="str">
        <f>YEAR(KMART_DATA[[#This Row],[Date]])&amp;"-"&amp;TEXT(MONTH(KMART_DATA[[#This Row],[Date]]),"00")</f>
        <v>2025-11</v>
      </c>
      <c r="D4199" s="3" t="s">
        <v>45</v>
      </c>
      <c r="E4199" s="3" t="s">
        <v>48</v>
      </c>
      <c r="F4199" s="3" t="s">
        <v>12</v>
      </c>
      <c r="G41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199" s="3" t="s">
        <v>49</v>
      </c>
      <c r="I4199" s="3" t="s">
        <v>31</v>
      </c>
      <c r="J4199" s="3" t="s">
        <v>50</v>
      </c>
      <c r="K4199" s="3" t="s">
        <v>112</v>
      </c>
      <c r="L4199" s="3" t="s">
        <v>113</v>
      </c>
      <c r="M4199" s="4">
        <v>105.88</v>
      </c>
    </row>
    <row r="4200">
      <c r="A4200" s="2">
        <v>45977</v>
      </c>
      <c r="B42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0" s="3" t="str">
        <f>YEAR(KMART_DATA[[#This Row],[Date]])&amp;"-"&amp;TEXT(MONTH(KMART_DATA[[#This Row],[Date]]),"00")</f>
        <v>2025-11</v>
      </c>
      <c r="D4200" s="3" t="s">
        <v>45</v>
      </c>
      <c r="E4200" s="3" t="s">
        <v>158</v>
      </c>
      <c r="F4200" s="3" t="s">
        <v>11</v>
      </c>
      <c r="G42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00" s="3" t="s">
        <v>159</v>
      </c>
      <c r="I4200" s="3" t="s">
        <v>31</v>
      </c>
      <c r="J4200" s="3" t="s">
        <v>84</v>
      </c>
      <c r="K4200" s="3" t="s">
        <v>33</v>
      </c>
      <c r="L4200" s="3" t="s">
        <v>34</v>
      </c>
      <c r="M4200" s="4">
        <v>144.18</v>
      </c>
    </row>
    <row r="4201">
      <c r="A4201" s="2">
        <v>45977</v>
      </c>
      <c r="B42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1" s="3" t="str">
        <f>YEAR(KMART_DATA[[#This Row],[Date]])&amp;"-"&amp;TEXT(MONTH(KMART_DATA[[#This Row],[Date]]),"00")</f>
        <v>2025-11</v>
      </c>
      <c r="D4201" s="3" t="s">
        <v>45</v>
      </c>
      <c r="E4201" s="3" t="s">
        <v>181</v>
      </c>
      <c r="F4201" s="3" t="s">
        <v>11</v>
      </c>
      <c r="G42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01" s="3" t="s">
        <v>182</v>
      </c>
      <c r="I4201" s="3" t="s">
        <v>31</v>
      </c>
      <c r="J4201" s="3" t="s">
        <v>56</v>
      </c>
      <c r="K4201" s="3" t="s">
        <v>71</v>
      </c>
      <c r="L4201" s="3" t="s">
        <v>72</v>
      </c>
      <c r="M4201" s="4">
        <v>164.36</v>
      </c>
    </row>
    <row r="4202">
      <c r="A4202" s="2">
        <v>45977</v>
      </c>
      <c r="B42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2" s="3" t="str">
        <f>YEAR(KMART_DATA[[#This Row],[Date]])&amp;"-"&amp;TEXT(MONTH(KMART_DATA[[#This Row],[Date]]),"00")</f>
        <v>2025-11</v>
      </c>
      <c r="D4202" s="3" t="s">
        <v>45</v>
      </c>
      <c r="E4202" s="3" t="s">
        <v>217</v>
      </c>
      <c r="F4202" s="3" t="s">
        <v>10</v>
      </c>
      <c r="G42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02" s="3" t="s">
        <v>218</v>
      </c>
      <c r="I4202" s="3" t="s">
        <v>31</v>
      </c>
      <c r="J4202" s="3" t="s">
        <v>89</v>
      </c>
      <c r="K4202" s="3" t="s">
        <v>43</v>
      </c>
      <c r="L4202" s="3" t="s">
        <v>44</v>
      </c>
      <c r="M4202" s="4">
        <v>444.64</v>
      </c>
    </row>
    <row r="4203">
      <c r="A4203" s="2">
        <v>45977</v>
      </c>
      <c r="B42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3" s="3" t="str">
        <f>YEAR(KMART_DATA[[#This Row],[Date]])&amp;"-"&amp;TEXT(MONTH(KMART_DATA[[#This Row],[Date]]),"00")</f>
        <v>2025-11</v>
      </c>
      <c r="D4203" s="3" t="s">
        <v>28</v>
      </c>
      <c r="E4203" s="3" t="s">
        <v>221</v>
      </c>
      <c r="F4203" s="3" t="s">
        <v>11</v>
      </c>
      <c r="G42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03" s="3" t="s">
        <v>222</v>
      </c>
      <c r="I4203" s="3" t="s">
        <v>31</v>
      </c>
      <c r="J4203" s="3" t="s">
        <v>56</v>
      </c>
      <c r="K4203" s="3" t="s">
        <v>33</v>
      </c>
      <c r="L4203" s="3" t="s">
        <v>34</v>
      </c>
      <c r="M4203" s="4">
        <v>1613.22</v>
      </c>
    </row>
    <row r="4204">
      <c r="A4204" s="2">
        <v>45977</v>
      </c>
      <c r="B42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4" s="3" t="str">
        <f>YEAR(KMART_DATA[[#This Row],[Date]])&amp;"-"&amp;TEXT(MONTH(KMART_DATA[[#This Row],[Date]]),"00")</f>
        <v>2025-11</v>
      </c>
      <c r="D4204" s="3" t="s">
        <v>28</v>
      </c>
      <c r="E4204" s="3" t="s">
        <v>110</v>
      </c>
      <c r="F4204" s="3" t="s">
        <v>9</v>
      </c>
      <c r="G42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04" s="3" t="s">
        <v>111</v>
      </c>
      <c r="I4204" s="3" t="s">
        <v>31</v>
      </c>
      <c r="J4204" s="3" t="s">
        <v>81</v>
      </c>
      <c r="K4204" s="3" t="s">
        <v>71</v>
      </c>
      <c r="L4204" s="3" t="s">
        <v>72</v>
      </c>
      <c r="M4204" s="4">
        <v>1851.43</v>
      </c>
    </row>
    <row r="4205">
      <c r="A4205" s="2">
        <v>45978</v>
      </c>
      <c r="B42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5" s="3" t="str">
        <f>YEAR(KMART_DATA[[#This Row],[Date]])&amp;"-"&amp;TEXT(MONTH(KMART_DATA[[#This Row],[Date]]),"00")</f>
        <v>2025-11</v>
      </c>
      <c r="D4205" s="3" t="s">
        <v>45</v>
      </c>
      <c r="E4205" s="3" t="s">
        <v>108</v>
      </c>
      <c r="F4205" s="3" t="s">
        <v>9</v>
      </c>
      <c r="G42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05" s="3" t="s">
        <v>109</v>
      </c>
      <c r="I4205" s="3" t="s">
        <v>31</v>
      </c>
      <c r="J4205" s="3" t="s">
        <v>75</v>
      </c>
      <c r="K4205" s="3" t="s">
        <v>46</v>
      </c>
      <c r="L4205" s="3" t="s">
        <v>47</v>
      </c>
      <c r="M4205" s="4">
        <v>24.58</v>
      </c>
    </row>
    <row r="4206">
      <c r="A4206" s="2">
        <v>45978</v>
      </c>
      <c r="B42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6" s="3" t="str">
        <f>YEAR(KMART_DATA[[#This Row],[Date]])&amp;"-"&amp;TEXT(MONTH(KMART_DATA[[#This Row],[Date]]),"00")</f>
        <v>2025-11</v>
      </c>
      <c r="D4206" s="3" t="s">
        <v>45</v>
      </c>
      <c r="E4206" s="3" t="s">
        <v>187</v>
      </c>
      <c r="F4206" s="3" t="s">
        <v>11</v>
      </c>
      <c r="G42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06" s="3" t="s">
        <v>188</v>
      </c>
      <c r="I4206" s="3" t="s">
        <v>31</v>
      </c>
      <c r="J4206" s="3" t="s">
        <v>78</v>
      </c>
      <c r="K4206" s="3" t="s">
        <v>43</v>
      </c>
      <c r="L4206" s="3" t="s">
        <v>44</v>
      </c>
      <c r="M4206" s="4">
        <v>37.5</v>
      </c>
    </row>
    <row r="4207">
      <c r="A4207" s="2">
        <v>45978</v>
      </c>
      <c r="B42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7" s="3" t="str">
        <f>YEAR(KMART_DATA[[#This Row],[Date]])&amp;"-"&amp;TEXT(MONTH(KMART_DATA[[#This Row],[Date]]),"00")</f>
        <v>2025-11</v>
      </c>
      <c r="D4207" s="3" t="s">
        <v>45</v>
      </c>
      <c r="E4207" s="3" t="s">
        <v>175</v>
      </c>
      <c r="F4207" s="3" t="s">
        <v>16</v>
      </c>
      <c r="G42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207" s="3" t="s">
        <v>176</v>
      </c>
      <c r="I4207" s="3" t="s">
        <v>31</v>
      </c>
      <c r="J4207" s="3" t="s">
        <v>107</v>
      </c>
      <c r="K4207" s="3" t="s">
        <v>33</v>
      </c>
      <c r="L4207" s="3" t="s">
        <v>34</v>
      </c>
      <c r="M4207" s="4">
        <v>57.8</v>
      </c>
    </row>
    <row r="4208">
      <c r="A4208" s="2">
        <v>45978</v>
      </c>
      <c r="B42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8" s="3" t="str">
        <f>YEAR(KMART_DATA[[#This Row],[Date]])&amp;"-"&amp;TEXT(MONTH(KMART_DATA[[#This Row],[Date]]),"00")</f>
        <v>2025-11</v>
      </c>
      <c r="D4208" s="3" t="s">
        <v>45</v>
      </c>
      <c r="E4208" s="3" t="s">
        <v>199</v>
      </c>
      <c r="F4208" s="3" t="s">
        <v>13</v>
      </c>
      <c r="G42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208" s="3" t="s">
        <v>200</v>
      </c>
      <c r="I4208" s="3" t="s">
        <v>31</v>
      </c>
      <c r="J4208" s="3" t="s">
        <v>42</v>
      </c>
      <c r="K4208" s="3" t="s">
        <v>33</v>
      </c>
      <c r="L4208" s="3" t="s">
        <v>34</v>
      </c>
      <c r="M4208" s="4">
        <v>254.1</v>
      </c>
    </row>
    <row r="4209">
      <c r="A4209" s="2">
        <v>45978</v>
      </c>
      <c r="B42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09" s="3" t="str">
        <f>YEAR(KMART_DATA[[#This Row],[Date]])&amp;"-"&amp;TEXT(MONTH(KMART_DATA[[#This Row],[Date]]),"00")</f>
        <v>2025-11</v>
      </c>
      <c r="D4209" s="3" t="s">
        <v>28</v>
      </c>
      <c r="E4209" s="3" t="s">
        <v>242</v>
      </c>
      <c r="F4209" s="3" t="s">
        <v>10</v>
      </c>
      <c r="G42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09" s="3" t="s">
        <v>243</v>
      </c>
      <c r="I4209" s="3" t="s">
        <v>31</v>
      </c>
      <c r="J4209" s="3" t="s">
        <v>94</v>
      </c>
      <c r="K4209" s="3" t="s">
        <v>46</v>
      </c>
      <c r="L4209" s="3" t="s">
        <v>47</v>
      </c>
      <c r="M4209" s="4">
        <v>276.24</v>
      </c>
    </row>
    <row r="4210">
      <c r="A4210" s="2">
        <v>45978</v>
      </c>
      <c r="B42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0" s="3" t="str">
        <f>YEAR(KMART_DATA[[#This Row],[Date]])&amp;"-"&amp;TEXT(MONTH(KMART_DATA[[#This Row],[Date]]),"00")</f>
        <v>2025-11</v>
      </c>
      <c r="D4210" s="3" t="s">
        <v>28</v>
      </c>
      <c r="E4210" s="3" t="s">
        <v>179</v>
      </c>
      <c r="F4210" s="3" t="s">
        <v>9</v>
      </c>
      <c r="G42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10" s="3" t="s">
        <v>180</v>
      </c>
      <c r="I4210" s="3" t="s">
        <v>31</v>
      </c>
      <c r="J4210" s="3" t="s">
        <v>99</v>
      </c>
      <c r="K4210" s="3" t="s">
        <v>95</v>
      </c>
      <c r="L4210" s="3" t="s">
        <v>96</v>
      </c>
      <c r="M4210" s="4">
        <v>325.5</v>
      </c>
    </row>
    <row r="4211">
      <c r="A4211" s="2">
        <v>45978</v>
      </c>
      <c r="B42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1" s="3" t="str">
        <f>YEAR(KMART_DATA[[#This Row],[Date]])&amp;"-"&amp;TEXT(MONTH(KMART_DATA[[#This Row],[Date]]),"00")</f>
        <v>2025-11</v>
      </c>
      <c r="D4211" s="3" t="s">
        <v>45</v>
      </c>
      <c r="E4211" s="3" t="s">
        <v>171</v>
      </c>
      <c r="F4211" s="3" t="s">
        <v>10</v>
      </c>
      <c r="G42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11" s="3" t="s">
        <v>172</v>
      </c>
      <c r="I4211" s="3" t="s">
        <v>31</v>
      </c>
      <c r="J4211" s="3" t="s">
        <v>37</v>
      </c>
      <c r="K4211" s="3" t="s">
        <v>46</v>
      </c>
      <c r="L4211" s="3" t="s">
        <v>47</v>
      </c>
      <c r="M4211" s="4">
        <v>395.44</v>
      </c>
    </row>
    <row r="4212">
      <c r="A4212" s="2">
        <v>45978</v>
      </c>
      <c r="B42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2" s="3" t="str">
        <f>YEAR(KMART_DATA[[#This Row],[Date]])&amp;"-"&amp;TEXT(MONTH(KMART_DATA[[#This Row],[Date]]),"00")</f>
        <v>2025-11</v>
      </c>
      <c r="D4212" s="3" t="s">
        <v>28</v>
      </c>
      <c r="E4212" s="3" t="s">
        <v>211</v>
      </c>
      <c r="F4212" s="3" t="s">
        <v>9</v>
      </c>
      <c r="G42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12" s="3" t="s">
        <v>212</v>
      </c>
      <c r="I4212" s="3" t="s">
        <v>31</v>
      </c>
      <c r="J4212" s="3" t="s">
        <v>75</v>
      </c>
      <c r="K4212" s="3" t="s">
        <v>57</v>
      </c>
      <c r="L4212" s="3" t="s">
        <v>58</v>
      </c>
      <c r="M4212" s="4">
        <v>933.94</v>
      </c>
    </row>
    <row r="4213">
      <c r="A4213" s="2">
        <v>45978</v>
      </c>
      <c r="B42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3" s="3" t="str">
        <f>YEAR(KMART_DATA[[#This Row],[Date]])&amp;"-"&amp;TEXT(MONTH(KMART_DATA[[#This Row],[Date]]),"00")</f>
        <v>2025-11</v>
      </c>
      <c r="D4213" s="3" t="s">
        <v>28</v>
      </c>
      <c r="E4213" s="3" t="s">
        <v>252</v>
      </c>
      <c r="F4213" s="3" t="s">
        <v>10</v>
      </c>
      <c r="G42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13" s="3" t="s">
        <v>253</v>
      </c>
      <c r="I4213" s="3" t="s">
        <v>31</v>
      </c>
      <c r="J4213" s="3" t="s">
        <v>94</v>
      </c>
      <c r="K4213" s="3" t="s">
        <v>46</v>
      </c>
      <c r="L4213" s="3" t="s">
        <v>47</v>
      </c>
      <c r="M4213" s="4">
        <v>1921.95</v>
      </c>
    </row>
    <row r="4214">
      <c r="A4214" s="2">
        <v>45979</v>
      </c>
      <c r="B42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4" s="3" t="str">
        <f>YEAR(KMART_DATA[[#This Row],[Date]])&amp;"-"&amp;TEXT(MONTH(KMART_DATA[[#This Row],[Date]]),"00")</f>
        <v>2025-11</v>
      </c>
      <c r="D4214" s="3" t="s">
        <v>28</v>
      </c>
      <c r="E4214" s="3" t="s">
        <v>228</v>
      </c>
      <c r="F4214" s="3" t="s">
        <v>11</v>
      </c>
      <c r="G42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14" s="3" t="s">
        <v>229</v>
      </c>
      <c r="I4214" s="3" t="s">
        <v>31</v>
      </c>
      <c r="J4214" s="3" t="s">
        <v>32</v>
      </c>
      <c r="K4214" s="3" t="s">
        <v>33</v>
      </c>
      <c r="L4214" s="3" t="s">
        <v>34</v>
      </c>
      <c r="M4214" s="4">
        <v>31.96</v>
      </c>
    </row>
    <row r="4215">
      <c r="A4215" s="2">
        <v>45979</v>
      </c>
      <c r="B42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5" s="3" t="str">
        <f>YEAR(KMART_DATA[[#This Row],[Date]])&amp;"-"&amp;TEXT(MONTH(KMART_DATA[[#This Row],[Date]]),"00")</f>
        <v>2025-11</v>
      </c>
      <c r="D4215" s="3" t="s">
        <v>28</v>
      </c>
      <c r="E4215" s="3" t="s">
        <v>256</v>
      </c>
      <c r="F4215" s="3" t="s">
        <v>9</v>
      </c>
      <c r="G42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15" s="3" t="s">
        <v>257</v>
      </c>
      <c r="I4215" s="3" t="s">
        <v>31</v>
      </c>
      <c r="J4215" s="3" t="s">
        <v>70</v>
      </c>
      <c r="K4215" s="3" t="s">
        <v>123</v>
      </c>
      <c r="L4215" s="3" t="s">
        <v>124</v>
      </c>
      <c r="M4215" s="4">
        <v>48.21</v>
      </c>
    </row>
    <row r="4216">
      <c r="A4216" s="2">
        <v>45979</v>
      </c>
      <c r="B42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6" s="3" t="str">
        <f>YEAR(KMART_DATA[[#This Row],[Date]])&amp;"-"&amp;TEXT(MONTH(KMART_DATA[[#This Row],[Date]]),"00")</f>
        <v>2025-11</v>
      </c>
      <c r="D4216" s="3" t="s">
        <v>45</v>
      </c>
      <c r="E4216" s="3" t="s">
        <v>48</v>
      </c>
      <c r="F4216" s="3" t="s">
        <v>12</v>
      </c>
      <c r="G42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216" s="3" t="s">
        <v>49</v>
      </c>
      <c r="I4216" s="3" t="s">
        <v>31</v>
      </c>
      <c r="J4216" s="3" t="s">
        <v>50</v>
      </c>
      <c r="K4216" s="3" t="s">
        <v>33</v>
      </c>
      <c r="L4216" s="3" t="s">
        <v>34</v>
      </c>
      <c r="M4216" s="4">
        <v>61.41</v>
      </c>
    </row>
    <row r="4217">
      <c r="A4217" s="2">
        <v>45979</v>
      </c>
      <c r="B42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7" s="3" t="str">
        <f>YEAR(KMART_DATA[[#This Row],[Date]])&amp;"-"&amp;TEXT(MONTH(KMART_DATA[[#This Row],[Date]]),"00")</f>
        <v>2025-11</v>
      </c>
      <c r="D4217" s="3" t="s">
        <v>45</v>
      </c>
      <c r="E4217" s="3" t="s">
        <v>87</v>
      </c>
      <c r="F4217" s="3" t="s">
        <v>10</v>
      </c>
      <c r="G42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17" s="3" t="s">
        <v>88</v>
      </c>
      <c r="I4217" s="3" t="s">
        <v>31</v>
      </c>
      <c r="J4217" s="3" t="s">
        <v>89</v>
      </c>
      <c r="K4217" s="3" t="s">
        <v>57</v>
      </c>
      <c r="L4217" s="3" t="s">
        <v>58</v>
      </c>
      <c r="M4217" s="4">
        <v>81.51</v>
      </c>
    </row>
    <row r="4218">
      <c r="A4218" s="2">
        <v>45979</v>
      </c>
      <c r="B42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8" s="3" t="str">
        <f>YEAR(KMART_DATA[[#This Row],[Date]])&amp;"-"&amp;TEXT(MONTH(KMART_DATA[[#This Row],[Date]]),"00")</f>
        <v>2025-11</v>
      </c>
      <c r="D4218" s="3" t="s">
        <v>45</v>
      </c>
      <c r="E4218" s="3" t="s">
        <v>193</v>
      </c>
      <c r="F4218" s="3" t="s">
        <v>9</v>
      </c>
      <c r="G42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18" s="3" t="s">
        <v>194</v>
      </c>
      <c r="I4218" s="3" t="s">
        <v>31</v>
      </c>
      <c r="J4218" s="3" t="s">
        <v>99</v>
      </c>
      <c r="K4218" s="3" t="s">
        <v>112</v>
      </c>
      <c r="L4218" s="3" t="s">
        <v>113</v>
      </c>
      <c r="M4218" s="4">
        <v>97.51</v>
      </c>
    </row>
    <row r="4219">
      <c r="A4219" s="2">
        <v>45979</v>
      </c>
      <c r="B42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19" s="3" t="str">
        <f>YEAR(KMART_DATA[[#This Row],[Date]])&amp;"-"&amp;TEXT(MONTH(KMART_DATA[[#This Row],[Date]]),"00")</f>
        <v>2025-11</v>
      </c>
      <c r="D4219" s="3" t="s">
        <v>45</v>
      </c>
      <c r="E4219" s="3" t="s">
        <v>223</v>
      </c>
      <c r="F4219" s="3" t="s">
        <v>10</v>
      </c>
      <c r="G42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19" s="3" t="s">
        <v>224</v>
      </c>
      <c r="I4219" s="3" t="s">
        <v>31</v>
      </c>
      <c r="J4219" s="3" t="s">
        <v>94</v>
      </c>
      <c r="K4219" s="3" t="s">
        <v>33</v>
      </c>
      <c r="L4219" s="3" t="s">
        <v>34</v>
      </c>
      <c r="M4219" s="4">
        <v>124.22</v>
      </c>
    </row>
    <row r="4220">
      <c r="A4220" s="2">
        <v>45979</v>
      </c>
      <c r="B42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0" s="3" t="str">
        <f>YEAR(KMART_DATA[[#This Row],[Date]])&amp;"-"&amp;TEXT(MONTH(KMART_DATA[[#This Row],[Date]]),"00")</f>
        <v>2025-11</v>
      </c>
      <c r="D4220" s="3" t="s">
        <v>28</v>
      </c>
      <c r="E4220" s="3" t="s">
        <v>254</v>
      </c>
      <c r="F4220" s="3" t="s">
        <v>13</v>
      </c>
      <c r="G42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220" s="3" t="s">
        <v>255</v>
      </c>
      <c r="I4220" s="3" t="s">
        <v>31</v>
      </c>
      <c r="J4220" s="3" t="s">
        <v>227</v>
      </c>
      <c r="K4220" s="3" t="s">
        <v>33</v>
      </c>
      <c r="L4220" s="3" t="s">
        <v>34</v>
      </c>
      <c r="M4220" s="4">
        <v>604.49</v>
      </c>
    </row>
    <row r="4221">
      <c r="A4221" s="2">
        <v>45979</v>
      </c>
      <c r="B42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1" s="3" t="str">
        <f>YEAR(KMART_DATA[[#This Row],[Date]])&amp;"-"&amp;TEXT(MONTH(KMART_DATA[[#This Row],[Date]]),"00")</f>
        <v>2025-11</v>
      </c>
      <c r="D4221" s="3" t="s">
        <v>28</v>
      </c>
      <c r="E4221" s="3" t="s">
        <v>246</v>
      </c>
      <c r="F4221" s="3" t="s">
        <v>10</v>
      </c>
      <c r="G42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21" s="3" t="s">
        <v>247</v>
      </c>
      <c r="I4221" s="3" t="s">
        <v>31</v>
      </c>
      <c r="J4221" s="3" t="s">
        <v>37</v>
      </c>
      <c r="K4221" s="3" t="s">
        <v>71</v>
      </c>
      <c r="L4221" s="3" t="s">
        <v>72</v>
      </c>
      <c r="M4221" s="4">
        <v>1291.34</v>
      </c>
    </row>
    <row r="4222">
      <c r="A4222" s="2">
        <v>45980</v>
      </c>
      <c r="B42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2" s="3" t="str">
        <f>YEAR(KMART_DATA[[#This Row],[Date]])&amp;"-"&amp;TEXT(MONTH(KMART_DATA[[#This Row],[Date]]),"00")</f>
        <v>2025-11</v>
      </c>
      <c r="D4222" s="3" t="s">
        <v>28</v>
      </c>
      <c r="E4222" s="3" t="s">
        <v>156</v>
      </c>
      <c r="F4222" s="3" t="s">
        <v>9</v>
      </c>
      <c r="G42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22" s="3" t="s">
        <v>157</v>
      </c>
      <c r="I4222" s="3" t="s">
        <v>31</v>
      </c>
      <c r="J4222" s="3" t="s">
        <v>75</v>
      </c>
      <c r="K4222" s="3" t="s">
        <v>38</v>
      </c>
      <c r="L4222" s="3" t="s">
        <v>39</v>
      </c>
      <c r="M4222" s="4">
        <v>2.99</v>
      </c>
    </row>
    <row r="4223">
      <c r="A4223" s="2">
        <v>45980</v>
      </c>
      <c r="B42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3" s="3" t="str">
        <f>YEAR(KMART_DATA[[#This Row],[Date]])&amp;"-"&amp;TEXT(MONTH(KMART_DATA[[#This Row],[Date]]),"00")</f>
        <v>2025-11</v>
      </c>
      <c r="D4223" s="3" t="s">
        <v>28</v>
      </c>
      <c r="E4223" s="3" t="s">
        <v>154</v>
      </c>
      <c r="F4223" s="3" t="s">
        <v>11</v>
      </c>
      <c r="G42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23" s="3" t="s">
        <v>155</v>
      </c>
      <c r="I4223" s="3" t="s">
        <v>31</v>
      </c>
      <c r="J4223" s="3" t="s">
        <v>84</v>
      </c>
      <c r="K4223" s="3" t="s">
        <v>57</v>
      </c>
      <c r="L4223" s="3" t="s">
        <v>58</v>
      </c>
      <c r="M4223" s="4">
        <v>89.97</v>
      </c>
    </row>
    <row r="4224">
      <c r="A4224" s="2">
        <v>45980</v>
      </c>
      <c r="B42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4" s="3" t="str">
        <f>YEAR(KMART_DATA[[#This Row],[Date]])&amp;"-"&amp;TEXT(MONTH(KMART_DATA[[#This Row],[Date]]),"00")</f>
        <v>2025-11</v>
      </c>
      <c r="D4224" s="3" t="s">
        <v>28</v>
      </c>
      <c r="E4224" s="3" t="s">
        <v>137</v>
      </c>
      <c r="F4224" s="3" t="s">
        <v>10</v>
      </c>
      <c r="G42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24" s="3" t="s">
        <v>138</v>
      </c>
      <c r="I4224" s="3" t="s">
        <v>31</v>
      </c>
      <c r="J4224" s="3" t="s">
        <v>89</v>
      </c>
      <c r="K4224" s="3" t="s">
        <v>71</v>
      </c>
      <c r="L4224" s="3" t="s">
        <v>72</v>
      </c>
      <c r="M4224" s="4">
        <v>209.79</v>
      </c>
    </row>
    <row r="4225">
      <c r="A4225" s="2">
        <v>45980</v>
      </c>
      <c r="B42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5" s="3" t="str">
        <f>YEAR(KMART_DATA[[#This Row],[Date]])&amp;"-"&amp;TEXT(MONTH(KMART_DATA[[#This Row],[Date]]),"00")</f>
        <v>2025-11</v>
      </c>
      <c r="D4225" s="3" t="s">
        <v>28</v>
      </c>
      <c r="E4225" s="3" t="s">
        <v>221</v>
      </c>
      <c r="F4225" s="3" t="s">
        <v>11</v>
      </c>
      <c r="G42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25" s="3" t="s">
        <v>222</v>
      </c>
      <c r="I4225" s="3" t="s">
        <v>31</v>
      </c>
      <c r="J4225" s="3" t="s">
        <v>56</v>
      </c>
      <c r="K4225" s="3" t="s">
        <v>123</v>
      </c>
      <c r="L4225" s="3" t="s">
        <v>124</v>
      </c>
      <c r="M4225" s="4">
        <v>688.15</v>
      </c>
    </row>
    <row r="4226">
      <c r="A4226" s="2">
        <v>45980</v>
      </c>
      <c r="B42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6" s="3" t="str">
        <f>YEAR(KMART_DATA[[#This Row],[Date]])&amp;"-"&amp;TEXT(MONTH(KMART_DATA[[#This Row],[Date]]),"00")</f>
        <v>2025-11</v>
      </c>
      <c r="D4226" s="3" t="s">
        <v>45</v>
      </c>
      <c r="E4226" s="3" t="s">
        <v>250</v>
      </c>
      <c r="F4226" s="3" t="s">
        <v>10</v>
      </c>
      <c r="G42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26" s="3" t="s">
        <v>251</v>
      </c>
      <c r="I4226" s="3" t="s">
        <v>31</v>
      </c>
      <c r="J4226" s="3" t="s">
        <v>37</v>
      </c>
      <c r="K4226" s="3" t="s">
        <v>43</v>
      </c>
      <c r="L4226" s="3" t="s">
        <v>44</v>
      </c>
      <c r="M4226" s="4">
        <v>702.54</v>
      </c>
    </row>
    <row r="4227">
      <c r="A4227" s="2">
        <v>45980</v>
      </c>
      <c r="B42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7" s="3" t="str">
        <f>YEAR(KMART_DATA[[#This Row],[Date]])&amp;"-"&amp;TEXT(MONTH(KMART_DATA[[#This Row],[Date]]),"00")</f>
        <v>2025-11</v>
      </c>
      <c r="D4227" s="3" t="s">
        <v>28</v>
      </c>
      <c r="E4227" s="3" t="s">
        <v>221</v>
      </c>
      <c r="F4227" s="3" t="s">
        <v>11</v>
      </c>
      <c r="G42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27" s="3" t="s">
        <v>222</v>
      </c>
      <c r="I4227" s="3" t="s">
        <v>31</v>
      </c>
      <c r="J4227" s="3" t="s">
        <v>56</v>
      </c>
      <c r="K4227" s="3" t="s">
        <v>95</v>
      </c>
      <c r="L4227" s="3" t="s">
        <v>96</v>
      </c>
      <c r="M4227" s="4">
        <v>4824.82</v>
      </c>
    </row>
    <row r="4228">
      <c r="A4228" s="2">
        <v>45980</v>
      </c>
      <c r="B42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8" s="3" t="str">
        <f>YEAR(KMART_DATA[[#This Row],[Date]])&amp;"-"&amp;TEXT(MONTH(KMART_DATA[[#This Row],[Date]]),"00")</f>
        <v>2025-11</v>
      </c>
      <c r="D4228" s="3" t="s">
        <v>28</v>
      </c>
      <c r="E4228" s="3" t="s">
        <v>181</v>
      </c>
      <c r="F4228" s="3" t="s">
        <v>11</v>
      </c>
      <c r="G42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28" s="3" t="s">
        <v>182</v>
      </c>
      <c r="I4228" s="3" t="s">
        <v>31</v>
      </c>
      <c r="J4228" s="3" t="s">
        <v>56</v>
      </c>
      <c r="K4228" s="3" t="s">
        <v>123</v>
      </c>
      <c r="L4228" s="3" t="s">
        <v>124</v>
      </c>
      <c r="M4228" s="4">
        <v>4846.61</v>
      </c>
    </row>
    <row r="4229">
      <c r="A4229" s="2">
        <v>45980</v>
      </c>
      <c r="B42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29" s="3" t="str">
        <f>YEAR(KMART_DATA[[#This Row],[Date]])&amp;"-"&amp;TEXT(MONTH(KMART_DATA[[#This Row],[Date]]),"00")</f>
        <v>2025-11</v>
      </c>
      <c r="D4229" s="3" t="s">
        <v>28</v>
      </c>
      <c r="E4229" s="3" t="s">
        <v>62</v>
      </c>
      <c r="F4229" s="3" t="s">
        <v>12</v>
      </c>
      <c r="G42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229" s="3" t="s">
        <v>63</v>
      </c>
      <c r="I4229" s="3" t="s">
        <v>31</v>
      </c>
      <c r="J4229" s="3" t="s">
        <v>50</v>
      </c>
      <c r="K4229" s="3" t="s">
        <v>57</v>
      </c>
      <c r="L4229" s="3" t="s">
        <v>58</v>
      </c>
      <c r="M4229" s="4">
        <v>7890.83</v>
      </c>
    </row>
    <row r="4230">
      <c r="A4230" s="2">
        <v>45980</v>
      </c>
      <c r="B42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0" s="3" t="str">
        <f>YEAR(KMART_DATA[[#This Row],[Date]])&amp;"-"&amp;TEXT(MONTH(KMART_DATA[[#This Row],[Date]]),"00")</f>
        <v>2025-11</v>
      </c>
      <c r="D4230" s="3" t="s">
        <v>28</v>
      </c>
      <c r="E4230" s="3" t="s">
        <v>139</v>
      </c>
      <c r="F4230" s="3" t="s">
        <v>10</v>
      </c>
      <c r="G42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30" s="3" t="s">
        <v>140</v>
      </c>
      <c r="I4230" s="3" t="s">
        <v>31</v>
      </c>
      <c r="J4230" s="3" t="s">
        <v>89</v>
      </c>
      <c r="K4230" s="3" t="s">
        <v>57</v>
      </c>
      <c r="L4230" s="3" t="s">
        <v>58</v>
      </c>
      <c r="M4230" s="4">
        <v>8106.36</v>
      </c>
    </row>
    <row r="4231">
      <c r="A4231" s="2">
        <v>45981</v>
      </c>
      <c r="B42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1" s="3" t="str">
        <f>YEAR(KMART_DATA[[#This Row],[Date]])&amp;"-"&amp;TEXT(MONTH(KMART_DATA[[#This Row],[Date]]),"00")</f>
        <v>2025-11</v>
      </c>
      <c r="D4231" s="3" t="s">
        <v>28</v>
      </c>
      <c r="E4231" s="3" t="s">
        <v>256</v>
      </c>
      <c r="F4231" s="3" t="s">
        <v>9</v>
      </c>
      <c r="G42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31" s="3" t="s">
        <v>257</v>
      </c>
      <c r="I4231" s="3" t="s">
        <v>31</v>
      </c>
      <c r="J4231" s="3" t="s">
        <v>70</v>
      </c>
      <c r="K4231" s="3" t="s">
        <v>71</v>
      </c>
      <c r="L4231" s="3" t="s">
        <v>72</v>
      </c>
      <c r="M4231" s="4">
        <v>3.0</v>
      </c>
    </row>
    <row r="4232">
      <c r="A4232" s="2">
        <v>45981</v>
      </c>
      <c r="B42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2" s="3" t="str">
        <f>YEAR(KMART_DATA[[#This Row],[Date]])&amp;"-"&amp;TEXT(MONTH(KMART_DATA[[#This Row],[Date]]),"00")</f>
        <v>2025-11</v>
      </c>
      <c r="D4232" s="3" t="s">
        <v>28</v>
      </c>
      <c r="E4232" s="3" t="s">
        <v>125</v>
      </c>
      <c r="F4232" s="3" t="s">
        <v>10</v>
      </c>
      <c r="G42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32" s="3" t="s">
        <v>126</v>
      </c>
      <c r="I4232" s="3" t="s">
        <v>31</v>
      </c>
      <c r="J4232" s="3" t="s">
        <v>94</v>
      </c>
      <c r="K4232" s="3" t="s">
        <v>46</v>
      </c>
      <c r="L4232" s="3" t="s">
        <v>47</v>
      </c>
      <c r="M4232" s="4">
        <v>7.0</v>
      </c>
    </row>
    <row r="4233">
      <c r="A4233" s="2">
        <v>45981</v>
      </c>
      <c r="B42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3" s="3" t="str">
        <f>YEAR(KMART_DATA[[#This Row],[Date]])&amp;"-"&amp;TEXT(MONTH(KMART_DATA[[#This Row],[Date]]),"00")</f>
        <v>2025-11</v>
      </c>
      <c r="D4233" s="3" t="s">
        <v>28</v>
      </c>
      <c r="E4233" s="3" t="s">
        <v>116</v>
      </c>
      <c r="F4233" s="3" t="s">
        <v>9</v>
      </c>
      <c r="G42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33" s="3" t="s">
        <v>117</v>
      </c>
      <c r="I4233" s="3" t="s">
        <v>31</v>
      </c>
      <c r="J4233" s="3" t="s">
        <v>70</v>
      </c>
      <c r="K4233" s="3" t="s">
        <v>112</v>
      </c>
      <c r="L4233" s="3" t="s">
        <v>113</v>
      </c>
      <c r="M4233" s="4">
        <v>16.9</v>
      </c>
    </row>
    <row r="4234">
      <c r="A4234" s="2">
        <v>45981</v>
      </c>
      <c r="B42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4" s="3" t="str">
        <f>YEAR(KMART_DATA[[#This Row],[Date]])&amp;"-"&amp;TEXT(MONTH(KMART_DATA[[#This Row],[Date]]),"00")</f>
        <v>2025-11</v>
      </c>
      <c r="D4234" s="3" t="s">
        <v>45</v>
      </c>
      <c r="E4234" s="3" t="s">
        <v>62</v>
      </c>
      <c r="F4234" s="3" t="s">
        <v>12</v>
      </c>
      <c r="G42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234" s="3" t="s">
        <v>63</v>
      </c>
      <c r="I4234" s="3" t="s">
        <v>31</v>
      </c>
      <c r="J4234" s="3" t="s">
        <v>50</v>
      </c>
      <c r="K4234" s="3" t="s">
        <v>38</v>
      </c>
      <c r="L4234" s="3" t="s">
        <v>39</v>
      </c>
      <c r="M4234" s="4">
        <v>224.95</v>
      </c>
    </row>
    <row r="4235">
      <c r="A4235" s="2">
        <v>45981</v>
      </c>
      <c r="B42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5" s="3" t="str">
        <f>YEAR(KMART_DATA[[#This Row],[Date]])&amp;"-"&amp;TEXT(MONTH(KMART_DATA[[#This Row],[Date]]),"00")</f>
        <v>2025-11</v>
      </c>
      <c r="D4235" s="3" t="s">
        <v>28</v>
      </c>
      <c r="E4235" s="3" t="s">
        <v>238</v>
      </c>
      <c r="F4235" s="3" t="s">
        <v>13</v>
      </c>
      <c r="G42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235" s="3" t="s">
        <v>239</v>
      </c>
      <c r="I4235" s="3" t="s">
        <v>31</v>
      </c>
      <c r="J4235" s="3" t="s">
        <v>42</v>
      </c>
      <c r="K4235" s="3" t="s">
        <v>43</v>
      </c>
      <c r="L4235" s="3" t="s">
        <v>44</v>
      </c>
      <c r="M4235" s="4">
        <v>548.43</v>
      </c>
    </row>
    <row r="4236">
      <c r="A4236" s="2">
        <v>45981</v>
      </c>
      <c r="B42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6" s="3" t="str">
        <f>YEAR(KMART_DATA[[#This Row],[Date]])&amp;"-"&amp;TEXT(MONTH(KMART_DATA[[#This Row],[Date]]),"00")</f>
        <v>2025-11</v>
      </c>
      <c r="D4236" s="3" t="s">
        <v>28</v>
      </c>
      <c r="E4236" s="3" t="s">
        <v>125</v>
      </c>
      <c r="F4236" s="3" t="s">
        <v>10</v>
      </c>
      <c r="G42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36" s="3" t="s">
        <v>126</v>
      </c>
      <c r="I4236" s="3" t="s">
        <v>31</v>
      </c>
      <c r="J4236" s="3" t="s">
        <v>94</v>
      </c>
      <c r="K4236" s="3" t="s">
        <v>57</v>
      </c>
      <c r="L4236" s="3" t="s">
        <v>58</v>
      </c>
      <c r="M4236" s="4">
        <v>574.99</v>
      </c>
    </row>
    <row r="4237">
      <c r="A4237" s="2">
        <v>45981</v>
      </c>
      <c r="B42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7" s="3" t="str">
        <f>YEAR(KMART_DATA[[#This Row],[Date]])&amp;"-"&amp;TEXT(MONTH(KMART_DATA[[#This Row],[Date]]),"00")</f>
        <v>2025-11</v>
      </c>
      <c r="D4237" s="3" t="s">
        <v>28</v>
      </c>
      <c r="E4237" s="3" t="s">
        <v>160</v>
      </c>
      <c r="F4237" s="3" t="s">
        <v>12</v>
      </c>
      <c r="G42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237" s="3" t="s">
        <v>161</v>
      </c>
      <c r="I4237" s="3" t="s">
        <v>31</v>
      </c>
      <c r="J4237" s="3" t="s">
        <v>162</v>
      </c>
      <c r="K4237" s="3" t="s">
        <v>123</v>
      </c>
      <c r="L4237" s="3" t="s">
        <v>124</v>
      </c>
      <c r="M4237" s="4">
        <v>686.93</v>
      </c>
    </row>
    <row r="4238">
      <c r="A4238" s="2">
        <v>45981</v>
      </c>
      <c r="B42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8" s="3" t="str">
        <f>YEAR(KMART_DATA[[#This Row],[Date]])&amp;"-"&amp;TEXT(MONTH(KMART_DATA[[#This Row],[Date]]),"00")</f>
        <v>2025-11</v>
      </c>
      <c r="D4238" s="3" t="s">
        <v>45</v>
      </c>
      <c r="E4238" s="3" t="s">
        <v>85</v>
      </c>
      <c r="F4238" s="3" t="s">
        <v>9</v>
      </c>
      <c r="G42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38" s="3" t="s">
        <v>86</v>
      </c>
      <c r="I4238" s="3" t="s">
        <v>31</v>
      </c>
      <c r="J4238" s="3" t="s">
        <v>81</v>
      </c>
      <c r="K4238" s="3" t="s">
        <v>71</v>
      </c>
      <c r="L4238" s="3" t="s">
        <v>72</v>
      </c>
      <c r="M4238" s="4">
        <v>739.61</v>
      </c>
    </row>
    <row r="4239">
      <c r="A4239" s="2">
        <v>45982</v>
      </c>
      <c r="B42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39" s="3" t="str">
        <f>YEAR(KMART_DATA[[#This Row],[Date]])&amp;"-"&amp;TEXT(MONTH(KMART_DATA[[#This Row],[Date]]),"00")</f>
        <v>2025-11</v>
      </c>
      <c r="D4239" s="3" t="s">
        <v>28</v>
      </c>
      <c r="E4239" s="3" t="s">
        <v>35</v>
      </c>
      <c r="F4239" s="3" t="s">
        <v>10</v>
      </c>
      <c r="G42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39" s="3" t="s">
        <v>36</v>
      </c>
      <c r="I4239" s="3" t="s">
        <v>31</v>
      </c>
      <c r="J4239" s="3" t="s">
        <v>37</v>
      </c>
      <c r="K4239" s="3" t="s">
        <v>43</v>
      </c>
      <c r="L4239" s="3" t="s">
        <v>44</v>
      </c>
      <c r="M4239" s="4">
        <v>5.0</v>
      </c>
    </row>
    <row r="4240">
      <c r="A4240" s="2">
        <v>45982</v>
      </c>
      <c r="B42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0" s="3" t="str">
        <f>YEAR(KMART_DATA[[#This Row],[Date]])&amp;"-"&amp;TEXT(MONTH(KMART_DATA[[#This Row],[Date]]),"00")</f>
        <v>2025-11</v>
      </c>
      <c r="D4240" s="3" t="s">
        <v>45</v>
      </c>
      <c r="E4240" s="3" t="s">
        <v>64</v>
      </c>
      <c r="F4240" s="3" t="s">
        <v>11</v>
      </c>
      <c r="G42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40" s="3" t="s">
        <v>65</v>
      </c>
      <c r="I4240" s="3" t="s">
        <v>31</v>
      </c>
      <c r="J4240" s="3" t="s">
        <v>61</v>
      </c>
      <c r="K4240" s="3" t="s">
        <v>33</v>
      </c>
      <c r="L4240" s="3" t="s">
        <v>34</v>
      </c>
      <c r="M4240" s="4">
        <v>9.98</v>
      </c>
    </row>
    <row r="4241">
      <c r="A4241" s="2">
        <v>45982</v>
      </c>
      <c r="B42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1" s="3" t="str">
        <f>YEAR(KMART_DATA[[#This Row],[Date]])&amp;"-"&amp;TEXT(MONTH(KMART_DATA[[#This Row],[Date]]),"00")</f>
        <v>2025-11</v>
      </c>
      <c r="D4241" s="3" t="s">
        <v>28</v>
      </c>
      <c r="E4241" s="3" t="s">
        <v>129</v>
      </c>
      <c r="F4241" s="3" t="s">
        <v>10</v>
      </c>
      <c r="G42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41" s="3" t="s">
        <v>130</v>
      </c>
      <c r="I4241" s="3" t="s">
        <v>31</v>
      </c>
      <c r="J4241" s="3" t="s">
        <v>120</v>
      </c>
      <c r="K4241" s="3" t="s">
        <v>46</v>
      </c>
      <c r="L4241" s="3" t="s">
        <v>47</v>
      </c>
      <c r="M4241" s="4">
        <v>13.93</v>
      </c>
    </row>
    <row r="4242">
      <c r="A4242" s="2">
        <v>45982</v>
      </c>
      <c r="B42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2" s="3" t="str">
        <f>YEAR(KMART_DATA[[#This Row],[Date]])&amp;"-"&amp;TEXT(MONTH(KMART_DATA[[#This Row],[Date]]),"00")</f>
        <v>2025-11</v>
      </c>
      <c r="D4242" s="3" t="s">
        <v>45</v>
      </c>
      <c r="E4242" s="3" t="s">
        <v>150</v>
      </c>
      <c r="F4242" s="3" t="s">
        <v>15</v>
      </c>
      <c r="G42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242" s="3" t="s">
        <v>151</v>
      </c>
      <c r="I4242" s="3" t="s">
        <v>31</v>
      </c>
      <c r="J4242" s="3" t="s">
        <v>53</v>
      </c>
      <c r="K4242" s="3" t="s">
        <v>123</v>
      </c>
      <c r="L4242" s="3" t="s">
        <v>124</v>
      </c>
      <c r="M4242" s="4">
        <v>47.94</v>
      </c>
    </row>
    <row r="4243">
      <c r="A4243" s="2">
        <v>45982</v>
      </c>
      <c r="B42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3" s="3" t="str">
        <f>YEAR(KMART_DATA[[#This Row],[Date]])&amp;"-"&amp;TEXT(MONTH(KMART_DATA[[#This Row],[Date]]),"00")</f>
        <v>2025-11</v>
      </c>
      <c r="D4243" s="3" t="s">
        <v>45</v>
      </c>
      <c r="E4243" s="3" t="s">
        <v>141</v>
      </c>
      <c r="F4243" s="3" t="s">
        <v>9</v>
      </c>
      <c r="G42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43" s="3" t="s">
        <v>142</v>
      </c>
      <c r="I4243" s="3" t="s">
        <v>31</v>
      </c>
      <c r="J4243" s="3" t="s">
        <v>107</v>
      </c>
      <c r="K4243" s="3" t="s">
        <v>43</v>
      </c>
      <c r="L4243" s="3" t="s">
        <v>44</v>
      </c>
      <c r="M4243" s="4">
        <v>84.93</v>
      </c>
    </row>
    <row r="4244">
      <c r="A4244" s="2">
        <v>45982</v>
      </c>
      <c r="B42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4" s="3" t="str">
        <f>YEAR(KMART_DATA[[#This Row],[Date]])&amp;"-"&amp;TEXT(MONTH(KMART_DATA[[#This Row],[Date]]),"00")</f>
        <v>2025-11</v>
      </c>
      <c r="D4244" s="3" t="s">
        <v>28</v>
      </c>
      <c r="E4244" s="3" t="s">
        <v>97</v>
      </c>
      <c r="F4244" s="3" t="s">
        <v>9</v>
      </c>
      <c r="G42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44" s="3" t="s">
        <v>98</v>
      </c>
      <c r="I4244" s="3" t="s">
        <v>31</v>
      </c>
      <c r="J4244" s="3" t="s">
        <v>99</v>
      </c>
      <c r="K4244" s="3" t="s">
        <v>95</v>
      </c>
      <c r="L4244" s="3" t="s">
        <v>96</v>
      </c>
      <c r="M4244" s="4">
        <v>86.29</v>
      </c>
    </row>
    <row r="4245">
      <c r="A4245" s="2">
        <v>45982</v>
      </c>
      <c r="B42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5" s="3" t="str">
        <f>YEAR(KMART_DATA[[#This Row],[Date]])&amp;"-"&amp;TEXT(MONTH(KMART_DATA[[#This Row],[Date]]),"00")</f>
        <v>2025-11</v>
      </c>
      <c r="D4245" s="3" t="s">
        <v>45</v>
      </c>
      <c r="E4245" s="3" t="s">
        <v>105</v>
      </c>
      <c r="F4245" s="3" t="s">
        <v>9</v>
      </c>
      <c r="G42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45" s="3" t="s">
        <v>106</v>
      </c>
      <c r="I4245" s="3" t="s">
        <v>31</v>
      </c>
      <c r="J4245" s="3" t="s">
        <v>107</v>
      </c>
      <c r="K4245" s="3" t="s">
        <v>43</v>
      </c>
      <c r="L4245" s="3" t="s">
        <v>44</v>
      </c>
      <c r="M4245" s="4">
        <v>109.83</v>
      </c>
    </row>
    <row r="4246">
      <c r="A4246" s="2">
        <v>45982</v>
      </c>
      <c r="B42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6" s="3" t="str">
        <f>YEAR(KMART_DATA[[#This Row],[Date]])&amp;"-"&amp;TEXT(MONTH(KMART_DATA[[#This Row],[Date]]),"00")</f>
        <v>2025-11</v>
      </c>
      <c r="D4246" s="3" t="s">
        <v>45</v>
      </c>
      <c r="E4246" s="3" t="s">
        <v>199</v>
      </c>
      <c r="F4246" s="3" t="s">
        <v>13</v>
      </c>
      <c r="G42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246" s="3" t="s">
        <v>200</v>
      </c>
      <c r="I4246" s="3" t="s">
        <v>31</v>
      </c>
      <c r="J4246" s="3" t="s">
        <v>42</v>
      </c>
      <c r="K4246" s="3" t="s">
        <v>46</v>
      </c>
      <c r="L4246" s="3" t="s">
        <v>47</v>
      </c>
      <c r="M4246" s="4">
        <v>152.34</v>
      </c>
    </row>
    <row r="4247">
      <c r="A4247" s="2">
        <v>45982</v>
      </c>
      <c r="B42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7" s="3" t="str">
        <f>YEAR(KMART_DATA[[#This Row],[Date]])&amp;"-"&amp;TEXT(MONTH(KMART_DATA[[#This Row],[Date]]),"00")</f>
        <v>2025-11</v>
      </c>
      <c r="D4247" s="3" t="s">
        <v>28</v>
      </c>
      <c r="E4247" s="3" t="s">
        <v>203</v>
      </c>
      <c r="F4247" s="3" t="s">
        <v>10</v>
      </c>
      <c r="G42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47" s="3" t="s">
        <v>204</v>
      </c>
      <c r="I4247" s="3" t="s">
        <v>31</v>
      </c>
      <c r="J4247" s="3" t="s">
        <v>89</v>
      </c>
      <c r="K4247" s="3" t="s">
        <v>71</v>
      </c>
      <c r="L4247" s="3" t="s">
        <v>72</v>
      </c>
      <c r="M4247" s="4">
        <v>1817.09</v>
      </c>
    </row>
    <row r="4248">
      <c r="A4248" s="2">
        <v>45982</v>
      </c>
      <c r="B42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8" s="3" t="str">
        <f>YEAR(KMART_DATA[[#This Row],[Date]])&amp;"-"&amp;TEXT(MONTH(KMART_DATA[[#This Row],[Date]]),"00")</f>
        <v>2025-11</v>
      </c>
      <c r="D4248" s="3" t="s">
        <v>28</v>
      </c>
      <c r="E4248" s="3" t="s">
        <v>110</v>
      </c>
      <c r="F4248" s="3" t="s">
        <v>9</v>
      </c>
      <c r="G42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48" s="3" t="s">
        <v>111</v>
      </c>
      <c r="I4248" s="3" t="s">
        <v>31</v>
      </c>
      <c r="J4248" s="3" t="s">
        <v>81</v>
      </c>
      <c r="K4248" s="3" t="s">
        <v>123</v>
      </c>
      <c r="L4248" s="3" t="s">
        <v>124</v>
      </c>
      <c r="M4248" s="4">
        <v>3214.76</v>
      </c>
    </row>
    <row r="4249">
      <c r="A4249" s="2">
        <v>45983</v>
      </c>
      <c r="B42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49" s="3" t="str">
        <f>YEAR(KMART_DATA[[#This Row],[Date]])&amp;"-"&amp;TEXT(MONTH(KMART_DATA[[#This Row],[Date]]),"00")</f>
        <v>2025-11</v>
      </c>
      <c r="D4249" s="3" t="s">
        <v>28</v>
      </c>
      <c r="E4249" s="3" t="s">
        <v>195</v>
      </c>
      <c r="F4249" s="3" t="s">
        <v>11</v>
      </c>
      <c r="G42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49" s="3" t="s">
        <v>196</v>
      </c>
      <c r="I4249" s="3" t="s">
        <v>31</v>
      </c>
      <c r="J4249" s="3" t="s">
        <v>32</v>
      </c>
      <c r="K4249" s="3" t="s">
        <v>46</v>
      </c>
      <c r="L4249" s="3" t="s">
        <v>47</v>
      </c>
      <c r="M4249" s="4">
        <v>31.96</v>
      </c>
    </row>
    <row r="4250">
      <c r="A4250" s="2">
        <v>45983</v>
      </c>
      <c r="B42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0" s="3" t="str">
        <f>YEAR(KMART_DATA[[#This Row],[Date]])&amp;"-"&amp;TEXT(MONTH(KMART_DATA[[#This Row],[Date]]),"00")</f>
        <v>2025-11</v>
      </c>
      <c r="D4250" s="3" t="s">
        <v>45</v>
      </c>
      <c r="E4250" s="3" t="s">
        <v>116</v>
      </c>
      <c r="F4250" s="3" t="s">
        <v>9</v>
      </c>
      <c r="G42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50" s="3" t="s">
        <v>117</v>
      </c>
      <c r="I4250" s="3" t="s">
        <v>31</v>
      </c>
      <c r="J4250" s="3" t="s">
        <v>70</v>
      </c>
      <c r="K4250" s="3" t="s">
        <v>95</v>
      </c>
      <c r="L4250" s="3" t="s">
        <v>96</v>
      </c>
      <c r="M4250" s="4">
        <v>109.04</v>
      </c>
    </row>
    <row r="4251">
      <c r="A4251" s="2">
        <v>45983</v>
      </c>
      <c r="B42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1" s="3" t="str">
        <f>YEAR(KMART_DATA[[#This Row],[Date]])&amp;"-"&amp;TEXT(MONTH(KMART_DATA[[#This Row],[Date]]),"00")</f>
        <v>2025-11</v>
      </c>
      <c r="D4251" s="3" t="s">
        <v>45</v>
      </c>
      <c r="E4251" s="3" t="s">
        <v>207</v>
      </c>
      <c r="F4251" s="3" t="s">
        <v>11</v>
      </c>
      <c r="G42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51" s="3" t="s">
        <v>208</v>
      </c>
      <c r="I4251" s="3" t="s">
        <v>31</v>
      </c>
      <c r="J4251" s="3" t="s">
        <v>78</v>
      </c>
      <c r="K4251" s="3" t="s">
        <v>43</v>
      </c>
      <c r="L4251" s="3" t="s">
        <v>44</v>
      </c>
      <c r="M4251" s="4">
        <v>129.9</v>
      </c>
    </row>
    <row r="4252">
      <c r="A4252" s="2">
        <v>45983</v>
      </c>
      <c r="B42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2" s="3" t="str">
        <f>YEAR(KMART_DATA[[#This Row],[Date]])&amp;"-"&amp;TEXT(MONTH(KMART_DATA[[#This Row],[Date]]),"00")</f>
        <v>2025-11</v>
      </c>
      <c r="D4252" s="3" t="s">
        <v>28</v>
      </c>
      <c r="E4252" s="3" t="s">
        <v>129</v>
      </c>
      <c r="F4252" s="3" t="s">
        <v>10</v>
      </c>
      <c r="G42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52" s="3" t="s">
        <v>130</v>
      </c>
      <c r="I4252" s="3" t="s">
        <v>31</v>
      </c>
      <c r="J4252" s="3" t="s">
        <v>120</v>
      </c>
      <c r="K4252" s="3" t="s">
        <v>38</v>
      </c>
      <c r="L4252" s="3" t="s">
        <v>39</v>
      </c>
      <c r="M4252" s="4">
        <v>575.21</v>
      </c>
    </row>
    <row r="4253">
      <c r="A4253" s="2">
        <v>45983</v>
      </c>
      <c r="B42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3" s="3" t="str">
        <f>YEAR(KMART_DATA[[#This Row],[Date]])&amp;"-"&amp;TEXT(MONTH(KMART_DATA[[#This Row],[Date]]),"00")</f>
        <v>2025-11</v>
      </c>
      <c r="D4253" s="3" t="s">
        <v>28</v>
      </c>
      <c r="E4253" s="3" t="s">
        <v>133</v>
      </c>
      <c r="F4253" s="3" t="s">
        <v>10</v>
      </c>
      <c r="G42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53" s="3" t="s">
        <v>134</v>
      </c>
      <c r="I4253" s="3" t="s">
        <v>31</v>
      </c>
      <c r="J4253" s="3" t="s">
        <v>37</v>
      </c>
      <c r="K4253" s="3" t="s">
        <v>95</v>
      </c>
      <c r="L4253" s="3" t="s">
        <v>96</v>
      </c>
      <c r="M4253" s="4">
        <v>1034.95</v>
      </c>
    </row>
    <row r="4254">
      <c r="A4254" s="2">
        <v>45983</v>
      </c>
      <c r="B42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4" s="3" t="str">
        <f>YEAR(KMART_DATA[[#This Row],[Date]])&amp;"-"&amp;TEXT(MONTH(KMART_DATA[[#This Row],[Date]]),"00")</f>
        <v>2025-11</v>
      </c>
      <c r="D4254" s="3" t="s">
        <v>45</v>
      </c>
      <c r="E4254" s="3" t="s">
        <v>177</v>
      </c>
      <c r="F4254" s="3" t="s">
        <v>12</v>
      </c>
      <c r="G42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254" s="3" t="s">
        <v>178</v>
      </c>
      <c r="I4254" s="3" t="s">
        <v>31</v>
      </c>
      <c r="J4254" s="3" t="s">
        <v>162</v>
      </c>
      <c r="K4254" s="3" t="s">
        <v>46</v>
      </c>
      <c r="L4254" s="3" t="s">
        <v>47</v>
      </c>
      <c r="M4254" s="4">
        <v>5438.42</v>
      </c>
    </row>
    <row r="4255">
      <c r="A4255" s="2">
        <v>45984</v>
      </c>
      <c r="B42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5" s="3" t="str">
        <f>YEAR(KMART_DATA[[#This Row],[Date]])&amp;"-"&amp;TEXT(MONTH(KMART_DATA[[#This Row],[Date]]),"00")</f>
        <v>2025-11</v>
      </c>
      <c r="D4255" s="3" t="s">
        <v>28</v>
      </c>
      <c r="E4255" s="3" t="s">
        <v>87</v>
      </c>
      <c r="F4255" s="3" t="s">
        <v>10</v>
      </c>
      <c r="G42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55" s="3" t="s">
        <v>88</v>
      </c>
      <c r="I4255" s="3" t="s">
        <v>31</v>
      </c>
      <c r="J4255" s="3" t="s">
        <v>89</v>
      </c>
      <c r="K4255" s="3" t="s">
        <v>46</v>
      </c>
      <c r="L4255" s="3" t="s">
        <v>47</v>
      </c>
      <c r="M4255" s="4">
        <v>3.99</v>
      </c>
    </row>
    <row r="4256">
      <c r="A4256" s="2">
        <v>45984</v>
      </c>
      <c r="B42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6" s="3" t="str">
        <f>YEAR(KMART_DATA[[#This Row],[Date]])&amp;"-"&amp;TEXT(MONTH(KMART_DATA[[#This Row],[Date]]),"00")</f>
        <v>2025-11</v>
      </c>
      <c r="D4256" s="3" t="s">
        <v>45</v>
      </c>
      <c r="E4256" s="3" t="s">
        <v>64</v>
      </c>
      <c r="F4256" s="3" t="s">
        <v>11</v>
      </c>
      <c r="G42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56" s="3" t="s">
        <v>65</v>
      </c>
      <c r="I4256" s="3" t="s">
        <v>31</v>
      </c>
      <c r="J4256" s="3" t="s">
        <v>61</v>
      </c>
      <c r="K4256" s="3" t="s">
        <v>33</v>
      </c>
      <c r="L4256" s="3" t="s">
        <v>34</v>
      </c>
      <c r="M4256" s="4">
        <v>19.96</v>
      </c>
    </row>
    <row r="4257">
      <c r="A4257" s="2">
        <v>45984</v>
      </c>
      <c r="B42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7" s="3" t="str">
        <f>YEAR(KMART_DATA[[#This Row],[Date]])&amp;"-"&amp;TEXT(MONTH(KMART_DATA[[#This Row],[Date]]),"00")</f>
        <v>2025-11</v>
      </c>
      <c r="D4257" s="3" t="s">
        <v>28</v>
      </c>
      <c r="E4257" s="3" t="s">
        <v>197</v>
      </c>
      <c r="F4257" s="3" t="s">
        <v>9</v>
      </c>
      <c r="G42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57" s="3" t="s">
        <v>198</v>
      </c>
      <c r="I4257" s="3" t="s">
        <v>31</v>
      </c>
      <c r="J4257" s="3" t="s">
        <v>107</v>
      </c>
      <c r="K4257" s="3" t="s">
        <v>71</v>
      </c>
      <c r="L4257" s="3" t="s">
        <v>72</v>
      </c>
      <c r="M4257" s="4">
        <v>20.5</v>
      </c>
    </row>
    <row r="4258">
      <c r="A4258" s="2">
        <v>45984</v>
      </c>
      <c r="B42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8" s="3" t="str">
        <f>YEAR(KMART_DATA[[#This Row],[Date]])&amp;"-"&amp;TEXT(MONTH(KMART_DATA[[#This Row],[Date]]),"00")</f>
        <v>2025-11</v>
      </c>
      <c r="D4258" s="3" t="s">
        <v>45</v>
      </c>
      <c r="E4258" s="3" t="s">
        <v>211</v>
      </c>
      <c r="F4258" s="3" t="s">
        <v>9</v>
      </c>
      <c r="G42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58" s="3" t="s">
        <v>212</v>
      </c>
      <c r="I4258" s="3" t="s">
        <v>31</v>
      </c>
      <c r="J4258" s="3" t="s">
        <v>75</v>
      </c>
      <c r="K4258" s="3" t="s">
        <v>71</v>
      </c>
      <c r="L4258" s="3" t="s">
        <v>72</v>
      </c>
      <c r="M4258" s="4">
        <v>41.48</v>
      </c>
    </row>
    <row r="4259">
      <c r="A4259" s="2">
        <v>45984</v>
      </c>
      <c r="B42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59" s="3" t="str">
        <f>YEAR(KMART_DATA[[#This Row],[Date]])&amp;"-"&amp;TEXT(MONTH(KMART_DATA[[#This Row],[Date]]),"00")</f>
        <v>2025-11</v>
      </c>
      <c r="D4259" s="3" t="s">
        <v>28</v>
      </c>
      <c r="E4259" s="3" t="s">
        <v>181</v>
      </c>
      <c r="F4259" s="3" t="s">
        <v>11</v>
      </c>
      <c r="G42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59" s="3" t="s">
        <v>182</v>
      </c>
      <c r="I4259" s="3" t="s">
        <v>31</v>
      </c>
      <c r="J4259" s="3" t="s">
        <v>56</v>
      </c>
      <c r="K4259" s="3" t="s">
        <v>95</v>
      </c>
      <c r="L4259" s="3" t="s">
        <v>96</v>
      </c>
      <c r="M4259" s="4">
        <v>407.3</v>
      </c>
    </row>
    <row r="4260">
      <c r="A4260" s="2">
        <v>45984</v>
      </c>
      <c r="B42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0" s="3" t="str">
        <f>YEAR(KMART_DATA[[#This Row],[Date]])&amp;"-"&amp;TEXT(MONTH(KMART_DATA[[#This Row],[Date]]),"00")</f>
        <v>2025-11</v>
      </c>
      <c r="D4260" s="3" t="s">
        <v>45</v>
      </c>
      <c r="E4260" s="3" t="s">
        <v>209</v>
      </c>
      <c r="F4260" s="3" t="s">
        <v>9</v>
      </c>
      <c r="G42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60" s="3" t="s">
        <v>210</v>
      </c>
      <c r="I4260" s="3" t="s">
        <v>31</v>
      </c>
      <c r="J4260" s="3" t="s">
        <v>81</v>
      </c>
      <c r="K4260" s="3" t="s">
        <v>95</v>
      </c>
      <c r="L4260" s="3" t="s">
        <v>96</v>
      </c>
      <c r="M4260" s="4">
        <v>3985.06</v>
      </c>
    </row>
    <row r="4261">
      <c r="A4261" s="2">
        <v>45985</v>
      </c>
      <c r="B42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1" s="3" t="str">
        <f>YEAR(KMART_DATA[[#This Row],[Date]])&amp;"-"&amp;TEXT(MONTH(KMART_DATA[[#This Row],[Date]]),"00")</f>
        <v>2025-11</v>
      </c>
      <c r="D4261" s="3" t="s">
        <v>28</v>
      </c>
      <c r="E4261" s="3" t="s">
        <v>108</v>
      </c>
      <c r="F4261" s="3" t="s">
        <v>9</v>
      </c>
      <c r="G42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61" s="3" t="s">
        <v>109</v>
      </c>
      <c r="I4261" s="3" t="s">
        <v>31</v>
      </c>
      <c r="J4261" s="3" t="s">
        <v>75</v>
      </c>
      <c r="K4261" s="3" t="s">
        <v>46</v>
      </c>
      <c r="L4261" s="3" t="s">
        <v>47</v>
      </c>
      <c r="M4261" s="4">
        <v>2.36</v>
      </c>
    </row>
    <row r="4262">
      <c r="A4262" s="2">
        <v>45985</v>
      </c>
      <c r="B42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2" s="3" t="str">
        <f>YEAR(KMART_DATA[[#This Row],[Date]])&amp;"-"&amp;TEXT(MONTH(KMART_DATA[[#This Row],[Date]]),"00")</f>
        <v>2025-11</v>
      </c>
      <c r="D4262" s="3" t="s">
        <v>45</v>
      </c>
      <c r="E4262" s="3" t="s">
        <v>150</v>
      </c>
      <c r="F4262" s="3" t="s">
        <v>15</v>
      </c>
      <c r="G42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262" s="3" t="s">
        <v>151</v>
      </c>
      <c r="I4262" s="3" t="s">
        <v>31</v>
      </c>
      <c r="J4262" s="3" t="s">
        <v>53</v>
      </c>
      <c r="K4262" s="3" t="s">
        <v>33</v>
      </c>
      <c r="L4262" s="3" t="s">
        <v>34</v>
      </c>
      <c r="M4262" s="4">
        <v>28.53</v>
      </c>
    </row>
    <row r="4263">
      <c r="A4263" s="2">
        <v>45985</v>
      </c>
      <c r="B42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3" s="3" t="str">
        <f>YEAR(KMART_DATA[[#This Row],[Date]])&amp;"-"&amp;TEXT(MONTH(KMART_DATA[[#This Row],[Date]]),"00")</f>
        <v>2025-11</v>
      </c>
      <c r="D4263" s="3" t="s">
        <v>28</v>
      </c>
      <c r="E4263" s="3" t="s">
        <v>121</v>
      </c>
      <c r="F4263" s="3" t="s">
        <v>11</v>
      </c>
      <c r="G42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63" s="3" t="s">
        <v>122</v>
      </c>
      <c r="I4263" s="3" t="s">
        <v>31</v>
      </c>
      <c r="J4263" s="3" t="s">
        <v>84</v>
      </c>
      <c r="K4263" s="3" t="s">
        <v>43</v>
      </c>
      <c r="L4263" s="3" t="s">
        <v>44</v>
      </c>
      <c r="M4263" s="4">
        <v>264.83</v>
      </c>
    </row>
    <row r="4264">
      <c r="A4264" s="2">
        <v>45985</v>
      </c>
      <c r="B42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4" s="3" t="str">
        <f>YEAR(KMART_DATA[[#This Row],[Date]])&amp;"-"&amp;TEXT(MONTH(KMART_DATA[[#This Row],[Date]]),"00")</f>
        <v>2025-11</v>
      </c>
      <c r="D4264" s="3" t="s">
        <v>28</v>
      </c>
      <c r="E4264" s="3" t="s">
        <v>219</v>
      </c>
      <c r="F4264" s="3" t="s">
        <v>11</v>
      </c>
      <c r="G42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64" s="3" t="s">
        <v>220</v>
      </c>
      <c r="I4264" s="3" t="s">
        <v>31</v>
      </c>
      <c r="J4264" s="3" t="s">
        <v>56</v>
      </c>
      <c r="K4264" s="3" t="s">
        <v>57</v>
      </c>
      <c r="L4264" s="3" t="s">
        <v>58</v>
      </c>
      <c r="M4264" s="4">
        <v>2507.75</v>
      </c>
    </row>
    <row r="4265">
      <c r="A4265" s="2">
        <v>45986</v>
      </c>
      <c r="B42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5" s="3" t="str">
        <f>YEAR(KMART_DATA[[#This Row],[Date]])&amp;"-"&amp;TEXT(MONTH(KMART_DATA[[#This Row],[Date]]),"00")</f>
        <v>2025-11</v>
      </c>
      <c r="D4265" s="3" t="s">
        <v>45</v>
      </c>
      <c r="E4265" s="3" t="s">
        <v>137</v>
      </c>
      <c r="F4265" s="3" t="s">
        <v>10</v>
      </c>
      <c r="G42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65" s="3" t="s">
        <v>138</v>
      </c>
      <c r="I4265" s="3" t="s">
        <v>31</v>
      </c>
      <c r="J4265" s="3" t="s">
        <v>89</v>
      </c>
      <c r="K4265" s="3" t="s">
        <v>38</v>
      </c>
      <c r="L4265" s="3" t="s">
        <v>39</v>
      </c>
      <c r="M4265" s="4">
        <v>15.98</v>
      </c>
    </row>
    <row r="4266">
      <c r="A4266" s="2">
        <v>45986</v>
      </c>
      <c r="B42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6" s="3" t="str">
        <f>YEAR(KMART_DATA[[#This Row],[Date]])&amp;"-"&amp;TEXT(MONTH(KMART_DATA[[#This Row],[Date]]),"00")</f>
        <v>2025-11</v>
      </c>
      <c r="D4266" s="3" t="s">
        <v>28</v>
      </c>
      <c r="E4266" s="3" t="s">
        <v>59</v>
      </c>
      <c r="F4266" s="3" t="s">
        <v>11</v>
      </c>
      <c r="G42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66" s="3" t="s">
        <v>60</v>
      </c>
      <c r="I4266" s="3" t="s">
        <v>31</v>
      </c>
      <c r="J4266" s="3" t="s">
        <v>61</v>
      </c>
      <c r="K4266" s="3" t="s">
        <v>33</v>
      </c>
      <c r="L4266" s="3" t="s">
        <v>34</v>
      </c>
      <c r="M4266" s="4">
        <v>37.91</v>
      </c>
    </row>
    <row r="4267">
      <c r="A4267" s="2">
        <v>45986</v>
      </c>
      <c r="B42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7" s="3" t="str">
        <f>YEAR(KMART_DATA[[#This Row],[Date]])&amp;"-"&amp;TEXT(MONTH(KMART_DATA[[#This Row],[Date]]),"00")</f>
        <v>2025-11</v>
      </c>
      <c r="D4267" s="3" t="s">
        <v>28</v>
      </c>
      <c r="E4267" s="3" t="s">
        <v>195</v>
      </c>
      <c r="F4267" s="3" t="s">
        <v>11</v>
      </c>
      <c r="G42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67" s="3" t="s">
        <v>196</v>
      </c>
      <c r="I4267" s="3" t="s">
        <v>31</v>
      </c>
      <c r="J4267" s="3" t="s">
        <v>32</v>
      </c>
      <c r="K4267" s="3" t="s">
        <v>43</v>
      </c>
      <c r="L4267" s="3" t="s">
        <v>44</v>
      </c>
      <c r="M4267" s="4">
        <v>93.95</v>
      </c>
    </row>
    <row r="4268">
      <c r="A4268" s="2">
        <v>45986</v>
      </c>
      <c r="B42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8" s="3" t="str">
        <f>YEAR(KMART_DATA[[#This Row],[Date]])&amp;"-"&amp;TEXT(MONTH(KMART_DATA[[#This Row],[Date]]),"00")</f>
        <v>2025-11</v>
      </c>
      <c r="D4268" s="3" t="s">
        <v>28</v>
      </c>
      <c r="E4268" s="3" t="s">
        <v>108</v>
      </c>
      <c r="F4268" s="3" t="s">
        <v>9</v>
      </c>
      <c r="G42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68" s="3" t="s">
        <v>109</v>
      </c>
      <c r="I4268" s="3" t="s">
        <v>31</v>
      </c>
      <c r="J4268" s="3" t="s">
        <v>75</v>
      </c>
      <c r="K4268" s="3" t="s">
        <v>38</v>
      </c>
      <c r="L4268" s="3" t="s">
        <v>39</v>
      </c>
      <c r="M4268" s="4">
        <v>422.37</v>
      </c>
    </row>
    <row r="4269">
      <c r="A4269" s="2">
        <v>45986</v>
      </c>
      <c r="B42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69" s="3" t="str">
        <f>YEAR(KMART_DATA[[#This Row],[Date]])&amp;"-"&amp;TEXT(MONTH(KMART_DATA[[#This Row],[Date]]),"00")</f>
        <v>2025-11</v>
      </c>
      <c r="D4269" s="3" t="s">
        <v>45</v>
      </c>
      <c r="E4269" s="3" t="s">
        <v>127</v>
      </c>
      <c r="F4269" s="3" t="s">
        <v>11</v>
      </c>
      <c r="G42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69" s="3" t="s">
        <v>128</v>
      </c>
      <c r="I4269" s="3" t="s">
        <v>31</v>
      </c>
      <c r="J4269" s="3" t="s">
        <v>78</v>
      </c>
      <c r="K4269" s="3" t="s">
        <v>57</v>
      </c>
      <c r="L4269" s="3" t="s">
        <v>58</v>
      </c>
      <c r="M4269" s="4">
        <v>991.59</v>
      </c>
    </row>
    <row r="4270">
      <c r="A4270" s="2">
        <v>45987</v>
      </c>
      <c r="B42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0" s="3" t="str">
        <f>YEAR(KMART_DATA[[#This Row],[Date]])&amp;"-"&amp;TEXT(MONTH(KMART_DATA[[#This Row],[Date]]),"00")</f>
        <v>2025-11</v>
      </c>
      <c r="D4270" s="3" t="s">
        <v>28</v>
      </c>
      <c r="E4270" s="3" t="s">
        <v>133</v>
      </c>
      <c r="F4270" s="3" t="s">
        <v>10</v>
      </c>
      <c r="G42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70" s="3" t="s">
        <v>134</v>
      </c>
      <c r="I4270" s="3" t="s">
        <v>31</v>
      </c>
      <c r="J4270" s="3" t="s">
        <v>37</v>
      </c>
      <c r="K4270" s="3" t="s">
        <v>33</v>
      </c>
      <c r="L4270" s="3" t="s">
        <v>34</v>
      </c>
      <c r="M4270" s="4">
        <v>11.97</v>
      </c>
    </row>
    <row r="4271">
      <c r="A4271" s="2">
        <v>45987</v>
      </c>
      <c r="B42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1" s="3" t="str">
        <f>YEAR(KMART_DATA[[#This Row],[Date]])&amp;"-"&amp;TEXT(MONTH(KMART_DATA[[#This Row],[Date]]),"00")</f>
        <v>2025-11</v>
      </c>
      <c r="D4271" s="3" t="s">
        <v>28</v>
      </c>
      <c r="E4271" s="3" t="s">
        <v>171</v>
      </c>
      <c r="F4271" s="3" t="s">
        <v>10</v>
      </c>
      <c r="G42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71" s="3" t="s">
        <v>172</v>
      </c>
      <c r="I4271" s="3" t="s">
        <v>31</v>
      </c>
      <c r="J4271" s="3" t="s">
        <v>37</v>
      </c>
      <c r="K4271" s="3" t="s">
        <v>33</v>
      </c>
      <c r="L4271" s="3" t="s">
        <v>34</v>
      </c>
      <c r="M4271" s="4">
        <v>19.96</v>
      </c>
    </row>
    <row r="4272">
      <c r="A4272" s="2">
        <v>45987</v>
      </c>
      <c r="B42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2" s="3" t="str">
        <f>YEAR(KMART_DATA[[#This Row],[Date]])&amp;"-"&amp;TEXT(MONTH(KMART_DATA[[#This Row],[Date]]),"00")</f>
        <v>2025-11</v>
      </c>
      <c r="D4272" s="3" t="s">
        <v>28</v>
      </c>
      <c r="E4272" s="3" t="s">
        <v>100</v>
      </c>
      <c r="F4272" s="3" t="s">
        <v>12</v>
      </c>
      <c r="G42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272" s="3" t="s">
        <v>101</v>
      </c>
      <c r="I4272" s="3" t="s">
        <v>31</v>
      </c>
      <c r="J4272" s="3" t="s">
        <v>102</v>
      </c>
      <c r="K4272" s="3" t="s">
        <v>71</v>
      </c>
      <c r="L4272" s="3" t="s">
        <v>72</v>
      </c>
      <c r="M4272" s="4">
        <v>35.28</v>
      </c>
    </row>
    <row r="4273">
      <c r="A4273" s="2">
        <v>45987</v>
      </c>
      <c r="B42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3" s="3" t="str">
        <f>YEAR(KMART_DATA[[#This Row],[Date]])&amp;"-"&amp;TEXT(MONTH(KMART_DATA[[#This Row],[Date]]),"00")</f>
        <v>2025-11</v>
      </c>
      <c r="D4273" s="3" t="s">
        <v>45</v>
      </c>
      <c r="E4273" s="3" t="s">
        <v>213</v>
      </c>
      <c r="F4273" s="3" t="s">
        <v>11</v>
      </c>
      <c r="G42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73" s="3" t="s">
        <v>214</v>
      </c>
      <c r="I4273" s="3" t="s">
        <v>31</v>
      </c>
      <c r="J4273" s="3" t="s">
        <v>32</v>
      </c>
      <c r="K4273" s="3" t="s">
        <v>71</v>
      </c>
      <c r="L4273" s="3" t="s">
        <v>72</v>
      </c>
      <c r="M4273" s="4">
        <v>90.85</v>
      </c>
    </row>
    <row r="4274">
      <c r="A4274" s="2">
        <v>45987</v>
      </c>
      <c r="B42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4" s="3" t="str">
        <f>YEAR(KMART_DATA[[#This Row],[Date]])&amp;"-"&amp;TEXT(MONTH(KMART_DATA[[#This Row],[Date]]),"00")</f>
        <v>2025-11</v>
      </c>
      <c r="D4274" s="3" t="s">
        <v>28</v>
      </c>
      <c r="E4274" s="3" t="s">
        <v>258</v>
      </c>
      <c r="F4274" s="3" t="s">
        <v>14</v>
      </c>
      <c r="G42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274" s="3" t="s">
        <v>259</v>
      </c>
      <c r="I4274" s="3" t="s">
        <v>31</v>
      </c>
      <c r="J4274" s="3" t="s">
        <v>145</v>
      </c>
      <c r="K4274" s="3" t="s">
        <v>123</v>
      </c>
      <c r="L4274" s="3" t="s">
        <v>124</v>
      </c>
      <c r="M4274" s="4">
        <v>128.81</v>
      </c>
    </row>
    <row r="4275">
      <c r="A4275" s="2">
        <v>45987</v>
      </c>
      <c r="B42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5" s="3" t="str">
        <f>YEAR(KMART_DATA[[#This Row],[Date]])&amp;"-"&amp;TEXT(MONTH(KMART_DATA[[#This Row],[Date]]),"00")</f>
        <v>2025-11</v>
      </c>
      <c r="D4275" s="3" t="s">
        <v>45</v>
      </c>
      <c r="E4275" s="3" t="s">
        <v>197</v>
      </c>
      <c r="F4275" s="3" t="s">
        <v>9</v>
      </c>
      <c r="G42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75" s="3" t="s">
        <v>198</v>
      </c>
      <c r="I4275" s="3" t="s">
        <v>31</v>
      </c>
      <c r="J4275" s="3" t="s">
        <v>107</v>
      </c>
      <c r="K4275" s="3" t="s">
        <v>95</v>
      </c>
      <c r="L4275" s="3" t="s">
        <v>96</v>
      </c>
      <c r="M4275" s="4">
        <v>163.81</v>
      </c>
    </row>
    <row r="4276">
      <c r="A4276" s="2">
        <v>45987</v>
      </c>
      <c r="B42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6" s="3" t="str">
        <f>YEAR(KMART_DATA[[#This Row],[Date]])&amp;"-"&amp;TEXT(MONTH(KMART_DATA[[#This Row],[Date]]),"00")</f>
        <v>2025-11</v>
      </c>
      <c r="D4276" s="3" t="s">
        <v>45</v>
      </c>
      <c r="E4276" s="3" t="s">
        <v>213</v>
      </c>
      <c r="F4276" s="3" t="s">
        <v>11</v>
      </c>
      <c r="G42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76" s="3" t="s">
        <v>214</v>
      </c>
      <c r="I4276" s="3" t="s">
        <v>31</v>
      </c>
      <c r="J4276" s="3" t="s">
        <v>32</v>
      </c>
      <c r="K4276" s="3" t="s">
        <v>33</v>
      </c>
      <c r="L4276" s="3" t="s">
        <v>34</v>
      </c>
      <c r="M4276" s="4">
        <v>231.64</v>
      </c>
    </row>
    <row r="4277">
      <c r="A4277" s="2">
        <v>45987</v>
      </c>
      <c r="B42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7" s="3" t="str">
        <f>YEAR(KMART_DATA[[#This Row],[Date]])&amp;"-"&amp;TEXT(MONTH(KMART_DATA[[#This Row],[Date]]),"00")</f>
        <v>2025-11</v>
      </c>
      <c r="D4277" s="3" t="s">
        <v>28</v>
      </c>
      <c r="E4277" s="3" t="s">
        <v>82</v>
      </c>
      <c r="F4277" s="3" t="s">
        <v>11</v>
      </c>
      <c r="G42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77" s="3" t="s">
        <v>83</v>
      </c>
      <c r="I4277" s="3" t="s">
        <v>31</v>
      </c>
      <c r="J4277" s="3" t="s">
        <v>84</v>
      </c>
      <c r="K4277" s="3" t="s">
        <v>95</v>
      </c>
      <c r="L4277" s="3" t="s">
        <v>96</v>
      </c>
      <c r="M4277" s="4">
        <v>421.01</v>
      </c>
    </row>
    <row r="4278">
      <c r="A4278" s="2">
        <v>45987</v>
      </c>
      <c r="B42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8" s="3" t="str">
        <f>YEAR(KMART_DATA[[#This Row],[Date]])&amp;"-"&amp;TEXT(MONTH(KMART_DATA[[#This Row],[Date]]),"00")</f>
        <v>2025-11</v>
      </c>
      <c r="D4278" s="3" t="s">
        <v>28</v>
      </c>
      <c r="E4278" s="3" t="s">
        <v>179</v>
      </c>
      <c r="F4278" s="3" t="s">
        <v>9</v>
      </c>
      <c r="G42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78" s="3" t="s">
        <v>180</v>
      </c>
      <c r="I4278" s="3" t="s">
        <v>31</v>
      </c>
      <c r="J4278" s="3" t="s">
        <v>99</v>
      </c>
      <c r="K4278" s="3" t="s">
        <v>123</v>
      </c>
      <c r="L4278" s="3" t="s">
        <v>124</v>
      </c>
      <c r="M4278" s="4">
        <v>789.65</v>
      </c>
    </row>
    <row r="4279">
      <c r="A4279" s="2">
        <v>45988</v>
      </c>
      <c r="B42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79" s="3" t="str">
        <f>YEAR(KMART_DATA[[#This Row],[Date]])&amp;"-"&amp;TEXT(MONTH(KMART_DATA[[#This Row],[Date]]),"00")</f>
        <v>2025-11</v>
      </c>
      <c r="D4279" s="3" t="s">
        <v>45</v>
      </c>
      <c r="E4279" s="3" t="s">
        <v>85</v>
      </c>
      <c r="F4279" s="3" t="s">
        <v>9</v>
      </c>
      <c r="G42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79" s="3" t="s">
        <v>86</v>
      </c>
      <c r="I4279" s="3" t="s">
        <v>31</v>
      </c>
      <c r="J4279" s="3" t="s">
        <v>81</v>
      </c>
      <c r="K4279" s="3" t="s">
        <v>43</v>
      </c>
      <c r="L4279" s="3" t="s">
        <v>44</v>
      </c>
      <c r="M4279" s="4">
        <v>90.93</v>
      </c>
    </row>
    <row r="4280">
      <c r="A4280" s="2">
        <v>45988</v>
      </c>
      <c r="B42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0" s="3" t="str">
        <f>YEAR(KMART_DATA[[#This Row],[Date]])&amp;"-"&amp;TEXT(MONTH(KMART_DATA[[#This Row],[Date]]),"00")</f>
        <v>2025-11</v>
      </c>
      <c r="D4280" s="3" t="s">
        <v>45</v>
      </c>
      <c r="E4280" s="3" t="s">
        <v>121</v>
      </c>
      <c r="F4280" s="3" t="s">
        <v>11</v>
      </c>
      <c r="G42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80" s="3" t="s">
        <v>122</v>
      </c>
      <c r="I4280" s="3" t="s">
        <v>31</v>
      </c>
      <c r="J4280" s="3" t="s">
        <v>84</v>
      </c>
      <c r="K4280" s="3" t="s">
        <v>71</v>
      </c>
      <c r="L4280" s="3" t="s">
        <v>72</v>
      </c>
      <c r="M4280" s="4">
        <v>141.3</v>
      </c>
    </row>
    <row r="4281">
      <c r="A4281" s="2">
        <v>45988</v>
      </c>
      <c r="B42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1" s="3" t="str">
        <f>YEAR(KMART_DATA[[#This Row],[Date]])&amp;"-"&amp;TEXT(MONTH(KMART_DATA[[#This Row],[Date]]),"00")</f>
        <v>2025-11</v>
      </c>
      <c r="D4281" s="3" t="s">
        <v>28</v>
      </c>
      <c r="E4281" s="3" t="s">
        <v>169</v>
      </c>
      <c r="F4281" s="3" t="s">
        <v>12</v>
      </c>
      <c r="G42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281" s="3" t="s">
        <v>170</v>
      </c>
      <c r="I4281" s="3" t="s">
        <v>31</v>
      </c>
      <c r="J4281" s="3" t="s">
        <v>102</v>
      </c>
      <c r="K4281" s="3" t="s">
        <v>33</v>
      </c>
      <c r="L4281" s="3" t="s">
        <v>34</v>
      </c>
      <c r="M4281" s="4">
        <v>229.4</v>
      </c>
    </row>
    <row r="4282">
      <c r="A4282" s="2">
        <v>45988</v>
      </c>
      <c r="B42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2" s="3" t="str">
        <f>YEAR(KMART_DATA[[#This Row],[Date]])&amp;"-"&amp;TEXT(MONTH(KMART_DATA[[#This Row],[Date]]),"00")</f>
        <v>2025-11</v>
      </c>
      <c r="D4282" s="3" t="s">
        <v>28</v>
      </c>
      <c r="E4282" s="3" t="s">
        <v>193</v>
      </c>
      <c r="F4282" s="3" t="s">
        <v>9</v>
      </c>
      <c r="G42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82" s="3" t="s">
        <v>194</v>
      </c>
      <c r="I4282" s="3" t="s">
        <v>31</v>
      </c>
      <c r="J4282" s="3" t="s">
        <v>99</v>
      </c>
      <c r="K4282" s="3" t="s">
        <v>38</v>
      </c>
      <c r="L4282" s="3" t="s">
        <v>39</v>
      </c>
      <c r="M4282" s="4">
        <v>391.5</v>
      </c>
    </row>
    <row r="4283">
      <c r="A4283" s="2">
        <v>45988</v>
      </c>
      <c r="B42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3" s="3" t="str">
        <f>YEAR(KMART_DATA[[#This Row],[Date]])&amp;"-"&amp;TEXT(MONTH(KMART_DATA[[#This Row],[Date]]),"00")</f>
        <v>2025-11</v>
      </c>
      <c r="D4283" s="3" t="s">
        <v>28</v>
      </c>
      <c r="E4283" s="3" t="s">
        <v>114</v>
      </c>
      <c r="F4283" s="3" t="s">
        <v>9</v>
      </c>
      <c r="G42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83" s="3" t="s">
        <v>115</v>
      </c>
      <c r="I4283" s="3" t="s">
        <v>31</v>
      </c>
      <c r="J4283" s="3" t="s">
        <v>99</v>
      </c>
      <c r="K4283" s="3" t="s">
        <v>43</v>
      </c>
      <c r="L4283" s="3" t="s">
        <v>44</v>
      </c>
      <c r="M4283" s="4">
        <v>1067.18</v>
      </c>
    </row>
    <row r="4284">
      <c r="A4284" s="2">
        <v>45988</v>
      </c>
      <c r="B42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4" s="3" t="str">
        <f>YEAR(KMART_DATA[[#This Row],[Date]])&amp;"-"&amp;TEXT(MONTH(KMART_DATA[[#This Row],[Date]]),"00")</f>
        <v>2025-11</v>
      </c>
      <c r="D4284" s="3" t="s">
        <v>45</v>
      </c>
      <c r="E4284" s="3" t="s">
        <v>189</v>
      </c>
      <c r="F4284" s="3" t="s">
        <v>9</v>
      </c>
      <c r="G42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84" s="3" t="s">
        <v>190</v>
      </c>
      <c r="I4284" s="3" t="s">
        <v>31</v>
      </c>
      <c r="J4284" s="3" t="s">
        <v>81</v>
      </c>
      <c r="K4284" s="3" t="s">
        <v>57</v>
      </c>
      <c r="L4284" s="3" t="s">
        <v>58</v>
      </c>
      <c r="M4284" s="4">
        <v>2544.18</v>
      </c>
    </row>
    <row r="4285">
      <c r="A4285" s="2">
        <v>45988</v>
      </c>
      <c r="B42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5" s="3" t="str">
        <f>YEAR(KMART_DATA[[#This Row],[Date]])&amp;"-"&amp;TEXT(MONTH(KMART_DATA[[#This Row],[Date]]),"00")</f>
        <v>2025-11</v>
      </c>
      <c r="D4285" s="3" t="s">
        <v>28</v>
      </c>
      <c r="E4285" s="3" t="s">
        <v>143</v>
      </c>
      <c r="F4285" s="3" t="s">
        <v>14</v>
      </c>
      <c r="G42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285" s="3" t="s">
        <v>144</v>
      </c>
      <c r="I4285" s="3" t="s">
        <v>31</v>
      </c>
      <c r="J4285" s="3" t="s">
        <v>145</v>
      </c>
      <c r="K4285" s="3" t="s">
        <v>123</v>
      </c>
      <c r="L4285" s="3" t="s">
        <v>124</v>
      </c>
      <c r="M4285" s="4">
        <v>2809.26</v>
      </c>
    </row>
    <row r="4286">
      <c r="A4286" s="2">
        <v>45989</v>
      </c>
      <c r="B42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6" s="3" t="str">
        <f>YEAR(KMART_DATA[[#This Row],[Date]])&amp;"-"&amp;TEXT(MONTH(KMART_DATA[[#This Row],[Date]]),"00")</f>
        <v>2025-11</v>
      </c>
      <c r="D4286" s="3" t="s">
        <v>28</v>
      </c>
      <c r="E4286" s="3" t="s">
        <v>146</v>
      </c>
      <c r="F4286" s="3" t="s">
        <v>9</v>
      </c>
      <c r="G42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86" s="3" t="s">
        <v>147</v>
      </c>
      <c r="I4286" s="3" t="s">
        <v>31</v>
      </c>
      <c r="J4286" s="3" t="s">
        <v>75</v>
      </c>
      <c r="K4286" s="3" t="s">
        <v>123</v>
      </c>
      <c r="L4286" s="3" t="s">
        <v>124</v>
      </c>
      <c r="M4286" s="4">
        <v>42.65</v>
      </c>
    </row>
    <row r="4287">
      <c r="A4287" s="2">
        <v>45989</v>
      </c>
      <c r="B42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7" s="3" t="str">
        <f>YEAR(KMART_DATA[[#This Row],[Date]])&amp;"-"&amp;TEXT(MONTH(KMART_DATA[[#This Row],[Date]]),"00")</f>
        <v>2025-11</v>
      </c>
      <c r="D4287" s="3" t="s">
        <v>45</v>
      </c>
      <c r="E4287" s="3" t="s">
        <v>219</v>
      </c>
      <c r="F4287" s="3" t="s">
        <v>11</v>
      </c>
      <c r="G42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287" s="3" t="s">
        <v>220</v>
      </c>
      <c r="I4287" s="3" t="s">
        <v>31</v>
      </c>
      <c r="J4287" s="3" t="s">
        <v>56</v>
      </c>
      <c r="K4287" s="3" t="s">
        <v>95</v>
      </c>
      <c r="L4287" s="3" t="s">
        <v>96</v>
      </c>
      <c r="M4287" s="4">
        <v>59.88</v>
      </c>
    </row>
    <row r="4288">
      <c r="A4288" s="2">
        <v>45989</v>
      </c>
      <c r="B42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8" s="3" t="str">
        <f>YEAR(KMART_DATA[[#This Row],[Date]])&amp;"-"&amp;TEXT(MONTH(KMART_DATA[[#This Row],[Date]]),"00")</f>
        <v>2025-11</v>
      </c>
      <c r="D4288" s="3" t="s">
        <v>45</v>
      </c>
      <c r="E4288" s="3" t="s">
        <v>244</v>
      </c>
      <c r="F4288" s="3" t="s">
        <v>13</v>
      </c>
      <c r="G42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288" s="3" t="s">
        <v>245</v>
      </c>
      <c r="I4288" s="3" t="s">
        <v>31</v>
      </c>
      <c r="J4288" s="3" t="s">
        <v>42</v>
      </c>
      <c r="K4288" s="3" t="s">
        <v>43</v>
      </c>
      <c r="L4288" s="3" t="s">
        <v>44</v>
      </c>
      <c r="M4288" s="4">
        <v>74.0</v>
      </c>
    </row>
    <row r="4289">
      <c r="A4289" s="2">
        <v>45989</v>
      </c>
      <c r="B42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89" s="3" t="str">
        <f>YEAR(KMART_DATA[[#This Row],[Date]])&amp;"-"&amp;TEXT(MONTH(KMART_DATA[[#This Row],[Date]]),"00")</f>
        <v>2025-11</v>
      </c>
      <c r="D4289" s="3" t="s">
        <v>45</v>
      </c>
      <c r="E4289" s="3" t="s">
        <v>238</v>
      </c>
      <c r="F4289" s="3" t="s">
        <v>13</v>
      </c>
      <c r="G42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289" s="3" t="s">
        <v>239</v>
      </c>
      <c r="I4289" s="3" t="s">
        <v>31</v>
      </c>
      <c r="J4289" s="3" t="s">
        <v>42</v>
      </c>
      <c r="K4289" s="3" t="s">
        <v>95</v>
      </c>
      <c r="L4289" s="3" t="s">
        <v>96</v>
      </c>
      <c r="M4289" s="4">
        <v>88.88</v>
      </c>
    </row>
    <row r="4290">
      <c r="A4290" s="2">
        <v>45989</v>
      </c>
      <c r="B42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0" s="3" t="str">
        <f>YEAR(KMART_DATA[[#This Row],[Date]])&amp;"-"&amp;TEXT(MONTH(KMART_DATA[[#This Row],[Date]]),"00")</f>
        <v>2025-11</v>
      </c>
      <c r="D4290" s="3" t="s">
        <v>45</v>
      </c>
      <c r="E4290" s="3" t="s">
        <v>35</v>
      </c>
      <c r="F4290" s="3" t="s">
        <v>10</v>
      </c>
      <c r="G42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90" s="3" t="s">
        <v>36</v>
      </c>
      <c r="I4290" s="3" t="s">
        <v>31</v>
      </c>
      <c r="J4290" s="3" t="s">
        <v>37</v>
      </c>
      <c r="K4290" s="3" t="s">
        <v>95</v>
      </c>
      <c r="L4290" s="3" t="s">
        <v>96</v>
      </c>
      <c r="M4290" s="4">
        <v>119.76</v>
      </c>
    </row>
    <row r="4291">
      <c r="A4291" s="2">
        <v>45989</v>
      </c>
      <c r="B42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1" s="3" t="str">
        <f>YEAR(KMART_DATA[[#This Row],[Date]])&amp;"-"&amp;TEXT(MONTH(KMART_DATA[[#This Row],[Date]]),"00")</f>
        <v>2025-11</v>
      </c>
      <c r="D4291" s="3" t="s">
        <v>28</v>
      </c>
      <c r="E4291" s="3" t="s">
        <v>51</v>
      </c>
      <c r="F4291" s="3" t="s">
        <v>15</v>
      </c>
      <c r="G42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291" s="3" t="s">
        <v>52</v>
      </c>
      <c r="I4291" s="3" t="s">
        <v>31</v>
      </c>
      <c r="J4291" s="3" t="s">
        <v>53</v>
      </c>
      <c r="K4291" s="3" t="s">
        <v>71</v>
      </c>
      <c r="L4291" s="3" t="s">
        <v>72</v>
      </c>
      <c r="M4291" s="4">
        <v>395.26</v>
      </c>
    </row>
    <row r="4292">
      <c r="A4292" s="2">
        <v>45989</v>
      </c>
      <c r="B42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2" s="3" t="str">
        <f>YEAR(KMART_DATA[[#This Row],[Date]])&amp;"-"&amp;TEXT(MONTH(KMART_DATA[[#This Row],[Date]]),"00")</f>
        <v>2025-11</v>
      </c>
      <c r="D4292" s="3" t="s">
        <v>28</v>
      </c>
      <c r="E4292" s="3" t="s">
        <v>97</v>
      </c>
      <c r="F4292" s="3" t="s">
        <v>9</v>
      </c>
      <c r="G42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92" s="3" t="s">
        <v>98</v>
      </c>
      <c r="I4292" s="3" t="s">
        <v>31</v>
      </c>
      <c r="J4292" s="3" t="s">
        <v>99</v>
      </c>
      <c r="K4292" s="3" t="s">
        <v>123</v>
      </c>
      <c r="L4292" s="3" t="s">
        <v>124</v>
      </c>
      <c r="M4292" s="4">
        <v>3143.54</v>
      </c>
    </row>
    <row r="4293">
      <c r="A4293" s="2">
        <v>45990</v>
      </c>
      <c r="B42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3" s="3" t="str">
        <f>YEAR(KMART_DATA[[#This Row],[Date]])&amp;"-"&amp;TEXT(MONTH(KMART_DATA[[#This Row],[Date]]),"00")</f>
        <v>2025-11</v>
      </c>
      <c r="D4293" s="3" t="s">
        <v>28</v>
      </c>
      <c r="E4293" s="3" t="s">
        <v>223</v>
      </c>
      <c r="F4293" s="3" t="s">
        <v>10</v>
      </c>
      <c r="G42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93" s="3" t="s">
        <v>224</v>
      </c>
      <c r="I4293" s="3" t="s">
        <v>31</v>
      </c>
      <c r="J4293" s="3" t="s">
        <v>94</v>
      </c>
      <c r="K4293" s="3" t="s">
        <v>33</v>
      </c>
      <c r="L4293" s="3" t="s">
        <v>34</v>
      </c>
      <c r="M4293" s="4">
        <v>29.91</v>
      </c>
    </row>
    <row r="4294">
      <c r="A4294" s="2">
        <v>45990</v>
      </c>
      <c r="B42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4" s="3" t="str">
        <f>YEAR(KMART_DATA[[#This Row],[Date]])&amp;"-"&amp;TEXT(MONTH(KMART_DATA[[#This Row],[Date]]),"00")</f>
        <v>2025-11</v>
      </c>
      <c r="D4294" s="3" t="s">
        <v>28</v>
      </c>
      <c r="E4294" s="3" t="s">
        <v>250</v>
      </c>
      <c r="F4294" s="3" t="s">
        <v>10</v>
      </c>
      <c r="G42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94" s="3" t="s">
        <v>251</v>
      </c>
      <c r="I4294" s="3" t="s">
        <v>31</v>
      </c>
      <c r="J4294" s="3" t="s">
        <v>37</v>
      </c>
      <c r="K4294" s="3" t="s">
        <v>66</v>
      </c>
      <c r="L4294" s="3" t="s">
        <v>67</v>
      </c>
      <c r="M4294" s="4">
        <v>46.31</v>
      </c>
    </row>
    <row r="4295">
      <c r="A4295" s="2">
        <v>45990</v>
      </c>
      <c r="B42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5" s="3" t="str">
        <f>YEAR(KMART_DATA[[#This Row],[Date]])&amp;"-"&amp;TEXT(MONTH(KMART_DATA[[#This Row],[Date]]),"00")</f>
        <v>2025-11</v>
      </c>
      <c r="D4295" s="3" t="s">
        <v>28</v>
      </c>
      <c r="E4295" s="3" t="s">
        <v>262</v>
      </c>
      <c r="F4295" s="3" t="s">
        <v>10</v>
      </c>
      <c r="G42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95" s="3" t="s">
        <v>263</v>
      </c>
      <c r="I4295" s="3" t="s">
        <v>31</v>
      </c>
      <c r="J4295" s="3" t="s">
        <v>120</v>
      </c>
      <c r="K4295" s="3" t="s">
        <v>95</v>
      </c>
      <c r="L4295" s="3" t="s">
        <v>96</v>
      </c>
      <c r="M4295" s="4">
        <v>67.58</v>
      </c>
    </row>
    <row r="4296">
      <c r="A4296" s="2">
        <v>45990</v>
      </c>
      <c r="B42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6" s="3" t="str">
        <f>YEAR(KMART_DATA[[#This Row],[Date]])&amp;"-"&amp;TEXT(MONTH(KMART_DATA[[#This Row],[Date]]),"00")</f>
        <v>2025-11</v>
      </c>
      <c r="D4296" s="3" t="s">
        <v>45</v>
      </c>
      <c r="E4296" s="3" t="s">
        <v>197</v>
      </c>
      <c r="F4296" s="3" t="s">
        <v>9</v>
      </c>
      <c r="G42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296" s="3" t="s">
        <v>198</v>
      </c>
      <c r="I4296" s="3" t="s">
        <v>31</v>
      </c>
      <c r="J4296" s="3" t="s">
        <v>107</v>
      </c>
      <c r="K4296" s="3" t="s">
        <v>123</v>
      </c>
      <c r="L4296" s="3" t="s">
        <v>124</v>
      </c>
      <c r="M4296" s="4">
        <v>122.73</v>
      </c>
    </row>
    <row r="4297">
      <c r="A4297" s="2">
        <v>45990</v>
      </c>
      <c r="B42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7" s="3" t="str">
        <f>YEAR(KMART_DATA[[#This Row],[Date]])&amp;"-"&amp;TEXT(MONTH(KMART_DATA[[#This Row],[Date]]),"00")</f>
        <v>2025-11</v>
      </c>
      <c r="D4297" s="3" t="s">
        <v>28</v>
      </c>
      <c r="E4297" s="3" t="s">
        <v>246</v>
      </c>
      <c r="F4297" s="3" t="s">
        <v>10</v>
      </c>
      <c r="G42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97" s="3" t="s">
        <v>247</v>
      </c>
      <c r="I4297" s="3" t="s">
        <v>31</v>
      </c>
      <c r="J4297" s="3" t="s">
        <v>37</v>
      </c>
      <c r="K4297" s="3" t="s">
        <v>46</v>
      </c>
      <c r="L4297" s="3" t="s">
        <v>47</v>
      </c>
      <c r="M4297" s="4">
        <v>154.48</v>
      </c>
    </row>
    <row r="4298">
      <c r="A4298" s="2">
        <v>45990</v>
      </c>
      <c r="B42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8" s="3" t="str">
        <f>YEAR(KMART_DATA[[#This Row],[Date]])&amp;"-"&amp;TEXT(MONTH(KMART_DATA[[#This Row],[Date]]),"00")</f>
        <v>2025-11</v>
      </c>
      <c r="D4298" s="3" t="s">
        <v>45</v>
      </c>
      <c r="E4298" s="3" t="s">
        <v>90</v>
      </c>
      <c r="F4298" s="3" t="s">
        <v>10</v>
      </c>
      <c r="G42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298" s="3" t="s">
        <v>91</v>
      </c>
      <c r="I4298" s="3" t="s">
        <v>31</v>
      </c>
      <c r="J4298" s="3" t="s">
        <v>37</v>
      </c>
      <c r="K4298" s="3" t="s">
        <v>33</v>
      </c>
      <c r="L4298" s="3" t="s">
        <v>34</v>
      </c>
      <c r="M4298" s="4">
        <v>402.18</v>
      </c>
    </row>
    <row r="4299">
      <c r="A4299" s="2">
        <v>45990</v>
      </c>
      <c r="B42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299" s="3" t="str">
        <f>YEAR(KMART_DATA[[#This Row],[Date]])&amp;"-"&amp;TEXT(MONTH(KMART_DATA[[#This Row],[Date]]),"00")</f>
        <v>2025-11</v>
      </c>
      <c r="D4299" s="3" t="s">
        <v>45</v>
      </c>
      <c r="E4299" s="3" t="s">
        <v>143</v>
      </c>
      <c r="F4299" s="3" t="s">
        <v>14</v>
      </c>
      <c r="G42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299" s="3" t="s">
        <v>144</v>
      </c>
      <c r="I4299" s="3" t="s">
        <v>31</v>
      </c>
      <c r="J4299" s="3" t="s">
        <v>145</v>
      </c>
      <c r="K4299" s="3" t="s">
        <v>112</v>
      </c>
      <c r="L4299" s="3" t="s">
        <v>113</v>
      </c>
      <c r="M4299" s="4">
        <v>617.93</v>
      </c>
    </row>
    <row r="4300">
      <c r="A4300" s="2">
        <v>45991</v>
      </c>
      <c r="B43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0" s="3" t="str">
        <f>YEAR(KMART_DATA[[#This Row],[Date]])&amp;"-"&amp;TEXT(MONTH(KMART_DATA[[#This Row],[Date]]),"00")</f>
        <v>2025-11</v>
      </c>
      <c r="D4300" s="3" t="s">
        <v>45</v>
      </c>
      <c r="E4300" s="3" t="s">
        <v>64</v>
      </c>
      <c r="F4300" s="3" t="s">
        <v>11</v>
      </c>
      <c r="G43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00" s="3" t="s">
        <v>65</v>
      </c>
      <c r="I4300" s="3" t="s">
        <v>31</v>
      </c>
      <c r="J4300" s="3" t="s">
        <v>61</v>
      </c>
      <c r="K4300" s="3" t="s">
        <v>71</v>
      </c>
      <c r="L4300" s="3" t="s">
        <v>72</v>
      </c>
      <c r="M4300" s="4">
        <v>4.99</v>
      </c>
    </row>
    <row r="4301">
      <c r="A4301" s="2">
        <v>45991</v>
      </c>
      <c r="B43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1" s="3" t="str">
        <f>YEAR(KMART_DATA[[#This Row],[Date]])&amp;"-"&amp;TEXT(MONTH(KMART_DATA[[#This Row],[Date]]),"00")</f>
        <v>2025-11</v>
      </c>
      <c r="D4301" s="3" t="s">
        <v>45</v>
      </c>
      <c r="E4301" s="3" t="s">
        <v>73</v>
      </c>
      <c r="F4301" s="3" t="s">
        <v>9</v>
      </c>
      <c r="G43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01" s="3" t="s">
        <v>74</v>
      </c>
      <c r="I4301" s="3" t="s">
        <v>31</v>
      </c>
      <c r="J4301" s="3" t="s">
        <v>75</v>
      </c>
      <c r="K4301" s="3" t="s">
        <v>46</v>
      </c>
      <c r="L4301" s="3" t="s">
        <v>47</v>
      </c>
      <c r="M4301" s="4">
        <v>14.99</v>
      </c>
    </row>
    <row r="4302">
      <c r="A4302" s="2">
        <v>45991</v>
      </c>
      <c r="B43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2" s="3" t="str">
        <f>YEAR(KMART_DATA[[#This Row],[Date]])&amp;"-"&amp;TEXT(MONTH(KMART_DATA[[#This Row],[Date]]),"00")</f>
        <v>2025-11</v>
      </c>
      <c r="D4302" s="3" t="s">
        <v>28</v>
      </c>
      <c r="E4302" s="3" t="s">
        <v>148</v>
      </c>
      <c r="F4302" s="3" t="s">
        <v>12</v>
      </c>
      <c r="G43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302" s="3" t="s">
        <v>149</v>
      </c>
      <c r="I4302" s="3" t="s">
        <v>31</v>
      </c>
      <c r="J4302" s="3" t="s">
        <v>50</v>
      </c>
      <c r="K4302" s="3" t="s">
        <v>123</v>
      </c>
      <c r="L4302" s="3" t="s">
        <v>124</v>
      </c>
      <c r="M4302" s="4">
        <v>15.98</v>
      </c>
    </row>
    <row r="4303">
      <c r="A4303" s="2">
        <v>45991</v>
      </c>
      <c r="B43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3" s="3" t="str">
        <f>YEAR(KMART_DATA[[#This Row],[Date]])&amp;"-"&amp;TEXT(MONTH(KMART_DATA[[#This Row],[Date]]),"00")</f>
        <v>2025-11</v>
      </c>
      <c r="D4303" s="3" t="s">
        <v>28</v>
      </c>
      <c r="E4303" s="3" t="s">
        <v>97</v>
      </c>
      <c r="F4303" s="3" t="s">
        <v>9</v>
      </c>
      <c r="G43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03" s="3" t="s">
        <v>98</v>
      </c>
      <c r="I4303" s="3" t="s">
        <v>31</v>
      </c>
      <c r="J4303" s="3" t="s">
        <v>99</v>
      </c>
      <c r="K4303" s="3" t="s">
        <v>66</v>
      </c>
      <c r="L4303" s="3" t="s">
        <v>67</v>
      </c>
      <c r="M4303" s="4">
        <v>43.28</v>
      </c>
    </row>
    <row r="4304">
      <c r="A4304" s="2">
        <v>45991</v>
      </c>
      <c r="B43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4" s="3" t="str">
        <f>YEAR(KMART_DATA[[#This Row],[Date]])&amp;"-"&amp;TEXT(MONTH(KMART_DATA[[#This Row],[Date]]),"00")</f>
        <v>2025-11</v>
      </c>
      <c r="D4304" s="3" t="s">
        <v>28</v>
      </c>
      <c r="E4304" s="3" t="s">
        <v>87</v>
      </c>
      <c r="F4304" s="3" t="s">
        <v>10</v>
      </c>
      <c r="G43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04" s="3" t="s">
        <v>88</v>
      </c>
      <c r="I4304" s="3" t="s">
        <v>31</v>
      </c>
      <c r="J4304" s="3" t="s">
        <v>89</v>
      </c>
      <c r="K4304" s="3" t="s">
        <v>95</v>
      </c>
      <c r="L4304" s="3" t="s">
        <v>96</v>
      </c>
      <c r="M4304" s="4">
        <v>1138.04</v>
      </c>
    </row>
    <row r="4305">
      <c r="A4305" s="2">
        <v>45991</v>
      </c>
      <c r="B43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5" s="3" t="str">
        <f>YEAR(KMART_DATA[[#This Row],[Date]])&amp;"-"&amp;TEXT(MONTH(KMART_DATA[[#This Row],[Date]]),"00")</f>
        <v>2025-11</v>
      </c>
      <c r="D4305" s="3" t="s">
        <v>45</v>
      </c>
      <c r="E4305" s="3" t="s">
        <v>256</v>
      </c>
      <c r="F4305" s="3" t="s">
        <v>9</v>
      </c>
      <c r="G43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05" s="3" t="s">
        <v>257</v>
      </c>
      <c r="I4305" s="3" t="s">
        <v>31</v>
      </c>
      <c r="J4305" s="3" t="s">
        <v>70</v>
      </c>
      <c r="K4305" s="3" t="s">
        <v>57</v>
      </c>
      <c r="L4305" s="3" t="s">
        <v>58</v>
      </c>
      <c r="M4305" s="4">
        <v>4041.07</v>
      </c>
    </row>
    <row r="4306">
      <c r="A4306" s="2">
        <v>45992</v>
      </c>
      <c r="B43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6" s="3" t="str">
        <f>YEAR(KMART_DATA[[#This Row],[Date]])&amp;"-"&amp;TEXT(MONTH(KMART_DATA[[#This Row],[Date]]),"00")</f>
        <v>2025-12</v>
      </c>
      <c r="D4306" s="3" t="s">
        <v>45</v>
      </c>
      <c r="E4306" s="3" t="s">
        <v>187</v>
      </c>
      <c r="F4306" s="3" t="s">
        <v>11</v>
      </c>
      <c r="G43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06" s="3" t="s">
        <v>188</v>
      </c>
      <c r="I4306" s="3" t="s">
        <v>31</v>
      </c>
      <c r="J4306" s="3" t="s">
        <v>78</v>
      </c>
      <c r="K4306" s="3" t="s">
        <v>112</v>
      </c>
      <c r="L4306" s="3" t="s">
        <v>113</v>
      </c>
      <c r="M4306" s="4">
        <v>53.89</v>
      </c>
    </row>
    <row r="4307">
      <c r="A4307" s="2">
        <v>45992</v>
      </c>
      <c r="B43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7" s="3" t="str">
        <f>YEAR(KMART_DATA[[#This Row],[Date]])&amp;"-"&amp;TEXT(MONTH(KMART_DATA[[#This Row],[Date]]),"00")</f>
        <v>2025-12</v>
      </c>
      <c r="D4307" s="3" t="s">
        <v>28</v>
      </c>
      <c r="E4307" s="3" t="s">
        <v>143</v>
      </c>
      <c r="F4307" s="3" t="s">
        <v>14</v>
      </c>
      <c r="G43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307" s="3" t="s">
        <v>144</v>
      </c>
      <c r="I4307" s="3" t="s">
        <v>31</v>
      </c>
      <c r="J4307" s="3" t="s">
        <v>145</v>
      </c>
      <c r="K4307" s="3" t="s">
        <v>66</v>
      </c>
      <c r="L4307" s="3" t="s">
        <v>67</v>
      </c>
      <c r="M4307" s="4">
        <v>79.94</v>
      </c>
    </row>
    <row r="4308">
      <c r="A4308" s="2">
        <v>45992</v>
      </c>
      <c r="B43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8" s="3" t="str">
        <f>YEAR(KMART_DATA[[#This Row],[Date]])&amp;"-"&amp;TEXT(MONTH(KMART_DATA[[#This Row],[Date]]),"00")</f>
        <v>2025-12</v>
      </c>
      <c r="D4308" s="3" t="s">
        <v>28</v>
      </c>
      <c r="E4308" s="3" t="s">
        <v>183</v>
      </c>
      <c r="F4308" s="3" t="s">
        <v>9</v>
      </c>
      <c r="G43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08" s="3" t="s">
        <v>184</v>
      </c>
      <c r="I4308" s="3" t="s">
        <v>31</v>
      </c>
      <c r="J4308" s="3" t="s">
        <v>70</v>
      </c>
      <c r="K4308" s="3" t="s">
        <v>71</v>
      </c>
      <c r="L4308" s="3" t="s">
        <v>72</v>
      </c>
      <c r="M4308" s="4">
        <v>1679.7</v>
      </c>
    </row>
    <row r="4309">
      <c r="A4309" s="2">
        <v>45992</v>
      </c>
      <c r="B43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09" s="3" t="str">
        <f>YEAR(KMART_DATA[[#This Row],[Date]])&amp;"-"&amp;TEXT(MONTH(KMART_DATA[[#This Row],[Date]]),"00")</f>
        <v>2025-12</v>
      </c>
      <c r="D4309" s="3" t="s">
        <v>28</v>
      </c>
      <c r="E4309" s="3" t="s">
        <v>154</v>
      </c>
      <c r="F4309" s="3" t="s">
        <v>11</v>
      </c>
      <c r="G43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09" s="3" t="s">
        <v>155</v>
      </c>
      <c r="I4309" s="3" t="s">
        <v>31</v>
      </c>
      <c r="J4309" s="3" t="s">
        <v>84</v>
      </c>
      <c r="K4309" s="3" t="s">
        <v>71</v>
      </c>
      <c r="L4309" s="3" t="s">
        <v>72</v>
      </c>
      <c r="M4309" s="4">
        <v>1700.33</v>
      </c>
    </row>
    <row r="4310">
      <c r="A4310" s="2">
        <v>45993</v>
      </c>
      <c r="B43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0" s="3" t="str">
        <f>YEAR(KMART_DATA[[#This Row],[Date]])&amp;"-"&amp;TEXT(MONTH(KMART_DATA[[#This Row],[Date]]),"00")</f>
        <v>2025-12</v>
      </c>
      <c r="D4310" s="3" t="s">
        <v>28</v>
      </c>
      <c r="E4310" s="3" t="s">
        <v>73</v>
      </c>
      <c r="F4310" s="3" t="s">
        <v>9</v>
      </c>
      <c r="G43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10" s="3" t="s">
        <v>74</v>
      </c>
      <c r="I4310" s="3" t="s">
        <v>31</v>
      </c>
      <c r="J4310" s="3" t="s">
        <v>75</v>
      </c>
      <c r="K4310" s="3" t="s">
        <v>112</v>
      </c>
      <c r="L4310" s="3" t="s">
        <v>113</v>
      </c>
      <c r="M4310" s="4">
        <v>3.95</v>
      </c>
    </row>
    <row r="4311">
      <c r="A4311" s="2">
        <v>45993</v>
      </c>
      <c r="B43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1" s="3" t="str">
        <f>YEAR(KMART_DATA[[#This Row],[Date]])&amp;"-"&amp;TEXT(MONTH(KMART_DATA[[#This Row],[Date]]),"00")</f>
        <v>2025-12</v>
      </c>
      <c r="D4311" s="3" t="s">
        <v>28</v>
      </c>
      <c r="E4311" s="3" t="s">
        <v>232</v>
      </c>
      <c r="F4311" s="3" t="s">
        <v>9</v>
      </c>
      <c r="G43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11" s="3" t="s">
        <v>233</v>
      </c>
      <c r="I4311" s="3" t="s">
        <v>31</v>
      </c>
      <c r="J4311" s="3" t="s">
        <v>75</v>
      </c>
      <c r="K4311" s="3" t="s">
        <v>38</v>
      </c>
      <c r="L4311" s="3" t="s">
        <v>39</v>
      </c>
      <c r="M4311" s="4">
        <v>5.57</v>
      </c>
    </row>
    <row r="4312">
      <c r="A4312" s="2">
        <v>45993</v>
      </c>
      <c r="B43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2" s="3" t="str">
        <f>YEAR(KMART_DATA[[#This Row],[Date]])&amp;"-"&amp;TEXT(MONTH(KMART_DATA[[#This Row],[Date]]),"00")</f>
        <v>2025-12</v>
      </c>
      <c r="D4312" s="3" t="s">
        <v>28</v>
      </c>
      <c r="E4312" s="3" t="s">
        <v>163</v>
      </c>
      <c r="F4312" s="3" t="s">
        <v>9</v>
      </c>
      <c r="G43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12" s="3" t="s">
        <v>164</v>
      </c>
      <c r="I4312" s="3" t="s">
        <v>31</v>
      </c>
      <c r="J4312" s="3" t="s">
        <v>81</v>
      </c>
      <c r="K4312" s="3" t="s">
        <v>33</v>
      </c>
      <c r="L4312" s="3" t="s">
        <v>34</v>
      </c>
      <c r="M4312" s="4">
        <v>323.19</v>
      </c>
    </row>
    <row r="4313">
      <c r="A4313" s="2">
        <v>45993</v>
      </c>
      <c r="B43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3" s="3" t="str">
        <f>YEAR(KMART_DATA[[#This Row],[Date]])&amp;"-"&amp;TEXT(MONTH(KMART_DATA[[#This Row],[Date]]),"00")</f>
        <v>2025-12</v>
      </c>
      <c r="D4313" s="3" t="s">
        <v>45</v>
      </c>
      <c r="E4313" s="3" t="s">
        <v>125</v>
      </c>
      <c r="F4313" s="3" t="s">
        <v>10</v>
      </c>
      <c r="G43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13" s="3" t="s">
        <v>126</v>
      </c>
      <c r="I4313" s="3" t="s">
        <v>31</v>
      </c>
      <c r="J4313" s="3" t="s">
        <v>94</v>
      </c>
      <c r="K4313" s="3" t="s">
        <v>71</v>
      </c>
      <c r="L4313" s="3" t="s">
        <v>72</v>
      </c>
      <c r="M4313" s="4">
        <v>609.24</v>
      </c>
    </row>
    <row r="4314">
      <c r="A4314" s="2">
        <v>45993</v>
      </c>
      <c r="B43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4" s="3" t="str">
        <f>YEAR(KMART_DATA[[#This Row],[Date]])&amp;"-"&amp;TEXT(MONTH(KMART_DATA[[#This Row],[Date]]),"00")</f>
        <v>2025-12</v>
      </c>
      <c r="D4314" s="3" t="s">
        <v>28</v>
      </c>
      <c r="E4314" s="3" t="s">
        <v>154</v>
      </c>
      <c r="F4314" s="3" t="s">
        <v>11</v>
      </c>
      <c r="G43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14" s="3" t="s">
        <v>155</v>
      </c>
      <c r="I4314" s="3" t="s">
        <v>31</v>
      </c>
      <c r="J4314" s="3" t="s">
        <v>84</v>
      </c>
      <c r="K4314" s="3" t="s">
        <v>123</v>
      </c>
      <c r="L4314" s="3" t="s">
        <v>124</v>
      </c>
      <c r="M4314" s="4">
        <v>817.61</v>
      </c>
    </row>
    <row r="4315">
      <c r="A4315" s="2">
        <v>45994</v>
      </c>
      <c r="B43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5" s="3" t="str">
        <f>YEAR(KMART_DATA[[#This Row],[Date]])&amp;"-"&amp;TEXT(MONTH(KMART_DATA[[#This Row],[Date]]),"00")</f>
        <v>2025-12</v>
      </c>
      <c r="D4315" s="3" t="s">
        <v>28</v>
      </c>
      <c r="E4315" s="3" t="s">
        <v>262</v>
      </c>
      <c r="F4315" s="3" t="s">
        <v>10</v>
      </c>
      <c r="G43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15" s="3" t="s">
        <v>263</v>
      </c>
      <c r="I4315" s="3" t="s">
        <v>31</v>
      </c>
      <c r="J4315" s="3" t="s">
        <v>120</v>
      </c>
      <c r="K4315" s="3" t="s">
        <v>43</v>
      </c>
      <c r="L4315" s="3" t="s">
        <v>44</v>
      </c>
      <c r="M4315" s="4">
        <v>1.57</v>
      </c>
    </row>
    <row r="4316">
      <c r="A4316" s="2">
        <v>45994</v>
      </c>
      <c r="B43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6" s="3" t="str">
        <f>YEAR(KMART_DATA[[#This Row],[Date]])&amp;"-"&amp;TEXT(MONTH(KMART_DATA[[#This Row],[Date]]),"00")</f>
        <v>2025-12</v>
      </c>
      <c r="D4316" s="3" t="s">
        <v>28</v>
      </c>
      <c r="E4316" s="3" t="s">
        <v>110</v>
      </c>
      <c r="F4316" s="3" t="s">
        <v>9</v>
      </c>
      <c r="G43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16" s="3" t="s">
        <v>111</v>
      </c>
      <c r="I4316" s="3" t="s">
        <v>31</v>
      </c>
      <c r="J4316" s="3" t="s">
        <v>81</v>
      </c>
      <c r="K4316" s="3" t="s">
        <v>33</v>
      </c>
      <c r="L4316" s="3" t="s">
        <v>34</v>
      </c>
      <c r="M4316" s="4">
        <v>2.0</v>
      </c>
    </row>
    <row r="4317">
      <c r="A4317" s="2">
        <v>45994</v>
      </c>
      <c r="B43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7" s="3" t="str">
        <f>YEAR(KMART_DATA[[#This Row],[Date]])&amp;"-"&amp;TEXT(MONTH(KMART_DATA[[#This Row],[Date]]),"00")</f>
        <v>2025-12</v>
      </c>
      <c r="D4317" s="3" t="s">
        <v>45</v>
      </c>
      <c r="E4317" s="3" t="s">
        <v>97</v>
      </c>
      <c r="F4317" s="3" t="s">
        <v>9</v>
      </c>
      <c r="G43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17" s="3" t="s">
        <v>98</v>
      </c>
      <c r="I4317" s="3" t="s">
        <v>31</v>
      </c>
      <c r="J4317" s="3" t="s">
        <v>99</v>
      </c>
      <c r="K4317" s="3" t="s">
        <v>95</v>
      </c>
      <c r="L4317" s="3" t="s">
        <v>96</v>
      </c>
      <c r="M4317" s="4">
        <v>10.99</v>
      </c>
    </row>
    <row r="4318">
      <c r="A4318" s="2">
        <v>45994</v>
      </c>
      <c r="B43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8" s="3" t="str">
        <f>YEAR(KMART_DATA[[#This Row],[Date]])&amp;"-"&amp;TEXT(MONTH(KMART_DATA[[#This Row],[Date]]),"00")</f>
        <v>2025-12</v>
      </c>
      <c r="D4318" s="3" t="s">
        <v>28</v>
      </c>
      <c r="E4318" s="3" t="s">
        <v>156</v>
      </c>
      <c r="F4318" s="3" t="s">
        <v>9</v>
      </c>
      <c r="G43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18" s="3" t="s">
        <v>157</v>
      </c>
      <c r="I4318" s="3" t="s">
        <v>31</v>
      </c>
      <c r="J4318" s="3" t="s">
        <v>75</v>
      </c>
      <c r="K4318" s="3" t="s">
        <v>33</v>
      </c>
      <c r="L4318" s="3" t="s">
        <v>34</v>
      </c>
      <c r="M4318" s="4">
        <v>13.99</v>
      </c>
    </row>
    <row r="4319">
      <c r="A4319" s="2">
        <v>45994</v>
      </c>
      <c r="B43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19" s="3" t="str">
        <f>YEAR(KMART_DATA[[#This Row],[Date]])&amp;"-"&amp;TEXT(MONTH(KMART_DATA[[#This Row],[Date]]),"00")</f>
        <v>2025-12</v>
      </c>
      <c r="D4319" s="3" t="s">
        <v>28</v>
      </c>
      <c r="E4319" s="3" t="s">
        <v>256</v>
      </c>
      <c r="F4319" s="3" t="s">
        <v>9</v>
      </c>
      <c r="G43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19" s="3" t="s">
        <v>257</v>
      </c>
      <c r="I4319" s="3" t="s">
        <v>31</v>
      </c>
      <c r="J4319" s="3" t="s">
        <v>70</v>
      </c>
      <c r="K4319" s="3" t="s">
        <v>43</v>
      </c>
      <c r="L4319" s="3" t="s">
        <v>44</v>
      </c>
      <c r="M4319" s="4">
        <v>14.99</v>
      </c>
    </row>
    <row r="4320">
      <c r="A4320" s="2">
        <v>45994</v>
      </c>
      <c r="B43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0" s="3" t="str">
        <f>YEAR(KMART_DATA[[#This Row],[Date]])&amp;"-"&amp;TEXT(MONTH(KMART_DATA[[#This Row],[Date]]),"00")</f>
        <v>2025-12</v>
      </c>
      <c r="D4320" s="3" t="s">
        <v>28</v>
      </c>
      <c r="E4320" s="3" t="s">
        <v>121</v>
      </c>
      <c r="F4320" s="3" t="s">
        <v>11</v>
      </c>
      <c r="G43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20" s="3" t="s">
        <v>122</v>
      </c>
      <c r="I4320" s="3" t="s">
        <v>31</v>
      </c>
      <c r="J4320" s="3" t="s">
        <v>84</v>
      </c>
      <c r="K4320" s="3" t="s">
        <v>123</v>
      </c>
      <c r="L4320" s="3" t="s">
        <v>124</v>
      </c>
      <c r="M4320" s="4">
        <v>23.99</v>
      </c>
    </row>
    <row r="4321">
      <c r="A4321" s="2">
        <v>45994</v>
      </c>
      <c r="B43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1" s="3" t="str">
        <f>YEAR(KMART_DATA[[#This Row],[Date]])&amp;"-"&amp;TEXT(MONTH(KMART_DATA[[#This Row],[Date]]),"00")</f>
        <v>2025-12</v>
      </c>
      <c r="D4321" s="3" t="s">
        <v>28</v>
      </c>
      <c r="E4321" s="3" t="s">
        <v>230</v>
      </c>
      <c r="F4321" s="3" t="s">
        <v>13</v>
      </c>
      <c r="G43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321" s="3" t="s">
        <v>231</v>
      </c>
      <c r="I4321" s="3" t="s">
        <v>31</v>
      </c>
      <c r="J4321" s="3" t="s">
        <v>227</v>
      </c>
      <c r="K4321" s="3" t="s">
        <v>57</v>
      </c>
      <c r="L4321" s="3" t="s">
        <v>58</v>
      </c>
      <c r="M4321" s="4">
        <v>326.1</v>
      </c>
    </row>
    <row r="4322">
      <c r="A4322" s="2">
        <v>45994</v>
      </c>
      <c r="B43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2" s="3" t="str">
        <f>YEAR(KMART_DATA[[#This Row],[Date]])&amp;"-"&amp;TEXT(MONTH(KMART_DATA[[#This Row],[Date]]),"00")</f>
        <v>2025-12</v>
      </c>
      <c r="D4322" s="3" t="s">
        <v>45</v>
      </c>
      <c r="E4322" s="3" t="s">
        <v>203</v>
      </c>
      <c r="F4322" s="3" t="s">
        <v>10</v>
      </c>
      <c r="G43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22" s="3" t="s">
        <v>204</v>
      </c>
      <c r="I4322" s="3" t="s">
        <v>31</v>
      </c>
      <c r="J4322" s="3" t="s">
        <v>89</v>
      </c>
      <c r="K4322" s="3" t="s">
        <v>112</v>
      </c>
      <c r="L4322" s="3" t="s">
        <v>113</v>
      </c>
      <c r="M4322" s="4">
        <v>346.13</v>
      </c>
    </row>
    <row r="4323">
      <c r="A4323" s="2">
        <v>45994</v>
      </c>
      <c r="B43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3" s="3" t="str">
        <f>YEAR(KMART_DATA[[#This Row],[Date]])&amp;"-"&amp;TEXT(MONTH(KMART_DATA[[#This Row],[Date]]),"00")</f>
        <v>2025-12</v>
      </c>
      <c r="D4323" s="3" t="s">
        <v>45</v>
      </c>
      <c r="E4323" s="3" t="s">
        <v>189</v>
      </c>
      <c r="F4323" s="3" t="s">
        <v>9</v>
      </c>
      <c r="G43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23" s="3" t="s">
        <v>190</v>
      </c>
      <c r="I4323" s="3" t="s">
        <v>31</v>
      </c>
      <c r="J4323" s="3" t="s">
        <v>81</v>
      </c>
      <c r="K4323" s="3" t="s">
        <v>57</v>
      </c>
      <c r="L4323" s="3" t="s">
        <v>58</v>
      </c>
      <c r="M4323" s="4">
        <v>447.63</v>
      </c>
    </row>
    <row r="4324">
      <c r="A4324" s="2">
        <v>45994</v>
      </c>
      <c r="B43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4" s="3" t="str">
        <f>YEAR(KMART_DATA[[#This Row],[Date]])&amp;"-"&amp;TEXT(MONTH(KMART_DATA[[#This Row],[Date]]),"00")</f>
        <v>2025-12</v>
      </c>
      <c r="D4324" s="3" t="s">
        <v>28</v>
      </c>
      <c r="E4324" s="3" t="s">
        <v>236</v>
      </c>
      <c r="F4324" s="3" t="s">
        <v>12</v>
      </c>
      <c r="G43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324" s="3" t="s">
        <v>237</v>
      </c>
      <c r="I4324" s="3" t="s">
        <v>31</v>
      </c>
      <c r="J4324" s="3" t="s">
        <v>102</v>
      </c>
      <c r="K4324" s="3" t="s">
        <v>57</v>
      </c>
      <c r="L4324" s="3" t="s">
        <v>58</v>
      </c>
      <c r="M4324" s="4">
        <v>1105.31</v>
      </c>
    </row>
    <row r="4325">
      <c r="A4325" s="2">
        <v>45995</v>
      </c>
      <c r="B43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5" s="3" t="str">
        <f>YEAR(KMART_DATA[[#This Row],[Date]])&amp;"-"&amp;TEXT(MONTH(KMART_DATA[[#This Row],[Date]]),"00")</f>
        <v>2025-12</v>
      </c>
      <c r="D4325" s="3" t="s">
        <v>45</v>
      </c>
      <c r="E4325" s="3" t="s">
        <v>187</v>
      </c>
      <c r="F4325" s="3" t="s">
        <v>11</v>
      </c>
      <c r="G43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25" s="3" t="s">
        <v>188</v>
      </c>
      <c r="I4325" s="3" t="s">
        <v>31</v>
      </c>
      <c r="J4325" s="3" t="s">
        <v>78</v>
      </c>
      <c r="K4325" s="3" t="s">
        <v>71</v>
      </c>
      <c r="L4325" s="3" t="s">
        <v>72</v>
      </c>
      <c r="M4325" s="4">
        <v>6.99</v>
      </c>
    </row>
    <row r="4326">
      <c r="A4326" s="2">
        <v>45995</v>
      </c>
      <c r="B43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6" s="3" t="str">
        <f>YEAR(KMART_DATA[[#This Row],[Date]])&amp;"-"&amp;TEXT(MONTH(KMART_DATA[[#This Row],[Date]]),"00")</f>
        <v>2025-12</v>
      </c>
      <c r="D4326" s="3" t="s">
        <v>45</v>
      </c>
      <c r="E4326" s="3" t="s">
        <v>68</v>
      </c>
      <c r="F4326" s="3" t="s">
        <v>9</v>
      </c>
      <c r="G43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26" s="3" t="s">
        <v>69</v>
      </c>
      <c r="I4326" s="3" t="s">
        <v>31</v>
      </c>
      <c r="J4326" s="3" t="s">
        <v>70</v>
      </c>
      <c r="K4326" s="3" t="s">
        <v>123</v>
      </c>
      <c r="L4326" s="3" t="s">
        <v>124</v>
      </c>
      <c r="M4326" s="4">
        <v>47.86</v>
      </c>
    </row>
    <row r="4327">
      <c r="A4327" s="2">
        <v>45995</v>
      </c>
      <c r="B43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7" s="3" t="str">
        <f>YEAR(KMART_DATA[[#This Row],[Date]])&amp;"-"&amp;TEXT(MONTH(KMART_DATA[[#This Row],[Date]]),"00")</f>
        <v>2025-12</v>
      </c>
      <c r="D4327" s="3" t="s">
        <v>45</v>
      </c>
      <c r="E4327" s="3" t="s">
        <v>141</v>
      </c>
      <c r="F4327" s="3" t="s">
        <v>9</v>
      </c>
      <c r="G43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27" s="3" t="s">
        <v>142</v>
      </c>
      <c r="I4327" s="3" t="s">
        <v>31</v>
      </c>
      <c r="J4327" s="3" t="s">
        <v>107</v>
      </c>
      <c r="K4327" s="3" t="s">
        <v>38</v>
      </c>
      <c r="L4327" s="3" t="s">
        <v>39</v>
      </c>
      <c r="M4327" s="4">
        <v>59.43</v>
      </c>
    </row>
    <row r="4328">
      <c r="A4328" s="2">
        <v>45995</v>
      </c>
      <c r="B43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8" s="3" t="str">
        <f>YEAR(KMART_DATA[[#This Row],[Date]])&amp;"-"&amp;TEXT(MONTH(KMART_DATA[[#This Row],[Date]]),"00")</f>
        <v>2025-12</v>
      </c>
      <c r="D4328" s="3" t="s">
        <v>45</v>
      </c>
      <c r="E4328" s="3" t="s">
        <v>264</v>
      </c>
      <c r="F4328" s="3" t="s">
        <v>13</v>
      </c>
      <c r="G43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328" s="3" t="s">
        <v>265</v>
      </c>
      <c r="I4328" s="3" t="s">
        <v>31</v>
      </c>
      <c r="J4328" s="3" t="s">
        <v>42</v>
      </c>
      <c r="K4328" s="3" t="s">
        <v>71</v>
      </c>
      <c r="L4328" s="3" t="s">
        <v>72</v>
      </c>
      <c r="M4328" s="4">
        <v>144.87</v>
      </c>
    </row>
    <row r="4329">
      <c r="A4329" s="2">
        <v>45995</v>
      </c>
      <c r="B43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29" s="3" t="str">
        <f>YEAR(KMART_DATA[[#This Row],[Date]])&amp;"-"&amp;TEXT(MONTH(KMART_DATA[[#This Row],[Date]]),"00")</f>
        <v>2025-12</v>
      </c>
      <c r="D4329" s="3" t="s">
        <v>28</v>
      </c>
      <c r="E4329" s="3" t="s">
        <v>191</v>
      </c>
      <c r="F4329" s="3" t="s">
        <v>10</v>
      </c>
      <c r="G43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29" s="3" t="s">
        <v>192</v>
      </c>
      <c r="I4329" s="3" t="s">
        <v>31</v>
      </c>
      <c r="J4329" s="3" t="s">
        <v>120</v>
      </c>
      <c r="K4329" s="3" t="s">
        <v>33</v>
      </c>
      <c r="L4329" s="3" t="s">
        <v>34</v>
      </c>
      <c r="M4329" s="4">
        <v>157.42</v>
      </c>
    </row>
    <row r="4330">
      <c r="A4330" s="2">
        <v>45995</v>
      </c>
      <c r="B43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0" s="3" t="str">
        <f>YEAR(KMART_DATA[[#This Row],[Date]])&amp;"-"&amp;TEXT(MONTH(KMART_DATA[[#This Row],[Date]]),"00")</f>
        <v>2025-12</v>
      </c>
      <c r="D4330" s="3" t="s">
        <v>28</v>
      </c>
      <c r="E4330" s="3" t="s">
        <v>82</v>
      </c>
      <c r="F4330" s="3" t="s">
        <v>11</v>
      </c>
      <c r="G43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30" s="3" t="s">
        <v>83</v>
      </c>
      <c r="I4330" s="3" t="s">
        <v>31</v>
      </c>
      <c r="J4330" s="3" t="s">
        <v>84</v>
      </c>
      <c r="K4330" s="3" t="s">
        <v>95</v>
      </c>
      <c r="L4330" s="3" t="s">
        <v>96</v>
      </c>
      <c r="M4330" s="4">
        <v>7110.98</v>
      </c>
    </row>
    <row r="4331">
      <c r="A4331" s="2">
        <v>45996</v>
      </c>
      <c r="B43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1" s="3" t="str">
        <f>YEAR(KMART_DATA[[#This Row],[Date]])&amp;"-"&amp;TEXT(MONTH(KMART_DATA[[#This Row],[Date]]),"00")</f>
        <v>2025-12</v>
      </c>
      <c r="D4331" s="3" t="s">
        <v>28</v>
      </c>
      <c r="E4331" s="3" t="s">
        <v>35</v>
      </c>
      <c r="F4331" s="3" t="s">
        <v>10</v>
      </c>
      <c r="G43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31" s="3" t="s">
        <v>36</v>
      </c>
      <c r="I4331" s="3" t="s">
        <v>31</v>
      </c>
      <c r="J4331" s="3" t="s">
        <v>37</v>
      </c>
      <c r="K4331" s="3" t="s">
        <v>71</v>
      </c>
      <c r="L4331" s="3" t="s">
        <v>72</v>
      </c>
      <c r="M4331" s="4">
        <v>25.0</v>
      </c>
    </row>
    <row r="4332">
      <c r="A4332" s="2">
        <v>45996</v>
      </c>
      <c r="B43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2" s="3" t="str">
        <f>YEAR(KMART_DATA[[#This Row],[Date]])&amp;"-"&amp;TEXT(MONTH(KMART_DATA[[#This Row],[Date]]),"00")</f>
        <v>2025-12</v>
      </c>
      <c r="D4332" s="3" t="s">
        <v>45</v>
      </c>
      <c r="E4332" s="3" t="s">
        <v>248</v>
      </c>
      <c r="F4332" s="3" t="s">
        <v>12</v>
      </c>
      <c r="G43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332" s="3" t="s">
        <v>249</v>
      </c>
      <c r="I4332" s="3" t="s">
        <v>31</v>
      </c>
      <c r="J4332" s="3" t="s">
        <v>162</v>
      </c>
      <c r="K4332" s="3" t="s">
        <v>38</v>
      </c>
      <c r="L4332" s="3" t="s">
        <v>39</v>
      </c>
      <c r="M4332" s="4">
        <v>47.44</v>
      </c>
    </row>
    <row r="4333">
      <c r="A4333" s="2">
        <v>45996</v>
      </c>
      <c r="B43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3" s="3" t="str">
        <f>YEAR(KMART_DATA[[#This Row],[Date]])&amp;"-"&amp;TEXT(MONTH(KMART_DATA[[#This Row],[Date]]),"00")</f>
        <v>2025-12</v>
      </c>
      <c r="D4333" s="3" t="s">
        <v>45</v>
      </c>
      <c r="E4333" s="3" t="s">
        <v>141</v>
      </c>
      <c r="F4333" s="3" t="s">
        <v>9</v>
      </c>
      <c r="G43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33" s="3" t="s">
        <v>142</v>
      </c>
      <c r="I4333" s="3" t="s">
        <v>31</v>
      </c>
      <c r="J4333" s="3" t="s">
        <v>107</v>
      </c>
      <c r="K4333" s="3" t="s">
        <v>46</v>
      </c>
      <c r="L4333" s="3" t="s">
        <v>47</v>
      </c>
      <c r="M4333" s="4">
        <v>129.91</v>
      </c>
    </row>
    <row r="4334">
      <c r="A4334" s="2">
        <v>45996</v>
      </c>
      <c r="B43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4" s="3" t="str">
        <f>YEAR(KMART_DATA[[#This Row],[Date]])&amp;"-"&amp;TEXT(MONTH(KMART_DATA[[#This Row],[Date]]),"00")</f>
        <v>2025-12</v>
      </c>
      <c r="D4334" s="3" t="s">
        <v>28</v>
      </c>
      <c r="E4334" s="3" t="s">
        <v>129</v>
      </c>
      <c r="F4334" s="3" t="s">
        <v>10</v>
      </c>
      <c r="G43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34" s="3" t="s">
        <v>130</v>
      </c>
      <c r="I4334" s="3" t="s">
        <v>31</v>
      </c>
      <c r="J4334" s="3" t="s">
        <v>120</v>
      </c>
      <c r="K4334" s="3" t="s">
        <v>43</v>
      </c>
      <c r="L4334" s="3" t="s">
        <v>44</v>
      </c>
      <c r="M4334" s="4">
        <v>390.13</v>
      </c>
    </row>
    <row r="4335">
      <c r="A4335" s="2">
        <v>45996</v>
      </c>
      <c r="B43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5" s="3" t="str">
        <f>YEAR(KMART_DATA[[#This Row],[Date]])&amp;"-"&amp;TEXT(MONTH(KMART_DATA[[#This Row],[Date]]),"00")</f>
        <v>2025-12</v>
      </c>
      <c r="D4335" s="3" t="s">
        <v>28</v>
      </c>
      <c r="E4335" s="3" t="s">
        <v>150</v>
      </c>
      <c r="F4335" s="3" t="s">
        <v>15</v>
      </c>
      <c r="G43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335" s="3" t="s">
        <v>151</v>
      </c>
      <c r="I4335" s="3" t="s">
        <v>31</v>
      </c>
      <c r="J4335" s="3" t="s">
        <v>53</v>
      </c>
      <c r="K4335" s="3" t="s">
        <v>43</v>
      </c>
      <c r="L4335" s="3" t="s">
        <v>44</v>
      </c>
      <c r="M4335" s="4">
        <v>428.57</v>
      </c>
    </row>
    <row r="4336">
      <c r="A4336" s="2">
        <v>45996</v>
      </c>
      <c r="B43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6" s="3" t="str">
        <f>YEAR(KMART_DATA[[#This Row],[Date]])&amp;"-"&amp;TEXT(MONTH(KMART_DATA[[#This Row],[Date]]),"00")</f>
        <v>2025-12</v>
      </c>
      <c r="D4336" s="3" t="s">
        <v>45</v>
      </c>
      <c r="E4336" s="3" t="s">
        <v>262</v>
      </c>
      <c r="F4336" s="3" t="s">
        <v>10</v>
      </c>
      <c r="G43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36" s="3" t="s">
        <v>263</v>
      </c>
      <c r="I4336" s="3" t="s">
        <v>31</v>
      </c>
      <c r="J4336" s="3" t="s">
        <v>120</v>
      </c>
      <c r="K4336" s="3" t="s">
        <v>43</v>
      </c>
      <c r="L4336" s="3" t="s">
        <v>44</v>
      </c>
      <c r="M4336" s="4">
        <v>1721.62</v>
      </c>
    </row>
    <row r="4337">
      <c r="A4337" s="2">
        <v>45997</v>
      </c>
      <c r="B43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7" s="3" t="str">
        <f>YEAR(KMART_DATA[[#This Row],[Date]])&amp;"-"&amp;TEXT(MONTH(KMART_DATA[[#This Row],[Date]]),"00")</f>
        <v>2025-12</v>
      </c>
      <c r="D4337" s="3" t="s">
        <v>28</v>
      </c>
      <c r="E4337" s="3" t="s">
        <v>262</v>
      </c>
      <c r="F4337" s="3" t="s">
        <v>10</v>
      </c>
      <c r="G43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37" s="3" t="s">
        <v>263</v>
      </c>
      <c r="I4337" s="3" t="s">
        <v>31</v>
      </c>
      <c r="J4337" s="3" t="s">
        <v>120</v>
      </c>
      <c r="K4337" s="3" t="s">
        <v>112</v>
      </c>
      <c r="L4337" s="3" t="s">
        <v>113</v>
      </c>
      <c r="M4337" s="4">
        <v>105.84</v>
      </c>
    </row>
    <row r="4338">
      <c r="A4338" s="2">
        <v>45997</v>
      </c>
      <c r="B43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8" s="3" t="str">
        <f>YEAR(KMART_DATA[[#This Row],[Date]])&amp;"-"&amp;TEXT(MONTH(KMART_DATA[[#This Row],[Date]]),"00")</f>
        <v>2025-12</v>
      </c>
      <c r="D4338" s="3" t="s">
        <v>45</v>
      </c>
      <c r="E4338" s="3" t="s">
        <v>29</v>
      </c>
      <c r="F4338" s="3" t="s">
        <v>11</v>
      </c>
      <c r="G43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38" s="3" t="s">
        <v>30</v>
      </c>
      <c r="I4338" s="3" t="s">
        <v>31</v>
      </c>
      <c r="J4338" s="3" t="s">
        <v>32</v>
      </c>
      <c r="K4338" s="3" t="s">
        <v>43</v>
      </c>
      <c r="L4338" s="3" t="s">
        <v>44</v>
      </c>
      <c r="M4338" s="4">
        <v>106.35</v>
      </c>
    </row>
    <row r="4339">
      <c r="A4339" s="2">
        <v>45997</v>
      </c>
      <c r="B43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39" s="3" t="str">
        <f>YEAR(KMART_DATA[[#This Row],[Date]])&amp;"-"&amp;TEXT(MONTH(KMART_DATA[[#This Row],[Date]]),"00")</f>
        <v>2025-12</v>
      </c>
      <c r="D4339" s="3" t="s">
        <v>45</v>
      </c>
      <c r="E4339" s="3" t="s">
        <v>171</v>
      </c>
      <c r="F4339" s="3" t="s">
        <v>10</v>
      </c>
      <c r="G43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39" s="3" t="s">
        <v>172</v>
      </c>
      <c r="I4339" s="3" t="s">
        <v>31</v>
      </c>
      <c r="J4339" s="3" t="s">
        <v>37</v>
      </c>
      <c r="K4339" s="3" t="s">
        <v>123</v>
      </c>
      <c r="L4339" s="3" t="s">
        <v>124</v>
      </c>
      <c r="M4339" s="4">
        <v>445.95</v>
      </c>
    </row>
    <row r="4340">
      <c r="A4340" s="2">
        <v>45997</v>
      </c>
      <c r="B43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0" s="3" t="str">
        <f>YEAR(KMART_DATA[[#This Row],[Date]])&amp;"-"&amp;TEXT(MONTH(KMART_DATA[[#This Row],[Date]]),"00")</f>
        <v>2025-12</v>
      </c>
      <c r="D4340" s="3" t="s">
        <v>45</v>
      </c>
      <c r="E4340" s="3" t="s">
        <v>141</v>
      </c>
      <c r="F4340" s="3" t="s">
        <v>9</v>
      </c>
      <c r="G43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40" s="3" t="s">
        <v>142</v>
      </c>
      <c r="I4340" s="3" t="s">
        <v>31</v>
      </c>
      <c r="J4340" s="3" t="s">
        <v>107</v>
      </c>
      <c r="K4340" s="3" t="s">
        <v>71</v>
      </c>
      <c r="L4340" s="3" t="s">
        <v>72</v>
      </c>
      <c r="M4340" s="4">
        <v>1091.22</v>
      </c>
    </row>
    <row r="4341">
      <c r="A4341" s="2">
        <v>45998</v>
      </c>
      <c r="B43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1" s="3" t="str">
        <f>YEAR(KMART_DATA[[#This Row],[Date]])&amp;"-"&amp;TEXT(MONTH(KMART_DATA[[#This Row],[Date]]),"00")</f>
        <v>2025-12</v>
      </c>
      <c r="D4341" s="3" t="s">
        <v>45</v>
      </c>
      <c r="E4341" s="3" t="s">
        <v>125</v>
      </c>
      <c r="F4341" s="3" t="s">
        <v>10</v>
      </c>
      <c r="G43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41" s="3" t="s">
        <v>126</v>
      </c>
      <c r="I4341" s="3" t="s">
        <v>31</v>
      </c>
      <c r="J4341" s="3" t="s">
        <v>94</v>
      </c>
      <c r="K4341" s="3" t="s">
        <v>38</v>
      </c>
      <c r="L4341" s="3" t="s">
        <v>39</v>
      </c>
      <c r="M4341" s="4">
        <v>5.99</v>
      </c>
    </row>
    <row r="4342">
      <c r="A4342" s="2">
        <v>45998</v>
      </c>
      <c r="B43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2" s="3" t="str">
        <f>YEAR(KMART_DATA[[#This Row],[Date]])&amp;"-"&amp;TEXT(MONTH(KMART_DATA[[#This Row],[Date]]),"00")</f>
        <v>2025-12</v>
      </c>
      <c r="D4342" s="3" t="s">
        <v>28</v>
      </c>
      <c r="E4342" s="3" t="s">
        <v>232</v>
      </c>
      <c r="F4342" s="3" t="s">
        <v>9</v>
      </c>
      <c r="G43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42" s="3" t="s">
        <v>233</v>
      </c>
      <c r="I4342" s="3" t="s">
        <v>31</v>
      </c>
      <c r="J4342" s="3" t="s">
        <v>75</v>
      </c>
      <c r="K4342" s="3" t="s">
        <v>46</v>
      </c>
      <c r="L4342" s="3" t="s">
        <v>47</v>
      </c>
      <c r="M4342" s="4">
        <v>39.0</v>
      </c>
    </row>
    <row r="4343">
      <c r="A4343" s="2">
        <v>45998</v>
      </c>
      <c r="B43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3" s="3" t="str">
        <f>YEAR(KMART_DATA[[#This Row],[Date]])&amp;"-"&amp;TEXT(MONTH(KMART_DATA[[#This Row],[Date]]),"00")</f>
        <v>2025-12</v>
      </c>
      <c r="D4343" s="3" t="s">
        <v>45</v>
      </c>
      <c r="E4343" s="3" t="s">
        <v>87</v>
      </c>
      <c r="F4343" s="3" t="s">
        <v>10</v>
      </c>
      <c r="G43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43" s="3" t="s">
        <v>88</v>
      </c>
      <c r="I4343" s="3" t="s">
        <v>31</v>
      </c>
      <c r="J4343" s="3" t="s">
        <v>89</v>
      </c>
      <c r="K4343" s="3" t="s">
        <v>95</v>
      </c>
      <c r="L4343" s="3" t="s">
        <v>96</v>
      </c>
      <c r="M4343" s="4">
        <v>39.95</v>
      </c>
    </row>
    <row r="4344">
      <c r="A4344" s="2">
        <v>45998</v>
      </c>
      <c r="B43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4" s="3" t="str">
        <f>YEAR(KMART_DATA[[#This Row],[Date]])&amp;"-"&amp;TEXT(MONTH(KMART_DATA[[#This Row],[Date]]),"00")</f>
        <v>2025-12</v>
      </c>
      <c r="D4344" s="3" t="s">
        <v>28</v>
      </c>
      <c r="E4344" s="3" t="s">
        <v>219</v>
      </c>
      <c r="F4344" s="3" t="s">
        <v>11</v>
      </c>
      <c r="G43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44" s="3" t="s">
        <v>220</v>
      </c>
      <c r="I4344" s="3" t="s">
        <v>31</v>
      </c>
      <c r="J4344" s="3" t="s">
        <v>56</v>
      </c>
      <c r="K4344" s="3" t="s">
        <v>57</v>
      </c>
      <c r="L4344" s="3" t="s">
        <v>58</v>
      </c>
      <c r="M4344" s="4">
        <v>54.0</v>
      </c>
    </row>
    <row r="4345">
      <c r="A4345" s="2">
        <v>45998</v>
      </c>
      <c r="B43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5" s="3" t="str">
        <f>YEAR(KMART_DATA[[#This Row],[Date]])&amp;"-"&amp;TEXT(MONTH(KMART_DATA[[#This Row],[Date]]),"00")</f>
        <v>2025-12</v>
      </c>
      <c r="D4345" s="3" t="s">
        <v>45</v>
      </c>
      <c r="E4345" s="3" t="s">
        <v>213</v>
      </c>
      <c r="F4345" s="3" t="s">
        <v>11</v>
      </c>
      <c r="G43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45" s="3" t="s">
        <v>214</v>
      </c>
      <c r="I4345" s="3" t="s">
        <v>31</v>
      </c>
      <c r="J4345" s="3" t="s">
        <v>32</v>
      </c>
      <c r="K4345" s="3" t="s">
        <v>123</v>
      </c>
      <c r="L4345" s="3" t="s">
        <v>124</v>
      </c>
      <c r="M4345" s="4">
        <v>79.94</v>
      </c>
    </row>
    <row r="4346">
      <c r="A4346" s="2">
        <v>45998</v>
      </c>
      <c r="B43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6" s="3" t="str">
        <f>YEAR(KMART_DATA[[#This Row],[Date]])&amp;"-"&amp;TEXT(MONTH(KMART_DATA[[#This Row],[Date]]),"00")</f>
        <v>2025-12</v>
      </c>
      <c r="D4346" s="3" t="s">
        <v>28</v>
      </c>
      <c r="E4346" s="3" t="s">
        <v>238</v>
      </c>
      <c r="F4346" s="3" t="s">
        <v>13</v>
      </c>
      <c r="G43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346" s="3" t="s">
        <v>239</v>
      </c>
      <c r="I4346" s="3" t="s">
        <v>31</v>
      </c>
      <c r="J4346" s="3" t="s">
        <v>42</v>
      </c>
      <c r="K4346" s="3" t="s">
        <v>112</v>
      </c>
      <c r="L4346" s="3" t="s">
        <v>113</v>
      </c>
      <c r="M4346" s="4">
        <v>101.66</v>
      </c>
    </row>
    <row r="4347">
      <c r="A4347" s="2">
        <v>45998</v>
      </c>
      <c r="B43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7" s="3" t="str">
        <f>YEAR(KMART_DATA[[#This Row],[Date]])&amp;"-"&amp;TEXT(MONTH(KMART_DATA[[#This Row],[Date]]),"00")</f>
        <v>2025-12</v>
      </c>
      <c r="D4347" s="3" t="s">
        <v>28</v>
      </c>
      <c r="E4347" s="3" t="s">
        <v>100</v>
      </c>
      <c r="F4347" s="3" t="s">
        <v>12</v>
      </c>
      <c r="G43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347" s="3" t="s">
        <v>101</v>
      </c>
      <c r="I4347" s="3" t="s">
        <v>31</v>
      </c>
      <c r="J4347" s="3" t="s">
        <v>102</v>
      </c>
      <c r="K4347" s="3" t="s">
        <v>43</v>
      </c>
      <c r="L4347" s="3" t="s">
        <v>44</v>
      </c>
      <c r="M4347" s="4">
        <v>168.54</v>
      </c>
    </row>
    <row r="4348">
      <c r="A4348" s="2">
        <v>45998</v>
      </c>
      <c r="B43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8" s="3" t="str">
        <f>YEAR(KMART_DATA[[#This Row],[Date]])&amp;"-"&amp;TEXT(MONTH(KMART_DATA[[#This Row],[Date]]),"00")</f>
        <v>2025-12</v>
      </c>
      <c r="D4348" s="3" t="s">
        <v>28</v>
      </c>
      <c r="E4348" s="3" t="s">
        <v>225</v>
      </c>
      <c r="F4348" s="3" t="s">
        <v>13</v>
      </c>
      <c r="G43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348" s="3" t="s">
        <v>226</v>
      </c>
      <c r="I4348" s="3" t="s">
        <v>31</v>
      </c>
      <c r="J4348" s="3" t="s">
        <v>227</v>
      </c>
      <c r="K4348" s="3" t="s">
        <v>112</v>
      </c>
      <c r="L4348" s="3" t="s">
        <v>113</v>
      </c>
      <c r="M4348" s="4">
        <v>201.14</v>
      </c>
    </row>
    <row r="4349">
      <c r="A4349" s="2">
        <v>45998</v>
      </c>
      <c r="B43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49" s="3" t="str">
        <f>YEAR(KMART_DATA[[#This Row],[Date]])&amp;"-"&amp;TEXT(MONTH(KMART_DATA[[#This Row],[Date]]),"00")</f>
        <v>2025-12</v>
      </c>
      <c r="D4349" s="3" t="s">
        <v>45</v>
      </c>
      <c r="E4349" s="3" t="s">
        <v>92</v>
      </c>
      <c r="F4349" s="3" t="s">
        <v>10</v>
      </c>
      <c r="G43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49" s="3" t="s">
        <v>93</v>
      </c>
      <c r="I4349" s="3" t="s">
        <v>31</v>
      </c>
      <c r="J4349" s="3" t="s">
        <v>94</v>
      </c>
      <c r="K4349" s="3" t="s">
        <v>43</v>
      </c>
      <c r="L4349" s="3" t="s">
        <v>44</v>
      </c>
      <c r="M4349" s="4">
        <v>399.66</v>
      </c>
    </row>
    <row r="4350">
      <c r="A4350" s="2">
        <v>45998</v>
      </c>
      <c r="B43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0" s="3" t="str">
        <f>YEAR(KMART_DATA[[#This Row],[Date]])&amp;"-"&amp;TEXT(MONTH(KMART_DATA[[#This Row],[Date]]),"00")</f>
        <v>2025-12</v>
      </c>
      <c r="D4350" s="3" t="s">
        <v>45</v>
      </c>
      <c r="E4350" s="3" t="s">
        <v>262</v>
      </c>
      <c r="F4350" s="3" t="s">
        <v>10</v>
      </c>
      <c r="G43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50" s="3" t="s">
        <v>263</v>
      </c>
      <c r="I4350" s="3" t="s">
        <v>31</v>
      </c>
      <c r="J4350" s="3" t="s">
        <v>120</v>
      </c>
      <c r="K4350" s="3" t="s">
        <v>38</v>
      </c>
      <c r="L4350" s="3" t="s">
        <v>39</v>
      </c>
      <c r="M4350" s="4">
        <v>642.3</v>
      </c>
    </row>
    <row r="4351">
      <c r="A4351" s="2">
        <v>45998</v>
      </c>
      <c r="B43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1" s="3" t="str">
        <f>YEAR(KMART_DATA[[#This Row],[Date]])&amp;"-"&amp;TEXT(MONTH(KMART_DATA[[#This Row],[Date]]),"00")</f>
        <v>2025-12</v>
      </c>
      <c r="D4351" s="3" t="s">
        <v>28</v>
      </c>
      <c r="E4351" s="3" t="s">
        <v>181</v>
      </c>
      <c r="F4351" s="3" t="s">
        <v>11</v>
      </c>
      <c r="G43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51" s="3" t="s">
        <v>182</v>
      </c>
      <c r="I4351" s="3" t="s">
        <v>31</v>
      </c>
      <c r="J4351" s="3" t="s">
        <v>56</v>
      </c>
      <c r="K4351" s="3" t="s">
        <v>43</v>
      </c>
      <c r="L4351" s="3" t="s">
        <v>44</v>
      </c>
      <c r="M4351" s="4">
        <v>954.64</v>
      </c>
    </row>
    <row r="4352">
      <c r="A4352" s="2">
        <v>45999</v>
      </c>
      <c r="B43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2" s="3" t="str">
        <f>YEAR(KMART_DATA[[#This Row],[Date]])&amp;"-"&amp;TEXT(MONTH(KMART_DATA[[#This Row],[Date]]),"00")</f>
        <v>2025-12</v>
      </c>
      <c r="D4352" s="3" t="s">
        <v>45</v>
      </c>
      <c r="E4352" s="3" t="s">
        <v>121</v>
      </c>
      <c r="F4352" s="3" t="s">
        <v>11</v>
      </c>
      <c r="G43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52" s="3" t="s">
        <v>122</v>
      </c>
      <c r="I4352" s="3" t="s">
        <v>31</v>
      </c>
      <c r="J4352" s="3" t="s">
        <v>84</v>
      </c>
      <c r="K4352" s="3" t="s">
        <v>71</v>
      </c>
      <c r="L4352" s="3" t="s">
        <v>72</v>
      </c>
      <c r="M4352" s="4">
        <v>39.91</v>
      </c>
    </row>
    <row r="4353">
      <c r="A4353" s="2">
        <v>45999</v>
      </c>
      <c r="B43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3" s="3" t="str">
        <f>YEAR(KMART_DATA[[#This Row],[Date]])&amp;"-"&amp;TEXT(MONTH(KMART_DATA[[#This Row],[Date]]),"00")</f>
        <v>2025-12</v>
      </c>
      <c r="D4353" s="3" t="s">
        <v>28</v>
      </c>
      <c r="E4353" s="3" t="s">
        <v>177</v>
      </c>
      <c r="F4353" s="3" t="s">
        <v>12</v>
      </c>
      <c r="G43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353" s="3" t="s">
        <v>178</v>
      </c>
      <c r="I4353" s="3" t="s">
        <v>31</v>
      </c>
      <c r="J4353" s="3" t="s">
        <v>162</v>
      </c>
      <c r="K4353" s="3" t="s">
        <v>46</v>
      </c>
      <c r="L4353" s="3" t="s">
        <v>47</v>
      </c>
      <c r="M4353" s="4">
        <v>309.02</v>
      </c>
    </row>
    <row r="4354">
      <c r="A4354" s="2">
        <v>45999</v>
      </c>
      <c r="B43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4" s="3" t="str">
        <f>YEAR(KMART_DATA[[#This Row],[Date]])&amp;"-"&amp;TEXT(MONTH(KMART_DATA[[#This Row],[Date]]),"00")</f>
        <v>2025-12</v>
      </c>
      <c r="D4354" s="3" t="s">
        <v>28</v>
      </c>
      <c r="E4354" s="3" t="s">
        <v>105</v>
      </c>
      <c r="F4354" s="3" t="s">
        <v>9</v>
      </c>
      <c r="G43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54" s="3" t="s">
        <v>106</v>
      </c>
      <c r="I4354" s="3" t="s">
        <v>31</v>
      </c>
      <c r="J4354" s="3" t="s">
        <v>107</v>
      </c>
      <c r="K4354" s="3" t="s">
        <v>112</v>
      </c>
      <c r="L4354" s="3" t="s">
        <v>113</v>
      </c>
      <c r="M4354" s="4">
        <v>550.4</v>
      </c>
    </row>
    <row r="4355">
      <c r="A4355" s="2">
        <v>45999</v>
      </c>
      <c r="B43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5" s="3" t="str">
        <f>YEAR(KMART_DATA[[#This Row],[Date]])&amp;"-"&amp;TEXT(MONTH(KMART_DATA[[#This Row],[Date]]),"00")</f>
        <v>2025-12</v>
      </c>
      <c r="D4355" s="3" t="s">
        <v>45</v>
      </c>
      <c r="E4355" s="3" t="s">
        <v>209</v>
      </c>
      <c r="F4355" s="3" t="s">
        <v>9</v>
      </c>
      <c r="G43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55" s="3" t="s">
        <v>210</v>
      </c>
      <c r="I4355" s="3" t="s">
        <v>31</v>
      </c>
      <c r="J4355" s="3" t="s">
        <v>81</v>
      </c>
      <c r="K4355" s="3" t="s">
        <v>57</v>
      </c>
      <c r="L4355" s="3" t="s">
        <v>58</v>
      </c>
      <c r="M4355" s="4">
        <v>983.78</v>
      </c>
    </row>
    <row r="4356">
      <c r="A4356" s="2">
        <v>46000</v>
      </c>
      <c r="B43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6" s="3" t="str">
        <f>YEAR(KMART_DATA[[#This Row],[Date]])&amp;"-"&amp;TEXT(MONTH(KMART_DATA[[#This Row],[Date]]),"00")</f>
        <v>2025-12</v>
      </c>
      <c r="D4356" s="3" t="s">
        <v>28</v>
      </c>
      <c r="E4356" s="3" t="s">
        <v>156</v>
      </c>
      <c r="F4356" s="3" t="s">
        <v>9</v>
      </c>
      <c r="G43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56" s="3" t="s">
        <v>157</v>
      </c>
      <c r="I4356" s="3" t="s">
        <v>31</v>
      </c>
      <c r="J4356" s="3" t="s">
        <v>75</v>
      </c>
      <c r="K4356" s="3" t="s">
        <v>57</v>
      </c>
      <c r="L4356" s="3" t="s">
        <v>58</v>
      </c>
      <c r="M4356" s="4">
        <v>2.0</v>
      </c>
    </row>
    <row r="4357">
      <c r="A4357" s="2">
        <v>46000</v>
      </c>
      <c r="B43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7" s="3" t="str">
        <f>YEAR(KMART_DATA[[#This Row],[Date]])&amp;"-"&amp;TEXT(MONTH(KMART_DATA[[#This Row],[Date]]),"00")</f>
        <v>2025-12</v>
      </c>
      <c r="D4357" s="3" t="s">
        <v>28</v>
      </c>
      <c r="E4357" s="3" t="s">
        <v>116</v>
      </c>
      <c r="F4357" s="3" t="s">
        <v>9</v>
      </c>
      <c r="G43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57" s="3" t="s">
        <v>117</v>
      </c>
      <c r="I4357" s="3" t="s">
        <v>31</v>
      </c>
      <c r="J4357" s="3" t="s">
        <v>70</v>
      </c>
      <c r="K4357" s="3" t="s">
        <v>123</v>
      </c>
      <c r="L4357" s="3" t="s">
        <v>124</v>
      </c>
      <c r="M4357" s="4">
        <v>14.97</v>
      </c>
    </row>
    <row r="4358">
      <c r="A4358" s="2">
        <v>46000</v>
      </c>
      <c r="B43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8" s="3" t="str">
        <f>YEAR(KMART_DATA[[#This Row],[Date]])&amp;"-"&amp;TEXT(MONTH(KMART_DATA[[#This Row],[Date]]),"00")</f>
        <v>2025-12</v>
      </c>
      <c r="D4358" s="3" t="s">
        <v>45</v>
      </c>
      <c r="E4358" s="3" t="s">
        <v>64</v>
      </c>
      <c r="F4358" s="3" t="s">
        <v>11</v>
      </c>
      <c r="G43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58" s="3" t="s">
        <v>65</v>
      </c>
      <c r="I4358" s="3" t="s">
        <v>31</v>
      </c>
      <c r="J4358" s="3" t="s">
        <v>61</v>
      </c>
      <c r="K4358" s="3" t="s">
        <v>38</v>
      </c>
      <c r="L4358" s="3" t="s">
        <v>39</v>
      </c>
      <c r="M4358" s="4">
        <v>21.97</v>
      </c>
    </row>
    <row r="4359">
      <c r="A4359" s="2">
        <v>46000</v>
      </c>
      <c r="B43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59" s="3" t="str">
        <f>YEAR(KMART_DATA[[#This Row],[Date]])&amp;"-"&amp;TEXT(MONTH(KMART_DATA[[#This Row],[Date]]),"00")</f>
        <v>2025-12</v>
      </c>
      <c r="D4359" s="3" t="s">
        <v>28</v>
      </c>
      <c r="E4359" s="3" t="s">
        <v>127</v>
      </c>
      <c r="F4359" s="3" t="s">
        <v>11</v>
      </c>
      <c r="G43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59" s="3" t="s">
        <v>128</v>
      </c>
      <c r="I4359" s="3" t="s">
        <v>31</v>
      </c>
      <c r="J4359" s="3" t="s">
        <v>78</v>
      </c>
      <c r="K4359" s="3" t="s">
        <v>38</v>
      </c>
      <c r="L4359" s="3" t="s">
        <v>39</v>
      </c>
      <c r="M4359" s="4">
        <v>23.18</v>
      </c>
    </row>
    <row r="4360">
      <c r="A4360" s="2">
        <v>46000</v>
      </c>
      <c r="B43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0" s="3" t="str">
        <f>YEAR(KMART_DATA[[#This Row],[Date]])&amp;"-"&amp;TEXT(MONTH(KMART_DATA[[#This Row],[Date]]),"00")</f>
        <v>2025-12</v>
      </c>
      <c r="D4360" s="3" t="s">
        <v>28</v>
      </c>
      <c r="E4360" s="3" t="s">
        <v>240</v>
      </c>
      <c r="F4360" s="3" t="s">
        <v>15</v>
      </c>
      <c r="G43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360" s="3" t="s">
        <v>241</v>
      </c>
      <c r="I4360" s="3" t="s">
        <v>31</v>
      </c>
      <c r="J4360" s="3" t="s">
        <v>53</v>
      </c>
      <c r="K4360" s="3" t="s">
        <v>123</v>
      </c>
      <c r="L4360" s="3" t="s">
        <v>124</v>
      </c>
      <c r="M4360" s="4">
        <v>33.43</v>
      </c>
    </row>
    <row r="4361">
      <c r="A4361" s="2">
        <v>46000</v>
      </c>
      <c r="B43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1" s="3" t="str">
        <f>YEAR(KMART_DATA[[#This Row],[Date]])&amp;"-"&amp;TEXT(MONTH(KMART_DATA[[#This Row],[Date]]),"00")</f>
        <v>2025-12</v>
      </c>
      <c r="D4361" s="3" t="s">
        <v>28</v>
      </c>
      <c r="E4361" s="3" t="s">
        <v>232</v>
      </c>
      <c r="F4361" s="3" t="s">
        <v>9</v>
      </c>
      <c r="G43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61" s="3" t="s">
        <v>233</v>
      </c>
      <c r="I4361" s="3" t="s">
        <v>31</v>
      </c>
      <c r="J4361" s="3" t="s">
        <v>75</v>
      </c>
      <c r="K4361" s="3" t="s">
        <v>43</v>
      </c>
      <c r="L4361" s="3" t="s">
        <v>44</v>
      </c>
      <c r="M4361" s="4">
        <v>37.46</v>
      </c>
    </row>
    <row r="4362">
      <c r="A4362" s="2">
        <v>46000</v>
      </c>
      <c r="B43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2" s="3" t="str">
        <f>YEAR(KMART_DATA[[#This Row],[Date]])&amp;"-"&amp;TEXT(MONTH(KMART_DATA[[#This Row],[Date]]),"00")</f>
        <v>2025-12</v>
      </c>
      <c r="D4362" s="3" t="s">
        <v>45</v>
      </c>
      <c r="E4362" s="3" t="s">
        <v>230</v>
      </c>
      <c r="F4362" s="3" t="s">
        <v>13</v>
      </c>
      <c r="G43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362" s="3" t="s">
        <v>231</v>
      </c>
      <c r="I4362" s="3" t="s">
        <v>31</v>
      </c>
      <c r="J4362" s="3" t="s">
        <v>227</v>
      </c>
      <c r="K4362" s="3" t="s">
        <v>43</v>
      </c>
      <c r="L4362" s="3" t="s">
        <v>44</v>
      </c>
      <c r="M4362" s="4">
        <v>86.79</v>
      </c>
    </row>
    <row r="4363">
      <c r="A4363" s="2">
        <v>46000</v>
      </c>
      <c r="B43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3" s="3" t="str">
        <f>YEAR(KMART_DATA[[#This Row],[Date]])&amp;"-"&amp;TEXT(MONTH(KMART_DATA[[#This Row],[Date]]),"00")</f>
        <v>2025-12</v>
      </c>
      <c r="D4363" s="3" t="s">
        <v>28</v>
      </c>
      <c r="E4363" s="3" t="s">
        <v>54</v>
      </c>
      <c r="F4363" s="3" t="s">
        <v>11</v>
      </c>
      <c r="G43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63" s="3" t="s">
        <v>55</v>
      </c>
      <c r="I4363" s="3" t="s">
        <v>31</v>
      </c>
      <c r="J4363" s="3" t="s">
        <v>56</v>
      </c>
      <c r="K4363" s="3" t="s">
        <v>46</v>
      </c>
      <c r="L4363" s="3" t="s">
        <v>47</v>
      </c>
      <c r="M4363" s="4">
        <v>102.93</v>
      </c>
    </row>
    <row r="4364">
      <c r="A4364" s="2">
        <v>46000</v>
      </c>
      <c r="B43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4" s="3" t="str">
        <f>YEAR(KMART_DATA[[#This Row],[Date]])&amp;"-"&amp;TEXT(MONTH(KMART_DATA[[#This Row],[Date]]),"00")</f>
        <v>2025-12</v>
      </c>
      <c r="D4364" s="3" t="s">
        <v>28</v>
      </c>
      <c r="E4364" s="3" t="s">
        <v>193</v>
      </c>
      <c r="F4364" s="3" t="s">
        <v>9</v>
      </c>
      <c r="G43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64" s="3" t="s">
        <v>194</v>
      </c>
      <c r="I4364" s="3" t="s">
        <v>31</v>
      </c>
      <c r="J4364" s="3" t="s">
        <v>99</v>
      </c>
      <c r="K4364" s="3" t="s">
        <v>112</v>
      </c>
      <c r="L4364" s="3" t="s">
        <v>113</v>
      </c>
      <c r="M4364" s="4">
        <v>125.28</v>
      </c>
    </row>
    <row r="4365">
      <c r="A4365" s="2">
        <v>46000</v>
      </c>
      <c r="B43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5" s="3" t="str">
        <f>YEAR(KMART_DATA[[#This Row],[Date]])&amp;"-"&amp;TEXT(MONTH(KMART_DATA[[#This Row],[Date]]),"00")</f>
        <v>2025-12</v>
      </c>
      <c r="D4365" s="3" t="s">
        <v>28</v>
      </c>
      <c r="E4365" s="3" t="s">
        <v>191</v>
      </c>
      <c r="F4365" s="3" t="s">
        <v>10</v>
      </c>
      <c r="G43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65" s="3" t="s">
        <v>192</v>
      </c>
      <c r="I4365" s="3" t="s">
        <v>31</v>
      </c>
      <c r="J4365" s="3" t="s">
        <v>120</v>
      </c>
      <c r="K4365" s="3" t="s">
        <v>57</v>
      </c>
      <c r="L4365" s="3" t="s">
        <v>58</v>
      </c>
      <c r="M4365" s="4">
        <v>151.12</v>
      </c>
    </row>
    <row r="4366">
      <c r="A4366" s="2">
        <v>46000</v>
      </c>
      <c r="B43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6" s="3" t="str">
        <f>YEAR(KMART_DATA[[#This Row],[Date]])&amp;"-"&amp;TEXT(MONTH(KMART_DATA[[#This Row],[Date]]),"00")</f>
        <v>2025-12</v>
      </c>
      <c r="D4366" s="3" t="s">
        <v>28</v>
      </c>
      <c r="E4366" s="3" t="s">
        <v>254</v>
      </c>
      <c r="F4366" s="3" t="s">
        <v>13</v>
      </c>
      <c r="G43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366" s="3" t="s">
        <v>255</v>
      </c>
      <c r="I4366" s="3" t="s">
        <v>31</v>
      </c>
      <c r="J4366" s="3" t="s">
        <v>227</v>
      </c>
      <c r="K4366" s="3" t="s">
        <v>123</v>
      </c>
      <c r="L4366" s="3" t="s">
        <v>124</v>
      </c>
      <c r="M4366" s="4">
        <v>248.08</v>
      </c>
    </row>
    <row r="4367">
      <c r="A4367" s="2">
        <v>46000</v>
      </c>
      <c r="B43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7" s="3" t="str">
        <f>YEAR(KMART_DATA[[#This Row],[Date]])&amp;"-"&amp;TEXT(MONTH(KMART_DATA[[#This Row],[Date]]),"00")</f>
        <v>2025-12</v>
      </c>
      <c r="D4367" s="3" t="s">
        <v>28</v>
      </c>
      <c r="E4367" s="3" t="s">
        <v>35</v>
      </c>
      <c r="F4367" s="3" t="s">
        <v>10</v>
      </c>
      <c r="G43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67" s="3" t="s">
        <v>36</v>
      </c>
      <c r="I4367" s="3" t="s">
        <v>31</v>
      </c>
      <c r="J4367" s="3" t="s">
        <v>37</v>
      </c>
      <c r="K4367" s="3" t="s">
        <v>43</v>
      </c>
      <c r="L4367" s="3" t="s">
        <v>44</v>
      </c>
      <c r="M4367" s="4">
        <v>809.27</v>
      </c>
    </row>
    <row r="4368">
      <c r="A4368" s="2">
        <v>46000</v>
      </c>
      <c r="B43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8" s="3" t="str">
        <f>YEAR(KMART_DATA[[#This Row],[Date]])&amp;"-"&amp;TEXT(MONTH(KMART_DATA[[#This Row],[Date]]),"00")</f>
        <v>2025-12</v>
      </c>
      <c r="D4368" s="3" t="s">
        <v>28</v>
      </c>
      <c r="E4368" s="3" t="s">
        <v>160</v>
      </c>
      <c r="F4368" s="3" t="s">
        <v>12</v>
      </c>
      <c r="G43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368" s="3" t="s">
        <v>161</v>
      </c>
      <c r="I4368" s="3" t="s">
        <v>31</v>
      </c>
      <c r="J4368" s="3" t="s">
        <v>162</v>
      </c>
      <c r="K4368" s="3" t="s">
        <v>95</v>
      </c>
      <c r="L4368" s="3" t="s">
        <v>96</v>
      </c>
      <c r="M4368" s="4">
        <v>3277.93</v>
      </c>
    </row>
    <row r="4369">
      <c r="A4369" s="2">
        <v>46000</v>
      </c>
      <c r="B43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69" s="3" t="str">
        <f>YEAR(KMART_DATA[[#This Row],[Date]])&amp;"-"&amp;TEXT(MONTH(KMART_DATA[[#This Row],[Date]]),"00")</f>
        <v>2025-12</v>
      </c>
      <c r="D4369" s="3" t="s">
        <v>28</v>
      </c>
      <c r="E4369" s="3" t="s">
        <v>246</v>
      </c>
      <c r="F4369" s="3" t="s">
        <v>10</v>
      </c>
      <c r="G43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69" s="3" t="s">
        <v>247</v>
      </c>
      <c r="I4369" s="3" t="s">
        <v>31</v>
      </c>
      <c r="J4369" s="3" t="s">
        <v>37</v>
      </c>
      <c r="K4369" s="3" t="s">
        <v>95</v>
      </c>
      <c r="L4369" s="3" t="s">
        <v>96</v>
      </c>
      <c r="M4369" s="4">
        <v>4292.93</v>
      </c>
    </row>
    <row r="4370">
      <c r="A4370" s="2">
        <v>46001</v>
      </c>
      <c r="B43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0" s="3" t="str">
        <f>YEAR(KMART_DATA[[#This Row],[Date]])&amp;"-"&amp;TEXT(MONTH(KMART_DATA[[#This Row],[Date]]),"00")</f>
        <v>2025-12</v>
      </c>
      <c r="D4370" s="3" t="s">
        <v>45</v>
      </c>
      <c r="E4370" s="3" t="s">
        <v>181</v>
      </c>
      <c r="F4370" s="3" t="s">
        <v>11</v>
      </c>
      <c r="G43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70" s="3" t="s">
        <v>182</v>
      </c>
      <c r="I4370" s="3" t="s">
        <v>31</v>
      </c>
      <c r="J4370" s="3" t="s">
        <v>56</v>
      </c>
      <c r="K4370" s="3" t="s">
        <v>38</v>
      </c>
      <c r="L4370" s="3" t="s">
        <v>39</v>
      </c>
      <c r="M4370" s="4">
        <v>8.0</v>
      </c>
    </row>
    <row r="4371">
      <c r="A4371" s="2">
        <v>46001</v>
      </c>
      <c r="B43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1" s="3" t="str">
        <f>YEAR(KMART_DATA[[#This Row],[Date]])&amp;"-"&amp;TEXT(MONTH(KMART_DATA[[#This Row],[Date]]),"00")</f>
        <v>2025-12</v>
      </c>
      <c r="D4371" s="3" t="s">
        <v>28</v>
      </c>
      <c r="E4371" s="3" t="s">
        <v>221</v>
      </c>
      <c r="F4371" s="3" t="s">
        <v>11</v>
      </c>
      <c r="G43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71" s="3" t="s">
        <v>222</v>
      </c>
      <c r="I4371" s="3" t="s">
        <v>31</v>
      </c>
      <c r="J4371" s="3" t="s">
        <v>56</v>
      </c>
      <c r="K4371" s="3" t="s">
        <v>43</v>
      </c>
      <c r="L4371" s="3" t="s">
        <v>44</v>
      </c>
      <c r="M4371" s="4">
        <v>13.64</v>
      </c>
    </row>
    <row r="4372">
      <c r="A4372" s="2">
        <v>46001</v>
      </c>
      <c r="B43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2" s="3" t="str">
        <f>YEAR(KMART_DATA[[#This Row],[Date]])&amp;"-"&amp;TEXT(MONTH(KMART_DATA[[#This Row],[Date]]),"00")</f>
        <v>2025-12</v>
      </c>
      <c r="D4372" s="3" t="s">
        <v>45</v>
      </c>
      <c r="E4372" s="3" t="s">
        <v>213</v>
      </c>
      <c r="F4372" s="3" t="s">
        <v>11</v>
      </c>
      <c r="G43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72" s="3" t="s">
        <v>214</v>
      </c>
      <c r="I4372" s="3" t="s">
        <v>31</v>
      </c>
      <c r="J4372" s="3" t="s">
        <v>32</v>
      </c>
      <c r="K4372" s="3" t="s">
        <v>123</v>
      </c>
      <c r="L4372" s="3" t="s">
        <v>124</v>
      </c>
      <c r="M4372" s="4">
        <v>286.44</v>
      </c>
    </row>
    <row r="4373">
      <c r="A4373" s="2">
        <v>46001</v>
      </c>
      <c r="B43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3" s="3" t="str">
        <f>YEAR(KMART_DATA[[#This Row],[Date]])&amp;"-"&amp;TEXT(MONTH(KMART_DATA[[#This Row],[Date]]),"00")</f>
        <v>2025-12</v>
      </c>
      <c r="D4373" s="3" t="s">
        <v>28</v>
      </c>
      <c r="E4373" s="3" t="s">
        <v>221</v>
      </c>
      <c r="F4373" s="3" t="s">
        <v>11</v>
      </c>
      <c r="G43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73" s="3" t="s">
        <v>222</v>
      </c>
      <c r="I4373" s="3" t="s">
        <v>31</v>
      </c>
      <c r="J4373" s="3" t="s">
        <v>56</v>
      </c>
      <c r="K4373" s="3" t="s">
        <v>95</v>
      </c>
      <c r="L4373" s="3" t="s">
        <v>96</v>
      </c>
      <c r="M4373" s="4">
        <v>3603.73</v>
      </c>
    </row>
    <row r="4374">
      <c r="A4374" s="2">
        <v>46001</v>
      </c>
      <c r="B43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4" s="3" t="str">
        <f>YEAR(KMART_DATA[[#This Row],[Date]])&amp;"-"&amp;TEXT(MONTH(KMART_DATA[[#This Row],[Date]]),"00")</f>
        <v>2025-12</v>
      </c>
      <c r="D4374" s="3" t="s">
        <v>28</v>
      </c>
      <c r="E4374" s="3" t="s">
        <v>90</v>
      </c>
      <c r="F4374" s="3" t="s">
        <v>10</v>
      </c>
      <c r="G43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74" s="3" t="s">
        <v>91</v>
      </c>
      <c r="I4374" s="3" t="s">
        <v>31</v>
      </c>
      <c r="J4374" s="3" t="s">
        <v>37</v>
      </c>
      <c r="K4374" s="3" t="s">
        <v>123</v>
      </c>
      <c r="L4374" s="3" t="s">
        <v>124</v>
      </c>
      <c r="M4374" s="4">
        <v>4487.68</v>
      </c>
    </row>
    <row r="4375">
      <c r="A4375" s="2">
        <v>46002</v>
      </c>
      <c r="B43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5" s="3" t="str">
        <f>YEAR(KMART_DATA[[#This Row],[Date]])&amp;"-"&amp;TEXT(MONTH(KMART_DATA[[#This Row],[Date]]),"00")</f>
        <v>2025-12</v>
      </c>
      <c r="D4375" s="3" t="s">
        <v>28</v>
      </c>
      <c r="E4375" s="3" t="s">
        <v>169</v>
      </c>
      <c r="F4375" s="3" t="s">
        <v>12</v>
      </c>
      <c r="G43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375" s="3" t="s">
        <v>170</v>
      </c>
      <c r="I4375" s="3" t="s">
        <v>31</v>
      </c>
      <c r="J4375" s="3" t="s">
        <v>102</v>
      </c>
      <c r="K4375" s="3" t="s">
        <v>43</v>
      </c>
      <c r="L4375" s="3" t="s">
        <v>44</v>
      </c>
      <c r="M4375" s="4">
        <v>3.0</v>
      </c>
    </row>
    <row r="4376">
      <c r="A4376" s="2">
        <v>46002</v>
      </c>
      <c r="B43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6" s="3" t="str">
        <f>YEAR(KMART_DATA[[#This Row],[Date]])&amp;"-"&amp;TEXT(MONTH(KMART_DATA[[#This Row],[Date]]),"00")</f>
        <v>2025-12</v>
      </c>
      <c r="D4376" s="3" t="s">
        <v>45</v>
      </c>
      <c r="E4376" s="3" t="s">
        <v>254</v>
      </c>
      <c r="F4376" s="3" t="s">
        <v>13</v>
      </c>
      <c r="G43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376" s="3" t="s">
        <v>255</v>
      </c>
      <c r="I4376" s="3" t="s">
        <v>31</v>
      </c>
      <c r="J4376" s="3" t="s">
        <v>227</v>
      </c>
      <c r="K4376" s="3" t="s">
        <v>43</v>
      </c>
      <c r="L4376" s="3" t="s">
        <v>44</v>
      </c>
      <c r="M4376" s="4">
        <v>39.96</v>
      </c>
    </row>
    <row r="4377">
      <c r="A4377" s="2">
        <v>46002</v>
      </c>
      <c r="B43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7" s="3" t="str">
        <f>YEAR(KMART_DATA[[#This Row],[Date]])&amp;"-"&amp;TEXT(MONTH(KMART_DATA[[#This Row],[Date]]),"00")</f>
        <v>2025-12</v>
      </c>
      <c r="D4377" s="3" t="s">
        <v>28</v>
      </c>
      <c r="E4377" s="3" t="s">
        <v>154</v>
      </c>
      <c r="F4377" s="3" t="s">
        <v>11</v>
      </c>
      <c r="G43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77" s="3" t="s">
        <v>155</v>
      </c>
      <c r="I4377" s="3" t="s">
        <v>31</v>
      </c>
      <c r="J4377" s="3" t="s">
        <v>84</v>
      </c>
      <c r="K4377" s="3" t="s">
        <v>71</v>
      </c>
      <c r="L4377" s="3" t="s">
        <v>72</v>
      </c>
      <c r="M4377" s="4">
        <v>68.29</v>
      </c>
    </row>
    <row r="4378">
      <c r="A4378" s="2">
        <v>46002</v>
      </c>
      <c r="B43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8" s="3" t="str">
        <f>YEAR(KMART_DATA[[#This Row],[Date]])&amp;"-"&amp;TEXT(MONTH(KMART_DATA[[#This Row],[Date]]),"00")</f>
        <v>2025-12</v>
      </c>
      <c r="D4378" s="3" t="s">
        <v>28</v>
      </c>
      <c r="E4378" s="3" t="s">
        <v>160</v>
      </c>
      <c r="F4378" s="3" t="s">
        <v>12</v>
      </c>
      <c r="G43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378" s="3" t="s">
        <v>161</v>
      </c>
      <c r="I4378" s="3" t="s">
        <v>31</v>
      </c>
      <c r="J4378" s="3" t="s">
        <v>162</v>
      </c>
      <c r="K4378" s="3" t="s">
        <v>66</v>
      </c>
      <c r="L4378" s="3" t="s">
        <v>67</v>
      </c>
      <c r="M4378" s="4">
        <v>198.02</v>
      </c>
    </row>
    <row r="4379">
      <c r="A4379" s="2">
        <v>46002</v>
      </c>
      <c r="B43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79" s="3" t="str">
        <f>YEAR(KMART_DATA[[#This Row],[Date]])&amp;"-"&amp;TEXT(MONTH(KMART_DATA[[#This Row],[Date]]),"00")</f>
        <v>2025-12</v>
      </c>
      <c r="D4379" s="3" t="s">
        <v>28</v>
      </c>
      <c r="E4379" s="3" t="s">
        <v>201</v>
      </c>
      <c r="F4379" s="3" t="s">
        <v>10</v>
      </c>
      <c r="G43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79" s="3" t="s">
        <v>202</v>
      </c>
      <c r="I4379" s="3" t="s">
        <v>31</v>
      </c>
      <c r="J4379" s="3" t="s">
        <v>89</v>
      </c>
      <c r="K4379" s="3" t="s">
        <v>57</v>
      </c>
      <c r="L4379" s="3" t="s">
        <v>58</v>
      </c>
      <c r="M4379" s="4">
        <v>660.66</v>
      </c>
    </row>
    <row r="4380">
      <c r="A4380" s="2">
        <v>46002</v>
      </c>
      <c r="B43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0" s="3" t="str">
        <f>YEAR(KMART_DATA[[#This Row],[Date]])&amp;"-"&amp;TEXT(MONTH(KMART_DATA[[#This Row],[Date]]),"00")</f>
        <v>2025-12</v>
      </c>
      <c r="D4380" s="3" t="s">
        <v>28</v>
      </c>
      <c r="E4380" s="3" t="s">
        <v>73</v>
      </c>
      <c r="F4380" s="3" t="s">
        <v>9</v>
      </c>
      <c r="G43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80" s="3" t="s">
        <v>74</v>
      </c>
      <c r="I4380" s="3" t="s">
        <v>31</v>
      </c>
      <c r="J4380" s="3" t="s">
        <v>75</v>
      </c>
      <c r="K4380" s="3" t="s">
        <v>71</v>
      </c>
      <c r="L4380" s="3" t="s">
        <v>72</v>
      </c>
      <c r="M4380" s="4">
        <v>1872.81</v>
      </c>
    </row>
    <row r="4381">
      <c r="A4381" s="2">
        <v>46002</v>
      </c>
      <c r="B43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1" s="3" t="str">
        <f>YEAR(KMART_DATA[[#This Row],[Date]])&amp;"-"&amp;TEXT(MONTH(KMART_DATA[[#This Row],[Date]]),"00")</f>
        <v>2025-12</v>
      </c>
      <c r="D4381" s="3" t="s">
        <v>28</v>
      </c>
      <c r="E4381" s="3" t="s">
        <v>181</v>
      </c>
      <c r="F4381" s="3" t="s">
        <v>11</v>
      </c>
      <c r="G43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81" s="3" t="s">
        <v>182</v>
      </c>
      <c r="I4381" s="3" t="s">
        <v>31</v>
      </c>
      <c r="J4381" s="3" t="s">
        <v>56</v>
      </c>
      <c r="K4381" s="3" t="s">
        <v>46</v>
      </c>
      <c r="L4381" s="3" t="s">
        <v>47</v>
      </c>
      <c r="M4381" s="4">
        <v>2545.48</v>
      </c>
    </row>
    <row r="4382">
      <c r="A4382" s="2">
        <v>46003</v>
      </c>
      <c r="B43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2" s="3" t="str">
        <f>YEAR(KMART_DATA[[#This Row],[Date]])&amp;"-"&amp;TEXT(MONTH(KMART_DATA[[#This Row],[Date]]),"00")</f>
        <v>2025-12</v>
      </c>
      <c r="D4382" s="3" t="s">
        <v>28</v>
      </c>
      <c r="E4382" s="3" t="s">
        <v>133</v>
      </c>
      <c r="F4382" s="3" t="s">
        <v>10</v>
      </c>
      <c r="G43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82" s="3" t="s">
        <v>134</v>
      </c>
      <c r="I4382" s="3" t="s">
        <v>31</v>
      </c>
      <c r="J4382" s="3" t="s">
        <v>37</v>
      </c>
      <c r="K4382" s="3" t="s">
        <v>38</v>
      </c>
      <c r="L4382" s="3" t="s">
        <v>39</v>
      </c>
      <c r="M4382" s="4">
        <v>58.82</v>
      </c>
    </row>
    <row r="4383">
      <c r="A4383" s="2">
        <v>46003</v>
      </c>
      <c r="B43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3" s="3" t="str">
        <f>YEAR(KMART_DATA[[#This Row],[Date]])&amp;"-"&amp;TEXT(MONTH(KMART_DATA[[#This Row],[Date]]),"00")</f>
        <v>2025-12</v>
      </c>
      <c r="D4383" s="3" t="s">
        <v>28</v>
      </c>
      <c r="E4383" s="3" t="s">
        <v>73</v>
      </c>
      <c r="F4383" s="3" t="s">
        <v>9</v>
      </c>
      <c r="G43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83" s="3" t="s">
        <v>74</v>
      </c>
      <c r="I4383" s="3" t="s">
        <v>31</v>
      </c>
      <c r="J4383" s="3" t="s">
        <v>75</v>
      </c>
      <c r="K4383" s="3" t="s">
        <v>71</v>
      </c>
      <c r="L4383" s="3" t="s">
        <v>72</v>
      </c>
      <c r="M4383" s="4">
        <v>763.27</v>
      </c>
    </row>
    <row r="4384">
      <c r="A4384" s="2">
        <v>46003</v>
      </c>
      <c r="B43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4" s="3" t="str">
        <f>YEAR(KMART_DATA[[#This Row],[Date]])&amp;"-"&amp;TEXT(MONTH(KMART_DATA[[#This Row],[Date]]),"00")</f>
        <v>2025-12</v>
      </c>
      <c r="D4384" s="3" t="s">
        <v>28</v>
      </c>
      <c r="E4384" s="3" t="s">
        <v>35</v>
      </c>
      <c r="F4384" s="3" t="s">
        <v>10</v>
      </c>
      <c r="G43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84" s="3" t="s">
        <v>36</v>
      </c>
      <c r="I4384" s="3" t="s">
        <v>31</v>
      </c>
      <c r="J4384" s="3" t="s">
        <v>37</v>
      </c>
      <c r="K4384" s="3" t="s">
        <v>95</v>
      </c>
      <c r="L4384" s="3" t="s">
        <v>96</v>
      </c>
      <c r="M4384" s="4">
        <v>1668.98</v>
      </c>
    </row>
    <row r="4385">
      <c r="A4385" s="2">
        <v>46004</v>
      </c>
      <c r="B43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5" s="3" t="str">
        <f>YEAR(KMART_DATA[[#This Row],[Date]])&amp;"-"&amp;TEXT(MONTH(KMART_DATA[[#This Row],[Date]]),"00")</f>
        <v>2025-12</v>
      </c>
      <c r="D4385" s="3" t="s">
        <v>28</v>
      </c>
      <c r="E4385" s="3" t="s">
        <v>183</v>
      </c>
      <c r="F4385" s="3" t="s">
        <v>9</v>
      </c>
      <c r="G43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85" s="3" t="s">
        <v>184</v>
      </c>
      <c r="I4385" s="3" t="s">
        <v>31</v>
      </c>
      <c r="J4385" s="3" t="s">
        <v>70</v>
      </c>
      <c r="K4385" s="3" t="s">
        <v>33</v>
      </c>
      <c r="L4385" s="3" t="s">
        <v>34</v>
      </c>
      <c r="M4385" s="4">
        <v>25.0</v>
      </c>
    </row>
    <row r="4386">
      <c r="A4386" s="2">
        <v>46004</v>
      </c>
      <c r="B43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6" s="3" t="str">
        <f>YEAR(KMART_DATA[[#This Row],[Date]])&amp;"-"&amp;TEXT(MONTH(KMART_DATA[[#This Row],[Date]]),"00")</f>
        <v>2025-12</v>
      </c>
      <c r="D4386" s="3" t="s">
        <v>45</v>
      </c>
      <c r="E4386" s="3" t="s">
        <v>195</v>
      </c>
      <c r="F4386" s="3" t="s">
        <v>11</v>
      </c>
      <c r="G43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86" s="3" t="s">
        <v>196</v>
      </c>
      <c r="I4386" s="3" t="s">
        <v>31</v>
      </c>
      <c r="J4386" s="3" t="s">
        <v>32</v>
      </c>
      <c r="K4386" s="3" t="s">
        <v>71</v>
      </c>
      <c r="L4386" s="3" t="s">
        <v>72</v>
      </c>
      <c r="M4386" s="4">
        <v>52.27</v>
      </c>
    </row>
    <row r="4387">
      <c r="A4387" s="2">
        <v>46004</v>
      </c>
      <c r="B43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7" s="3" t="str">
        <f>YEAR(KMART_DATA[[#This Row],[Date]])&amp;"-"&amp;TEXT(MONTH(KMART_DATA[[#This Row],[Date]]),"00")</f>
        <v>2025-12</v>
      </c>
      <c r="D4387" s="3" t="s">
        <v>45</v>
      </c>
      <c r="E4387" s="3" t="s">
        <v>110</v>
      </c>
      <c r="F4387" s="3" t="s">
        <v>9</v>
      </c>
      <c r="G43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87" s="3" t="s">
        <v>111</v>
      </c>
      <c r="I4387" s="3" t="s">
        <v>31</v>
      </c>
      <c r="J4387" s="3" t="s">
        <v>81</v>
      </c>
      <c r="K4387" s="3" t="s">
        <v>57</v>
      </c>
      <c r="L4387" s="3" t="s">
        <v>58</v>
      </c>
      <c r="M4387" s="4">
        <v>63.92</v>
      </c>
    </row>
    <row r="4388">
      <c r="A4388" s="2">
        <v>46004</v>
      </c>
      <c r="B43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8" s="3" t="str">
        <f>YEAR(KMART_DATA[[#This Row],[Date]])&amp;"-"&amp;TEXT(MONTH(KMART_DATA[[#This Row],[Date]]),"00")</f>
        <v>2025-12</v>
      </c>
      <c r="D4388" s="3" t="s">
        <v>45</v>
      </c>
      <c r="E4388" s="3" t="s">
        <v>228</v>
      </c>
      <c r="F4388" s="3" t="s">
        <v>11</v>
      </c>
      <c r="G43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88" s="3" t="s">
        <v>229</v>
      </c>
      <c r="I4388" s="3" t="s">
        <v>31</v>
      </c>
      <c r="J4388" s="3" t="s">
        <v>32</v>
      </c>
      <c r="K4388" s="3" t="s">
        <v>123</v>
      </c>
      <c r="L4388" s="3" t="s">
        <v>124</v>
      </c>
      <c r="M4388" s="4">
        <v>167.71</v>
      </c>
    </row>
    <row r="4389">
      <c r="A4389" s="2">
        <v>46004</v>
      </c>
      <c r="B43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89" s="3" t="str">
        <f>YEAR(KMART_DATA[[#This Row],[Date]])&amp;"-"&amp;TEXT(MONTH(KMART_DATA[[#This Row],[Date]]),"00")</f>
        <v>2025-12</v>
      </c>
      <c r="D4389" s="3" t="s">
        <v>28</v>
      </c>
      <c r="E4389" s="3" t="s">
        <v>195</v>
      </c>
      <c r="F4389" s="3" t="s">
        <v>11</v>
      </c>
      <c r="G43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89" s="3" t="s">
        <v>196</v>
      </c>
      <c r="I4389" s="3" t="s">
        <v>31</v>
      </c>
      <c r="J4389" s="3" t="s">
        <v>32</v>
      </c>
      <c r="K4389" s="3" t="s">
        <v>43</v>
      </c>
      <c r="L4389" s="3" t="s">
        <v>44</v>
      </c>
      <c r="M4389" s="4">
        <v>276.71</v>
      </c>
    </row>
    <row r="4390">
      <c r="A4390" s="2">
        <v>46004</v>
      </c>
      <c r="B43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0" s="3" t="str">
        <f>YEAR(KMART_DATA[[#This Row],[Date]])&amp;"-"&amp;TEXT(MONTH(KMART_DATA[[#This Row],[Date]]),"00")</f>
        <v>2025-12</v>
      </c>
      <c r="D4390" s="3" t="s">
        <v>28</v>
      </c>
      <c r="E4390" s="3" t="s">
        <v>135</v>
      </c>
      <c r="F4390" s="3" t="s">
        <v>16</v>
      </c>
      <c r="G43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390" s="3" t="s">
        <v>136</v>
      </c>
      <c r="I4390" s="3" t="s">
        <v>31</v>
      </c>
      <c r="J4390" s="3" t="s">
        <v>107</v>
      </c>
      <c r="K4390" s="3" t="s">
        <v>57</v>
      </c>
      <c r="L4390" s="3" t="s">
        <v>58</v>
      </c>
      <c r="M4390" s="4">
        <v>510.53</v>
      </c>
    </row>
    <row r="4391">
      <c r="A4391" s="2">
        <v>46004</v>
      </c>
      <c r="B43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1" s="3" t="str">
        <f>YEAR(KMART_DATA[[#This Row],[Date]])&amp;"-"&amp;TEXT(MONTH(KMART_DATA[[#This Row],[Date]]),"00")</f>
        <v>2025-12</v>
      </c>
      <c r="D4391" s="3" t="s">
        <v>28</v>
      </c>
      <c r="E4391" s="3" t="s">
        <v>154</v>
      </c>
      <c r="F4391" s="3" t="s">
        <v>11</v>
      </c>
      <c r="G43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91" s="3" t="s">
        <v>155</v>
      </c>
      <c r="I4391" s="3" t="s">
        <v>31</v>
      </c>
      <c r="J4391" s="3" t="s">
        <v>84</v>
      </c>
      <c r="K4391" s="3" t="s">
        <v>71</v>
      </c>
      <c r="L4391" s="3" t="s">
        <v>72</v>
      </c>
      <c r="M4391" s="4">
        <v>844.23</v>
      </c>
    </row>
    <row r="4392">
      <c r="A4392" s="2">
        <v>46004</v>
      </c>
      <c r="B43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2" s="3" t="str">
        <f>YEAR(KMART_DATA[[#This Row],[Date]])&amp;"-"&amp;TEXT(MONTH(KMART_DATA[[#This Row],[Date]]),"00")</f>
        <v>2025-12</v>
      </c>
      <c r="D4392" s="3" t="s">
        <v>28</v>
      </c>
      <c r="E4392" s="3" t="s">
        <v>48</v>
      </c>
      <c r="F4392" s="3" t="s">
        <v>12</v>
      </c>
      <c r="G43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392" s="3" t="s">
        <v>49</v>
      </c>
      <c r="I4392" s="3" t="s">
        <v>31</v>
      </c>
      <c r="J4392" s="3" t="s">
        <v>50</v>
      </c>
      <c r="K4392" s="3" t="s">
        <v>46</v>
      </c>
      <c r="L4392" s="3" t="s">
        <v>47</v>
      </c>
      <c r="M4392" s="4">
        <v>1725.22</v>
      </c>
    </row>
    <row r="4393">
      <c r="A4393" s="2">
        <v>46004</v>
      </c>
      <c r="B43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3" s="3" t="str">
        <f>YEAR(KMART_DATA[[#This Row],[Date]])&amp;"-"&amp;TEXT(MONTH(KMART_DATA[[#This Row],[Date]]),"00")</f>
        <v>2025-12</v>
      </c>
      <c r="D4393" s="3" t="s">
        <v>28</v>
      </c>
      <c r="E4393" s="3" t="s">
        <v>90</v>
      </c>
      <c r="F4393" s="3" t="s">
        <v>10</v>
      </c>
      <c r="G43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93" s="3" t="s">
        <v>91</v>
      </c>
      <c r="I4393" s="3" t="s">
        <v>31</v>
      </c>
      <c r="J4393" s="3" t="s">
        <v>37</v>
      </c>
      <c r="K4393" s="3" t="s">
        <v>46</v>
      </c>
      <c r="L4393" s="3" t="s">
        <v>47</v>
      </c>
      <c r="M4393" s="4">
        <v>4950.16</v>
      </c>
    </row>
    <row r="4394">
      <c r="A4394" s="2">
        <v>46005</v>
      </c>
      <c r="B43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4" s="3" t="str">
        <f>YEAR(KMART_DATA[[#This Row],[Date]])&amp;"-"&amp;TEXT(MONTH(KMART_DATA[[#This Row],[Date]]),"00")</f>
        <v>2025-12</v>
      </c>
      <c r="D4394" s="3" t="s">
        <v>28</v>
      </c>
      <c r="E4394" s="3" t="s">
        <v>207</v>
      </c>
      <c r="F4394" s="3" t="s">
        <v>11</v>
      </c>
      <c r="G43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94" s="3" t="s">
        <v>208</v>
      </c>
      <c r="I4394" s="3" t="s">
        <v>31</v>
      </c>
      <c r="J4394" s="3" t="s">
        <v>78</v>
      </c>
      <c r="K4394" s="3" t="s">
        <v>33</v>
      </c>
      <c r="L4394" s="3" t="s">
        <v>34</v>
      </c>
      <c r="M4394" s="4">
        <v>3.99</v>
      </c>
    </row>
    <row r="4395">
      <c r="A4395" s="2">
        <v>46005</v>
      </c>
      <c r="B43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5" s="3" t="str">
        <f>YEAR(KMART_DATA[[#This Row],[Date]])&amp;"-"&amp;TEXT(MONTH(KMART_DATA[[#This Row],[Date]]),"00")</f>
        <v>2025-12</v>
      </c>
      <c r="D4395" s="3" t="s">
        <v>28</v>
      </c>
      <c r="E4395" s="3" t="s">
        <v>221</v>
      </c>
      <c r="F4395" s="3" t="s">
        <v>11</v>
      </c>
      <c r="G43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395" s="3" t="s">
        <v>222</v>
      </c>
      <c r="I4395" s="3" t="s">
        <v>31</v>
      </c>
      <c r="J4395" s="3" t="s">
        <v>56</v>
      </c>
      <c r="K4395" s="3" t="s">
        <v>43</v>
      </c>
      <c r="L4395" s="3" t="s">
        <v>44</v>
      </c>
      <c r="M4395" s="4">
        <v>4.75</v>
      </c>
    </row>
    <row r="4396">
      <c r="A4396" s="2">
        <v>46005</v>
      </c>
      <c r="B43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6" s="3" t="str">
        <f>YEAR(KMART_DATA[[#This Row],[Date]])&amp;"-"&amp;TEXT(MONTH(KMART_DATA[[#This Row],[Date]]),"00")</f>
        <v>2025-12</v>
      </c>
      <c r="D4396" s="3" t="s">
        <v>28</v>
      </c>
      <c r="E4396" s="3" t="s">
        <v>250</v>
      </c>
      <c r="F4396" s="3" t="s">
        <v>10</v>
      </c>
      <c r="G43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96" s="3" t="s">
        <v>251</v>
      </c>
      <c r="I4396" s="3" t="s">
        <v>31</v>
      </c>
      <c r="J4396" s="3" t="s">
        <v>37</v>
      </c>
      <c r="K4396" s="3" t="s">
        <v>33</v>
      </c>
      <c r="L4396" s="3" t="s">
        <v>34</v>
      </c>
      <c r="M4396" s="4">
        <v>43.95</v>
      </c>
    </row>
    <row r="4397">
      <c r="A4397" s="2">
        <v>46005</v>
      </c>
      <c r="B43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7" s="3" t="str">
        <f>YEAR(KMART_DATA[[#This Row],[Date]])&amp;"-"&amp;TEXT(MONTH(KMART_DATA[[#This Row],[Date]]),"00")</f>
        <v>2025-12</v>
      </c>
      <c r="D4397" s="3" t="s">
        <v>45</v>
      </c>
      <c r="E4397" s="3" t="s">
        <v>146</v>
      </c>
      <c r="F4397" s="3" t="s">
        <v>9</v>
      </c>
      <c r="G43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97" s="3" t="s">
        <v>147</v>
      </c>
      <c r="I4397" s="3" t="s">
        <v>31</v>
      </c>
      <c r="J4397" s="3" t="s">
        <v>75</v>
      </c>
      <c r="K4397" s="3" t="s">
        <v>43</v>
      </c>
      <c r="L4397" s="3" t="s">
        <v>44</v>
      </c>
      <c r="M4397" s="4">
        <v>215.58</v>
      </c>
    </row>
    <row r="4398">
      <c r="A4398" s="2">
        <v>46005</v>
      </c>
      <c r="B43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8" s="3" t="str">
        <f>YEAR(KMART_DATA[[#This Row],[Date]])&amp;"-"&amp;TEXT(MONTH(KMART_DATA[[#This Row],[Date]]),"00")</f>
        <v>2025-12</v>
      </c>
      <c r="D4398" s="3" t="s">
        <v>28</v>
      </c>
      <c r="E4398" s="3" t="s">
        <v>201</v>
      </c>
      <c r="F4398" s="3" t="s">
        <v>10</v>
      </c>
      <c r="G43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398" s="3" t="s">
        <v>202</v>
      </c>
      <c r="I4398" s="3" t="s">
        <v>31</v>
      </c>
      <c r="J4398" s="3" t="s">
        <v>89</v>
      </c>
      <c r="K4398" s="3" t="s">
        <v>95</v>
      </c>
      <c r="L4398" s="3" t="s">
        <v>96</v>
      </c>
      <c r="M4398" s="4">
        <v>234.53</v>
      </c>
    </row>
    <row r="4399">
      <c r="A4399" s="2">
        <v>46005</v>
      </c>
      <c r="B43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399" s="3" t="str">
        <f>YEAR(KMART_DATA[[#This Row],[Date]])&amp;"-"&amp;TEXT(MONTH(KMART_DATA[[#This Row],[Date]]),"00")</f>
        <v>2025-12</v>
      </c>
      <c r="D4399" s="3" t="s">
        <v>28</v>
      </c>
      <c r="E4399" s="3" t="s">
        <v>211</v>
      </c>
      <c r="F4399" s="3" t="s">
        <v>9</v>
      </c>
      <c r="G43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399" s="3" t="s">
        <v>212</v>
      </c>
      <c r="I4399" s="3" t="s">
        <v>31</v>
      </c>
      <c r="J4399" s="3" t="s">
        <v>75</v>
      </c>
      <c r="K4399" s="3" t="s">
        <v>95</v>
      </c>
      <c r="L4399" s="3" t="s">
        <v>96</v>
      </c>
      <c r="M4399" s="4">
        <v>283.23</v>
      </c>
    </row>
    <row r="4400">
      <c r="A4400" s="2">
        <v>46006</v>
      </c>
      <c r="B44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0" s="3" t="str">
        <f>YEAR(KMART_DATA[[#This Row],[Date]])&amp;"-"&amp;TEXT(MONTH(KMART_DATA[[#This Row],[Date]]),"00")</f>
        <v>2025-12</v>
      </c>
      <c r="D4400" s="3" t="s">
        <v>45</v>
      </c>
      <c r="E4400" s="3" t="s">
        <v>248</v>
      </c>
      <c r="F4400" s="3" t="s">
        <v>12</v>
      </c>
      <c r="G44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00" s="3" t="s">
        <v>249</v>
      </c>
      <c r="I4400" s="3" t="s">
        <v>31</v>
      </c>
      <c r="J4400" s="3" t="s">
        <v>162</v>
      </c>
      <c r="K4400" s="3" t="s">
        <v>123</v>
      </c>
      <c r="L4400" s="3" t="s">
        <v>124</v>
      </c>
      <c r="M4400" s="4">
        <v>14.99</v>
      </c>
    </row>
    <row r="4401">
      <c r="A4401" s="2">
        <v>46006</v>
      </c>
      <c r="B44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1" s="3" t="str">
        <f>YEAR(KMART_DATA[[#This Row],[Date]])&amp;"-"&amp;TEXT(MONTH(KMART_DATA[[#This Row],[Date]]),"00")</f>
        <v>2025-12</v>
      </c>
      <c r="D4401" s="3" t="s">
        <v>45</v>
      </c>
      <c r="E4401" s="3" t="s">
        <v>154</v>
      </c>
      <c r="F4401" s="3" t="s">
        <v>11</v>
      </c>
      <c r="G44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01" s="3" t="s">
        <v>155</v>
      </c>
      <c r="I4401" s="3" t="s">
        <v>31</v>
      </c>
      <c r="J4401" s="3" t="s">
        <v>84</v>
      </c>
      <c r="K4401" s="3" t="s">
        <v>46</v>
      </c>
      <c r="L4401" s="3" t="s">
        <v>47</v>
      </c>
      <c r="M4401" s="4">
        <v>15.98</v>
      </c>
    </row>
    <row r="4402">
      <c r="A4402" s="2">
        <v>46006</v>
      </c>
      <c r="B44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2" s="3" t="str">
        <f>YEAR(KMART_DATA[[#This Row],[Date]])&amp;"-"&amp;TEXT(MONTH(KMART_DATA[[#This Row],[Date]]),"00")</f>
        <v>2025-12</v>
      </c>
      <c r="D4402" s="3" t="s">
        <v>28</v>
      </c>
      <c r="E4402" s="3" t="s">
        <v>158</v>
      </c>
      <c r="F4402" s="3" t="s">
        <v>11</v>
      </c>
      <c r="G44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02" s="3" t="s">
        <v>159</v>
      </c>
      <c r="I4402" s="3" t="s">
        <v>31</v>
      </c>
      <c r="J4402" s="3" t="s">
        <v>84</v>
      </c>
      <c r="K4402" s="3" t="s">
        <v>38</v>
      </c>
      <c r="L4402" s="3" t="s">
        <v>39</v>
      </c>
      <c r="M4402" s="4">
        <v>139.96</v>
      </c>
    </row>
    <row r="4403">
      <c r="A4403" s="2">
        <v>46006</v>
      </c>
      <c r="B44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3" s="3" t="str">
        <f>YEAR(KMART_DATA[[#This Row],[Date]])&amp;"-"&amp;TEXT(MONTH(KMART_DATA[[#This Row],[Date]]),"00")</f>
        <v>2025-12</v>
      </c>
      <c r="D4403" s="3" t="s">
        <v>45</v>
      </c>
      <c r="E4403" s="3" t="s">
        <v>230</v>
      </c>
      <c r="F4403" s="3" t="s">
        <v>13</v>
      </c>
      <c r="G44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403" s="3" t="s">
        <v>231</v>
      </c>
      <c r="I4403" s="3" t="s">
        <v>31</v>
      </c>
      <c r="J4403" s="3" t="s">
        <v>227</v>
      </c>
      <c r="K4403" s="3" t="s">
        <v>112</v>
      </c>
      <c r="L4403" s="3" t="s">
        <v>113</v>
      </c>
      <c r="M4403" s="4">
        <v>143.92</v>
      </c>
    </row>
    <row r="4404">
      <c r="A4404" s="2">
        <v>46006</v>
      </c>
      <c r="B44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4" s="3" t="str">
        <f>YEAR(KMART_DATA[[#This Row],[Date]])&amp;"-"&amp;TEXT(MONTH(KMART_DATA[[#This Row],[Date]]),"00")</f>
        <v>2025-12</v>
      </c>
      <c r="D4404" s="3" t="s">
        <v>28</v>
      </c>
      <c r="E4404" s="3" t="s">
        <v>68</v>
      </c>
      <c r="F4404" s="3" t="s">
        <v>9</v>
      </c>
      <c r="G44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04" s="3" t="s">
        <v>69</v>
      </c>
      <c r="I4404" s="3" t="s">
        <v>31</v>
      </c>
      <c r="J4404" s="3" t="s">
        <v>70</v>
      </c>
      <c r="K4404" s="3" t="s">
        <v>43</v>
      </c>
      <c r="L4404" s="3" t="s">
        <v>44</v>
      </c>
      <c r="M4404" s="4">
        <v>292.39</v>
      </c>
    </row>
    <row r="4405">
      <c r="A4405" s="2">
        <v>46006</v>
      </c>
      <c r="B44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5" s="3" t="str">
        <f>YEAR(KMART_DATA[[#This Row],[Date]])&amp;"-"&amp;TEXT(MONTH(KMART_DATA[[#This Row],[Date]]),"00")</f>
        <v>2025-12</v>
      </c>
      <c r="D4405" s="3" t="s">
        <v>28</v>
      </c>
      <c r="E4405" s="3" t="s">
        <v>114</v>
      </c>
      <c r="F4405" s="3" t="s">
        <v>9</v>
      </c>
      <c r="G44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05" s="3" t="s">
        <v>115</v>
      </c>
      <c r="I4405" s="3" t="s">
        <v>31</v>
      </c>
      <c r="J4405" s="3" t="s">
        <v>99</v>
      </c>
      <c r="K4405" s="3" t="s">
        <v>43</v>
      </c>
      <c r="L4405" s="3" t="s">
        <v>44</v>
      </c>
      <c r="M4405" s="4">
        <v>372.74</v>
      </c>
    </row>
    <row r="4406">
      <c r="A4406" s="2">
        <v>46006</v>
      </c>
      <c r="B44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6" s="3" t="str">
        <f>YEAR(KMART_DATA[[#This Row],[Date]])&amp;"-"&amp;TEXT(MONTH(KMART_DATA[[#This Row],[Date]]),"00")</f>
        <v>2025-12</v>
      </c>
      <c r="D4406" s="3" t="s">
        <v>28</v>
      </c>
      <c r="E4406" s="3" t="s">
        <v>79</v>
      </c>
      <c r="F4406" s="3" t="s">
        <v>9</v>
      </c>
      <c r="G44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06" s="3" t="s">
        <v>80</v>
      </c>
      <c r="I4406" s="3" t="s">
        <v>31</v>
      </c>
      <c r="J4406" s="3" t="s">
        <v>81</v>
      </c>
      <c r="K4406" s="3" t="s">
        <v>57</v>
      </c>
      <c r="L4406" s="3" t="s">
        <v>58</v>
      </c>
      <c r="M4406" s="4">
        <v>1825.67</v>
      </c>
    </row>
    <row r="4407">
      <c r="A4407" s="2">
        <v>46006</v>
      </c>
      <c r="B440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7" s="3" t="str">
        <f>YEAR(KMART_DATA[[#This Row],[Date]])&amp;"-"&amp;TEXT(MONTH(KMART_DATA[[#This Row],[Date]]),"00")</f>
        <v>2025-12</v>
      </c>
      <c r="D4407" s="3" t="s">
        <v>28</v>
      </c>
      <c r="E4407" s="3" t="s">
        <v>185</v>
      </c>
      <c r="F4407" s="3" t="s">
        <v>12</v>
      </c>
      <c r="G440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07" s="3" t="s">
        <v>186</v>
      </c>
      <c r="I4407" s="3" t="s">
        <v>31</v>
      </c>
      <c r="J4407" s="3" t="s">
        <v>162</v>
      </c>
      <c r="K4407" s="3" t="s">
        <v>71</v>
      </c>
      <c r="L4407" s="3" t="s">
        <v>72</v>
      </c>
      <c r="M4407" s="4">
        <v>3793.35</v>
      </c>
    </row>
    <row r="4408">
      <c r="A4408" s="2">
        <v>46006</v>
      </c>
      <c r="B440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8" s="3" t="str">
        <f>YEAR(KMART_DATA[[#This Row],[Date]])&amp;"-"&amp;TEXT(MONTH(KMART_DATA[[#This Row],[Date]]),"00")</f>
        <v>2025-12</v>
      </c>
      <c r="D4408" s="3" t="s">
        <v>28</v>
      </c>
      <c r="E4408" s="3" t="s">
        <v>118</v>
      </c>
      <c r="F4408" s="3" t="s">
        <v>10</v>
      </c>
      <c r="G440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08" s="3" t="s">
        <v>119</v>
      </c>
      <c r="I4408" s="3" t="s">
        <v>31</v>
      </c>
      <c r="J4408" s="3" t="s">
        <v>120</v>
      </c>
      <c r="K4408" s="3" t="s">
        <v>46</v>
      </c>
      <c r="L4408" s="3" t="s">
        <v>47</v>
      </c>
      <c r="M4408" s="4">
        <v>4893.72</v>
      </c>
    </row>
    <row r="4409">
      <c r="A4409" s="2">
        <v>46007</v>
      </c>
      <c r="B440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09" s="3" t="str">
        <f>YEAR(KMART_DATA[[#This Row],[Date]])&amp;"-"&amp;TEXT(MONTH(KMART_DATA[[#This Row],[Date]]),"00")</f>
        <v>2025-12</v>
      </c>
      <c r="D4409" s="3" t="s">
        <v>28</v>
      </c>
      <c r="E4409" s="3" t="s">
        <v>92</v>
      </c>
      <c r="F4409" s="3" t="s">
        <v>10</v>
      </c>
      <c r="G440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09" s="3" t="s">
        <v>93</v>
      </c>
      <c r="I4409" s="3" t="s">
        <v>31</v>
      </c>
      <c r="J4409" s="3" t="s">
        <v>94</v>
      </c>
      <c r="K4409" s="3" t="s">
        <v>33</v>
      </c>
      <c r="L4409" s="3" t="s">
        <v>34</v>
      </c>
      <c r="M4409" s="4">
        <v>37.93</v>
      </c>
    </row>
    <row r="4410">
      <c r="A4410" s="2">
        <v>46007</v>
      </c>
      <c r="B441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0" s="3" t="str">
        <f>YEAR(KMART_DATA[[#This Row],[Date]])&amp;"-"&amp;TEXT(MONTH(KMART_DATA[[#This Row],[Date]]),"00")</f>
        <v>2025-12</v>
      </c>
      <c r="D4410" s="3" t="s">
        <v>28</v>
      </c>
      <c r="E4410" s="3" t="s">
        <v>193</v>
      </c>
      <c r="F4410" s="3" t="s">
        <v>9</v>
      </c>
      <c r="G441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10" s="3" t="s">
        <v>194</v>
      </c>
      <c r="I4410" s="3" t="s">
        <v>31</v>
      </c>
      <c r="J4410" s="3" t="s">
        <v>99</v>
      </c>
      <c r="K4410" s="3" t="s">
        <v>43</v>
      </c>
      <c r="L4410" s="3" t="s">
        <v>44</v>
      </c>
      <c r="M4410" s="4">
        <v>154.55</v>
      </c>
    </row>
    <row r="4411">
      <c r="A4411" s="2">
        <v>46007</v>
      </c>
      <c r="B441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1" s="3" t="str">
        <f>YEAR(KMART_DATA[[#This Row],[Date]])&amp;"-"&amp;TEXT(MONTH(KMART_DATA[[#This Row],[Date]]),"00")</f>
        <v>2025-12</v>
      </c>
      <c r="D4411" s="3" t="s">
        <v>28</v>
      </c>
      <c r="E4411" s="3" t="s">
        <v>211</v>
      </c>
      <c r="F4411" s="3" t="s">
        <v>9</v>
      </c>
      <c r="G441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11" s="3" t="s">
        <v>212</v>
      </c>
      <c r="I4411" s="3" t="s">
        <v>31</v>
      </c>
      <c r="J4411" s="3" t="s">
        <v>75</v>
      </c>
      <c r="K4411" s="3" t="s">
        <v>71</v>
      </c>
      <c r="L4411" s="3" t="s">
        <v>72</v>
      </c>
      <c r="M4411" s="4">
        <v>2774.37</v>
      </c>
    </row>
    <row r="4412">
      <c r="A4412" s="2">
        <v>46008</v>
      </c>
      <c r="B441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2" s="3" t="str">
        <f>YEAR(KMART_DATA[[#This Row],[Date]])&amp;"-"&amp;TEXT(MONTH(KMART_DATA[[#This Row],[Date]]),"00")</f>
        <v>2025-12</v>
      </c>
      <c r="D4412" s="3" t="s">
        <v>45</v>
      </c>
      <c r="E4412" s="3" t="s">
        <v>156</v>
      </c>
      <c r="F4412" s="3" t="s">
        <v>9</v>
      </c>
      <c r="G441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12" s="3" t="s">
        <v>157</v>
      </c>
      <c r="I4412" s="3" t="s">
        <v>31</v>
      </c>
      <c r="J4412" s="3" t="s">
        <v>75</v>
      </c>
      <c r="K4412" s="3" t="s">
        <v>38</v>
      </c>
      <c r="L4412" s="3" t="s">
        <v>39</v>
      </c>
      <c r="M4412" s="4">
        <v>181.74</v>
      </c>
    </row>
    <row r="4413">
      <c r="A4413" s="2">
        <v>46008</v>
      </c>
      <c r="B441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3" s="3" t="str">
        <f>YEAR(KMART_DATA[[#This Row],[Date]])&amp;"-"&amp;TEXT(MONTH(KMART_DATA[[#This Row],[Date]]),"00")</f>
        <v>2025-12</v>
      </c>
      <c r="D4413" s="3" t="s">
        <v>28</v>
      </c>
      <c r="E4413" s="3" t="s">
        <v>148</v>
      </c>
      <c r="F4413" s="3" t="s">
        <v>12</v>
      </c>
      <c r="G441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13" s="3" t="s">
        <v>149</v>
      </c>
      <c r="I4413" s="3" t="s">
        <v>31</v>
      </c>
      <c r="J4413" s="3" t="s">
        <v>50</v>
      </c>
      <c r="K4413" s="3" t="s">
        <v>123</v>
      </c>
      <c r="L4413" s="3" t="s">
        <v>124</v>
      </c>
      <c r="M4413" s="4">
        <v>195.1</v>
      </c>
    </row>
    <row r="4414">
      <c r="A4414" s="2">
        <v>46008</v>
      </c>
      <c r="B441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4" s="3" t="str">
        <f>YEAR(KMART_DATA[[#This Row],[Date]])&amp;"-"&amp;TEXT(MONTH(KMART_DATA[[#This Row],[Date]]),"00")</f>
        <v>2025-12</v>
      </c>
      <c r="D4414" s="3" t="s">
        <v>28</v>
      </c>
      <c r="E4414" s="3" t="s">
        <v>256</v>
      </c>
      <c r="F4414" s="3" t="s">
        <v>9</v>
      </c>
      <c r="G441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14" s="3" t="s">
        <v>257</v>
      </c>
      <c r="I4414" s="3" t="s">
        <v>31</v>
      </c>
      <c r="J4414" s="3" t="s">
        <v>70</v>
      </c>
      <c r="K4414" s="3" t="s">
        <v>33</v>
      </c>
      <c r="L4414" s="3" t="s">
        <v>34</v>
      </c>
      <c r="M4414" s="4">
        <v>299.92</v>
      </c>
    </row>
    <row r="4415">
      <c r="A4415" s="2">
        <v>46008</v>
      </c>
      <c r="B441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5" s="3" t="str">
        <f>YEAR(KMART_DATA[[#This Row],[Date]])&amp;"-"&amp;TEXT(MONTH(KMART_DATA[[#This Row],[Date]]),"00")</f>
        <v>2025-12</v>
      </c>
      <c r="D4415" s="3" t="s">
        <v>28</v>
      </c>
      <c r="E4415" s="3" t="s">
        <v>169</v>
      </c>
      <c r="F4415" s="3" t="s">
        <v>12</v>
      </c>
      <c r="G441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15" s="3" t="s">
        <v>170</v>
      </c>
      <c r="I4415" s="3" t="s">
        <v>31</v>
      </c>
      <c r="J4415" s="3" t="s">
        <v>102</v>
      </c>
      <c r="K4415" s="3" t="s">
        <v>71</v>
      </c>
      <c r="L4415" s="3" t="s">
        <v>72</v>
      </c>
      <c r="M4415" s="4">
        <v>328.71</v>
      </c>
    </row>
    <row r="4416">
      <c r="A4416" s="2">
        <v>46008</v>
      </c>
      <c r="B441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6" s="3" t="str">
        <f>YEAR(KMART_DATA[[#This Row],[Date]])&amp;"-"&amp;TEXT(MONTH(KMART_DATA[[#This Row],[Date]]),"00")</f>
        <v>2025-12</v>
      </c>
      <c r="D4416" s="3" t="s">
        <v>28</v>
      </c>
      <c r="E4416" s="3" t="s">
        <v>205</v>
      </c>
      <c r="F4416" s="3" t="s">
        <v>10</v>
      </c>
      <c r="G441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16" s="3" t="s">
        <v>206</v>
      </c>
      <c r="I4416" s="3" t="s">
        <v>31</v>
      </c>
      <c r="J4416" s="3" t="s">
        <v>37</v>
      </c>
      <c r="K4416" s="3" t="s">
        <v>71</v>
      </c>
      <c r="L4416" s="3" t="s">
        <v>72</v>
      </c>
      <c r="M4416" s="4">
        <v>491.18</v>
      </c>
    </row>
    <row r="4417">
      <c r="A4417" s="2">
        <v>46008</v>
      </c>
      <c r="B441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7" s="3" t="str">
        <f>YEAR(KMART_DATA[[#This Row],[Date]])&amp;"-"&amp;TEXT(MONTH(KMART_DATA[[#This Row],[Date]]),"00")</f>
        <v>2025-12</v>
      </c>
      <c r="D4417" s="3" t="s">
        <v>45</v>
      </c>
      <c r="E4417" s="3" t="s">
        <v>129</v>
      </c>
      <c r="F4417" s="3" t="s">
        <v>10</v>
      </c>
      <c r="G441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17" s="3" t="s">
        <v>130</v>
      </c>
      <c r="I4417" s="3" t="s">
        <v>31</v>
      </c>
      <c r="J4417" s="3" t="s">
        <v>120</v>
      </c>
      <c r="K4417" s="3" t="s">
        <v>123</v>
      </c>
      <c r="L4417" s="3" t="s">
        <v>124</v>
      </c>
      <c r="M4417" s="4">
        <v>3990.06</v>
      </c>
    </row>
    <row r="4418">
      <c r="A4418" s="2">
        <v>46009</v>
      </c>
      <c r="B441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8" s="3" t="str">
        <f>YEAR(KMART_DATA[[#This Row],[Date]])&amp;"-"&amp;TEXT(MONTH(KMART_DATA[[#This Row],[Date]]),"00")</f>
        <v>2025-12</v>
      </c>
      <c r="D4418" s="3" t="s">
        <v>28</v>
      </c>
      <c r="E4418" s="3" t="s">
        <v>163</v>
      </c>
      <c r="F4418" s="3" t="s">
        <v>9</v>
      </c>
      <c r="G441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18" s="3" t="s">
        <v>164</v>
      </c>
      <c r="I4418" s="3" t="s">
        <v>31</v>
      </c>
      <c r="J4418" s="3" t="s">
        <v>81</v>
      </c>
      <c r="K4418" s="3" t="s">
        <v>95</v>
      </c>
      <c r="L4418" s="3" t="s">
        <v>96</v>
      </c>
      <c r="M4418" s="4">
        <v>3.5</v>
      </c>
    </row>
    <row r="4419">
      <c r="A4419" s="2">
        <v>46009</v>
      </c>
      <c r="B441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19" s="3" t="str">
        <f>YEAR(KMART_DATA[[#This Row],[Date]])&amp;"-"&amp;TEXT(MONTH(KMART_DATA[[#This Row],[Date]]),"00")</f>
        <v>2025-12</v>
      </c>
      <c r="D4419" s="3" t="s">
        <v>28</v>
      </c>
      <c r="E4419" s="3" t="s">
        <v>232</v>
      </c>
      <c r="F4419" s="3" t="s">
        <v>9</v>
      </c>
      <c r="G441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19" s="3" t="s">
        <v>233</v>
      </c>
      <c r="I4419" s="3" t="s">
        <v>31</v>
      </c>
      <c r="J4419" s="3" t="s">
        <v>75</v>
      </c>
      <c r="K4419" s="3" t="s">
        <v>123</v>
      </c>
      <c r="L4419" s="3" t="s">
        <v>124</v>
      </c>
      <c r="M4419" s="4">
        <v>25.77</v>
      </c>
    </row>
    <row r="4420">
      <c r="A4420" s="2">
        <v>46009</v>
      </c>
      <c r="B442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0" s="3" t="str">
        <f>YEAR(KMART_DATA[[#This Row],[Date]])&amp;"-"&amp;TEXT(MONTH(KMART_DATA[[#This Row],[Date]]),"00")</f>
        <v>2025-12</v>
      </c>
      <c r="D4420" s="3" t="s">
        <v>45</v>
      </c>
      <c r="E4420" s="3" t="s">
        <v>250</v>
      </c>
      <c r="F4420" s="3" t="s">
        <v>10</v>
      </c>
      <c r="G442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20" s="3" t="s">
        <v>251</v>
      </c>
      <c r="I4420" s="3" t="s">
        <v>31</v>
      </c>
      <c r="J4420" s="3" t="s">
        <v>37</v>
      </c>
      <c r="K4420" s="3" t="s">
        <v>46</v>
      </c>
      <c r="L4420" s="3" t="s">
        <v>47</v>
      </c>
      <c r="M4420" s="4">
        <v>461.3</v>
      </c>
    </row>
    <row r="4421">
      <c r="A4421" s="2">
        <v>46010</v>
      </c>
      <c r="B442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1" s="3" t="str">
        <f>YEAR(KMART_DATA[[#This Row],[Date]])&amp;"-"&amp;TEXT(MONTH(KMART_DATA[[#This Row],[Date]]),"00")</f>
        <v>2025-12</v>
      </c>
      <c r="D4421" s="3" t="s">
        <v>28</v>
      </c>
      <c r="E4421" s="3" t="s">
        <v>35</v>
      </c>
      <c r="F4421" s="3" t="s">
        <v>10</v>
      </c>
      <c r="G442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21" s="3" t="s">
        <v>36</v>
      </c>
      <c r="I4421" s="3" t="s">
        <v>31</v>
      </c>
      <c r="J4421" s="3" t="s">
        <v>37</v>
      </c>
      <c r="K4421" s="3" t="s">
        <v>43</v>
      </c>
      <c r="L4421" s="3" t="s">
        <v>44</v>
      </c>
      <c r="M4421" s="4">
        <v>5.0</v>
      </c>
    </row>
    <row r="4422">
      <c r="A4422" s="2">
        <v>46010</v>
      </c>
      <c r="B442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2" s="3" t="str">
        <f>YEAR(KMART_DATA[[#This Row],[Date]])&amp;"-"&amp;TEXT(MONTH(KMART_DATA[[#This Row],[Date]]),"00")</f>
        <v>2025-12</v>
      </c>
      <c r="D4422" s="3" t="s">
        <v>45</v>
      </c>
      <c r="E4422" s="3" t="s">
        <v>68</v>
      </c>
      <c r="F4422" s="3" t="s">
        <v>9</v>
      </c>
      <c r="G442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22" s="3" t="s">
        <v>69</v>
      </c>
      <c r="I4422" s="3" t="s">
        <v>31</v>
      </c>
      <c r="J4422" s="3" t="s">
        <v>70</v>
      </c>
      <c r="K4422" s="3" t="s">
        <v>38</v>
      </c>
      <c r="L4422" s="3" t="s">
        <v>39</v>
      </c>
      <c r="M4422" s="4">
        <v>52.92</v>
      </c>
    </row>
    <row r="4423">
      <c r="A4423" s="2">
        <v>46010</v>
      </c>
      <c r="B442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3" s="3" t="str">
        <f>YEAR(KMART_DATA[[#This Row],[Date]])&amp;"-"&amp;TEXT(MONTH(KMART_DATA[[#This Row],[Date]]),"00")</f>
        <v>2025-12</v>
      </c>
      <c r="D4423" s="3" t="s">
        <v>28</v>
      </c>
      <c r="E4423" s="3" t="s">
        <v>156</v>
      </c>
      <c r="F4423" s="3" t="s">
        <v>9</v>
      </c>
      <c r="G442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23" s="3" t="s">
        <v>157</v>
      </c>
      <c r="I4423" s="3" t="s">
        <v>31</v>
      </c>
      <c r="J4423" s="3" t="s">
        <v>75</v>
      </c>
      <c r="K4423" s="3" t="s">
        <v>46</v>
      </c>
      <c r="L4423" s="3" t="s">
        <v>47</v>
      </c>
      <c r="M4423" s="4">
        <v>58.96</v>
      </c>
    </row>
    <row r="4424">
      <c r="A4424" s="2">
        <v>46010</v>
      </c>
      <c r="B442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4" s="3" t="str">
        <f>YEAR(KMART_DATA[[#This Row],[Date]])&amp;"-"&amp;TEXT(MONTH(KMART_DATA[[#This Row],[Date]]),"00")</f>
        <v>2025-12</v>
      </c>
      <c r="D4424" s="3" t="s">
        <v>28</v>
      </c>
      <c r="E4424" s="3" t="s">
        <v>125</v>
      </c>
      <c r="F4424" s="3" t="s">
        <v>10</v>
      </c>
      <c r="G442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24" s="3" t="s">
        <v>126</v>
      </c>
      <c r="I4424" s="3" t="s">
        <v>31</v>
      </c>
      <c r="J4424" s="3" t="s">
        <v>94</v>
      </c>
      <c r="K4424" s="3" t="s">
        <v>123</v>
      </c>
      <c r="L4424" s="3" t="s">
        <v>124</v>
      </c>
      <c r="M4424" s="4">
        <v>306.11</v>
      </c>
    </row>
    <row r="4425">
      <c r="A4425" s="2">
        <v>46010</v>
      </c>
      <c r="B442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5" s="3" t="str">
        <f>YEAR(KMART_DATA[[#This Row],[Date]])&amp;"-"&amp;TEXT(MONTH(KMART_DATA[[#This Row],[Date]]),"00")</f>
        <v>2025-12</v>
      </c>
      <c r="D4425" s="3" t="s">
        <v>28</v>
      </c>
      <c r="E4425" s="3" t="s">
        <v>100</v>
      </c>
      <c r="F4425" s="3" t="s">
        <v>12</v>
      </c>
      <c r="G442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25" s="3" t="s">
        <v>101</v>
      </c>
      <c r="I4425" s="3" t="s">
        <v>31</v>
      </c>
      <c r="J4425" s="3" t="s">
        <v>102</v>
      </c>
      <c r="K4425" s="3" t="s">
        <v>57</v>
      </c>
      <c r="L4425" s="3" t="s">
        <v>58</v>
      </c>
      <c r="M4425" s="4">
        <v>598.03</v>
      </c>
    </row>
    <row r="4426">
      <c r="A4426" s="2">
        <v>46010</v>
      </c>
      <c r="B442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6" s="3" t="str">
        <f>YEAR(KMART_DATA[[#This Row],[Date]])&amp;"-"&amp;TEXT(MONTH(KMART_DATA[[#This Row],[Date]]),"00")</f>
        <v>2025-12</v>
      </c>
      <c r="D4426" s="3" t="s">
        <v>28</v>
      </c>
      <c r="E4426" s="3" t="s">
        <v>165</v>
      </c>
      <c r="F4426" s="3" t="s">
        <v>9</v>
      </c>
      <c r="G442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26" s="3" t="s">
        <v>166</v>
      </c>
      <c r="I4426" s="3" t="s">
        <v>31</v>
      </c>
      <c r="J4426" s="3" t="s">
        <v>99</v>
      </c>
      <c r="K4426" s="3" t="s">
        <v>71</v>
      </c>
      <c r="L4426" s="3" t="s">
        <v>72</v>
      </c>
      <c r="M4426" s="4">
        <v>621.74</v>
      </c>
    </row>
    <row r="4427">
      <c r="A4427" s="2">
        <v>46010</v>
      </c>
      <c r="B442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7" s="3" t="str">
        <f>YEAR(KMART_DATA[[#This Row],[Date]])&amp;"-"&amp;TEXT(MONTH(KMART_DATA[[#This Row],[Date]]),"00")</f>
        <v>2025-12</v>
      </c>
      <c r="D4427" s="3" t="s">
        <v>28</v>
      </c>
      <c r="E4427" s="3" t="s">
        <v>183</v>
      </c>
      <c r="F4427" s="3" t="s">
        <v>9</v>
      </c>
      <c r="G442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27" s="3" t="s">
        <v>184</v>
      </c>
      <c r="I4427" s="3" t="s">
        <v>31</v>
      </c>
      <c r="J4427" s="3" t="s">
        <v>70</v>
      </c>
      <c r="K4427" s="3" t="s">
        <v>123</v>
      </c>
      <c r="L4427" s="3" t="s">
        <v>124</v>
      </c>
      <c r="M4427" s="4">
        <v>4042.05</v>
      </c>
    </row>
    <row r="4428">
      <c r="A4428" s="2">
        <v>46011</v>
      </c>
      <c r="B442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8" s="3" t="str">
        <f>YEAR(KMART_DATA[[#This Row],[Date]])&amp;"-"&amp;TEXT(MONTH(KMART_DATA[[#This Row],[Date]]),"00")</f>
        <v>2025-12</v>
      </c>
      <c r="D4428" s="3" t="s">
        <v>45</v>
      </c>
      <c r="E4428" s="3" t="s">
        <v>87</v>
      </c>
      <c r="F4428" s="3" t="s">
        <v>10</v>
      </c>
      <c r="G442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28" s="3" t="s">
        <v>88</v>
      </c>
      <c r="I4428" s="3" t="s">
        <v>31</v>
      </c>
      <c r="J4428" s="3" t="s">
        <v>89</v>
      </c>
      <c r="K4428" s="3" t="s">
        <v>46</v>
      </c>
      <c r="L4428" s="3" t="s">
        <v>47</v>
      </c>
      <c r="M4428" s="4">
        <v>25.98</v>
      </c>
    </row>
    <row r="4429">
      <c r="A4429" s="2">
        <v>46011</v>
      </c>
      <c r="B442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29" s="3" t="str">
        <f>YEAR(KMART_DATA[[#This Row],[Date]])&amp;"-"&amp;TEXT(MONTH(KMART_DATA[[#This Row],[Date]]),"00")</f>
        <v>2025-12</v>
      </c>
      <c r="D4429" s="3" t="s">
        <v>28</v>
      </c>
      <c r="E4429" s="3" t="s">
        <v>141</v>
      </c>
      <c r="F4429" s="3" t="s">
        <v>9</v>
      </c>
      <c r="G442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29" s="3" t="s">
        <v>142</v>
      </c>
      <c r="I4429" s="3" t="s">
        <v>31</v>
      </c>
      <c r="J4429" s="3" t="s">
        <v>107</v>
      </c>
      <c r="K4429" s="3" t="s">
        <v>43</v>
      </c>
      <c r="L4429" s="3" t="s">
        <v>44</v>
      </c>
      <c r="M4429" s="4">
        <v>84.44</v>
      </c>
    </row>
    <row r="4430">
      <c r="A4430" s="2">
        <v>46011</v>
      </c>
      <c r="B443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0" s="3" t="str">
        <f>YEAR(KMART_DATA[[#This Row],[Date]])&amp;"-"&amp;TEXT(MONTH(KMART_DATA[[#This Row],[Date]]),"00")</f>
        <v>2025-12</v>
      </c>
      <c r="D4430" s="3" t="s">
        <v>28</v>
      </c>
      <c r="E4430" s="3" t="s">
        <v>137</v>
      </c>
      <c r="F4430" s="3" t="s">
        <v>10</v>
      </c>
      <c r="G443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30" s="3" t="s">
        <v>138</v>
      </c>
      <c r="I4430" s="3" t="s">
        <v>31</v>
      </c>
      <c r="J4430" s="3" t="s">
        <v>89</v>
      </c>
      <c r="K4430" s="3" t="s">
        <v>95</v>
      </c>
      <c r="L4430" s="3" t="s">
        <v>96</v>
      </c>
      <c r="M4430" s="4">
        <v>134.73</v>
      </c>
    </row>
    <row r="4431">
      <c r="A4431" s="2">
        <v>46011</v>
      </c>
      <c r="B443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1" s="3" t="str">
        <f>YEAR(KMART_DATA[[#This Row],[Date]])&amp;"-"&amp;TEXT(MONTH(KMART_DATA[[#This Row],[Date]]),"00")</f>
        <v>2025-12</v>
      </c>
      <c r="D4431" s="3" t="s">
        <v>45</v>
      </c>
      <c r="E4431" s="3" t="s">
        <v>171</v>
      </c>
      <c r="F4431" s="3" t="s">
        <v>10</v>
      </c>
      <c r="G443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31" s="3" t="s">
        <v>172</v>
      </c>
      <c r="I4431" s="3" t="s">
        <v>31</v>
      </c>
      <c r="J4431" s="3" t="s">
        <v>37</v>
      </c>
      <c r="K4431" s="3" t="s">
        <v>71</v>
      </c>
      <c r="L4431" s="3" t="s">
        <v>72</v>
      </c>
      <c r="M4431" s="4">
        <v>266.26</v>
      </c>
    </row>
    <row r="4432">
      <c r="A4432" s="2">
        <v>46011</v>
      </c>
      <c r="B443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2" s="3" t="str">
        <f>YEAR(KMART_DATA[[#This Row],[Date]])&amp;"-"&amp;TEXT(MONTH(KMART_DATA[[#This Row],[Date]]),"00")</f>
        <v>2025-12</v>
      </c>
      <c r="D4432" s="3" t="s">
        <v>28</v>
      </c>
      <c r="E4432" s="3" t="s">
        <v>108</v>
      </c>
      <c r="F4432" s="3" t="s">
        <v>9</v>
      </c>
      <c r="G443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32" s="3" t="s">
        <v>109</v>
      </c>
      <c r="I4432" s="3" t="s">
        <v>31</v>
      </c>
      <c r="J4432" s="3" t="s">
        <v>75</v>
      </c>
      <c r="K4432" s="3" t="s">
        <v>95</v>
      </c>
      <c r="L4432" s="3" t="s">
        <v>96</v>
      </c>
      <c r="M4432" s="4">
        <v>376.85</v>
      </c>
    </row>
    <row r="4433">
      <c r="A4433" s="2">
        <v>46011</v>
      </c>
      <c r="B443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3" s="3" t="str">
        <f>YEAR(KMART_DATA[[#This Row],[Date]])&amp;"-"&amp;TEXT(MONTH(KMART_DATA[[#This Row],[Date]]),"00")</f>
        <v>2025-12</v>
      </c>
      <c r="D4433" s="3" t="s">
        <v>28</v>
      </c>
      <c r="E4433" s="3" t="s">
        <v>193</v>
      </c>
      <c r="F4433" s="3" t="s">
        <v>9</v>
      </c>
      <c r="G443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33" s="3" t="s">
        <v>194</v>
      </c>
      <c r="I4433" s="3" t="s">
        <v>31</v>
      </c>
      <c r="J4433" s="3" t="s">
        <v>99</v>
      </c>
      <c r="K4433" s="3" t="s">
        <v>43</v>
      </c>
      <c r="L4433" s="3" t="s">
        <v>44</v>
      </c>
      <c r="M4433" s="4">
        <v>432.34</v>
      </c>
    </row>
    <row r="4434">
      <c r="A4434" s="2">
        <v>46011</v>
      </c>
      <c r="B443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4" s="3" t="str">
        <f>YEAR(KMART_DATA[[#This Row],[Date]])&amp;"-"&amp;TEXT(MONTH(KMART_DATA[[#This Row],[Date]]),"00")</f>
        <v>2025-12</v>
      </c>
      <c r="D4434" s="3" t="s">
        <v>28</v>
      </c>
      <c r="E4434" s="3" t="s">
        <v>114</v>
      </c>
      <c r="F4434" s="3" t="s">
        <v>9</v>
      </c>
      <c r="G443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34" s="3" t="s">
        <v>115</v>
      </c>
      <c r="I4434" s="3" t="s">
        <v>31</v>
      </c>
      <c r="J4434" s="3" t="s">
        <v>99</v>
      </c>
      <c r="K4434" s="3" t="s">
        <v>71</v>
      </c>
      <c r="L4434" s="3" t="s">
        <v>72</v>
      </c>
      <c r="M4434" s="4">
        <v>1442.99</v>
      </c>
    </row>
    <row r="4435">
      <c r="A4435" s="2">
        <v>46011</v>
      </c>
      <c r="B443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5" s="3" t="str">
        <f>YEAR(KMART_DATA[[#This Row],[Date]])&amp;"-"&amp;TEXT(MONTH(KMART_DATA[[#This Row],[Date]]),"00")</f>
        <v>2025-12</v>
      </c>
      <c r="D4435" s="3" t="s">
        <v>28</v>
      </c>
      <c r="E4435" s="3" t="s">
        <v>205</v>
      </c>
      <c r="F4435" s="3" t="s">
        <v>10</v>
      </c>
      <c r="G443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35" s="3" t="s">
        <v>206</v>
      </c>
      <c r="I4435" s="3" t="s">
        <v>31</v>
      </c>
      <c r="J4435" s="3" t="s">
        <v>37</v>
      </c>
      <c r="K4435" s="3" t="s">
        <v>71</v>
      </c>
      <c r="L4435" s="3" t="s">
        <v>72</v>
      </c>
      <c r="M4435" s="4">
        <v>1474.1</v>
      </c>
    </row>
    <row r="4436">
      <c r="A4436" s="2">
        <v>46012</v>
      </c>
      <c r="B443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6" s="3" t="str">
        <f>YEAR(KMART_DATA[[#This Row],[Date]])&amp;"-"&amp;TEXT(MONTH(KMART_DATA[[#This Row],[Date]]),"00")</f>
        <v>2025-12</v>
      </c>
      <c r="D4436" s="3" t="s">
        <v>45</v>
      </c>
      <c r="E4436" s="3" t="s">
        <v>160</v>
      </c>
      <c r="F4436" s="3" t="s">
        <v>12</v>
      </c>
      <c r="G443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36" s="3" t="s">
        <v>161</v>
      </c>
      <c r="I4436" s="3" t="s">
        <v>31</v>
      </c>
      <c r="J4436" s="3" t="s">
        <v>162</v>
      </c>
      <c r="K4436" s="3" t="s">
        <v>112</v>
      </c>
      <c r="L4436" s="3" t="s">
        <v>113</v>
      </c>
      <c r="M4436" s="4">
        <v>7.98</v>
      </c>
    </row>
    <row r="4437">
      <c r="A4437" s="2">
        <v>46012</v>
      </c>
      <c r="B443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7" s="3" t="str">
        <f>YEAR(KMART_DATA[[#This Row],[Date]])&amp;"-"&amp;TEXT(MONTH(KMART_DATA[[#This Row],[Date]]),"00")</f>
        <v>2025-12</v>
      </c>
      <c r="D4437" s="3" t="s">
        <v>45</v>
      </c>
      <c r="E4437" s="3" t="s">
        <v>105</v>
      </c>
      <c r="F4437" s="3" t="s">
        <v>9</v>
      </c>
      <c r="G443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37" s="3" t="s">
        <v>106</v>
      </c>
      <c r="I4437" s="3" t="s">
        <v>31</v>
      </c>
      <c r="J4437" s="3" t="s">
        <v>107</v>
      </c>
      <c r="K4437" s="3" t="s">
        <v>43</v>
      </c>
      <c r="L4437" s="3" t="s">
        <v>44</v>
      </c>
      <c r="M4437" s="4">
        <v>19.18</v>
      </c>
    </row>
    <row r="4438">
      <c r="A4438" s="2">
        <v>46012</v>
      </c>
      <c r="B443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8" s="3" t="str">
        <f>YEAR(KMART_DATA[[#This Row],[Date]])&amp;"-"&amp;TEXT(MONTH(KMART_DATA[[#This Row],[Date]]),"00")</f>
        <v>2025-12</v>
      </c>
      <c r="D4438" s="3" t="s">
        <v>28</v>
      </c>
      <c r="E4438" s="3" t="s">
        <v>54</v>
      </c>
      <c r="F4438" s="3" t="s">
        <v>11</v>
      </c>
      <c r="G443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38" s="3" t="s">
        <v>55</v>
      </c>
      <c r="I4438" s="3" t="s">
        <v>31</v>
      </c>
      <c r="J4438" s="3" t="s">
        <v>56</v>
      </c>
      <c r="K4438" s="3" t="s">
        <v>43</v>
      </c>
      <c r="L4438" s="3" t="s">
        <v>44</v>
      </c>
      <c r="M4438" s="4">
        <v>179.85</v>
      </c>
    </row>
    <row r="4439">
      <c r="A4439" s="2">
        <v>46012</v>
      </c>
      <c r="B443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39" s="3" t="str">
        <f>YEAR(KMART_DATA[[#This Row],[Date]])&amp;"-"&amp;TEXT(MONTH(KMART_DATA[[#This Row],[Date]]),"00")</f>
        <v>2025-12</v>
      </c>
      <c r="D4439" s="3" t="s">
        <v>28</v>
      </c>
      <c r="E4439" s="3" t="s">
        <v>59</v>
      </c>
      <c r="F4439" s="3" t="s">
        <v>11</v>
      </c>
      <c r="G443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39" s="3" t="s">
        <v>60</v>
      </c>
      <c r="I4439" s="3" t="s">
        <v>31</v>
      </c>
      <c r="J4439" s="3" t="s">
        <v>61</v>
      </c>
      <c r="K4439" s="3" t="s">
        <v>95</v>
      </c>
      <c r="L4439" s="3" t="s">
        <v>96</v>
      </c>
      <c r="M4439" s="4">
        <v>312.12</v>
      </c>
    </row>
    <row r="4440">
      <c r="A4440" s="2">
        <v>46012</v>
      </c>
      <c r="B444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0" s="3" t="str">
        <f>YEAR(KMART_DATA[[#This Row],[Date]])&amp;"-"&amp;TEXT(MONTH(KMART_DATA[[#This Row],[Date]]),"00")</f>
        <v>2025-12</v>
      </c>
      <c r="D4440" s="3" t="s">
        <v>45</v>
      </c>
      <c r="E4440" s="3" t="s">
        <v>228</v>
      </c>
      <c r="F4440" s="3" t="s">
        <v>11</v>
      </c>
      <c r="G444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40" s="3" t="s">
        <v>229</v>
      </c>
      <c r="I4440" s="3" t="s">
        <v>31</v>
      </c>
      <c r="J4440" s="3" t="s">
        <v>32</v>
      </c>
      <c r="K4440" s="3" t="s">
        <v>38</v>
      </c>
      <c r="L4440" s="3" t="s">
        <v>39</v>
      </c>
      <c r="M4440" s="4">
        <v>420.28</v>
      </c>
    </row>
    <row r="4441">
      <c r="A4441" s="2">
        <v>46013</v>
      </c>
      <c r="B444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1" s="3" t="str">
        <f>YEAR(KMART_DATA[[#This Row],[Date]])&amp;"-"&amp;TEXT(MONTH(KMART_DATA[[#This Row],[Date]]),"00")</f>
        <v>2025-12</v>
      </c>
      <c r="D4441" s="3" t="s">
        <v>28</v>
      </c>
      <c r="E4441" s="3" t="s">
        <v>244</v>
      </c>
      <c r="F4441" s="3" t="s">
        <v>13</v>
      </c>
      <c r="G444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441" s="3" t="s">
        <v>245</v>
      </c>
      <c r="I4441" s="3" t="s">
        <v>31</v>
      </c>
      <c r="J4441" s="3" t="s">
        <v>42</v>
      </c>
      <c r="K4441" s="3" t="s">
        <v>95</v>
      </c>
      <c r="L4441" s="3" t="s">
        <v>96</v>
      </c>
      <c r="M4441" s="4">
        <v>20.97</v>
      </c>
    </row>
    <row r="4442">
      <c r="A4442" s="2">
        <v>46013</v>
      </c>
      <c r="B444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2" s="3" t="str">
        <f>YEAR(KMART_DATA[[#This Row],[Date]])&amp;"-"&amp;TEXT(MONTH(KMART_DATA[[#This Row],[Date]]),"00")</f>
        <v>2025-12</v>
      </c>
      <c r="D4442" s="3" t="s">
        <v>45</v>
      </c>
      <c r="E4442" s="3" t="s">
        <v>230</v>
      </c>
      <c r="F4442" s="3" t="s">
        <v>13</v>
      </c>
      <c r="G444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442" s="3" t="s">
        <v>231</v>
      </c>
      <c r="I4442" s="3" t="s">
        <v>31</v>
      </c>
      <c r="J4442" s="3" t="s">
        <v>227</v>
      </c>
      <c r="K4442" s="3" t="s">
        <v>33</v>
      </c>
      <c r="L4442" s="3" t="s">
        <v>34</v>
      </c>
      <c r="M4442" s="4">
        <v>27.94</v>
      </c>
    </row>
    <row r="4443">
      <c r="A4443" s="2">
        <v>46014</v>
      </c>
      <c r="B444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3" s="3" t="str">
        <f>YEAR(KMART_DATA[[#This Row],[Date]])&amp;"-"&amp;TEXT(MONTH(KMART_DATA[[#This Row],[Date]]),"00")</f>
        <v>2025-12</v>
      </c>
      <c r="D4443" s="3" t="s">
        <v>28</v>
      </c>
      <c r="E4443" s="3" t="s">
        <v>82</v>
      </c>
      <c r="F4443" s="3" t="s">
        <v>11</v>
      </c>
      <c r="G444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43" s="3" t="s">
        <v>83</v>
      </c>
      <c r="I4443" s="3" t="s">
        <v>31</v>
      </c>
      <c r="J4443" s="3" t="s">
        <v>84</v>
      </c>
      <c r="K4443" s="3" t="s">
        <v>46</v>
      </c>
      <c r="L4443" s="3" t="s">
        <v>47</v>
      </c>
      <c r="M4443" s="4">
        <v>6.82</v>
      </c>
    </row>
    <row r="4444">
      <c r="A4444" s="2">
        <v>46014</v>
      </c>
      <c r="B444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4" s="3" t="str">
        <f>YEAR(KMART_DATA[[#This Row],[Date]])&amp;"-"&amp;TEXT(MONTH(KMART_DATA[[#This Row],[Date]]),"00")</f>
        <v>2025-12</v>
      </c>
      <c r="D4444" s="3" t="s">
        <v>45</v>
      </c>
      <c r="E4444" s="3" t="s">
        <v>87</v>
      </c>
      <c r="F4444" s="3" t="s">
        <v>10</v>
      </c>
      <c r="G444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44" s="3" t="s">
        <v>88</v>
      </c>
      <c r="I4444" s="3" t="s">
        <v>31</v>
      </c>
      <c r="J4444" s="3" t="s">
        <v>89</v>
      </c>
      <c r="K4444" s="3" t="s">
        <v>33</v>
      </c>
      <c r="L4444" s="3" t="s">
        <v>34</v>
      </c>
      <c r="M4444" s="4">
        <v>9.98</v>
      </c>
    </row>
    <row r="4445">
      <c r="A4445" s="2">
        <v>46014</v>
      </c>
      <c r="B444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5" s="3" t="str">
        <f>YEAR(KMART_DATA[[#This Row],[Date]])&amp;"-"&amp;TEXT(MONTH(KMART_DATA[[#This Row],[Date]]),"00")</f>
        <v>2025-12</v>
      </c>
      <c r="D4445" s="3" t="s">
        <v>45</v>
      </c>
      <c r="E4445" s="3" t="s">
        <v>82</v>
      </c>
      <c r="F4445" s="3" t="s">
        <v>11</v>
      </c>
      <c r="G444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45" s="3" t="s">
        <v>83</v>
      </c>
      <c r="I4445" s="3" t="s">
        <v>31</v>
      </c>
      <c r="J4445" s="3" t="s">
        <v>84</v>
      </c>
      <c r="K4445" s="3" t="s">
        <v>123</v>
      </c>
      <c r="L4445" s="3" t="s">
        <v>124</v>
      </c>
      <c r="M4445" s="4">
        <v>58.19</v>
      </c>
    </row>
    <row r="4446">
      <c r="A4446" s="2">
        <v>46014</v>
      </c>
      <c r="B444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6" s="3" t="str">
        <f>YEAR(KMART_DATA[[#This Row],[Date]])&amp;"-"&amp;TEXT(MONTH(KMART_DATA[[#This Row],[Date]]),"00")</f>
        <v>2025-12</v>
      </c>
      <c r="D4446" s="3" t="s">
        <v>28</v>
      </c>
      <c r="E4446" s="3" t="s">
        <v>59</v>
      </c>
      <c r="F4446" s="3" t="s">
        <v>11</v>
      </c>
      <c r="G444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46" s="3" t="s">
        <v>60</v>
      </c>
      <c r="I4446" s="3" t="s">
        <v>31</v>
      </c>
      <c r="J4446" s="3" t="s">
        <v>61</v>
      </c>
      <c r="K4446" s="3" t="s">
        <v>43</v>
      </c>
      <c r="L4446" s="3" t="s">
        <v>44</v>
      </c>
      <c r="M4446" s="4">
        <v>552.23</v>
      </c>
    </row>
    <row r="4447">
      <c r="A4447" s="2">
        <v>46014</v>
      </c>
      <c r="B444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7" s="3" t="str">
        <f>YEAR(KMART_DATA[[#This Row],[Date]])&amp;"-"&amp;TEXT(MONTH(KMART_DATA[[#This Row],[Date]]),"00")</f>
        <v>2025-12</v>
      </c>
      <c r="D4447" s="3" t="s">
        <v>28</v>
      </c>
      <c r="E4447" s="3" t="s">
        <v>211</v>
      </c>
      <c r="F4447" s="3" t="s">
        <v>9</v>
      </c>
      <c r="G444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47" s="3" t="s">
        <v>212</v>
      </c>
      <c r="I4447" s="3" t="s">
        <v>31</v>
      </c>
      <c r="J4447" s="3" t="s">
        <v>75</v>
      </c>
      <c r="K4447" s="3" t="s">
        <v>123</v>
      </c>
      <c r="L4447" s="3" t="s">
        <v>124</v>
      </c>
      <c r="M4447" s="4">
        <v>796.76</v>
      </c>
    </row>
    <row r="4448">
      <c r="A4448" s="2">
        <v>46014</v>
      </c>
      <c r="B444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8" s="3" t="str">
        <f>YEAR(KMART_DATA[[#This Row],[Date]])&amp;"-"&amp;TEXT(MONTH(KMART_DATA[[#This Row],[Date]]),"00")</f>
        <v>2025-12</v>
      </c>
      <c r="D4448" s="3" t="s">
        <v>45</v>
      </c>
      <c r="E4448" s="3" t="s">
        <v>209</v>
      </c>
      <c r="F4448" s="3" t="s">
        <v>9</v>
      </c>
      <c r="G444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48" s="3" t="s">
        <v>210</v>
      </c>
      <c r="I4448" s="3" t="s">
        <v>31</v>
      </c>
      <c r="J4448" s="3" t="s">
        <v>81</v>
      </c>
      <c r="K4448" s="3" t="s">
        <v>43</v>
      </c>
      <c r="L4448" s="3" t="s">
        <v>44</v>
      </c>
      <c r="M4448" s="4">
        <v>1552.36</v>
      </c>
    </row>
    <row r="4449">
      <c r="A4449" s="2">
        <v>46014</v>
      </c>
      <c r="B444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49" s="3" t="str">
        <f>YEAR(KMART_DATA[[#This Row],[Date]])&amp;"-"&amp;TEXT(MONTH(KMART_DATA[[#This Row],[Date]]),"00")</f>
        <v>2025-12</v>
      </c>
      <c r="D4449" s="3" t="s">
        <v>28</v>
      </c>
      <c r="E4449" s="3" t="s">
        <v>105</v>
      </c>
      <c r="F4449" s="3" t="s">
        <v>9</v>
      </c>
      <c r="G444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49" s="3" t="s">
        <v>106</v>
      </c>
      <c r="I4449" s="3" t="s">
        <v>31</v>
      </c>
      <c r="J4449" s="3" t="s">
        <v>107</v>
      </c>
      <c r="K4449" s="3" t="s">
        <v>123</v>
      </c>
      <c r="L4449" s="3" t="s">
        <v>124</v>
      </c>
      <c r="M4449" s="4">
        <v>3350.64</v>
      </c>
    </row>
    <row r="4450">
      <c r="A4450" s="2">
        <v>46014</v>
      </c>
      <c r="B445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0" s="3" t="str">
        <f>YEAR(KMART_DATA[[#This Row],[Date]])&amp;"-"&amp;TEXT(MONTH(KMART_DATA[[#This Row],[Date]]),"00")</f>
        <v>2025-12</v>
      </c>
      <c r="D4450" s="3" t="s">
        <v>28</v>
      </c>
      <c r="E4450" s="3" t="s">
        <v>82</v>
      </c>
      <c r="F4450" s="3" t="s">
        <v>11</v>
      </c>
      <c r="G445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50" s="3" t="s">
        <v>83</v>
      </c>
      <c r="I4450" s="3" t="s">
        <v>31</v>
      </c>
      <c r="J4450" s="3" t="s">
        <v>84</v>
      </c>
      <c r="K4450" s="3" t="s">
        <v>95</v>
      </c>
      <c r="L4450" s="3" t="s">
        <v>96</v>
      </c>
      <c r="M4450" s="4">
        <v>5318.67</v>
      </c>
    </row>
    <row r="4451">
      <c r="A4451" s="2">
        <v>46015</v>
      </c>
      <c r="B445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1" s="3" t="str">
        <f>YEAR(KMART_DATA[[#This Row],[Date]])&amp;"-"&amp;TEXT(MONTH(KMART_DATA[[#This Row],[Date]]),"00")</f>
        <v>2025-12</v>
      </c>
      <c r="D4451" s="3" t="s">
        <v>45</v>
      </c>
      <c r="E4451" s="3" t="s">
        <v>213</v>
      </c>
      <c r="F4451" s="3" t="s">
        <v>11</v>
      </c>
      <c r="G445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51" s="3" t="s">
        <v>214</v>
      </c>
      <c r="I4451" s="3" t="s">
        <v>31</v>
      </c>
      <c r="J4451" s="3" t="s">
        <v>32</v>
      </c>
      <c r="K4451" s="3" t="s">
        <v>46</v>
      </c>
      <c r="L4451" s="3" t="s">
        <v>47</v>
      </c>
      <c r="M4451" s="4">
        <v>152.86</v>
      </c>
    </row>
    <row r="4452">
      <c r="A4452" s="2">
        <v>46015</v>
      </c>
      <c r="B445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2" s="3" t="str">
        <f>YEAR(KMART_DATA[[#This Row],[Date]])&amp;"-"&amp;TEXT(MONTH(KMART_DATA[[#This Row],[Date]]),"00")</f>
        <v>2025-12</v>
      </c>
      <c r="D4452" s="3" t="s">
        <v>28</v>
      </c>
      <c r="E4452" s="3" t="s">
        <v>29</v>
      </c>
      <c r="F4452" s="3" t="s">
        <v>11</v>
      </c>
      <c r="G445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52" s="3" t="s">
        <v>30</v>
      </c>
      <c r="I4452" s="3" t="s">
        <v>31</v>
      </c>
      <c r="J4452" s="3" t="s">
        <v>32</v>
      </c>
      <c r="K4452" s="3" t="s">
        <v>57</v>
      </c>
      <c r="L4452" s="3" t="s">
        <v>58</v>
      </c>
      <c r="M4452" s="4">
        <v>179.94</v>
      </c>
    </row>
    <row r="4453">
      <c r="A4453" s="2">
        <v>46015</v>
      </c>
      <c r="B445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3" s="3" t="str">
        <f>YEAR(KMART_DATA[[#This Row],[Date]])&amp;"-"&amp;TEXT(MONTH(KMART_DATA[[#This Row],[Date]]),"00")</f>
        <v>2025-12</v>
      </c>
      <c r="D4453" s="3" t="s">
        <v>45</v>
      </c>
      <c r="E4453" s="3" t="s">
        <v>62</v>
      </c>
      <c r="F4453" s="3" t="s">
        <v>12</v>
      </c>
      <c r="G445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53" s="3" t="s">
        <v>63</v>
      </c>
      <c r="I4453" s="3" t="s">
        <v>31</v>
      </c>
      <c r="J4453" s="3" t="s">
        <v>50</v>
      </c>
      <c r="K4453" s="3" t="s">
        <v>112</v>
      </c>
      <c r="L4453" s="3" t="s">
        <v>113</v>
      </c>
      <c r="M4453" s="4">
        <v>249.57</v>
      </c>
    </row>
    <row r="4454">
      <c r="A4454" s="2">
        <v>46015</v>
      </c>
      <c r="B445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4" s="3" t="str">
        <f>YEAR(KMART_DATA[[#This Row],[Date]])&amp;"-"&amp;TEXT(MONTH(KMART_DATA[[#This Row],[Date]]),"00")</f>
        <v>2025-12</v>
      </c>
      <c r="D4454" s="3" t="s">
        <v>28</v>
      </c>
      <c r="E4454" s="3" t="s">
        <v>195</v>
      </c>
      <c r="F4454" s="3" t="s">
        <v>11</v>
      </c>
      <c r="G445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54" s="3" t="s">
        <v>196</v>
      </c>
      <c r="I4454" s="3" t="s">
        <v>31</v>
      </c>
      <c r="J4454" s="3" t="s">
        <v>32</v>
      </c>
      <c r="K4454" s="3" t="s">
        <v>57</v>
      </c>
      <c r="L4454" s="3" t="s">
        <v>58</v>
      </c>
      <c r="M4454" s="4">
        <v>655.81</v>
      </c>
    </row>
    <row r="4455">
      <c r="A4455" s="2">
        <v>46016</v>
      </c>
      <c r="B445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5" s="3" t="str">
        <f>YEAR(KMART_DATA[[#This Row],[Date]])&amp;"-"&amp;TEXT(MONTH(KMART_DATA[[#This Row],[Date]]),"00")</f>
        <v>2025-12</v>
      </c>
      <c r="D4455" s="3" t="s">
        <v>45</v>
      </c>
      <c r="E4455" s="3" t="s">
        <v>73</v>
      </c>
      <c r="F4455" s="3" t="s">
        <v>9</v>
      </c>
      <c r="G445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55" s="3" t="s">
        <v>74</v>
      </c>
      <c r="I4455" s="3" t="s">
        <v>31</v>
      </c>
      <c r="J4455" s="3" t="s">
        <v>75</v>
      </c>
      <c r="K4455" s="3" t="s">
        <v>95</v>
      </c>
      <c r="L4455" s="3" t="s">
        <v>96</v>
      </c>
      <c r="M4455" s="4">
        <v>14.99</v>
      </c>
    </row>
    <row r="4456">
      <c r="A4456" s="2">
        <v>46016</v>
      </c>
      <c r="B445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6" s="3" t="str">
        <f>YEAR(KMART_DATA[[#This Row],[Date]])&amp;"-"&amp;TEXT(MONTH(KMART_DATA[[#This Row],[Date]]),"00")</f>
        <v>2025-12</v>
      </c>
      <c r="D4456" s="3" t="s">
        <v>28</v>
      </c>
      <c r="E4456" s="3" t="s">
        <v>139</v>
      </c>
      <c r="F4456" s="3" t="s">
        <v>10</v>
      </c>
      <c r="G445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56" s="3" t="s">
        <v>140</v>
      </c>
      <c r="I4456" s="3" t="s">
        <v>31</v>
      </c>
      <c r="J4456" s="3" t="s">
        <v>89</v>
      </c>
      <c r="K4456" s="3" t="s">
        <v>46</v>
      </c>
      <c r="L4456" s="3" t="s">
        <v>47</v>
      </c>
      <c r="M4456" s="4">
        <v>51.96</v>
      </c>
    </row>
    <row r="4457">
      <c r="A4457" s="2">
        <v>46016</v>
      </c>
      <c r="B445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7" s="3" t="str">
        <f>YEAR(KMART_DATA[[#This Row],[Date]])&amp;"-"&amp;TEXT(MONTH(KMART_DATA[[#This Row],[Date]]),"00")</f>
        <v>2025-12</v>
      </c>
      <c r="D4457" s="3" t="s">
        <v>45</v>
      </c>
      <c r="E4457" s="3" t="s">
        <v>185</v>
      </c>
      <c r="F4457" s="3" t="s">
        <v>12</v>
      </c>
      <c r="G445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57" s="3" t="s">
        <v>186</v>
      </c>
      <c r="I4457" s="3" t="s">
        <v>31</v>
      </c>
      <c r="J4457" s="3" t="s">
        <v>162</v>
      </c>
      <c r="K4457" s="3" t="s">
        <v>95</v>
      </c>
      <c r="L4457" s="3" t="s">
        <v>96</v>
      </c>
      <c r="M4457" s="4">
        <v>87.78</v>
      </c>
    </row>
    <row r="4458">
      <c r="A4458" s="2">
        <v>46016</v>
      </c>
      <c r="B445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8" s="3" t="str">
        <f>YEAR(KMART_DATA[[#This Row],[Date]])&amp;"-"&amp;TEXT(MONTH(KMART_DATA[[#This Row],[Date]]),"00")</f>
        <v>2025-12</v>
      </c>
      <c r="D4458" s="3" t="s">
        <v>28</v>
      </c>
      <c r="E4458" s="3" t="s">
        <v>97</v>
      </c>
      <c r="F4458" s="3" t="s">
        <v>9</v>
      </c>
      <c r="G445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58" s="3" t="s">
        <v>98</v>
      </c>
      <c r="I4458" s="3" t="s">
        <v>31</v>
      </c>
      <c r="J4458" s="3" t="s">
        <v>99</v>
      </c>
      <c r="K4458" s="3" t="s">
        <v>43</v>
      </c>
      <c r="L4458" s="3" t="s">
        <v>44</v>
      </c>
      <c r="M4458" s="4">
        <v>89.41</v>
      </c>
    </row>
    <row r="4459">
      <c r="A4459" s="2">
        <v>46016</v>
      </c>
      <c r="B445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59" s="3" t="str">
        <f>YEAR(KMART_DATA[[#This Row],[Date]])&amp;"-"&amp;TEXT(MONTH(KMART_DATA[[#This Row],[Date]]),"00")</f>
        <v>2025-12</v>
      </c>
      <c r="D4459" s="3" t="s">
        <v>28</v>
      </c>
      <c r="E4459" s="3" t="s">
        <v>175</v>
      </c>
      <c r="F4459" s="3" t="s">
        <v>16</v>
      </c>
      <c r="G445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459" s="3" t="s">
        <v>176</v>
      </c>
      <c r="I4459" s="3" t="s">
        <v>31</v>
      </c>
      <c r="J4459" s="3" t="s">
        <v>107</v>
      </c>
      <c r="K4459" s="3" t="s">
        <v>46</v>
      </c>
      <c r="L4459" s="3" t="s">
        <v>47</v>
      </c>
      <c r="M4459" s="4">
        <v>199.12</v>
      </c>
    </row>
    <row r="4460">
      <c r="A4460" s="2">
        <v>46016</v>
      </c>
      <c r="B446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0" s="3" t="str">
        <f>YEAR(KMART_DATA[[#This Row],[Date]])&amp;"-"&amp;TEXT(MONTH(KMART_DATA[[#This Row],[Date]]),"00")</f>
        <v>2025-12</v>
      </c>
      <c r="D4460" s="3" t="s">
        <v>28</v>
      </c>
      <c r="E4460" s="3" t="s">
        <v>139</v>
      </c>
      <c r="F4460" s="3" t="s">
        <v>10</v>
      </c>
      <c r="G446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60" s="3" t="s">
        <v>140</v>
      </c>
      <c r="I4460" s="3" t="s">
        <v>31</v>
      </c>
      <c r="J4460" s="3" t="s">
        <v>89</v>
      </c>
      <c r="K4460" s="3" t="s">
        <v>71</v>
      </c>
      <c r="L4460" s="3" t="s">
        <v>72</v>
      </c>
      <c r="M4460" s="4">
        <v>4096.79</v>
      </c>
    </row>
    <row r="4461">
      <c r="A4461" s="2">
        <v>46016</v>
      </c>
      <c r="B446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1" s="3" t="str">
        <f>YEAR(KMART_DATA[[#This Row],[Date]])&amp;"-"&amp;TEXT(MONTH(KMART_DATA[[#This Row],[Date]]),"00")</f>
        <v>2025-12</v>
      </c>
      <c r="D4461" s="3" t="s">
        <v>45</v>
      </c>
      <c r="E4461" s="3" t="s">
        <v>129</v>
      </c>
      <c r="F4461" s="3" t="s">
        <v>10</v>
      </c>
      <c r="G446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61" s="3" t="s">
        <v>130</v>
      </c>
      <c r="I4461" s="3" t="s">
        <v>31</v>
      </c>
      <c r="J4461" s="3" t="s">
        <v>120</v>
      </c>
      <c r="K4461" s="3" t="s">
        <v>95</v>
      </c>
      <c r="L4461" s="3" t="s">
        <v>96</v>
      </c>
      <c r="M4461" s="4">
        <v>5236.06</v>
      </c>
    </row>
    <row r="4462">
      <c r="A4462" s="2">
        <v>46017</v>
      </c>
      <c r="B446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2" s="3" t="str">
        <f>YEAR(KMART_DATA[[#This Row],[Date]])&amp;"-"&amp;TEXT(MONTH(KMART_DATA[[#This Row],[Date]]),"00")</f>
        <v>2025-12</v>
      </c>
      <c r="D4462" s="3" t="s">
        <v>28</v>
      </c>
      <c r="E4462" s="3" t="s">
        <v>127</v>
      </c>
      <c r="F4462" s="3" t="s">
        <v>11</v>
      </c>
      <c r="G446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62" s="3" t="s">
        <v>128</v>
      </c>
      <c r="I4462" s="3" t="s">
        <v>31</v>
      </c>
      <c r="J4462" s="3" t="s">
        <v>78</v>
      </c>
      <c r="K4462" s="3" t="s">
        <v>95</v>
      </c>
      <c r="L4462" s="3" t="s">
        <v>96</v>
      </c>
      <c r="M4462" s="4">
        <v>4.0</v>
      </c>
    </row>
    <row r="4463">
      <c r="A4463" s="2">
        <v>46017</v>
      </c>
      <c r="B446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3" s="3" t="str">
        <f>YEAR(KMART_DATA[[#This Row],[Date]])&amp;"-"&amp;TEXT(MONTH(KMART_DATA[[#This Row],[Date]]),"00")</f>
        <v>2025-12</v>
      </c>
      <c r="D4463" s="3" t="s">
        <v>28</v>
      </c>
      <c r="E4463" s="3" t="s">
        <v>139</v>
      </c>
      <c r="F4463" s="3" t="s">
        <v>10</v>
      </c>
      <c r="G446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63" s="3" t="s">
        <v>140</v>
      </c>
      <c r="I4463" s="3" t="s">
        <v>31</v>
      </c>
      <c r="J4463" s="3" t="s">
        <v>89</v>
      </c>
      <c r="K4463" s="3" t="s">
        <v>33</v>
      </c>
      <c r="L4463" s="3" t="s">
        <v>34</v>
      </c>
      <c r="M4463" s="4">
        <v>5.98</v>
      </c>
    </row>
    <row r="4464">
      <c r="A4464" s="2">
        <v>46017</v>
      </c>
      <c r="B446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4" s="3" t="str">
        <f>YEAR(KMART_DATA[[#This Row],[Date]])&amp;"-"&amp;TEXT(MONTH(KMART_DATA[[#This Row],[Date]]),"00")</f>
        <v>2025-12</v>
      </c>
      <c r="D4464" s="3" t="s">
        <v>45</v>
      </c>
      <c r="E4464" s="3" t="s">
        <v>73</v>
      </c>
      <c r="F4464" s="3" t="s">
        <v>9</v>
      </c>
      <c r="G446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64" s="3" t="s">
        <v>74</v>
      </c>
      <c r="I4464" s="3" t="s">
        <v>31</v>
      </c>
      <c r="J4464" s="3" t="s">
        <v>75</v>
      </c>
      <c r="K4464" s="3" t="s">
        <v>112</v>
      </c>
      <c r="L4464" s="3" t="s">
        <v>113</v>
      </c>
      <c r="M4464" s="4">
        <v>17.91</v>
      </c>
    </row>
    <row r="4465">
      <c r="A4465" s="2">
        <v>46017</v>
      </c>
      <c r="B446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5" s="3" t="str">
        <f>YEAR(KMART_DATA[[#This Row],[Date]])&amp;"-"&amp;TEXT(MONTH(KMART_DATA[[#This Row],[Date]]),"00")</f>
        <v>2025-12</v>
      </c>
      <c r="D4465" s="3" t="s">
        <v>45</v>
      </c>
      <c r="E4465" s="3" t="s">
        <v>211</v>
      </c>
      <c r="F4465" s="3" t="s">
        <v>9</v>
      </c>
      <c r="G446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65" s="3" t="s">
        <v>212</v>
      </c>
      <c r="I4465" s="3" t="s">
        <v>31</v>
      </c>
      <c r="J4465" s="3" t="s">
        <v>75</v>
      </c>
      <c r="K4465" s="3" t="s">
        <v>46</v>
      </c>
      <c r="L4465" s="3" t="s">
        <v>47</v>
      </c>
      <c r="M4465" s="4">
        <v>205.64</v>
      </c>
    </row>
    <row r="4466">
      <c r="A4466" s="2">
        <v>46017</v>
      </c>
      <c r="B446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6" s="3" t="str">
        <f>YEAR(KMART_DATA[[#This Row],[Date]])&amp;"-"&amp;TEXT(MONTH(KMART_DATA[[#This Row],[Date]]),"00")</f>
        <v>2025-12</v>
      </c>
      <c r="D4466" s="3" t="s">
        <v>28</v>
      </c>
      <c r="E4466" s="3" t="s">
        <v>129</v>
      </c>
      <c r="F4466" s="3" t="s">
        <v>10</v>
      </c>
      <c r="G446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66" s="3" t="s">
        <v>130</v>
      </c>
      <c r="I4466" s="3" t="s">
        <v>31</v>
      </c>
      <c r="J4466" s="3" t="s">
        <v>120</v>
      </c>
      <c r="K4466" s="3" t="s">
        <v>43</v>
      </c>
      <c r="L4466" s="3" t="s">
        <v>44</v>
      </c>
      <c r="M4466" s="4">
        <v>555.95</v>
      </c>
    </row>
    <row r="4467">
      <c r="A4467" s="2">
        <v>46017</v>
      </c>
      <c r="B446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7" s="3" t="str">
        <f>YEAR(KMART_DATA[[#This Row],[Date]])&amp;"-"&amp;TEXT(MONTH(KMART_DATA[[#This Row],[Date]]),"00")</f>
        <v>2025-12</v>
      </c>
      <c r="D4467" s="3" t="s">
        <v>45</v>
      </c>
      <c r="E4467" s="3" t="s">
        <v>143</v>
      </c>
      <c r="F4467" s="3" t="s">
        <v>14</v>
      </c>
      <c r="G446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467" s="3" t="s">
        <v>144</v>
      </c>
      <c r="I4467" s="3" t="s">
        <v>31</v>
      </c>
      <c r="J4467" s="3" t="s">
        <v>145</v>
      </c>
      <c r="K4467" s="3" t="s">
        <v>71</v>
      </c>
      <c r="L4467" s="3" t="s">
        <v>72</v>
      </c>
      <c r="M4467" s="4">
        <v>672.35</v>
      </c>
    </row>
    <row r="4468">
      <c r="A4468" s="2">
        <v>46017</v>
      </c>
      <c r="B446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8" s="3" t="str">
        <f>YEAR(KMART_DATA[[#This Row],[Date]])&amp;"-"&amp;TEXT(MONTH(KMART_DATA[[#This Row],[Date]]),"00")</f>
        <v>2025-12</v>
      </c>
      <c r="D4468" s="3" t="s">
        <v>28</v>
      </c>
      <c r="E4468" s="3" t="s">
        <v>187</v>
      </c>
      <c r="F4468" s="3" t="s">
        <v>11</v>
      </c>
      <c r="G446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68" s="3" t="s">
        <v>188</v>
      </c>
      <c r="I4468" s="3" t="s">
        <v>31</v>
      </c>
      <c r="J4468" s="3" t="s">
        <v>78</v>
      </c>
      <c r="K4468" s="3" t="s">
        <v>57</v>
      </c>
      <c r="L4468" s="3" t="s">
        <v>58</v>
      </c>
      <c r="M4468" s="4">
        <v>699.15</v>
      </c>
    </row>
    <row r="4469">
      <c r="A4469" s="2">
        <v>46017</v>
      </c>
      <c r="B446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69" s="3" t="str">
        <f>YEAR(KMART_DATA[[#This Row],[Date]])&amp;"-"&amp;TEXT(MONTH(KMART_DATA[[#This Row],[Date]]),"00")</f>
        <v>2025-12</v>
      </c>
      <c r="D4469" s="3" t="s">
        <v>28</v>
      </c>
      <c r="E4469" s="3" t="s">
        <v>90</v>
      </c>
      <c r="F4469" s="3" t="s">
        <v>10</v>
      </c>
      <c r="G446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69" s="3" t="s">
        <v>91</v>
      </c>
      <c r="I4469" s="3" t="s">
        <v>31</v>
      </c>
      <c r="J4469" s="3" t="s">
        <v>37</v>
      </c>
      <c r="K4469" s="3" t="s">
        <v>123</v>
      </c>
      <c r="L4469" s="3" t="s">
        <v>124</v>
      </c>
      <c r="M4469" s="4">
        <v>751.21</v>
      </c>
    </row>
    <row r="4470">
      <c r="A4470" s="2">
        <v>46018</v>
      </c>
      <c r="B447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0" s="3" t="str">
        <f>YEAR(KMART_DATA[[#This Row],[Date]])&amp;"-"&amp;TEXT(MONTH(KMART_DATA[[#This Row],[Date]]),"00")</f>
        <v>2025-12</v>
      </c>
      <c r="D4470" s="3" t="s">
        <v>45</v>
      </c>
      <c r="E4470" s="3" t="s">
        <v>114</v>
      </c>
      <c r="F4470" s="3" t="s">
        <v>9</v>
      </c>
      <c r="G447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70" s="3" t="s">
        <v>115</v>
      </c>
      <c r="I4470" s="3" t="s">
        <v>31</v>
      </c>
      <c r="J4470" s="3" t="s">
        <v>99</v>
      </c>
      <c r="K4470" s="3" t="s">
        <v>66</v>
      </c>
      <c r="L4470" s="3" t="s">
        <v>67</v>
      </c>
      <c r="M4470" s="4">
        <v>122.04</v>
      </c>
    </row>
    <row r="4471">
      <c r="A4471" s="2">
        <v>46018</v>
      </c>
      <c r="B447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1" s="3" t="str">
        <f>YEAR(KMART_DATA[[#This Row],[Date]])&amp;"-"&amp;TEXT(MONTH(KMART_DATA[[#This Row],[Date]]),"00")</f>
        <v>2025-12</v>
      </c>
      <c r="D4471" s="3" t="s">
        <v>28</v>
      </c>
      <c r="E4471" s="3" t="s">
        <v>234</v>
      </c>
      <c r="F4471" s="3" t="s">
        <v>9</v>
      </c>
      <c r="G447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71" s="3" t="s">
        <v>235</v>
      </c>
      <c r="I4471" s="3" t="s">
        <v>31</v>
      </c>
      <c r="J4471" s="3" t="s">
        <v>81</v>
      </c>
      <c r="K4471" s="3" t="s">
        <v>112</v>
      </c>
      <c r="L4471" s="3" t="s">
        <v>113</v>
      </c>
      <c r="M4471" s="4">
        <v>233.18</v>
      </c>
    </row>
    <row r="4472">
      <c r="A4472" s="2">
        <v>46018</v>
      </c>
      <c r="B447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2" s="3" t="str">
        <f>YEAR(KMART_DATA[[#This Row],[Date]])&amp;"-"&amp;TEXT(MONTH(KMART_DATA[[#This Row],[Date]]),"00")</f>
        <v>2025-12</v>
      </c>
      <c r="D4472" s="3" t="s">
        <v>28</v>
      </c>
      <c r="E4472" s="3" t="s">
        <v>205</v>
      </c>
      <c r="F4472" s="3" t="s">
        <v>10</v>
      </c>
      <c r="G447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72" s="3" t="s">
        <v>206</v>
      </c>
      <c r="I4472" s="3" t="s">
        <v>31</v>
      </c>
      <c r="J4472" s="3" t="s">
        <v>37</v>
      </c>
      <c r="K4472" s="3" t="s">
        <v>71</v>
      </c>
      <c r="L4472" s="3" t="s">
        <v>72</v>
      </c>
      <c r="M4472" s="4">
        <v>387.6</v>
      </c>
    </row>
    <row r="4473">
      <c r="A4473" s="2">
        <v>46018</v>
      </c>
      <c r="B447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3" s="3" t="str">
        <f>YEAR(KMART_DATA[[#This Row],[Date]])&amp;"-"&amp;TEXT(MONTH(KMART_DATA[[#This Row],[Date]]),"00")</f>
        <v>2025-12</v>
      </c>
      <c r="D4473" s="3" t="s">
        <v>28</v>
      </c>
      <c r="E4473" s="3" t="s">
        <v>87</v>
      </c>
      <c r="F4473" s="3" t="s">
        <v>10</v>
      </c>
      <c r="G447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73" s="3" t="s">
        <v>88</v>
      </c>
      <c r="I4473" s="3" t="s">
        <v>31</v>
      </c>
      <c r="J4473" s="3" t="s">
        <v>89</v>
      </c>
      <c r="K4473" s="3" t="s">
        <v>46</v>
      </c>
      <c r="L4473" s="3" t="s">
        <v>47</v>
      </c>
      <c r="M4473" s="4">
        <v>1970.79</v>
      </c>
    </row>
    <row r="4474">
      <c r="A4474" s="2">
        <v>46018</v>
      </c>
      <c r="B447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4" s="3" t="str">
        <f>YEAR(KMART_DATA[[#This Row],[Date]])&amp;"-"&amp;TEXT(MONTH(KMART_DATA[[#This Row],[Date]]),"00")</f>
        <v>2025-12</v>
      </c>
      <c r="D4474" s="3" t="s">
        <v>28</v>
      </c>
      <c r="E4474" s="3" t="s">
        <v>238</v>
      </c>
      <c r="F4474" s="3" t="s">
        <v>13</v>
      </c>
      <c r="G447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474" s="3" t="s">
        <v>239</v>
      </c>
      <c r="I4474" s="3" t="s">
        <v>31</v>
      </c>
      <c r="J4474" s="3" t="s">
        <v>42</v>
      </c>
      <c r="K4474" s="3" t="s">
        <v>46</v>
      </c>
      <c r="L4474" s="3" t="s">
        <v>47</v>
      </c>
      <c r="M4474" s="4">
        <v>2452.88</v>
      </c>
    </row>
    <row r="4475">
      <c r="A4475" s="2">
        <v>46019</v>
      </c>
      <c r="B447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5" s="3" t="str">
        <f>YEAR(KMART_DATA[[#This Row],[Date]])&amp;"-"&amp;TEXT(MONTH(KMART_DATA[[#This Row],[Date]]),"00")</f>
        <v>2025-12</v>
      </c>
      <c r="D4475" s="3" t="s">
        <v>28</v>
      </c>
      <c r="E4475" s="3" t="s">
        <v>209</v>
      </c>
      <c r="F4475" s="3" t="s">
        <v>9</v>
      </c>
      <c r="G447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75" s="3" t="s">
        <v>210</v>
      </c>
      <c r="I4475" s="3" t="s">
        <v>31</v>
      </c>
      <c r="J4475" s="3" t="s">
        <v>81</v>
      </c>
      <c r="K4475" s="3" t="s">
        <v>95</v>
      </c>
      <c r="L4475" s="3" t="s">
        <v>96</v>
      </c>
      <c r="M4475" s="4">
        <v>1.5</v>
      </c>
    </row>
    <row r="4476">
      <c r="A4476" s="2">
        <v>46019</v>
      </c>
      <c r="B447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6" s="3" t="str">
        <f>YEAR(KMART_DATA[[#This Row],[Date]])&amp;"-"&amp;TEXT(MONTH(KMART_DATA[[#This Row],[Date]]),"00")</f>
        <v>2025-12</v>
      </c>
      <c r="D4476" s="3" t="s">
        <v>28</v>
      </c>
      <c r="E4476" s="3" t="s">
        <v>258</v>
      </c>
      <c r="F4476" s="3" t="s">
        <v>14</v>
      </c>
      <c r="G447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476" s="3" t="s">
        <v>259</v>
      </c>
      <c r="I4476" s="3" t="s">
        <v>31</v>
      </c>
      <c r="J4476" s="3" t="s">
        <v>145</v>
      </c>
      <c r="K4476" s="3" t="s">
        <v>71</v>
      </c>
      <c r="L4476" s="3" t="s">
        <v>72</v>
      </c>
      <c r="M4476" s="4">
        <v>17.99</v>
      </c>
    </row>
    <row r="4477">
      <c r="A4477" s="2">
        <v>46019</v>
      </c>
      <c r="B447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7" s="3" t="str">
        <f>YEAR(KMART_DATA[[#This Row],[Date]])&amp;"-"&amp;TEXT(MONTH(KMART_DATA[[#This Row],[Date]]),"00")</f>
        <v>2025-12</v>
      </c>
      <c r="D4477" s="3" t="s">
        <v>28</v>
      </c>
      <c r="E4477" s="3" t="s">
        <v>143</v>
      </c>
      <c r="F4477" s="3" t="s">
        <v>14</v>
      </c>
      <c r="G447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477" s="3" t="s">
        <v>144</v>
      </c>
      <c r="I4477" s="3" t="s">
        <v>31</v>
      </c>
      <c r="J4477" s="3" t="s">
        <v>145</v>
      </c>
      <c r="K4477" s="3" t="s">
        <v>112</v>
      </c>
      <c r="L4477" s="3" t="s">
        <v>113</v>
      </c>
      <c r="M4477" s="4">
        <v>222.81</v>
      </c>
    </row>
    <row r="4478">
      <c r="A4478" s="2">
        <v>46019</v>
      </c>
      <c r="B447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8" s="3" t="str">
        <f>YEAR(KMART_DATA[[#This Row],[Date]])&amp;"-"&amp;TEXT(MONTH(KMART_DATA[[#This Row],[Date]]),"00")</f>
        <v>2025-12</v>
      </c>
      <c r="D4478" s="3" t="s">
        <v>45</v>
      </c>
      <c r="E4478" s="3" t="s">
        <v>143</v>
      </c>
      <c r="F4478" s="3" t="s">
        <v>14</v>
      </c>
      <c r="G447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478" s="3" t="s">
        <v>144</v>
      </c>
      <c r="I4478" s="3" t="s">
        <v>31</v>
      </c>
      <c r="J4478" s="3" t="s">
        <v>145</v>
      </c>
      <c r="K4478" s="3" t="s">
        <v>112</v>
      </c>
      <c r="L4478" s="3" t="s">
        <v>113</v>
      </c>
      <c r="M4478" s="4">
        <v>455.71</v>
      </c>
    </row>
    <row r="4479">
      <c r="A4479" s="2">
        <v>46019</v>
      </c>
      <c r="B447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79" s="3" t="str">
        <f>YEAR(KMART_DATA[[#This Row],[Date]])&amp;"-"&amp;TEXT(MONTH(KMART_DATA[[#This Row],[Date]]),"00")</f>
        <v>2025-12</v>
      </c>
      <c r="D4479" s="3" t="s">
        <v>28</v>
      </c>
      <c r="E4479" s="3" t="s">
        <v>199</v>
      </c>
      <c r="F4479" s="3" t="s">
        <v>13</v>
      </c>
      <c r="G447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479" s="3" t="s">
        <v>200</v>
      </c>
      <c r="I4479" s="3" t="s">
        <v>31</v>
      </c>
      <c r="J4479" s="3" t="s">
        <v>42</v>
      </c>
      <c r="K4479" s="3" t="s">
        <v>71</v>
      </c>
      <c r="L4479" s="3" t="s">
        <v>72</v>
      </c>
      <c r="M4479" s="4">
        <v>550.46</v>
      </c>
    </row>
    <row r="4480">
      <c r="A4480" s="2">
        <v>46019</v>
      </c>
      <c r="B448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0" s="3" t="str">
        <f>YEAR(KMART_DATA[[#This Row],[Date]])&amp;"-"&amp;TEXT(MONTH(KMART_DATA[[#This Row],[Date]]),"00")</f>
        <v>2025-12</v>
      </c>
      <c r="D4480" s="3" t="s">
        <v>28</v>
      </c>
      <c r="E4480" s="3" t="s">
        <v>203</v>
      </c>
      <c r="F4480" s="3" t="s">
        <v>10</v>
      </c>
      <c r="G448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80" s="3" t="s">
        <v>204</v>
      </c>
      <c r="I4480" s="3" t="s">
        <v>31</v>
      </c>
      <c r="J4480" s="3" t="s">
        <v>89</v>
      </c>
      <c r="K4480" s="3" t="s">
        <v>38</v>
      </c>
      <c r="L4480" s="3" t="s">
        <v>39</v>
      </c>
      <c r="M4480" s="4">
        <v>600.96</v>
      </c>
    </row>
    <row r="4481">
      <c r="A4481" s="2">
        <v>46019</v>
      </c>
      <c r="B448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1" s="3" t="str">
        <f>YEAR(KMART_DATA[[#This Row],[Date]])&amp;"-"&amp;TEXT(MONTH(KMART_DATA[[#This Row],[Date]]),"00")</f>
        <v>2025-12</v>
      </c>
      <c r="D4481" s="3" t="s">
        <v>45</v>
      </c>
      <c r="E4481" s="3" t="s">
        <v>141</v>
      </c>
      <c r="F4481" s="3" t="s">
        <v>9</v>
      </c>
      <c r="G448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81" s="3" t="s">
        <v>142</v>
      </c>
      <c r="I4481" s="3" t="s">
        <v>31</v>
      </c>
      <c r="J4481" s="3" t="s">
        <v>107</v>
      </c>
      <c r="K4481" s="3" t="s">
        <v>57</v>
      </c>
      <c r="L4481" s="3" t="s">
        <v>58</v>
      </c>
      <c r="M4481" s="4">
        <v>1070.1</v>
      </c>
    </row>
    <row r="4482">
      <c r="A4482" s="2">
        <v>46020</v>
      </c>
      <c r="B448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2" s="3" t="str">
        <f>YEAR(KMART_DATA[[#This Row],[Date]])&amp;"-"&amp;TEXT(MONTH(KMART_DATA[[#This Row],[Date]]),"00")</f>
        <v>2025-12</v>
      </c>
      <c r="D4482" s="3" t="s">
        <v>28</v>
      </c>
      <c r="E4482" s="3" t="s">
        <v>217</v>
      </c>
      <c r="F4482" s="3" t="s">
        <v>10</v>
      </c>
      <c r="G448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82" s="3" t="s">
        <v>218</v>
      </c>
      <c r="I4482" s="3" t="s">
        <v>31</v>
      </c>
      <c r="J4482" s="3" t="s">
        <v>89</v>
      </c>
      <c r="K4482" s="3" t="s">
        <v>123</v>
      </c>
      <c r="L4482" s="3" t="s">
        <v>124</v>
      </c>
      <c r="M4482" s="4">
        <v>5.99</v>
      </c>
    </row>
    <row r="4483">
      <c r="A4483" s="2">
        <v>46020</v>
      </c>
      <c r="B448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3" s="3" t="str">
        <f>YEAR(KMART_DATA[[#This Row],[Date]])&amp;"-"&amp;TEXT(MONTH(KMART_DATA[[#This Row],[Date]]),"00")</f>
        <v>2025-12</v>
      </c>
      <c r="D4483" s="3" t="s">
        <v>28</v>
      </c>
      <c r="E4483" s="3" t="s">
        <v>260</v>
      </c>
      <c r="F4483" s="3" t="s">
        <v>10</v>
      </c>
      <c r="G448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483" s="3" t="s">
        <v>261</v>
      </c>
      <c r="I4483" s="3" t="s">
        <v>31</v>
      </c>
      <c r="J4483" s="3" t="s">
        <v>89</v>
      </c>
      <c r="K4483" s="3" t="s">
        <v>95</v>
      </c>
      <c r="L4483" s="3" t="s">
        <v>96</v>
      </c>
      <c r="M4483" s="4">
        <v>9.98</v>
      </c>
    </row>
    <row r="4484">
      <c r="A4484" s="2">
        <v>46020</v>
      </c>
      <c r="B448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4" s="3" t="str">
        <f>YEAR(KMART_DATA[[#This Row],[Date]])&amp;"-"&amp;TEXT(MONTH(KMART_DATA[[#This Row],[Date]]),"00")</f>
        <v>2025-12</v>
      </c>
      <c r="D4484" s="3" t="s">
        <v>45</v>
      </c>
      <c r="E4484" s="3" t="s">
        <v>181</v>
      </c>
      <c r="F4484" s="3" t="s">
        <v>11</v>
      </c>
      <c r="G448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84" s="3" t="s">
        <v>182</v>
      </c>
      <c r="I4484" s="3" t="s">
        <v>31</v>
      </c>
      <c r="J4484" s="3" t="s">
        <v>56</v>
      </c>
      <c r="K4484" s="3" t="s">
        <v>66</v>
      </c>
      <c r="L4484" s="3" t="s">
        <v>67</v>
      </c>
      <c r="M4484" s="4">
        <v>95.32</v>
      </c>
    </row>
    <row r="4485">
      <c r="A4485" s="2">
        <v>46020</v>
      </c>
      <c r="B448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5" s="3" t="str">
        <f>YEAR(KMART_DATA[[#This Row],[Date]])&amp;"-"&amp;TEXT(MONTH(KMART_DATA[[#This Row],[Date]]),"00")</f>
        <v>2025-12</v>
      </c>
      <c r="D4485" s="3" t="s">
        <v>28</v>
      </c>
      <c r="E4485" s="3" t="s">
        <v>258</v>
      </c>
      <c r="F4485" s="3" t="s">
        <v>14</v>
      </c>
      <c r="G448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Northern Territory</v>
      </c>
      <c r="H4485" s="3" t="s">
        <v>259</v>
      </c>
      <c r="I4485" s="3" t="s">
        <v>31</v>
      </c>
      <c r="J4485" s="3" t="s">
        <v>145</v>
      </c>
      <c r="K4485" s="3" t="s">
        <v>123</v>
      </c>
      <c r="L4485" s="3" t="s">
        <v>124</v>
      </c>
      <c r="M4485" s="4">
        <v>170.72</v>
      </c>
    </row>
    <row r="4486">
      <c r="A4486" s="2">
        <v>46020</v>
      </c>
      <c r="B448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6" s="3" t="str">
        <f>YEAR(KMART_DATA[[#This Row],[Date]])&amp;"-"&amp;TEXT(MONTH(KMART_DATA[[#This Row],[Date]]),"00")</f>
        <v>2025-12</v>
      </c>
      <c r="D4486" s="3" t="s">
        <v>28</v>
      </c>
      <c r="E4486" s="3" t="s">
        <v>51</v>
      </c>
      <c r="F4486" s="3" t="s">
        <v>15</v>
      </c>
      <c r="G448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Tasmania</v>
      </c>
      <c r="H4486" s="3" t="s">
        <v>52</v>
      </c>
      <c r="I4486" s="3" t="s">
        <v>31</v>
      </c>
      <c r="J4486" s="3" t="s">
        <v>53</v>
      </c>
      <c r="K4486" s="3" t="s">
        <v>43</v>
      </c>
      <c r="L4486" s="3" t="s">
        <v>44</v>
      </c>
      <c r="M4486" s="4">
        <v>202.16</v>
      </c>
    </row>
    <row r="4487">
      <c r="A4487" s="2">
        <v>46020</v>
      </c>
      <c r="B448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7" s="3" t="str">
        <f>YEAR(KMART_DATA[[#This Row],[Date]])&amp;"-"&amp;TEXT(MONTH(KMART_DATA[[#This Row],[Date]]),"00")</f>
        <v>2025-12</v>
      </c>
      <c r="D4487" s="3" t="s">
        <v>28</v>
      </c>
      <c r="E4487" s="3" t="s">
        <v>177</v>
      </c>
      <c r="F4487" s="3" t="s">
        <v>12</v>
      </c>
      <c r="G448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87" s="3" t="s">
        <v>178</v>
      </c>
      <c r="I4487" s="3" t="s">
        <v>31</v>
      </c>
      <c r="J4487" s="3" t="s">
        <v>162</v>
      </c>
      <c r="K4487" s="3" t="s">
        <v>112</v>
      </c>
      <c r="L4487" s="3" t="s">
        <v>113</v>
      </c>
      <c r="M4487" s="4">
        <v>293.04</v>
      </c>
    </row>
    <row r="4488">
      <c r="A4488" s="2">
        <v>46020</v>
      </c>
      <c r="B448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8" s="3" t="str">
        <f>YEAR(KMART_DATA[[#This Row],[Date]])&amp;"-"&amp;TEXT(MONTH(KMART_DATA[[#This Row],[Date]]),"00")</f>
        <v>2025-12</v>
      </c>
      <c r="D4488" s="3" t="s">
        <v>45</v>
      </c>
      <c r="E4488" s="3" t="s">
        <v>141</v>
      </c>
      <c r="F4488" s="3" t="s">
        <v>9</v>
      </c>
      <c r="G448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88" s="3" t="s">
        <v>142</v>
      </c>
      <c r="I4488" s="3" t="s">
        <v>31</v>
      </c>
      <c r="J4488" s="3" t="s">
        <v>107</v>
      </c>
      <c r="K4488" s="3" t="s">
        <v>57</v>
      </c>
      <c r="L4488" s="3" t="s">
        <v>58</v>
      </c>
      <c r="M4488" s="4">
        <v>300.2</v>
      </c>
    </row>
    <row r="4489">
      <c r="A4489" s="2">
        <v>46020</v>
      </c>
      <c r="B448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89" s="3" t="str">
        <f>YEAR(KMART_DATA[[#This Row],[Date]])&amp;"-"&amp;TEXT(MONTH(KMART_DATA[[#This Row],[Date]]),"00")</f>
        <v>2025-12</v>
      </c>
      <c r="D4489" s="3" t="s">
        <v>28</v>
      </c>
      <c r="E4489" s="3" t="s">
        <v>254</v>
      </c>
      <c r="F4489" s="3" t="s">
        <v>13</v>
      </c>
      <c r="G448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489" s="3" t="s">
        <v>255</v>
      </c>
      <c r="I4489" s="3" t="s">
        <v>31</v>
      </c>
      <c r="J4489" s="3" t="s">
        <v>227</v>
      </c>
      <c r="K4489" s="3" t="s">
        <v>71</v>
      </c>
      <c r="L4489" s="3" t="s">
        <v>72</v>
      </c>
      <c r="M4489" s="4">
        <v>577.27</v>
      </c>
    </row>
    <row r="4490">
      <c r="A4490" s="2">
        <v>46020</v>
      </c>
      <c r="B449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0" s="3" t="str">
        <f>YEAR(KMART_DATA[[#This Row],[Date]])&amp;"-"&amp;TEXT(MONTH(KMART_DATA[[#This Row],[Date]]),"00")</f>
        <v>2025-12</v>
      </c>
      <c r="D4490" s="3" t="s">
        <v>28</v>
      </c>
      <c r="E4490" s="3" t="s">
        <v>62</v>
      </c>
      <c r="F4490" s="3" t="s">
        <v>12</v>
      </c>
      <c r="G449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90" s="3" t="s">
        <v>63</v>
      </c>
      <c r="I4490" s="3" t="s">
        <v>31</v>
      </c>
      <c r="J4490" s="3" t="s">
        <v>50</v>
      </c>
      <c r="K4490" s="3" t="s">
        <v>71</v>
      </c>
      <c r="L4490" s="3" t="s">
        <v>72</v>
      </c>
      <c r="M4490" s="4">
        <v>1369.14</v>
      </c>
    </row>
    <row r="4491">
      <c r="A4491" s="2">
        <v>46021</v>
      </c>
      <c r="B449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1" s="3" t="str">
        <f>YEAR(KMART_DATA[[#This Row],[Date]])&amp;"-"&amp;TEXT(MONTH(KMART_DATA[[#This Row],[Date]]),"00")</f>
        <v>2025-12</v>
      </c>
      <c r="D4491" s="3" t="s">
        <v>45</v>
      </c>
      <c r="E4491" s="3" t="s">
        <v>167</v>
      </c>
      <c r="F4491" s="3" t="s">
        <v>12</v>
      </c>
      <c r="G449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91" s="3" t="s">
        <v>168</v>
      </c>
      <c r="I4491" s="3" t="s">
        <v>31</v>
      </c>
      <c r="J4491" s="3" t="s">
        <v>102</v>
      </c>
      <c r="K4491" s="3" t="s">
        <v>38</v>
      </c>
      <c r="L4491" s="3" t="s">
        <v>39</v>
      </c>
      <c r="M4491" s="4">
        <v>3.0</v>
      </c>
    </row>
    <row r="4492">
      <c r="A4492" s="2">
        <v>46021</v>
      </c>
      <c r="B449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2" s="3" t="str">
        <f>YEAR(KMART_DATA[[#This Row],[Date]])&amp;"-"&amp;TEXT(MONTH(KMART_DATA[[#This Row],[Date]]),"00")</f>
        <v>2025-12</v>
      </c>
      <c r="D4492" s="3" t="s">
        <v>28</v>
      </c>
      <c r="E4492" s="3" t="s">
        <v>221</v>
      </c>
      <c r="F4492" s="3" t="s">
        <v>11</v>
      </c>
      <c r="G449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92" s="3" t="s">
        <v>222</v>
      </c>
      <c r="I4492" s="3" t="s">
        <v>31</v>
      </c>
      <c r="J4492" s="3" t="s">
        <v>56</v>
      </c>
      <c r="K4492" s="3" t="s">
        <v>57</v>
      </c>
      <c r="L4492" s="3" t="s">
        <v>58</v>
      </c>
      <c r="M4492" s="4">
        <v>6.99</v>
      </c>
    </row>
    <row r="4493">
      <c r="A4493" s="2">
        <v>46021</v>
      </c>
      <c r="B449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3" s="3" t="str">
        <f>YEAR(KMART_DATA[[#This Row],[Date]])&amp;"-"&amp;TEXT(MONTH(KMART_DATA[[#This Row],[Date]]),"00")</f>
        <v>2025-12</v>
      </c>
      <c r="D4493" s="3" t="s">
        <v>28</v>
      </c>
      <c r="E4493" s="3" t="s">
        <v>169</v>
      </c>
      <c r="F4493" s="3" t="s">
        <v>12</v>
      </c>
      <c r="G449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93" s="3" t="s">
        <v>170</v>
      </c>
      <c r="I4493" s="3" t="s">
        <v>31</v>
      </c>
      <c r="J4493" s="3" t="s">
        <v>102</v>
      </c>
      <c r="K4493" s="3" t="s">
        <v>123</v>
      </c>
      <c r="L4493" s="3" t="s">
        <v>124</v>
      </c>
      <c r="M4493" s="4">
        <v>24.44</v>
      </c>
    </row>
    <row r="4494">
      <c r="A4494" s="2">
        <v>46021</v>
      </c>
      <c r="B449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4" s="3" t="str">
        <f>YEAR(KMART_DATA[[#This Row],[Date]])&amp;"-"&amp;TEXT(MONTH(KMART_DATA[[#This Row],[Date]]),"00")</f>
        <v>2025-12</v>
      </c>
      <c r="D4494" s="3" t="s">
        <v>28</v>
      </c>
      <c r="E4494" s="3" t="s">
        <v>169</v>
      </c>
      <c r="F4494" s="3" t="s">
        <v>12</v>
      </c>
      <c r="G449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94" s="3" t="s">
        <v>170</v>
      </c>
      <c r="I4494" s="3" t="s">
        <v>31</v>
      </c>
      <c r="J4494" s="3" t="s">
        <v>102</v>
      </c>
      <c r="K4494" s="3" t="s">
        <v>33</v>
      </c>
      <c r="L4494" s="3" t="s">
        <v>34</v>
      </c>
      <c r="M4494" s="4">
        <v>59.45</v>
      </c>
    </row>
    <row r="4495">
      <c r="A4495" s="2">
        <v>46021</v>
      </c>
      <c r="B449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5" s="3" t="str">
        <f>YEAR(KMART_DATA[[#This Row],[Date]])&amp;"-"&amp;TEXT(MONTH(KMART_DATA[[#This Row],[Date]]),"00")</f>
        <v>2025-12</v>
      </c>
      <c r="D4495" s="3" t="s">
        <v>28</v>
      </c>
      <c r="E4495" s="3" t="s">
        <v>219</v>
      </c>
      <c r="F4495" s="3" t="s">
        <v>11</v>
      </c>
      <c r="G449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95" s="3" t="s">
        <v>220</v>
      </c>
      <c r="I4495" s="3" t="s">
        <v>31</v>
      </c>
      <c r="J4495" s="3" t="s">
        <v>56</v>
      </c>
      <c r="K4495" s="3" t="s">
        <v>71</v>
      </c>
      <c r="L4495" s="3" t="s">
        <v>72</v>
      </c>
      <c r="M4495" s="4">
        <v>296.36</v>
      </c>
    </row>
    <row r="4496">
      <c r="A4496" s="2">
        <v>46021</v>
      </c>
      <c r="B449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6" s="3" t="str">
        <f>YEAR(KMART_DATA[[#This Row],[Date]])&amp;"-"&amp;TEXT(MONTH(KMART_DATA[[#This Row],[Date]]),"00")</f>
        <v>2025-12</v>
      </c>
      <c r="D4496" s="3" t="s">
        <v>45</v>
      </c>
      <c r="E4496" s="3" t="s">
        <v>103</v>
      </c>
      <c r="F4496" s="3" t="s">
        <v>12</v>
      </c>
      <c r="G449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Western Australia</v>
      </c>
      <c r="H4496" s="3" t="s">
        <v>104</v>
      </c>
      <c r="I4496" s="3" t="s">
        <v>31</v>
      </c>
      <c r="J4496" s="3" t="s">
        <v>102</v>
      </c>
      <c r="K4496" s="3" t="s">
        <v>33</v>
      </c>
      <c r="L4496" s="3" t="s">
        <v>34</v>
      </c>
      <c r="M4496" s="4">
        <v>297.28</v>
      </c>
    </row>
    <row r="4497">
      <c r="A4497" s="2">
        <v>46021</v>
      </c>
      <c r="B4497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7" s="3" t="str">
        <f>YEAR(KMART_DATA[[#This Row],[Date]])&amp;"-"&amp;TEXT(MONTH(KMART_DATA[[#This Row],[Date]]),"00")</f>
        <v>2025-12</v>
      </c>
      <c r="D4497" s="3" t="s">
        <v>28</v>
      </c>
      <c r="E4497" s="3" t="s">
        <v>221</v>
      </c>
      <c r="F4497" s="3" t="s">
        <v>11</v>
      </c>
      <c r="G4497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97" s="3" t="s">
        <v>222</v>
      </c>
      <c r="I4497" s="3" t="s">
        <v>31</v>
      </c>
      <c r="J4497" s="3" t="s">
        <v>56</v>
      </c>
      <c r="K4497" s="3" t="s">
        <v>38</v>
      </c>
      <c r="L4497" s="3" t="s">
        <v>39</v>
      </c>
      <c r="M4497" s="4">
        <v>565.78</v>
      </c>
    </row>
    <row r="4498">
      <c r="A4498" s="2">
        <v>46021</v>
      </c>
      <c r="B4498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8" s="3" t="str">
        <f>YEAR(KMART_DATA[[#This Row],[Date]])&amp;"-"&amp;TEXT(MONTH(KMART_DATA[[#This Row],[Date]]),"00")</f>
        <v>2025-12</v>
      </c>
      <c r="D4498" s="3" t="s">
        <v>28</v>
      </c>
      <c r="E4498" s="3" t="s">
        <v>97</v>
      </c>
      <c r="F4498" s="3" t="s">
        <v>9</v>
      </c>
      <c r="G4498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498" s="3" t="s">
        <v>98</v>
      </c>
      <c r="I4498" s="3" t="s">
        <v>31</v>
      </c>
      <c r="J4498" s="3" t="s">
        <v>99</v>
      </c>
      <c r="K4498" s="3" t="s">
        <v>123</v>
      </c>
      <c r="L4498" s="3" t="s">
        <v>124</v>
      </c>
      <c r="M4498" s="4">
        <v>928.56</v>
      </c>
    </row>
    <row r="4499">
      <c r="A4499" s="2">
        <v>46022</v>
      </c>
      <c r="B4499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499" s="3" t="str">
        <f>YEAR(KMART_DATA[[#This Row],[Date]])&amp;"-"&amp;TEXT(MONTH(KMART_DATA[[#This Row],[Date]]),"00")</f>
        <v>2025-12</v>
      </c>
      <c r="D4499" s="3" t="s">
        <v>28</v>
      </c>
      <c r="E4499" s="3" t="s">
        <v>228</v>
      </c>
      <c r="F4499" s="3" t="s">
        <v>11</v>
      </c>
      <c r="G4499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499" s="3" t="s">
        <v>229</v>
      </c>
      <c r="I4499" s="3" t="s">
        <v>31</v>
      </c>
      <c r="J4499" s="3" t="s">
        <v>32</v>
      </c>
      <c r="K4499" s="3" t="s">
        <v>95</v>
      </c>
      <c r="L4499" s="3" t="s">
        <v>96</v>
      </c>
      <c r="M4499" s="4">
        <v>6.5</v>
      </c>
    </row>
    <row r="4500">
      <c r="A4500" s="2">
        <v>46022</v>
      </c>
      <c r="B4500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500" s="3" t="str">
        <f>YEAR(KMART_DATA[[#This Row],[Date]])&amp;"-"&amp;TEXT(MONTH(KMART_DATA[[#This Row],[Date]]),"00")</f>
        <v>2025-12</v>
      </c>
      <c r="D4500" s="3" t="s">
        <v>28</v>
      </c>
      <c r="E4500" s="3" t="s">
        <v>97</v>
      </c>
      <c r="F4500" s="3" t="s">
        <v>9</v>
      </c>
      <c r="G4500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500" s="3" t="s">
        <v>98</v>
      </c>
      <c r="I4500" s="3" t="s">
        <v>31</v>
      </c>
      <c r="J4500" s="3" t="s">
        <v>99</v>
      </c>
      <c r="K4500" s="3" t="s">
        <v>123</v>
      </c>
      <c r="L4500" s="3" t="s">
        <v>124</v>
      </c>
      <c r="M4500" s="4">
        <v>15.84</v>
      </c>
    </row>
    <row r="4501">
      <c r="A4501" s="2">
        <v>46022</v>
      </c>
      <c r="B4501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501" s="3" t="str">
        <f>YEAR(KMART_DATA[[#This Row],[Date]])&amp;"-"&amp;TEXT(MONTH(KMART_DATA[[#This Row],[Date]]),"00")</f>
        <v>2025-12</v>
      </c>
      <c r="D4501" s="3" t="s">
        <v>45</v>
      </c>
      <c r="E4501" s="3" t="s">
        <v>201</v>
      </c>
      <c r="F4501" s="3" t="s">
        <v>10</v>
      </c>
      <c r="G4501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501" s="3" t="s">
        <v>202</v>
      </c>
      <c r="I4501" s="3" t="s">
        <v>31</v>
      </c>
      <c r="J4501" s="3" t="s">
        <v>89</v>
      </c>
      <c r="K4501" s="3" t="s">
        <v>38</v>
      </c>
      <c r="L4501" s="3" t="s">
        <v>39</v>
      </c>
      <c r="M4501" s="4">
        <v>141.77</v>
      </c>
    </row>
    <row r="4502">
      <c r="A4502" s="2">
        <v>46022</v>
      </c>
      <c r="B4502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502" s="3" t="str">
        <f>YEAR(KMART_DATA[[#This Row],[Date]])&amp;"-"&amp;TEXT(MONTH(KMART_DATA[[#This Row],[Date]]),"00")</f>
        <v>2025-12</v>
      </c>
      <c r="D4502" s="3" t="s">
        <v>28</v>
      </c>
      <c r="E4502" s="3" t="s">
        <v>175</v>
      </c>
      <c r="F4502" s="3" t="s">
        <v>16</v>
      </c>
      <c r="G4502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Australian Capital Territory</v>
      </c>
      <c r="H4502" s="3" t="s">
        <v>176</v>
      </c>
      <c r="I4502" s="3" t="s">
        <v>31</v>
      </c>
      <c r="J4502" s="3" t="s">
        <v>107</v>
      </c>
      <c r="K4502" s="3" t="s">
        <v>38</v>
      </c>
      <c r="L4502" s="3" t="s">
        <v>39</v>
      </c>
      <c r="M4502" s="4">
        <v>153.76</v>
      </c>
    </row>
    <row r="4503">
      <c r="A4503" s="2">
        <v>46022</v>
      </c>
      <c r="B4503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503" s="3" t="str">
        <f>YEAR(KMART_DATA[[#This Row],[Date]])&amp;"-"&amp;TEXT(MONTH(KMART_DATA[[#This Row],[Date]]),"00")</f>
        <v>2025-12</v>
      </c>
      <c r="D4503" s="3" t="s">
        <v>28</v>
      </c>
      <c r="E4503" s="3" t="s">
        <v>40</v>
      </c>
      <c r="F4503" s="3" t="s">
        <v>13</v>
      </c>
      <c r="G4503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South Australia</v>
      </c>
      <c r="H4503" s="3" t="s">
        <v>41</v>
      </c>
      <c r="I4503" s="3" t="s">
        <v>31</v>
      </c>
      <c r="J4503" s="3" t="s">
        <v>42</v>
      </c>
      <c r="K4503" s="3" t="s">
        <v>71</v>
      </c>
      <c r="L4503" s="3" t="s">
        <v>72</v>
      </c>
      <c r="M4503" s="4">
        <v>171.76</v>
      </c>
    </row>
    <row r="4504">
      <c r="A4504" s="2">
        <v>46022</v>
      </c>
      <c r="B4504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504" s="3" t="str">
        <f>YEAR(KMART_DATA[[#This Row],[Date]])&amp;"-"&amp;TEXT(MONTH(KMART_DATA[[#This Row],[Date]]),"00")</f>
        <v>2025-12</v>
      </c>
      <c r="D4504" s="3" t="s">
        <v>28</v>
      </c>
      <c r="E4504" s="3" t="s">
        <v>246</v>
      </c>
      <c r="F4504" s="3" t="s">
        <v>10</v>
      </c>
      <c r="G4504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Victoria</v>
      </c>
      <c r="H4504" s="3" t="s">
        <v>247</v>
      </c>
      <c r="I4504" s="3" t="s">
        <v>31</v>
      </c>
      <c r="J4504" s="3" t="s">
        <v>37</v>
      </c>
      <c r="K4504" s="3" t="s">
        <v>66</v>
      </c>
      <c r="L4504" s="3" t="s">
        <v>67</v>
      </c>
      <c r="M4504" s="4">
        <v>189.72</v>
      </c>
    </row>
    <row r="4505">
      <c r="A4505" s="2">
        <v>46022</v>
      </c>
      <c r="B4505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505" s="3" t="str">
        <f>YEAR(KMART_DATA[[#This Row],[Date]])&amp;"-"&amp;TEXT(MONTH(KMART_DATA[[#This Row],[Date]]),"00")</f>
        <v>2025-12</v>
      </c>
      <c r="D4505" s="3" t="s">
        <v>28</v>
      </c>
      <c r="E4505" s="3" t="s">
        <v>29</v>
      </c>
      <c r="F4505" s="3" t="s">
        <v>11</v>
      </c>
      <c r="G4505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Queensland</v>
      </c>
      <c r="H4505" s="3" t="s">
        <v>30</v>
      </c>
      <c r="I4505" s="3" t="s">
        <v>31</v>
      </c>
      <c r="J4505" s="3" t="s">
        <v>32</v>
      </c>
      <c r="K4505" s="3" t="s">
        <v>123</v>
      </c>
      <c r="L4505" s="3" t="s">
        <v>124</v>
      </c>
      <c r="M4505" s="4">
        <v>262.59</v>
      </c>
    </row>
    <row r="4506">
      <c r="A4506" s="2">
        <v>46022</v>
      </c>
      <c r="B4506" s="3" t="str">
        <f>"FY"&amp;(YEAR(KMART_DATA[[#This Row],[Date]])+(MONTH(KMART_DATA[[#This Row],[Date]])&gt;=7)-1)&amp;"-"&amp;RIGHT(YEAR(KMART_DATA[[#This Row],[Date]])+(MONTH(KMART_DATA[[#This Row],[Date]])&gt;=7),2)</f>
        <v>FY2025-26</v>
      </c>
      <c r="C4506" s="3" t="str">
        <f>YEAR(KMART_DATA[[#This Row],[Date]])&amp;"-"&amp;TEXT(MONTH(KMART_DATA[[#This Row],[Date]]),"00")</f>
        <v>2025-12</v>
      </c>
      <c r="D4506" s="3" t="s">
        <v>28</v>
      </c>
      <c r="E4506" s="3" t="s">
        <v>232</v>
      </c>
      <c r="F4506" s="3" t="s">
        <v>9</v>
      </c>
      <c r="G4506" s="3" t="str">
        <f>IFERROR(INDEX({"Australian Capital Territory","New South Wales","Northern Territory","Queensland","South Australia","Tasmania","Victoria","Western Australia"},MATCH(KMART_DATA[[#This Row],[State]],{"ACT","NSW","NT","QLD","SA","TAS","VIC","WA"},0)),KMART_DATA[[#This Row],[State]])</f>
        <v>New South Wales</v>
      </c>
      <c r="H4506" s="3" t="s">
        <v>233</v>
      </c>
      <c r="I4506" s="3" t="s">
        <v>31</v>
      </c>
      <c r="J4506" s="3" t="s">
        <v>75</v>
      </c>
      <c r="K4506" s="3" t="s">
        <v>95</v>
      </c>
      <c r="L4506" s="3" t="s">
        <v>96</v>
      </c>
      <c r="M4506" s="4">
        <v>7691.87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3745"/>
  </sheetPr>
  <sheetViews>
    <sheetView workbookViewId="0"/>
  </sheetViews>
  <sheetFormatPr defaultRowHeight="15"/>
  <cols>
    <col min="1" max="60" width="13.7109375" customWidth="1"/>
  </cols>
  <sheetData>
    <row r="1">
      <c r="A1" s="5" t="s">
        <v>266</v>
      </c>
      <c r="E1" s="5" t="s">
        <v>267</v>
      </c>
      <c r="K1" s="5" t="s">
        <v>268</v>
      </c>
      <c r="O1" s="5" t="s">
        <v>269</v>
      </c>
      <c r="S1" s="5" t="s">
        <v>270</v>
      </c>
      <c r="AG1" s="5" t="s">
        <v>271</v>
      </c>
      <c r="AJ1" s="5" t="s">
        <v>272</v>
      </c>
      <c r="AM1" s="5" t="s">
        <v>273</v>
      </c>
      <c r="AQ1" s="5" t="s">
        <v>274</v>
      </c>
    </row>
    <row r="3">
      <c r="A3" s="6" t="s">
        <v>275</v>
      </c>
      <c r="B3" s="6" t="s">
        <v>276</v>
      </c>
      <c r="E3" s="6" t="s">
        <v>275</v>
      </c>
      <c r="F3" s="6" t="s">
        <v>20</v>
      </c>
      <c r="K3" s="6" t="s">
        <v>19</v>
      </c>
      <c r="L3" s="6" t="s">
        <v>277</v>
      </c>
      <c r="O3" s="6" t="s">
        <v>26</v>
      </c>
      <c r="P3" s="6" t="s">
        <v>275</v>
      </c>
      <c r="S3" s="6" t="s">
        <v>275</v>
      </c>
      <c r="T3" s="6" t="s">
        <v>26</v>
      </c>
      <c r="AG3" s="6" t="s">
        <v>20</v>
      </c>
      <c r="AH3" s="6" t="s">
        <v>275</v>
      </c>
      <c r="AJ3" s="6" t="s">
        <v>25</v>
      </c>
      <c r="AK3" s="6" t="s">
        <v>275</v>
      </c>
      <c r="AM3" s="6" t="s">
        <v>20</v>
      </c>
      <c r="AN3" s="3" t="s">
        <v>45</v>
      </c>
      <c r="AQ3" s="6" t="s">
        <v>6</v>
      </c>
      <c r="AR3" s="6" t="s">
        <v>275</v>
      </c>
    </row>
    <row r="4">
      <c r="A4" s="7">
        <v>3186258.48</v>
      </c>
      <c r="B4" s="8">
        <v>4505.0</v>
      </c>
      <c r="E4" s="6" t="s">
        <v>19</v>
      </c>
      <c r="F4" s="6" t="s">
        <v>45</v>
      </c>
      <c r="G4" s="6" t="s">
        <v>28</v>
      </c>
      <c r="H4" s="6" t="s">
        <v>278</v>
      </c>
      <c r="K4" s="3" t="s">
        <v>279</v>
      </c>
      <c r="L4" s="4">
        <v>710.849076</v>
      </c>
      <c r="O4" s="3" t="s">
        <v>66</v>
      </c>
      <c r="P4" s="7">
        <v>61587.13</v>
      </c>
      <c r="S4" s="6" t="s">
        <v>21</v>
      </c>
      <c r="T4" s="6" t="s">
        <v>38</v>
      </c>
      <c r="U4" s="6" t="s">
        <v>43</v>
      </c>
      <c r="V4" s="6" t="s">
        <v>46</v>
      </c>
      <c r="W4" s="6" t="s">
        <v>71</v>
      </c>
      <c r="X4" s="6" t="s">
        <v>33</v>
      </c>
      <c r="Y4" s="6" t="s">
        <v>123</v>
      </c>
      <c r="Z4" s="6" t="s">
        <v>95</v>
      </c>
      <c r="AA4" s="6" t="s">
        <v>66</v>
      </c>
      <c r="AB4" s="6" t="s">
        <v>112</v>
      </c>
      <c r="AC4" s="6" t="s">
        <v>57</v>
      </c>
      <c r="AD4" s="6" t="s">
        <v>278</v>
      </c>
      <c r="AG4" s="3" t="s">
        <v>45</v>
      </c>
      <c r="AH4" s="7">
        <v>658115.49</v>
      </c>
      <c r="AJ4" s="3" t="s">
        <v>227</v>
      </c>
      <c r="AK4" s="7">
        <v>32930.34</v>
      </c>
      <c r="AQ4" s="3" t="s">
        <v>16</v>
      </c>
      <c r="AR4" s="7">
        <v>38681.96</v>
      </c>
    </row>
    <row r="5">
      <c r="E5" s="3" t="s">
        <v>279</v>
      </c>
      <c r="F5" s="7">
        <v>17665.07</v>
      </c>
      <c r="G5" s="7">
        <v>113131.16</v>
      </c>
      <c r="H5" s="9">
        <v>130796.23</v>
      </c>
      <c r="K5" s="3" t="s">
        <v>280</v>
      </c>
      <c r="L5" s="4">
        <v>704.949415</v>
      </c>
      <c r="O5" s="3" t="s">
        <v>112</v>
      </c>
      <c r="P5" s="7">
        <v>66885.88</v>
      </c>
      <c r="S5" s="3" t="s">
        <v>163</v>
      </c>
      <c r="T5" s="7">
        <v>1347.13</v>
      </c>
      <c r="U5" s="7">
        <v>4377.85</v>
      </c>
      <c r="V5" s="7">
        <v>8610.5</v>
      </c>
      <c r="W5" s="7">
        <v>13106.26</v>
      </c>
      <c r="X5" s="7">
        <v>4283.33</v>
      </c>
      <c r="Y5" s="7">
        <v>10777.39</v>
      </c>
      <c r="Z5" s="7">
        <v>17481.19</v>
      </c>
      <c r="AA5" s="7">
        <v>1039.55</v>
      </c>
      <c r="AB5" s="7">
        <v>1677.76</v>
      </c>
      <c r="AC5" s="7">
        <v>9090.8</v>
      </c>
      <c r="AD5" s="9">
        <v>71791.76</v>
      </c>
      <c r="AG5" s="3" t="s">
        <v>28</v>
      </c>
      <c r="AH5" s="7">
        <v>2528142.99</v>
      </c>
      <c r="AJ5" s="3" t="s">
        <v>78</v>
      </c>
      <c r="AK5" s="7">
        <v>54140.09</v>
      </c>
      <c r="AM5" s="6" t="s">
        <v>27</v>
      </c>
      <c r="AN5" s="6" t="s">
        <v>275</v>
      </c>
      <c r="AQ5" s="3" t="s">
        <v>15</v>
      </c>
      <c r="AR5" s="7">
        <v>59512.45</v>
      </c>
    </row>
    <row r="6">
      <c r="E6" s="3" t="s">
        <v>280</v>
      </c>
      <c r="F6" s="7">
        <v>12622.54</v>
      </c>
      <c r="G6" s="7">
        <v>119907.95</v>
      </c>
      <c r="H6" s="9">
        <v>132530.49</v>
      </c>
      <c r="K6" s="3" t="s">
        <v>281</v>
      </c>
      <c r="L6" s="4">
        <v>616.262194</v>
      </c>
      <c r="O6" s="3" t="s">
        <v>38</v>
      </c>
      <c r="P6" s="7">
        <v>87457.9</v>
      </c>
      <c r="S6" s="3" t="s">
        <v>256</v>
      </c>
      <c r="T6" s="7">
        <v>1316.52</v>
      </c>
      <c r="U6" s="7">
        <v>4593.16</v>
      </c>
      <c r="V6" s="7">
        <v>8246.4</v>
      </c>
      <c r="W6" s="7">
        <v>10246.11</v>
      </c>
      <c r="X6" s="7">
        <v>3735.07</v>
      </c>
      <c r="Y6" s="7">
        <v>9216.48</v>
      </c>
      <c r="Z6" s="7">
        <v>14923.91</v>
      </c>
      <c r="AA6" s="7">
        <v>1856.47</v>
      </c>
      <c r="AB6" s="7">
        <v>2517.72</v>
      </c>
      <c r="AC6" s="7">
        <v>16456.41</v>
      </c>
      <c r="AD6" s="9">
        <v>73108.25</v>
      </c>
      <c r="AG6" s="6" t="s">
        <v>278</v>
      </c>
      <c r="AH6" s="9">
        <v>3186258.48</v>
      </c>
      <c r="AJ6" s="3" t="s">
        <v>53</v>
      </c>
      <c r="AK6" s="7">
        <v>59512.45</v>
      </c>
      <c r="AM6" s="3" t="s">
        <v>67</v>
      </c>
      <c r="AN6" s="7">
        <v>12738.55</v>
      </c>
      <c r="AQ6" s="3" t="s">
        <v>14</v>
      </c>
      <c r="AR6" s="7">
        <v>67846.81</v>
      </c>
    </row>
    <row r="7">
      <c r="E7" s="3" t="s">
        <v>281</v>
      </c>
      <c r="F7" s="7">
        <v>30766.69</v>
      </c>
      <c r="G7" s="7">
        <v>90020.7</v>
      </c>
      <c r="H7" s="9">
        <v>120787.39</v>
      </c>
      <c r="K7" s="3" t="s">
        <v>282</v>
      </c>
      <c r="L7" s="4">
        <v>832.602098</v>
      </c>
      <c r="O7" s="3" t="s">
        <v>33</v>
      </c>
      <c r="P7" s="7">
        <v>164706.16</v>
      </c>
      <c r="S7" s="3" t="s">
        <v>90</v>
      </c>
      <c r="T7" s="7">
        <v>1761.49</v>
      </c>
      <c r="U7" s="7">
        <v>5484.72</v>
      </c>
      <c r="V7" s="7">
        <v>7371.37</v>
      </c>
      <c r="W7" s="7">
        <v>14638.28</v>
      </c>
      <c r="X7" s="7">
        <v>2590.07</v>
      </c>
      <c r="Y7" s="7">
        <v>10116.58</v>
      </c>
      <c r="Z7" s="7">
        <v>18923.99</v>
      </c>
      <c r="AA7" s="7">
        <v>1734.45</v>
      </c>
      <c r="AB7" s="7">
        <v>442.78</v>
      </c>
      <c r="AC7" s="7">
        <v>11353.6</v>
      </c>
      <c r="AD7" s="9">
        <v>74417.33</v>
      </c>
      <c r="AJ7" s="3" t="s">
        <v>32</v>
      </c>
      <c r="AK7" s="7">
        <v>63037.0</v>
      </c>
      <c r="AM7" s="3" t="s">
        <v>113</v>
      </c>
      <c r="AN7" s="7">
        <v>15631.69</v>
      </c>
      <c r="AQ7" s="3" t="s">
        <v>13</v>
      </c>
      <c r="AR7" s="7">
        <v>112716.27</v>
      </c>
    </row>
    <row r="8">
      <c r="E8" s="3" t="s">
        <v>282</v>
      </c>
      <c r="F8" s="7">
        <v>27919.52</v>
      </c>
      <c r="G8" s="7">
        <v>142763.91</v>
      </c>
      <c r="H8" s="9">
        <v>170683.43</v>
      </c>
      <c r="K8" s="3" t="s">
        <v>283</v>
      </c>
      <c r="L8" s="4">
        <v>669.497204</v>
      </c>
      <c r="O8" s="3" t="s">
        <v>43</v>
      </c>
      <c r="P8" s="7">
        <v>219917.08</v>
      </c>
      <c r="S8" s="3" t="s">
        <v>156</v>
      </c>
      <c r="T8" s="7">
        <v>2305.12</v>
      </c>
      <c r="U8" s="7">
        <v>3130.79</v>
      </c>
      <c r="V8" s="7">
        <v>7774.61</v>
      </c>
      <c r="W8" s="7">
        <v>10121.09</v>
      </c>
      <c r="X8" s="7">
        <v>2326.93</v>
      </c>
      <c r="Y8" s="7">
        <v>6995.65</v>
      </c>
      <c r="Z8" s="7">
        <v>23651.68</v>
      </c>
      <c r="AA8" s="7">
        <v>1367.0</v>
      </c>
      <c r="AB8" s="7">
        <v>2066.48</v>
      </c>
      <c r="AC8" s="7">
        <v>14999.57</v>
      </c>
      <c r="AD8" s="9">
        <v>74738.92</v>
      </c>
      <c r="AJ8" s="3" t="s">
        <v>94</v>
      </c>
      <c r="AK8" s="7">
        <v>67318.87</v>
      </c>
      <c r="AM8" s="3" t="s">
        <v>39</v>
      </c>
      <c r="AN8" s="7">
        <v>23548.91</v>
      </c>
      <c r="AQ8" s="3" t="s">
        <v>12</v>
      </c>
      <c r="AR8" s="7">
        <v>312583.22</v>
      </c>
    </row>
    <row r="9">
      <c r="E9" s="3" t="s">
        <v>283</v>
      </c>
      <c r="F9" s="7">
        <v>32337.62</v>
      </c>
      <c r="G9" s="7">
        <v>92188.86</v>
      </c>
      <c r="H9" s="9">
        <v>124526.48</v>
      </c>
      <c r="K9" s="3" t="s">
        <v>284</v>
      </c>
      <c r="L9" s="4">
        <v>949.580854</v>
      </c>
      <c r="O9" s="3" t="s">
        <v>46</v>
      </c>
      <c r="P9" s="7">
        <v>360173.77</v>
      </c>
      <c r="S9" s="3" t="s">
        <v>179</v>
      </c>
      <c r="T9" s="7">
        <v>2105.78</v>
      </c>
      <c r="U9" s="7">
        <v>3812.26</v>
      </c>
      <c r="V9" s="7">
        <v>9132.92</v>
      </c>
      <c r="W9" s="7">
        <v>11790.65</v>
      </c>
      <c r="X9" s="7">
        <v>2501.3</v>
      </c>
      <c r="Y9" s="7">
        <v>10899.75</v>
      </c>
      <c r="Z9" s="7">
        <v>18865.28</v>
      </c>
      <c r="AA9" s="7">
        <v>3222.9</v>
      </c>
      <c r="AB9" s="7">
        <v>2003.34</v>
      </c>
      <c r="AC9" s="7">
        <v>11128.74</v>
      </c>
      <c r="AD9" s="9">
        <v>75462.92</v>
      </c>
      <c r="AJ9" s="3" t="s">
        <v>102</v>
      </c>
      <c r="AK9" s="7">
        <v>67634.36</v>
      </c>
      <c r="AM9" s="3" t="s">
        <v>34</v>
      </c>
      <c r="AN9" s="7">
        <v>39203.43</v>
      </c>
      <c r="AQ9" s="3" t="s">
        <v>11</v>
      </c>
      <c r="AR9" s="7">
        <v>603864.98</v>
      </c>
    </row>
    <row r="10">
      <c r="E10" s="3" t="s">
        <v>284</v>
      </c>
      <c r="F10" s="7">
        <v>42988.65</v>
      </c>
      <c r="G10" s="7">
        <v>145977.94</v>
      </c>
      <c r="H10" s="9">
        <v>188966.59</v>
      </c>
      <c r="K10" s="3" t="s">
        <v>285</v>
      </c>
      <c r="L10" s="4">
        <v>692.830259</v>
      </c>
      <c r="O10" s="3" t="s">
        <v>123</v>
      </c>
      <c r="P10" s="7">
        <v>381623.78</v>
      </c>
      <c r="S10" s="3" t="s">
        <v>177</v>
      </c>
      <c r="T10" s="7">
        <v>2067.24</v>
      </c>
      <c r="U10" s="7">
        <v>4309.11</v>
      </c>
      <c r="V10" s="7">
        <v>7818.19</v>
      </c>
      <c r="W10" s="7">
        <v>12232.58</v>
      </c>
      <c r="X10" s="7">
        <v>4314.61</v>
      </c>
      <c r="Y10" s="7">
        <v>12561.76</v>
      </c>
      <c r="Z10" s="7">
        <v>18243.11</v>
      </c>
      <c r="AA10" s="7">
        <v>2115.46</v>
      </c>
      <c r="AB10" s="7">
        <v>1518.57</v>
      </c>
      <c r="AC10" s="7">
        <v>10926.36</v>
      </c>
      <c r="AD10" s="9">
        <v>76106.99</v>
      </c>
      <c r="AJ10" s="3" t="s">
        <v>145</v>
      </c>
      <c r="AK10" s="7">
        <v>67846.81</v>
      </c>
      <c r="AM10" s="3" t="s">
        <v>44</v>
      </c>
      <c r="AN10" s="7">
        <v>45816.3</v>
      </c>
      <c r="AQ10" s="3" t="s">
        <v>10</v>
      </c>
      <c r="AR10" s="7">
        <v>825449.32</v>
      </c>
    </row>
    <row r="11">
      <c r="E11" s="3" t="s">
        <v>285</v>
      </c>
      <c r="F11" s="7">
        <v>23888.63</v>
      </c>
      <c r="G11" s="7">
        <v>109827.61</v>
      </c>
      <c r="H11" s="9">
        <v>133716.24</v>
      </c>
      <c r="K11" s="3" t="s">
        <v>286</v>
      </c>
      <c r="L11" s="4">
        <v>729.58689</v>
      </c>
      <c r="O11" s="3" t="s">
        <v>57</v>
      </c>
      <c r="P11" s="7">
        <v>549402.55</v>
      </c>
      <c r="S11" s="3" t="s">
        <v>181</v>
      </c>
      <c r="T11" s="7">
        <v>1666.9</v>
      </c>
      <c r="U11" s="7">
        <v>5566.92</v>
      </c>
      <c r="V11" s="7">
        <v>6057.08</v>
      </c>
      <c r="W11" s="7">
        <v>12294.73</v>
      </c>
      <c r="X11" s="7">
        <v>3533.52</v>
      </c>
      <c r="Y11" s="7">
        <v>13926.98</v>
      </c>
      <c r="Z11" s="7">
        <v>17731.54</v>
      </c>
      <c r="AA11" s="7">
        <v>1406.9</v>
      </c>
      <c r="AB11" s="7">
        <v>2840.44</v>
      </c>
      <c r="AC11" s="7">
        <v>12193.57</v>
      </c>
      <c r="AD11" s="9">
        <v>77218.58</v>
      </c>
      <c r="AJ11" s="3" t="s">
        <v>42</v>
      </c>
      <c r="AK11" s="7">
        <v>79785.93</v>
      </c>
      <c r="AM11" s="3" t="s">
        <v>124</v>
      </c>
      <c r="AN11" s="7">
        <v>69084.55</v>
      </c>
      <c r="AQ11" s="3" t="s">
        <v>9</v>
      </c>
      <c r="AR11" s="7">
        <v>1165603.47</v>
      </c>
    </row>
    <row r="12">
      <c r="E12" s="3" t="s">
        <v>286</v>
      </c>
      <c r="F12" s="7">
        <v>31904.03</v>
      </c>
      <c r="G12" s="7">
        <v>120579.63</v>
      </c>
      <c r="H12" s="9">
        <v>152483.66</v>
      </c>
      <c r="K12" s="3" t="s">
        <v>287</v>
      </c>
      <c r="L12" s="4">
        <v>713.782032</v>
      </c>
      <c r="O12" s="3" t="s">
        <v>95</v>
      </c>
      <c r="P12" s="7">
        <v>608024.39</v>
      </c>
      <c r="S12" s="3" t="s">
        <v>87</v>
      </c>
      <c r="T12" s="7">
        <v>1850.6</v>
      </c>
      <c r="U12" s="7">
        <v>5103.5</v>
      </c>
      <c r="V12" s="7">
        <v>9284.55</v>
      </c>
      <c r="W12" s="7">
        <v>13186.63</v>
      </c>
      <c r="X12" s="7">
        <v>3069.19</v>
      </c>
      <c r="Y12" s="7">
        <v>9271.01</v>
      </c>
      <c r="Z12" s="7">
        <v>24056.33</v>
      </c>
      <c r="AA12" s="7">
        <v>2539.58</v>
      </c>
      <c r="AB12" s="7">
        <v>2129.7</v>
      </c>
      <c r="AC12" s="7">
        <v>13750.97</v>
      </c>
      <c r="AD12" s="9">
        <v>84242.06</v>
      </c>
      <c r="AJ12" s="3" t="s">
        <v>50</v>
      </c>
      <c r="AK12" s="7">
        <v>95154.19</v>
      </c>
      <c r="AM12" s="3" t="s">
        <v>47</v>
      </c>
      <c r="AN12" s="7">
        <v>81915.97</v>
      </c>
      <c r="AQ12" s="6" t="s">
        <v>278</v>
      </c>
      <c r="AR12" s="9">
        <v>3186258.48</v>
      </c>
    </row>
    <row r="13">
      <c r="E13" s="3" t="s">
        <v>287</v>
      </c>
      <c r="F13" s="7">
        <v>24828.08</v>
      </c>
      <c r="G13" s="7">
        <v>108649.16</v>
      </c>
      <c r="H13" s="9">
        <v>133477.24</v>
      </c>
      <c r="K13" s="3" t="s">
        <v>288</v>
      </c>
      <c r="L13" s="4">
        <v>677.89044</v>
      </c>
      <c r="O13" s="3" t="s">
        <v>71</v>
      </c>
      <c r="P13" s="7">
        <v>686479.84</v>
      </c>
      <c r="S13" s="3" t="s">
        <v>197</v>
      </c>
      <c r="T13" s="7">
        <v>1999.58</v>
      </c>
      <c r="U13" s="7">
        <v>6086.26</v>
      </c>
      <c r="V13" s="7">
        <v>9578.03</v>
      </c>
      <c r="W13" s="7">
        <v>16966.76</v>
      </c>
      <c r="X13" s="7">
        <v>4715.68</v>
      </c>
      <c r="Y13" s="7">
        <v>13497.35</v>
      </c>
      <c r="Z13" s="7">
        <v>23944.06</v>
      </c>
      <c r="AA13" s="7">
        <v>2804.74</v>
      </c>
      <c r="AB13" s="7">
        <v>2973.17</v>
      </c>
      <c r="AC13" s="7">
        <v>14879.73</v>
      </c>
      <c r="AD13" s="9">
        <v>97445.36</v>
      </c>
      <c r="AJ13" s="3" t="s">
        <v>61</v>
      </c>
      <c r="AK13" s="7">
        <v>135254.32</v>
      </c>
      <c r="AM13" s="3" t="s">
        <v>96</v>
      </c>
      <c r="AN13" s="7">
        <v>104554.16</v>
      </c>
    </row>
    <row r="14">
      <c r="E14" s="3" t="s">
        <v>288</v>
      </c>
      <c r="F14" s="7">
        <v>17343.39</v>
      </c>
      <c r="G14" s="7">
        <v>106032.67</v>
      </c>
      <c r="H14" s="9">
        <v>123376.06</v>
      </c>
      <c r="K14" s="3" t="s">
        <v>289</v>
      </c>
      <c r="L14" s="4">
        <v>561.492</v>
      </c>
      <c r="O14" s="6" t="s">
        <v>278</v>
      </c>
      <c r="P14" s="9">
        <v>3186258.48</v>
      </c>
      <c r="S14" s="3" t="s">
        <v>139</v>
      </c>
      <c r="T14" s="7">
        <v>3846.59</v>
      </c>
      <c r="U14" s="7">
        <v>8076.25</v>
      </c>
      <c r="V14" s="7">
        <v>6997.02</v>
      </c>
      <c r="W14" s="7">
        <v>19061.78</v>
      </c>
      <c r="X14" s="7">
        <v>5277.63</v>
      </c>
      <c r="Y14" s="7">
        <v>15647.41</v>
      </c>
      <c r="Z14" s="7">
        <v>24951.05</v>
      </c>
      <c r="AA14" s="7">
        <v>3095.06</v>
      </c>
      <c r="AB14" s="7">
        <v>2289.82</v>
      </c>
      <c r="AC14" s="7">
        <v>16479.7</v>
      </c>
      <c r="AD14" s="9">
        <v>105722.31</v>
      </c>
      <c r="AJ14" s="3" t="s">
        <v>84</v>
      </c>
      <c r="AK14" s="7">
        <v>139095.3</v>
      </c>
      <c r="AM14" s="3" t="s">
        <v>58</v>
      </c>
      <c r="AN14" s="7">
        <v>121697.56</v>
      </c>
    </row>
    <row r="15">
      <c r="E15" s="3" t="s">
        <v>289</v>
      </c>
      <c r="F15" s="7">
        <v>18723.63</v>
      </c>
      <c r="G15" s="7">
        <v>73922.55</v>
      </c>
      <c r="H15" s="9">
        <v>92646.18</v>
      </c>
      <c r="K15" s="3" t="s">
        <v>290</v>
      </c>
      <c r="L15" s="4">
        <v>712.087542</v>
      </c>
      <c r="S15" s="6" t="s">
        <v>278</v>
      </c>
      <c r="T15" s="9">
        <v>20266.95</v>
      </c>
      <c r="U15" s="9">
        <v>50540.82</v>
      </c>
      <c r="V15" s="9">
        <v>80870.67</v>
      </c>
      <c r="W15" s="9">
        <v>133644.87</v>
      </c>
      <c r="X15" s="9">
        <v>36347.33</v>
      </c>
      <c r="Y15" s="9">
        <v>112910.36</v>
      </c>
      <c r="Z15" s="9">
        <v>202772.14</v>
      </c>
      <c r="AA15" s="9">
        <v>21182.11</v>
      </c>
      <c r="AB15" s="9">
        <v>20459.78</v>
      </c>
      <c r="AC15" s="9">
        <v>131259.45</v>
      </c>
      <c r="AD15" s="9">
        <v>810254.48</v>
      </c>
      <c r="AJ15" s="3" t="s">
        <v>162</v>
      </c>
      <c r="AK15" s="7">
        <v>149794.67</v>
      </c>
      <c r="AM15" s="3" t="s">
        <v>72</v>
      </c>
      <c r="AN15" s="7">
        <v>143924.37</v>
      </c>
    </row>
    <row r="16">
      <c r="E16" s="3" t="s">
        <v>290</v>
      </c>
      <c r="F16" s="7">
        <v>31199.5</v>
      </c>
      <c r="G16" s="7">
        <v>96264.17</v>
      </c>
      <c r="H16" s="9">
        <v>127463.67</v>
      </c>
      <c r="K16" s="3" t="s">
        <v>291</v>
      </c>
      <c r="L16" s="4">
        <v>615.716343</v>
      </c>
      <c r="AJ16" s="3" t="s">
        <v>70</v>
      </c>
      <c r="AK16" s="7">
        <v>158764.65</v>
      </c>
      <c r="AM16" s="6" t="s">
        <v>278</v>
      </c>
      <c r="AN16" s="9">
        <v>658115.49</v>
      </c>
    </row>
    <row r="17">
      <c r="E17" s="3" t="s">
        <v>291</v>
      </c>
      <c r="F17" s="7">
        <v>27492.12</v>
      </c>
      <c r="G17" s="7">
        <v>80258.24</v>
      </c>
      <c r="H17" s="9">
        <v>107750.36</v>
      </c>
      <c r="K17" s="3" t="s">
        <v>292</v>
      </c>
      <c r="L17" s="4">
        <v>673.869085</v>
      </c>
      <c r="AJ17" s="3" t="s">
        <v>120</v>
      </c>
      <c r="AK17" s="7">
        <v>199582.91</v>
      </c>
    </row>
    <row r="18">
      <c r="E18" s="3" t="s">
        <v>292</v>
      </c>
      <c r="F18" s="7">
        <v>24833.15</v>
      </c>
      <c r="G18" s="7">
        <v>85681.38</v>
      </c>
      <c r="H18" s="9">
        <v>110514.53</v>
      </c>
      <c r="K18" s="3" t="s">
        <v>293</v>
      </c>
      <c r="L18" s="4">
        <v>696.861377</v>
      </c>
      <c r="AJ18" s="3" t="s">
        <v>56</v>
      </c>
      <c r="AK18" s="7">
        <v>212338.27</v>
      </c>
    </row>
    <row r="19">
      <c r="E19" s="3" t="s">
        <v>293</v>
      </c>
      <c r="F19" s="7">
        <v>10692.77</v>
      </c>
      <c r="G19" s="7">
        <v>105683.08</v>
      </c>
      <c r="H19" s="9">
        <v>116375.85</v>
      </c>
      <c r="K19" s="3" t="s">
        <v>294</v>
      </c>
      <c r="L19" s="4">
        <v>658.087668</v>
      </c>
      <c r="AJ19" s="3" t="s">
        <v>107</v>
      </c>
      <c r="AK19" s="7">
        <v>224691.45</v>
      </c>
    </row>
    <row r="20">
      <c r="E20" s="3" t="s">
        <v>294</v>
      </c>
      <c r="F20" s="7">
        <v>38255.05</v>
      </c>
      <c r="G20" s="7">
        <v>88755.87</v>
      </c>
      <c r="H20" s="9">
        <v>127010.92</v>
      </c>
      <c r="K20" s="3" t="s">
        <v>295</v>
      </c>
      <c r="L20" s="4">
        <v>637.827662</v>
      </c>
      <c r="AJ20" s="3" t="s">
        <v>37</v>
      </c>
      <c r="AK20" s="7">
        <v>248771.27</v>
      </c>
    </row>
    <row r="21">
      <c r="E21" s="3" t="s">
        <v>295</v>
      </c>
      <c r="F21" s="7">
        <v>29125.19</v>
      </c>
      <c r="G21" s="7">
        <v>99078.17</v>
      </c>
      <c r="H21" s="9">
        <v>128203.36</v>
      </c>
      <c r="K21" s="3" t="s">
        <v>296</v>
      </c>
      <c r="L21" s="4">
        <v>491.042094</v>
      </c>
      <c r="AJ21" s="3" t="s">
        <v>99</v>
      </c>
      <c r="AK21" s="7">
        <v>253667.24</v>
      </c>
    </row>
    <row r="22">
      <c r="E22" s="3" t="s">
        <v>296</v>
      </c>
      <c r="F22" s="7">
        <v>25348.78</v>
      </c>
      <c r="G22" s="7">
        <v>68440.26</v>
      </c>
      <c r="H22" s="9">
        <v>93789.04</v>
      </c>
      <c r="K22" s="3" t="s">
        <v>297</v>
      </c>
      <c r="L22" s="4">
        <v>716.694804</v>
      </c>
      <c r="AJ22" s="3" t="s">
        <v>81</v>
      </c>
      <c r="AK22" s="7">
        <v>271081.19</v>
      </c>
    </row>
    <row r="23">
      <c r="E23" s="3" t="s">
        <v>297</v>
      </c>
      <c r="F23" s="7">
        <v>25256.57</v>
      </c>
      <c r="G23" s="7">
        <v>103031.8</v>
      </c>
      <c r="H23" s="9">
        <v>128288.37</v>
      </c>
      <c r="K23" s="3" t="s">
        <v>298</v>
      </c>
      <c r="L23" s="4">
        <v>1049.37904</v>
      </c>
      <c r="AJ23" s="3" t="s">
        <v>75</v>
      </c>
      <c r="AK23" s="7">
        <v>296080.9</v>
      </c>
    </row>
    <row r="24">
      <c r="E24" s="3" t="s">
        <v>298</v>
      </c>
      <c r="F24" s="7">
        <v>52893.44</v>
      </c>
      <c r="G24" s="7">
        <v>154883.61</v>
      </c>
      <c r="H24" s="9">
        <v>207777.05</v>
      </c>
      <c r="K24" s="3" t="s">
        <v>299</v>
      </c>
      <c r="L24" s="4">
        <v>640.110333</v>
      </c>
      <c r="AJ24" s="3" t="s">
        <v>89</v>
      </c>
      <c r="AK24" s="7">
        <v>309776.27</v>
      </c>
    </row>
    <row r="25">
      <c r="E25" s="3" t="s">
        <v>299</v>
      </c>
      <c r="F25" s="7">
        <v>22345.94</v>
      </c>
      <c r="G25" s="7">
        <v>92873.92</v>
      </c>
      <c r="H25" s="9">
        <v>115219.86</v>
      </c>
      <c r="K25" s="3" t="s">
        <v>300</v>
      </c>
      <c r="L25" s="4">
        <v>731.504219</v>
      </c>
      <c r="AJ25" s="6" t="s">
        <v>278</v>
      </c>
      <c r="AK25" s="9">
        <v>3186258.48</v>
      </c>
    </row>
    <row r="26">
      <c r="E26" s="3" t="s">
        <v>300</v>
      </c>
      <c r="F26" s="7">
        <v>26766.3</v>
      </c>
      <c r="G26" s="7">
        <v>113682.51</v>
      </c>
      <c r="H26" s="9">
        <v>140448.81</v>
      </c>
      <c r="K26" s="3" t="s">
        <v>301</v>
      </c>
      <c r="L26" s="4">
        <v>740.931047</v>
      </c>
    </row>
    <row r="27">
      <c r="E27" s="3" t="s">
        <v>301</v>
      </c>
      <c r="F27" s="7">
        <v>38143.5</v>
      </c>
      <c r="G27" s="7">
        <v>103374.33</v>
      </c>
      <c r="H27" s="9">
        <v>141517.83</v>
      </c>
      <c r="K27" s="3" t="s">
        <v>302</v>
      </c>
      <c r="L27" s="4">
        <v>686.113632</v>
      </c>
    </row>
    <row r="28">
      <c r="E28" s="3" t="s">
        <v>302</v>
      </c>
      <c r="F28" s="7">
        <v>24775.33</v>
      </c>
      <c r="G28" s="7">
        <v>113133.51</v>
      </c>
      <c r="H28" s="9">
        <v>137908.84</v>
      </c>
      <c r="K28" s="6" t="s">
        <v>278</v>
      </c>
      <c r="L28" s="11">
        <v>707.271583</v>
      </c>
    </row>
    <row r="29">
      <c r="E29" s="6" t="s">
        <v>278</v>
      </c>
      <c r="F29" s="9">
        <v>658115.49</v>
      </c>
      <c r="G29" s="9">
        <v>2528142.99</v>
      </c>
      <c r="H29" s="9">
        <v>3186258.48</v>
      </c>
    </row>
    <row r="33">
      <c r="A33" s="6" t="s">
        <v>275</v>
      </c>
      <c r="B33" s="6" t="s">
        <v>19</v>
      </c>
    </row>
    <row r="34">
      <c r="A34" s="6" t="s">
        <v>6</v>
      </c>
      <c r="B34" s="6" t="s">
        <v>279</v>
      </c>
      <c r="C34" s="6" t="s">
        <v>280</v>
      </c>
      <c r="D34" s="6" t="s">
        <v>281</v>
      </c>
      <c r="E34" s="6" t="s">
        <v>282</v>
      </c>
      <c r="F34" s="6" t="s">
        <v>283</v>
      </c>
      <c r="G34" s="6" t="s">
        <v>284</v>
      </c>
      <c r="H34" s="6" t="s">
        <v>285</v>
      </c>
      <c r="I34" s="6" t="s">
        <v>286</v>
      </c>
      <c r="J34" s="6" t="s">
        <v>287</v>
      </c>
      <c r="K34" s="6" t="s">
        <v>288</v>
      </c>
      <c r="L34" s="6" t="s">
        <v>289</v>
      </c>
      <c r="M34" s="6" t="s">
        <v>290</v>
      </c>
      <c r="N34" s="6" t="s">
        <v>291</v>
      </c>
      <c r="O34" s="6" t="s">
        <v>292</v>
      </c>
      <c r="P34" s="6" t="s">
        <v>293</v>
      </c>
      <c r="Q34" s="6" t="s">
        <v>294</v>
      </c>
      <c r="R34" s="6" t="s">
        <v>295</v>
      </c>
      <c r="S34" s="6" t="s">
        <v>296</v>
      </c>
      <c r="T34" s="6" t="s">
        <v>297</v>
      </c>
      <c r="U34" s="6" t="s">
        <v>298</v>
      </c>
      <c r="V34" s="6" t="s">
        <v>299</v>
      </c>
      <c r="W34" s="6" t="s">
        <v>300</v>
      </c>
      <c r="X34" s="6" t="s">
        <v>301</v>
      </c>
      <c r="Y34" s="6" t="s">
        <v>302</v>
      </c>
      <c r="Z34" s="6" t="s">
        <v>278</v>
      </c>
    </row>
    <row r="35">
      <c r="A35" s="3" t="s">
        <v>16</v>
      </c>
      <c r="B35" s="7">
        <v>2487.93</v>
      </c>
      <c r="C35" s="7">
        <v>31.0</v>
      </c>
      <c r="D35" s="7">
        <v>522.22</v>
      </c>
      <c r="E35" s="7">
        <v>2517.59</v>
      </c>
      <c r="F35" s="7">
        <v>547.48</v>
      </c>
      <c r="G35" s="7">
        <v>1882.32</v>
      </c>
      <c r="H35" s="7">
        <v>2351.43</v>
      </c>
      <c r="I35" s="7">
        <v>747.94</v>
      </c>
      <c r="J35" s="7">
        <v>859.16</v>
      </c>
      <c r="K35" s="7">
        <v>1291.51</v>
      </c>
      <c r="L35" s="7">
        <v>1043.02</v>
      </c>
      <c r="M35" s="7">
        <v>1358.68</v>
      </c>
      <c r="N35" s="7">
        <v>1261.25</v>
      </c>
      <c r="O35" s="7">
        <v>832.84</v>
      </c>
      <c r="P35" s="7">
        <v>102.8</v>
      </c>
      <c r="Q35" s="7">
        <v>1345.34</v>
      </c>
      <c r="R35" s="7">
        <v>2312.97</v>
      </c>
      <c r="S35" s="7">
        <v>3207.83</v>
      </c>
      <c r="T35" s="7">
        <v>8576.91</v>
      </c>
      <c r="U35" s="7">
        <v>91.25</v>
      </c>
      <c r="V35" s="7">
        <v>609.46</v>
      </c>
      <c r="W35" s="7">
        <v>3779.82</v>
      </c>
      <c r="X35" s="7">
        <v>57.8</v>
      </c>
      <c r="Y35" s="7">
        <v>863.41</v>
      </c>
      <c r="Z35" s="9">
        <v>38681.96</v>
      </c>
    </row>
    <row r="36">
      <c r="A36" s="3" t="s">
        <v>9</v>
      </c>
      <c r="B36" s="7">
        <v>34786.91</v>
      </c>
      <c r="C36" s="7">
        <v>53147.22</v>
      </c>
      <c r="D36" s="7">
        <v>47054.91</v>
      </c>
      <c r="E36" s="7">
        <v>65289.14</v>
      </c>
      <c r="F36" s="7">
        <v>42797.46</v>
      </c>
      <c r="G36" s="7">
        <v>75352.9</v>
      </c>
      <c r="H36" s="7">
        <v>43487.3</v>
      </c>
      <c r="I36" s="7">
        <v>52364.45</v>
      </c>
      <c r="J36" s="7">
        <v>36195.92</v>
      </c>
      <c r="K36" s="7">
        <v>36885.59</v>
      </c>
      <c r="L36" s="7">
        <v>29161.07</v>
      </c>
      <c r="M36" s="7">
        <v>53154.85</v>
      </c>
      <c r="N36" s="7">
        <v>46181.35</v>
      </c>
      <c r="O36" s="7">
        <v>32879.5</v>
      </c>
      <c r="P36" s="7">
        <v>54809.26</v>
      </c>
      <c r="Q36" s="7">
        <v>51842.82</v>
      </c>
      <c r="R36" s="7">
        <v>59859.29</v>
      </c>
      <c r="S36" s="7">
        <v>26656.73</v>
      </c>
      <c r="T36" s="7">
        <v>41840.67</v>
      </c>
      <c r="U36" s="7">
        <v>96334.98</v>
      </c>
      <c r="V36" s="7">
        <v>51098.7</v>
      </c>
      <c r="W36" s="7">
        <v>56519.55</v>
      </c>
      <c r="X36" s="7">
        <v>39642.65</v>
      </c>
      <c r="Y36" s="7">
        <v>38260.25</v>
      </c>
      <c r="Z36" s="9">
        <v>1165603.47</v>
      </c>
    </row>
    <row r="37">
      <c r="A37" s="3" t="s">
        <v>14</v>
      </c>
      <c r="B37" s="7">
        <v>5444.25</v>
      </c>
      <c r="C37" s="7">
        <v>6893.44</v>
      </c>
      <c r="D37" s="7">
        <v>283.01</v>
      </c>
      <c r="E37" s="7">
        <v>2888.44</v>
      </c>
      <c r="F37" s="7">
        <v>3095.21</v>
      </c>
      <c r="G37" s="7">
        <v>1090.93</v>
      </c>
      <c r="H37" s="7">
        <v>3061.76</v>
      </c>
      <c r="I37" s="7">
        <v>1037.09</v>
      </c>
      <c r="J37" s="7">
        <v>1766.66</v>
      </c>
      <c r="K37" s="7">
        <v>5480.28</v>
      </c>
      <c r="L37" s="7">
        <v>1867.12</v>
      </c>
      <c r="M37" s="7">
        <v>975.43</v>
      </c>
      <c r="N37" s="7">
        <v>667.67</v>
      </c>
      <c r="O37" s="7">
        <v>375.27</v>
      </c>
      <c r="P37" s="7">
        <v>2939.04</v>
      </c>
      <c r="Q37" s="7">
        <v>1920.32</v>
      </c>
      <c r="R37" s="7">
        <v>1808.31</v>
      </c>
      <c r="S37" s="7">
        <v>207.42</v>
      </c>
      <c r="T37" s="7">
        <v>3318.26</v>
      </c>
      <c r="U37" s="7">
        <v>325.47</v>
      </c>
      <c r="V37" s="7">
        <v>9915.38</v>
      </c>
      <c r="W37" s="7">
        <v>325.86</v>
      </c>
      <c r="X37" s="7">
        <v>10540.67</v>
      </c>
      <c r="Y37" s="7">
        <v>1619.52</v>
      </c>
      <c r="Z37" s="9">
        <v>67846.81</v>
      </c>
    </row>
    <row r="38">
      <c r="A38" s="3" t="s">
        <v>11</v>
      </c>
      <c r="B38" s="7">
        <v>20657.06</v>
      </c>
      <c r="C38" s="7">
        <v>23682.34</v>
      </c>
      <c r="D38" s="7">
        <v>24229.68</v>
      </c>
      <c r="E38" s="7">
        <v>27449.05</v>
      </c>
      <c r="F38" s="7">
        <v>38339.41</v>
      </c>
      <c r="G38" s="7">
        <v>43033.21</v>
      </c>
      <c r="H38" s="7">
        <v>19780.93</v>
      </c>
      <c r="I38" s="7">
        <v>38129.71</v>
      </c>
      <c r="J38" s="7">
        <v>44197.53</v>
      </c>
      <c r="K38" s="7">
        <v>5681.13</v>
      </c>
      <c r="L38" s="7">
        <v>23206.23</v>
      </c>
      <c r="M38" s="7">
        <v>18849.86</v>
      </c>
      <c r="N38" s="7">
        <v>24303.97</v>
      </c>
      <c r="O38" s="7">
        <v>25062.28</v>
      </c>
      <c r="P38" s="7">
        <v>13944.38</v>
      </c>
      <c r="Q38" s="7">
        <v>27965.3</v>
      </c>
      <c r="R38" s="7">
        <v>24158.3</v>
      </c>
      <c r="S38" s="7">
        <v>28111.27</v>
      </c>
      <c r="T38" s="7">
        <v>22330.28</v>
      </c>
      <c r="U38" s="7">
        <v>19140.33</v>
      </c>
      <c r="V38" s="7">
        <v>15295.26</v>
      </c>
      <c r="W38" s="7">
        <v>16906.9</v>
      </c>
      <c r="X38" s="7">
        <v>30509.22</v>
      </c>
      <c r="Y38" s="7">
        <v>28901.35</v>
      </c>
      <c r="Z38" s="9">
        <v>603864.98</v>
      </c>
    </row>
    <row r="39">
      <c r="A39" s="3" t="s">
        <v>13</v>
      </c>
      <c r="B39" s="7">
        <v>6127.46</v>
      </c>
      <c r="C39" s="7">
        <v>2657.02</v>
      </c>
      <c r="D39" s="7">
        <v>1639.22</v>
      </c>
      <c r="E39" s="7">
        <v>3449.05</v>
      </c>
      <c r="F39" s="7">
        <v>2693.26</v>
      </c>
      <c r="G39" s="7">
        <v>4159.73</v>
      </c>
      <c r="H39" s="7">
        <v>3013.54</v>
      </c>
      <c r="I39" s="7">
        <v>5542.8</v>
      </c>
      <c r="J39" s="7">
        <v>4511.49</v>
      </c>
      <c r="K39" s="7">
        <v>7133.27</v>
      </c>
      <c r="L39" s="7">
        <v>4808.09</v>
      </c>
      <c r="M39" s="7">
        <v>4008.05</v>
      </c>
      <c r="N39" s="7">
        <v>3172.76</v>
      </c>
      <c r="O39" s="7">
        <v>5262.75</v>
      </c>
      <c r="P39" s="7">
        <v>3046.49</v>
      </c>
      <c r="Q39" s="7">
        <v>6725.42</v>
      </c>
      <c r="R39" s="7">
        <v>1583.25</v>
      </c>
      <c r="S39" s="7">
        <v>5915.53</v>
      </c>
      <c r="T39" s="7">
        <v>8457.03</v>
      </c>
      <c r="U39" s="7">
        <v>5144.95</v>
      </c>
      <c r="V39" s="7">
        <v>5652.97</v>
      </c>
      <c r="W39" s="7">
        <v>6560.21</v>
      </c>
      <c r="X39" s="7">
        <v>6358.13</v>
      </c>
      <c r="Y39" s="7">
        <v>5093.8</v>
      </c>
      <c r="Z39" s="9">
        <v>112716.27</v>
      </c>
    </row>
    <row r="40">
      <c r="A40" s="3" t="s">
        <v>15</v>
      </c>
      <c r="B40" s="7">
        <v>2982.14</v>
      </c>
      <c r="C40" s="7">
        <v>3427.43</v>
      </c>
      <c r="D40" s="7">
        <v>552.32</v>
      </c>
      <c r="E40" s="7">
        <v>2185.0</v>
      </c>
      <c r="F40" s="7">
        <v>3372.03</v>
      </c>
      <c r="G40" s="7">
        <v>1828.1</v>
      </c>
      <c r="H40" s="7">
        <v>1840.51</v>
      </c>
      <c r="I40" s="7">
        <v>2493.61</v>
      </c>
      <c r="J40" s="7">
        <v>4015.02</v>
      </c>
      <c r="K40" s="7">
        <v>2474.28</v>
      </c>
      <c r="L40" s="7">
        <v>2305.18</v>
      </c>
      <c r="M40" s="7">
        <v>2311.21</v>
      </c>
      <c r="N40" s="7">
        <v>2810.88</v>
      </c>
      <c r="O40" s="7">
        <v>3643.46</v>
      </c>
      <c r="P40" s="7">
        <v>7370.86</v>
      </c>
      <c r="Q40" s="7">
        <v>2103.99</v>
      </c>
      <c r="R40" s="7">
        <v>1498.65</v>
      </c>
      <c r="S40" s="7">
        <v>2758.87</v>
      </c>
      <c r="T40" s="7">
        <v>783.95</v>
      </c>
      <c r="U40" s="7">
        <v>456.23</v>
      </c>
      <c r="V40" s="7">
        <v>4576.73</v>
      </c>
      <c r="W40" s="7">
        <v>1710.28</v>
      </c>
      <c r="X40" s="7">
        <v>1347.56</v>
      </c>
      <c r="Y40" s="7">
        <v>664.16</v>
      </c>
      <c r="Z40" s="9">
        <v>59512.45</v>
      </c>
    </row>
    <row r="41">
      <c r="A41" s="3" t="s">
        <v>10</v>
      </c>
      <c r="B41" s="7">
        <v>39578.92</v>
      </c>
      <c r="C41" s="7">
        <v>27773.33</v>
      </c>
      <c r="D41" s="7">
        <v>39689.17</v>
      </c>
      <c r="E41" s="7">
        <v>57017.14</v>
      </c>
      <c r="F41" s="7">
        <v>21766.87</v>
      </c>
      <c r="G41" s="7">
        <v>38197.99</v>
      </c>
      <c r="H41" s="7">
        <v>47882.67</v>
      </c>
      <c r="I41" s="7">
        <v>38629.98</v>
      </c>
      <c r="J41" s="7">
        <v>35624.46</v>
      </c>
      <c r="K41" s="7">
        <v>35095.76</v>
      </c>
      <c r="L41" s="7">
        <v>22766.99</v>
      </c>
      <c r="M41" s="7">
        <v>36863.53</v>
      </c>
      <c r="N41" s="7">
        <v>22197.23</v>
      </c>
      <c r="O41" s="7">
        <v>29964.02</v>
      </c>
      <c r="P41" s="7">
        <v>22233.41</v>
      </c>
      <c r="Q41" s="7">
        <v>28750.12</v>
      </c>
      <c r="R41" s="7">
        <v>28477.1</v>
      </c>
      <c r="S41" s="7">
        <v>16526.49</v>
      </c>
      <c r="T41" s="7">
        <v>32150.34</v>
      </c>
      <c r="U41" s="7">
        <v>66180.38</v>
      </c>
      <c r="V41" s="7">
        <v>16808.3</v>
      </c>
      <c r="W41" s="7">
        <v>38666.62</v>
      </c>
      <c r="X41" s="7">
        <v>34258.49</v>
      </c>
      <c r="Y41" s="7">
        <v>48350.01</v>
      </c>
      <c r="Z41" s="9">
        <v>825449.32</v>
      </c>
    </row>
    <row r="42">
      <c r="A42" s="3" t="s">
        <v>12</v>
      </c>
      <c r="B42" s="7">
        <v>18731.56</v>
      </c>
      <c r="C42" s="7">
        <v>14918.71</v>
      </c>
      <c r="D42" s="7">
        <v>6816.86</v>
      </c>
      <c r="E42" s="7">
        <v>9888.02</v>
      </c>
      <c r="F42" s="7">
        <v>11914.76</v>
      </c>
      <c r="G42" s="7">
        <v>23421.41</v>
      </c>
      <c r="H42" s="7">
        <v>12298.1</v>
      </c>
      <c r="I42" s="7">
        <v>13538.08</v>
      </c>
      <c r="J42" s="7">
        <v>6307.0</v>
      </c>
      <c r="K42" s="7">
        <v>29334.24</v>
      </c>
      <c r="L42" s="7">
        <v>7488.48</v>
      </c>
      <c r="M42" s="7">
        <v>9942.06</v>
      </c>
      <c r="N42" s="7">
        <v>7155.25</v>
      </c>
      <c r="O42" s="7">
        <v>12494.41</v>
      </c>
      <c r="P42" s="7">
        <v>11929.61</v>
      </c>
      <c r="Q42" s="7">
        <v>6357.61</v>
      </c>
      <c r="R42" s="7">
        <v>8505.49</v>
      </c>
      <c r="S42" s="7">
        <v>10404.9</v>
      </c>
      <c r="T42" s="7">
        <v>10830.93</v>
      </c>
      <c r="U42" s="7">
        <v>20103.46</v>
      </c>
      <c r="V42" s="7">
        <v>11263.06</v>
      </c>
      <c r="W42" s="7">
        <v>15979.57</v>
      </c>
      <c r="X42" s="7">
        <v>18803.31</v>
      </c>
      <c r="Y42" s="7">
        <v>14156.34</v>
      </c>
      <c r="Z42" s="9">
        <v>312583.22</v>
      </c>
    </row>
    <row r="43">
      <c r="A43" s="6" t="s">
        <v>278</v>
      </c>
      <c r="B43" s="9">
        <v>130796.23</v>
      </c>
      <c r="C43" s="9">
        <v>132530.49</v>
      </c>
      <c r="D43" s="9">
        <v>120787.39</v>
      </c>
      <c r="E43" s="9">
        <v>170683.43</v>
      </c>
      <c r="F43" s="9">
        <v>124526.48</v>
      </c>
      <c r="G43" s="9">
        <v>188966.59</v>
      </c>
      <c r="H43" s="9">
        <v>133716.24</v>
      </c>
      <c r="I43" s="9">
        <v>152483.66</v>
      </c>
      <c r="J43" s="9">
        <v>133477.24</v>
      </c>
      <c r="K43" s="9">
        <v>123376.06</v>
      </c>
      <c r="L43" s="9">
        <v>92646.18</v>
      </c>
      <c r="M43" s="9">
        <v>127463.67</v>
      </c>
      <c r="N43" s="9">
        <v>107750.36</v>
      </c>
      <c r="O43" s="9">
        <v>110514.53</v>
      </c>
      <c r="P43" s="9">
        <v>116375.85</v>
      </c>
      <c r="Q43" s="9">
        <v>127010.92</v>
      </c>
      <c r="R43" s="9">
        <v>128203.36</v>
      </c>
      <c r="S43" s="9">
        <v>93789.04</v>
      </c>
      <c r="T43" s="9">
        <v>128288.37</v>
      </c>
      <c r="U43" s="9">
        <v>207777.05</v>
      </c>
      <c r="V43" s="9">
        <v>115219.86</v>
      </c>
      <c r="W43" s="9">
        <v>140448.81</v>
      </c>
      <c r="X43" s="9">
        <v>141517.83</v>
      </c>
      <c r="Y43" s="9">
        <v>137908.84</v>
      </c>
      <c r="Z43" s="9">
        <v>3186258.48</v>
      </c>
    </row>
    <row r="46">
      <c r="A46" s="5" t="s">
        <v>303</v>
      </c>
    </row>
    <row r="47">
      <c r="A47" s="6" t="s">
        <v>24</v>
      </c>
      <c r="B47" s="6" t="s">
        <v>6</v>
      </c>
      <c r="C47" s="6" t="s">
        <v>7</v>
      </c>
    </row>
    <row r="48">
      <c r="A48" s="3" t="s">
        <v>31</v>
      </c>
      <c r="B48" s="3" t="s">
        <v>304</v>
      </c>
      <c r="C48" s="7">
        <f>IFERROR(GETPIVOTDATA("Total Sales",Pivots!$AQ$3,"State","NSW"),0)</f>
        <v>1165603.47</v>
      </c>
    </row>
    <row r="49">
      <c r="A49" s="3" t="s">
        <v>31</v>
      </c>
      <c r="B49" s="3" t="s">
        <v>305</v>
      </c>
      <c r="C49" s="7">
        <f>IFERROR(GETPIVOTDATA("Total Sales",Pivots!$AQ$3,"State","VIC"),0)</f>
        <v>825449.32</v>
      </c>
    </row>
    <row r="50">
      <c r="A50" s="3" t="s">
        <v>31</v>
      </c>
      <c r="B50" s="3" t="s">
        <v>306</v>
      </c>
      <c r="C50" s="7">
        <f>IFERROR(GETPIVOTDATA("Total Sales",Pivots!$AQ$3,"State","QLD"),0)</f>
        <v>603864.98</v>
      </c>
    </row>
    <row r="51">
      <c r="A51" s="3" t="s">
        <v>31</v>
      </c>
      <c r="B51" s="3" t="s">
        <v>307</v>
      </c>
      <c r="C51" s="7">
        <f>IFERROR(GETPIVOTDATA("Total Sales",Pivots!$AQ$3,"State","WA"),0)</f>
        <v>312583.22</v>
      </c>
    </row>
    <row r="52">
      <c r="A52" s="3" t="s">
        <v>31</v>
      </c>
      <c r="B52" s="3" t="s">
        <v>308</v>
      </c>
      <c r="C52" s="7">
        <f>IFERROR(GETPIVOTDATA("Total Sales",Pivots!$AQ$3,"State","SA"),0)</f>
        <v>112716.27</v>
      </c>
    </row>
    <row r="53">
      <c r="A53" s="3" t="s">
        <v>31</v>
      </c>
      <c r="B53" s="3" t="s">
        <v>309</v>
      </c>
      <c r="C53" s="7">
        <f>IFERROR(GETPIVOTDATA("Total Sales",Pivots!$AQ$3,"State","NT"),0)</f>
        <v>67846.81</v>
      </c>
    </row>
    <row r="54">
      <c r="A54" s="3" t="s">
        <v>31</v>
      </c>
      <c r="B54" s="3" t="s">
        <v>310</v>
      </c>
      <c r="C54" s="7">
        <f>IFERROR(GETPIVOTDATA("Total Sales",Pivots!$AQ$3,"State","TAS"),0)</f>
        <v>59512.45</v>
      </c>
    </row>
    <row r="55">
      <c r="A55" s="3" t="s">
        <v>31</v>
      </c>
      <c r="B55" s="3" t="s">
        <v>311</v>
      </c>
      <c r="C55" s="7">
        <f>IFERROR(GETPIVOTDATA("Total Sales",Pivots!$AQ$3,"State","ACT"),0)</f>
        <v>38681.96</v>
      </c>
    </row>
    <row r="58">
      <c r="A58" s="5" t="s">
        <v>312</v>
      </c>
    </row>
    <row r="59">
      <c r="A59" s="6" t="s">
        <v>6</v>
      </c>
      <c r="B59" s="6" t="str">
        <f>IFERROR(IF(LEFT(INDEX(Pivots!$K$4:$K$40,1),2)="20",INDEX(Pivots!$K$4:$K$40,1),""),"")</f>
        <v>2024-01</v>
      </c>
      <c r="C59" s="6" t="str">
        <f>IFERROR(IF(LEFT(INDEX(Pivots!$K$4:$K$40,2),2)="20",INDEX(Pivots!$K$4:$K$40,2),""),"")</f>
        <v>2024-02</v>
      </c>
      <c r="D59" s="6" t="str">
        <f>IFERROR(IF(LEFT(INDEX(Pivots!$K$4:$K$40,3),2)="20",INDEX(Pivots!$K$4:$K$40,3),""),"")</f>
        <v>2024-03</v>
      </c>
      <c r="E59" s="6" t="str">
        <f>IFERROR(IF(LEFT(INDEX(Pivots!$K$4:$K$40,4),2)="20",INDEX(Pivots!$K$4:$K$40,4),""),"")</f>
        <v>2024-04</v>
      </c>
      <c r="F59" s="6" t="str">
        <f>IFERROR(IF(LEFT(INDEX(Pivots!$K$4:$K$40,5),2)="20",INDEX(Pivots!$K$4:$K$40,5),""),"")</f>
        <v>2024-05</v>
      </c>
      <c r="G59" s="6" t="str">
        <f>IFERROR(IF(LEFT(INDEX(Pivots!$K$4:$K$40,6),2)="20",INDEX(Pivots!$K$4:$K$40,6),""),"")</f>
        <v>2024-06</v>
      </c>
      <c r="H59" s="6" t="str">
        <f>IFERROR(IF(LEFT(INDEX(Pivots!$K$4:$K$40,7),2)="20",INDEX(Pivots!$K$4:$K$40,7),""),"")</f>
        <v>2024-07</v>
      </c>
      <c r="I59" s="6" t="str">
        <f>IFERROR(IF(LEFT(INDEX(Pivots!$K$4:$K$40,8),2)="20",INDEX(Pivots!$K$4:$K$40,8),""),"")</f>
        <v>2024-08</v>
      </c>
      <c r="J59" s="6" t="str">
        <f>IFERROR(IF(LEFT(INDEX(Pivots!$K$4:$K$40,9),2)="20",INDEX(Pivots!$K$4:$K$40,9),""),"")</f>
        <v>2024-09</v>
      </c>
      <c r="K59" s="6" t="str">
        <f>IFERROR(IF(LEFT(INDEX(Pivots!$K$4:$K$40,10),2)="20",INDEX(Pivots!$K$4:$K$40,10),""),"")</f>
        <v>2024-10</v>
      </c>
      <c r="L59" s="6" t="str">
        <f>IFERROR(IF(LEFT(INDEX(Pivots!$K$4:$K$40,11),2)="20",INDEX(Pivots!$K$4:$K$40,11),""),"")</f>
        <v>2024-11</v>
      </c>
      <c r="M59" s="6" t="str">
        <f>IFERROR(IF(LEFT(INDEX(Pivots!$K$4:$K$40,12),2)="20",INDEX(Pivots!$K$4:$K$40,12),""),"")</f>
        <v>2024-12</v>
      </c>
      <c r="N59" s="6" t="str">
        <f>IFERROR(IF(LEFT(INDEX(Pivots!$K$4:$K$40,13),2)="20",INDEX(Pivots!$K$4:$K$40,13),""),"")</f>
        <v>2025-01</v>
      </c>
      <c r="O59" s="6" t="str">
        <f>IFERROR(IF(LEFT(INDEX(Pivots!$K$4:$K$40,14),2)="20",INDEX(Pivots!$K$4:$K$40,14),""),"")</f>
        <v>2025-02</v>
      </c>
      <c r="P59" s="6" t="str">
        <f>IFERROR(IF(LEFT(INDEX(Pivots!$K$4:$K$40,15),2)="20",INDEX(Pivots!$K$4:$K$40,15),""),"")</f>
        <v>2025-03</v>
      </c>
      <c r="Q59" s="6" t="str">
        <f>IFERROR(IF(LEFT(INDEX(Pivots!$K$4:$K$40,16),2)="20",INDEX(Pivots!$K$4:$K$40,16),""),"")</f>
        <v>2025-04</v>
      </c>
      <c r="R59" s="6" t="str">
        <f>IFERROR(IF(LEFT(INDEX(Pivots!$K$4:$K$40,17),2)="20",INDEX(Pivots!$K$4:$K$40,17),""),"")</f>
        <v>2025-05</v>
      </c>
      <c r="S59" s="6" t="str">
        <f>IFERROR(IF(LEFT(INDEX(Pivots!$K$4:$K$40,18),2)="20",INDEX(Pivots!$K$4:$K$40,18),""),"")</f>
        <v>2025-06</v>
      </c>
      <c r="T59" s="6" t="str">
        <f>IFERROR(IF(LEFT(INDEX(Pivots!$K$4:$K$40,19),2)="20",INDEX(Pivots!$K$4:$K$40,19),""),"")</f>
        <v>2025-07</v>
      </c>
      <c r="U59" s="6" t="str">
        <f>IFERROR(IF(LEFT(INDEX(Pivots!$K$4:$K$40,20),2)="20",INDEX(Pivots!$K$4:$K$40,20),""),"")</f>
        <v>2025-08</v>
      </c>
      <c r="V59" s="6" t="str">
        <f>IFERROR(IF(LEFT(INDEX(Pivots!$K$4:$K$40,21),2)="20",INDEX(Pivots!$K$4:$K$40,21),""),"")</f>
        <v>2025-09</v>
      </c>
      <c r="W59" s="6" t="str">
        <f>IFERROR(IF(LEFT(INDEX(Pivots!$K$4:$K$40,22),2)="20",INDEX(Pivots!$K$4:$K$40,22),""),"")</f>
        <v>2025-10</v>
      </c>
      <c r="X59" s="6" t="str">
        <f>IFERROR(IF(LEFT(INDEX(Pivots!$K$4:$K$40,23),2)="20",INDEX(Pivots!$K$4:$K$40,23),""),"")</f>
        <v>2025-11</v>
      </c>
      <c r="Y59" s="6" t="str">
        <f>IFERROR(IF(LEFT(INDEX(Pivots!$K$4:$K$40,24),2)="20",INDEX(Pivots!$K$4:$K$40,24),""),"")</f>
        <v>2025-12</v>
      </c>
    </row>
    <row r="60">
      <c r="A60" s="3" t="s">
        <v>9</v>
      </c>
      <c r="B60" s="7">
        <f>IF(OR(B$59="",ISERROR(GETPIVOTDATA("Total Sales",Pivots!$A$33,"State",$A60))),NA(),IFERROR(GETPIVOTDATA("Total Sales",Pivots!$A$33,"State",$A60,"Month",B$59),0))</f>
        <v>34786.91</v>
      </c>
      <c r="C60" s="7">
        <f>IF(OR(C$59="",ISERROR(GETPIVOTDATA("Total Sales",Pivots!$A$33,"State",$A60))),NA(),IFERROR(GETPIVOTDATA("Total Sales",Pivots!$A$33,"State",$A60,"Month",C$59),0))</f>
        <v>53147.22</v>
      </c>
      <c r="D60" s="7">
        <f>IF(OR(D$59="",ISERROR(GETPIVOTDATA("Total Sales",Pivots!$A$33,"State",$A60))),NA(),IFERROR(GETPIVOTDATA("Total Sales",Pivots!$A$33,"State",$A60,"Month",D$59),0))</f>
        <v>47054.909999999996</v>
      </c>
      <c r="E60" s="7">
        <f>IF(OR(E$59="",ISERROR(GETPIVOTDATA("Total Sales",Pivots!$A$33,"State",$A60))),NA(),IFERROR(GETPIVOTDATA("Total Sales",Pivots!$A$33,"State",$A60,"Month",E$59),0))</f>
        <v>65289.14</v>
      </c>
      <c r="F60" s="7">
        <f>IF(OR(F$59="",ISERROR(GETPIVOTDATA("Total Sales",Pivots!$A$33,"State",$A60))),NA(),IFERROR(GETPIVOTDATA("Total Sales",Pivots!$A$33,"State",$A60,"Month",F$59),0))</f>
        <v>42797.46</v>
      </c>
      <c r="G60" s="7">
        <f>IF(OR(G$59="",ISERROR(GETPIVOTDATA("Total Sales",Pivots!$A$33,"State",$A60))),NA(),IFERROR(GETPIVOTDATA("Total Sales",Pivots!$A$33,"State",$A60,"Month",G$59),0))</f>
        <v>75352.9</v>
      </c>
      <c r="H60" s="7">
        <f>IF(OR(H$59="",ISERROR(GETPIVOTDATA("Total Sales",Pivots!$A$33,"State",$A60))),NA(),IFERROR(GETPIVOTDATA("Total Sales",Pivots!$A$33,"State",$A60,"Month",H$59),0))</f>
        <v>43487.3</v>
      </c>
      <c r="I60" s="7">
        <f>IF(OR(I$59="",ISERROR(GETPIVOTDATA("Total Sales",Pivots!$A$33,"State",$A60))),NA(),IFERROR(GETPIVOTDATA("Total Sales",Pivots!$A$33,"State",$A60,"Month",I$59),0))</f>
        <v>52364.45</v>
      </c>
      <c r="J60" s="7">
        <f>IF(OR(J$59="",ISERROR(GETPIVOTDATA("Total Sales",Pivots!$A$33,"State",$A60))),NA(),IFERROR(GETPIVOTDATA("Total Sales",Pivots!$A$33,"State",$A60,"Month",J$59),0))</f>
        <v>36195.92</v>
      </c>
      <c r="K60" s="7">
        <f>IF(OR(K$59="",ISERROR(GETPIVOTDATA("Total Sales",Pivots!$A$33,"State",$A60))),NA(),IFERROR(GETPIVOTDATA("Total Sales",Pivots!$A$33,"State",$A60,"Month",K$59),0))</f>
        <v>36885.590000000004</v>
      </c>
      <c r="L60" s="7">
        <f>IF(OR(L$59="",ISERROR(GETPIVOTDATA("Total Sales",Pivots!$A$33,"State",$A60))),NA(),IFERROR(GETPIVOTDATA("Total Sales",Pivots!$A$33,"State",$A60,"Month",L$59),0))</f>
        <v>29161.07</v>
      </c>
      <c r="M60" s="7">
        <f>IF(OR(M$59="",ISERROR(GETPIVOTDATA("Total Sales",Pivots!$A$33,"State",$A60))),NA(),IFERROR(GETPIVOTDATA("Total Sales",Pivots!$A$33,"State",$A60,"Month",M$59),0))</f>
        <v>53154.85</v>
      </c>
      <c r="N60" s="7">
        <f>IF(OR(N$59="",ISERROR(GETPIVOTDATA("Total Sales",Pivots!$A$33,"State",$A60))),NA(),IFERROR(GETPIVOTDATA("Total Sales",Pivots!$A$33,"State",$A60,"Month",N$59),0))</f>
        <v>46181.35</v>
      </c>
      <c r="O60" s="7">
        <f>IF(OR(O$59="",ISERROR(GETPIVOTDATA("Total Sales",Pivots!$A$33,"State",$A60))),NA(),IFERROR(GETPIVOTDATA("Total Sales",Pivots!$A$33,"State",$A60,"Month",O$59),0))</f>
        <v>32879.5</v>
      </c>
      <c r="P60" s="7">
        <f>IF(OR(P$59="",ISERROR(GETPIVOTDATA("Total Sales",Pivots!$A$33,"State",$A60))),NA(),IFERROR(GETPIVOTDATA("Total Sales",Pivots!$A$33,"State",$A60,"Month",P$59),0))</f>
        <v>54809.26</v>
      </c>
      <c r="Q60" s="7">
        <f>IF(OR(Q$59="",ISERROR(GETPIVOTDATA("Total Sales",Pivots!$A$33,"State",$A60))),NA(),IFERROR(GETPIVOTDATA("Total Sales",Pivots!$A$33,"State",$A60,"Month",Q$59),0))</f>
        <v>51842.82</v>
      </c>
      <c r="R60" s="7">
        <f>IF(OR(R$59="",ISERROR(GETPIVOTDATA("Total Sales",Pivots!$A$33,"State",$A60))),NA(),IFERROR(GETPIVOTDATA("Total Sales",Pivots!$A$33,"State",$A60,"Month",R$59),0))</f>
        <v>59859.29</v>
      </c>
      <c r="S60" s="7">
        <f>IF(OR(S$59="",ISERROR(GETPIVOTDATA("Total Sales",Pivots!$A$33,"State",$A60))),NA(),IFERROR(GETPIVOTDATA("Total Sales",Pivots!$A$33,"State",$A60,"Month",S$59),0))</f>
        <v>26656.73</v>
      </c>
      <c r="T60" s="7">
        <f>IF(OR(T$59="",ISERROR(GETPIVOTDATA("Total Sales",Pivots!$A$33,"State",$A60))),NA(),IFERROR(GETPIVOTDATA("Total Sales",Pivots!$A$33,"State",$A60,"Month",T$59),0))</f>
        <v>41840.67</v>
      </c>
      <c r="U60" s="7">
        <f>IF(OR(U$59="",ISERROR(GETPIVOTDATA("Total Sales",Pivots!$A$33,"State",$A60))),NA(),IFERROR(GETPIVOTDATA("Total Sales",Pivots!$A$33,"State",$A60,"Month",U$59),0))</f>
        <v>96334.98</v>
      </c>
      <c r="V60" s="7">
        <f>IF(OR(V$59="",ISERROR(GETPIVOTDATA("Total Sales",Pivots!$A$33,"State",$A60))),NA(),IFERROR(GETPIVOTDATA("Total Sales",Pivots!$A$33,"State",$A60,"Month",V$59),0))</f>
        <v>51098.7</v>
      </c>
      <c r="W60" s="7">
        <f>IF(OR(W$59="",ISERROR(GETPIVOTDATA("Total Sales",Pivots!$A$33,"State",$A60))),NA(),IFERROR(GETPIVOTDATA("Total Sales",Pivots!$A$33,"State",$A60,"Month",W$59),0))</f>
        <v>56519.55</v>
      </c>
      <c r="X60" s="7">
        <f>IF(OR(X$59="",ISERROR(GETPIVOTDATA("Total Sales",Pivots!$A$33,"State",$A60))),NA(),IFERROR(GETPIVOTDATA("Total Sales",Pivots!$A$33,"State",$A60,"Month",X$59),0))</f>
        <v>39642.65</v>
      </c>
      <c r="Y60" s="7">
        <f>IF(OR(Y$59="",ISERROR(GETPIVOTDATA("Total Sales",Pivots!$A$33,"State",$A60))),NA(),IFERROR(GETPIVOTDATA("Total Sales",Pivots!$A$33,"State",$A60,"Month",Y$59),0))</f>
        <v>38260.25</v>
      </c>
    </row>
    <row r="61">
      <c r="A61" s="3" t="s">
        <v>10</v>
      </c>
      <c r="B61" s="7">
        <f>IF(OR(B$59="",ISERROR(GETPIVOTDATA("Total Sales",Pivots!$A$33,"State",$A61))),NA(),IFERROR(GETPIVOTDATA("Total Sales",Pivots!$A$33,"State",$A61,"Month",B$59),0))</f>
        <v>39578.92</v>
      </c>
      <c r="C61" s="7">
        <f>IF(OR(C$59="",ISERROR(GETPIVOTDATA("Total Sales",Pivots!$A$33,"State",$A61))),NA(),IFERROR(GETPIVOTDATA("Total Sales",Pivots!$A$33,"State",$A61,"Month",C$59),0))</f>
        <v>27773.33</v>
      </c>
      <c r="D61" s="7">
        <f>IF(OR(D$59="",ISERROR(GETPIVOTDATA("Total Sales",Pivots!$A$33,"State",$A61))),NA(),IFERROR(GETPIVOTDATA("Total Sales",Pivots!$A$33,"State",$A61,"Month",D$59),0))</f>
        <v>39689.17</v>
      </c>
      <c r="E61" s="7">
        <f>IF(OR(E$59="",ISERROR(GETPIVOTDATA("Total Sales",Pivots!$A$33,"State",$A61))),NA(),IFERROR(GETPIVOTDATA("Total Sales",Pivots!$A$33,"State",$A61,"Month",E$59),0))</f>
        <v>57017.14</v>
      </c>
      <c r="F61" s="7">
        <f>IF(OR(F$59="",ISERROR(GETPIVOTDATA("Total Sales",Pivots!$A$33,"State",$A61))),NA(),IFERROR(GETPIVOTDATA("Total Sales",Pivots!$A$33,"State",$A61,"Month",F$59),0))</f>
        <v>21766.87</v>
      </c>
      <c r="G61" s="7">
        <f>IF(OR(G$59="",ISERROR(GETPIVOTDATA("Total Sales",Pivots!$A$33,"State",$A61))),NA(),IFERROR(GETPIVOTDATA("Total Sales",Pivots!$A$33,"State",$A61,"Month",G$59),0))</f>
        <v>38197.99</v>
      </c>
      <c r="H61" s="7">
        <f>IF(OR(H$59="",ISERROR(GETPIVOTDATA("Total Sales",Pivots!$A$33,"State",$A61))),NA(),IFERROR(GETPIVOTDATA("Total Sales",Pivots!$A$33,"State",$A61,"Month",H$59),0))</f>
        <v>47882.67</v>
      </c>
      <c r="I61" s="7">
        <f>IF(OR(I$59="",ISERROR(GETPIVOTDATA("Total Sales",Pivots!$A$33,"State",$A61))),NA(),IFERROR(GETPIVOTDATA("Total Sales",Pivots!$A$33,"State",$A61,"Month",I$59),0))</f>
        <v>38629.98</v>
      </c>
      <c r="J61" s="7">
        <f>IF(OR(J$59="",ISERROR(GETPIVOTDATA("Total Sales",Pivots!$A$33,"State",$A61))),NA(),IFERROR(GETPIVOTDATA("Total Sales",Pivots!$A$33,"State",$A61,"Month",J$59),0))</f>
        <v>35624.46</v>
      </c>
      <c r="K61" s="7">
        <f>IF(OR(K$59="",ISERROR(GETPIVOTDATA("Total Sales",Pivots!$A$33,"State",$A61))),NA(),IFERROR(GETPIVOTDATA("Total Sales",Pivots!$A$33,"State",$A61,"Month",K$59),0))</f>
        <v>35095.76</v>
      </c>
      <c r="L61" s="7">
        <f>IF(OR(L$59="",ISERROR(GETPIVOTDATA("Total Sales",Pivots!$A$33,"State",$A61))),NA(),IFERROR(GETPIVOTDATA("Total Sales",Pivots!$A$33,"State",$A61,"Month",L$59),0))</f>
        <v>22766.99</v>
      </c>
      <c r="M61" s="7">
        <f>IF(OR(M$59="",ISERROR(GETPIVOTDATA("Total Sales",Pivots!$A$33,"State",$A61))),NA(),IFERROR(GETPIVOTDATA("Total Sales",Pivots!$A$33,"State",$A61,"Month",M$59),0))</f>
        <v>36863.53</v>
      </c>
      <c r="N61" s="7">
        <f>IF(OR(N$59="",ISERROR(GETPIVOTDATA("Total Sales",Pivots!$A$33,"State",$A61))),NA(),IFERROR(GETPIVOTDATA("Total Sales",Pivots!$A$33,"State",$A61,"Month",N$59),0))</f>
        <v>22197.23</v>
      </c>
      <c r="O61" s="7">
        <f>IF(OR(O$59="",ISERROR(GETPIVOTDATA("Total Sales",Pivots!$A$33,"State",$A61))),NA(),IFERROR(GETPIVOTDATA("Total Sales",Pivots!$A$33,"State",$A61,"Month",O$59),0))</f>
        <v>29964.02</v>
      </c>
      <c r="P61" s="7">
        <f>IF(OR(P$59="",ISERROR(GETPIVOTDATA("Total Sales",Pivots!$A$33,"State",$A61))),NA(),IFERROR(GETPIVOTDATA("Total Sales",Pivots!$A$33,"State",$A61,"Month",P$59),0))</f>
        <v>22233.41</v>
      </c>
      <c r="Q61" s="7">
        <f>IF(OR(Q$59="",ISERROR(GETPIVOTDATA("Total Sales",Pivots!$A$33,"State",$A61))),NA(),IFERROR(GETPIVOTDATA("Total Sales",Pivots!$A$33,"State",$A61,"Month",Q$59),0))</f>
        <v>28750.12</v>
      </c>
      <c r="R61" s="7">
        <f>IF(OR(R$59="",ISERROR(GETPIVOTDATA("Total Sales",Pivots!$A$33,"State",$A61))),NA(),IFERROR(GETPIVOTDATA("Total Sales",Pivots!$A$33,"State",$A61,"Month",R$59),0))</f>
        <v>28477.100000000002</v>
      </c>
      <c r="S61" s="7">
        <f>IF(OR(S$59="",ISERROR(GETPIVOTDATA("Total Sales",Pivots!$A$33,"State",$A61))),NA(),IFERROR(GETPIVOTDATA("Total Sales",Pivots!$A$33,"State",$A61,"Month",S$59),0))</f>
        <v>16526.49</v>
      </c>
      <c r="T61" s="7">
        <f>IF(OR(T$59="",ISERROR(GETPIVOTDATA("Total Sales",Pivots!$A$33,"State",$A61))),NA(),IFERROR(GETPIVOTDATA("Total Sales",Pivots!$A$33,"State",$A61,"Month",T$59),0))</f>
        <v>32150.34</v>
      </c>
      <c r="U61" s="7">
        <f>IF(OR(U$59="",ISERROR(GETPIVOTDATA("Total Sales",Pivots!$A$33,"State",$A61))),NA(),IFERROR(GETPIVOTDATA("Total Sales",Pivots!$A$33,"State",$A61,"Month",U$59),0))</f>
        <v>66180.38</v>
      </c>
      <c r="V61" s="7">
        <f>IF(OR(V$59="",ISERROR(GETPIVOTDATA("Total Sales",Pivots!$A$33,"State",$A61))),NA(),IFERROR(GETPIVOTDATA("Total Sales",Pivots!$A$33,"State",$A61,"Month",V$59),0))</f>
        <v>16808.3</v>
      </c>
      <c r="W61" s="7">
        <f>IF(OR(W$59="",ISERROR(GETPIVOTDATA("Total Sales",Pivots!$A$33,"State",$A61))),NA(),IFERROR(GETPIVOTDATA("Total Sales",Pivots!$A$33,"State",$A61,"Month",W$59),0))</f>
        <v>38666.62</v>
      </c>
      <c r="X61" s="7">
        <f>IF(OR(X$59="",ISERROR(GETPIVOTDATA("Total Sales",Pivots!$A$33,"State",$A61))),NA(),IFERROR(GETPIVOTDATA("Total Sales",Pivots!$A$33,"State",$A61,"Month",X$59),0))</f>
        <v>34258.49</v>
      </c>
      <c r="Y61" s="7">
        <f>IF(OR(Y$59="",ISERROR(GETPIVOTDATA("Total Sales",Pivots!$A$33,"State",$A61))),NA(),IFERROR(GETPIVOTDATA("Total Sales",Pivots!$A$33,"State",$A61,"Month",Y$59),0))</f>
        <v>48350.01</v>
      </c>
    </row>
    <row r="62">
      <c r="A62" s="3" t="s">
        <v>11</v>
      </c>
      <c r="B62" s="7">
        <f>IF(OR(B$59="",ISERROR(GETPIVOTDATA("Total Sales",Pivots!$A$33,"State",$A62))),NA(),IFERROR(GETPIVOTDATA("Total Sales",Pivots!$A$33,"State",$A62,"Month",B$59),0))</f>
        <v>20657.06</v>
      </c>
      <c r="C62" s="7">
        <f>IF(OR(C$59="",ISERROR(GETPIVOTDATA("Total Sales",Pivots!$A$33,"State",$A62))),NA(),IFERROR(GETPIVOTDATA("Total Sales",Pivots!$A$33,"State",$A62,"Month",C$59),0))</f>
        <v>23682.34</v>
      </c>
      <c r="D62" s="7">
        <f>IF(OR(D$59="",ISERROR(GETPIVOTDATA("Total Sales",Pivots!$A$33,"State",$A62))),NA(),IFERROR(GETPIVOTDATA("Total Sales",Pivots!$A$33,"State",$A62,"Month",D$59),0))</f>
        <v>24229.68</v>
      </c>
      <c r="E62" s="7">
        <f>IF(OR(E$59="",ISERROR(GETPIVOTDATA("Total Sales",Pivots!$A$33,"State",$A62))),NA(),IFERROR(GETPIVOTDATA("Total Sales",Pivots!$A$33,"State",$A62,"Month",E$59),0))</f>
        <v>27449.05</v>
      </c>
      <c r="F62" s="7">
        <f>IF(OR(F$59="",ISERROR(GETPIVOTDATA("Total Sales",Pivots!$A$33,"State",$A62))),NA(),IFERROR(GETPIVOTDATA("Total Sales",Pivots!$A$33,"State",$A62,"Month",F$59),0))</f>
        <v>38339.41</v>
      </c>
      <c r="G62" s="7">
        <f>IF(OR(G$59="",ISERROR(GETPIVOTDATA("Total Sales",Pivots!$A$33,"State",$A62))),NA(),IFERROR(GETPIVOTDATA("Total Sales",Pivots!$A$33,"State",$A62,"Month",G$59),0))</f>
        <v>43033.21</v>
      </c>
      <c r="H62" s="7">
        <f>IF(OR(H$59="",ISERROR(GETPIVOTDATA("Total Sales",Pivots!$A$33,"State",$A62))),NA(),IFERROR(GETPIVOTDATA("Total Sales",Pivots!$A$33,"State",$A62,"Month",H$59),0))</f>
        <v>19780.93</v>
      </c>
      <c r="I62" s="7">
        <f>IF(OR(I$59="",ISERROR(GETPIVOTDATA("Total Sales",Pivots!$A$33,"State",$A62))),NA(),IFERROR(GETPIVOTDATA("Total Sales",Pivots!$A$33,"State",$A62,"Month",I$59),0))</f>
        <v>38129.71</v>
      </c>
      <c r="J62" s="7">
        <f>IF(OR(J$59="",ISERROR(GETPIVOTDATA("Total Sales",Pivots!$A$33,"State",$A62))),NA(),IFERROR(GETPIVOTDATA("Total Sales",Pivots!$A$33,"State",$A62,"Month",J$59),0))</f>
        <v>44197.53</v>
      </c>
      <c r="K62" s="7">
        <f>IF(OR(K$59="",ISERROR(GETPIVOTDATA("Total Sales",Pivots!$A$33,"State",$A62))),NA(),IFERROR(GETPIVOTDATA("Total Sales",Pivots!$A$33,"State",$A62,"Month",K$59),0))</f>
        <v>5681.13</v>
      </c>
      <c r="L62" s="7">
        <f>IF(OR(L$59="",ISERROR(GETPIVOTDATA("Total Sales",Pivots!$A$33,"State",$A62))),NA(),IFERROR(GETPIVOTDATA("Total Sales",Pivots!$A$33,"State",$A62,"Month",L$59),0))</f>
        <v>23206.23</v>
      </c>
      <c r="M62" s="7">
        <f>IF(OR(M$59="",ISERROR(GETPIVOTDATA("Total Sales",Pivots!$A$33,"State",$A62))),NA(),IFERROR(GETPIVOTDATA("Total Sales",Pivots!$A$33,"State",$A62,"Month",M$59),0))</f>
        <v>18849.86</v>
      </c>
      <c r="N62" s="7">
        <f>IF(OR(N$59="",ISERROR(GETPIVOTDATA("Total Sales",Pivots!$A$33,"State",$A62))),NA(),IFERROR(GETPIVOTDATA("Total Sales",Pivots!$A$33,"State",$A62,"Month",N$59),0))</f>
        <v>24303.97</v>
      </c>
      <c r="O62" s="7">
        <f>IF(OR(O$59="",ISERROR(GETPIVOTDATA("Total Sales",Pivots!$A$33,"State",$A62))),NA(),IFERROR(GETPIVOTDATA("Total Sales",Pivots!$A$33,"State",$A62,"Month",O$59),0))</f>
        <v>25062.28</v>
      </c>
      <c r="P62" s="7">
        <f>IF(OR(P$59="",ISERROR(GETPIVOTDATA("Total Sales",Pivots!$A$33,"State",$A62))),NA(),IFERROR(GETPIVOTDATA("Total Sales",Pivots!$A$33,"State",$A62,"Month",P$59),0))</f>
        <v>13944.38</v>
      </c>
      <c r="Q62" s="7">
        <f>IF(OR(Q$59="",ISERROR(GETPIVOTDATA("Total Sales",Pivots!$A$33,"State",$A62))),NA(),IFERROR(GETPIVOTDATA("Total Sales",Pivots!$A$33,"State",$A62,"Month",Q$59),0))</f>
        <v>27965.3</v>
      </c>
      <c r="R62" s="7">
        <f>IF(OR(R$59="",ISERROR(GETPIVOTDATA("Total Sales",Pivots!$A$33,"State",$A62))),NA(),IFERROR(GETPIVOTDATA("Total Sales",Pivots!$A$33,"State",$A62,"Month",R$59),0))</f>
        <v>24158.3</v>
      </c>
      <c r="S62" s="7">
        <f>IF(OR(S$59="",ISERROR(GETPIVOTDATA("Total Sales",Pivots!$A$33,"State",$A62))),NA(),IFERROR(GETPIVOTDATA("Total Sales",Pivots!$A$33,"State",$A62,"Month",S$59),0))</f>
        <v>28111.27</v>
      </c>
      <c r="T62" s="7">
        <f>IF(OR(T$59="",ISERROR(GETPIVOTDATA("Total Sales",Pivots!$A$33,"State",$A62))),NA(),IFERROR(GETPIVOTDATA("Total Sales",Pivots!$A$33,"State",$A62,"Month",T$59),0))</f>
        <v>22330.280000000002</v>
      </c>
      <c r="U62" s="7">
        <f>IF(OR(U$59="",ISERROR(GETPIVOTDATA("Total Sales",Pivots!$A$33,"State",$A62))),NA(),IFERROR(GETPIVOTDATA("Total Sales",Pivots!$A$33,"State",$A62,"Month",U$59),0))</f>
        <v>19140.33</v>
      </c>
      <c r="V62" s="7">
        <f>IF(OR(V$59="",ISERROR(GETPIVOTDATA("Total Sales",Pivots!$A$33,"State",$A62))),NA(),IFERROR(GETPIVOTDATA("Total Sales",Pivots!$A$33,"State",$A62,"Month",V$59),0))</f>
        <v>15295.26</v>
      </c>
      <c r="W62" s="7">
        <f>IF(OR(W$59="",ISERROR(GETPIVOTDATA("Total Sales",Pivots!$A$33,"State",$A62))),NA(),IFERROR(GETPIVOTDATA("Total Sales",Pivots!$A$33,"State",$A62,"Month",W$59),0))</f>
        <v>16906.9</v>
      </c>
      <c r="X62" s="7">
        <f>IF(OR(X$59="",ISERROR(GETPIVOTDATA("Total Sales",Pivots!$A$33,"State",$A62))),NA(),IFERROR(GETPIVOTDATA("Total Sales",Pivots!$A$33,"State",$A62,"Month",X$59),0))</f>
        <v>30509.219999999998</v>
      </c>
      <c r="Y62" s="7">
        <f>IF(OR(Y$59="",ISERROR(GETPIVOTDATA("Total Sales",Pivots!$A$33,"State",$A62))),NA(),IFERROR(GETPIVOTDATA("Total Sales",Pivots!$A$33,"State",$A62,"Month",Y$59),0))</f>
        <v>28901.35</v>
      </c>
    </row>
    <row r="63">
      <c r="A63" s="3" t="s">
        <v>12</v>
      </c>
      <c r="B63" s="7">
        <f>IF(OR(B$59="",ISERROR(GETPIVOTDATA("Total Sales",Pivots!$A$33,"State",$A63))),NA(),IFERROR(GETPIVOTDATA("Total Sales",Pivots!$A$33,"State",$A63,"Month",B$59),0))</f>
        <v>18731.56</v>
      </c>
      <c r="C63" s="7">
        <f>IF(OR(C$59="",ISERROR(GETPIVOTDATA("Total Sales",Pivots!$A$33,"State",$A63))),NA(),IFERROR(GETPIVOTDATA("Total Sales",Pivots!$A$33,"State",$A63,"Month",C$59),0))</f>
        <v>14918.710000000001</v>
      </c>
      <c r="D63" s="7">
        <f>IF(OR(D$59="",ISERROR(GETPIVOTDATA("Total Sales",Pivots!$A$33,"State",$A63))),NA(),IFERROR(GETPIVOTDATA("Total Sales",Pivots!$A$33,"State",$A63,"Month",D$59),0))</f>
        <v>6816.86</v>
      </c>
      <c r="E63" s="7">
        <f>IF(OR(E$59="",ISERROR(GETPIVOTDATA("Total Sales",Pivots!$A$33,"State",$A63))),NA(),IFERROR(GETPIVOTDATA("Total Sales",Pivots!$A$33,"State",$A63,"Month",E$59),0))</f>
        <v>9888.02</v>
      </c>
      <c r="F63" s="7">
        <f>IF(OR(F$59="",ISERROR(GETPIVOTDATA("Total Sales",Pivots!$A$33,"State",$A63))),NA(),IFERROR(GETPIVOTDATA("Total Sales",Pivots!$A$33,"State",$A63,"Month",F$59),0))</f>
        <v>11914.76</v>
      </c>
      <c r="G63" s="7">
        <f>IF(OR(G$59="",ISERROR(GETPIVOTDATA("Total Sales",Pivots!$A$33,"State",$A63))),NA(),IFERROR(GETPIVOTDATA("Total Sales",Pivots!$A$33,"State",$A63,"Month",G$59),0))</f>
        <v>23421.41</v>
      </c>
      <c r="H63" s="7">
        <f>IF(OR(H$59="",ISERROR(GETPIVOTDATA("Total Sales",Pivots!$A$33,"State",$A63))),NA(),IFERROR(GETPIVOTDATA("Total Sales",Pivots!$A$33,"State",$A63,"Month",H$59),0))</f>
        <v>12298.1</v>
      </c>
      <c r="I63" s="7">
        <f>IF(OR(I$59="",ISERROR(GETPIVOTDATA("Total Sales",Pivots!$A$33,"State",$A63))),NA(),IFERROR(GETPIVOTDATA("Total Sales",Pivots!$A$33,"State",$A63,"Month",I$59),0))</f>
        <v>13538.08</v>
      </c>
      <c r="J63" s="7">
        <f>IF(OR(J$59="",ISERROR(GETPIVOTDATA("Total Sales",Pivots!$A$33,"State",$A63))),NA(),IFERROR(GETPIVOTDATA("Total Sales",Pivots!$A$33,"State",$A63,"Month",J$59),0))</f>
        <v>6307.0</v>
      </c>
      <c r="K63" s="7">
        <f>IF(OR(K$59="",ISERROR(GETPIVOTDATA("Total Sales",Pivots!$A$33,"State",$A63))),NA(),IFERROR(GETPIVOTDATA("Total Sales",Pivots!$A$33,"State",$A63,"Month",K$59),0))</f>
        <v>29334.24</v>
      </c>
      <c r="L63" s="7">
        <f>IF(OR(L$59="",ISERROR(GETPIVOTDATA("Total Sales",Pivots!$A$33,"State",$A63))),NA(),IFERROR(GETPIVOTDATA("Total Sales",Pivots!$A$33,"State",$A63,"Month",L$59),0))</f>
        <v>7488.48</v>
      </c>
      <c r="M63" s="7">
        <f>IF(OR(M$59="",ISERROR(GETPIVOTDATA("Total Sales",Pivots!$A$33,"State",$A63))),NA(),IFERROR(GETPIVOTDATA("Total Sales",Pivots!$A$33,"State",$A63,"Month",M$59),0))</f>
        <v>9942.06</v>
      </c>
      <c r="N63" s="7">
        <f>IF(OR(N$59="",ISERROR(GETPIVOTDATA("Total Sales",Pivots!$A$33,"State",$A63))),NA(),IFERROR(GETPIVOTDATA("Total Sales",Pivots!$A$33,"State",$A63,"Month",N$59),0))</f>
        <v>7155.25</v>
      </c>
      <c r="O63" s="7">
        <f>IF(OR(O$59="",ISERROR(GETPIVOTDATA("Total Sales",Pivots!$A$33,"State",$A63))),NA(),IFERROR(GETPIVOTDATA("Total Sales",Pivots!$A$33,"State",$A63,"Month",O$59),0))</f>
        <v>12494.41</v>
      </c>
      <c r="P63" s="7">
        <f>IF(OR(P$59="",ISERROR(GETPIVOTDATA("Total Sales",Pivots!$A$33,"State",$A63))),NA(),IFERROR(GETPIVOTDATA("Total Sales",Pivots!$A$33,"State",$A63,"Month",P$59),0))</f>
        <v>11929.61</v>
      </c>
      <c r="Q63" s="7">
        <f>IF(OR(Q$59="",ISERROR(GETPIVOTDATA("Total Sales",Pivots!$A$33,"State",$A63))),NA(),IFERROR(GETPIVOTDATA("Total Sales",Pivots!$A$33,"State",$A63,"Month",Q$59),0))</f>
        <v>6357.61</v>
      </c>
      <c r="R63" s="7">
        <f>IF(OR(R$59="",ISERROR(GETPIVOTDATA("Total Sales",Pivots!$A$33,"State",$A63))),NA(),IFERROR(GETPIVOTDATA("Total Sales",Pivots!$A$33,"State",$A63,"Month",R$59),0))</f>
        <v>8505.49</v>
      </c>
      <c r="S63" s="7">
        <f>IF(OR(S$59="",ISERROR(GETPIVOTDATA("Total Sales",Pivots!$A$33,"State",$A63))),NA(),IFERROR(GETPIVOTDATA("Total Sales",Pivots!$A$33,"State",$A63,"Month",S$59),0))</f>
        <v>10404.9</v>
      </c>
      <c r="T63" s="7">
        <f>IF(OR(T$59="",ISERROR(GETPIVOTDATA("Total Sales",Pivots!$A$33,"State",$A63))),NA(),IFERROR(GETPIVOTDATA("Total Sales",Pivots!$A$33,"State",$A63,"Month",T$59),0))</f>
        <v>10830.93</v>
      </c>
      <c r="U63" s="7">
        <f>IF(OR(U$59="",ISERROR(GETPIVOTDATA("Total Sales",Pivots!$A$33,"State",$A63))),NA(),IFERROR(GETPIVOTDATA("Total Sales",Pivots!$A$33,"State",$A63,"Month",U$59),0))</f>
        <v>20103.46</v>
      </c>
      <c r="V63" s="7">
        <f>IF(OR(V$59="",ISERROR(GETPIVOTDATA("Total Sales",Pivots!$A$33,"State",$A63))),NA(),IFERROR(GETPIVOTDATA("Total Sales",Pivots!$A$33,"State",$A63,"Month",V$59),0))</f>
        <v>11263.06</v>
      </c>
      <c r="W63" s="7">
        <f>IF(OR(W$59="",ISERROR(GETPIVOTDATA("Total Sales",Pivots!$A$33,"State",$A63))),NA(),IFERROR(GETPIVOTDATA("Total Sales",Pivots!$A$33,"State",$A63,"Month",W$59),0))</f>
        <v>15979.57</v>
      </c>
      <c r="X63" s="7">
        <f>IF(OR(X$59="",ISERROR(GETPIVOTDATA("Total Sales",Pivots!$A$33,"State",$A63))),NA(),IFERROR(GETPIVOTDATA("Total Sales",Pivots!$A$33,"State",$A63,"Month",X$59),0))</f>
        <v>18803.31</v>
      </c>
      <c r="Y63" s="7">
        <f>IF(OR(Y$59="",ISERROR(GETPIVOTDATA("Total Sales",Pivots!$A$33,"State",$A63))),NA(),IFERROR(GETPIVOTDATA("Total Sales",Pivots!$A$33,"State",$A63,"Month",Y$59),0))</f>
        <v>14156.34</v>
      </c>
    </row>
    <row r="64">
      <c r="A64" s="3" t="s">
        <v>13</v>
      </c>
      <c r="B64" s="7">
        <f>IF(OR(B$59="",ISERROR(GETPIVOTDATA("Total Sales",Pivots!$A$33,"State",$A64))),NA(),IFERROR(GETPIVOTDATA("Total Sales",Pivots!$A$33,"State",$A64,"Month",B$59),0))</f>
        <v>6127.46</v>
      </c>
      <c r="C64" s="7">
        <f>IF(OR(C$59="",ISERROR(GETPIVOTDATA("Total Sales",Pivots!$A$33,"State",$A64))),NA(),IFERROR(GETPIVOTDATA("Total Sales",Pivots!$A$33,"State",$A64,"Month",C$59),0))</f>
        <v>2657.02</v>
      </c>
      <c r="D64" s="7">
        <f>IF(OR(D$59="",ISERROR(GETPIVOTDATA("Total Sales",Pivots!$A$33,"State",$A64))),NA(),IFERROR(GETPIVOTDATA("Total Sales",Pivots!$A$33,"State",$A64,"Month",D$59),0))</f>
        <v>1639.22</v>
      </c>
      <c r="E64" s="7">
        <f>IF(OR(E$59="",ISERROR(GETPIVOTDATA("Total Sales",Pivots!$A$33,"State",$A64))),NA(),IFERROR(GETPIVOTDATA("Total Sales",Pivots!$A$33,"State",$A64,"Month",E$59),0))</f>
        <v>3449.05</v>
      </c>
      <c r="F64" s="7">
        <f>IF(OR(F$59="",ISERROR(GETPIVOTDATA("Total Sales",Pivots!$A$33,"State",$A64))),NA(),IFERROR(GETPIVOTDATA("Total Sales",Pivots!$A$33,"State",$A64,"Month",F$59),0))</f>
        <v>2693.26</v>
      </c>
      <c r="G64" s="7">
        <f>IF(OR(G$59="",ISERROR(GETPIVOTDATA("Total Sales",Pivots!$A$33,"State",$A64))),NA(),IFERROR(GETPIVOTDATA("Total Sales",Pivots!$A$33,"State",$A64,"Month",G$59),0))</f>
        <v>4159.73</v>
      </c>
      <c r="H64" s="7">
        <f>IF(OR(H$59="",ISERROR(GETPIVOTDATA("Total Sales",Pivots!$A$33,"State",$A64))),NA(),IFERROR(GETPIVOTDATA("Total Sales",Pivots!$A$33,"State",$A64,"Month",H$59),0))</f>
        <v>3013.54</v>
      </c>
      <c r="I64" s="7">
        <f>IF(OR(I$59="",ISERROR(GETPIVOTDATA("Total Sales",Pivots!$A$33,"State",$A64))),NA(),IFERROR(GETPIVOTDATA("Total Sales",Pivots!$A$33,"State",$A64,"Month",I$59),0))</f>
        <v>5542.8</v>
      </c>
      <c r="J64" s="7">
        <f>IF(OR(J$59="",ISERROR(GETPIVOTDATA("Total Sales",Pivots!$A$33,"State",$A64))),NA(),IFERROR(GETPIVOTDATA("Total Sales",Pivots!$A$33,"State",$A64,"Month",J$59),0))</f>
        <v>4511.49</v>
      </c>
      <c r="K64" s="7">
        <f>IF(OR(K$59="",ISERROR(GETPIVOTDATA("Total Sales",Pivots!$A$33,"State",$A64))),NA(),IFERROR(GETPIVOTDATA("Total Sales",Pivots!$A$33,"State",$A64,"Month",K$59),0))</f>
        <v>7133.2699999999995</v>
      </c>
      <c r="L64" s="7">
        <f>IF(OR(L$59="",ISERROR(GETPIVOTDATA("Total Sales",Pivots!$A$33,"State",$A64))),NA(),IFERROR(GETPIVOTDATA("Total Sales",Pivots!$A$33,"State",$A64,"Month",L$59),0))</f>
        <v>4808.09</v>
      </c>
      <c r="M64" s="7">
        <f>IF(OR(M$59="",ISERROR(GETPIVOTDATA("Total Sales",Pivots!$A$33,"State",$A64))),NA(),IFERROR(GETPIVOTDATA("Total Sales",Pivots!$A$33,"State",$A64,"Month",M$59),0))</f>
        <v>4008.05</v>
      </c>
      <c r="N64" s="7">
        <f>IF(OR(N$59="",ISERROR(GETPIVOTDATA("Total Sales",Pivots!$A$33,"State",$A64))),NA(),IFERROR(GETPIVOTDATA("Total Sales",Pivots!$A$33,"State",$A64,"Month",N$59),0))</f>
        <v>3172.76</v>
      </c>
      <c r="O64" s="7">
        <f>IF(OR(O$59="",ISERROR(GETPIVOTDATA("Total Sales",Pivots!$A$33,"State",$A64))),NA(),IFERROR(GETPIVOTDATA("Total Sales",Pivots!$A$33,"State",$A64,"Month",O$59),0))</f>
        <v>5262.75</v>
      </c>
      <c r="P64" s="7">
        <f>IF(OR(P$59="",ISERROR(GETPIVOTDATA("Total Sales",Pivots!$A$33,"State",$A64))),NA(),IFERROR(GETPIVOTDATA("Total Sales",Pivots!$A$33,"State",$A64,"Month",P$59),0))</f>
        <v>3046.49</v>
      </c>
      <c r="Q64" s="7">
        <f>IF(OR(Q$59="",ISERROR(GETPIVOTDATA("Total Sales",Pivots!$A$33,"State",$A64))),NA(),IFERROR(GETPIVOTDATA("Total Sales",Pivots!$A$33,"State",$A64,"Month",Q$59),0))</f>
        <v>6725.42</v>
      </c>
      <c r="R64" s="7">
        <f>IF(OR(R$59="",ISERROR(GETPIVOTDATA("Total Sales",Pivots!$A$33,"State",$A64))),NA(),IFERROR(GETPIVOTDATA("Total Sales",Pivots!$A$33,"State",$A64,"Month",R$59),0))</f>
        <v>1583.25</v>
      </c>
      <c r="S64" s="7">
        <f>IF(OR(S$59="",ISERROR(GETPIVOTDATA("Total Sales",Pivots!$A$33,"State",$A64))),NA(),IFERROR(GETPIVOTDATA("Total Sales",Pivots!$A$33,"State",$A64,"Month",S$59),0))</f>
        <v>5915.530000000001</v>
      </c>
      <c r="T64" s="7">
        <f>IF(OR(T$59="",ISERROR(GETPIVOTDATA("Total Sales",Pivots!$A$33,"State",$A64))),NA(),IFERROR(GETPIVOTDATA("Total Sales",Pivots!$A$33,"State",$A64,"Month",T$59),0))</f>
        <v>8457.029999999999</v>
      </c>
      <c r="U64" s="7">
        <f>IF(OR(U$59="",ISERROR(GETPIVOTDATA("Total Sales",Pivots!$A$33,"State",$A64))),NA(),IFERROR(GETPIVOTDATA("Total Sales",Pivots!$A$33,"State",$A64,"Month",U$59),0))</f>
        <v>5144.95</v>
      </c>
      <c r="V64" s="7">
        <f>IF(OR(V$59="",ISERROR(GETPIVOTDATA("Total Sales",Pivots!$A$33,"State",$A64))),NA(),IFERROR(GETPIVOTDATA("Total Sales",Pivots!$A$33,"State",$A64,"Month",V$59),0))</f>
        <v>5652.97</v>
      </c>
      <c r="W64" s="7">
        <f>IF(OR(W$59="",ISERROR(GETPIVOTDATA("Total Sales",Pivots!$A$33,"State",$A64))),NA(),IFERROR(GETPIVOTDATA("Total Sales",Pivots!$A$33,"State",$A64,"Month",W$59),0))</f>
        <v>6560.21</v>
      </c>
      <c r="X64" s="7">
        <f>IF(OR(X$59="",ISERROR(GETPIVOTDATA("Total Sales",Pivots!$A$33,"State",$A64))),NA(),IFERROR(GETPIVOTDATA("Total Sales",Pivots!$A$33,"State",$A64,"Month",X$59),0))</f>
        <v>6358.13</v>
      </c>
      <c r="Y64" s="7">
        <f>IF(OR(Y$59="",ISERROR(GETPIVOTDATA("Total Sales",Pivots!$A$33,"State",$A64))),NA(),IFERROR(GETPIVOTDATA("Total Sales",Pivots!$A$33,"State",$A64,"Month",Y$59),0))</f>
        <v>5093.8</v>
      </c>
    </row>
    <row r="65">
      <c r="A65" s="3" t="s">
        <v>14</v>
      </c>
      <c r="B65" s="7">
        <f>IF(OR(B$59="",ISERROR(GETPIVOTDATA("Total Sales",Pivots!$A$33,"State",$A65))),NA(),IFERROR(GETPIVOTDATA("Total Sales",Pivots!$A$33,"State",$A65,"Month",B$59),0))</f>
        <v>5444.25</v>
      </c>
      <c r="C65" s="7">
        <f>IF(OR(C$59="",ISERROR(GETPIVOTDATA("Total Sales",Pivots!$A$33,"State",$A65))),NA(),IFERROR(GETPIVOTDATA("Total Sales",Pivots!$A$33,"State",$A65,"Month",C$59),0))</f>
        <v>6893.44</v>
      </c>
      <c r="D65" s="7">
        <f>IF(OR(D$59="",ISERROR(GETPIVOTDATA("Total Sales",Pivots!$A$33,"State",$A65))),NA(),IFERROR(GETPIVOTDATA("Total Sales",Pivots!$A$33,"State",$A65,"Month",D$59),0))</f>
        <v>283.01</v>
      </c>
      <c r="E65" s="7">
        <f>IF(OR(E$59="",ISERROR(GETPIVOTDATA("Total Sales",Pivots!$A$33,"State",$A65))),NA(),IFERROR(GETPIVOTDATA("Total Sales",Pivots!$A$33,"State",$A65,"Month",E$59),0))</f>
        <v>2888.44</v>
      </c>
      <c r="F65" s="7">
        <f>IF(OR(F$59="",ISERROR(GETPIVOTDATA("Total Sales",Pivots!$A$33,"State",$A65))),NA(),IFERROR(GETPIVOTDATA("Total Sales",Pivots!$A$33,"State",$A65,"Month",F$59),0))</f>
        <v>3095.21</v>
      </c>
      <c r="G65" s="7">
        <f>IF(OR(G$59="",ISERROR(GETPIVOTDATA("Total Sales",Pivots!$A$33,"State",$A65))),NA(),IFERROR(GETPIVOTDATA("Total Sales",Pivots!$A$33,"State",$A65,"Month",G$59),0))</f>
        <v>1090.9299999999998</v>
      </c>
      <c r="H65" s="7">
        <f>IF(OR(H$59="",ISERROR(GETPIVOTDATA("Total Sales",Pivots!$A$33,"State",$A65))),NA(),IFERROR(GETPIVOTDATA("Total Sales",Pivots!$A$33,"State",$A65,"Month",H$59),0))</f>
        <v>3061.76</v>
      </c>
      <c r="I65" s="7">
        <f>IF(OR(I$59="",ISERROR(GETPIVOTDATA("Total Sales",Pivots!$A$33,"State",$A65))),NA(),IFERROR(GETPIVOTDATA("Total Sales",Pivots!$A$33,"State",$A65,"Month",I$59),0))</f>
        <v>1037.0900000000001</v>
      </c>
      <c r="J65" s="7">
        <f>IF(OR(J$59="",ISERROR(GETPIVOTDATA("Total Sales",Pivots!$A$33,"State",$A65))),NA(),IFERROR(GETPIVOTDATA("Total Sales",Pivots!$A$33,"State",$A65,"Month",J$59),0))</f>
        <v>1766.6599999999999</v>
      </c>
      <c r="K65" s="7">
        <f>IF(OR(K$59="",ISERROR(GETPIVOTDATA("Total Sales",Pivots!$A$33,"State",$A65))),NA(),IFERROR(GETPIVOTDATA("Total Sales",Pivots!$A$33,"State",$A65,"Month",K$59),0))</f>
        <v>5480.28</v>
      </c>
      <c r="L65" s="7">
        <f>IF(OR(L$59="",ISERROR(GETPIVOTDATA("Total Sales",Pivots!$A$33,"State",$A65))),NA(),IFERROR(GETPIVOTDATA("Total Sales",Pivots!$A$33,"State",$A65,"Month",L$59),0))</f>
        <v>1867.1200000000001</v>
      </c>
      <c r="M65" s="7">
        <f>IF(OR(M$59="",ISERROR(GETPIVOTDATA("Total Sales",Pivots!$A$33,"State",$A65))),NA(),IFERROR(GETPIVOTDATA("Total Sales",Pivots!$A$33,"State",$A65,"Month",M$59),0))</f>
        <v>975.4300000000001</v>
      </c>
      <c r="N65" s="7">
        <f>IF(OR(N$59="",ISERROR(GETPIVOTDATA("Total Sales",Pivots!$A$33,"State",$A65))),NA(),IFERROR(GETPIVOTDATA("Total Sales",Pivots!$A$33,"State",$A65,"Month",N$59),0))</f>
        <v>667.67</v>
      </c>
      <c r="O65" s="7">
        <f>IF(OR(O$59="",ISERROR(GETPIVOTDATA("Total Sales",Pivots!$A$33,"State",$A65))),NA(),IFERROR(GETPIVOTDATA("Total Sales",Pivots!$A$33,"State",$A65,"Month",O$59),0))</f>
        <v>375.27</v>
      </c>
      <c r="P65" s="7">
        <f>IF(OR(P$59="",ISERROR(GETPIVOTDATA("Total Sales",Pivots!$A$33,"State",$A65))),NA(),IFERROR(GETPIVOTDATA("Total Sales",Pivots!$A$33,"State",$A65,"Month",P$59),0))</f>
        <v>2939.04</v>
      </c>
      <c r="Q65" s="7">
        <f>IF(OR(Q$59="",ISERROR(GETPIVOTDATA("Total Sales",Pivots!$A$33,"State",$A65))),NA(),IFERROR(GETPIVOTDATA("Total Sales",Pivots!$A$33,"State",$A65,"Month",Q$59),0))</f>
        <v>1920.3200000000002</v>
      </c>
      <c r="R65" s="7">
        <f>IF(OR(R$59="",ISERROR(GETPIVOTDATA("Total Sales",Pivots!$A$33,"State",$A65))),NA(),IFERROR(GETPIVOTDATA("Total Sales",Pivots!$A$33,"State",$A65,"Month",R$59),0))</f>
        <v>1808.3100000000002</v>
      </c>
      <c r="S65" s="7">
        <f>IF(OR(S$59="",ISERROR(GETPIVOTDATA("Total Sales",Pivots!$A$33,"State",$A65))),NA(),IFERROR(GETPIVOTDATA("Total Sales",Pivots!$A$33,"State",$A65,"Month",S$59),0))</f>
        <v>207.42</v>
      </c>
      <c r="T65" s="7">
        <f>IF(OR(T$59="",ISERROR(GETPIVOTDATA("Total Sales",Pivots!$A$33,"State",$A65))),NA(),IFERROR(GETPIVOTDATA("Total Sales",Pivots!$A$33,"State",$A65,"Month",T$59),0))</f>
        <v>3318.2599999999998</v>
      </c>
      <c r="U65" s="7">
        <f>IF(OR(U$59="",ISERROR(GETPIVOTDATA("Total Sales",Pivots!$A$33,"State",$A65))),NA(),IFERROR(GETPIVOTDATA("Total Sales",Pivots!$A$33,"State",$A65,"Month",U$59),0))</f>
        <v>325.47</v>
      </c>
      <c r="V65" s="7">
        <f>IF(OR(V$59="",ISERROR(GETPIVOTDATA("Total Sales",Pivots!$A$33,"State",$A65))),NA(),IFERROR(GETPIVOTDATA("Total Sales",Pivots!$A$33,"State",$A65,"Month",V$59),0))</f>
        <v>9915.380000000001</v>
      </c>
      <c r="W65" s="7">
        <f>IF(OR(W$59="",ISERROR(GETPIVOTDATA("Total Sales",Pivots!$A$33,"State",$A65))),NA(),IFERROR(GETPIVOTDATA("Total Sales",Pivots!$A$33,"State",$A65,"Month",W$59),0))</f>
        <v>325.86</v>
      </c>
      <c r="X65" s="7">
        <f>IF(OR(X$59="",ISERROR(GETPIVOTDATA("Total Sales",Pivots!$A$33,"State",$A65))),NA(),IFERROR(GETPIVOTDATA("Total Sales",Pivots!$A$33,"State",$A65,"Month",X$59),0))</f>
        <v>10540.67</v>
      </c>
      <c r="Y65" s="7">
        <f>IF(OR(Y$59="",ISERROR(GETPIVOTDATA("Total Sales",Pivots!$A$33,"State",$A65))),NA(),IFERROR(GETPIVOTDATA("Total Sales",Pivots!$A$33,"State",$A65,"Month",Y$59),0))</f>
        <v>1619.52</v>
      </c>
    </row>
    <row r="66">
      <c r="A66" s="3" t="s">
        <v>15</v>
      </c>
      <c r="B66" s="7">
        <f>IF(OR(B$59="",ISERROR(GETPIVOTDATA("Total Sales",Pivots!$A$33,"State",$A66))),NA(),IFERROR(GETPIVOTDATA("Total Sales",Pivots!$A$33,"State",$A66,"Month",B$59),0))</f>
        <v>2982.14</v>
      </c>
      <c r="C66" s="7">
        <f>IF(OR(C$59="",ISERROR(GETPIVOTDATA("Total Sales",Pivots!$A$33,"State",$A66))),NA(),IFERROR(GETPIVOTDATA("Total Sales",Pivots!$A$33,"State",$A66,"Month",C$59),0))</f>
        <v>3427.4300000000003</v>
      </c>
      <c r="D66" s="7">
        <f>IF(OR(D$59="",ISERROR(GETPIVOTDATA("Total Sales",Pivots!$A$33,"State",$A66))),NA(),IFERROR(GETPIVOTDATA("Total Sales",Pivots!$A$33,"State",$A66,"Month",D$59),0))</f>
        <v>552.3199999999999</v>
      </c>
      <c r="E66" s="7">
        <f>IF(OR(E$59="",ISERROR(GETPIVOTDATA("Total Sales",Pivots!$A$33,"State",$A66))),NA(),IFERROR(GETPIVOTDATA("Total Sales",Pivots!$A$33,"State",$A66,"Month",E$59),0))</f>
        <v>2185.0</v>
      </c>
      <c r="F66" s="7">
        <f>IF(OR(F$59="",ISERROR(GETPIVOTDATA("Total Sales",Pivots!$A$33,"State",$A66))),NA(),IFERROR(GETPIVOTDATA("Total Sales",Pivots!$A$33,"State",$A66,"Month",F$59),0))</f>
        <v>3372.03</v>
      </c>
      <c r="G66" s="7">
        <f>IF(OR(G$59="",ISERROR(GETPIVOTDATA("Total Sales",Pivots!$A$33,"State",$A66))),NA(),IFERROR(GETPIVOTDATA("Total Sales",Pivots!$A$33,"State",$A66,"Month",G$59),0))</f>
        <v>1828.1000000000001</v>
      </c>
      <c r="H66" s="7">
        <f>IF(OR(H$59="",ISERROR(GETPIVOTDATA("Total Sales",Pivots!$A$33,"State",$A66))),NA(),IFERROR(GETPIVOTDATA("Total Sales",Pivots!$A$33,"State",$A66,"Month",H$59),0))</f>
        <v>1840.5100000000002</v>
      </c>
      <c r="I66" s="7">
        <f>IF(OR(I$59="",ISERROR(GETPIVOTDATA("Total Sales",Pivots!$A$33,"State",$A66))),NA(),IFERROR(GETPIVOTDATA("Total Sales",Pivots!$A$33,"State",$A66,"Month",I$59),0))</f>
        <v>2493.61</v>
      </c>
      <c r="J66" s="7">
        <f>IF(OR(J$59="",ISERROR(GETPIVOTDATA("Total Sales",Pivots!$A$33,"State",$A66))),NA(),IFERROR(GETPIVOTDATA("Total Sales",Pivots!$A$33,"State",$A66,"Month",J$59),0))</f>
        <v>4015.02</v>
      </c>
      <c r="K66" s="7">
        <f>IF(OR(K$59="",ISERROR(GETPIVOTDATA("Total Sales",Pivots!$A$33,"State",$A66))),NA(),IFERROR(GETPIVOTDATA("Total Sales",Pivots!$A$33,"State",$A66,"Month",K$59),0))</f>
        <v>2474.2799999999997</v>
      </c>
      <c r="L66" s="7">
        <f>IF(OR(L$59="",ISERROR(GETPIVOTDATA("Total Sales",Pivots!$A$33,"State",$A66))),NA(),IFERROR(GETPIVOTDATA("Total Sales",Pivots!$A$33,"State",$A66,"Month",L$59),0))</f>
        <v>2305.18</v>
      </c>
      <c r="M66" s="7">
        <f>IF(OR(M$59="",ISERROR(GETPIVOTDATA("Total Sales",Pivots!$A$33,"State",$A66))),NA(),IFERROR(GETPIVOTDATA("Total Sales",Pivots!$A$33,"State",$A66,"Month",M$59),0))</f>
        <v>2311.21</v>
      </c>
      <c r="N66" s="7">
        <f>IF(OR(N$59="",ISERROR(GETPIVOTDATA("Total Sales",Pivots!$A$33,"State",$A66))),NA(),IFERROR(GETPIVOTDATA("Total Sales",Pivots!$A$33,"State",$A66,"Month",N$59),0))</f>
        <v>2810.88</v>
      </c>
      <c r="O66" s="7">
        <f>IF(OR(O$59="",ISERROR(GETPIVOTDATA("Total Sales",Pivots!$A$33,"State",$A66))),NA(),IFERROR(GETPIVOTDATA("Total Sales",Pivots!$A$33,"State",$A66,"Month",O$59),0))</f>
        <v>3643.46</v>
      </c>
      <c r="P66" s="7">
        <f>IF(OR(P$59="",ISERROR(GETPIVOTDATA("Total Sales",Pivots!$A$33,"State",$A66))),NA(),IFERROR(GETPIVOTDATA("Total Sales",Pivots!$A$33,"State",$A66,"Month",P$59),0))</f>
        <v>7370.86</v>
      </c>
      <c r="Q66" s="7">
        <f>IF(OR(Q$59="",ISERROR(GETPIVOTDATA("Total Sales",Pivots!$A$33,"State",$A66))),NA(),IFERROR(GETPIVOTDATA("Total Sales",Pivots!$A$33,"State",$A66,"Month",Q$59),0))</f>
        <v>2103.9900000000002</v>
      </c>
      <c r="R66" s="7">
        <f>IF(OR(R$59="",ISERROR(GETPIVOTDATA("Total Sales",Pivots!$A$33,"State",$A66))),NA(),IFERROR(GETPIVOTDATA("Total Sales",Pivots!$A$33,"State",$A66,"Month",R$59),0))</f>
        <v>1498.65</v>
      </c>
      <c r="S66" s="7">
        <f>IF(OR(S$59="",ISERROR(GETPIVOTDATA("Total Sales",Pivots!$A$33,"State",$A66))),NA(),IFERROR(GETPIVOTDATA("Total Sales",Pivots!$A$33,"State",$A66,"Month",S$59),0))</f>
        <v>2758.87</v>
      </c>
      <c r="T66" s="7">
        <f>IF(OR(T$59="",ISERROR(GETPIVOTDATA("Total Sales",Pivots!$A$33,"State",$A66))),NA(),IFERROR(GETPIVOTDATA("Total Sales",Pivots!$A$33,"State",$A66,"Month",T$59),0))</f>
        <v>783.9499999999999</v>
      </c>
      <c r="U66" s="7">
        <f>IF(OR(U$59="",ISERROR(GETPIVOTDATA("Total Sales",Pivots!$A$33,"State",$A66))),NA(),IFERROR(GETPIVOTDATA("Total Sales",Pivots!$A$33,"State",$A66,"Month",U$59),0))</f>
        <v>456.23</v>
      </c>
      <c r="V66" s="7">
        <f>IF(OR(V$59="",ISERROR(GETPIVOTDATA("Total Sales",Pivots!$A$33,"State",$A66))),NA(),IFERROR(GETPIVOTDATA("Total Sales",Pivots!$A$33,"State",$A66,"Month",V$59),0))</f>
        <v>4576.73</v>
      </c>
      <c r="W66" s="7">
        <f>IF(OR(W$59="",ISERROR(GETPIVOTDATA("Total Sales",Pivots!$A$33,"State",$A66))),NA(),IFERROR(GETPIVOTDATA("Total Sales",Pivots!$A$33,"State",$A66,"Month",W$59),0))</f>
        <v>1710.28</v>
      </c>
      <c r="X66" s="7">
        <f>IF(OR(X$59="",ISERROR(GETPIVOTDATA("Total Sales",Pivots!$A$33,"State",$A66))),NA(),IFERROR(GETPIVOTDATA("Total Sales",Pivots!$A$33,"State",$A66,"Month",X$59),0))</f>
        <v>1347.56</v>
      </c>
      <c r="Y66" s="7">
        <f>IF(OR(Y$59="",ISERROR(GETPIVOTDATA("Total Sales",Pivots!$A$33,"State",$A66))),NA(),IFERROR(GETPIVOTDATA("Total Sales",Pivots!$A$33,"State",$A66,"Month",Y$59),0))</f>
        <v>664.16</v>
      </c>
    </row>
    <row r="67">
      <c r="A67" s="3" t="s">
        <v>16</v>
      </c>
      <c r="B67" s="7">
        <f>IF(OR(B$59="",ISERROR(GETPIVOTDATA("Total Sales",Pivots!$A$33,"State",$A67))),NA(),IFERROR(GETPIVOTDATA("Total Sales",Pivots!$A$33,"State",$A67,"Month",B$59),0))</f>
        <v>2487.93</v>
      </c>
      <c r="C67" s="7">
        <f>IF(OR(C$59="",ISERROR(GETPIVOTDATA("Total Sales",Pivots!$A$33,"State",$A67))),NA(),IFERROR(GETPIVOTDATA("Total Sales",Pivots!$A$33,"State",$A67,"Month",C$59),0))</f>
        <v>31.0</v>
      </c>
      <c r="D67" s="7">
        <f>IF(OR(D$59="",ISERROR(GETPIVOTDATA("Total Sales",Pivots!$A$33,"State",$A67))),NA(),IFERROR(GETPIVOTDATA("Total Sales",Pivots!$A$33,"State",$A67,"Month",D$59),0))</f>
        <v>522.22</v>
      </c>
      <c r="E67" s="7">
        <f>IF(OR(E$59="",ISERROR(GETPIVOTDATA("Total Sales",Pivots!$A$33,"State",$A67))),NA(),IFERROR(GETPIVOTDATA("Total Sales",Pivots!$A$33,"State",$A67,"Month",E$59),0))</f>
        <v>2517.59</v>
      </c>
      <c r="F67" s="7">
        <f>IF(OR(F$59="",ISERROR(GETPIVOTDATA("Total Sales",Pivots!$A$33,"State",$A67))),NA(),IFERROR(GETPIVOTDATA("Total Sales",Pivots!$A$33,"State",$A67,"Month",F$59),0))</f>
        <v>547.48</v>
      </c>
      <c r="G67" s="7">
        <f>IF(OR(G$59="",ISERROR(GETPIVOTDATA("Total Sales",Pivots!$A$33,"State",$A67))),NA(),IFERROR(GETPIVOTDATA("Total Sales",Pivots!$A$33,"State",$A67,"Month",G$59),0))</f>
        <v>1882.3200000000002</v>
      </c>
      <c r="H67" s="7">
        <f>IF(OR(H$59="",ISERROR(GETPIVOTDATA("Total Sales",Pivots!$A$33,"State",$A67))),NA(),IFERROR(GETPIVOTDATA("Total Sales",Pivots!$A$33,"State",$A67,"Month",H$59),0))</f>
        <v>2351.43</v>
      </c>
      <c r="I67" s="7">
        <f>IF(OR(I$59="",ISERROR(GETPIVOTDATA("Total Sales",Pivots!$A$33,"State",$A67))),NA(),IFERROR(GETPIVOTDATA("Total Sales",Pivots!$A$33,"State",$A67,"Month",I$59),0))</f>
        <v>747.94</v>
      </c>
      <c r="J67" s="7">
        <f>IF(OR(J$59="",ISERROR(GETPIVOTDATA("Total Sales",Pivots!$A$33,"State",$A67))),NA(),IFERROR(GETPIVOTDATA("Total Sales",Pivots!$A$33,"State",$A67,"Month",J$59),0))</f>
        <v>859.16</v>
      </c>
      <c r="K67" s="7">
        <f>IF(OR(K$59="",ISERROR(GETPIVOTDATA("Total Sales",Pivots!$A$33,"State",$A67))),NA(),IFERROR(GETPIVOTDATA("Total Sales",Pivots!$A$33,"State",$A67,"Month",K$59),0))</f>
        <v>1291.51</v>
      </c>
      <c r="L67" s="7">
        <f>IF(OR(L$59="",ISERROR(GETPIVOTDATA("Total Sales",Pivots!$A$33,"State",$A67))),NA(),IFERROR(GETPIVOTDATA("Total Sales",Pivots!$A$33,"State",$A67,"Month",L$59),0))</f>
        <v>1043.02</v>
      </c>
      <c r="M67" s="7">
        <f>IF(OR(M$59="",ISERROR(GETPIVOTDATA("Total Sales",Pivots!$A$33,"State",$A67))),NA(),IFERROR(GETPIVOTDATA("Total Sales",Pivots!$A$33,"State",$A67,"Month",M$59),0))</f>
        <v>1358.68</v>
      </c>
      <c r="N67" s="7">
        <f>IF(OR(N$59="",ISERROR(GETPIVOTDATA("Total Sales",Pivots!$A$33,"State",$A67))),NA(),IFERROR(GETPIVOTDATA("Total Sales",Pivots!$A$33,"State",$A67,"Month",N$59),0))</f>
        <v>1261.25</v>
      </c>
      <c r="O67" s="7">
        <f>IF(OR(O$59="",ISERROR(GETPIVOTDATA("Total Sales",Pivots!$A$33,"State",$A67))),NA(),IFERROR(GETPIVOTDATA("Total Sales",Pivots!$A$33,"State",$A67,"Month",O$59),0))</f>
        <v>832.8399999999999</v>
      </c>
      <c r="P67" s="7">
        <f>IF(OR(P$59="",ISERROR(GETPIVOTDATA("Total Sales",Pivots!$A$33,"State",$A67))),NA(),IFERROR(GETPIVOTDATA("Total Sales",Pivots!$A$33,"State",$A67,"Month",P$59),0))</f>
        <v>102.8</v>
      </c>
      <c r="Q67" s="7">
        <f>IF(OR(Q$59="",ISERROR(GETPIVOTDATA("Total Sales",Pivots!$A$33,"State",$A67))),NA(),IFERROR(GETPIVOTDATA("Total Sales",Pivots!$A$33,"State",$A67,"Month",Q$59),0))</f>
        <v>1345.34</v>
      </c>
      <c r="R67" s="7">
        <f>IF(OR(R$59="",ISERROR(GETPIVOTDATA("Total Sales",Pivots!$A$33,"State",$A67))),NA(),IFERROR(GETPIVOTDATA("Total Sales",Pivots!$A$33,"State",$A67,"Month",R$59),0))</f>
        <v>2312.9700000000003</v>
      </c>
      <c r="S67" s="7">
        <f>IF(OR(S$59="",ISERROR(GETPIVOTDATA("Total Sales",Pivots!$A$33,"State",$A67))),NA(),IFERROR(GETPIVOTDATA("Total Sales",Pivots!$A$33,"State",$A67,"Month",S$59),0))</f>
        <v>3207.83</v>
      </c>
      <c r="T67" s="7">
        <f>IF(OR(T$59="",ISERROR(GETPIVOTDATA("Total Sales",Pivots!$A$33,"State",$A67))),NA(),IFERROR(GETPIVOTDATA("Total Sales",Pivots!$A$33,"State",$A67,"Month",T$59),0))</f>
        <v>8576.91</v>
      </c>
      <c r="U67" s="7">
        <f>IF(OR(U$59="",ISERROR(GETPIVOTDATA("Total Sales",Pivots!$A$33,"State",$A67))),NA(),IFERROR(GETPIVOTDATA("Total Sales",Pivots!$A$33,"State",$A67,"Month",U$59),0))</f>
        <v>91.25</v>
      </c>
      <c r="V67" s="7">
        <f>IF(OR(V$59="",ISERROR(GETPIVOTDATA("Total Sales",Pivots!$A$33,"State",$A67))),NA(),IFERROR(GETPIVOTDATA("Total Sales",Pivots!$A$33,"State",$A67,"Month",V$59),0))</f>
        <v>609.46</v>
      </c>
      <c r="W67" s="7">
        <f>IF(OR(W$59="",ISERROR(GETPIVOTDATA("Total Sales",Pivots!$A$33,"State",$A67))),NA(),IFERROR(GETPIVOTDATA("Total Sales",Pivots!$A$33,"State",$A67,"Month",W$59),0))</f>
        <v>3779.8199999999997</v>
      </c>
      <c r="X67" s="7">
        <f>IF(OR(X$59="",ISERROR(GETPIVOTDATA("Total Sales",Pivots!$A$33,"State",$A67))),NA(),IFERROR(GETPIVOTDATA("Total Sales",Pivots!$A$33,"State",$A67,"Month",X$59),0))</f>
        <v>57.8</v>
      </c>
      <c r="Y67" s="7">
        <f>IF(OR(Y$59="",ISERROR(GETPIVOTDATA("Total Sales",Pivots!$A$33,"State",$A67))),NA(),IFERROR(GETPIVOTDATA("Total Sales",Pivots!$A$33,"State",$A67,"Month",Y$59),0))</f>
        <v>863.41</v>
      </c>
    </row>
    <row r="70">
      <c r="A70" s="10" t="s">
        <v>313</v>
      </c>
    </row>
  </sheetData>
  <conditionalFormatting sqref="B60:Y67">
    <cfRule type="containsErrors" dxfId="0" priority="1">
      <formula>ISERROR(B60)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FBFBF"/>
  </sheetPr>
  <sheetViews>
    <sheetView workbookViewId="0">
      <pane ySplit="1" topLeftCell="A2" activePane="bottomLeft" state="frozen"/>
    </sheetView>
  </sheetViews>
  <sheetFormatPr defaultRowHeight="15"/>
  <cols>
    <col min="1" max="13" width="15.7109375" customWidth="1"/>
  </cols>
  <sheetData>
    <row r="1">
      <c r="A1" s="1" t="s">
        <v>17</v>
      </c>
      <c r="B1" s="1" t="s">
        <v>18</v>
      </c>
      <c r="C1" s="1" t="s">
        <v>314</v>
      </c>
      <c r="D1" s="1" t="s">
        <v>20</v>
      </c>
      <c r="E1" s="1" t="s">
        <v>21</v>
      </c>
      <c r="F1" s="1" t="s">
        <v>22</v>
      </c>
      <c r="G1" s="1" t="s">
        <v>6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7</v>
      </c>
    </row>
    <row r="2">
      <c r="A2" s="2">
        <v>45476</v>
      </c>
      <c r="B2">
        <v>2025.0</v>
      </c>
      <c r="C2" t="s">
        <v>315</v>
      </c>
      <c r="D2" t="s">
        <v>316</v>
      </c>
      <c r="F2" t="s">
        <v>307</v>
      </c>
      <c r="G2" t="s">
        <v>12</v>
      </c>
      <c r="H2">
        <v>6021.0</v>
      </c>
      <c r="I2" t="s">
        <v>31</v>
      </c>
      <c r="J2" t="s">
        <v>102</v>
      </c>
      <c r="K2" t="s">
        <v>46</v>
      </c>
      <c r="L2" t="s">
        <v>47</v>
      </c>
      <c r="M2">
        <v>1.0</v>
      </c>
    </row>
    <row r="3">
      <c r="A3" t="s">
        <v>317</v>
      </c>
      <c r="D3" t="s">
        <v>316</v>
      </c>
      <c r="E3" t="s">
        <v>68</v>
      </c>
      <c r="F3" t="s">
        <v>304</v>
      </c>
      <c r="G3" t="s">
        <v>9</v>
      </c>
      <c r="I3" t="s">
        <v>31</v>
      </c>
      <c r="J3" t="s">
        <v>70</v>
      </c>
      <c r="K3" t="s">
        <v>95</v>
      </c>
      <c r="L3" t="s">
        <v>96</v>
      </c>
      <c r="M3">
        <v>1.0</v>
      </c>
    </row>
    <row r="4">
      <c r="A4" s="2">
        <v>45416</v>
      </c>
      <c r="B4">
        <v>2024.0</v>
      </c>
      <c r="C4" t="s">
        <v>318</v>
      </c>
      <c r="D4" t="s">
        <v>319</v>
      </c>
      <c r="E4" t="s">
        <v>175</v>
      </c>
      <c r="F4" t="s">
        <v>311</v>
      </c>
      <c r="G4" t="s">
        <v>16</v>
      </c>
      <c r="H4">
        <v>2617.0</v>
      </c>
      <c r="I4" t="s">
        <v>31</v>
      </c>
      <c r="J4" t="s">
        <v>107</v>
      </c>
      <c r="K4" t="s">
        <v>95</v>
      </c>
      <c r="L4" t="s">
        <v>96</v>
      </c>
      <c r="M4">
        <v>1.0</v>
      </c>
    </row>
    <row r="5">
      <c r="A5" s="2">
        <v>45801</v>
      </c>
      <c r="B5">
        <v>2025.0</v>
      </c>
      <c r="C5" t="s">
        <v>315</v>
      </c>
      <c r="D5" t="s">
        <v>316</v>
      </c>
      <c r="E5" t="s">
        <v>173</v>
      </c>
      <c r="F5" t="s">
        <v>306</v>
      </c>
      <c r="G5" t="s">
        <v>11</v>
      </c>
      <c r="H5">
        <v>4220.0</v>
      </c>
      <c r="I5" t="s">
        <v>31</v>
      </c>
      <c r="J5" t="s">
        <v>61</v>
      </c>
      <c r="K5" t="s">
        <v>38</v>
      </c>
      <c r="L5" t="s">
        <v>39</v>
      </c>
      <c r="M5">
        <v>1.0</v>
      </c>
    </row>
    <row r="6">
      <c r="A6" s="2">
        <v>45536</v>
      </c>
      <c r="B6">
        <v>2025.0</v>
      </c>
      <c r="C6" t="s">
        <v>315</v>
      </c>
      <c r="D6" t="s">
        <v>316</v>
      </c>
      <c r="E6" t="s">
        <v>163</v>
      </c>
      <c r="F6" t="s">
        <v>304</v>
      </c>
      <c r="G6" t="s">
        <v>9</v>
      </c>
      <c r="H6">
        <v>2154.0</v>
      </c>
      <c r="I6" t="s">
        <v>31</v>
      </c>
      <c r="J6" t="s">
        <v>81</v>
      </c>
      <c r="K6" t="s">
        <v>43</v>
      </c>
      <c r="L6" t="s">
        <v>44</v>
      </c>
      <c r="M6">
        <v>1.0</v>
      </c>
    </row>
    <row r="7">
      <c r="A7" s="2">
        <v>45574</v>
      </c>
      <c r="B7">
        <v>2025.0</v>
      </c>
      <c r="C7" t="s">
        <v>315</v>
      </c>
      <c r="D7" t="s">
        <v>316</v>
      </c>
      <c r="E7" t="s">
        <v>97</v>
      </c>
      <c r="F7" t="s">
        <v>304</v>
      </c>
      <c r="G7" t="s">
        <v>9</v>
      </c>
      <c r="I7" t="s">
        <v>31</v>
      </c>
      <c r="J7" t="s">
        <v>99</v>
      </c>
      <c r="K7" t="s">
        <v>46</v>
      </c>
      <c r="L7" t="s">
        <v>47</v>
      </c>
      <c r="M7">
        <v>1.0</v>
      </c>
    </row>
    <row r="8">
      <c r="A8" s="2">
        <v>45333</v>
      </c>
      <c r="B8">
        <v>2024.0</v>
      </c>
      <c r="C8" t="s">
        <v>318</v>
      </c>
      <c r="D8" t="s">
        <v>316</v>
      </c>
      <c r="E8" t="s">
        <v>100</v>
      </c>
      <c r="F8" t="s">
        <v>307</v>
      </c>
      <c r="G8" t="s">
        <v>12</v>
      </c>
      <c r="H8">
        <v>6010.0</v>
      </c>
      <c r="I8" t="s">
        <v>31</v>
      </c>
      <c r="J8" t="s">
        <v>102</v>
      </c>
      <c r="K8" t="s">
        <v>71</v>
      </c>
      <c r="L8" t="s">
        <v>72</v>
      </c>
      <c r="M8">
        <v>1.0</v>
      </c>
    </row>
    <row r="9">
      <c r="A9" s="2">
        <v>45594</v>
      </c>
      <c r="B9">
        <v>2025.0</v>
      </c>
      <c r="C9" t="s">
        <v>315</v>
      </c>
      <c r="D9" t="s">
        <v>316</v>
      </c>
      <c r="E9" t="s">
        <v>203</v>
      </c>
      <c r="F9" t="s">
        <v>305</v>
      </c>
      <c r="G9" t="s">
        <v>10</v>
      </c>
      <c r="H9">
        <v>3175.0</v>
      </c>
      <c r="I9" t="s">
        <v>31</v>
      </c>
      <c r="J9" t="s">
        <v>89</v>
      </c>
      <c r="K9" t="s">
        <v>95</v>
      </c>
      <c r="L9" t="s">
        <v>96</v>
      </c>
      <c r="M9">
        <v>1.0</v>
      </c>
    </row>
    <row r="10">
      <c r="A10" s="2">
        <v>45661</v>
      </c>
      <c r="B10">
        <v>2025.0</v>
      </c>
      <c r="C10" t="s">
        <v>315</v>
      </c>
      <c r="D10" t="s">
        <v>316</v>
      </c>
      <c r="E10" t="s">
        <v>234</v>
      </c>
      <c r="F10" t="s">
        <v>304</v>
      </c>
      <c r="G10" t="s">
        <v>9</v>
      </c>
      <c r="H10">
        <v>2158.0</v>
      </c>
      <c r="I10" t="s">
        <v>31</v>
      </c>
      <c r="J10" t="s">
        <v>81</v>
      </c>
      <c r="K10" t="s">
        <v>43</v>
      </c>
      <c r="L10" t="s">
        <v>44</v>
      </c>
      <c r="M10">
        <v>1.0</v>
      </c>
    </row>
    <row r="11">
      <c r="A11" s="2">
        <v>45779</v>
      </c>
      <c r="B11">
        <v>2025.0</v>
      </c>
      <c r="C11" t="s">
        <v>315</v>
      </c>
      <c r="D11" t="s">
        <v>316</v>
      </c>
      <c r="E11" t="s">
        <v>118</v>
      </c>
      <c r="F11" t="s">
        <v>305</v>
      </c>
      <c r="G11" t="s">
        <v>10</v>
      </c>
      <c r="H11">
        <v>3076.0</v>
      </c>
      <c r="I11" t="s">
        <v>31</v>
      </c>
      <c r="J11" t="s">
        <v>120</v>
      </c>
      <c r="K11" t="s">
        <v>33</v>
      </c>
      <c r="L11" t="s">
        <v>34</v>
      </c>
      <c r="M11">
        <v>1.0</v>
      </c>
    </row>
    <row r="12">
      <c r="A12" s="2">
        <v>45673</v>
      </c>
      <c r="B12">
        <v>2025.0</v>
      </c>
      <c r="C12" t="s">
        <v>315</v>
      </c>
      <c r="D12" t="s">
        <v>316</v>
      </c>
      <c r="E12" t="s">
        <v>118</v>
      </c>
      <c r="F12" t="s">
        <v>305</v>
      </c>
      <c r="G12" t="s">
        <v>10</v>
      </c>
      <c r="H12">
        <v>3076.0</v>
      </c>
      <c r="I12" t="s">
        <v>31</v>
      </c>
      <c r="J12" t="s">
        <v>120</v>
      </c>
      <c r="K12" t="s">
        <v>46</v>
      </c>
      <c r="L12" t="s">
        <v>47</v>
      </c>
      <c r="M12">
        <v>1.0</v>
      </c>
    </row>
    <row r="13">
      <c r="A13" t="s">
        <v>320</v>
      </c>
      <c r="D13" t="s">
        <v>316</v>
      </c>
      <c r="E13" t="s">
        <v>246</v>
      </c>
      <c r="F13" t="s">
        <v>305</v>
      </c>
      <c r="G13" t="s">
        <v>10</v>
      </c>
      <c r="I13" t="s">
        <v>31</v>
      </c>
      <c r="J13" t="s">
        <v>37</v>
      </c>
      <c r="K13" t="s">
        <v>112</v>
      </c>
      <c r="L13" t="s">
        <v>113</v>
      </c>
      <c r="M13">
        <v>1.0</v>
      </c>
    </row>
    <row r="14">
      <c r="A14" s="2">
        <v>45606</v>
      </c>
      <c r="B14">
        <v>2025.0</v>
      </c>
      <c r="C14" t="s">
        <v>315</v>
      </c>
      <c r="D14" t="s">
        <v>316</v>
      </c>
      <c r="E14" t="s">
        <v>240</v>
      </c>
      <c r="F14" t="s">
        <v>310</v>
      </c>
      <c r="G14" t="s">
        <v>15</v>
      </c>
      <c r="H14">
        <v>7010.0</v>
      </c>
      <c r="I14" t="s">
        <v>31</v>
      </c>
      <c r="J14" t="s">
        <v>53</v>
      </c>
      <c r="K14" t="s">
        <v>46</v>
      </c>
      <c r="L14" t="s">
        <v>47</v>
      </c>
      <c r="M14">
        <v>1.0</v>
      </c>
    </row>
    <row r="15">
      <c r="A15" s="2">
        <v>45566</v>
      </c>
      <c r="B15">
        <v>2025.0</v>
      </c>
      <c r="C15" t="s">
        <v>315</v>
      </c>
      <c r="D15" t="s">
        <v>316</v>
      </c>
      <c r="E15" t="s">
        <v>219</v>
      </c>
      <c r="F15" t="s">
        <v>306</v>
      </c>
      <c r="G15" t="s">
        <v>11</v>
      </c>
      <c r="H15">
        <v>4068.0</v>
      </c>
      <c r="I15" t="s">
        <v>31</v>
      </c>
      <c r="J15" t="s">
        <v>56</v>
      </c>
      <c r="K15" t="s">
        <v>95</v>
      </c>
      <c r="L15" t="s">
        <v>96</v>
      </c>
      <c r="M15">
        <v>1.0</v>
      </c>
    </row>
    <row r="16">
      <c r="A16" s="2">
        <v>45621</v>
      </c>
      <c r="B16">
        <v>2025.0</v>
      </c>
      <c r="C16" t="s">
        <v>315</v>
      </c>
      <c r="D16" t="s">
        <v>316</v>
      </c>
      <c r="E16" t="s">
        <v>183</v>
      </c>
      <c r="F16" t="s">
        <v>304</v>
      </c>
      <c r="G16" t="s">
        <v>9</v>
      </c>
      <c r="H16">
        <v>2480.0</v>
      </c>
      <c r="I16" t="s">
        <v>31</v>
      </c>
      <c r="J16" t="s">
        <v>70</v>
      </c>
      <c r="K16" t="s">
        <v>95</v>
      </c>
      <c r="L16" t="s">
        <v>96</v>
      </c>
      <c r="M16">
        <v>1.0</v>
      </c>
    </row>
    <row r="17">
      <c r="A17" s="2">
        <v>45634</v>
      </c>
      <c r="B17">
        <v>2025.0</v>
      </c>
      <c r="C17" t="s">
        <v>315</v>
      </c>
      <c r="D17" t="s">
        <v>316</v>
      </c>
      <c r="E17" t="s">
        <v>146</v>
      </c>
      <c r="F17" t="s">
        <v>304</v>
      </c>
      <c r="G17" t="s">
        <v>9</v>
      </c>
      <c r="H17">
        <v>2790.0</v>
      </c>
      <c r="I17" t="s">
        <v>31</v>
      </c>
      <c r="J17" t="s">
        <v>75</v>
      </c>
      <c r="K17" t="s">
        <v>95</v>
      </c>
      <c r="L17" t="s">
        <v>96</v>
      </c>
      <c r="M17">
        <v>1.0</v>
      </c>
    </row>
    <row r="18">
      <c r="A18" s="2">
        <v>45317</v>
      </c>
      <c r="B18">
        <v>2024.0</v>
      </c>
      <c r="C18" t="s">
        <v>318</v>
      </c>
      <c r="D18" t="s">
        <v>316</v>
      </c>
      <c r="E18" t="s">
        <v>193</v>
      </c>
      <c r="F18" t="s">
        <v>304</v>
      </c>
      <c r="G18" t="s">
        <v>9</v>
      </c>
      <c r="H18">
        <v>2020.0</v>
      </c>
      <c r="I18" t="s">
        <v>31</v>
      </c>
      <c r="J18" t="s">
        <v>99</v>
      </c>
      <c r="K18" t="s">
        <v>33</v>
      </c>
      <c r="L18" t="s">
        <v>34</v>
      </c>
      <c r="M18">
        <v>1.0</v>
      </c>
    </row>
    <row r="19">
      <c r="A19" s="2">
        <v>45568</v>
      </c>
      <c r="B19">
        <v>2025.0</v>
      </c>
      <c r="C19" t="s">
        <v>315</v>
      </c>
      <c r="D19" t="s">
        <v>319</v>
      </c>
      <c r="E19" t="s">
        <v>167</v>
      </c>
      <c r="F19" t="s">
        <v>307</v>
      </c>
      <c r="G19" t="s">
        <v>12</v>
      </c>
      <c r="H19">
        <v>6030.0</v>
      </c>
      <c r="I19" t="s">
        <v>31</v>
      </c>
      <c r="J19" t="s">
        <v>102</v>
      </c>
      <c r="K19" t="s">
        <v>43</v>
      </c>
      <c r="L19" t="s">
        <v>44</v>
      </c>
      <c r="M19">
        <v>1.0</v>
      </c>
    </row>
    <row r="20">
      <c r="A20" s="2">
        <v>45586</v>
      </c>
      <c r="B20">
        <v>2025.0</v>
      </c>
      <c r="C20" t="s">
        <v>315</v>
      </c>
      <c r="D20" t="s">
        <v>319</v>
      </c>
      <c r="E20" t="s">
        <v>167</v>
      </c>
      <c r="F20" t="s">
        <v>307</v>
      </c>
      <c r="G20" t="s">
        <v>12</v>
      </c>
      <c r="H20">
        <v>6030.0</v>
      </c>
      <c r="I20" t="s">
        <v>31</v>
      </c>
      <c r="J20" t="s">
        <v>102</v>
      </c>
      <c r="K20" t="s">
        <v>43</v>
      </c>
      <c r="L20" t="s">
        <v>44</v>
      </c>
      <c r="M20">
        <v>1.0</v>
      </c>
    </row>
    <row r="21">
      <c r="A21" s="2">
        <v>45504</v>
      </c>
      <c r="B21">
        <v>2025.0</v>
      </c>
      <c r="C21" t="s">
        <v>315</v>
      </c>
      <c r="D21" t="s">
        <v>316</v>
      </c>
      <c r="E21" t="s">
        <v>207</v>
      </c>
      <c r="F21" t="s">
        <v>306</v>
      </c>
      <c r="G21" t="s">
        <v>11</v>
      </c>
      <c r="H21">
        <v>4825.0</v>
      </c>
      <c r="I21" t="s">
        <v>31</v>
      </c>
      <c r="J21" t="s">
        <v>78</v>
      </c>
      <c r="K21" t="s">
        <v>123</v>
      </c>
      <c r="L21" t="s">
        <v>124</v>
      </c>
      <c r="M21">
        <v>1.0</v>
      </c>
    </row>
    <row r="22">
      <c r="A22" s="2">
        <v>45528</v>
      </c>
      <c r="B22">
        <v>2025.0</v>
      </c>
      <c r="C22" t="s">
        <v>315</v>
      </c>
      <c r="D22" t="s">
        <v>316</v>
      </c>
      <c r="E22" t="s">
        <v>244</v>
      </c>
      <c r="F22" t="s">
        <v>308</v>
      </c>
      <c r="G22" t="s">
        <v>13</v>
      </c>
      <c r="H22">
        <v>5168.0</v>
      </c>
      <c r="I22" t="s">
        <v>31</v>
      </c>
      <c r="J22" t="s">
        <v>42</v>
      </c>
      <c r="K22" t="s">
        <v>43</v>
      </c>
      <c r="L22" t="s">
        <v>44</v>
      </c>
      <c r="M22">
        <v>1.0</v>
      </c>
    </row>
    <row r="23">
      <c r="A23" s="2">
        <v>45434</v>
      </c>
      <c r="B23">
        <v>2024.0</v>
      </c>
      <c r="C23" t="s">
        <v>318</v>
      </c>
      <c r="D23" t="s">
        <v>316</v>
      </c>
      <c r="E23" t="s">
        <v>232</v>
      </c>
      <c r="F23" t="s">
        <v>304</v>
      </c>
      <c r="G23" t="s">
        <v>9</v>
      </c>
      <c r="H23">
        <v>2800.0</v>
      </c>
      <c r="I23" t="s">
        <v>31</v>
      </c>
      <c r="J23" t="s">
        <v>75</v>
      </c>
      <c r="K23" t="s">
        <v>33</v>
      </c>
      <c r="L23" t="s">
        <v>34</v>
      </c>
      <c r="M23">
        <v>1.0</v>
      </c>
    </row>
    <row r="24">
      <c r="A24" s="2">
        <v>45459</v>
      </c>
      <c r="B24">
        <v>2024.0</v>
      </c>
      <c r="C24" t="s">
        <v>318</v>
      </c>
      <c r="D24" t="s">
        <v>316</v>
      </c>
      <c r="E24" t="s">
        <v>133</v>
      </c>
      <c r="F24" t="s">
        <v>305</v>
      </c>
      <c r="G24" t="s">
        <v>10</v>
      </c>
      <c r="H24">
        <v>3429.0</v>
      </c>
      <c r="I24" t="s">
        <v>31</v>
      </c>
      <c r="J24" t="s">
        <v>37</v>
      </c>
      <c r="K24" t="s">
        <v>43</v>
      </c>
      <c r="L24" t="s">
        <v>44</v>
      </c>
      <c r="M24">
        <v>1.0</v>
      </c>
    </row>
    <row r="25">
      <c r="A25" s="2">
        <v>45974</v>
      </c>
      <c r="B25">
        <v>2026.0</v>
      </c>
      <c r="C25" t="s">
        <v>321</v>
      </c>
      <c r="D25" t="s">
        <v>316</v>
      </c>
      <c r="E25" t="s">
        <v>54</v>
      </c>
      <c r="F25" t="s">
        <v>306</v>
      </c>
      <c r="G25" t="s">
        <v>11</v>
      </c>
      <c r="H25">
        <v>4012.0</v>
      </c>
      <c r="I25" t="s">
        <v>31</v>
      </c>
      <c r="J25" t="s">
        <v>56</v>
      </c>
      <c r="K25" t="s">
        <v>43</v>
      </c>
      <c r="L25" t="s">
        <v>44</v>
      </c>
      <c r="M25">
        <v>1.0</v>
      </c>
    </row>
    <row r="26">
      <c r="A26" s="2">
        <v>45778</v>
      </c>
      <c r="B26">
        <v>2025.0</v>
      </c>
      <c r="C26" t="s">
        <v>315</v>
      </c>
      <c r="D26" t="s">
        <v>316</v>
      </c>
      <c r="E26" t="s">
        <v>141</v>
      </c>
      <c r="F26" t="s">
        <v>304</v>
      </c>
      <c r="G26" t="s">
        <v>9</v>
      </c>
      <c r="H26">
        <v>2539.0</v>
      </c>
      <c r="I26" t="s">
        <v>31</v>
      </c>
      <c r="J26" t="s">
        <v>107</v>
      </c>
      <c r="K26" t="s">
        <v>71</v>
      </c>
      <c r="L26" t="s">
        <v>72</v>
      </c>
      <c r="M26">
        <v>1.0</v>
      </c>
    </row>
    <row r="27">
      <c r="A27" s="2">
        <v>45369</v>
      </c>
      <c r="B27">
        <v>2024.0</v>
      </c>
      <c r="C27" t="s">
        <v>318</v>
      </c>
      <c r="D27" t="s">
        <v>319</v>
      </c>
      <c r="E27" t="s">
        <v>211</v>
      </c>
      <c r="F27" t="s">
        <v>304</v>
      </c>
      <c r="G27" t="s">
        <v>9</v>
      </c>
      <c r="H27">
        <v>2650.0</v>
      </c>
      <c r="I27" t="s">
        <v>31</v>
      </c>
      <c r="J27" t="s">
        <v>75</v>
      </c>
      <c r="K27" t="s">
        <v>71</v>
      </c>
      <c r="L27" t="s">
        <v>72</v>
      </c>
      <c r="M27">
        <v>1.0</v>
      </c>
    </row>
    <row r="28">
      <c r="A28" s="2">
        <v>45419</v>
      </c>
      <c r="B28">
        <v>2024.0</v>
      </c>
      <c r="C28" t="s">
        <v>318</v>
      </c>
      <c r="D28" t="s">
        <v>316</v>
      </c>
      <c r="E28" t="s">
        <v>85</v>
      </c>
      <c r="F28" t="s">
        <v>304</v>
      </c>
      <c r="G28" t="s">
        <v>9</v>
      </c>
      <c r="H28">
        <v>2120.0</v>
      </c>
      <c r="I28" t="s">
        <v>31</v>
      </c>
      <c r="J28" t="s">
        <v>81</v>
      </c>
      <c r="K28" t="s">
        <v>112</v>
      </c>
      <c r="L28" t="s">
        <v>113</v>
      </c>
      <c r="M28">
        <v>1.47</v>
      </c>
    </row>
    <row r="29">
      <c r="A29" s="2">
        <v>45488</v>
      </c>
      <c r="B29">
        <v>2025.0</v>
      </c>
      <c r="C29" t="s">
        <v>315</v>
      </c>
      <c r="D29" t="s">
        <v>316</v>
      </c>
      <c r="E29" t="s">
        <v>250</v>
      </c>
      <c r="F29" t="s">
        <v>305</v>
      </c>
      <c r="G29" t="s">
        <v>10</v>
      </c>
      <c r="H29">
        <v>3550.0</v>
      </c>
      <c r="I29" t="s">
        <v>31</v>
      </c>
      <c r="J29" t="s">
        <v>37</v>
      </c>
      <c r="K29" t="s">
        <v>43</v>
      </c>
      <c r="L29" t="s">
        <v>44</v>
      </c>
      <c r="M29">
        <v>1.5</v>
      </c>
    </row>
    <row r="30">
      <c r="A30" s="2">
        <v>45962</v>
      </c>
      <c r="B30">
        <v>2026.0</v>
      </c>
      <c r="C30" t="s">
        <v>321</v>
      </c>
      <c r="D30" t="s">
        <v>316</v>
      </c>
      <c r="E30" t="s">
        <v>160</v>
      </c>
      <c r="F30" t="s">
        <v>307</v>
      </c>
      <c r="G30" t="s">
        <v>12</v>
      </c>
      <c r="H30">
        <v>6280.0</v>
      </c>
      <c r="I30" t="s">
        <v>31</v>
      </c>
      <c r="J30" t="s">
        <v>162</v>
      </c>
      <c r="K30" t="s">
        <v>95</v>
      </c>
      <c r="L30" t="s">
        <v>96</v>
      </c>
      <c r="M30">
        <v>1.5</v>
      </c>
    </row>
    <row r="31">
      <c r="A31" s="2">
        <v>45768</v>
      </c>
      <c r="B31">
        <v>2025.0</v>
      </c>
      <c r="C31" t="s">
        <v>315</v>
      </c>
      <c r="D31" t="s">
        <v>316</v>
      </c>
      <c r="E31" t="s">
        <v>129</v>
      </c>
      <c r="F31" t="s">
        <v>305</v>
      </c>
      <c r="G31" t="s">
        <v>10</v>
      </c>
      <c r="H31">
        <v>3066.0</v>
      </c>
      <c r="I31" t="s">
        <v>31</v>
      </c>
      <c r="J31" t="s">
        <v>120</v>
      </c>
      <c r="K31" t="s">
        <v>46</v>
      </c>
      <c r="L31" t="s">
        <v>47</v>
      </c>
      <c r="M31">
        <v>1.5</v>
      </c>
    </row>
    <row r="32">
      <c r="A32" s="2">
        <v>45302</v>
      </c>
      <c r="B32">
        <v>2024.0</v>
      </c>
      <c r="C32" t="s">
        <v>318</v>
      </c>
      <c r="D32" t="s">
        <v>316</v>
      </c>
      <c r="E32" t="s">
        <v>156</v>
      </c>
      <c r="F32" t="s">
        <v>304</v>
      </c>
      <c r="G32" t="s">
        <v>9</v>
      </c>
      <c r="H32">
        <v>2830.0</v>
      </c>
      <c r="I32" t="s">
        <v>31</v>
      </c>
      <c r="J32" t="s">
        <v>75</v>
      </c>
      <c r="K32" t="s">
        <v>46</v>
      </c>
      <c r="L32" t="s">
        <v>47</v>
      </c>
      <c r="M32">
        <v>1.5</v>
      </c>
    </row>
    <row r="33">
      <c r="A33" s="2">
        <v>45337</v>
      </c>
      <c r="B33">
        <v>2024.0</v>
      </c>
      <c r="C33" t="s">
        <v>318</v>
      </c>
      <c r="D33" t="s">
        <v>316</v>
      </c>
      <c r="E33" t="s">
        <v>219</v>
      </c>
      <c r="F33" t="s">
        <v>306</v>
      </c>
      <c r="G33" t="s">
        <v>11</v>
      </c>
      <c r="H33">
        <v>4068.0</v>
      </c>
      <c r="I33" t="s">
        <v>31</v>
      </c>
      <c r="J33" t="s">
        <v>56</v>
      </c>
      <c r="K33" t="s">
        <v>43</v>
      </c>
      <c r="L33" t="s">
        <v>44</v>
      </c>
      <c r="M33">
        <v>1.5</v>
      </c>
    </row>
    <row r="34">
      <c r="A34" s="2">
        <v>45567</v>
      </c>
      <c r="B34">
        <v>2025.0</v>
      </c>
      <c r="C34" t="s">
        <v>315</v>
      </c>
      <c r="D34" t="s">
        <v>316</v>
      </c>
      <c r="E34" t="s">
        <v>171</v>
      </c>
      <c r="F34" t="s">
        <v>305</v>
      </c>
      <c r="G34" t="s">
        <v>10</v>
      </c>
      <c r="H34">
        <v>3500.0</v>
      </c>
      <c r="I34" t="s">
        <v>31</v>
      </c>
      <c r="J34" t="s">
        <v>37</v>
      </c>
      <c r="K34" t="s">
        <v>46</v>
      </c>
      <c r="L34" t="s">
        <v>47</v>
      </c>
      <c r="M34">
        <v>1.5</v>
      </c>
    </row>
    <row r="35">
      <c r="A35" s="2">
        <v>45895</v>
      </c>
      <c r="B35">
        <v>2026.0</v>
      </c>
      <c r="C35" t="s">
        <v>321</v>
      </c>
      <c r="D35" t="s">
        <v>316</v>
      </c>
      <c r="E35" t="s">
        <v>201</v>
      </c>
      <c r="F35" t="s">
        <v>305</v>
      </c>
      <c r="G35" t="s">
        <v>10</v>
      </c>
      <c r="H35">
        <v>3131.0</v>
      </c>
      <c r="I35" t="s">
        <v>31</v>
      </c>
      <c r="J35" t="s">
        <v>89</v>
      </c>
      <c r="K35" t="s">
        <v>43</v>
      </c>
      <c r="L35" t="s">
        <v>44</v>
      </c>
      <c r="M35">
        <v>1.5</v>
      </c>
    </row>
    <row r="36">
      <c r="A36" s="2">
        <v>46019</v>
      </c>
      <c r="B36">
        <v>2026.0</v>
      </c>
      <c r="C36" t="s">
        <v>321</v>
      </c>
      <c r="D36" t="s">
        <v>316</v>
      </c>
      <c r="E36" t="s">
        <v>209</v>
      </c>
      <c r="F36" t="s">
        <v>304</v>
      </c>
      <c r="G36" t="s">
        <v>9</v>
      </c>
      <c r="H36">
        <v>2116.0</v>
      </c>
      <c r="I36" t="s">
        <v>31</v>
      </c>
      <c r="J36" t="s">
        <v>81</v>
      </c>
      <c r="K36" t="s">
        <v>95</v>
      </c>
      <c r="L36" t="s">
        <v>96</v>
      </c>
      <c r="M36">
        <v>1.5</v>
      </c>
    </row>
    <row r="37">
      <c r="A37" s="2">
        <v>45583</v>
      </c>
      <c r="B37">
        <v>2025.0</v>
      </c>
      <c r="C37" t="s">
        <v>315</v>
      </c>
      <c r="D37" t="s">
        <v>316</v>
      </c>
      <c r="E37" t="s">
        <v>199</v>
      </c>
      <c r="F37" t="s">
        <v>308</v>
      </c>
      <c r="G37" t="s">
        <v>13</v>
      </c>
      <c r="H37">
        <v>5169.0</v>
      </c>
      <c r="I37" t="s">
        <v>31</v>
      </c>
      <c r="J37" t="s">
        <v>42</v>
      </c>
      <c r="K37" t="s">
        <v>43</v>
      </c>
      <c r="L37" t="s">
        <v>44</v>
      </c>
      <c r="M37">
        <v>1.5</v>
      </c>
    </row>
    <row r="38">
      <c r="A38" s="2">
        <v>45891</v>
      </c>
      <c r="B38">
        <v>2026.0</v>
      </c>
      <c r="C38" t="s">
        <v>321</v>
      </c>
      <c r="D38" t="s">
        <v>316</v>
      </c>
      <c r="E38" t="s">
        <v>35</v>
      </c>
      <c r="F38" t="s">
        <v>305</v>
      </c>
      <c r="G38" t="s">
        <v>10</v>
      </c>
      <c r="H38">
        <v>3280.0</v>
      </c>
      <c r="I38" t="s">
        <v>31</v>
      </c>
      <c r="J38" t="s">
        <v>37</v>
      </c>
      <c r="K38" t="s">
        <v>95</v>
      </c>
      <c r="L38" t="s">
        <v>96</v>
      </c>
      <c r="M38">
        <v>1.5</v>
      </c>
    </row>
    <row r="39">
      <c r="A39" s="2">
        <v>45994</v>
      </c>
      <c r="B39">
        <v>2026.0</v>
      </c>
      <c r="C39" t="s">
        <v>321</v>
      </c>
      <c r="D39" t="s">
        <v>316</v>
      </c>
      <c r="E39" t="s">
        <v>262</v>
      </c>
      <c r="F39" t="s">
        <v>305</v>
      </c>
      <c r="G39" t="s">
        <v>10</v>
      </c>
      <c r="H39">
        <v>3018.0</v>
      </c>
      <c r="I39" t="s">
        <v>31</v>
      </c>
      <c r="J39" t="s">
        <v>120</v>
      </c>
      <c r="K39" t="s">
        <v>43</v>
      </c>
      <c r="L39" t="s">
        <v>44</v>
      </c>
      <c r="M39">
        <v>1.57</v>
      </c>
    </row>
    <row r="40">
      <c r="A40" s="2">
        <v>45725</v>
      </c>
      <c r="B40">
        <v>2025.0</v>
      </c>
      <c r="C40" t="s">
        <v>315</v>
      </c>
      <c r="D40" t="s">
        <v>316</v>
      </c>
      <c r="E40" t="s">
        <v>82</v>
      </c>
      <c r="F40" t="s">
        <v>306</v>
      </c>
      <c r="G40" t="s">
        <v>11</v>
      </c>
      <c r="H40">
        <v>4558.0</v>
      </c>
      <c r="I40" t="s">
        <v>31</v>
      </c>
      <c r="J40" t="s">
        <v>84</v>
      </c>
      <c r="K40" t="s">
        <v>95</v>
      </c>
      <c r="L40" t="s">
        <v>96</v>
      </c>
      <c r="M40">
        <v>1.6</v>
      </c>
    </row>
    <row r="41">
      <c r="A41" s="2">
        <v>45780</v>
      </c>
      <c r="B41">
        <v>2025.0</v>
      </c>
      <c r="C41" t="s">
        <v>315</v>
      </c>
      <c r="D41" t="s">
        <v>316</v>
      </c>
      <c r="E41" t="s">
        <v>87</v>
      </c>
      <c r="F41" t="s">
        <v>305</v>
      </c>
      <c r="G41" t="s">
        <v>10</v>
      </c>
      <c r="H41">
        <v>3148.0</v>
      </c>
      <c r="I41" t="s">
        <v>31</v>
      </c>
      <c r="J41" t="s">
        <v>89</v>
      </c>
      <c r="K41" t="s">
        <v>46</v>
      </c>
      <c r="L41" t="s">
        <v>47</v>
      </c>
      <c r="M41">
        <v>1.71</v>
      </c>
    </row>
    <row r="42">
      <c r="A42" s="2">
        <v>45598</v>
      </c>
      <c r="B42">
        <v>2025.0</v>
      </c>
      <c r="C42" t="s">
        <v>315</v>
      </c>
      <c r="D42" t="s">
        <v>319</v>
      </c>
      <c r="E42" t="s">
        <v>246</v>
      </c>
      <c r="F42" t="s">
        <v>305</v>
      </c>
      <c r="G42" t="s">
        <v>10</v>
      </c>
      <c r="H42">
        <v>3551.0</v>
      </c>
      <c r="I42" t="s">
        <v>31</v>
      </c>
      <c r="J42" t="s">
        <v>37</v>
      </c>
      <c r="K42" t="s">
        <v>95</v>
      </c>
      <c r="L42" t="s">
        <v>96</v>
      </c>
      <c r="M42">
        <v>1.79</v>
      </c>
    </row>
    <row r="43">
      <c r="A43" s="2">
        <v>45332</v>
      </c>
      <c r="B43">
        <v>2024.0</v>
      </c>
      <c r="C43" t="s">
        <v>318</v>
      </c>
      <c r="D43" t="s">
        <v>316</v>
      </c>
      <c r="E43" t="s">
        <v>133</v>
      </c>
      <c r="F43" t="s">
        <v>305</v>
      </c>
      <c r="G43" t="s">
        <v>10</v>
      </c>
      <c r="H43">
        <v>3429.0</v>
      </c>
      <c r="I43" t="s">
        <v>31</v>
      </c>
      <c r="J43" t="s">
        <v>37</v>
      </c>
      <c r="K43" t="s">
        <v>43</v>
      </c>
      <c r="L43" t="s">
        <v>44</v>
      </c>
      <c r="M43">
        <v>1.8</v>
      </c>
    </row>
    <row r="44">
      <c r="A44" s="2">
        <v>45788</v>
      </c>
      <c r="B44">
        <v>2025.0</v>
      </c>
      <c r="C44" t="s">
        <v>315</v>
      </c>
      <c r="D44" t="s">
        <v>319</v>
      </c>
      <c r="E44" t="s">
        <v>211</v>
      </c>
      <c r="F44" t="s">
        <v>304</v>
      </c>
      <c r="G44" t="s">
        <v>9</v>
      </c>
      <c r="H44">
        <v>2650.0</v>
      </c>
      <c r="I44" t="s">
        <v>31</v>
      </c>
      <c r="J44" t="s">
        <v>75</v>
      </c>
      <c r="K44" t="s">
        <v>95</v>
      </c>
      <c r="L44" t="s">
        <v>96</v>
      </c>
      <c r="M44">
        <v>1.8</v>
      </c>
    </row>
    <row r="45">
      <c r="A45" s="2">
        <v>45463</v>
      </c>
      <c r="B45">
        <v>2024.0</v>
      </c>
      <c r="C45" t="s">
        <v>318</v>
      </c>
      <c r="D45" t="s">
        <v>316</v>
      </c>
      <c r="E45" t="s">
        <v>193</v>
      </c>
      <c r="F45" t="s">
        <v>304</v>
      </c>
      <c r="G45" t="s">
        <v>9</v>
      </c>
      <c r="H45">
        <v>2020.0</v>
      </c>
      <c r="I45" t="s">
        <v>31</v>
      </c>
      <c r="J45" t="s">
        <v>99</v>
      </c>
      <c r="K45" t="s">
        <v>66</v>
      </c>
      <c r="L45" t="s">
        <v>67</v>
      </c>
      <c r="M45">
        <v>1.89</v>
      </c>
    </row>
    <row r="46">
      <c r="A46" s="2">
        <v>45683</v>
      </c>
      <c r="B46">
        <v>2025.0</v>
      </c>
      <c r="C46" t="s">
        <v>315</v>
      </c>
      <c r="D46" t="s">
        <v>316</v>
      </c>
      <c r="E46" t="s">
        <v>232</v>
      </c>
      <c r="F46" t="s">
        <v>304</v>
      </c>
      <c r="G46" t="s">
        <v>9</v>
      </c>
      <c r="H46">
        <v>2800.0</v>
      </c>
      <c r="I46" t="s">
        <v>31</v>
      </c>
      <c r="J46" t="s">
        <v>75</v>
      </c>
      <c r="K46" t="s">
        <v>112</v>
      </c>
      <c r="L46" t="s">
        <v>113</v>
      </c>
      <c r="M46">
        <v>1.9</v>
      </c>
    </row>
    <row r="47">
      <c r="A47" s="2">
        <v>45693</v>
      </c>
      <c r="B47">
        <v>2025.0</v>
      </c>
      <c r="C47" t="s">
        <v>315</v>
      </c>
      <c r="D47" t="s">
        <v>316</v>
      </c>
      <c r="E47" t="s">
        <v>87</v>
      </c>
      <c r="F47" t="s">
        <v>305</v>
      </c>
      <c r="G47" t="s">
        <v>10</v>
      </c>
      <c r="H47">
        <v>3148.0</v>
      </c>
      <c r="I47" t="s">
        <v>31</v>
      </c>
      <c r="J47" t="s">
        <v>89</v>
      </c>
      <c r="K47" t="s">
        <v>95</v>
      </c>
      <c r="L47" t="s">
        <v>96</v>
      </c>
      <c r="M47">
        <v>1.99</v>
      </c>
    </row>
    <row r="48">
      <c r="A48" s="2">
        <v>45953</v>
      </c>
      <c r="B48">
        <v>2026.0</v>
      </c>
      <c r="C48" t="s">
        <v>321</v>
      </c>
      <c r="D48" t="s">
        <v>316</v>
      </c>
      <c r="E48" t="s">
        <v>244</v>
      </c>
      <c r="F48" t="s">
        <v>308</v>
      </c>
      <c r="G48" t="s">
        <v>13</v>
      </c>
      <c r="H48">
        <v>5168.0</v>
      </c>
      <c r="I48" t="s">
        <v>31</v>
      </c>
      <c r="J48" t="s">
        <v>42</v>
      </c>
      <c r="K48" t="s">
        <v>33</v>
      </c>
      <c r="L48" t="s">
        <v>34</v>
      </c>
      <c r="M48">
        <v>1.99</v>
      </c>
    </row>
    <row r="49">
      <c r="A49" s="2">
        <v>45901</v>
      </c>
      <c r="B49">
        <v>2026.0</v>
      </c>
      <c r="C49" t="s">
        <v>321</v>
      </c>
      <c r="D49" t="s">
        <v>316</v>
      </c>
      <c r="E49" t="s">
        <v>73</v>
      </c>
      <c r="F49" t="s">
        <v>304</v>
      </c>
      <c r="G49" t="s">
        <v>9</v>
      </c>
      <c r="H49">
        <v>2750.0</v>
      </c>
      <c r="I49" t="s">
        <v>31</v>
      </c>
      <c r="J49" t="s">
        <v>75</v>
      </c>
      <c r="K49" t="s">
        <v>38</v>
      </c>
      <c r="L49" t="s">
        <v>39</v>
      </c>
      <c r="M49">
        <v>1.99</v>
      </c>
    </row>
    <row r="50">
      <c r="A50" s="2">
        <v>45317</v>
      </c>
      <c r="B50">
        <v>2024.0</v>
      </c>
      <c r="C50" t="s">
        <v>318</v>
      </c>
      <c r="D50" t="s">
        <v>316</v>
      </c>
      <c r="E50" t="s">
        <v>127</v>
      </c>
      <c r="F50" t="s">
        <v>306</v>
      </c>
      <c r="G50" t="s">
        <v>11</v>
      </c>
      <c r="H50">
        <v>4802.0</v>
      </c>
      <c r="I50" t="s">
        <v>31</v>
      </c>
      <c r="J50" t="s">
        <v>78</v>
      </c>
      <c r="K50" t="s">
        <v>71</v>
      </c>
      <c r="L50" t="s">
        <v>72</v>
      </c>
      <c r="M50">
        <v>2.0</v>
      </c>
    </row>
    <row r="51">
      <c r="A51" s="2">
        <v>45505</v>
      </c>
      <c r="B51">
        <v>2025.0</v>
      </c>
      <c r="C51" t="s">
        <v>315</v>
      </c>
      <c r="D51" t="s">
        <v>316</v>
      </c>
      <c r="E51" t="s">
        <v>177</v>
      </c>
      <c r="F51" t="s">
        <v>307</v>
      </c>
      <c r="G51" t="s">
        <v>12</v>
      </c>
      <c r="H51">
        <v>6330.0</v>
      </c>
      <c r="I51" t="s">
        <v>31</v>
      </c>
      <c r="J51" t="s">
        <v>162</v>
      </c>
      <c r="K51" t="s">
        <v>43</v>
      </c>
      <c r="L51" t="s">
        <v>44</v>
      </c>
      <c r="M51">
        <v>2.0</v>
      </c>
    </row>
    <row r="52">
      <c r="A52" s="2">
        <v>45583</v>
      </c>
      <c r="B52">
        <v>2025.0</v>
      </c>
      <c r="C52" t="s">
        <v>315</v>
      </c>
      <c r="D52" t="s">
        <v>316</v>
      </c>
      <c r="E52" t="s">
        <v>90</v>
      </c>
      <c r="F52" t="s">
        <v>305</v>
      </c>
      <c r="G52" t="s">
        <v>10</v>
      </c>
      <c r="H52">
        <v>3353.0</v>
      </c>
      <c r="I52" t="s">
        <v>31</v>
      </c>
      <c r="J52" t="s">
        <v>37</v>
      </c>
      <c r="K52" t="s">
        <v>43</v>
      </c>
      <c r="L52" t="s">
        <v>44</v>
      </c>
      <c r="M52">
        <v>2.0</v>
      </c>
    </row>
    <row r="53">
      <c r="A53" s="2">
        <v>45940</v>
      </c>
      <c r="B53">
        <v>2026.0</v>
      </c>
      <c r="C53" t="s">
        <v>321</v>
      </c>
      <c r="D53" t="s">
        <v>316</v>
      </c>
      <c r="E53" t="s">
        <v>173</v>
      </c>
      <c r="F53" t="s">
        <v>306</v>
      </c>
      <c r="G53" t="s">
        <v>11</v>
      </c>
      <c r="H53">
        <v>4220.0</v>
      </c>
      <c r="I53" t="s">
        <v>31</v>
      </c>
      <c r="J53" t="s">
        <v>61</v>
      </c>
      <c r="K53" t="s">
        <v>71</v>
      </c>
      <c r="L53" t="s">
        <v>72</v>
      </c>
      <c r="M53">
        <v>2.0</v>
      </c>
    </row>
    <row r="54">
      <c r="A54" s="2">
        <v>45710</v>
      </c>
      <c r="B54">
        <v>2025.0</v>
      </c>
      <c r="C54" t="s">
        <v>315</v>
      </c>
      <c r="D54" t="s">
        <v>316</v>
      </c>
      <c r="E54" t="s">
        <v>215</v>
      </c>
      <c r="F54" t="s">
        <v>310</v>
      </c>
      <c r="G54" t="s">
        <v>15</v>
      </c>
      <c r="H54">
        <v>7320.0</v>
      </c>
      <c r="I54" t="s">
        <v>31</v>
      </c>
      <c r="J54" t="s">
        <v>53</v>
      </c>
      <c r="K54" t="s">
        <v>95</v>
      </c>
      <c r="L54" t="s">
        <v>96</v>
      </c>
      <c r="M54">
        <v>2.0</v>
      </c>
    </row>
    <row r="55">
      <c r="A55" s="2">
        <v>45569</v>
      </c>
      <c r="B55">
        <v>2025.0</v>
      </c>
      <c r="C55" t="s">
        <v>315</v>
      </c>
      <c r="D55" t="s">
        <v>316</v>
      </c>
      <c r="E55" t="s">
        <v>187</v>
      </c>
      <c r="F55" t="s">
        <v>306</v>
      </c>
      <c r="G55" t="s">
        <v>11</v>
      </c>
      <c r="H55">
        <v>4870.0</v>
      </c>
      <c r="I55" t="s">
        <v>31</v>
      </c>
      <c r="J55" t="s">
        <v>78</v>
      </c>
      <c r="K55" t="s">
        <v>46</v>
      </c>
      <c r="L55" t="s">
        <v>47</v>
      </c>
      <c r="M55">
        <v>2.0</v>
      </c>
    </row>
    <row r="56">
      <c r="A56" s="2">
        <v>45945</v>
      </c>
      <c r="B56">
        <v>2026.0</v>
      </c>
      <c r="C56" t="s">
        <v>321</v>
      </c>
      <c r="D56" t="s">
        <v>316</v>
      </c>
      <c r="E56" t="s">
        <v>197</v>
      </c>
      <c r="F56" t="s">
        <v>304</v>
      </c>
      <c r="G56" t="s">
        <v>9</v>
      </c>
      <c r="H56">
        <v>2560.0</v>
      </c>
      <c r="I56" t="s">
        <v>31</v>
      </c>
      <c r="J56" t="s">
        <v>107</v>
      </c>
      <c r="K56" t="s">
        <v>46</v>
      </c>
      <c r="L56" t="s">
        <v>47</v>
      </c>
      <c r="M56">
        <v>2.0</v>
      </c>
    </row>
    <row r="57">
      <c r="A57" s="2">
        <v>45633</v>
      </c>
      <c r="B57">
        <v>2025.0</v>
      </c>
      <c r="C57" t="s">
        <v>315</v>
      </c>
      <c r="D57" t="s">
        <v>316</v>
      </c>
      <c r="E57" t="s">
        <v>87</v>
      </c>
      <c r="F57" t="s">
        <v>305</v>
      </c>
      <c r="G57" t="s">
        <v>10</v>
      </c>
      <c r="H57">
        <v>3148.0</v>
      </c>
      <c r="I57" t="s">
        <v>31</v>
      </c>
      <c r="J57" t="s">
        <v>89</v>
      </c>
      <c r="K57" t="s">
        <v>46</v>
      </c>
      <c r="L57" t="s">
        <v>47</v>
      </c>
      <c r="M57">
        <v>2.0</v>
      </c>
    </row>
    <row r="58">
      <c r="A58" s="2">
        <v>45530</v>
      </c>
      <c r="B58">
        <v>2025.0</v>
      </c>
      <c r="C58" t="s">
        <v>315</v>
      </c>
      <c r="D58" t="s">
        <v>316</v>
      </c>
      <c r="E58" t="s">
        <v>97</v>
      </c>
      <c r="F58" t="s">
        <v>304</v>
      </c>
      <c r="G58" t="s">
        <v>9</v>
      </c>
      <c r="H58">
        <v>2067.0</v>
      </c>
      <c r="I58" t="s">
        <v>31</v>
      </c>
      <c r="J58" t="s">
        <v>99</v>
      </c>
      <c r="K58" t="s">
        <v>43</v>
      </c>
      <c r="L58" t="s">
        <v>44</v>
      </c>
      <c r="M58">
        <v>2.0</v>
      </c>
    </row>
    <row r="59">
      <c r="A59" s="2">
        <v>45591</v>
      </c>
      <c r="B59">
        <v>2025.0</v>
      </c>
      <c r="C59" t="s">
        <v>315</v>
      </c>
      <c r="D59" t="s">
        <v>319</v>
      </c>
      <c r="E59" t="s">
        <v>242</v>
      </c>
      <c r="F59" t="s">
        <v>305</v>
      </c>
      <c r="G59" t="s">
        <v>10</v>
      </c>
      <c r="H59">
        <v>3977.0</v>
      </c>
      <c r="I59" t="s">
        <v>31</v>
      </c>
      <c r="J59" t="s">
        <v>94</v>
      </c>
      <c r="K59" t="s">
        <v>38</v>
      </c>
      <c r="L59" t="s">
        <v>39</v>
      </c>
      <c r="M59">
        <v>2.0</v>
      </c>
    </row>
    <row r="60">
      <c r="A60" s="2">
        <v>46000</v>
      </c>
      <c r="B60">
        <v>2026.0</v>
      </c>
      <c r="C60" t="s">
        <v>321</v>
      </c>
      <c r="D60" t="s">
        <v>316</v>
      </c>
      <c r="E60" t="s">
        <v>156</v>
      </c>
      <c r="F60" t="s">
        <v>304</v>
      </c>
      <c r="G60" t="s">
        <v>9</v>
      </c>
      <c r="H60">
        <v>2830.0</v>
      </c>
      <c r="I60" t="s">
        <v>31</v>
      </c>
      <c r="J60" t="s">
        <v>75</v>
      </c>
      <c r="K60" t="s">
        <v>57</v>
      </c>
      <c r="L60" t="s">
        <v>58</v>
      </c>
      <c r="M60">
        <v>2.0</v>
      </c>
    </row>
    <row r="61">
      <c r="A61" s="2">
        <v>45545</v>
      </c>
      <c r="B61">
        <v>2025.0</v>
      </c>
      <c r="C61" t="s">
        <v>315</v>
      </c>
      <c r="D61" t="s">
        <v>316</v>
      </c>
      <c r="E61" t="s">
        <v>156</v>
      </c>
      <c r="F61" t="s">
        <v>304</v>
      </c>
      <c r="G61" t="s">
        <v>9</v>
      </c>
      <c r="H61">
        <v>2830.0</v>
      </c>
      <c r="I61" t="s">
        <v>31</v>
      </c>
      <c r="J61" t="s">
        <v>75</v>
      </c>
      <c r="K61" t="s">
        <v>95</v>
      </c>
      <c r="L61" t="s">
        <v>96</v>
      </c>
      <c r="M61">
        <v>2.0</v>
      </c>
    </row>
    <row r="62">
      <c r="A62" s="2">
        <v>45856</v>
      </c>
      <c r="B62">
        <v>2026.0</v>
      </c>
      <c r="C62" t="s">
        <v>321</v>
      </c>
      <c r="D62" t="s">
        <v>316</v>
      </c>
      <c r="E62" t="s">
        <v>156</v>
      </c>
      <c r="F62" t="s">
        <v>304</v>
      </c>
      <c r="G62" t="s">
        <v>9</v>
      </c>
      <c r="H62">
        <v>2830.0</v>
      </c>
      <c r="I62" t="s">
        <v>31</v>
      </c>
      <c r="J62" t="s">
        <v>75</v>
      </c>
      <c r="K62" t="s">
        <v>95</v>
      </c>
      <c r="L62" t="s">
        <v>96</v>
      </c>
      <c r="M62">
        <v>2.0</v>
      </c>
    </row>
    <row r="63">
      <c r="A63" s="2">
        <v>45641</v>
      </c>
      <c r="B63">
        <v>2025.0</v>
      </c>
      <c r="C63" t="s">
        <v>315</v>
      </c>
      <c r="D63" t="s">
        <v>319</v>
      </c>
      <c r="E63" t="s">
        <v>246</v>
      </c>
      <c r="F63" t="s">
        <v>305</v>
      </c>
      <c r="G63" t="s">
        <v>10</v>
      </c>
      <c r="H63">
        <v>3551.0</v>
      </c>
      <c r="I63" t="s">
        <v>31</v>
      </c>
      <c r="J63" t="s">
        <v>37</v>
      </c>
      <c r="K63" t="s">
        <v>33</v>
      </c>
      <c r="L63" t="s">
        <v>34</v>
      </c>
      <c r="M63">
        <v>2.0</v>
      </c>
    </row>
    <row r="64">
      <c r="A64" s="2">
        <v>45619</v>
      </c>
      <c r="B64">
        <v>2025.0</v>
      </c>
      <c r="C64" t="s">
        <v>315</v>
      </c>
      <c r="D64" t="s">
        <v>316</v>
      </c>
      <c r="E64" t="s">
        <v>158</v>
      </c>
      <c r="F64" t="s">
        <v>306</v>
      </c>
      <c r="G64" t="s">
        <v>11</v>
      </c>
      <c r="H64">
        <v>4570.0</v>
      </c>
      <c r="I64" t="s">
        <v>31</v>
      </c>
      <c r="J64" t="s">
        <v>84</v>
      </c>
      <c r="K64" t="s">
        <v>43</v>
      </c>
      <c r="L64" t="s">
        <v>44</v>
      </c>
      <c r="M64">
        <v>2.0</v>
      </c>
    </row>
    <row r="65">
      <c r="A65" s="2">
        <v>45468</v>
      </c>
      <c r="B65">
        <v>2024.0</v>
      </c>
      <c r="C65" t="s">
        <v>318</v>
      </c>
      <c r="D65" t="s">
        <v>316</v>
      </c>
      <c r="E65" t="s">
        <v>213</v>
      </c>
      <c r="F65" t="s">
        <v>306</v>
      </c>
      <c r="G65" t="s">
        <v>11</v>
      </c>
      <c r="H65">
        <v>4740.0</v>
      </c>
      <c r="I65" t="s">
        <v>31</v>
      </c>
      <c r="J65" t="s">
        <v>32</v>
      </c>
      <c r="K65" t="s">
        <v>43</v>
      </c>
      <c r="L65" t="s">
        <v>44</v>
      </c>
      <c r="M65">
        <v>2.0</v>
      </c>
    </row>
    <row r="66">
      <c r="A66" s="2">
        <v>45828</v>
      </c>
      <c r="B66">
        <v>2025.0</v>
      </c>
      <c r="C66" t="s">
        <v>315</v>
      </c>
      <c r="D66" t="s">
        <v>316</v>
      </c>
      <c r="E66" t="s">
        <v>110</v>
      </c>
      <c r="F66" t="s">
        <v>304</v>
      </c>
      <c r="G66" t="s">
        <v>9</v>
      </c>
      <c r="H66">
        <v>2101.0</v>
      </c>
      <c r="I66" t="s">
        <v>31</v>
      </c>
      <c r="J66" t="s">
        <v>81</v>
      </c>
      <c r="K66" t="s">
        <v>71</v>
      </c>
      <c r="L66" t="s">
        <v>72</v>
      </c>
      <c r="M66">
        <v>2.0</v>
      </c>
    </row>
    <row r="67">
      <c r="A67" s="2">
        <v>45994</v>
      </c>
      <c r="B67">
        <v>2026.0</v>
      </c>
      <c r="C67" t="s">
        <v>321</v>
      </c>
      <c r="D67" t="s">
        <v>316</v>
      </c>
      <c r="E67" t="s">
        <v>110</v>
      </c>
      <c r="F67" t="s">
        <v>304</v>
      </c>
      <c r="G67" t="s">
        <v>9</v>
      </c>
      <c r="H67">
        <v>2101.0</v>
      </c>
      <c r="I67" t="s">
        <v>31</v>
      </c>
      <c r="J67" t="s">
        <v>81</v>
      </c>
      <c r="K67" t="s">
        <v>33</v>
      </c>
      <c r="L67" t="s">
        <v>34</v>
      </c>
      <c r="M67">
        <v>2.0</v>
      </c>
    </row>
    <row r="68">
      <c r="A68" s="2">
        <v>45363</v>
      </c>
      <c r="B68">
        <v>2024.0</v>
      </c>
      <c r="C68" t="s">
        <v>318</v>
      </c>
      <c r="D68" t="s">
        <v>316</v>
      </c>
      <c r="E68" t="s">
        <v>121</v>
      </c>
      <c r="F68" t="s">
        <v>306</v>
      </c>
      <c r="G68" t="s">
        <v>11</v>
      </c>
      <c r="H68">
        <v>4566.0</v>
      </c>
      <c r="I68" t="s">
        <v>31</v>
      </c>
      <c r="J68" t="s">
        <v>84</v>
      </c>
      <c r="K68" t="s">
        <v>38</v>
      </c>
      <c r="L68" t="s">
        <v>39</v>
      </c>
      <c r="M68">
        <v>2.0</v>
      </c>
    </row>
    <row r="69">
      <c r="A69" s="2">
        <v>45300</v>
      </c>
      <c r="B69">
        <v>2024.0</v>
      </c>
      <c r="C69" t="s">
        <v>318</v>
      </c>
      <c r="D69" t="s">
        <v>316</v>
      </c>
      <c r="E69" t="s">
        <v>137</v>
      </c>
      <c r="F69" t="s">
        <v>305</v>
      </c>
      <c r="G69" t="s">
        <v>10</v>
      </c>
      <c r="H69">
        <v>3134.0</v>
      </c>
      <c r="I69" t="s">
        <v>31</v>
      </c>
      <c r="J69" t="s">
        <v>89</v>
      </c>
      <c r="K69" t="s">
        <v>71</v>
      </c>
      <c r="L69" t="s">
        <v>72</v>
      </c>
      <c r="M69">
        <v>2.0</v>
      </c>
    </row>
    <row r="70">
      <c r="A70" s="2">
        <v>45842</v>
      </c>
      <c r="B70">
        <v>2026.0</v>
      </c>
      <c r="C70" t="s">
        <v>321</v>
      </c>
      <c r="D70" t="s">
        <v>316</v>
      </c>
      <c r="E70" t="s">
        <v>209</v>
      </c>
      <c r="F70" t="s">
        <v>304</v>
      </c>
      <c r="G70" t="s">
        <v>9</v>
      </c>
      <c r="H70">
        <v>2116.0</v>
      </c>
      <c r="I70" t="s">
        <v>31</v>
      </c>
      <c r="J70" t="s">
        <v>81</v>
      </c>
      <c r="K70" t="s">
        <v>43</v>
      </c>
      <c r="L70" t="s">
        <v>44</v>
      </c>
      <c r="M70">
        <v>2.0</v>
      </c>
    </row>
    <row r="71">
      <c r="A71" s="2">
        <v>45348</v>
      </c>
      <c r="B71">
        <v>2024.0</v>
      </c>
      <c r="C71" t="s">
        <v>318</v>
      </c>
      <c r="D71" t="s">
        <v>316</v>
      </c>
      <c r="E71" t="s">
        <v>209</v>
      </c>
      <c r="F71" t="s">
        <v>304</v>
      </c>
      <c r="G71" t="s">
        <v>9</v>
      </c>
      <c r="H71">
        <v>2116.0</v>
      </c>
      <c r="I71" t="s">
        <v>31</v>
      </c>
      <c r="J71" t="s">
        <v>81</v>
      </c>
      <c r="K71" t="s">
        <v>71</v>
      </c>
      <c r="L71" t="s">
        <v>72</v>
      </c>
      <c r="M71">
        <v>2.0</v>
      </c>
    </row>
    <row r="72">
      <c r="A72" s="2">
        <v>45951</v>
      </c>
      <c r="B72">
        <v>2026.0</v>
      </c>
      <c r="C72" t="s">
        <v>321</v>
      </c>
      <c r="D72" t="s">
        <v>316</v>
      </c>
      <c r="E72" t="s">
        <v>260</v>
      </c>
      <c r="F72" t="s">
        <v>305</v>
      </c>
      <c r="G72" t="s">
        <v>10</v>
      </c>
      <c r="H72">
        <v>3179.0</v>
      </c>
      <c r="I72" t="s">
        <v>31</v>
      </c>
      <c r="J72" t="s">
        <v>89</v>
      </c>
      <c r="K72" t="s">
        <v>71</v>
      </c>
      <c r="L72" t="s">
        <v>72</v>
      </c>
      <c r="M72">
        <v>2.0</v>
      </c>
    </row>
    <row r="73">
      <c r="A73" s="2">
        <v>45870</v>
      </c>
      <c r="B73">
        <v>2026.0</v>
      </c>
      <c r="C73" t="s">
        <v>321</v>
      </c>
      <c r="D73" t="s">
        <v>316</v>
      </c>
      <c r="E73" t="s">
        <v>252</v>
      </c>
      <c r="F73" t="s">
        <v>305</v>
      </c>
      <c r="G73" t="s">
        <v>10</v>
      </c>
      <c r="H73">
        <v>3630.0</v>
      </c>
      <c r="I73" t="s">
        <v>31</v>
      </c>
      <c r="J73" t="s">
        <v>94</v>
      </c>
      <c r="K73" t="s">
        <v>57</v>
      </c>
      <c r="L73" t="s">
        <v>58</v>
      </c>
      <c r="M73">
        <v>2.0</v>
      </c>
    </row>
    <row r="74">
      <c r="A74" s="2">
        <v>45535</v>
      </c>
      <c r="B74">
        <v>2025.0</v>
      </c>
      <c r="C74" t="s">
        <v>315</v>
      </c>
      <c r="D74" t="s">
        <v>316</v>
      </c>
      <c r="E74" t="s">
        <v>221</v>
      </c>
      <c r="F74" t="s">
        <v>306</v>
      </c>
      <c r="G74" t="s">
        <v>11</v>
      </c>
      <c r="H74">
        <v>4053.0</v>
      </c>
      <c r="I74" t="s">
        <v>31</v>
      </c>
      <c r="J74" t="s">
        <v>56</v>
      </c>
      <c r="K74" t="s">
        <v>95</v>
      </c>
      <c r="L74" t="s">
        <v>96</v>
      </c>
      <c r="M74">
        <v>2.0</v>
      </c>
    </row>
    <row r="75">
      <c r="A75" s="2">
        <v>45821</v>
      </c>
      <c r="B75">
        <v>2025.0</v>
      </c>
      <c r="C75" t="s">
        <v>315</v>
      </c>
      <c r="D75" t="s">
        <v>316</v>
      </c>
      <c r="E75" t="s">
        <v>181</v>
      </c>
      <c r="F75" t="s">
        <v>306</v>
      </c>
      <c r="G75" t="s">
        <v>11</v>
      </c>
      <c r="H75">
        <v>4119.0</v>
      </c>
      <c r="I75" t="s">
        <v>31</v>
      </c>
      <c r="J75" t="s">
        <v>56</v>
      </c>
      <c r="K75" t="s">
        <v>71</v>
      </c>
      <c r="L75" t="s">
        <v>72</v>
      </c>
      <c r="M75">
        <v>2.0</v>
      </c>
    </row>
    <row r="76">
      <c r="A76" s="2">
        <v>45762</v>
      </c>
      <c r="B76">
        <v>2025.0</v>
      </c>
      <c r="C76" t="s">
        <v>315</v>
      </c>
      <c r="D76" t="s">
        <v>316</v>
      </c>
      <c r="E76" t="s">
        <v>191</v>
      </c>
      <c r="F76" t="s">
        <v>305</v>
      </c>
      <c r="G76" t="s">
        <v>10</v>
      </c>
      <c r="H76">
        <v>3030.0</v>
      </c>
      <c r="I76" t="s">
        <v>31</v>
      </c>
      <c r="J76" t="s">
        <v>120</v>
      </c>
      <c r="K76" t="s">
        <v>38</v>
      </c>
      <c r="L76" t="s">
        <v>39</v>
      </c>
      <c r="M76">
        <v>2.0</v>
      </c>
    </row>
    <row r="77">
      <c r="A77" s="2">
        <v>45948</v>
      </c>
      <c r="B77">
        <v>2026.0</v>
      </c>
      <c r="C77" t="s">
        <v>321</v>
      </c>
      <c r="D77" t="s">
        <v>316</v>
      </c>
      <c r="E77" t="s">
        <v>29</v>
      </c>
      <c r="F77" t="s">
        <v>306</v>
      </c>
      <c r="G77" t="s">
        <v>11</v>
      </c>
      <c r="H77">
        <v>4703.0</v>
      </c>
      <c r="I77" t="s">
        <v>31</v>
      </c>
      <c r="J77" t="s">
        <v>32</v>
      </c>
      <c r="K77" t="s">
        <v>43</v>
      </c>
      <c r="L77" t="s">
        <v>44</v>
      </c>
      <c r="M77">
        <v>2.0</v>
      </c>
    </row>
    <row r="78">
      <c r="A78" s="2">
        <v>45409</v>
      </c>
      <c r="B78">
        <v>2024.0</v>
      </c>
      <c r="C78" t="s">
        <v>318</v>
      </c>
      <c r="D78" t="s">
        <v>316</v>
      </c>
      <c r="E78" t="s">
        <v>246</v>
      </c>
      <c r="F78" t="s">
        <v>305</v>
      </c>
      <c r="G78" t="s">
        <v>10</v>
      </c>
      <c r="H78">
        <v>3551.0</v>
      </c>
      <c r="I78" t="s">
        <v>31</v>
      </c>
      <c r="J78" t="s">
        <v>37</v>
      </c>
      <c r="K78" t="s">
        <v>95</v>
      </c>
      <c r="L78" t="s">
        <v>96</v>
      </c>
      <c r="M78">
        <v>2.25</v>
      </c>
    </row>
    <row r="79">
      <c r="A79" s="2">
        <v>45942</v>
      </c>
      <c r="B79">
        <v>2026.0</v>
      </c>
      <c r="C79" t="s">
        <v>321</v>
      </c>
      <c r="D79" t="s">
        <v>316</v>
      </c>
      <c r="E79" t="s">
        <v>118</v>
      </c>
      <c r="F79" t="s">
        <v>305</v>
      </c>
      <c r="G79" t="s">
        <v>10</v>
      </c>
      <c r="H79">
        <v>3076.0</v>
      </c>
      <c r="I79" t="s">
        <v>31</v>
      </c>
      <c r="J79" t="s">
        <v>120</v>
      </c>
      <c r="K79" t="s">
        <v>38</v>
      </c>
      <c r="L79" t="s">
        <v>39</v>
      </c>
      <c r="M79">
        <v>2.3</v>
      </c>
    </row>
    <row r="80">
      <c r="A80" s="2">
        <v>45985</v>
      </c>
      <c r="B80">
        <v>2026.0</v>
      </c>
      <c r="C80" t="s">
        <v>321</v>
      </c>
      <c r="D80" t="s">
        <v>316</v>
      </c>
      <c r="E80" t="s">
        <v>108</v>
      </c>
      <c r="F80" t="s">
        <v>304</v>
      </c>
      <c r="G80" t="s">
        <v>9</v>
      </c>
      <c r="H80">
        <v>2795.0</v>
      </c>
      <c r="I80" t="s">
        <v>31</v>
      </c>
      <c r="J80" t="s">
        <v>75</v>
      </c>
      <c r="K80" t="s">
        <v>46</v>
      </c>
      <c r="L80" t="s">
        <v>47</v>
      </c>
      <c r="M80">
        <v>2.36</v>
      </c>
    </row>
    <row r="81">
      <c r="A81" s="2">
        <v>45939</v>
      </c>
      <c r="B81">
        <v>2026.0</v>
      </c>
      <c r="C81" t="s">
        <v>321</v>
      </c>
      <c r="D81" t="s">
        <v>319</v>
      </c>
      <c r="E81" t="s">
        <v>246</v>
      </c>
      <c r="F81" t="s">
        <v>305</v>
      </c>
      <c r="G81" t="s">
        <v>10</v>
      </c>
      <c r="H81">
        <v>3551.0</v>
      </c>
      <c r="I81" t="s">
        <v>31</v>
      </c>
      <c r="J81" t="s">
        <v>37</v>
      </c>
      <c r="K81" t="s">
        <v>46</v>
      </c>
      <c r="L81" t="s">
        <v>47</v>
      </c>
      <c r="M81">
        <v>2.44</v>
      </c>
    </row>
    <row r="82">
      <c r="A82" s="2">
        <v>45316</v>
      </c>
      <c r="B82">
        <v>2024.0</v>
      </c>
      <c r="C82" t="s">
        <v>318</v>
      </c>
      <c r="D82" t="s">
        <v>316</v>
      </c>
      <c r="E82" t="s">
        <v>110</v>
      </c>
      <c r="F82" t="s">
        <v>304</v>
      </c>
      <c r="G82" t="s">
        <v>9</v>
      </c>
      <c r="H82">
        <v>2101.0</v>
      </c>
      <c r="I82" t="s">
        <v>31</v>
      </c>
      <c r="J82" t="s">
        <v>81</v>
      </c>
      <c r="K82" t="s">
        <v>112</v>
      </c>
      <c r="L82" t="s">
        <v>113</v>
      </c>
      <c r="M82">
        <v>2.45</v>
      </c>
    </row>
    <row r="83">
      <c r="A83" s="2">
        <v>45728</v>
      </c>
      <c r="B83">
        <v>2025.0</v>
      </c>
      <c r="C83" t="s">
        <v>315</v>
      </c>
      <c r="D83" t="s">
        <v>319</v>
      </c>
      <c r="E83" t="s">
        <v>175</v>
      </c>
      <c r="F83" t="s">
        <v>311</v>
      </c>
      <c r="G83" t="s">
        <v>16</v>
      </c>
      <c r="H83">
        <v>2617.0</v>
      </c>
      <c r="I83" t="s">
        <v>31</v>
      </c>
      <c r="J83" t="s">
        <v>107</v>
      </c>
      <c r="K83" t="s">
        <v>95</v>
      </c>
      <c r="L83" t="s">
        <v>96</v>
      </c>
      <c r="M83">
        <v>2.49</v>
      </c>
    </row>
    <row r="84">
      <c r="A84" s="2">
        <v>45538</v>
      </c>
      <c r="B84">
        <v>2025.0</v>
      </c>
      <c r="C84" t="s">
        <v>315</v>
      </c>
      <c r="D84" t="s">
        <v>316</v>
      </c>
      <c r="E84" t="s">
        <v>177</v>
      </c>
      <c r="F84" t="s">
        <v>307</v>
      </c>
      <c r="G84" t="s">
        <v>12</v>
      </c>
      <c r="H84">
        <v>6330.0</v>
      </c>
      <c r="I84" t="s">
        <v>31</v>
      </c>
      <c r="J84" t="s">
        <v>162</v>
      </c>
      <c r="K84" t="s">
        <v>33</v>
      </c>
      <c r="L84" t="s">
        <v>34</v>
      </c>
      <c r="M84">
        <v>2.5</v>
      </c>
    </row>
    <row r="85">
      <c r="A85" s="2">
        <v>45441</v>
      </c>
      <c r="B85">
        <v>2024.0</v>
      </c>
      <c r="C85" t="s">
        <v>318</v>
      </c>
      <c r="D85" t="s">
        <v>316</v>
      </c>
      <c r="E85" t="s">
        <v>244</v>
      </c>
      <c r="F85" t="s">
        <v>308</v>
      </c>
      <c r="G85" t="s">
        <v>13</v>
      </c>
      <c r="H85">
        <v>5168.0</v>
      </c>
      <c r="I85" t="s">
        <v>31</v>
      </c>
      <c r="J85" t="s">
        <v>42</v>
      </c>
      <c r="K85" t="s">
        <v>46</v>
      </c>
      <c r="L85" t="s">
        <v>47</v>
      </c>
      <c r="M85">
        <v>2.5</v>
      </c>
    </row>
    <row r="86">
      <c r="A86" s="2">
        <v>45738</v>
      </c>
      <c r="B86">
        <v>2025.0</v>
      </c>
      <c r="C86" t="s">
        <v>315</v>
      </c>
      <c r="D86" t="s">
        <v>316</v>
      </c>
      <c r="E86" t="s">
        <v>238</v>
      </c>
      <c r="F86" t="s">
        <v>308</v>
      </c>
      <c r="G86" t="s">
        <v>13</v>
      </c>
      <c r="H86">
        <v>5082.0</v>
      </c>
      <c r="I86" t="s">
        <v>31</v>
      </c>
      <c r="J86" t="s">
        <v>42</v>
      </c>
      <c r="K86" t="s">
        <v>46</v>
      </c>
      <c r="L86" t="s">
        <v>47</v>
      </c>
      <c r="M86">
        <v>2.5</v>
      </c>
    </row>
    <row r="87">
      <c r="A87" s="2">
        <v>45888</v>
      </c>
      <c r="B87">
        <v>2026.0</v>
      </c>
      <c r="C87" t="s">
        <v>321</v>
      </c>
      <c r="D87" t="s">
        <v>316</v>
      </c>
      <c r="E87" t="s">
        <v>246</v>
      </c>
      <c r="F87" t="s">
        <v>305</v>
      </c>
      <c r="G87" t="s">
        <v>10</v>
      </c>
      <c r="H87">
        <v>3551.0</v>
      </c>
      <c r="I87" t="s">
        <v>31</v>
      </c>
      <c r="J87" t="s">
        <v>37</v>
      </c>
      <c r="K87" t="s">
        <v>95</v>
      </c>
      <c r="L87" t="s">
        <v>96</v>
      </c>
      <c r="M87">
        <v>2.52</v>
      </c>
    </row>
    <row r="88">
      <c r="A88" s="2">
        <v>45303</v>
      </c>
      <c r="B88">
        <v>2024.0</v>
      </c>
      <c r="C88" t="s">
        <v>318</v>
      </c>
      <c r="D88" t="s">
        <v>316</v>
      </c>
      <c r="E88" t="s">
        <v>163</v>
      </c>
      <c r="F88" t="s">
        <v>304</v>
      </c>
      <c r="G88" t="s">
        <v>9</v>
      </c>
      <c r="H88">
        <v>2154.0</v>
      </c>
      <c r="I88" t="s">
        <v>31</v>
      </c>
      <c r="J88" t="s">
        <v>81</v>
      </c>
      <c r="K88" t="s">
        <v>43</v>
      </c>
      <c r="L88" t="s">
        <v>44</v>
      </c>
      <c r="M88">
        <v>2.6</v>
      </c>
    </row>
    <row r="89">
      <c r="A89" s="2">
        <v>45947</v>
      </c>
      <c r="B89">
        <v>2026.0</v>
      </c>
      <c r="C89" t="s">
        <v>321</v>
      </c>
      <c r="D89" t="s">
        <v>316</v>
      </c>
      <c r="E89" t="s">
        <v>221</v>
      </c>
      <c r="F89" t="s">
        <v>306</v>
      </c>
      <c r="G89" t="s">
        <v>11</v>
      </c>
      <c r="H89">
        <v>4053.0</v>
      </c>
      <c r="I89" t="s">
        <v>31</v>
      </c>
      <c r="J89" t="s">
        <v>56</v>
      </c>
      <c r="K89" t="s">
        <v>123</v>
      </c>
      <c r="L89" t="s">
        <v>124</v>
      </c>
      <c r="M89">
        <v>2.67</v>
      </c>
    </row>
    <row r="90">
      <c r="A90" s="2">
        <v>45966</v>
      </c>
      <c r="B90">
        <v>2026.0</v>
      </c>
      <c r="C90" t="s">
        <v>321</v>
      </c>
      <c r="D90" t="s">
        <v>316</v>
      </c>
      <c r="E90" t="s">
        <v>262</v>
      </c>
      <c r="F90" t="s">
        <v>305</v>
      </c>
      <c r="G90" t="s">
        <v>10</v>
      </c>
      <c r="H90">
        <v>3018.0</v>
      </c>
      <c r="I90" t="s">
        <v>31</v>
      </c>
      <c r="J90" t="s">
        <v>120</v>
      </c>
      <c r="K90" t="s">
        <v>43</v>
      </c>
      <c r="L90" t="s">
        <v>44</v>
      </c>
      <c r="M90">
        <v>2.7800000000000002</v>
      </c>
    </row>
    <row r="91">
      <c r="A91" s="2">
        <v>45535</v>
      </c>
      <c r="B91">
        <v>2025.0</v>
      </c>
      <c r="C91" t="s">
        <v>315</v>
      </c>
      <c r="D91" t="s">
        <v>316</v>
      </c>
      <c r="E91" t="s">
        <v>169</v>
      </c>
      <c r="F91" t="s">
        <v>307</v>
      </c>
      <c r="G91" t="s">
        <v>12</v>
      </c>
      <c r="H91">
        <v>6027.0</v>
      </c>
      <c r="I91" t="s">
        <v>31</v>
      </c>
      <c r="J91" t="s">
        <v>102</v>
      </c>
      <c r="K91" t="s">
        <v>123</v>
      </c>
      <c r="L91" t="s">
        <v>124</v>
      </c>
      <c r="M91">
        <v>2.97</v>
      </c>
    </row>
    <row r="92">
      <c r="A92" s="2">
        <v>45359</v>
      </c>
      <c r="B92">
        <v>2024.0</v>
      </c>
      <c r="C92" t="s">
        <v>318</v>
      </c>
      <c r="D92" t="s">
        <v>319</v>
      </c>
      <c r="E92" t="s">
        <v>97</v>
      </c>
      <c r="F92" t="s">
        <v>304</v>
      </c>
      <c r="G92" t="s">
        <v>9</v>
      </c>
      <c r="H92">
        <v>2067.0</v>
      </c>
      <c r="I92" t="s">
        <v>31</v>
      </c>
      <c r="J92" t="s">
        <v>99</v>
      </c>
      <c r="K92" t="s">
        <v>95</v>
      </c>
      <c r="L92" t="s">
        <v>96</v>
      </c>
      <c r="M92">
        <v>2.98</v>
      </c>
    </row>
    <row r="93">
      <c r="A93" s="2">
        <v>45715</v>
      </c>
      <c r="B93">
        <v>2025.0</v>
      </c>
      <c r="C93" t="s">
        <v>315</v>
      </c>
      <c r="D93" t="s">
        <v>316</v>
      </c>
      <c r="E93" t="s">
        <v>183</v>
      </c>
      <c r="F93" t="s">
        <v>304</v>
      </c>
      <c r="G93" t="s">
        <v>9</v>
      </c>
      <c r="H93">
        <v>2480.0</v>
      </c>
      <c r="I93" t="s">
        <v>31</v>
      </c>
      <c r="J93" t="s">
        <v>70</v>
      </c>
      <c r="K93" t="s">
        <v>123</v>
      </c>
      <c r="L93" t="s">
        <v>124</v>
      </c>
      <c r="M93">
        <v>2.98</v>
      </c>
    </row>
    <row r="94">
      <c r="A94" s="2">
        <v>45825</v>
      </c>
      <c r="B94">
        <v>2025.0</v>
      </c>
      <c r="C94" t="s">
        <v>315</v>
      </c>
      <c r="D94" t="s">
        <v>319</v>
      </c>
      <c r="E94" t="s">
        <v>59</v>
      </c>
      <c r="F94" t="s">
        <v>306</v>
      </c>
      <c r="G94" t="s">
        <v>11</v>
      </c>
      <c r="H94">
        <v>4509.0</v>
      </c>
      <c r="I94" t="s">
        <v>31</v>
      </c>
      <c r="J94" t="s">
        <v>61</v>
      </c>
      <c r="K94" t="s">
        <v>66</v>
      </c>
      <c r="L94" t="s">
        <v>67</v>
      </c>
      <c r="M94">
        <v>2.98</v>
      </c>
    </row>
    <row r="95">
      <c r="A95" s="2">
        <v>45781</v>
      </c>
      <c r="B95">
        <v>2025.0</v>
      </c>
      <c r="C95" t="s">
        <v>315</v>
      </c>
      <c r="D95" t="s">
        <v>316</v>
      </c>
      <c r="E95" t="s">
        <v>105</v>
      </c>
      <c r="F95" t="s">
        <v>304</v>
      </c>
      <c r="G95" t="s">
        <v>9</v>
      </c>
      <c r="H95">
        <v>2541.0</v>
      </c>
      <c r="I95" t="s">
        <v>31</v>
      </c>
      <c r="J95" t="s">
        <v>107</v>
      </c>
      <c r="K95" t="s">
        <v>66</v>
      </c>
      <c r="L95" t="s">
        <v>67</v>
      </c>
      <c r="M95">
        <v>2.98</v>
      </c>
    </row>
    <row r="96">
      <c r="A96" s="2">
        <v>45954</v>
      </c>
      <c r="B96">
        <v>2026.0</v>
      </c>
      <c r="C96" t="s">
        <v>321</v>
      </c>
      <c r="D96" t="s">
        <v>316</v>
      </c>
      <c r="E96" t="s">
        <v>254</v>
      </c>
      <c r="F96" t="s">
        <v>308</v>
      </c>
      <c r="G96" t="s">
        <v>13</v>
      </c>
      <c r="H96">
        <v>5343.0</v>
      </c>
      <c r="I96" t="s">
        <v>31</v>
      </c>
      <c r="J96" t="s">
        <v>227</v>
      </c>
      <c r="K96" t="s">
        <v>112</v>
      </c>
      <c r="L96" t="s">
        <v>113</v>
      </c>
      <c r="M96">
        <v>2.99</v>
      </c>
    </row>
    <row r="97">
      <c r="A97" s="2">
        <v>45729</v>
      </c>
      <c r="B97">
        <v>2025.0</v>
      </c>
      <c r="C97" t="s">
        <v>315</v>
      </c>
      <c r="D97" t="s">
        <v>316</v>
      </c>
      <c r="E97" t="s">
        <v>163</v>
      </c>
      <c r="F97" t="s">
        <v>304</v>
      </c>
      <c r="G97" t="s">
        <v>9</v>
      </c>
      <c r="H97">
        <v>2154.0</v>
      </c>
      <c r="I97" t="s">
        <v>31</v>
      </c>
      <c r="J97" t="s">
        <v>81</v>
      </c>
      <c r="K97" t="s">
        <v>95</v>
      </c>
      <c r="L97" t="s">
        <v>96</v>
      </c>
      <c r="M97">
        <v>2.99</v>
      </c>
    </row>
    <row r="98">
      <c r="A98" s="2">
        <v>45666</v>
      </c>
      <c r="B98">
        <v>2025.0</v>
      </c>
      <c r="C98" t="s">
        <v>315</v>
      </c>
      <c r="D98" t="s">
        <v>316</v>
      </c>
      <c r="E98" t="s">
        <v>203</v>
      </c>
      <c r="F98" t="s">
        <v>305</v>
      </c>
      <c r="G98" t="s">
        <v>10</v>
      </c>
      <c r="H98">
        <v>3175.0</v>
      </c>
      <c r="I98" t="s">
        <v>31</v>
      </c>
      <c r="J98" t="s">
        <v>89</v>
      </c>
      <c r="K98" t="s">
        <v>33</v>
      </c>
      <c r="L98" t="s">
        <v>34</v>
      </c>
      <c r="M98">
        <v>2.99</v>
      </c>
    </row>
    <row r="99">
      <c r="A99" s="2">
        <v>45980</v>
      </c>
      <c r="B99">
        <v>2026.0</v>
      </c>
      <c r="C99" t="s">
        <v>321</v>
      </c>
      <c r="D99" t="s">
        <v>316</v>
      </c>
      <c r="E99" t="s">
        <v>156</v>
      </c>
      <c r="F99" t="s">
        <v>304</v>
      </c>
      <c r="G99" t="s">
        <v>9</v>
      </c>
      <c r="H99">
        <v>2830.0</v>
      </c>
      <c r="I99" t="s">
        <v>31</v>
      </c>
      <c r="J99" t="s">
        <v>75</v>
      </c>
      <c r="K99" t="s">
        <v>38</v>
      </c>
      <c r="L99" t="s">
        <v>39</v>
      </c>
      <c r="M99">
        <v>2.99</v>
      </c>
    </row>
    <row r="100">
      <c r="A100" s="2">
        <v>45745</v>
      </c>
      <c r="B100">
        <v>2025.0</v>
      </c>
      <c r="C100" t="s">
        <v>315</v>
      </c>
      <c r="D100" t="s">
        <v>316</v>
      </c>
      <c r="E100" t="s">
        <v>118</v>
      </c>
      <c r="F100" t="s">
        <v>305</v>
      </c>
      <c r="G100" t="s">
        <v>10</v>
      </c>
      <c r="H100">
        <v>3076.0</v>
      </c>
      <c r="I100" t="s">
        <v>31</v>
      </c>
      <c r="J100" t="s">
        <v>120</v>
      </c>
      <c r="K100" t="s">
        <v>33</v>
      </c>
      <c r="L100" t="s">
        <v>34</v>
      </c>
      <c r="M100">
        <v>2.99</v>
      </c>
    </row>
    <row r="101">
      <c r="A101" s="2">
        <v>45336</v>
      </c>
      <c r="B101">
        <v>2024.0</v>
      </c>
      <c r="C101" t="s">
        <v>318</v>
      </c>
      <c r="D101" t="s">
        <v>316</v>
      </c>
      <c r="E101" t="s">
        <v>248</v>
      </c>
      <c r="F101" t="s">
        <v>307</v>
      </c>
      <c r="G101" t="s">
        <v>12</v>
      </c>
      <c r="H101">
        <v>6112.0</v>
      </c>
      <c r="I101" t="s">
        <v>31</v>
      </c>
      <c r="J101" t="s">
        <v>162</v>
      </c>
      <c r="K101" t="s">
        <v>33</v>
      </c>
      <c r="L101" t="s">
        <v>34</v>
      </c>
      <c r="M101">
        <v>2.99</v>
      </c>
    </row>
    <row r="102">
      <c r="A102" s="2">
        <v>45679</v>
      </c>
      <c r="B102">
        <v>2025.0</v>
      </c>
      <c r="C102" t="s">
        <v>315</v>
      </c>
      <c r="D102" t="s">
        <v>316</v>
      </c>
      <c r="E102" t="s">
        <v>110</v>
      </c>
      <c r="F102" t="s">
        <v>304</v>
      </c>
      <c r="G102" t="s">
        <v>9</v>
      </c>
      <c r="H102">
        <v>2101.0</v>
      </c>
      <c r="I102" t="s">
        <v>31</v>
      </c>
      <c r="J102" t="s">
        <v>81</v>
      </c>
      <c r="K102" t="s">
        <v>43</v>
      </c>
      <c r="L102" t="s">
        <v>44</v>
      </c>
      <c r="M102">
        <v>2.99</v>
      </c>
    </row>
    <row r="103">
      <c r="A103" s="2">
        <v>45686</v>
      </c>
      <c r="B103">
        <v>2025.0</v>
      </c>
      <c r="C103" t="s">
        <v>315</v>
      </c>
      <c r="D103" t="s">
        <v>316</v>
      </c>
      <c r="E103" t="s">
        <v>177</v>
      </c>
      <c r="F103" t="s">
        <v>307</v>
      </c>
      <c r="G103" t="s">
        <v>12</v>
      </c>
      <c r="H103">
        <v>6330.0</v>
      </c>
      <c r="I103" t="s">
        <v>31</v>
      </c>
      <c r="J103" t="s">
        <v>162</v>
      </c>
      <c r="K103" t="s">
        <v>71</v>
      </c>
      <c r="L103" t="s">
        <v>72</v>
      </c>
      <c r="M103">
        <v>3.0</v>
      </c>
    </row>
    <row r="104">
      <c r="A104" s="2">
        <v>45865</v>
      </c>
      <c r="B104">
        <v>2026.0</v>
      </c>
      <c r="C104" t="s">
        <v>321</v>
      </c>
      <c r="D104" t="s">
        <v>316</v>
      </c>
      <c r="E104" t="s">
        <v>179</v>
      </c>
      <c r="F104" t="s">
        <v>304</v>
      </c>
      <c r="G104" t="s">
        <v>9</v>
      </c>
      <c r="H104">
        <v>2015.0</v>
      </c>
      <c r="I104" t="s">
        <v>31</v>
      </c>
      <c r="J104" t="s">
        <v>99</v>
      </c>
      <c r="K104" t="s">
        <v>46</v>
      </c>
      <c r="L104" t="s">
        <v>47</v>
      </c>
      <c r="M104">
        <v>3.0</v>
      </c>
    </row>
    <row r="105">
      <c r="A105" s="2">
        <v>45573</v>
      </c>
      <c r="B105">
        <v>2025.0</v>
      </c>
      <c r="C105" t="s">
        <v>315</v>
      </c>
      <c r="D105" t="s">
        <v>316</v>
      </c>
      <c r="E105" t="s">
        <v>179</v>
      </c>
      <c r="F105" t="s">
        <v>304</v>
      </c>
      <c r="G105" t="s">
        <v>9</v>
      </c>
      <c r="H105">
        <v>2015.0</v>
      </c>
      <c r="I105" t="s">
        <v>31</v>
      </c>
      <c r="J105" t="s">
        <v>99</v>
      </c>
      <c r="K105" t="s">
        <v>71</v>
      </c>
      <c r="L105" t="s">
        <v>72</v>
      </c>
      <c r="M105">
        <v>3.0</v>
      </c>
    </row>
    <row r="106">
      <c r="A106" s="2">
        <v>45549</v>
      </c>
      <c r="B106">
        <v>2025.0</v>
      </c>
      <c r="C106" t="s">
        <v>315</v>
      </c>
      <c r="D106" t="s">
        <v>316</v>
      </c>
      <c r="E106" t="s">
        <v>179</v>
      </c>
      <c r="F106" t="s">
        <v>304</v>
      </c>
      <c r="G106" t="s">
        <v>9</v>
      </c>
      <c r="H106">
        <v>2015.0</v>
      </c>
      <c r="I106" t="s">
        <v>31</v>
      </c>
      <c r="J106" t="s">
        <v>99</v>
      </c>
      <c r="K106" t="s">
        <v>33</v>
      </c>
      <c r="L106" t="s">
        <v>34</v>
      </c>
      <c r="M106">
        <v>3.0</v>
      </c>
    </row>
    <row r="107">
      <c r="A107" s="2">
        <v>45981</v>
      </c>
      <c r="B107">
        <v>2026.0</v>
      </c>
      <c r="C107" t="s">
        <v>321</v>
      </c>
      <c r="D107" t="s">
        <v>316</v>
      </c>
      <c r="E107" t="s">
        <v>256</v>
      </c>
      <c r="F107" t="s">
        <v>304</v>
      </c>
      <c r="G107" t="s">
        <v>9</v>
      </c>
      <c r="H107">
        <v>2350.0</v>
      </c>
      <c r="I107" t="s">
        <v>31</v>
      </c>
      <c r="J107" t="s">
        <v>70</v>
      </c>
      <c r="K107" t="s">
        <v>71</v>
      </c>
      <c r="L107" t="s">
        <v>72</v>
      </c>
      <c r="M107">
        <v>3.0</v>
      </c>
    </row>
    <row r="108">
      <c r="A108" s="2">
        <v>45667</v>
      </c>
      <c r="B108">
        <v>2025.0</v>
      </c>
      <c r="C108" t="s">
        <v>315</v>
      </c>
      <c r="D108" t="s">
        <v>316</v>
      </c>
      <c r="E108" t="s">
        <v>189</v>
      </c>
      <c r="F108" t="s">
        <v>304</v>
      </c>
      <c r="G108" t="s">
        <v>9</v>
      </c>
      <c r="H108">
        <v>2131.0</v>
      </c>
      <c r="I108" t="s">
        <v>31</v>
      </c>
      <c r="J108" t="s">
        <v>81</v>
      </c>
      <c r="K108" t="s">
        <v>46</v>
      </c>
      <c r="L108" t="s">
        <v>47</v>
      </c>
      <c r="M108">
        <v>3.0</v>
      </c>
    </row>
    <row r="109">
      <c r="A109" s="2">
        <v>45352</v>
      </c>
      <c r="B109">
        <v>2024.0</v>
      </c>
      <c r="C109" t="s">
        <v>318</v>
      </c>
      <c r="D109" t="s">
        <v>316</v>
      </c>
      <c r="E109" t="s">
        <v>189</v>
      </c>
      <c r="F109" t="s">
        <v>304</v>
      </c>
      <c r="G109" t="s">
        <v>9</v>
      </c>
      <c r="H109">
        <v>2131.0</v>
      </c>
      <c r="I109" t="s">
        <v>31</v>
      </c>
      <c r="J109" t="s">
        <v>81</v>
      </c>
      <c r="K109" t="s">
        <v>43</v>
      </c>
      <c r="L109" t="s">
        <v>44</v>
      </c>
      <c r="M109">
        <v>3.0</v>
      </c>
    </row>
    <row r="110">
      <c r="A110" s="2">
        <v>45599</v>
      </c>
      <c r="B110">
        <v>2025.0</v>
      </c>
      <c r="C110" t="s">
        <v>315</v>
      </c>
      <c r="D110" t="s">
        <v>316</v>
      </c>
      <c r="E110" t="s">
        <v>189</v>
      </c>
      <c r="F110" t="s">
        <v>304</v>
      </c>
      <c r="G110" t="s">
        <v>9</v>
      </c>
      <c r="H110">
        <v>2131.0</v>
      </c>
      <c r="I110" t="s">
        <v>31</v>
      </c>
      <c r="J110" t="s">
        <v>81</v>
      </c>
      <c r="K110" t="s">
        <v>95</v>
      </c>
      <c r="L110" t="s">
        <v>96</v>
      </c>
      <c r="M110">
        <v>3.0</v>
      </c>
    </row>
    <row r="111">
      <c r="A111" s="2">
        <v>45732</v>
      </c>
      <c r="B111">
        <v>2025.0</v>
      </c>
      <c r="C111" t="s">
        <v>315</v>
      </c>
      <c r="D111" t="s">
        <v>316</v>
      </c>
      <c r="E111" t="s">
        <v>189</v>
      </c>
      <c r="F111" t="s">
        <v>304</v>
      </c>
      <c r="G111" t="s">
        <v>9</v>
      </c>
      <c r="H111">
        <v>2131.0</v>
      </c>
      <c r="I111" t="s">
        <v>31</v>
      </c>
      <c r="J111" t="s">
        <v>81</v>
      </c>
      <c r="K111" t="s">
        <v>71</v>
      </c>
      <c r="L111" t="s">
        <v>72</v>
      </c>
      <c r="M111">
        <v>3.0</v>
      </c>
    </row>
    <row r="112">
      <c r="A112" s="2">
        <v>45675</v>
      </c>
      <c r="B112">
        <v>2025.0</v>
      </c>
      <c r="C112" t="s">
        <v>315</v>
      </c>
      <c r="D112" t="s">
        <v>316</v>
      </c>
      <c r="E112" t="s">
        <v>76</v>
      </c>
      <c r="F112" t="s">
        <v>306</v>
      </c>
      <c r="G112" t="s">
        <v>11</v>
      </c>
      <c r="H112">
        <v>4883.0</v>
      </c>
      <c r="I112" t="s">
        <v>31</v>
      </c>
      <c r="J112" t="s">
        <v>78</v>
      </c>
      <c r="K112" t="s">
        <v>95</v>
      </c>
      <c r="L112" t="s">
        <v>96</v>
      </c>
      <c r="M112">
        <v>3.0</v>
      </c>
    </row>
    <row r="113">
      <c r="A113" s="2">
        <v>45418</v>
      </c>
      <c r="B113">
        <v>2024.0</v>
      </c>
      <c r="C113" t="s">
        <v>318</v>
      </c>
      <c r="D113" t="s">
        <v>316</v>
      </c>
      <c r="E113" t="s">
        <v>173</v>
      </c>
      <c r="F113" t="s">
        <v>306</v>
      </c>
      <c r="G113" t="s">
        <v>11</v>
      </c>
      <c r="H113">
        <v>4220.0</v>
      </c>
      <c r="I113" t="s">
        <v>31</v>
      </c>
      <c r="J113" t="s">
        <v>61</v>
      </c>
      <c r="K113" t="s">
        <v>38</v>
      </c>
      <c r="L113" t="s">
        <v>39</v>
      </c>
      <c r="M113">
        <v>3.0</v>
      </c>
    </row>
    <row r="114">
      <c r="A114" s="2">
        <v>45381</v>
      </c>
      <c r="B114">
        <v>2024.0</v>
      </c>
      <c r="C114" t="s">
        <v>318</v>
      </c>
      <c r="D114" t="s">
        <v>316</v>
      </c>
      <c r="E114" t="s">
        <v>160</v>
      </c>
      <c r="F114" t="s">
        <v>307</v>
      </c>
      <c r="G114" t="s">
        <v>12</v>
      </c>
      <c r="H114">
        <v>6280.0</v>
      </c>
      <c r="I114" t="s">
        <v>31</v>
      </c>
      <c r="J114" t="s">
        <v>162</v>
      </c>
      <c r="K114" t="s">
        <v>43</v>
      </c>
      <c r="L114" t="s">
        <v>44</v>
      </c>
      <c r="M114">
        <v>3.0</v>
      </c>
    </row>
    <row r="115">
      <c r="A115" s="2">
        <v>45698</v>
      </c>
      <c r="B115">
        <v>2025.0</v>
      </c>
      <c r="C115" t="s">
        <v>315</v>
      </c>
      <c r="D115" t="s">
        <v>316</v>
      </c>
      <c r="E115" t="s">
        <v>187</v>
      </c>
      <c r="F115" t="s">
        <v>306</v>
      </c>
      <c r="G115" t="s">
        <v>11</v>
      </c>
      <c r="H115">
        <v>4870.0</v>
      </c>
      <c r="I115" t="s">
        <v>31</v>
      </c>
      <c r="J115" t="s">
        <v>78</v>
      </c>
      <c r="K115" t="s">
        <v>112</v>
      </c>
      <c r="L115" t="s">
        <v>113</v>
      </c>
      <c r="M115">
        <v>3.0</v>
      </c>
    </row>
    <row r="116">
      <c r="A116" s="2">
        <v>45880</v>
      </c>
      <c r="B116">
        <v>2026.0</v>
      </c>
      <c r="C116" t="s">
        <v>321</v>
      </c>
      <c r="D116" t="s">
        <v>316</v>
      </c>
      <c r="E116" t="s">
        <v>154</v>
      </c>
      <c r="F116" t="s">
        <v>306</v>
      </c>
      <c r="G116" t="s">
        <v>11</v>
      </c>
      <c r="H116">
        <v>4551.0</v>
      </c>
      <c r="I116" t="s">
        <v>31</v>
      </c>
      <c r="J116" t="s">
        <v>84</v>
      </c>
      <c r="K116" t="s">
        <v>43</v>
      </c>
      <c r="L116" t="s">
        <v>44</v>
      </c>
      <c r="M116">
        <v>3.0</v>
      </c>
    </row>
    <row r="117">
      <c r="A117" s="2">
        <v>45508</v>
      </c>
      <c r="B117">
        <v>2025.0</v>
      </c>
      <c r="C117" t="s">
        <v>315</v>
      </c>
      <c r="D117" t="s">
        <v>316</v>
      </c>
      <c r="E117" t="s">
        <v>143</v>
      </c>
      <c r="F117" t="s">
        <v>309</v>
      </c>
      <c r="G117" t="s">
        <v>14</v>
      </c>
      <c r="H117">
        <v>800.0</v>
      </c>
      <c r="I117" t="s">
        <v>31</v>
      </c>
      <c r="J117" t="s">
        <v>145</v>
      </c>
      <c r="K117" t="s">
        <v>43</v>
      </c>
      <c r="L117" t="s">
        <v>44</v>
      </c>
      <c r="M117">
        <v>3.0</v>
      </c>
    </row>
    <row r="118">
      <c r="A118" s="2">
        <v>45785</v>
      </c>
      <c r="B118">
        <v>2025.0</v>
      </c>
      <c r="C118" t="s">
        <v>315</v>
      </c>
      <c r="D118" t="s">
        <v>316</v>
      </c>
      <c r="E118" t="s">
        <v>143</v>
      </c>
      <c r="F118" t="s">
        <v>309</v>
      </c>
      <c r="G118" t="s">
        <v>14</v>
      </c>
      <c r="H118">
        <v>800.0</v>
      </c>
      <c r="I118" t="s">
        <v>31</v>
      </c>
      <c r="J118" t="s">
        <v>145</v>
      </c>
      <c r="K118" t="s">
        <v>71</v>
      </c>
      <c r="L118" t="s">
        <v>72</v>
      </c>
      <c r="M118">
        <v>3.0</v>
      </c>
    </row>
    <row r="119">
      <c r="A119" s="2">
        <v>45957</v>
      </c>
      <c r="B119">
        <v>2026.0</v>
      </c>
      <c r="C119" t="s">
        <v>321</v>
      </c>
      <c r="D119" t="s">
        <v>316</v>
      </c>
      <c r="E119" t="s">
        <v>156</v>
      </c>
      <c r="F119" t="s">
        <v>304</v>
      </c>
      <c r="G119" t="s">
        <v>9</v>
      </c>
      <c r="H119">
        <v>2830.0</v>
      </c>
      <c r="I119" t="s">
        <v>31</v>
      </c>
      <c r="J119" t="s">
        <v>75</v>
      </c>
      <c r="K119" t="s">
        <v>43</v>
      </c>
      <c r="L119" t="s">
        <v>44</v>
      </c>
      <c r="M119">
        <v>3.0</v>
      </c>
    </row>
    <row r="120">
      <c r="A120" s="2">
        <v>45707</v>
      </c>
      <c r="B120">
        <v>2025.0</v>
      </c>
      <c r="C120" t="s">
        <v>315</v>
      </c>
      <c r="D120" t="s">
        <v>316</v>
      </c>
      <c r="E120" t="s">
        <v>234</v>
      </c>
      <c r="F120" t="s">
        <v>304</v>
      </c>
      <c r="G120" t="s">
        <v>9</v>
      </c>
      <c r="H120">
        <v>2158.0</v>
      </c>
      <c r="I120" t="s">
        <v>31</v>
      </c>
      <c r="J120" t="s">
        <v>81</v>
      </c>
      <c r="K120" t="s">
        <v>43</v>
      </c>
      <c r="L120" t="s">
        <v>44</v>
      </c>
      <c r="M120">
        <v>3.0</v>
      </c>
    </row>
    <row r="121">
      <c r="A121" s="2">
        <v>45610</v>
      </c>
      <c r="B121">
        <v>2025.0</v>
      </c>
      <c r="C121" t="s">
        <v>315</v>
      </c>
      <c r="D121" t="s">
        <v>319</v>
      </c>
      <c r="E121" t="s">
        <v>246</v>
      </c>
      <c r="F121" t="s">
        <v>305</v>
      </c>
      <c r="G121" t="s">
        <v>10</v>
      </c>
      <c r="H121">
        <v>3551.0</v>
      </c>
      <c r="I121" t="s">
        <v>31</v>
      </c>
      <c r="J121" t="s">
        <v>37</v>
      </c>
      <c r="K121" t="s">
        <v>46</v>
      </c>
      <c r="L121" t="s">
        <v>47</v>
      </c>
      <c r="M121">
        <v>3.0</v>
      </c>
    </row>
    <row r="122">
      <c r="A122" s="2">
        <v>45934</v>
      </c>
      <c r="B122">
        <v>2026.0</v>
      </c>
      <c r="C122" t="s">
        <v>321</v>
      </c>
      <c r="D122" t="s">
        <v>316</v>
      </c>
      <c r="E122" t="s">
        <v>139</v>
      </c>
      <c r="F122" t="s">
        <v>305</v>
      </c>
      <c r="G122" t="s">
        <v>10</v>
      </c>
      <c r="H122">
        <v>3199.0</v>
      </c>
      <c r="I122" t="s">
        <v>31</v>
      </c>
      <c r="J122" t="s">
        <v>89</v>
      </c>
      <c r="K122" t="s">
        <v>43</v>
      </c>
      <c r="L122" t="s">
        <v>44</v>
      </c>
      <c r="M122">
        <v>3.0</v>
      </c>
    </row>
    <row r="123">
      <c r="A123" s="2">
        <v>45871</v>
      </c>
      <c r="B123">
        <v>2026.0</v>
      </c>
      <c r="C123" t="s">
        <v>321</v>
      </c>
      <c r="D123" t="s">
        <v>316</v>
      </c>
      <c r="E123" t="s">
        <v>139</v>
      </c>
      <c r="F123" t="s">
        <v>305</v>
      </c>
      <c r="G123" t="s">
        <v>10</v>
      </c>
      <c r="H123">
        <v>3199.0</v>
      </c>
      <c r="I123" t="s">
        <v>31</v>
      </c>
      <c r="J123" t="s">
        <v>89</v>
      </c>
      <c r="K123" t="s">
        <v>71</v>
      </c>
      <c r="L123" t="s">
        <v>72</v>
      </c>
      <c r="M123">
        <v>3.0</v>
      </c>
    </row>
    <row r="124">
      <c r="A124" s="2">
        <v>45384</v>
      </c>
      <c r="B124">
        <v>2024.0</v>
      </c>
      <c r="C124" t="s">
        <v>318</v>
      </c>
      <c r="D124" t="s">
        <v>316</v>
      </c>
      <c r="E124" t="s">
        <v>205</v>
      </c>
      <c r="F124" t="s">
        <v>305</v>
      </c>
      <c r="G124" t="s">
        <v>10</v>
      </c>
      <c r="H124">
        <v>3400.0</v>
      </c>
      <c r="I124" t="s">
        <v>31</v>
      </c>
      <c r="J124" t="s">
        <v>37</v>
      </c>
      <c r="K124" t="s">
        <v>38</v>
      </c>
      <c r="L124" t="s">
        <v>39</v>
      </c>
      <c r="M124">
        <v>3.0</v>
      </c>
    </row>
    <row r="125">
      <c r="A125" s="2">
        <v>45631</v>
      </c>
      <c r="B125">
        <v>2025.0</v>
      </c>
      <c r="C125" t="s">
        <v>315</v>
      </c>
      <c r="D125" t="s">
        <v>316</v>
      </c>
      <c r="E125" t="s">
        <v>219</v>
      </c>
      <c r="F125" t="s">
        <v>306</v>
      </c>
      <c r="G125" t="s">
        <v>11</v>
      </c>
      <c r="H125">
        <v>4068.0</v>
      </c>
      <c r="I125" t="s">
        <v>31</v>
      </c>
      <c r="J125" t="s">
        <v>56</v>
      </c>
      <c r="K125" t="s">
        <v>46</v>
      </c>
      <c r="L125" t="s">
        <v>47</v>
      </c>
      <c r="M125">
        <v>3.0</v>
      </c>
    </row>
    <row r="126">
      <c r="A126" s="2">
        <v>46002</v>
      </c>
      <c r="B126">
        <v>2026.0</v>
      </c>
      <c r="C126" t="s">
        <v>321</v>
      </c>
      <c r="D126" t="s">
        <v>316</v>
      </c>
      <c r="E126" t="s">
        <v>169</v>
      </c>
      <c r="F126" t="s">
        <v>307</v>
      </c>
      <c r="G126" t="s">
        <v>12</v>
      </c>
      <c r="H126">
        <v>6027.0</v>
      </c>
      <c r="I126" t="s">
        <v>31</v>
      </c>
      <c r="J126" t="s">
        <v>102</v>
      </c>
      <c r="K126" t="s">
        <v>43</v>
      </c>
      <c r="L126" t="s">
        <v>44</v>
      </c>
      <c r="M126">
        <v>3.0</v>
      </c>
    </row>
    <row r="127">
      <c r="A127" s="2">
        <v>45553</v>
      </c>
      <c r="B127">
        <v>2025.0</v>
      </c>
      <c r="C127" t="s">
        <v>315</v>
      </c>
      <c r="D127" t="s">
        <v>316</v>
      </c>
      <c r="E127" t="s">
        <v>213</v>
      </c>
      <c r="F127" t="s">
        <v>306</v>
      </c>
      <c r="G127" t="s">
        <v>11</v>
      </c>
      <c r="H127">
        <v>4740.0</v>
      </c>
      <c r="I127" t="s">
        <v>31</v>
      </c>
      <c r="J127" t="s">
        <v>32</v>
      </c>
      <c r="K127" t="s">
        <v>95</v>
      </c>
      <c r="L127" t="s">
        <v>96</v>
      </c>
      <c r="M127">
        <v>3.0</v>
      </c>
    </row>
    <row r="128">
      <c r="A128" s="2">
        <v>45396</v>
      </c>
      <c r="B128">
        <v>2024.0</v>
      </c>
      <c r="C128" t="s">
        <v>318</v>
      </c>
      <c r="D128" t="s">
        <v>316</v>
      </c>
      <c r="E128" t="s">
        <v>264</v>
      </c>
      <c r="F128" t="s">
        <v>308</v>
      </c>
      <c r="G128" t="s">
        <v>13</v>
      </c>
      <c r="H128">
        <v>5043.0</v>
      </c>
      <c r="I128" t="s">
        <v>31</v>
      </c>
      <c r="J128" t="s">
        <v>42</v>
      </c>
      <c r="K128" t="s">
        <v>71</v>
      </c>
      <c r="L128" t="s">
        <v>72</v>
      </c>
      <c r="M128">
        <v>3.0</v>
      </c>
    </row>
    <row r="129">
      <c r="A129" s="2">
        <v>45958</v>
      </c>
      <c r="B129">
        <v>2026.0</v>
      </c>
      <c r="C129" t="s">
        <v>321</v>
      </c>
      <c r="D129" t="s">
        <v>316</v>
      </c>
      <c r="E129" t="s">
        <v>167</v>
      </c>
      <c r="F129" t="s">
        <v>307</v>
      </c>
      <c r="G129" t="s">
        <v>12</v>
      </c>
      <c r="H129">
        <v>6030.0</v>
      </c>
      <c r="I129" t="s">
        <v>31</v>
      </c>
      <c r="J129" t="s">
        <v>102</v>
      </c>
      <c r="K129" t="s">
        <v>46</v>
      </c>
      <c r="L129" t="s">
        <v>47</v>
      </c>
      <c r="M129">
        <v>3.0</v>
      </c>
    </row>
    <row r="130">
      <c r="A130" s="2">
        <v>46021</v>
      </c>
      <c r="B130">
        <v>2026.0</v>
      </c>
      <c r="C130" t="s">
        <v>321</v>
      </c>
      <c r="D130" t="s">
        <v>319</v>
      </c>
      <c r="E130" t="s">
        <v>167</v>
      </c>
      <c r="F130" t="s">
        <v>307</v>
      </c>
      <c r="G130" t="s">
        <v>12</v>
      </c>
      <c r="H130">
        <v>6030.0</v>
      </c>
      <c r="I130" t="s">
        <v>31</v>
      </c>
      <c r="J130" t="s">
        <v>102</v>
      </c>
      <c r="K130" t="s">
        <v>38</v>
      </c>
      <c r="L130" t="s">
        <v>39</v>
      </c>
      <c r="M130">
        <v>3.0</v>
      </c>
    </row>
    <row r="131">
      <c r="A131" s="2">
        <v>45949</v>
      </c>
      <c r="B131">
        <v>2026.0</v>
      </c>
      <c r="C131" t="s">
        <v>321</v>
      </c>
      <c r="D131" t="s">
        <v>316</v>
      </c>
      <c r="E131" t="s">
        <v>125</v>
      </c>
      <c r="F131" t="s">
        <v>305</v>
      </c>
      <c r="G131" t="s">
        <v>10</v>
      </c>
      <c r="H131">
        <v>3931.0</v>
      </c>
      <c r="I131" t="s">
        <v>31</v>
      </c>
      <c r="J131" t="s">
        <v>94</v>
      </c>
      <c r="K131" t="s">
        <v>43</v>
      </c>
      <c r="L131" t="s">
        <v>44</v>
      </c>
      <c r="M131">
        <v>3.0</v>
      </c>
    </row>
    <row r="132">
      <c r="A132" s="2">
        <v>45650</v>
      </c>
      <c r="B132">
        <v>2025.0</v>
      </c>
      <c r="C132" t="s">
        <v>315</v>
      </c>
      <c r="D132" t="s">
        <v>316</v>
      </c>
      <c r="E132" t="s">
        <v>125</v>
      </c>
      <c r="F132" t="s">
        <v>305</v>
      </c>
      <c r="G132" t="s">
        <v>10</v>
      </c>
      <c r="H132">
        <v>3931.0</v>
      </c>
      <c r="I132" t="s">
        <v>31</v>
      </c>
      <c r="J132" t="s">
        <v>94</v>
      </c>
      <c r="K132" t="s">
        <v>95</v>
      </c>
      <c r="L132" t="s">
        <v>96</v>
      </c>
      <c r="M132">
        <v>3.0</v>
      </c>
    </row>
    <row r="133">
      <c r="A133" s="2">
        <v>45315</v>
      </c>
      <c r="B133">
        <v>2024.0</v>
      </c>
      <c r="C133" t="s">
        <v>318</v>
      </c>
      <c r="D133" t="s">
        <v>316</v>
      </c>
      <c r="E133" t="s">
        <v>207</v>
      </c>
      <c r="F133" t="s">
        <v>306</v>
      </c>
      <c r="G133" t="s">
        <v>11</v>
      </c>
      <c r="H133">
        <v>4825.0</v>
      </c>
      <c r="I133" t="s">
        <v>31</v>
      </c>
      <c r="J133" t="s">
        <v>78</v>
      </c>
      <c r="K133" t="s">
        <v>33</v>
      </c>
      <c r="L133" t="s">
        <v>34</v>
      </c>
      <c r="M133">
        <v>3.0</v>
      </c>
    </row>
    <row r="134">
      <c r="A134" s="2">
        <v>45855</v>
      </c>
      <c r="B134">
        <v>2026.0</v>
      </c>
      <c r="C134" t="s">
        <v>321</v>
      </c>
      <c r="D134" t="s">
        <v>316</v>
      </c>
      <c r="E134" t="s">
        <v>207</v>
      </c>
      <c r="F134" t="s">
        <v>306</v>
      </c>
      <c r="G134" t="s">
        <v>11</v>
      </c>
      <c r="H134">
        <v>4825.0</v>
      </c>
      <c r="I134" t="s">
        <v>31</v>
      </c>
      <c r="J134" t="s">
        <v>78</v>
      </c>
      <c r="K134" t="s">
        <v>43</v>
      </c>
      <c r="L134" t="s">
        <v>44</v>
      </c>
      <c r="M134">
        <v>3.0</v>
      </c>
    </row>
    <row r="135">
      <c r="A135" s="2">
        <v>45348</v>
      </c>
      <c r="B135">
        <v>2024.0</v>
      </c>
      <c r="C135" t="s">
        <v>318</v>
      </c>
      <c r="D135" t="s">
        <v>319</v>
      </c>
      <c r="E135" t="s">
        <v>59</v>
      </c>
      <c r="F135" t="s">
        <v>306</v>
      </c>
      <c r="G135" t="s">
        <v>11</v>
      </c>
      <c r="H135">
        <v>4509.0</v>
      </c>
      <c r="I135" t="s">
        <v>31</v>
      </c>
      <c r="J135" t="s">
        <v>61</v>
      </c>
      <c r="K135" t="s">
        <v>46</v>
      </c>
      <c r="L135" t="s">
        <v>47</v>
      </c>
      <c r="M135">
        <v>3.0</v>
      </c>
    </row>
    <row r="136">
      <c r="A136" s="2">
        <v>45651</v>
      </c>
      <c r="B136">
        <v>2025.0</v>
      </c>
      <c r="C136" t="s">
        <v>315</v>
      </c>
      <c r="D136" t="s">
        <v>316</v>
      </c>
      <c r="E136" t="s">
        <v>73</v>
      </c>
      <c r="F136" t="s">
        <v>304</v>
      </c>
      <c r="G136" t="s">
        <v>9</v>
      </c>
      <c r="H136">
        <v>2750.0</v>
      </c>
      <c r="I136" t="s">
        <v>31</v>
      </c>
      <c r="J136" t="s">
        <v>75</v>
      </c>
      <c r="K136" t="s">
        <v>43</v>
      </c>
      <c r="L136" t="s">
        <v>44</v>
      </c>
      <c r="M136">
        <v>3.0</v>
      </c>
    </row>
    <row r="137">
      <c r="A137" s="2">
        <v>45440</v>
      </c>
      <c r="B137">
        <v>2024.0</v>
      </c>
      <c r="C137" t="s">
        <v>318</v>
      </c>
      <c r="D137" t="s">
        <v>319</v>
      </c>
      <c r="E137" t="s">
        <v>225</v>
      </c>
      <c r="F137" t="s">
        <v>308</v>
      </c>
      <c r="G137" t="s">
        <v>13</v>
      </c>
      <c r="H137">
        <v>5607.0</v>
      </c>
      <c r="I137" t="s">
        <v>31</v>
      </c>
      <c r="J137" t="s">
        <v>227</v>
      </c>
      <c r="K137" t="s">
        <v>123</v>
      </c>
      <c r="L137" t="s">
        <v>124</v>
      </c>
      <c r="M137">
        <v>3.0</v>
      </c>
    </row>
    <row r="138">
      <c r="A138" s="2">
        <v>45317</v>
      </c>
      <c r="B138">
        <v>2024.0</v>
      </c>
      <c r="C138" t="s">
        <v>318</v>
      </c>
      <c r="D138" t="s">
        <v>316</v>
      </c>
      <c r="E138" t="s">
        <v>137</v>
      </c>
      <c r="F138" t="s">
        <v>305</v>
      </c>
      <c r="G138" t="s">
        <v>10</v>
      </c>
      <c r="H138">
        <v>3134.0</v>
      </c>
      <c r="I138" t="s">
        <v>31</v>
      </c>
      <c r="J138" t="s">
        <v>89</v>
      </c>
      <c r="K138" t="s">
        <v>43</v>
      </c>
      <c r="L138" t="s">
        <v>44</v>
      </c>
      <c r="M138">
        <v>3.0</v>
      </c>
    </row>
    <row r="139">
      <c r="A139" s="2">
        <v>45331</v>
      </c>
      <c r="B139">
        <v>2024.0</v>
      </c>
      <c r="C139" t="s">
        <v>318</v>
      </c>
      <c r="D139" t="s">
        <v>316</v>
      </c>
      <c r="E139" t="s">
        <v>221</v>
      </c>
      <c r="F139" t="s">
        <v>306</v>
      </c>
      <c r="G139" t="s">
        <v>11</v>
      </c>
      <c r="H139">
        <v>4053.0</v>
      </c>
      <c r="I139" t="s">
        <v>31</v>
      </c>
      <c r="J139" t="s">
        <v>56</v>
      </c>
      <c r="K139" t="s">
        <v>71</v>
      </c>
      <c r="L139" t="s">
        <v>72</v>
      </c>
      <c r="M139">
        <v>3.0</v>
      </c>
    </row>
    <row r="140">
      <c r="A140" s="2">
        <v>45550</v>
      </c>
      <c r="B140">
        <v>2025.0</v>
      </c>
      <c r="C140" t="s">
        <v>315</v>
      </c>
      <c r="D140" t="s">
        <v>316</v>
      </c>
      <c r="E140" t="s">
        <v>133</v>
      </c>
      <c r="F140" t="s">
        <v>305</v>
      </c>
      <c r="G140" t="s">
        <v>10</v>
      </c>
      <c r="H140">
        <v>3429.0</v>
      </c>
      <c r="I140" t="s">
        <v>31</v>
      </c>
      <c r="J140" t="s">
        <v>37</v>
      </c>
      <c r="K140" t="s">
        <v>43</v>
      </c>
      <c r="L140" t="s">
        <v>44</v>
      </c>
      <c r="M140">
        <v>3.0</v>
      </c>
    </row>
    <row r="141">
      <c r="A141" s="2">
        <v>45309</v>
      </c>
      <c r="B141">
        <v>2024.0</v>
      </c>
      <c r="C141" t="s">
        <v>318</v>
      </c>
      <c r="D141" t="s">
        <v>316</v>
      </c>
      <c r="E141" t="s">
        <v>85</v>
      </c>
      <c r="F141" t="s">
        <v>304</v>
      </c>
      <c r="G141" t="s">
        <v>9</v>
      </c>
      <c r="H141">
        <v>2120.0</v>
      </c>
      <c r="I141" t="s">
        <v>31</v>
      </c>
      <c r="J141" t="s">
        <v>81</v>
      </c>
      <c r="K141" t="s">
        <v>43</v>
      </c>
      <c r="L141" t="s">
        <v>44</v>
      </c>
      <c r="M141">
        <v>3.0</v>
      </c>
    </row>
    <row r="142">
      <c r="A142" s="2">
        <v>45751</v>
      </c>
      <c r="B142">
        <v>2025.0</v>
      </c>
      <c r="C142" t="s">
        <v>315</v>
      </c>
      <c r="D142" t="s">
        <v>316</v>
      </c>
      <c r="E142" t="s">
        <v>54</v>
      </c>
      <c r="F142" t="s">
        <v>306</v>
      </c>
      <c r="G142" t="s">
        <v>11</v>
      </c>
      <c r="H142">
        <v>4012.0</v>
      </c>
      <c r="I142" t="s">
        <v>31</v>
      </c>
      <c r="J142" t="s">
        <v>56</v>
      </c>
      <c r="K142" t="s">
        <v>33</v>
      </c>
      <c r="L142" t="s">
        <v>34</v>
      </c>
      <c r="M142">
        <v>3.0</v>
      </c>
    </row>
    <row r="143">
      <c r="A143" s="2">
        <v>45540</v>
      </c>
      <c r="B143">
        <v>2025.0</v>
      </c>
      <c r="C143" t="s">
        <v>315</v>
      </c>
      <c r="D143" t="s">
        <v>316</v>
      </c>
      <c r="E143" t="s">
        <v>116</v>
      </c>
      <c r="F143" t="s">
        <v>304</v>
      </c>
      <c r="G143" t="s">
        <v>9</v>
      </c>
      <c r="H143">
        <v>2485.0</v>
      </c>
      <c r="I143" t="s">
        <v>31</v>
      </c>
      <c r="J143" t="s">
        <v>70</v>
      </c>
      <c r="K143" t="s">
        <v>71</v>
      </c>
      <c r="L143" t="s">
        <v>72</v>
      </c>
      <c r="M143">
        <v>3.0</v>
      </c>
    </row>
    <row r="144">
      <c r="A144" s="2">
        <v>45811</v>
      </c>
      <c r="B144">
        <v>2025.0</v>
      </c>
      <c r="C144" t="s">
        <v>315</v>
      </c>
      <c r="D144" t="s">
        <v>316</v>
      </c>
      <c r="E144" t="s">
        <v>116</v>
      </c>
      <c r="F144" t="s">
        <v>304</v>
      </c>
      <c r="G144" t="s">
        <v>9</v>
      </c>
      <c r="H144">
        <v>2485.0</v>
      </c>
      <c r="I144" t="s">
        <v>31</v>
      </c>
      <c r="J144" t="s">
        <v>70</v>
      </c>
      <c r="K144" t="s">
        <v>38</v>
      </c>
      <c r="L144" t="s">
        <v>39</v>
      </c>
      <c r="M144">
        <v>3.0</v>
      </c>
    </row>
    <row r="145">
      <c r="A145" s="2">
        <v>45851</v>
      </c>
      <c r="B145">
        <v>2026.0</v>
      </c>
      <c r="C145" t="s">
        <v>321</v>
      </c>
      <c r="D145" t="s">
        <v>316</v>
      </c>
      <c r="E145" t="s">
        <v>97</v>
      </c>
      <c r="F145" t="s">
        <v>304</v>
      </c>
      <c r="G145" t="s">
        <v>9</v>
      </c>
      <c r="H145">
        <v>2067.0</v>
      </c>
      <c r="I145" t="s">
        <v>31</v>
      </c>
      <c r="J145" t="s">
        <v>99</v>
      </c>
      <c r="K145" t="s">
        <v>95</v>
      </c>
      <c r="L145" t="s">
        <v>96</v>
      </c>
      <c r="M145">
        <v>3.49</v>
      </c>
    </row>
    <row r="146">
      <c r="A146" s="2">
        <v>45848</v>
      </c>
      <c r="B146">
        <v>2026.0</v>
      </c>
      <c r="C146" t="s">
        <v>321</v>
      </c>
      <c r="D146" t="s">
        <v>316</v>
      </c>
      <c r="E146" t="s">
        <v>103</v>
      </c>
      <c r="F146" t="s">
        <v>307</v>
      </c>
      <c r="G146" t="s">
        <v>12</v>
      </c>
      <c r="H146">
        <v>6021.0</v>
      </c>
      <c r="I146" t="s">
        <v>31</v>
      </c>
      <c r="J146" t="s">
        <v>102</v>
      </c>
      <c r="K146" t="s">
        <v>46</v>
      </c>
      <c r="L146" t="s">
        <v>47</v>
      </c>
      <c r="M146">
        <v>3.5</v>
      </c>
    </row>
    <row r="147">
      <c r="A147" s="2">
        <v>46009</v>
      </c>
      <c r="B147">
        <v>2026.0</v>
      </c>
      <c r="C147" t="s">
        <v>321</v>
      </c>
      <c r="D147" t="s">
        <v>316</v>
      </c>
      <c r="E147" t="s">
        <v>163</v>
      </c>
      <c r="F147" t="s">
        <v>304</v>
      </c>
      <c r="G147" t="s">
        <v>9</v>
      </c>
      <c r="H147">
        <v>2154.0</v>
      </c>
      <c r="I147" t="s">
        <v>31</v>
      </c>
      <c r="J147" t="s">
        <v>81</v>
      </c>
      <c r="K147" t="s">
        <v>95</v>
      </c>
      <c r="L147" t="s">
        <v>96</v>
      </c>
      <c r="M147">
        <v>3.5</v>
      </c>
    </row>
    <row r="148">
      <c r="A148" s="2">
        <v>45750</v>
      </c>
      <c r="B148">
        <v>2025.0</v>
      </c>
      <c r="C148" t="s">
        <v>315</v>
      </c>
      <c r="D148" t="s">
        <v>316</v>
      </c>
      <c r="E148" t="s">
        <v>240</v>
      </c>
      <c r="F148" t="s">
        <v>310</v>
      </c>
      <c r="G148" t="s">
        <v>15</v>
      </c>
      <c r="H148">
        <v>7010.0</v>
      </c>
      <c r="I148" t="s">
        <v>31</v>
      </c>
      <c r="J148" t="s">
        <v>53</v>
      </c>
      <c r="K148" t="s">
        <v>95</v>
      </c>
      <c r="L148" t="s">
        <v>96</v>
      </c>
      <c r="M148">
        <v>3.5</v>
      </c>
    </row>
    <row r="149">
      <c r="A149" s="2">
        <v>45316</v>
      </c>
      <c r="B149">
        <v>2024.0</v>
      </c>
      <c r="C149" t="s">
        <v>318</v>
      </c>
      <c r="D149" t="s">
        <v>319</v>
      </c>
      <c r="E149" t="s">
        <v>211</v>
      </c>
      <c r="F149" t="s">
        <v>304</v>
      </c>
      <c r="G149" t="s">
        <v>9</v>
      </c>
      <c r="H149">
        <v>2650.0</v>
      </c>
      <c r="I149" t="s">
        <v>31</v>
      </c>
      <c r="J149" t="s">
        <v>75</v>
      </c>
      <c r="K149" t="s">
        <v>43</v>
      </c>
      <c r="L149" t="s">
        <v>44</v>
      </c>
      <c r="M149">
        <v>3.5</v>
      </c>
    </row>
    <row r="150">
      <c r="A150" s="2">
        <v>45792</v>
      </c>
      <c r="B150">
        <v>2025.0</v>
      </c>
      <c r="C150" t="s">
        <v>315</v>
      </c>
      <c r="D150" t="s">
        <v>316</v>
      </c>
      <c r="E150" t="s">
        <v>246</v>
      </c>
      <c r="F150" t="s">
        <v>305</v>
      </c>
      <c r="G150" t="s">
        <v>10</v>
      </c>
      <c r="H150">
        <v>3551.0</v>
      </c>
      <c r="I150" t="s">
        <v>31</v>
      </c>
      <c r="J150" t="s">
        <v>37</v>
      </c>
      <c r="K150" t="s">
        <v>71</v>
      </c>
      <c r="L150" t="s">
        <v>72</v>
      </c>
      <c r="M150">
        <v>3.53</v>
      </c>
    </row>
    <row r="151">
      <c r="A151" s="2">
        <v>45408</v>
      </c>
      <c r="B151">
        <v>2024.0</v>
      </c>
      <c r="C151" t="s">
        <v>318</v>
      </c>
      <c r="D151" t="s">
        <v>316</v>
      </c>
      <c r="E151" t="s">
        <v>148</v>
      </c>
      <c r="F151" t="s">
        <v>307</v>
      </c>
      <c r="G151" t="s">
        <v>12</v>
      </c>
      <c r="H151">
        <v>6450.0</v>
      </c>
      <c r="I151" t="s">
        <v>31</v>
      </c>
      <c r="J151" t="s">
        <v>50</v>
      </c>
      <c r="K151" t="s">
        <v>112</v>
      </c>
      <c r="L151" t="s">
        <v>113</v>
      </c>
      <c r="M151">
        <v>3.59</v>
      </c>
    </row>
    <row r="152">
      <c r="A152" s="2">
        <v>45964</v>
      </c>
      <c r="B152">
        <v>2026.0</v>
      </c>
      <c r="C152" t="s">
        <v>321</v>
      </c>
      <c r="D152" t="s">
        <v>316</v>
      </c>
      <c r="E152" t="s">
        <v>103</v>
      </c>
      <c r="F152" t="s">
        <v>307</v>
      </c>
      <c r="G152" t="s">
        <v>12</v>
      </c>
      <c r="H152">
        <v>6021.0</v>
      </c>
      <c r="I152" t="s">
        <v>31</v>
      </c>
      <c r="J152" t="s">
        <v>102</v>
      </c>
      <c r="K152" t="s">
        <v>95</v>
      </c>
      <c r="L152" t="s">
        <v>96</v>
      </c>
      <c r="M152">
        <v>3.66</v>
      </c>
    </row>
    <row r="153">
      <c r="A153" s="2">
        <v>45415</v>
      </c>
      <c r="B153">
        <v>2024.0</v>
      </c>
      <c r="C153" t="s">
        <v>318</v>
      </c>
      <c r="D153" t="s">
        <v>319</v>
      </c>
      <c r="E153" t="s">
        <v>114</v>
      </c>
      <c r="F153" t="s">
        <v>304</v>
      </c>
      <c r="G153" t="s">
        <v>9</v>
      </c>
      <c r="H153">
        <v>2031.0</v>
      </c>
      <c r="I153" t="s">
        <v>31</v>
      </c>
      <c r="J153" t="s">
        <v>99</v>
      </c>
      <c r="K153" t="s">
        <v>95</v>
      </c>
      <c r="L153" t="s">
        <v>96</v>
      </c>
      <c r="M153">
        <v>3.75</v>
      </c>
    </row>
    <row r="154">
      <c r="A154" s="2">
        <v>45608</v>
      </c>
      <c r="B154">
        <v>2025.0</v>
      </c>
      <c r="C154" t="s">
        <v>315</v>
      </c>
      <c r="D154" t="s">
        <v>319</v>
      </c>
      <c r="E154" t="s">
        <v>211</v>
      </c>
      <c r="F154" t="s">
        <v>304</v>
      </c>
      <c r="G154" t="s">
        <v>9</v>
      </c>
      <c r="H154">
        <v>2650.0</v>
      </c>
      <c r="I154" t="s">
        <v>31</v>
      </c>
      <c r="J154" t="s">
        <v>75</v>
      </c>
      <c r="K154" t="s">
        <v>71</v>
      </c>
      <c r="L154" t="s">
        <v>72</v>
      </c>
      <c r="M154">
        <v>3.75</v>
      </c>
    </row>
    <row r="155">
      <c r="A155" s="2">
        <v>45661</v>
      </c>
      <c r="B155">
        <v>2025.0</v>
      </c>
      <c r="C155" t="s">
        <v>315</v>
      </c>
      <c r="D155" t="s">
        <v>316</v>
      </c>
      <c r="E155" t="s">
        <v>179</v>
      </c>
      <c r="F155" t="s">
        <v>304</v>
      </c>
      <c r="G155" t="s">
        <v>9</v>
      </c>
      <c r="H155">
        <v>2015.0</v>
      </c>
      <c r="I155" t="s">
        <v>31</v>
      </c>
      <c r="J155" t="s">
        <v>99</v>
      </c>
      <c r="K155" t="s">
        <v>71</v>
      </c>
      <c r="L155" t="s">
        <v>72</v>
      </c>
      <c r="M155">
        <v>3.88</v>
      </c>
    </row>
    <row r="156">
      <c r="A156" s="2">
        <v>45993</v>
      </c>
      <c r="B156">
        <v>2026.0</v>
      </c>
      <c r="C156" t="s">
        <v>321</v>
      </c>
      <c r="D156" t="s">
        <v>316</v>
      </c>
      <c r="E156" t="s">
        <v>73</v>
      </c>
      <c r="F156" t="s">
        <v>304</v>
      </c>
      <c r="G156" t="s">
        <v>9</v>
      </c>
      <c r="H156">
        <v>2750.0</v>
      </c>
      <c r="I156" t="s">
        <v>31</v>
      </c>
      <c r="J156" t="s">
        <v>75</v>
      </c>
      <c r="K156" t="s">
        <v>112</v>
      </c>
      <c r="L156" t="s">
        <v>113</v>
      </c>
      <c r="M156">
        <v>3.95</v>
      </c>
    </row>
    <row r="157">
      <c r="A157" s="2">
        <v>45624</v>
      </c>
      <c r="B157">
        <v>2025.0</v>
      </c>
      <c r="C157" t="s">
        <v>315</v>
      </c>
      <c r="D157" t="s">
        <v>316</v>
      </c>
      <c r="E157" t="s">
        <v>187</v>
      </c>
      <c r="F157" t="s">
        <v>306</v>
      </c>
      <c r="G157" t="s">
        <v>11</v>
      </c>
      <c r="H157">
        <v>4870.0</v>
      </c>
      <c r="I157" t="s">
        <v>31</v>
      </c>
      <c r="J157" t="s">
        <v>78</v>
      </c>
      <c r="K157" t="s">
        <v>123</v>
      </c>
      <c r="L157" t="s">
        <v>124</v>
      </c>
      <c r="M157">
        <v>3.96</v>
      </c>
    </row>
    <row r="158">
      <c r="A158" s="2">
        <v>45821</v>
      </c>
      <c r="B158">
        <v>2025.0</v>
      </c>
      <c r="C158" t="s">
        <v>315</v>
      </c>
      <c r="D158" t="s">
        <v>316</v>
      </c>
      <c r="E158" t="s">
        <v>51</v>
      </c>
      <c r="F158" t="s">
        <v>310</v>
      </c>
      <c r="G158" t="s">
        <v>15</v>
      </c>
      <c r="H158">
        <v>7018.0</v>
      </c>
      <c r="I158" t="s">
        <v>31</v>
      </c>
      <c r="J158" t="s">
        <v>53</v>
      </c>
      <c r="K158" t="s">
        <v>33</v>
      </c>
      <c r="L158" t="s">
        <v>34</v>
      </c>
      <c r="M158">
        <v>3.98</v>
      </c>
    </row>
    <row r="159">
      <c r="A159" s="2">
        <v>45779</v>
      </c>
      <c r="B159">
        <v>2025.0</v>
      </c>
      <c r="C159" t="s">
        <v>315</v>
      </c>
      <c r="D159" t="s">
        <v>316</v>
      </c>
      <c r="E159" t="s">
        <v>179</v>
      </c>
      <c r="F159" t="s">
        <v>304</v>
      </c>
      <c r="G159" t="s">
        <v>9</v>
      </c>
      <c r="H159">
        <v>2015.0</v>
      </c>
      <c r="I159" t="s">
        <v>31</v>
      </c>
      <c r="J159" t="s">
        <v>99</v>
      </c>
      <c r="K159" t="s">
        <v>112</v>
      </c>
      <c r="L159" t="s">
        <v>113</v>
      </c>
      <c r="M159">
        <v>3.99</v>
      </c>
    </row>
    <row r="160">
      <c r="A160" s="2">
        <v>45325</v>
      </c>
      <c r="B160">
        <v>2024.0</v>
      </c>
      <c r="C160" t="s">
        <v>318</v>
      </c>
      <c r="D160" t="s">
        <v>316</v>
      </c>
      <c r="E160" t="s">
        <v>179</v>
      </c>
      <c r="F160" t="s">
        <v>304</v>
      </c>
      <c r="G160" t="s">
        <v>9</v>
      </c>
      <c r="H160">
        <v>2015.0</v>
      </c>
      <c r="I160" t="s">
        <v>31</v>
      </c>
      <c r="J160" t="s">
        <v>99</v>
      </c>
      <c r="K160" t="s">
        <v>38</v>
      </c>
      <c r="L160" t="s">
        <v>39</v>
      </c>
      <c r="M160">
        <v>3.99</v>
      </c>
    </row>
    <row r="161">
      <c r="A161" s="2">
        <v>45916</v>
      </c>
      <c r="B161">
        <v>2026.0</v>
      </c>
      <c r="C161" t="s">
        <v>321</v>
      </c>
      <c r="D161" t="s">
        <v>316</v>
      </c>
      <c r="E161" t="s">
        <v>68</v>
      </c>
      <c r="F161" t="s">
        <v>304</v>
      </c>
      <c r="G161" t="s">
        <v>9</v>
      </c>
      <c r="H161">
        <v>2478.0</v>
      </c>
      <c r="I161" t="s">
        <v>31</v>
      </c>
      <c r="J161" t="s">
        <v>70</v>
      </c>
      <c r="K161" t="s">
        <v>95</v>
      </c>
      <c r="L161" t="s">
        <v>96</v>
      </c>
      <c r="M161">
        <v>3.99</v>
      </c>
    </row>
    <row r="162">
      <c r="A162" s="2">
        <v>45498</v>
      </c>
      <c r="B162">
        <v>2025.0</v>
      </c>
      <c r="C162" t="s">
        <v>315</v>
      </c>
      <c r="D162" t="s">
        <v>316</v>
      </c>
      <c r="E162" t="s">
        <v>254</v>
      </c>
      <c r="F162" t="s">
        <v>308</v>
      </c>
      <c r="G162" t="s">
        <v>13</v>
      </c>
      <c r="H162">
        <v>5343.0</v>
      </c>
      <c r="I162" t="s">
        <v>31</v>
      </c>
      <c r="J162" t="s">
        <v>227</v>
      </c>
      <c r="K162" t="s">
        <v>33</v>
      </c>
      <c r="L162" t="s">
        <v>34</v>
      </c>
      <c r="M162">
        <v>3.99</v>
      </c>
    </row>
    <row r="163">
      <c r="A163" s="2">
        <v>45984</v>
      </c>
      <c r="B163">
        <v>2026.0</v>
      </c>
      <c r="C163" t="s">
        <v>321</v>
      </c>
      <c r="D163" t="s">
        <v>316</v>
      </c>
      <c r="E163" t="s">
        <v>87</v>
      </c>
      <c r="F163" t="s">
        <v>305</v>
      </c>
      <c r="G163" t="s">
        <v>10</v>
      </c>
      <c r="H163">
        <v>3148.0</v>
      </c>
      <c r="I163" t="s">
        <v>31</v>
      </c>
      <c r="J163" t="s">
        <v>89</v>
      </c>
      <c r="K163" t="s">
        <v>46</v>
      </c>
      <c r="L163" t="s">
        <v>47</v>
      </c>
      <c r="M163">
        <v>3.99</v>
      </c>
    </row>
    <row r="164">
      <c r="A164" s="2">
        <v>45569</v>
      </c>
      <c r="B164">
        <v>2025.0</v>
      </c>
      <c r="C164" t="s">
        <v>315</v>
      </c>
      <c r="D164" t="s">
        <v>319</v>
      </c>
      <c r="E164" t="s">
        <v>97</v>
      </c>
      <c r="F164" t="s">
        <v>304</v>
      </c>
      <c r="G164" t="s">
        <v>9</v>
      </c>
      <c r="H164">
        <v>2067.0</v>
      </c>
      <c r="I164" t="s">
        <v>31</v>
      </c>
      <c r="J164" t="s">
        <v>99</v>
      </c>
      <c r="K164" t="s">
        <v>46</v>
      </c>
      <c r="L164" t="s">
        <v>47</v>
      </c>
      <c r="M164">
        <v>3.99</v>
      </c>
    </row>
    <row r="165">
      <c r="A165" s="2">
        <v>45614</v>
      </c>
      <c r="B165">
        <v>2025.0</v>
      </c>
      <c r="C165" t="s">
        <v>315</v>
      </c>
      <c r="D165" t="s">
        <v>316</v>
      </c>
      <c r="E165" t="s">
        <v>143</v>
      </c>
      <c r="F165" t="s">
        <v>309</v>
      </c>
      <c r="G165" t="s">
        <v>14</v>
      </c>
      <c r="H165">
        <v>800.0</v>
      </c>
      <c r="I165" t="s">
        <v>31</v>
      </c>
      <c r="J165" t="s">
        <v>145</v>
      </c>
      <c r="K165" t="s">
        <v>66</v>
      </c>
      <c r="L165" t="s">
        <v>67</v>
      </c>
      <c r="M165">
        <v>3.99</v>
      </c>
    </row>
    <row r="166">
      <c r="A166" s="2">
        <v>45901</v>
      </c>
      <c r="B166">
        <v>2026.0</v>
      </c>
      <c r="C166" t="s">
        <v>321</v>
      </c>
      <c r="D166" t="s">
        <v>316</v>
      </c>
      <c r="E166" t="s">
        <v>79</v>
      </c>
      <c r="F166" t="s">
        <v>304</v>
      </c>
      <c r="G166" t="s">
        <v>9</v>
      </c>
      <c r="H166">
        <v>2141.0</v>
      </c>
      <c r="I166" t="s">
        <v>31</v>
      </c>
      <c r="J166" t="s">
        <v>81</v>
      </c>
      <c r="K166" t="s">
        <v>33</v>
      </c>
      <c r="L166" t="s">
        <v>34</v>
      </c>
      <c r="M166">
        <v>3.99</v>
      </c>
    </row>
    <row r="167">
      <c r="A167" s="2">
        <v>45313</v>
      </c>
      <c r="B167">
        <v>2024.0</v>
      </c>
      <c r="C167" t="s">
        <v>318</v>
      </c>
      <c r="D167" t="s">
        <v>316</v>
      </c>
      <c r="E167" t="s">
        <v>193</v>
      </c>
      <c r="F167" t="s">
        <v>304</v>
      </c>
      <c r="G167" t="s">
        <v>9</v>
      </c>
      <c r="H167">
        <v>2020.0</v>
      </c>
      <c r="I167" t="s">
        <v>31</v>
      </c>
      <c r="J167" t="s">
        <v>99</v>
      </c>
      <c r="K167" t="s">
        <v>112</v>
      </c>
      <c r="L167" t="s">
        <v>113</v>
      </c>
      <c r="M167">
        <v>3.99</v>
      </c>
    </row>
    <row r="168">
      <c r="A168" s="2">
        <v>45324</v>
      </c>
      <c r="B168">
        <v>2024.0</v>
      </c>
      <c r="C168" t="s">
        <v>318</v>
      </c>
      <c r="D168" t="s">
        <v>319</v>
      </c>
      <c r="E168" t="s">
        <v>230</v>
      </c>
      <c r="F168" t="s">
        <v>308</v>
      </c>
      <c r="G168" t="s">
        <v>13</v>
      </c>
      <c r="H168">
        <v>5290.0</v>
      </c>
      <c r="I168" t="s">
        <v>31</v>
      </c>
      <c r="J168" t="s">
        <v>227</v>
      </c>
      <c r="K168" t="s">
        <v>112</v>
      </c>
      <c r="L168" t="s">
        <v>113</v>
      </c>
      <c r="M168">
        <v>3.99</v>
      </c>
    </row>
    <row r="169">
      <c r="A169" s="2">
        <v>46005</v>
      </c>
      <c r="B169">
        <v>2026.0</v>
      </c>
      <c r="C169" t="s">
        <v>321</v>
      </c>
      <c r="D169" t="s">
        <v>316</v>
      </c>
      <c r="E169" t="s">
        <v>207</v>
      </c>
      <c r="F169" t="s">
        <v>306</v>
      </c>
      <c r="G169" t="s">
        <v>11</v>
      </c>
      <c r="H169">
        <v>4825.0</v>
      </c>
      <c r="I169" t="s">
        <v>31</v>
      </c>
      <c r="J169" t="s">
        <v>78</v>
      </c>
      <c r="K169" t="s">
        <v>33</v>
      </c>
      <c r="L169" t="s">
        <v>34</v>
      </c>
      <c r="M169">
        <v>3.99</v>
      </c>
    </row>
    <row r="170">
      <c r="A170" s="2">
        <v>45693</v>
      </c>
      <c r="B170">
        <v>2025.0</v>
      </c>
      <c r="C170" t="s">
        <v>315</v>
      </c>
      <c r="D170" t="s">
        <v>316</v>
      </c>
      <c r="E170" t="s">
        <v>105</v>
      </c>
      <c r="F170" t="s">
        <v>304</v>
      </c>
      <c r="G170" t="s">
        <v>9</v>
      </c>
      <c r="H170">
        <v>2541.0</v>
      </c>
      <c r="I170" t="s">
        <v>31</v>
      </c>
      <c r="J170" t="s">
        <v>107</v>
      </c>
      <c r="K170" t="s">
        <v>95</v>
      </c>
      <c r="L170" t="s">
        <v>96</v>
      </c>
      <c r="M170">
        <v>3.99</v>
      </c>
    </row>
    <row r="171">
      <c r="A171" s="2">
        <v>46017</v>
      </c>
      <c r="B171">
        <v>2026.0</v>
      </c>
      <c r="C171" t="s">
        <v>321</v>
      </c>
      <c r="D171" t="s">
        <v>316</v>
      </c>
      <c r="E171" t="s">
        <v>127</v>
      </c>
      <c r="F171" t="s">
        <v>306</v>
      </c>
      <c r="G171" t="s">
        <v>11</v>
      </c>
      <c r="H171">
        <v>4802.0</v>
      </c>
      <c r="I171" t="s">
        <v>31</v>
      </c>
      <c r="J171" t="s">
        <v>78</v>
      </c>
      <c r="K171" t="s">
        <v>95</v>
      </c>
      <c r="L171" t="s">
        <v>96</v>
      </c>
      <c r="M171">
        <v>4.0</v>
      </c>
    </row>
    <row r="172">
      <c r="A172" s="2">
        <v>45844</v>
      </c>
      <c r="B172">
        <v>2026.0</v>
      </c>
      <c r="C172" t="s">
        <v>321</v>
      </c>
      <c r="D172" t="s">
        <v>316</v>
      </c>
      <c r="E172" t="s">
        <v>177</v>
      </c>
      <c r="F172" t="s">
        <v>307</v>
      </c>
      <c r="G172" t="s">
        <v>12</v>
      </c>
      <c r="H172">
        <v>6330.0</v>
      </c>
      <c r="I172" t="s">
        <v>31</v>
      </c>
      <c r="J172" t="s">
        <v>162</v>
      </c>
      <c r="K172" t="s">
        <v>112</v>
      </c>
      <c r="L172" t="s">
        <v>113</v>
      </c>
      <c r="M172">
        <v>4.0</v>
      </c>
    </row>
    <row r="173">
      <c r="A173" s="2">
        <v>45476</v>
      </c>
      <c r="B173">
        <v>2025.0</v>
      </c>
      <c r="C173" t="s">
        <v>315</v>
      </c>
      <c r="D173" t="s">
        <v>316</v>
      </c>
      <c r="E173" t="s">
        <v>177</v>
      </c>
      <c r="F173" t="s">
        <v>307</v>
      </c>
      <c r="G173" t="s">
        <v>12</v>
      </c>
      <c r="H173">
        <v>6330.0</v>
      </c>
      <c r="I173" t="s">
        <v>31</v>
      </c>
      <c r="J173" t="s">
        <v>162</v>
      </c>
      <c r="K173" t="s">
        <v>71</v>
      </c>
      <c r="L173" t="s">
        <v>72</v>
      </c>
      <c r="M173">
        <v>4.0</v>
      </c>
    </row>
    <row r="174">
      <c r="A174" s="2">
        <v>45492</v>
      </c>
      <c r="B174">
        <v>2025.0</v>
      </c>
      <c r="C174" t="s">
        <v>315</v>
      </c>
      <c r="D174" t="s">
        <v>316</v>
      </c>
      <c r="E174" t="s">
        <v>177</v>
      </c>
      <c r="F174" t="s">
        <v>307</v>
      </c>
      <c r="G174" t="s">
        <v>12</v>
      </c>
      <c r="H174">
        <v>6330.0</v>
      </c>
      <c r="I174" t="s">
        <v>31</v>
      </c>
      <c r="J174" t="s">
        <v>162</v>
      </c>
      <c r="K174" t="s">
        <v>57</v>
      </c>
      <c r="L174" t="s">
        <v>58</v>
      </c>
      <c r="M174">
        <v>4.0</v>
      </c>
    </row>
    <row r="175">
      <c r="A175" s="2">
        <v>45738</v>
      </c>
      <c r="B175">
        <v>2025.0</v>
      </c>
      <c r="C175" t="s">
        <v>315</v>
      </c>
      <c r="D175" t="s">
        <v>316</v>
      </c>
      <c r="E175" t="s">
        <v>189</v>
      </c>
      <c r="F175" t="s">
        <v>304</v>
      </c>
      <c r="G175" t="s">
        <v>9</v>
      </c>
      <c r="H175">
        <v>2131.0</v>
      </c>
      <c r="I175" t="s">
        <v>31</v>
      </c>
      <c r="J175" t="s">
        <v>81</v>
      </c>
      <c r="K175" t="s">
        <v>38</v>
      </c>
      <c r="L175" t="s">
        <v>39</v>
      </c>
      <c r="M175">
        <v>4.0</v>
      </c>
    </row>
    <row r="176">
      <c r="A176" s="2">
        <v>45542</v>
      </c>
      <c r="B176">
        <v>2025.0</v>
      </c>
      <c r="C176" t="s">
        <v>315</v>
      </c>
      <c r="D176" t="s">
        <v>316</v>
      </c>
      <c r="E176" t="s">
        <v>90</v>
      </c>
      <c r="F176" t="s">
        <v>305</v>
      </c>
      <c r="G176" t="s">
        <v>10</v>
      </c>
      <c r="H176">
        <v>3353.0</v>
      </c>
      <c r="I176" t="s">
        <v>31</v>
      </c>
      <c r="J176" t="s">
        <v>37</v>
      </c>
      <c r="K176" t="s">
        <v>95</v>
      </c>
      <c r="L176" t="s">
        <v>96</v>
      </c>
      <c r="M176">
        <v>4.0</v>
      </c>
    </row>
    <row r="177">
      <c r="A177" s="2">
        <v>45809</v>
      </c>
      <c r="B177">
        <v>2025.0</v>
      </c>
      <c r="C177" t="s">
        <v>315</v>
      </c>
      <c r="D177" t="s">
        <v>316</v>
      </c>
      <c r="E177" t="s">
        <v>254</v>
      </c>
      <c r="F177" t="s">
        <v>308</v>
      </c>
      <c r="G177" t="s">
        <v>13</v>
      </c>
      <c r="H177">
        <v>5343.0</v>
      </c>
      <c r="I177" t="s">
        <v>31</v>
      </c>
      <c r="J177" t="s">
        <v>227</v>
      </c>
      <c r="K177" t="s">
        <v>43</v>
      </c>
      <c r="L177" t="s">
        <v>44</v>
      </c>
      <c r="M177">
        <v>4.0</v>
      </c>
    </row>
    <row r="178">
      <c r="A178" s="2">
        <v>45780</v>
      </c>
      <c r="B178">
        <v>2025.0</v>
      </c>
      <c r="C178" t="s">
        <v>315</v>
      </c>
      <c r="D178" t="s">
        <v>316</v>
      </c>
      <c r="E178" t="s">
        <v>203</v>
      </c>
      <c r="F178" t="s">
        <v>305</v>
      </c>
      <c r="G178" t="s">
        <v>10</v>
      </c>
      <c r="H178">
        <v>3175.0</v>
      </c>
      <c r="I178" t="s">
        <v>31</v>
      </c>
      <c r="J178" t="s">
        <v>89</v>
      </c>
      <c r="K178" t="s">
        <v>95</v>
      </c>
      <c r="L178" t="s">
        <v>96</v>
      </c>
      <c r="M178">
        <v>4.0</v>
      </c>
    </row>
    <row r="179">
      <c r="A179" s="2">
        <v>45524</v>
      </c>
      <c r="B179">
        <v>2025.0</v>
      </c>
      <c r="C179" t="s">
        <v>315</v>
      </c>
      <c r="D179" t="s">
        <v>316</v>
      </c>
      <c r="E179" t="s">
        <v>118</v>
      </c>
      <c r="F179" t="s">
        <v>305</v>
      </c>
      <c r="G179" t="s">
        <v>10</v>
      </c>
      <c r="H179">
        <v>3076.0</v>
      </c>
      <c r="I179" t="s">
        <v>31</v>
      </c>
      <c r="J179" t="s">
        <v>120</v>
      </c>
      <c r="K179" t="s">
        <v>33</v>
      </c>
      <c r="L179" t="s">
        <v>34</v>
      </c>
      <c r="M179">
        <v>4.0</v>
      </c>
    </row>
    <row r="180">
      <c r="A180" s="2">
        <v>45399</v>
      </c>
      <c r="B180">
        <v>2024.0</v>
      </c>
      <c r="C180" t="s">
        <v>318</v>
      </c>
      <c r="D180" t="s">
        <v>319</v>
      </c>
      <c r="E180" t="s">
        <v>246</v>
      </c>
      <c r="F180" t="s">
        <v>305</v>
      </c>
      <c r="G180" t="s">
        <v>10</v>
      </c>
      <c r="H180">
        <v>3551.0</v>
      </c>
      <c r="I180" t="s">
        <v>31</v>
      </c>
      <c r="J180" t="s">
        <v>37</v>
      </c>
      <c r="K180" t="s">
        <v>38</v>
      </c>
      <c r="L180" t="s">
        <v>39</v>
      </c>
      <c r="M180">
        <v>4.0</v>
      </c>
    </row>
    <row r="181">
      <c r="A181" s="2">
        <v>45771</v>
      </c>
      <c r="B181">
        <v>2025.0</v>
      </c>
      <c r="C181" t="s">
        <v>315</v>
      </c>
      <c r="D181" t="s">
        <v>316</v>
      </c>
      <c r="E181" t="s">
        <v>110</v>
      </c>
      <c r="F181" t="s">
        <v>304</v>
      </c>
      <c r="G181" t="s">
        <v>9</v>
      </c>
      <c r="H181">
        <v>2101.0</v>
      </c>
      <c r="I181" t="s">
        <v>31</v>
      </c>
      <c r="J181" t="s">
        <v>81</v>
      </c>
      <c r="K181" t="s">
        <v>46</v>
      </c>
      <c r="L181" t="s">
        <v>47</v>
      </c>
      <c r="M181">
        <v>4.0</v>
      </c>
    </row>
    <row r="182">
      <c r="A182" s="2">
        <v>45297</v>
      </c>
      <c r="B182">
        <v>2024.0</v>
      </c>
      <c r="C182" t="s">
        <v>318</v>
      </c>
      <c r="D182" t="s">
        <v>316</v>
      </c>
      <c r="E182" t="s">
        <v>54</v>
      </c>
      <c r="F182" t="s">
        <v>306</v>
      </c>
      <c r="G182" t="s">
        <v>11</v>
      </c>
      <c r="H182">
        <v>4012.0</v>
      </c>
      <c r="I182" t="s">
        <v>31</v>
      </c>
      <c r="J182" t="s">
        <v>56</v>
      </c>
      <c r="K182" t="s">
        <v>43</v>
      </c>
      <c r="L182" t="s">
        <v>44</v>
      </c>
      <c r="M182">
        <v>4.0</v>
      </c>
    </row>
    <row r="183">
      <c r="A183" s="2">
        <v>45833</v>
      </c>
      <c r="B183">
        <v>2025.0</v>
      </c>
      <c r="C183" t="s">
        <v>315</v>
      </c>
      <c r="D183" t="s">
        <v>316</v>
      </c>
      <c r="E183" t="s">
        <v>139</v>
      </c>
      <c r="F183" t="s">
        <v>305</v>
      </c>
      <c r="G183" t="s">
        <v>10</v>
      </c>
      <c r="H183">
        <v>3199.0</v>
      </c>
      <c r="I183" t="s">
        <v>31</v>
      </c>
      <c r="J183" t="s">
        <v>89</v>
      </c>
      <c r="K183" t="s">
        <v>95</v>
      </c>
      <c r="L183" t="s">
        <v>96</v>
      </c>
      <c r="M183">
        <v>4.3</v>
      </c>
    </row>
    <row r="184">
      <c r="A184" s="2">
        <v>45818</v>
      </c>
      <c r="B184">
        <v>2025.0</v>
      </c>
      <c r="C184" t="s">
        <v>315</v>
      </c>
      <c r="D184" t="s">
        <v>316</v>
      </c>
      <c r="E184" t="s">
        <v>262</v>
      </c>
      <c r="F184" t="s">
        <v>305</v>
      </c>
      <c r="G184" t="s">
        <v>10</v>
      </c>
      <c r="H184">
        <v>3018.0</v>
      </c>
      <c r="I184" t="s">
        <v>31</v>
      </c>
      <c r="J184" t="s">
        <v>120</v>
      </c>
      <c r="K184" t="s">
        <v>95</v>
      </c>
      <c r="L184" t="s">
        <v>96</v>
      </c>
      <c r="M184">
        <v>4.31</v>
      </c>
    </row>
    <row r="185">
      <c r="A185" s="2">
        <v>45918</v>
      </c>
      <c r="B185">
        <v>2026.0</v>
      </c>
      <c r="C185" t="s">
        <v>321</v>
      </c>
      <c r="D185" t="s">
        <v>316</v>
      </c>
      <c r="E185" t="s">
        <v>76</v>
      </c>
      <c r="F185" t="s">
        <v>306</v>
      </c>
      <c r="G185" t="s">
        <v>11</v>
      </c>
      <c r="H185">
        <v>4883.0</v>
      </c>
      <c r="I185" t="s">
        <v>31</v>
      </c>
      <c r="J185" t="s">
        <v>78</v>
      </c>
      <c r="K185" t="s">
        <v>112</v>
      </c>
      <c r="L185" t="s">
        <v>113</v>
      </c>
      <c r="M185">
        <v>4.49</v>
      </c>
    </row>
    <row r="186">
      <c r="A186" s="2">
        <v>45536</v>
      </c>
      <c r="B186">
        <v>2025.0</v>
      </c>
      <c r="C186" t="s">
        <v>315</v>
      </c>
      <c r="D186" t="s">
        <v>316</v>
      </c>
      <c r="E186" t="s">
        <v>185</v>
      </c>
      <c r="F186" t="s">
        <v>307</v>
      </c>
      <c r="G186" t="s">
        <v>12</v>
      </c>
      <c r="H186">
        <v>6109.0</v>
      </c>
      <c r="I186" t="s">
        <v>31</v>
      </c>
      <c r="J186" t="s">
        <v>162</v>
      </c>
      <c r="K186" t="s">
        <v>43</v>
      </c>
      <c r="L186" t="s">
        <v>44</v>
      </c>
      <c r="M186">
        <v>4.49</v>
      </c>
    </row>
    <row r="187">
      <c r="A187" s="2">
        <v>45779</v>
      </c>
      <c r="B187">
        <v>2025.0</v>
      </c>
      <c r="C187" t="s">
        <v>315</v>
      </c>
      <c r="D187" t="s">
        <v>316</v>
      </c>
      <c r="E187" t="s">
        <v>100</v>
      </c>
      <c r="F187" t="s">
        <v>307</v>
      </c>
      <c r="G187" t="s">
        <v>12</v>
      </c>
      <c r="H187">
        <v>6010.0</v>
      </c>
      <c r="I187" t="s">
        <v>31</v>
      </c>
      <c r="J187" t="s">
        <v>102</v>
      </c>
      <c r="K187" t="s">
        <v>46</v>
      </c>
      <c r="L187" t="s">
        <v>47</v>
      </c>
      <c r="M187">
        <v>4.5</v>
      </c>
    </row>
    <row r="188">
      <c r="A188" s="2">
        <v>45502</v>
      </c>
      <c r="B188">
        <v>2025.0</v>
      </c>
      <c r="C188" t="s">
        <v>315</v>
      </c>
      <c r="D188" t="s">
        <v>316</v>
      </c>
      <c r="E188" t="s">
        <v>228</v>
      </c>
      <c r="F188" t="s">
        <v>306</v>
      </c>
      <c r="G188" t="s">
        <v>11</v>
      </c>
      <c r="H188">
        <v>4680.0</v>
      </c>
      <c r="I188" t="s">
        <v>31</v>
      </c>
      <c r="J188" t="s">
        <v>32</v>
      </c>
      <c r="K188" t="s">
        <v>95</v>
      </c>
      <c r="L188" t="s">
        <v>96</v>
      </c>
      <c r="M188">
        <v>4.5</v>
      </c>
    </row>
    <row r="189">
      <c r="A189" s="2">
        <v>45851</v>
      </c>
      <c r="B189">
        <v>2026.0</v>
      </c>
      <c r="C189" t="s">
        <v>321</v>
      </c>
      <c r="D189" t="s">
        <v>316</v>
      </c>
      <c r="E189" t="s">
        <v>131</v>
      </c>
      <c r="F189" t="s">
        <v>306</v>
      </c>
      <c r="G189" t="s">
        <v>11</v>
      </c>
      <c r="H189">
        <v>4655.0</v>
      </c>
      <c r="I189" t="s">
        <v>31</v>
      </c>
      <c r="J189" t="s">
        <v>32</v>
      </c>
      <c r="K189" t="s">
        <v>46</v>
      </c>
      <c r="L189" t="s">
        <v>47</v>
      </c>
      <c r="M189">
        <v>4.5</v>
      </c>
    </row>
    <row r="190">
      <c r="A190" s="2">
        <v>45718</v>
      </c>
      <c r="B190">
        <v>2025.0</v>
      </c>
      <c r="C190" t="s">
        <v>315</v>
      </c>
      <c r="D190" t="s">
        <v>316</v>
      </c>
      <c r="E190" t="s">
        <v>236</v>
      </c>
      <c r="F190" t="s">
        <v>307</v>
      </c>
      <c r="G190" t="s">
        <v>12</v>
      </c>
      <c r="H190">
        <v>6052.0</v>
      </c>
      <c r="I190" t="s">
        <v>31</v>
      </c>
      <c r="J190" t="s">
        <v>102</v>
      </c>
      <c r="K190" t="s">
        <v>43</v>
      </c>
      <c r="L190" t="s">
        <v>44</v>
      </c>
      <c r="M190">
        <v>4.5</v>
      </c>
    </row>
    <row r="191">
      <c r="A191" s="2">
        <v>45528</v>
      </c>
      <c r="B191">
        <v>2025.0</v>
      </c>
      <c r="C191" t="s">
        <v>315</v>
      </c>
      <c r="D191" t="s">
        <v>316</v>
      </c>
      <c r="E191" t="s">
        <v>238</v>
      </c>
      <c r="F191" t="s">
        <v>308</v>
      </c>
      <c r="G191" t="s">
        <v>13</v>
      </c>
      <c r="H191">
        <v>5082.0</v>
      </c>
      <c r="I191" t="s">
        <v>31</v>
      </c>
      <c r="J191" t="s">
        <v>42</v>
      </c>
      <c r="K191" t="s">
        <v>95</v>
      </c>
      <c r="L191" t="s">
        <v>96</v>
      </c>
      <c r="M191">
        <v>4.5</v>
      </c>
    </row>
    <row r="192">
      <c r="A192" s="2">
        <v>45676</v>
      </c>
      <c r="B192">
        <v>2025.0</v>
      </c>
      <c r="C192" t="s">
        <v>315</v>
      </c>
      <c r="D192" t="s">
        <v>316</v>
      </c>
      <c r="E192" t="s">
        <v>133</v>
      </c>
      <c r="F192" t="s">
        <v>305</v>
      </c>
      <c r="G192" t="s">
        <v>10</v>
      </c>
      <c r="H192">
        <v>3429.0</v>
      </c>
      <c r="I192" t="s">
        <v>31</v>
      </c>
      <c r="J192" t="s">
        <v>37</v>
      </c>
      <c r="K192" t="s">
        <v>123</v>
      </c>
      <c r="L192" t="s">
        <v>124</v>
      </c>
      <c r="M192">
        <v>4.5</v>
      </c>
    </row>
    <row r="193">
      <c r="A193" s="2">
        <v>45427</v>
      </c>
      <c r="B193">
        <v>2024.0</v>
      </c>
      <c r="C193" t="s">
        <v>318</v>
      </c>
      <c r="D193" t="s">
        <v>316</v>
      </c>
      <c r="E193" t="s">
        <v>85</v>
      </c>
      <c r="F193" t="s">
        <v>304</v>
      </c>
      <c r="G193" t="s">
        <v>9</v>
      </c>
      <c r="H193">
        <v>2120.0</v>
      </c>
      <c r="I193" t="s">
        <v>31</v>
      </c>
      <c r="J193" t="s">
        <v>81</v>
      </c>
      <c r="K193" t="s">
        <v>43</v>
      </c>
      <c r="L193" t="s">
        <v>44</v>
      </c>
      <c r="M193">
        <v>4.5</v>
      </c>
    </row>
    <row r="194">
      <c r="A194" s="2">
        <v>45310</v>
      </c>
      <c r="B194">
        <v>2024.0</v>
      </c>
      <c r="C194" t="s">
        <v>318</v>
      </c>
      <c r="D194" t="s">
        <v>316</v>
      </c>
      <c r="E194" t="s">
        <v>191</v>
      </c>
      <c r="F194" t="s">
        <v>305</v>
      </c>
      <c r="G194" t="s">
        <v>10</v>
      </c>
      <c r="H194">
        <v>3030.0</v>
      </c>
      <c r="I194" t="s">
        <v>31</v>
      </c>
      <c r="J194" t="s">
        <v>120</v>
      </c>
      <c r="K194" t="s">
        <v>43</v>
      </c>
      <c r="L194" t="s">
        <v>44</v>
      </c>
      <c r="M194">
        <v>4.5</v>
      </c>
    </row>
    <row r="195">
      <c r="A195" s="2">
        <v>45514</v>
      </c>
      <c r="B195">
        <v>2025.0</v>
      </c>
      <c r="C195" t="s">
        <v>315</v>
      </c>
      <c r="D195" t="s">
        <v>316</v>
      </c>
      <c r="E195" t="s">
        <v>154</v>
      </c>
      <c r="F195" t="s">
        <v>306</v>
      </c>
      <c r="G195" t="s">
        <v>11</v>
      </c>
      <c r="H195">
        <v>4551.0</v>
      </c>
      <c r="I195" t="s">
        <v>31</v>
      </c>
      <c r="J195" t="s">
        <v>84</v>
      </c>
      <c r="K195" t="s">
        <v>38</v>
      </c>
      <c r="L195" t="s">
        <v>39</v>
      </c>
      <c r="M195">
        <v>4.56</v>
      </c>
    </row>
    <row r="196">
      <c r="A196" s="2">
        <v>45964</v>
      </c>
      <c r="B196">
        <v>2026.0</v>
      </c>
      <c r="C196" t="s">
        <v>321</v>
      </c>
      <c r="D196" t="s">
        <v>316</v>
      </c>
      <c r="E196" t="s">
        <v>118</v>
      </c>
      <c r="F196" t="s">
        <v>305</v>
      </c>
      <c r="G196" t="s">
        <v>10</v>
      </c>
      <c r="H196">
        <v>3076.0</v>
      </c>
      <c r="I196" t="s">
        <v>31</v>
      </c>
      <c r="J196" t="s">
        <v>120</v>
      </c>
      <c r="K196" t="s">
        <v>43</v>
      </c>
      <c r="L196" t="s">
        <v>44</v>
      </c>
      <c r="M196">
        <v>4.6</v>
      </c>
    </row>
    <row r="197">
      <c r="A197" s="2">
        <v>45816</v>
      </c>
      <c r="B197">
        <v>2025.0</v>
      </c>
      <c r="C197" t="s">
        <v>315</v>
      </c>
      <c r="D197" t="s">
        <v>316</v>
      </c>
      <c r="E197" t="s">
        <v>183</v>
      </c>
      <c r="F197" t="s">
        <v>304</v>
      </c>
      <c r="G197" t="s">
        <v>9</v>
      </c>
      <c r="H197">
        <v>2480.0</v>
      </c>
      <c r="I197" t="s">
        <v>31</v>
      </c>
      <c r="J197" t="s">
        <v>70</v>
      </c>
      <c r="K197" t="s">
        <v>43</v>
      </c>
      <c r="L197" t="s">
        <v>44</v>
      </c>
      <c r="M197">
        <v>4.63</v>
      </c>
    </row>
    <row r="198">
      <c r="A198" s="2">
        <v>45388</v>
      </c>
      <c r="B198">
        <v>2024.0</v>
      </c>
      <c r="C198" t="s">
        <v>318</v>
      </c>
      <c r="D198" t="s">
        <v>316</v>
      </c>
      <c r="E198" t="s">
        <v>179</v>
      </c>
      <c r="F198" t="s">
        <v>304</v>
      </c>
      <c r="G198" t="s">
        <v>9</v>
      </c>
      <c r="H198">
        <v>2015.0</v>
      </c>
      <c r="I198" t="s">
        <v>31</v>
      </c>
      <c r="J198" t="s">
        <v>99</v>
      </c>
      <c r="K198" t="s">
        <v>95</v>
      </c>
      <c r="L198" t="s">
        <v>96</v>
      </c>
      <c r="M198">
        <v>4.65</v>
      </c>
    </row>
    <row r="199">
      <c r="A199" s="2">
        <v>45846</v>
      </c>
      <c r="B199">
        <v>2026.0</v>
      </c>
      <c r="C199" t="s">
        <v>321</v>
      </c>
      <c r="D199" t="s">
        <v>316</v>
      </c>
      <c r="E199" t="s">
        <v>76</v>
      </c>
      <c r="F199" t="s">
        <v>306</v>
      </c>
      <c r="G199" t="s">
        <v>11</v>
      </c>
      <c r="H199">
        <v>4883.0</v>
      </c>
      <c r="I199" t="s">
        <v>31</v>
      </c>
      <c r="J199" t="s">
        <v>78</v>
      </c>
      <c r="K199" t="s">
        <v>112</v>
      </c>
      <c r="L199" t="s">
        <v>113</v>
      </c>
      <c r="M199">
        <v>4.75</v>
      </c>
    </row>
    <row r="200">
      <c r="A200" s="2">
        <v>46005</v>
      </c>
      <c r="B200">
        <v>2026.0</v>
      </c>
      <c r="C200" t="s">
        <v>321</v>
      </c>
      <c r="D200" t="s">
        <v>316</v>
      </c>
      <c r="E200" t="s">
        <v>221</v>
      </c>
      <c r="F200" t="s">
        <v>306</v>
      </c>
      <c r="G200" t="s">
        <v>11</v>
      </c>
      <c r="H200">
        <v>4053.0</v>
      </c>
      <c r="I200" t="s">
        <v>31</v>
      </c>
      <c r="J200" t="s">
        <v>56</v>
      </c>
      <c r="K200" t="s">
        <v>43</v>
      </c>
      <c r="L200" t="s">
        <v>44</v>
      </c>
      <c r="M200">
        <v>4.75</v>
      </c>
    </row>
    <row r="201">
      <c r="A201" s="2">
        <v>45329</v>
      </c>
      <c r="B201">
        <v>2024.0</v>
      </c>
      <c r="C201" t="s">
        <v>318</v>
      </c>
      <c r="D201" t="s">
        <v>316</v>
      </c>
      <c r="E201" t="s">
        <v>129</v>
      </c>
      <c r="F201" t="s">
        <v>305</v>
      </c>
      <c r="G201" t="s">
        <v>10</v>
      </c>
      <c r="H201">
        <v>3066.0</v>
      </c>
      <c r="I201" t="s">
        <v>31</v>
      </c>
      <c r="J201" t="s">
        <v>120</v>
      </c>
      <c r="K201" t="s">
        <v>38</v>
      </c>
      <c r="L201" t="s">
        <v>39</v>
      </c>
      <c r="M201">
        <v>4.79</v>
      </c>
    </row>
    <row r="202">
      <c r="A202" s="2">
        <v>45829</v>
      </c>
      <c r="B202">
        <v>2025.0</v>
      </c>
      <c r="C202" t="s">
        <v>315</v>
      </c>
      <c r="D202" t="s">
        <v>316</v>
      </c>
      <c r="E202" t="s">
        <v>139</v>
      </c>
      <c r="F202" t="s">
        <v>305</v>
      </c>
      <c r="G202" t="s">
        <v>10</v>
      </c>
      <c r="H202">
        <v>3199.0</v>
      </c>
      <c r="I202" t="s">
        <v>31</v>
      </c>
      <c r="J202" t="s">
        <v>89</v>
      </c>
      <c r="K202" t="s">
        <v>95</v>
      </c>
      <c r="L202" t="s">
        <v>96</v>
      </c>
      <c r="M202">
        <v>4.96</v>
      </c>
    </row>
    <row r="203">
      <c r="A203" s="2">
        <v>45808</v>
      </c>
      <c r="B203">
        <v>2025.0</v>
      </c>
      <c r="C203" t="s">
        <v>315</v>
      </c>
      <c r="D203" t="s">
        <v>316</v>
      </c>
      <c r="F203" t="s">
        <v>307</v>
      </c>
      <c r="G203" t="s">
        <v>12</v>
      </c>
      <c r="H203">
        <v>6021.0</v>
      </c>
      <c r="I203" t="s">
        <v>31</v>
      </c>
      <c r="J203" t="s">
        <v>102</v>
      </c>
      <c r="K203" t="s">
        <v>123</v>
      </c>
      <c r="L203" t="s">
        <v>124</v>
      </c>
      <c r="M203">
        <v>4.99</v>
      </c>
    </row>
    <row r="204">
      <c r="A204" s="2">
        <v>45446</v>
      </c>
      <c r="B204">
        <v>2024.0</v>
      </c>
      <c r="C204" t="s">
        <v>318</v>
      </c>
      <c r="D204" t="s">
        <v>316</v>
      </c>
      <c r="E204" t="s">
        <v>160</v>
      </c>
      <c r="F204" t="s">
        <v>307</v>
      </c>
      <c r="G204" t="s">
        <v>12</v>
      </c>
      <c r="H204">
        <v>6280.0</v>
      </c>
      <c r="I204" t="s">
        <v>31</v>
      </c>
      <c r="J204" t="s">
        <v>162</v>
      </c>
      <c r="K204" t="s">
        <v>33</v>
      </c>
      <c r="L204" t="s">
        <v>34</v>
      </c>
      <c r="M204">
        <v>4.99</v>
      </c>
    </row>
    <row r="205">
      <c r="A205" s="2">
        <v>45962</v>
      </c>
      <c r="B205">
        <v>2026.0</v>
      </c>
      <c r="C205" t="s">
        <v>321</v>
      </c>
      <c r="D205" t="s">
        <v>316</v>
      </c>
      <c r="E205" t="s">
        <v>100</v>
      </c>
      <c r="F205" t="s">
        <v>307</v>
      </c>
      <c r="G205" t="s">
        <v>12</v>
      </c>
      <c r="H205">
        <v>6010.0</v>
      </c>
      <c r="I205" t="s">
        <v>31</v>
      </c>
      <c r="J205" t="s">
        <v>102</v>
      </c>
      <c r="K205" t="s">
        <v>33</v>
      </c>
      <c r="L205" t="s">
        <v>34</v>
      </c>
      <c r="M205">
        <v>4.99</v>
      </c>
    </row>
    <row r="206">
      <c r="A206" s="2">
        <v>45790</v>
      </c>
      <c r="B206">
        <v>2025.0</v>
      </c>
      <c r="C206" t="s">
        <v>315</v>
      </c>
      <c r="D206" t="s">
        <v>316</v>
      </c>
      <c r="E206" t="s">
        <v>242</v>
      </c>
      <c r="F206" t="s">
        <v>305</v>
      </c>
      <c r="G206" t="s">
        <v>10</v>
      </c>
      <c r="H206">
        <v>3977.0</v>
      </c>
      <c r="I206" t="s">
        <v>31</v>
      </c>
      <c r="J206" t="s">
        <v>94</v>
      </c>
      <c r="K206" t="s">
        <v>123</v>
      </c>
      <c r="L206" t="s">
        <v>124</v>
      </c>
      <c r="M206">
        <v>4.99</v>
      </c>
    </row>
    <row r="207">
      <c r="A207" s="2">
        <v>45404</v>
      </c>
      <c r="B207">
        <v>2024.0</v>
      </c>
      <c r="C207" t="s">
        <v>318</v>
      </c>
      <c r="D207" t="s">
        <v>316</v>
      </c>
      <c r="E207" t="s">
        <v>156</v>
      </c>
      <c r="F207" t="s">
        <v>304</v>
      </c>
      <c r="G207" t="s">
        <v>9</v>
      </c>
      <c r="H207">
        <v>2830.0</v>
      </c>
      <c r="I207" t="s">
        <v>31</v>
      </c>
      <c r="J207" t="s">
        <v>75</v>
      </c>
      <c r="K207" t="s">
        <v>33</v>
      </c>
      <c r="L207" t="s">
        <v>34</v>
      </c>
      <c r="M207">
        <v>4.99</v>
      </c>
    </row>
    <row r="208">
      <c r="A208" s="2">
        <v>45552</v>
      </c>
      <c r="B208">
        <v>2025.0</v>
      </c>
      <c r="C208" t="s">
        <v>315</v>
      </c>
      <c r="D208" t="s">
        <v>316</v>
      </c>
      <c r="E208" t="s">
        <v>234</v>
      </c>
      <c r="F208" t="s">
        <v>304</v>
      </c>
      <c r="G208" t="s">
        <v>9</v>
      </c>
      <c r="H208">
        <v>2158.0</v>
      </c>
      <c r="I208" t="s">
        <v>31</v>
      </c>
      <c r="J208" t="s">
        <v>81</v>
      </c>
      <c r="K208" t="s">
        <v>33</v>
      </c>
      <c r="L208" t="s">
        <v>34</v>
      </c>
      <c r="M208">
        <v>4.99</v>
      </c>
    </row>
    <row r="209">
      <c r="A209" s="2">
        <v>45825</v>
      </c>
      <c r="B209">
        <v>2025.0</v>
      </c>
      <c r="C209" t="s">
        <v>315</v>
      </c>
      <c r="D209" t="s">
        <v>316</v>
      </c>
      <c r="E209" t="s">
        <v>234</v>
      </c>
      <c r="F209" t="s">
        <v>304</v>
      </c>
      <c r="G209" t="s">
        <v>9</v>
      </c>
      <c r="H209">
        <v>2158.0</v>
      </c>
      <c r="I209" t="s">
        <v>31</v>
      </c>
      <c r="J209" t="s">
        <v>81</v>
      </c>
      <c r="K209" t="s">
        <v>71</v>
      </c>
      <c r="L209" t="s">
        <v>72</v>
      </c>
      <c r="M209">
        <v>4.99</v>
      </c>
    </row>
    <row r="210">
      <c r="A210" s="2">
        <v>45504</v>
      </c>
      <c r="B210">
        <v>2025.0</v>
      </c>
      <c r="C210" t="s">
        <v>315</v>
      </c>
      <c r="D210" t="s">
        <v>316</v>
      </c>
      <c r="E210" t="s">
        <v>131</v>
      </c>
      <c r="F210" t="s">
        <v>306</v>
      </c>
      <c r="G210" t="s">
        <v>11</v>
      </c>
      <c r="H210">
        <v>4655.0</v>
      </c>
      <c r="I210" t="s">
        <v>31</v>
      </c>
      <c r="J210" t="s">
        <v>32</v>
      </c>
      <c r="K210" t="s">
        <v>33</v>
      </c>
      <c r="L210" t="s">
        <v>34</v>
      </c>
      <c r="M210">
        <v>4.99</v>
      </c>
    </row>
    <row r="211">
      <c r="A211" s="2">
        <v>45359</v>
      </c>
      <c r="B211">
        <v>2024.0</v>
      </c>
      <c r="C211" t="s">
        <v>318</v>
      </c>
      <c r="D211" t="s">
        <v>316</v>
      </c>
      <c r="E211" t="s">
        <v>82</v>
      </c>
      <c r="F211" t="s">
        <v>306</v>
      </c>
      <c r="G211" t="s">
        <v>11</v>
      </c>
      <c r="H211">
        <v>4558.0</v>
      </c>
      <c r="I211" t="s">
        <v>31</v>
      </c>
      <c r="J211" t="s">
        <v>84</v>
      </c>
      <c r="K211" t="s">
        <v>71</v>
      </c>
      <c r="L211" t="s">
        <v>72</v>
      </c>
      <c r="M211">
        <v>4.99</v>
      </c>
    </row>
    <row r="212">
      <c r="A212" s="2">
        <v>45991</v>
      </c>
      <c r="B212">
        <v>2026.0</v>
      </c>
      <c r="C212" t="s">
        <v>321</v>
      </c>
      <c r="D212" t="s">
        <v>319</v>
      </c>
      <c r="E212" t="s">
        <v>64</v>
      </c>
      <c r="F212" t="s">
        <v>306</v>
      </c>
      <c r="G212" t="s">
        <v>11</v>
      </c>
      <c r="H212">
        <v>4215.0</v>
      </c>
      <c r="I212" t="s">
        <v>31</v>
      </c>
      <c r="J212" t="s">
        <v>61</v>
      </c>
      <c r="K212" t="s">
        <v>71</v>
      </c>
      <c r="L212" t="s">
        <v>72</v>
      </c>
      <c r="M212">
        <v>4.99</v>
      </c>
    </row>
    <row r="213">
      <c r="A213" s="2">
        <v>45606</v>
      </c>
      <c r="B213">
        <v>2025.0</v>
      </c>
      <c r="C213" t="s">
        <v>315</v>
      </c>
      <c r="D213" t="s">
        <v>316</v>
      </c>
      <c r="E213" t="s">
        <v>221</v>
      </c>
      <c r="F213" t="s">
        <v>306</v>
      </c>
      <c r="G213" t="s">
        <v>11</v>
      </c>
      <c r="H213">
        <v>4053.0</v>
      </c>
      <c r="I213" t="s">
        <v>31</v>
      </c>
      <c r="J213" t="s">
        <v>56</v>
      </c>
      <c r="K213" t="s">
        <v>71</v>
      </c>
      <c r="L213" t="s">
        <v>72</v>
      </c>
      <c r="M213">
        <v>4.99</v>
      </c>
    </row>
    <row r="214">
      <c r="A214" s="2">
        <v>45658</v>
      </c>
      <c r="B214">
        <v>2025.0</v>
      </c>
      <c r="C214" t="s">
        <v>315</v>
      </c>
      <c r="D214" t="s">
        <v>316</v>
      </c>
      <c r="E214" t="s">
        <v>127</v>
      </c>
      <c r="F214" t="s">
        <v>306</v>
      </c>
      <c r="G214" t="s">
        <v>11</v>
      </c>
      <c r="H214">
        <v>4802.0</v>
      </c>
      <c r="I214" t="s">
        <v>31</v>
      </c>
      <c r="J214" t="s">
        <v>78</v>
      </c>
      <c r="K214" t="s">
        <v>33</v>
      </c>
      <c r="L214" t="s">
        <v>34</v>
      </c>
      <c r="M214">
        <v>5.0</v>
      </c>
    </row>
    <row r="215">
      <c r="A215" s="2">
        <v>45852</v>
      </c>
      <c r="B215">
        <v>2026.0</v>
      </c>
      <c r="C215" t="s">
        <v>321</v>
      </c>
      <c r="D215" t="s">
        <v>319</v>
      </c>
      <c r="E215" t="s">
        <v>154</v>
      </c>
      <c r="F215" t="s">
        <v>306</v>
      </c>
      <c r="G215" t="s">
        <v>11</v>
      </c>
      <c r="H215">
        <v>4551.0</v>
      </c>
      <c r="I215" t="s">
        <v>31</v>
      </c>
      <c r="J215" t="s">
        <v>84</v>
      </c>
      <c r="K215" t="s">
        <v>57</v>
      </c>
      <c r="L215" t="s">
        <v>58</v>
      </c>
      <c r="M215">
        <v>5.0</v>
      </c>
    </row>
    <row r="216">
      <c r="A216" s="2">
        <v>45468</v>
      </c>
      <c r="B216">
        <v>2024.0</v>
      </c>
      <c r="C216" t="s">
        <v>318</v>
      </c>
      <c r="D216" t="s">
        <v>316</v>
      </c>
      <c r="E216" t="s">
        <v>197</v>
      </c>
      <c r="F216" t="s">
        <v>304</v>
      </c>
      <c r="G216" t="s">
        <v>9</v>
      </c>
      <c r="H216">
        <v>2560.0</v>
      </c>
      <c r="I216" t="s">
        <v>31</v>
      </c>
      <c r="J216" t="s">
        <v>107</v>
      </c>
      <c r="K216" t="s">
        <v>46</v>
      </c>
      <c r="L216" t="s">
        <v>47</v>
      </c>
      <c r="M216">
        <v>5.0</v>
      </c>
    </row>
    <row r="217">
      <c r="A217" s="2">
        <v>45423</v>
      </c>
      <c r="B217">
        <v>2024.0</v>
      </c>
      <c r="C217" t="s">
        <v>318</v>
      </c>
      <c r="D217" t="s">
        <v>316</v>
      </c>
      <c r="E217" t="s">
        <v>234</v>
      </c>
      <c r="F217" t="s">
        <v>304</v>
      </c>
      <c r="G217" t="s">
        <v>9</v>
      </c>
      <c r="H217">
        <v>2158.0</v>
      </c>
      <c r="I217" t="s">
        <v>31</v>
      </c>
      <c r="J217" t="s">
        <v>81</v>
      </c>
      <c r="K217" t="s">
        <v>46</v>
      </c>
      <c r="L217" t="s">
        <v>47</v>
      </c>
      <c r="M217">
        <v>5.0</v>
      </c>
    </row>
    <row r="218">
      <c r="A218" s="2">
        <v>45805</v>
      </c>
      <c r="B218">
        <v>2025.0</v>
      </c>
      <c r="C218" t="s">
        <v>315</v>
      </c>
      <c r="D218" t="s">
        <v>316</v>
      </c>
      <c r="E218" t="s">
        <v>205</v>
      </c>
      <c r="F218" t="s">
        <v>305</v>
      </c>
      <c r="G218" t="s">
        <v>10</v>
      </c>
      <c r="H218">
        <v>3400.0</v>
      </c>
      <c r="I218" t="s">
        <v>31</v>
      </c>
      <c r="J218" t="s">
        <v>37</v>
      </c>
      <c r="K218" t="s">
        <v>38</v>
      </c>
      <c r="L218" t="s">
        <v>39</v>
      </c>
      <c r="M218">
        <v>5.0</v>
      </c>
    </row>
    <row r="219">
      <c r="A219" s="2">
        <v>45899</v>
      </c>
      <c r="B219">
        <v>2026.0</v>
      </c>
      <c r="C219" t="s">
        <v>321</v>
      </c>
      <c r="D219" t="s">
        <v>316</v>
      </c>
      <c r="E219" t="s">
        <v>219</v>
      </c>
      <c r="F219" t="s">
        <v>306</v>
      </c>
      <c r="G219" t="s">
        <v>11</v>
      </c>
      <c r="H219">
        <v>4068.0</v>
      </c>
      <c r="I219" t="s">
        <v>31</v>
      </c>
      <c r="J219" t="s">
        <v>56</v>
      </c>
      <c r="K219" t="s">
        <v>46</v>
      </c>
      <c r="L219" t="s">
        <v>47</v>
      </c>
      <c r="M219">
        <v>5.0</v>
      </c>
    </row>
    <row r="220">
      <c r="A220" s="2">
        <v>45341</v>
      </c>
      <c r="B220">
        <v>2024.0</v>
      </c>
      <c r="C220" t="s">
        <v>318</v>
      </c>
      <c r="D220" t="s">
        <v>319</v>
      </c>
      <c r="E220" t="s">
        <v>236</v>
      </c>
      <c r="F220" t="s">
        <v>307</v>
      </c>
      <c r="G220" t="s">
        <v>12</v>
      </c>
      <c r="H220">
        <v>6052.0</v>
      </c>
      <c r="I220" t="s">
        <v>31</v>
      </c>
      <c r="J220" t="s">
        <v>102</v>
      </c>
      <c r="K220" t="s">
        <v>43</v>
      </c>
      <c r="L220" t="s">
        <v>44</v>
      </c>
      <c r="M220">
        <v>5.0</v>
      </c>
    </row>
    <row r="221">
      <c r="A221" s="2">
        <v>45811</v>
      </c>
      <c r="B221">
        <v>2025.0</v>
      </c>
      <c r="C221" t="s">
        <v>315</v>
      </c>
      <c r="D221" t="s">
        <v>316</v>
      </c>
      <c r="E221" t="s">
        <v>213</v>
      </c>
      <c r="F221" t="s">
        <v>306</v>
      </c>
      <c r="G221" t="s">
        <v>11</v>
      </c>
      <c r="H221">
        <v>4740.0</v>
      </c>
      <c r="I221" t="s">
        <v>31</v>
      </c>
      <c r="J221" t="s">
        <v>32</v>
      </c>
      <c r="K221" t="s">
        <v>43</v>
      </c>
      <c r="L221" t="s">
        <v>44</v>
      </c>
      <c r="M221">
        <v>5.0</v>
      </c>
    </row>
    <row r="222">
      <c r="A222" s="2">
        <v>45556</v>
      </c>
      <c r="B222">
        <v>2025.0</v>
      </c>
      <c r="C222" t="s">
        <v>315</v>
      </c>
      <c r="D222" t="s">
        <v>316</v>
      </c>
      <c r="E222" t="s">
        <v>244</v>
      </c>
      <c r="F222" t="s">
        <v>308</v>
      </c>
      <c r="G222" t="s">
        <v>13</v>
      </c>
      <c r="H222">
        <v>5168.0</v>
      </c>
      <c r="I222" t="s">
        <v>31</v>
      </c>
      <c r="J222" t="s">
        <v>42</v>
      </c>
      <c r="K222" t="s">
        <v>46</v>
      </c>
      <c r="L222" t="s">
        <v>47</v>
      </c>
      <c r="M222">
        <v>5.0</v>
      </c>
    </row>
    <row r="223">
      <c r="A223" s="2">
        <v>45374</v>
      </c>
      <c r="B223">
        <v>2024.0</v>
      </c>
      <c r="C223" t="s">
        <v>318</v>
      </c>
      <c r="D223" t="s">
        <v>316</v>
      </c>
      <c r="E223" t="s">
        <v>105</v>
      </c>
      <c r="F223" t="s">
        <v>304</v>
      </c>
      <c r="G223" t="s">
        <v>9</v>
      </c>
      <c r="H223">
        <v>2541.0</v>
      </c>
      <c r="I223" t="s">
        <v>31</v>
      </c>
      <c r="J223" t="s">
        <v>107</v>
      </c>
      <c r="K223" t="s">
        <v>71</v>
      </c>
      <c r="L223" t="s">
        <v>72</v>
      </c>
      <c r="M223">
        <v>5.0</v>
      </c>
    </row>
    <row r="224">
      <c r="A224" s="2">
        <v>45542</v>
      </c>
      <c r="B224">
        <v>2025.0</v>
      </c>
      <c r="C224" t="s">
        <v>315</v>
      </c>
      <c r="D224" t="s">
        <v>316</v>
      </c>
      <c r="E224" t="s">
        <v>252</v>
      </c>
      <c r="F224" t="s">
        <v>305</v>
      </c>
      <c r="G224" t="s">
        <v>10</v>
      </c>
      <c r="H224">
        <v>3630.0</v>
      </c>
      <c r="I224" t="s">
        <v>31</v>
      </c>
      <c r="J224" t="s">
        <v>94</v>
      </c>
      <c r="K224" t="s">
        <v>43</v>
      </c>
      <c r="L224" t="s">
        <v>44</v>
      </c>
      <c r="M224">
        <v>5.0</v>
      </c>
    </row>
    <row r="225">
      <c r="A225" s="2">
        <v>46010</v>
      </c>
      <c r="B225">
        <v>2026.0</v>
      </c>
      <c r="C225" t="s">
        <v>321</v>
      </c>
      <c r="D225" t="s">
        <v>316</v>
      </c>
      <c r="E225" t="s">
        <v>35</v>
      </c>
      <c r="F225" t="s">
        <v>305</v>
      </c>
      <c r="G225" t="s">
        <v>10</v>
      </c>
      <c r="H225">
        <v>3280.0</v>
      </c>
      <c r="I225" t="s">
        <v>31</v>
      </c>
      <c r="J225" t="s">
        <v>37</v>
      </c>
      <c r="K225" t="s">
        <v>43</v>
      </c>
      <c r="L225" t="s">
        <v>44</v>
      </c>
      <c r="M225">
        <v>5.0</v>
      </c>
    </row>
    <row r="226">
      <c r="A226" s="2">
        <v>45982</v>
      </c>
      <c r="B226">
        <v>2026.0</v>
      </c>
      <c r="C226" t="s">
        <v>321</v>
      </c>
      <c r="D226" t="s">
        <v>316</v>
      </c>
      <c r="E226" t="s">
        <v>35</v>
      </c>
      <c r="F226" t="s">
        <v>305</v>
      </c>
      <c r="G226" t="s">
        <v>10</v>
      </c>
      <c r="H226">
        <v>3280.0</v>
      </c>
      <c r="I226" t="s">
        <v>31</v>
      </c>
      <c r="J226" t="s">
        <v>37</v>
      </c>
      <c r="K226" t="s">
        <v>43</v>
      </c>
      <c r="L226" t="s">
        <v>44</v>
      </c>
      <c r="M226">
        <v>5.0</v>
      </c>
    </row>
    <row r="227">
      <c r="A227" s="2">
        <v>45599</v>
      </c>
      <c r="B227">
        <v>2025.0</v>
      </c>
      <c r="C227" t="s">
        <v>315</v>
      </c>
      <c r="D227" t="s">
        <v>316</v>
      </c>
      <c r="E227" t="s">
        <v>179</v>
      </c>
      <c r="F227" t="s">
        <v>304</v>
      </c>
      <c r="G227" t="s">
        <v>9</v>
      </c>
      <c r="H227">
        <v>2015.0</v>
      </c>
      <c r="I227" t="s">
        <v>31</v>
      </c>
      <c r="J227" t="s">
        <v>99</v>
      </c>
      <c r="K227" t="s">
        <v>43</v>
      </c>
      <c r="L227" t="s">
        <v>44</v>
      </c>
      <c r="M227">
        <v>5.029999999999999</v>
      </c>
    </row>
    <row r="228">
      <c r="A228" s="2">
        <v>45635</v>
      </c>
      <c r="B228">
        <v>2025.0</v>
      </c>
      <c r="C228" t="s">
        <v>315</v>
      </c>
      <c r="D228" t="s">
        <v>316</v>
      </c>
      <c r="E228" t="s">
        <v>256</v>
      </c>
      <c r="F228" t="s">
        <v>304</v>
      </c>
      <c r="G228" t="s">
        <v>9</v>
      </c>
      <c r="H228">
        <v>2350.0</v>
      </c>
      <c r="I228" t="s">
        <v>31</v>
      </c>
      <c r="J228" t="s">
        <v>70</v>
      </c>
      <c r="K228" t="s">
        <v>46</v>
      </c>
      <c r="L228" t="s">
        <v>47</v>
      </c>
      <c r="M228">
        <v>5.1</v>
      </c>
    </row>
    <row r="229">
      <c r="A229" s="2">
        <v>45767</v>
      </c>
      <c r="B229">
        <v>2025.0</v>
      </c>
      <c r="C229" t="s">
        <v>315</v>
      </c>
      <c r="D229" t="s">
        <v>316</v>
      </c>
      <c r="E229" t="s">
        <v>143</v>
      </c>
      <c r="F229" t="s">
        <v>309</v>
      </c>
      <c r="G229" t="s">
        <v>14</v>
      </c>
      <c r="H229">
        <v>800.0</v>
      </c>
      <c r="I229" t="s">
        <v>31</v>
      </c>
      <c r="J229" t="s">
        <v>145</v>
      </c>
      <c r="K229" t="s">
        <v>46</v>
      </c>
      <c r="L229" t="s">
        <v>47</v>
      </c>
      <c r="M229">
        <v>5.11</v>
      </c>
    </row>
    <row r="230">
      <c r="A230" s="2">
        <v>45779</v>
      </c>
      <c r="B230">
        <v>2025.0</v>
      </c>
      <c r="C230" t="s">
        <v>315</v>
      </c>
      <c r="D230" t="s">
        <v>319</v>
      </c>
      <c r="E230" t="s">
        <v>175</v>
      </c>
      <c r="F230" t="s">
        <v>311</v>
      </c>
      <c r="G230" t="s">
        <v>16</v>
      </c>
      <c r="H230">
        <v>2617.0</v>
      </c>
      <c r="I230" t="s">
        <v>31</v>
      </c>
      <c r="J230" t="s">
        <v>107</v>
      </c>
      <c r="K230" t="s">
        <v>71</v>
      </c>
      <c r="L230" t="s">
        <v>72</v>
      </c>
      <c r="M230">
        <v>5.25</v>
      </c>
    </row>
    <row r="231">
      <c r="A231" s="2">
        <v>45676</v>
      </c>
      <c r="B231">
        <v>2025.0</v>
      </c>
      <c r="C231" t="s">
        <v>315</v>
      </c>
      <c r="D231" t="s">
        <v>316</v>
      </c>
      <c r="E231" t="s">
        <v>105</v>
      </c>
      <c r="F231" t="s">
        <v>304</v>
      </c>
      <c r="G231" t="s">
        <v>9</v>
      </c>
      <c r="H231">
        <v>2541.0</v>
      </c>
      <c r="I231" t="s">
        <v>31</v>
      </c>
      <c r="J231" t="s">
        <v>107</v>
      </c>
      <c r="K231" t="s">
        <v>95</v>
      </c>
      <c r="L231" t="s">
        <v>96</v>
      </c>
      <c r="M231">
        <v>5.4</v>
      </c>
    </row>
    <row r="232">
      <c r="A232" s="2">
        <v>45532</v>
      </c>
      <c r="B232">
        <v>2025.0</v>
      </c>
      <c r="C232" t="s">
        <v>315</v>
      </c>
      <c r="D232" t="s">
        <v>316</v>
      </c>
      <c r="E232" t="s">
        <v>62</v>
      </c>
      <c r="F232" t="s">
        <v>307</v>
      </c>
      <c r="G232" t="s">
        <v>12</v>
      </c>
      <c r="H232">
        <v>6530.0</v>
      </c>
      <c r="I232" t="s">
        <v>31</v>
      </c>
      <c r="J232" t="s">
        <v>50</v>
      </c>
      <c r="K232" t="s">
        <v>33</v>
      </c>
      <c r="L232" t="s">
        <v>34</v>
      </c>
      <c r="M232">
        <v>5.44</v>
      </c>
    </row>
    <row r="233">
      <c r="A233" s="2">
        <v>45594</v>
      </c>
      <c r="B233">
        <v>2025.0</v>
      </c>
      <c r="C233" t="s">
        <v>315</v>
      </c>
      <c r="D233" t="s">
        <v>316</v>
      </c>
      <c r="E233" t="s">
        <v>156</v>
      </c>
      <c r="F233" t="s">
        <v>304</v>
      </c>
      <c r="G233" t="s">
        <v>9</v>
      </c>
      <c r="H233">
        <v>2830.0</v>
      </c>
      <c r="I233" t="s">
        <v>31</v>
      </c>
      <c r="J233" t="s">
        <v>75</v>
      </c>
      <c r="K233" t="s">
        <v>46</v>
      </c>
      <c r="L233" t="s">
        <v>47</v>
      </c>
      <c r="M233">
        <v>5.5</v>
      </c>
    </row>
    <row r="234">
      <c r="A234" s="2">
        <v>45890</v>
      </c>
      <c r="B234">
        <v>2026.0</v>
      </c>
      <c r="C234" t="s">
        <v>321</v>
      </c>
      <c r="D234" t="s">
        <v>316</v>
      </c>
      <c r="E234" t="s">
        <v>48</v>
      </c>
      <c r="F234" t="s">
        <v>307</v>
      </c>
      <c r="G234" t="s">
        <v>12</v>
      </c>
      <c r="H234">
        <v>6725.0</v>
      </c>
      <c r="I234" t="s">
        <v>31</v>
      </c>
      <c r="J234" t="s">
        <v>50</v>
      </c>
      <c r="K234" t="s">
        <v>112</v>
      </c>
      <c r="L234" t="s">
        <v>113</v>
      </c>
      <c r="M234">
        <v>5.53</v>
      </c>
    </row>
    <row r="235">
      <c r="A235" s="2">
        <v>45684</v>
      </c>
      <c r="B235">
        <v>2025.0</v>
      </c>
      <c r="C235" t="s">
        <v>315</v>
      </c>
      <c r="D235" t="s">
        <v>319</v>
      </c>
      <c r="E235" t="s">
        <v>183</v>
      </c>
      <c r="F235" t="s">
        <v>304</v>
      </c>
      <c r="G235" t="s">
        <v>9</v>
      </c>
      <c r="H235">
        <v>2480.0</v>
      </c>
      <c r="I235" t="s">
        <v>31</v>
      </c>
      <c r="J235" t="s">
        <v>70</v>
      </c>
      <c r="K235" t="s">
        <v>71</v>
      </c>
      <c r="L235" t="s">
        <v>72</v>
      </c>
      <c r="M235">
        <v>5.54</v>
      </c>
    </row>
    <row r="236">
      <c r="A236" s="2">
        <v>45993</v>
      </c>
      <c r="B236">
        <v>2026.0</v>
      </c>
      <c r="C236" t="s">
        <v>321</v>
      </c>
      <c r="D236" t="s">
        <v>316</v>
      </c>
      <c r="E236" t="s">
        <v>232</v>
      </c>
      <c r="F236" t="s">
        <v>304</v>
      </c>
      <c r="G236" t="s">
        <v>9</v>
      </c>
      <c r="H236">
        <v>2800.0</v>
      </c>
      <c r="I236" t="s">
        <v>31</v>
      </c>
      <c r="J236" t="s">
        <v>75</v>
      </c>
      <c r="K236" t="s">
        <v>38</v>
      </c>
      <c r="L236" t="s">
        <v>39</v>
      </c>
      <c r="M236">
        <v>5.57</v>
      </c>
    </row>
    <row r="237">
      <c r="A237" s="2">
        <v>45887</v>
      </c>
      <c r="B237">
        <v>2026.0</v>
      </c>
      <c r="C237" t="s">
        <v>321</v>
      </c>
      <c r="D237" t="s">
        <v>316</v>
      </c>
      <c r="E237" t="s">
        <v>211</v>
      </c>
      <c r="F237" t="s">
        <v>304</v>
      </c>
      <c r="G237" t="s">
        <v>9</v>
      </c>
      <c r="H237">
        <v>2650.0</v>
      </c>
      <c r="I237" t="s">
        <v>31</v>
      </c>
      <c r="J237" t="s">
        <v>75</v>
      </c>
      <c r="K237" t="s">
        <v>46</v>
      </c>
      <c r="L237" t="s">
        <v>47</v>
      </c>
      <c r="M237">
        <v>5.79</v>
      </c>
    </row>
    <row r="238">
      <c r="A238" s="2">
        <v>45344</v>
      </c>
      <c r="B238">
        <v>2024.0</v>
      </c>
      <c r="C238" t="s">
        <v>318</v>
      </c>
      <c r="D238" t="s">
        <v>316</v>
      </c>
      <c r="E238" t="s">
        <v>254</v>
      </c>
      <c r="F238" t="s">
        <v>308</v>
      </c>
      <c r="G238" t="s">
        <v>13</v>
      </c>
      <c r="H238">
        <v>5343.0</v>
      </c>
      <c r="I238" t="s">
        <v>31</v>
      </c>
      <c r="J238" t="s">
        <v>227</v>
      </c>
      <c r="K238" t="s">
        <v>33</v>
      </c>
      <c r="L238" t="s">
        <v>34</v>
      </c>
      <c r="M238">
        <v>5.97</v>
      </c>
    </row>
    <row r="239">
      <c r="A239" s="2">
        <v>45858</v>
      </c>
      <c r="B239">
        <v>2026.0</v>
      </c>
      <c r="C239" t="s">
        <v>321</v>
      </c>
      <c r="D239" t="s">
        <v>316</v>
      </c>
      <c r="E239" t="s">
        <v>160</v>
      </c>
      <c r="F239" t="s">
        <v>307</v>
      </c>
      <c r="G239" t="s">
        <v>12</v>
      </c>
      <c r="H239">
        <v>6280.0</v>
      </c>
      <c r="I239" t="s">
        <v>31</v>
      </c>
      <c r="J239" t="s">
        <v>162</v>
      </c>
      <c r="K239" t="s">
        <v>33</v>
      </c>
      <c r="L239" t="s">
        <v>34</v>
      </c>
      <c r="M239">
        <v>5.98</v>
      </c>
    </row>
    <row r="240">
      <c r="A240" s="2">
        <v>45618</v>
      </c>
      <c r="B240">
        <v>2025.0</v>
      </c>
      <c r="C240" t="s">
        <v>315</v>
      </c>
      <c r="D240" t="s">
        <v>319</v>
      </c>
      <c r="E240" t="s">
        <v>97</v>
      </c>
      <c r="F240" t="s">
        <v>304</v>
      </c>
      <c r="G240" t="s">
        <v>9</v>
      </c>
      <c r="H240">
        <v>2067.0</v>
      </c>
      <c r="I240" t="s">
        <v>31</v>
      </c>
      <c r="J240" t="s">
        <v>99</v>
      </c>
      <c r="K240" t="s">
        <v>43</v>
      </c>
      <c r="L240" t="s">
        <v>44</v>
      </c>
      <c r="M240">
        <v>5.98</v>
      </c>
    </row>
    <row r="241">
      <c r="A241" s="2">
        <v>46017</v>
      </c>
      <c r="B241">
        <v>2026.0</v>
      </c>
      <c r="C241" t="s">
        <v>321</v>
      </c>
      <c r="D241" t="s">
        <v>316</v>
      </c>
      <c r="E241" t="s">
        <v>139</v>
      </c>
      <c r="F241" t="s">
        <v>305</v>
      </c>
      <c r="G241" t="s">
        <v>10</v>
      </c>
      <c r="H241">
        <v>3199.0</v>
      </c>
      <c r="I241" t="s">
        <v>31</v>
      </c>
      <c r="J241" t="s">
        <v>89</v>
      </c>
      <c r="K241" t="s">
        <v>33</v>
      </c>
      <c r="L241" t="s">
        <v>34</v>
      </c>
      <c r="M241">
        <v>5.98</v>
      </c>
    </row>
    <row r="242">
      <c r="A242" s="2">
        <v>45590</v>
      </c>
      <c r="B242">
        <v>2025.0</v>
      </c>
      <c r="C242" t="s">
        <v>315</v>
      </c>
      <c r="D242" t="s">
        <v>316</v>
      </c>
      <c r="E242" t="s">
        <v>135</v>
      </c>
      <c r="F242" t="s">
        <v>311</v>
      </c>
      <c r="G242" t="s">
        <v>16</v>
      </c>
      <c r="H242">
        <v>2609.0</v>
      </c>
      <c r="I242" t="s">
        <v>31</v>
      </c>
      <c r="J242" t="s">
        <v>107</v>
      </c>
      <c r="K242" t="s">
        <v>112</v>
      </c>
      <c r="L242" t="s">
        <v>113</v>
      </c>
      <c r="M242">
        <v>5.98</v>
      </c>
    </row>
    <row r="243">
      <c r="A243" s="2">
        <v>45516</v>
      </c>
      <c r="B243">
        <v>2025.0</v>
      </c>
      <c r="C243" t="s">
        <v>315</v>
      </c>
      <c r="D243" t="s">
        <v>319</v>
      </c>
      <c r="E243" t="s">
        <v>64</v>
      </c>
      <c r="F243" t="s">
        <v>306</v>
      </c>
      <c r="G243" t="s">
        <v>11</v>
      </c>
      <c r="H243">
        <v>4215.0</v>
      </c>
      <c r="I243" t="s">
        <v>31</v>
      </c>
      <c r="J243" t="s">
        <v>61</v>
      </c>
      <c r="K243" t="s">
        <v>33</v>
      </c>
      <c r="L243" t="s">
        <v>34</v>
      </c>
      <c r="M243">
        <v>5.98</v>
      </c>
    </row>
    <row r="244">
      <c r="A244" s="2">
        <v>45621</v>
      </c>
      <c r="B244">
        <v>2025.0</v>
      </c>
      <c r="C244" t="s">
        <v>315</v>
      </c>
      <c r="D244" t="s">
        <v>316</v>
      </c>
      <c r="E244" t="s">
        <v>40</v>
      </c>
      <c r="F244" t="s">
        <v>308</v>
      </c>
      <c r="G244" t="s">
        <v>13</v>
      </c>
      <c r="H244">
        <v>5011.0</v>
      </c>
      <c r="I244" t="s">
        <v>31</v>
      </c>
      <c r="J244" t="s">
        <v>42</v>
      </c>
      <c r="K244" t="s">
        <v>123</v>
      </c>
      <c r="L244" t="s">
        <v>124</v>
      </c>
      <c r="M244">
        <v>5.98</v>
      </c>
    </row>
    <row r="245">
      <c r="A245" s="2">
        <v>45930</v>
      </c>
      <c r="B245">
        <v>2026.0</v>
      </c>
      <c r="C245" t="s">
        <v>321</v>
      </c>
      <c r="D245" t="s">
        <v>316</v>
      </c>
      <c r="E245" t="s">
        <v>256</v>
      </c>
      <c r="F245" t="s">
        <v>304</v>
      </c>
      <c r="G245" t="s">
        <v>9</v>
      </c>
      <c r="H245">
        <v>2350.0</v>
      </c>
      <c r="I245" t="s">
        <v>31</v>
      </c>
      <c r="J245" t="s">
        <v>70</v>
      </c>
      <c r="K245" t="s">
        <v>43</v>
      </c>
      <c r="L245" t="s">
        <v>44</v>
      </c>
      <c r="M245">
        <v>5.99</v>
      </c>
    </row>
    <row r="246">
      <c r="A246" s="2">
        <v>45691</v>
      </c>
      <c r="B246">
        <v>2025.0</v>
      </c>
      <c r="C246" t="s">
        <v>315</v>
      </c>
      <c r="D246" t="s">
        <v>316</v>
      </c>
      <c r="E246" t="s">
        <v>76</v>
      </c>
      <c r="F246" t="s">
        <v>306</v>
      </c>
      <c r="G246" t="s">
        <v>11</v>
      </c>
      <c r="H246">
        <v>4883.0</v>
      </c>
      <c r="I246" t="s">
        <v>31</v>
      </c>
      <c r="J246" t="s">
        <v>78</v>
      </c>
      <c r="K246" t="s">
        <v>38</v>
      </c>
      <c r="L246" t="s">
        <v>39</v>
      </c>
      <c r="M246">
        <v>5.99</v>
      </c>
    </row>
    <row r="247">
      <c r="A247" s="2">
        <v>45522</v>
      </c>
      <c r="B247">
        <v>2025.0</v>
      </c>
      <c r="C247" t="s">
        <v>315</v>
      </c>
      <c r="D247" t="s">
        <v>319</v>
      </c>
      <c r="E247" t="s">
        <v>97</v>
      </c>
      <c r="F247" t="s">
        <v>304</v>
      </c>
      <c r="G247" t="s">
        <v>9</v>
      </c>
      <c r="H247">
        <v>2067.0</v>
      </c>
      <c r="I247" t="s">
        <v>31</v>
      </c>
      <c r="J247" t="s">
        <v>99</v>
      </c>
      <c r="K247" t="s">
        <v>57</v>
      </c>
      <c r="L247" t="s">
        <v>58</v>
      </c>
      <c r="M247">
        <v>5.99</v>
      </c>
    </row>
    <row r="248">
      <c r="A248" s="2">
        <v>45922</v>
      </c>
      <c r="B248">
        <v>2026.0</v>
      </c>
      <c r="C248" t="s">
        <v>321</v>
      </c>
      <c r="D248" t="s">
        <v>319</v>
      </c>
      <c r="E248" t="s">
        <v>97</v>
      </c>
      <c r="F248" t="s">
        <v>304</v>
      </c>
      <c r="G248" t="s">
        <v>9</v>
      </c>
      <c r="H248">
        <v>2067.0</v>
      </c>
      <c r="I248" t="s">
        <v>31</v>
      </c>
      <c r="J248" t="s">
        <v>99</v>
      </c>
      <c r="K248" t="s">
        <v>46</v>
      </c>
      <c r="L248" t="s">
        <v>47</v>
      </c>
      <c r="M248">
        <v>5.99</v>
      </c>
    </row>
    <row r="249">
      <c r="A249" s="2">
        <v>45474</v>
      </c>
      <c r="B249">
        <v>2025.0</v>
      </c>
      <c r="C249" t="s">
        <v>315</v>
      </c>
      <c r="D249" t="s">
        <v>316</v>
      </c>
      <c r="E249" t="s">
        <v>129</v>
      </c>
      <c r="F249" t="s">
        <v>305</v>
      </c>
      <c r="G249" t="s">
        <v>10</v>
      </c>
      <c r="H249">
        <v>3066.0</v>
      </c>
      <c r="I249" t="s">
        <v>31</v>
      </c>
      <c r="J249" t="s">
        <v>120</v>
      </c>
      <c r="K249" t="s">
        <v>57</v>
      </c>
      <c r="L249" t="s">
        <v>58</v>
      </c>
      <c r="M249">
        <v>5.99</v>
      </c>
    </row>
    <row r="250">
      <c r="A250" s="2">
        <v>46020</v>
      </c>
      <c r="B250">
        <v>2026.0</v>
      </c>
      <c r="C250" t="s">
        <v>321</v>
      </c>
      <c r="D250" t="s">
        <v>316</v>
      </c>
      <c r="E250" t="s">
        <v>217</v>
      </c>
      <c r="F250" t="s">
        <v>305</v>
      </c>
      <c r="G250" t="s">
        <v>10</v>
      </c>
      <c r="H250">
        <v>3136.0</v>
      </c>
      <c r="I250" t="s">
        <v>31</v>
      </c>
      <c r="J250" t="s">
        <v>89</v>
      </c>
      <c r="K250" t="s">
        <v>123</v>
      </c>
      <c r="L250" t="s">
        <v>124</v>
      </c>
      <c r="M250">
        <v>5.99</v>
      </c>
    </row>
    <row r="251">
      <c r="A251" s="2">
        <v>45597</v>
      </c>
      <c r="B251">
        <v>2025.0</v>
      </c>
      <c r="C251" t="s">
        <v>315</v>
      </c>
      <c r="D251" t="s">
        <v>316</v>
      </c>
      <c r="E251" t="s">
        <v>135</v>
      </c>
      <c r="F251" t="s">
        <v>311</v>
      </c>
      <c r="G251" t="s">
        <v>16</v>
      </c>
      <c r="H251">
        <v>2609.0</v>
      </c>
      <c r="I251" t="s">
        <v>31</v>
      </c>
      <c r="J251" t="s">
        <v>107</v>
      </c>
      <c r="K251" t="s">
        <v>46</v>
      </c>
      <c r="L251" t="s">
        <v>47</v>
      </c>
      <c r="M251">
        <v>5.99</v>
      </c>
    </row>
    <row r="252">
      <c r="A252" s="2">
        <v>45301</v>
      </c>
      <c r="B252">
        <v>2024.0</v>
      </c>
      <c r="C252" t="s">
        <v>318</v>
      </c>
      <c r="D252" t="s">
        <v>316</v>
      </c>
      <c r="E252" t="s">
        <v>146</v>
      </c>
      <c r="F252" t="s">
        <v>304</v>
      </c>
      <c r="G252" t="s">
        <v>9</v>
      </c>
      <c r="H252">
        <v>2790.0</v>
      </c>
      <c r="I252" t="s">
        <v>31</v>
      </c>
      <c r="J252" t="s">
        <v>75</v>
      </c>
      <c r="K252" t="s">
        <v>43</v>
      </c>
      <c r="L252" t="s">
        <v>44</v>
      </c>
      <c r="M252">
        <v>5.99</v>
      </c>
    </row>
    <row r="253">
      <c r="A253" s="2">
        <v>45998</v>
      </c>
      <c r="B253">
        <v>2026.0</v>
      </c>
      <c r="C253" t="s">
        <v>321</v>
      </c>
      <c r="D253" t="s">
        <v>319</v>
      </c>
      <c r="E253" t="s">
        <v>125</v>
      </c>
      <c r="F253" t="s">
        <v>305</v>
      </c>
      <c r="G253" t="s">
        <v>10</v>
      </c>
      <c r="H253">
        <v>3931.0</v>
      </c>
      <c r="I253" t="s">
        <v>31</v>
      </c>
      <c r="J253" t="s">
        <v>94</v>
      </c>
      <c r="K253" t="s">
        <v>38</v>
      </c>
      <c r="L253" t="s">
        <v>39</v>
      </c>
      <c r="M253">
        <v>5.99</v>
      </c>
    </row>
    <row r="254">
      <c r="A254" s="2">
        <v>45961</v>
      </c>
      <c r="B254">
        <v>2026.0</v>
      </c>
      <c r="C254" t="s">
        <v>321</v>
      </c>
      <c r="D254" t="s">
        <v>316</v>
      </c>
      <c r="E254" t="s">
        <v>244</v>
      </c>
      <c r="F254" t="s">
        <v>308</v>
      </c>
      <c r="G254" t="s">
        <v>13</v>
      </c>
      <c r="H254">
        <v>5168.0</v>
      </c>
      <c r="I254" t="s">
        <v>31</v>
      </c>
      <c r="J254" t="s">
        <v>42</v>
      </c>
      <c r="K254" t="s">
        <v>71</v>
      </c>
      <c r="L254" t="s">
        <v>72</v>
      </c>
      <c r="M254">
        <v>5.99</v>
      </c>
    </row>
    <row r="255">
      <c r="A255" s="2">
        <v>45521</v>
      </c>
      <c r="B255">
        <v>2025.0</v>
      </c>
      <c r="C255" t="s">
        <v>315</v>
      </c>
      <c r="D255" t="s">
        <v>319</v>
      </c>
      <c r="E255" t="s">
        <v>59</v>
      </c>
      <c r="F255" t="s">
        <v>306</v>
      </c>
      <c r="G255" t="s">
        <v>11</v>
      </c>
      <c r="H255">
        <v>4509.0</v>
      </c>
      <c r="I255" t="s">
        <v>31</v>
      </c>
      <c r="J255" t="s">
        <v>61</v>
      </c>
      <c r="K255" t="s">
        <v>38</v>
      </c>
      <c r="L255" t="s">
        <v>39</v>
      </c>
      <c r="M255">
        <v>5.99</v>
      </c>
    </row>
    <row r="256">
      <c r="A256" s="2">
        <v>45404</v>
      </c>
      <c r="B256">
        <v>2024.0</v>
      </c>
      <c r="C256" t="s">
        <v>318</v>
      </c>
      <c r="D256" t="s">
        <v>319</v>
      </c>
      <c r="E256" t="s">
        <v>105</v>
      </c>
      <c r="F256" t="s">
        <v>304</v>
      </c>
      <c r="G256" t="s">
        <v>9</v>
      </c>
      <c r="H256">
        <v>2541.0</v>
      </c>
      <c r="I256" t="s">
        <v>31</v>
      </c>
      <c r="J256" t="s">
        <v>107</v>
      </c>
      <c r="K256" t="s">
        <v>38</v>
      </c>
      <c r="L256" t="s">
        <v>39</v>
      </c>
      <c r="M256">
        <v>5.99</v>
      </c>
    </row>
    <row r="257">
      <c r="A257" s="2">
        <v>45459</v>
      </c>
      <c r="B257">
        <v>2024.0</v>
      </c>
      <c r="C257" t="s">
        <v>318</v>
      </c>
      <c r="D257" t="s">
        <v>316</v>
      </c>
      <c r="E257" t="s">
        <v>195</v>
      </c>
      <c r="F257" t="s">
        <v>306</v>
      </c>
      <c r="G257" t="s">
        <v>11</v>
      </c>
      <c r="H257">
        <v>4700.0</v>
      </c>
      <c r="I257" t="s">
        <v>31</v>
      </c>
      <c r="J257" t="s">
        <v>32</v>
      </c>
      <c r="K257" t="s">
        <v>112</v>
      </c>
      <c r="L257" t="s">
        <v>113</v>
      </c>
      <c r="M257">
        <v>5.99</v>
      </c>
    </row>
    <row r="258">
      <c r="A258" s="2">
        <v>45748</v>
      </c>
      <c r="B258">
        <v>2025.0</v>
      </c>
      <c r="C258" t="s">
        <v>315</v>
      </c>
      <c r="D258" t="s">
        <v>316</v>
      </c>
      <c r="E258" t="s">
        <v>260</v>
      </c>
      <c r="F258" t="s">
        <v>305</v>
      </c>
      <c r="G258" t="s">
        <v>10</v>
      </c>
      <c r="H258">
        <v>3179.0</v>
      </c>
      <c r="I258" t="s">
        <v>31</v>
      </c>
      <c r="J258" t="s">
        <v>89</v>
      </c>
      <c r="K258" t="s">
        <v>57</v>
      </c>
      <c r="L258" t="s">
        <v>58</v>
      </c>
      <c r="M258">
        <v>5.99</v>
      </c>
    </row>
    <row r="259">
      <c r="A259" s="2">
        <v>45362</v>
      </c>
      <c r="B259">
        <v>2024.0</v>
      </c>
      <c r="C259" t="s">
        <v>318</v>
      </c>
      <c r="D259" t="s">
        <v>319</v>
      </c>
      <c r="E259" t="s">
        <v>64</v>
      </c>
      <c r="F259" t="s">
        <v>306</v>
      </c>
      <c r="G259" t="s">
        <v>11</v>
      </c>
      <c r="H259">
        <v>4215.0</v>
      </c>
      <c r="I259" t="s">
        <v>31</v>
      </c>
      <c r="J259" t="s">
        <v>61</v>
      </c>
      <c r="K259" t="s">
        <v>38</v>
      </c>
      <c r="L259" t="s">
        <v>39</v>
      </c>
      <c r="M259">
        <v>5.99</v>
      </c>
    </row>
    <row r="260">
      <c r="A260" s="2">
        <v>45376</v>
      </c>
      <c r="B260">
        <v>2024.0</v>
      </c>
      <c r="C260" t="s">
        <v>318</v>
      </c>
      <c r="D260" t="s">
        <v>316</v>
      </c>
      <c r="E260" t="s">
        <v>221</v>
      </c>
      <c r="F260" t="s">
        <v>306</v>
      </c>
      <c r="G260" t="s">
        <v>11</v>
      </c>
      <c r="H260">
        <v>4053.0</v>
      </c>
      <c r="I260" t="s">
        <v>31</v>
      </c>
      <c r="J260" t="s">
        <v>56</v>
      </c>
      <c r="K260" t="s">
        <v>43</v>
      </c>
      <c r="L260" t="s">
        <v>44</v>
      </c>
      <c r="M260">
        <v>5.99</v>
      </c>
    </row>
    <row r="261">
      <c r="A261" s="2">
        <v>45560</v>
      </c>
      <c r="B261">
        <v>2025.0</v>
      </c>
      <c r="C261" t="s">
        <v>315</v>
      </c>
      <c r="D261" t="s">
        <v>316</v>
      </c>
      <c r="E261" t="s">
        <v>141</v>
      </c>
      <c r="F261" t="s">
        <v>304</v>
      </c>
      <c r="G261" t="s">
        <v>9</v>
      </c>
      <c r="H261">
        <v>2539.0</v>
      </c>
      <c r="I261" t="s">
        <v>31</v>
      </c>
      <c r="J261" t="s">
        <v>107</v>
      </c>
      <c r="K261" t="s">
        <v>57</v>
      </c>
      <c r="L261" t="s">
        <v>58</v>
      </c>
      <c r="M261">
        <v>5.99</v>
      </c>
    </row>
    <row r="262">
      <c r="A262" s="2">
        <v>45556</v>
      </c>
      <c r="B262">
        <v>2025.0</v>
      </c>
      <c r="C262" t="s">
        <v>315</v>
      </c>
      <c r="D262" t="s">
        <v>319</v>
      </c>
      <c r="E262" t="s">
        <v>211</v>
      </c>
      <c r="F262" t="s">
        <v>304</v>
      </c>
      <c r="G262" t="s">
        <v>9</v>
      </c>
      <c r="H262">
        <v>2650.0</v>
      </c>
      <c r="I262" t="s">
        <v>31</v>
      </c>
      <c r="J262" t="s">
        <v>75</v>
      </c>
      <c r="K262" t="s">
        <v>38</v>
      </c>
      <c r="L262" t="s">
        <v>39</v>
      </c>
      <c r="M262">
        <v>5.99</v>
      </c>
    </row>
    <row r="263">
      <c r="A263" s="2">
        <v>45518</v>
      </c>
      <c r="B263">
        <v>2025.0</v>
      </c>
      <c r="C263" t="s">
        <v>315</v>
      </c>
      <c r="D263" t="s">
        <v>316</v>
      </c>
      <c r="E263" t="s">
        <v>35</v>
      </c>
      <c r="F263" t="s">
        <v>305</v>
      </c>
      <c r="G263" t="s">
        <v>10</v>
      </c>
      <c r="H263">
        <v>3280.0</v>
      </c>
      <c r="I263" t="s">
        <v>31</v>
      </c>
      <c r="J263" t="s">
        <v>37</v>
      </c>
      <c r="K263" t="s">
        <v>95</v>
      </c>
      <c r="L263" t="s">
        <v>96</v>
      </c>
      <c r="M263">
        <v>5.99</v>
      </c>
    </row>
    <row r="264">
      <c r="A264" s="2">
        <v>45959</v>
      </c>
      <c r="B264">
        <v>2026.0</v>
      </c>
      <c r="C264" t="s">
        <v>321</v>
      </c>
      <c r="D264" t="s">
        <v>316</v>
      </c>
      <c r="E264" t="s">
        <v>191</v>
      </c>
      <c r="F264" t="s">
        <v>305</v>
      </c>
      <c r="G264" t="s">
        <v>10</v>
      </c>
      <c r="H264">
        <v>3030.0</v>
      </c>
      <c r="I264" t="s">
        <v>31</v>
      </c>
      <c r="J264" t="s">
        <v>120</v>
      </c>
      <c r="K264" t="s">
        <v>112</v>
      </c>
      <c r="L264" t="s">
        <v>113</v>
      </c>
      <c r="M264">
        <v>5.99</v>
      </c>
    </row>
    <row r="265">
      <c r="A265" s="2">
        <v>45299</v>
      </c>
      <c r="B265">
        <v>2024.0</v>
      </c>
      <c r="C265" t="s">
        <v>318</v>
      </c>
      <c r="D265" t="s">
        <v>316</v>
      </c>
      <c r="E265" t="s">
        <v>127</v>
      </c>
      <c r="F265" t="s">
        <v>306</v>
      </c>
      <c r="G265" t="s">
        <v>11</v>
      </c>
      <c r="H265">
        <v>4802.0</v>
      </c>
      <c r="I265" t="s">
        <v>31</v>
      </c>
      <c r="J265" t="s">
        <v>78</v>
      </c>
      <c r="K265" t="s">
        <v>43</v>
      </c>
      <c r="L265" t="s">
        <v>44</v>
      </c>
      <c r="M265">
        <v>6.0</v>
      </c>
    </row>
    <row r="266">
      <c r="A266" s="2">
        <v>45444</v>
      </c>
      <c r="B266">
        <v>2024.0</v>
      </c>
      <c r="C266" t="s">
        <v>318</v>
      </c>
      <c r="D266" t="s">
        <v>316</v>
      </c>
      <c r="E266" t="s">
        <v>177</v>
      </c>
      <c r="F266" t="s">
        <v>307</v>
      </c>
      <c r="G266" t="s">
        <v>12</v>
      </c>
      <c r="H266">
        <v>6330.0</v>
      </c>
      <c r="I266" t="s">
        <v>31</v>
      </c>
      <c r="J266" t="s">
        <v>162</v>
      </c>
      <c r="K266" t="s">
        <v>33</v>
      </c>
      <c r="L266" t="s">
        <v>34</v>
      </c>
      <c r="M266">
        <v>6.0</v>
      </c>
    </row>
    <row r="267">
      <c r="A267" s="2">
        <v>45525</v>
      </c>
      <c r="B267">
        <v>2025.0</v>
      </c>
      <c r="C267" t="s">
        <v>315</v>
      </c>
      <c r="D267" t="s">
        <v>316</v>
      </c>
      <c r="E267" t="s">
        <v>165</v>
      </c>
      <c r="F267" t="s">
        <v>304</v>
      </c>
      <c r="G267" t="s">
        <v>9</v>
      </c>
      <c r="H267">
        <v>2064.0</v>
      </c>
      <c r="I267" t="s">
        <v>31</v>
      </c>
      <c r="J267" t="s">
        <v>99</v>
      </c>
      <c r="K267" t="s">
        <v>71</v>
      </c>
      <c r="L267" t="s">
        <v>72</v>
      </c>
      <c r="M267">
        <v>6.0</v>
      </c>
    </row>
    <row r="268">
      <c r="A268" s="2">
        <v>45751</v>
      </c>
      <c r="B268">
        <v>2025.0</v>
      </c>
      <c r="C268" t="s">
        <v>315</v>
      </c>
      <c r="D268" t="s">
        <v>316</v>
      </c>
      <c r="E268" t="s">
        <v>154</v>
      </c>
      <c r="F268" t="s">
        <v>306</v>
      </c>
      <c r="G268" t="s">
        <v>11</v>
      </c>
      <c r="H268">
        <v>4551.0</v>
      </c>
      <c r="I268" t="s">
        <v>31</v>
      </c>
      <c r="J268" t="s">
        <v>84</v>
      </c>
      <c r="K268" t="s">
        <v>43</v>
      </c>
      <c r="L268" t="s">
        <v>44</v>
      </c>
      <c r="M268">
        <v>6.0</v>
      </c>
    </row>
    <row r="269">
      <c r="A269" s="2">
        <v>45656</v>
      </c>
      <c r="B269">
        <v>2025.0</v>
      </c>
      <c r="C269" t="s">
        <v>315</v>
      </c>
      <c r="D269" t="s">
        <v>316</v>
      </c>
      <c r="E269" t="s">
        <v>87</v>
      </c>
      <c r="F269" t="s">
        <v>305</v>
      </c>
      <c r="G269" t="s">
        <v>10</v>
      </c>
      <c r="H269">
        <v>3148.0</v>
      </c>
      <c r="I269" t="s">
        <v>31</v>
      </c>
      <c r="J269" t="s">
        <v>89</v>
      </c>
      <c r="K269" t="s">
        <v>43</v>
      </c>
      <c r="L269" t="s">
        <v>44</v>
      </c>
      <c r="M269">
        <v>6.0</v>
      </c>
    </row>
    <row r="270">
      <c r="A270" s="2">
        <v>45851</v>
      </c>
      <c r="B270">
        <v>2026.0</v>
      </c>
      <c r="C270" t="s">
        <v>321</v>
      </c>
      <c r="D270" t="s">
        <v>319</v>
      </c>
      <c r="E270" t="s">
        <v>87</v>
      </c>
      <c r="F270" t="s">
        <v>305</v>
      </c>
      <c r="G270" t="s">
        <v>10</v>
      </c>
      <c r="H270">
        <v>3148.0</v>
      </c>
      <c r="I270" t="s">
        <v>31</v>
      </c>
      <c r="J270" t="s">
        <v>89</v>
      </c>
      <c r="K270" t="s">
        <v>38</v>
      </c>
      <c r="L270" t="s">
        <v>39</v>
      </c>
      <c r="M270">
        <v>6.0</v>
      </c>
    </row>
    <row r="271">
      <c r="A271" s="2">
        <v>45589</v>
      </c>
      <c r="B271">
        <v>2025.0</v>
      </c>
      <c r="C271" t="s">
        <v>315</v>
      </c>
      <c r="D271" t="s">
        <v>319</v>
      </c>
      <c r="E271" t="s">
        <v>97</v>
      </c>
      <c r="F271" t="s">
        <v>304</v>
      </c>
      <c r="G271" t="s">
        <v>9</v>
      </c>
      <c r="H271">
        <v>2067.0</v>
      </c>
      <c r="I271" t="s">
        <v>31</v>
      </c>
      <c r="J271" t="s">
        <v>99</v>
      </c>
      <c r="K271" t="s">
        <v>95</v>
      </c>
      <c r="L271" t="s">
        <v>96</v>
      </c>
      <c r="M271">
        <v>6.0</v>
      </c>
    </row>
    <row r="272">
      <c r="A272" s="2">
        <v>45798</v>
      </c>
      <c r="B272">
        <v>2025.0</v>
      </c>
      <c r="C272" t="s">
        <v>315</v>
      </c>
      <c r="D272" t="s">
        <v>319</v>
      </c>
      <c r="E272" t="s">
        <v>97</v>
      </c>
      <c r="F272" t="s">
        <v>304</v>
      </c>
      <c r="G272" t="s">
        <v>9</v>
      </c>
      <c r="H272">
        <v>2067.0</v>
      </c>
      <c r="I272" t="s">
        <v>31</v>
      </c>
      <c r="J272" t="s">
        <v>99</v>
      </c>
      <c r="K272" t="s">
        <v>71</v>
      </c>
      <c r="L272" t="s">
        <v>72</v>
      </c>
      <c r="M272">
        <v>6.0</v>
      </c>
    </row>
    <row r="273">
      <c r="A273" s="2">
        <v>45353</v>
      </c>
      <c r="B273">
        <v>2024.0</v>
      </c>
      <c r="C273" t="s">
        <v>318</v>
      </c>
      <c r="D273" t="s">
        <v>319</v>
      </c>
      <c r="E273" t="s">
        <v>242</v>
      </c>
      <c r="F273" t="s">
        <v>305</v>
      </c>
      <c r="G273" t="s">
        <v>10</v>
      </c>
      <c r="H273">
        <v>3977.0</v>
      </c>
      <c r="I273" t="s">
        <v>31</v>
      </c>
      <c r="J273" t="s">
        <v>94</v>
      </c>
      <c r="K273" t="s">
        <v>123</v>
      </c>
      <c r="L273" t="s">
        <v>124</v>
      </c>
      <c r="M273">
        <v>6.0</v>
      </c>
    </row>
    <row r="274">
      <c r="A274" s="2">
        <v>45398</v>
      </c>
      <c r="B274">
        <v>2024.0</v>
      </c>
      <c r="C274" t="s">
        <v>318</v>
      </c>
      <c r="D274" t="s">
        <v>316</v>
      </c>
      <c r="E274" t="s">
        <v>135</v>
      </c>
      <c r="F274" t="s">
        <v>311</v>
      </c>
      <c r="G274" t="s">
        <v>16</v>
      </c>
      <c r="H274">
        <v>2609.0</v>
      </c>
      <c r="I274" t="s">
        <v>31</v>
      </c>
      <c r="J274" t="s">
        <v>107</v>
      </c>
      <c r="K274" t="s">
        <v>123</v>
      </c>
      <c r="L274" t="s">
        <v>124</v>
      </c>
      <c r="M274">
        <v>6.0</v>
      </c>
    </row>
    <row r="275">
      <c r="A275" s="2">
        <v>45484</v>
      </c>
      <c r="B275">
        <v>2025.0</v>
      </c>
      <c r="C275" t="s">
        <v>315</v>
      </c>
      <c r="D275" t="s">
        <v>316</v>
      </c>
      <c r="E275" t="s">
        <v>228</v>
      </c>
      <c r="F275" t="s">
        <v>306</v>
      </c>
      <c r="G275" t="s">
        <v>11</v>
      </c>
      <c r="H275">
        <v>4680.0</v>
      </c>
      <c r="I275" t="s">
        <v>31</v>
      </c>
      <c r="J275" t="s">
        <v>32</v>
      </c>
      <c r="K275" t="s">
        <v>71</v>
      </c>
      <c r="L275" t="s">
        <v>72</v>
      </c>
      <c r="M275">
        <v>6.0</v>
      </c>
    </row>
    <row r="276">
      <c r="A276" s="2">
        <v>45811</v>
      </c>
      <c r="B276">
        <v>2025.0</v>
      </c>
      <c r="C276" t="s">
        <v>315</v>
      </c>
      <c r="D276" t="s">
        <v>316</v>
      </c>
      <c r="E276" t="s">
        <v>152</v>
      </c>
      <c r="F276" t="s">
        <v>306</v>
      </c>
      <c r="G276" t="s">
        <v>11</v>
      </c>
      <c r="H276">
        <v>4305.0</v>
      </c>
      <c r="I276" t="s">
        <v>31</v>
      </c>
      <c r="J276" t="s">
        <v>61</v>
      </c>
      <c r="K276" t="s">
        <v>46</v>
      </c>
      <c r="L276" t="s">
        <v>47</v>
      </c>
      <c r="M276">
        <v>6.0</v>
      </c>
    </row>
    <row r="277">
      <c r="A277" s="2">
        <v>45294</v>
      </c>
      <c r="B277">
        <v>2024.0</v>
      </c>
      <c r="C277" t="s">
        <v>318</v>
      </c>
      <c r="D277" t="s">
        <v>316</v>
      </c>
      <c r="E277" t="s">
        <v>79</v>
      </c>
      <c r="F277" t="s">
        <v>304</v>
      </c>
      <c r="G277" t="s">
        <v>9</v>
      </c>
      <c r="H277">
        <v>2141.0</v>
      </c>
      <c r="I277" t="s">
        <v>31</v>
      </c>
      <c r="J277" t="s">
        <v>81</v>
      </c>
      <c r="K277" t="s">
        <v>38</v>
      </c>
      <c r="L277" t="s">
        <v>39</v>
      </c>
      <c r="M277">
        <v>6.0</v>
      </c>
    </row>
    <row r="278">
      <c r="A278" s="2">
        <v>45394</v>
      </c>
      <c r="B278">
        <v>2024.0</v>
      </c>
      <c r="C278" t="s">
        <v>318</v>
      </c>
      <c r="D278" t="s">
        <v>316</v>
      </c>
      <c r="E278" t="s">
        <v>105</v>
      </c>
      <c r="F278" t="s">
        <v>304</v>
      </c>
      <c r="G278" t="s">
        <v>9</v>
      </c>
      <c r="H278">
        <v>2541.0</v>
      </c>
      <c r="I278" t="s">
        <v>31</v>
      </c>
      <c r="J278" t="s">
        <v>107</v>
      </c>
      <c r="K278" t="s">
        <v>71</v>
      </c>
      <c r="L278" t="s">
        <v>72</v>
      </c>
      <c r="M278">
        <v>6.0</v>
      </c>
    </row>
    <row r="279">
      <c r="A279" s="2">
        <v>45879</v>
      </c>
      <c r="B279">
        <v>2026.0</v>
      </c>
      <c r="C279" t="s">
        <v>321</v>
      </c>
      <c r="D279" t="s">
        <v>316</v>
      </c>
      <c r="E279" t="s">
        <v>105</v>
      </c>
      <c r="F279" t="s">
        <v>304</v>
      </c>
      <c r="G279" t="s">
        <v>9</v>
      </c>
      <c r="H279">
        <v>2541.0</v>
      </c>
      <c r="I279" t="s">
        <v>31</v>
      </c>
      <c r="J279" t="s">
        <v>107</v>
      </c>
      <c r="K279" t="s">
        <v>71</v>
      </c>
      <c r="L279" t="s">
        <v>72</v>
      </c>
      <c r="M279">
        <v>6.0</v>
      </c>
    </row>
    <row r="280">
      <c r="A280" s="2">
        <v>45370</v>
      </c>
      <c r="B280">
        <v>2024.0</v>
      </c>
      <c r="C280" t="s">
        <v>318</v>
      </c>
      <c r="D280" t="s">
        <v>316</v>
      </c>
      <c r="E280" t="s">
        <v>73</v>
      </c>
      <c r="F280" t="s">
        <v>304</v>
      </c>
      <c r="G280" t="s">
        <v>9</v>
      </c>
      <c r="H280">
        <v>2750.0</v>
      </c>
      <c r="I280" t="s">
        <v>31</v>
      </c>
      <c r="J280" t="s">
        <v>75</v>
      </c>
      <c r="K280" t="s">
        <v>43</v>
      </c>
      <c r="L280" t="s">
        <v>44</v>
      </c>
      <c r="M280">
        <v>6.0</v>
      </c>
    </row>
    <row r="281">
      <c r="A281" s="2">
        <v>45572</v>
      </c>
      <c r="B281">
        <v>2025.0</v>
      </c>
      <c r="C281" t="s">
        <v>315</v>
      </c>
      <c r="D281" t="s">
        <v>316</v>
      </c>
      <c r="E281" t="s">
        <v>137</v>
      </c>
      <c r="F281" t="s">
        <v>305</v>
      </c>
      <c r="G281" t="s">
        <v>10</v>
      </c>
      <c r="H281">
        <v>3134.0</v>
      </c>
      <c r="I281" t="s">
        <v>31</v>
      </c>
      <c r="J281" t="s">
        <v>89</v>
      </c>
      <c r="K281" t="s">
        <v>33</v>
      </c>
      <c r="L281" t="s">
        <v>34</v>
      </c>
      <c r="M281">
        <v>6.0</v>
      </c>
    </row>
    <row r="282">
      <c r="A282" s="2">
        <v>45711</v>
      </c>
      <c r="B282">
        <v>2025.0</v>
      </c>
      <c r="C282" t="s">
        <v>315</v>
      </c>
      <c r="D282" t="s">
        <v>316</v>
      </c>
      <c r="E282" t="s">
        <v>209</v>
      </c>
      <c r="F282" t="s">
        <v>304</v>
      </c>
      <c r="G282" t="s">
        <v>9</v>
      </c>
      <c r="H282">
        <v>2116.0</v>
      </c>
      <c r="I282" t="s">
        <v>31</v>
      </c>
      <c r="J282" t="s">
        <v>81</v>
      </c>
      <c r="K282" t="s">
        <v>46</v>
      </c>
      <c r="L282" t="s">
        <v>47</v>
      </c>
      <c r="M282">
        <v>6.0</v>
      </c>
    </row>
    <row r="283">
      <c r="A283" s="2">
        <v>45930</v>
      </c>
      <c r="B283">
        <v>2026.0</v>
      </c>
      <c r="C283" t="s">
        <v>321</v>
      </c>
      <c r="D283" t="s">
        <v>316</v>
      </c>
      <c r="E283" t="s">
        <v>260</v>
      </c>
      <c r="F283" t="s">
        <v>305</v>
      </c>
      <c r="G283" t="s">
        <v>10</v>
      </c>
      <c r="H283">
        <v>3179.0</v>
      </c>
      <c r="I283" t="s">
        <v>31</v>
      </c>
      <c r="J283" t="s">
        <v>89</v>
      </c>
      <c r="K283" t="s">
        <v>43</v>
      </c>
      <c r="L283" t="s">
        <v>44</v>
      </c>
      <c r="M283">
        <v>6.0</v>
      </c>
    </row>
    <row r="284">
      <c r="A284" s="2">
        <v>45896</v>
      </c>
      <c r="B284">
        <v>2026.0</v>
      </c>
      <c r="C284" t="s">
        <v>321</v>
      </c>
      <c r="D284" t="s">
        <v>316</v>
      </c>
      <c r="E284" t="s">
        <v>141</v>
      </c>
      <c r="F284" t="s">
        <v>304</v>
      </c>
      <c r="G284" t="s">
        <v>9</v>
      </c>
      <c r="H284">
        <v>2539.0</v>
      </c>
      <c r="I284" t="s">
        <v>31</v>
      </c>
      <c r="J284" t="s">
        <v>107</v>
      </c>
      <c r="K284" t="s">
        <v>43</v>
      </c>
      <c r="L284" t="s">
        <v>44</v>
      </c>
      <c r="M284">
        <v>6.0</v>
      </c>
    </row>
    <row r="285">
      <c r="A285" s="2">
        <v>45580</v>
      </c>
      <c r="B285">
        <v>2025.0</v>
      </c>
      <c r="C285" t="s">
        <v>315</v>
      </c>
      <c r="D285" t="s">
        <v>316</v>
      </c>
      <c r="E285" t="s">
        <v>40</v>
      </c>
      <c r="F285" t="s">
        <v>308</v>
      </c>
      <c r="G285" t="s">
        <v>13</v>
      </c>
      <c r="H285">
        <v>5011.0</v>
      </c>
      <c r="I285" t="s">
        <v>31</v>
      </c>
      <c r="J285" t="s">
        <v>42</v>
      </c>
      <c r="K285" t="s">
        <v>43</v>
      </c>
      <c r="L285" t="s">
        <v>44</v>
      </c>
      <c r="M285">
        <v>6.0</v>
      </c>
    </row>
    <row r="286">
      <c r="A286" s="2">
        <v>45788</v>
      </c>
      <c r="B286">
        <v>2025.0</v>
      </c>
      <c r="C286" t="s">
        <v>315</v>
      </c>
      <c r="D286" t="s">
        <v>316</v>
      </c>
      <c r="E286" t="s">
        <v>76</v>
      </c>
      <c r="F286" t="s">
        <v>306</v>
      </c>
      <c r="G286" t="s">
        <v>11</v>
      </c>
      <c r="H286">
        <v>4883.0</v>
      </c>
      <c r="I286" t="s">
        <v>31</v>
      </c>
      <c r="J286" t="s">
        <v>78</v>
      </c>
      <c r="K286" t="s">
        <v>43</v>
      </c>
      <c r="L286" t="s">
        <v>44</v>
      </c>
      <c r="M286">
        <v>6.5</v>
      </c>
    </row>
    <row r="287">
      <c r="A287" s="2">
        <v>46022</v>
      </c>
      <c r="B287">
        <v>2026.0</v>
      </c>
      <c r="C287" t="s">
        <v>321</v>
      </c>
      <c r="D287" t="s">
        <v>316</v>
      </c>
      <c r="E287" t="s">
        <v>228</v>
      </c>
      <c r="F287" t="s">
        <v>306</v>
      </c>
      <c r="G287" t="s">
        <v>11</v>
      </c>
      <c r="H287">
        <v>4680.0</v>
      </c>
      <c r="I287" t="s">
        <v>31</v>
      </c>
      <c r="J287" t="s">
        <v>32</v>
      </c>
      <c r="K287" t="s">
        <v>95</v>
      </c>
      <c r="L287" t="s">
        <v>96</v>
      </c>
      <c r="M287">
        <v>6.5</v>
      </c>
    </row>
    <row r="288">
      <c r="A288" s="2">
        <v>45699</v>
      </c>
      <c r="B288">
        <v>2025.0</v>
      </c>
      <c r="C288" t="s">
        <v>315</v>
      </c>
      <c r="D288" t="s">
        <v>316</v>
      </c>
      <c r="E288" t="s">
        <v>207</v>
      </c>
      <c r="F288" t="s">
        <v>306</v>
      </c>
      <c r="G288" t="s">
        <v>11</v>
      </c>
      <c r="H288">
        <v>4825.0</v>
      </c>
      <c r="I288" t="s">
        <v>31</v>
      </c>
      <c r="J288" t="s">
        <v>78</v>
      </c>
      <c r="K288" t="s">
        <v>71</v>
      </c>
      <c r="L288" t="s">
        <v>72</v>
      </c>
      <c r="M288">
        <v>6.5</v>
      </c>
    </row>
    <row r="289">
      <c r="A289" s="2">
        <v>45390</v>
      </c>
      <c r="B289">
        <v>2024.0</v>
      </c>
      <c r="C289" t="s">
        <v>318</v>
      </c>
      <c r="D289" t="s">
        <v>319</v>
      </c>
      <c r="E289" t="s">
        <v>175</v>
      </c>
      <c r="F289" t="s">
        <v>311</v>
      </c>
      <c r="G289" t="s">
        <v>16</v>
      </c>
      <c r="H289">
        <v>2617.0</v>
      </c>
      <c r="I289" t="s">
        <v>31</v>
      </c>
      <c r="J289" t="s">
        <v>107</v>
      </c>
      <c r="K289" t="s">
        <v>46</v>
      </c>
      <c r="L289" t="s">
        <v>47</v>
      </c>
      <c r="M289">
        <v>6.56</v>
      </c>
    </row>
    <row r="290">
      <c r="A290" s="2">
        <v>45941</v>
      </c>
      <c r="B290">
        <v>2026.0</v>
      </c>
      <c r="C290" t="s">
        <v>321</v>
      </c>
      <c r="D290" t="s">
        <v>316</v>
      </c>
      <c r="E290" t="s">
        <v>129</v>
      </c>
      <c r="F290" t="s">
        <v>305</v>
      </c>
      <c r="G290" t="s">
        <v>10</v>
      </c>
      <c r="H290">
        <v>3066.0</v>
      </c>
      <c r="I290" t="s">
        <v>31</v>
      </c>
      <c r="J290" t="s">
        <v>120</v>
      </c>
      <c r="K290" t="s">
        <v>33</v>
      </c>
      <c r="L290" t="s">
        <v>34</v>
      </c>
      <c r="M290">
        <v>6.6</v>
      </c>
    </row>
    <row r="291">
      <c r="A291" s="2">
        <v>45836</v>
      </c>
      <c r="B291">
        <v>2025.0</v>
      </c>
      <c r="C291" t="s">
        <v>315</v>
      </c>
      <c r="D291" t="s">
        <v>316</v>
      </c>
      <c r="E291" t="s">
        <v>181</v>
      </c>
      <c r="F291" t="s">
        <v>306</v>
      </c>
      <c r="G291" t="s">
        <v>11</v>
      </c>
      <c r="H291">
        <v>4119.0</v>
      </c>
      <c r="I291" t="s">
        <v>31</v>
      </c>
      <c r="J291" t="s">
        <v>56</v>
      </c>
      <c r="K291" t="s">
        <v>43</v>
      </c>
      <c r="L291" t="s">
        <v>44</v>
      </c>
      <c r="M291">
        <v>6.6</v>
      </c>
    </row>
    <row r="292">
      <c r="A292" s="2">
        <v>45533</v>
      </c>
      <c r="B292">
        <v>2025.0</v>
      </c>
      <c r="C292" t="s">
        <v>315</v>
      </c>
      <c r="D292" t="s">
        <v>316</v>
      </c>
      <c r="E292" t="s">
        <v>64</v>
      </c>
      <c r="F292" t="s">
        <v>306</v>
      </c>
      <c r="G292" t="s">
        <v>11</v>
      </c>
      <c r="H292">
        <v>4215.0</v>
      </c>
      <c r="I292" t="s">
        <v>31</v>
      </c>
      <c r="J292" t="s">
        <v>61</v>
      </c>
      <c r="K292" t="s">
        <v>43</v>
      </c>
      <c r="L292" t="s">
        <v>44</v>
      </c>
      <c r="M292">
        <v>6.69</v>
      </c>
    </row>
    <row r="293">
      <c r="A293" s="2">
        <v>45932</v>
      </c>
      <c r="B293">
        <v>2026.0</v>
      </c>
      <c r="C293" t="s">
        <v>321</v>
      </c>
      <c r="D293" t="s">
        <v>319</v>
      </c>
      <c r="E293" t="s">
        <v>211</v>
      </c>
      <c r="F293" t="s">
        <v>304</v>
      </c>
      <c r="G293" t="s">
        <v>9</v>
      </c>
      <c r="H293">
        <v>2650.0</v>
      </c>
      <c r="I293" t="s">
        <v>31</v>
      </c>
      <c r="J293" t="s">
        <v>75</v>
      </c>
      <c r="K293" t="s">
        <v>112</v>
      </c>
      <c r="L293" t="s">
        <v>113</v>
      </c>
      <c r="M293">
        <v>6.81</v>
      </c>
    </row>
    <row r="294">
      <c r="A294" s="2">
        <v>46014</v>
      </c>
      <c r="B294">
        <v>2026.0</v>
      </c>
      <c r="C294" t="s">
        <v>321</v>
      </c>
      <c r="D294" t="s">
        <v>316</v>
      </c>
      <c r="E294" t="s">
        <v>82</v>
      </c>
      <c r="F294" t="s">
        <v>306</v>
      </c>
      <c r="G294" t="s">
        <v>11</v>
      </c>
      <c r="H294">
        <v>4558.0</v>
      </c>
      <c r="I294" t="s">
        <v>31</v>
      </c>
      <c r="J294" t="s">
        <v>84</v>
      </c>
      <c r="K294" t="s">
        <v>46</v>
      </c>
      <c r="L294" t="s">
        <v>47</v>
      </c>
      <c r="M294">
        <v>6.82</v>
      </c>
    </row>
    <row r="295">
      <c r="A295" s="2">
        <v>45643</v>
      </c>
      <c r="B295">
        <v>2025.0</v>
      </c>
      <c r="C295" t="s">
        <v>315</v>
      </c>
      <c r="D295" t="s">
        <v>316</v>
      </c>
      <c r="E295" t="s">
        <v>256</v>
      </c>
      <c r="F295" t="s">
        <v>304</v>
      </c>
      <c r="G295" t="s">
        <v>9</v>
      </c>
      <c r="H295">
        <v>2350.0</v>
      </c>
      <c r="I295" t="s">
        <v>31</v>
      </c>
      <c r="J295" t="s">
        <v>70</v>
      </c>
      <c r="K295" t="s">
        <v>33</v>
      </c>
      <c r="L295" t="s">
        <v>34</v>
      </c>
      <c r="M295">
        <v>6.96</v>
      </c>
    </row>
    <row r="296">
      <c r="A296" s="2">
        <v>45371</v>
      </c>
      <c r="B296">
        <v>2024.0</v>
      </c>
      <c r="C296" t="s">
        <v>318</v>
      </c>
      <c r="D296" t="s">
        <v>316</v>
      </c>
      <c r="E296" t="s">
        <v>177</v>
      </c>
      <c r="F296" t="s">
        <v>307</v>
      </c>
      <c r="G296" t="s">
        <v>12</v>
      </c>
      <c r="H296">
        <v>6330.0</v>
      </c>
      <c r="I296" t="s">
        <v>31</v>
      </c>
      <c r="J296" t="s">
        <v>162</v>
      </c>
      <c r="K296" t="s">
        <v>33</v>
      </c>
      <c r="L296" t="s">
        <v>34</v>
      </c>
      <c r="M296">
        <v>6.98</v>
      </c>
    </row>
    <row r="297">
      <c r="A297" s="2">
        <v>45930</v>
      </c>
      <c r="B297">
        <v>2026.0</v>
      </c>
      <c r="C297" t="s">
        <v>321</v>
      </c>
      <c r="D297" t="s">
        <v>316</v>
      </c>
      <c r="E297" t="s">
        <v>179</v>
      </c>
      <c r="F297" t="s">
        <v>304</v>
      </c>
      <c r="G297" t="s">
        <v>9</v>
      </c>
      <c r="H297">
        <v>2015.0</v>
      </c>
      <c r="I297" t="s">
        <v>31</v>
      </c>
      <c r="J297" t="s">
        <v>99</v>
      </c>
      <c r="K297" t="s">
        <v>38</v>
      </c>
      <c r="L297" t="s">
        <v>39</v>
      </c>
      <c r="M297">
        <v>6.99</v>
      </c>
    </row>
    <row r="298">
      <c r="A298" s="2">
        <v>45798</v>
      </c>
      <c r="B298">
        <v>2025.0</v>
      </c>
      <c r="C298" t="s">
        <v>315</v>
      </c>
      <c r="D298" t="s">
        <v>316</v>
      </c>
      <c r="E298" t="s">
        <v>262</v>
      </c>
      <c r="F298" t="s">
        <v>305</v>
      </c>
      <c r="G298" t="s">
        <v>10</v>
      </c>
      <c r="H298">
        <v>3018.0</v>
      </c>
      <c r="I298" t="s">
        <v>31</v>
      </c>
      <c r="J298" t="s">
        <v>120</v>
      </c>
      <c r="K298" t="s">
        <v>38</v>
      </c>
      <c r="L298" t="s">
        <v>39</v>
      </c>
      <c r="M298">
        <v>6.99</v>
      </c>
    </row>
    <row r="299">
      <c r="A299" s="2">
        <v>45303</v>
      </c>
      <c r="B299">
        <v>2024.0</v>
      </c>
      <c r="C299" t="s">
        <v>318</v>
      </c>
      <c r="D299" t="s">
        <v>316</v>
      </c>
      <c r="E299" t="s">
        <v>165</v>
      </c>
      <c r="F299" t="s">
        <v>304</v>
      </c>
      <c r="G299" t="s">
        <v>9</v>
      </c>
      <c r="H299">
        <v>2064.0</v>
      </c>
      <c r="I299" t="s">
        <v>31</v>
      </c>
      <c r="J299" t="s">
        <v>99</v>
      </c>
      <c r="K299" t="s">
        <v>95</v>
      </c>
      <c r="L299" t="s">
        <v>96</v>
      </c>
      <c r="M299">
        <v>6.99</v>
      </c>
    </row>
    <row r="300">
      <c r="A300" s="2">
        <v>45687</v>
      </c>
      <c r="B300">
        <v>2025.0</v>
      </c>
      <c r="C300" t="s">
        <v>315</v>
      </c>
      <c r="D300" t="s">
        <v>316</v>
      </c>
      <c r="E300" t="s">
        <v>68</v>
      </c>
      <c r="F300" t="s">
        <v>304</v>
      </c>
      <c r="G300" t="s">
        <v>9</v>
      </c>
      <c r="H300">
        <v>2478.0</v>
      </c>
      <c r="I300" t="s">
        <v>31</v>
      </c>
      <c r="J300" t="s">
        <v>70</v>
      </c>
      <c r="K300" t="s">
        <v>38</v>
      </c>
      <c r="L300" t="s">
        <v>39</v>
      </c>
      <c r="M300">
        <v>6.99</v>
      </c>
    </row>
    <row r="301">
      <c r="A301" s="2">
        <v>45995</v>
      </c>
      <c r="B301">
        <v>2026.0</v>
      </c>
      <c r="C301" t="s">
        <v>321</v>
      </c>
      <c r="D301" t="s">
        <v>319</v>
      </c>
      <c r="E301" t="s">
        <v>187</v>
      </c>
      <c r="F301" t="s">
        <v>306</v>
      </c>
      <c r="G301" t="s">
        <v>11</v>
      </c>
      <c r="H301">
        <v>4870.0</v>
      </c>
      <c r="I301" t="s">
        <v>31</v>
      </c>
      <c r="J301" t="s">
        <v>78</v>
      </c>
      <c r="K301" t="s">
        <v>71</v>
      </c>
      <c r="L301" t="s">
        <v>72</v>
      </c>
      <c r="M301">
        <v>6.99</v>
      </c>
    </row>
    <row r="302">
      <c r="A302" s="2">
        <v>45401</v>
      </c>
      <c r="B302">
        <v>2024.0</v>
      </c>
      <c r="C302" t="s">
        <v>318</v>
      </c>
      <c r="D302" t="s">
        <v>316</v>
      </c>
      <c r="E302" t="s">
        <v>197</v>
      </c>
      <c r="F302" t="s">
        <v>304</v>
      </c>
      <c r="G302" t="s">
        <v>9</v>
      </c>
      <c r="H302">
        <v>2560.0</v>
      </c>
      <c r="I302" t="s">
        <v>31</v>
      </c>
      <c r="J302" t="s">
        <v>107</v>
      </c>
      <c r="K302" t="s">
        <v>95</v>
      </c>
      <c r="L302" t="s">
        <v>96</v>
      </c>
      <c r="M302">
        <v>6.99</v>
      </c>
    </row>
    <row r="303">
      <c r="A303" s="2">
        <v>45774</v>
      </c>
      <c r="B303">
        <v>2025.0</v>
      </c>
      <c r="C303" t="s">
        <v>315</v>
      </c>
      <c r="D303" t="s">
        <v>316</v>
      </c>
      <c r="E303" t="s">
        <v>156</v>
      </c>
      <c r="F303" t="s">
        <v>304</v>
      </c>
      <c r="G303" t="s">
        <v>9</v>
      </c>
      <c r="H303">
        <v>2830.0</v>
      </c>
      <c r="I303" t="s">
        <v>31</v>
      </c>
      <c r="J303" t="s">
        <v>75</v>
      </c>
      <c r="K303" t="s">
        <v>38</v>
      </c>
      <c r="L303" t="s">
        <v>39</v>
      </c>
      <c r="M303">
        <v>6.99</v>
      </c>
    </row>
    <row r="304">
      <c r="A304" s="2">
        <v>45956</v>
      </c>
      <c r="B304">
        <v>2026.0</v>
      </c>
      <c r="C304" t="s">
        <v>321</v>
      </c>
      <c r="D304" t="s">
        <v>319</v>
      </c>
      <c r="E304" t="s">
        <v>183</v>
      </c>
      <c r="F304" t="s">
        <v>304</v>
      </c>
      <c r="G304" t="s">
        <v>9</v>
      </c>
      <c r="H304">
        <v>2480.0</v>
      </c>
      <c r="I304" t="s">
        <v>31</v>
      </c>
      <c r="J304" t="s">
        <v>70</v>
      </c>
      <c r="K304" t="s">
        <v>112</v>
      </c>
      <c r="L304" t="s">
        <v>113</v>
      </c>
      <c r="M304">
        <v>6.99</v>
      </c>
    </row>
    <row r="305">
      <c r="A305" s="2">
        <v>45512</v>
      </c>
      <c r="B305">
        <v>2025.0</v>
      </c>
      <c r="C305" t="s">
        <v>315</v>
      </c>
      <c r="D305" t="s">
        <v>316</v>
      </c>
      <c r="E305" t="s">
        <v>82</v>
      </c>
      <c r="F305" t="s">
        <v>306</v>
      </c>
      <c r="G305" t="s">
        <v>11</v>
      </c>
      <c r="H305">
        <v>4558.0</v>
      </c>
      <c r="I305" t="s">
        <v>31</v>
      </c>
      <c r="J305" t="s">
        <v>84</v>
      </c>
      <c r="K305" t="s">
        <v>43</v>
      </c>
      <c r="L305" t="s">
        <v>44</v>
      </c>
      <c r="M305">
        <v>6.99</v>
      </c>
    </row>
    <row r="306">
      <c r="A306" s="2">
        <v>45649</v>
      </c>
      <c r="B306">
        <v>2025.0</v>
      </c>
      <c r="C306" t="s">
        <v>315</v>
      </c>
      <c r="D306" t="s">
        <v>319</v>
      </c>
      <c r="E306" t="s">
        <v>125</v>
      </c>
      <c r="F306" t="s">
        <v>305</v>
      </c>
      <c r="G306" t="s">
        <v>10</v>
      </c>
      <c r="H306">
        <v>3931.0</v>
      </c>
      <c r="I306" t="s">
        <v>31</v>
      </c>
      <c r="J306" t="s">
        <v>94</v>
      </c>
      <c r="K306" t="s">
        <v>43</v>
      </c>
      <c r="L306" t="s">
        <v>44</v>
      </c>
      <c r="M306">
        <v>6.99</v>
      </c>
    </row>
    <row r="307">
      <c r="A307" s="2">
        <v>46021</v>
      </c>
      <c r="B307">
        <v>2026.0</v>
      </c>
      <c r="C307" t="s">
        <v>321</v>
      </c>
      <c r="D307" t="s">
        <v>316</v>
      </c>
      <c r="E307" t="s">
        <v>221</v>
      </c>
      <c r="F307" t="s">
        <v>306</v>
      </c>
      <c r="G307" t="s">
        <v>11</v>
      </c>
      <c r="H307">
        <v>4053.0</v>
      </c>
      <c r="I307" t="s">
        <v>31</v>
      </c>
      <c r="J307" t="s">
        <v>56</v>
      </c>
      <c r="K307" t="s">
        <v>57</v>
      </c>
      <c r="L307" t="s">
        <v>58</v>
      </c>
      <c r="M307">
        <v>6.99</v>
      </c>
    </row>
    <row r="308">
      <c r="A308" s="2">
        <v>45738</v>
      </c>
      <c r="B308">
        <v>2025.0</v>
      </c>
      <c r="C308" t="s">
        <v>315</v>
      </c>
      <c r="D308" t="s">
        <v>316</v>
      </c>
      <c r="E308" t="s">
        <v>165</v>
      </c>
      <c r="F308" t="s">
        <v>304</v>
      </c>
      <c r="G308" t="s">
        <v>9</v>
      </c>
      <c r="H308">
        <v>2064.0</v>
      </c>
      <c r="I308" t="s">
        <v>31</v>
      </c>
      <c r="J308" t="s">
        <v>99</v>
      </c>
      <c r="K308" t="s">
        <v>43</v>
      </c>
      <c r="L308" t="s">
        <v>44</v>
      </c>
      <c r="M308">
        <v>7.0</v>
      </c>
    </row>
    <row r="309">
      <c r="A309" s="2">
        <v>45410</v>
      </c>
      <c r="B309">
        <v>2024.0</v>
      </c>
      <c r="C309" t="s">
        <v>318</v>
      </c>
      <c r="D309" t="s">
        <v>316</v>
      </c>
      <c r="E309" t="s">
        <v>215</v>
      </c>
      <c r="F309" t="s">
        <v>310</v>
      </c>
      <c r="G309" t="s">
        <v>15</v>
      </c>
      <c r="H309">
        <v>7320.0</v>
      </c>
      <c r="I309" t="s">
        <v>31</v>
      </c>
      <c r="J309" t="s">
        <v>53</v>
      </c>
      <c r="K309" t="s">
        <v>71</v>
      </c>
      <c r="L309" t="s">
        <v>72</v>
      </c>
      <c r="M309">
        <v>7.0</v>
      </c>
    </row>
    <row r="310">
      <c r="A310" s="2">
        <v>45527</v>
      </c>
      <c r="B310">
        <v>2025.0</v>
      </c>
      <c r="C310" t="s">
        <v>315</v>
      </c>
      <c r="D310" t="s">
        <v>316</v>
      </c>
      <c r="E310" t="s">
        <v>197</v>
      </c>
      <c r="F310" t="s">
        <v>304</v>
      </c>
      <c r="G310" t="s">
        <v>9</v>
      </c>
      <c r="H310">
        <v>2560.0</v>
      </c>
      <c r="I310" t="s">
        <v>31</v>
      </c>
      <c r="J310" t="s">
        <v>107</v>
      </c>
      <c r="K310" t="s">
        <v>46</v>
      </c>
      <c r="L310" t="s">
        <v>47</v>
      </c>
      <c r="M310">
        <v>7.0</v>
      </c>
    </row>
    <row r="311">
      <c r="A311" s="2">
        <v>45857</v>
      </c>
      <c r="B311">
        <v>2026.0</v>
      </c>
      <c r="C311" t="s">
        <v>321</v>
      </c>
      <c r="D311" t="s">
        <v>316</v>
      </c>
      <c r="E311" t="s">
        <v>203</v>
      </c>
      <c r="F311" t="s">
        <v>305</v>
      </c>
      <c r="G311" t="s">
        <v>10</v>
      </c>
      <c r="H311">
        <v>3175.0</v>
      </c>
      <c r="I311" t="s">
        <v>31</v>
      </c>
      <c r="J311" t="s">
        <v>89</v>
      </c>
      <c r="K311" t="s">
        <v>43</v>
      </c>
      <c r="L311" t="s">
        <v>44</v>
      </c>
      <c r="M311">
        <v>7.0</v>
      </c>
    </row>
    <row r="312">
      <c r="A312" s="2">
        <v>45407</v>
      </c>
      <c r="B312">
        <v>2024.0</v>
      </c>
      <c r="C312" t="s">
        <v>318</v>
      </c>
      <c r="D312" t="s">
        <v>316</v>
      </c>
      <c r="E312" t="s">
        <v>223</v>
      </c>
      <c r="F312" t="s">
        <v>305</v>
      </c>
      <c r="G312" t="s">
        <v>10</v>
      </c>
      <c r="H312">
        <v>3915.0</v>
      </c>
      <c r="I312" t="s">
        <v>31</v>
      </c>
      <c r="J312" t="s">
        <v>94</v>
      </c>
      <c r="K312" t="s">
        <v>43</v>
      </c>
      <c r="L312" t="s">
        <v>44</v>
      </c>
      <c r="M312">
        <v>7.0</v>
      </c>
    </row>
    <row r="313">
      <c r="A313" s="2">
        <v>45347</v>
      </c>
      <c r="B313">
        <v>2024.0</v>
      </c>
      <c r="C313" t="s">
        <v>318</v>
      </c>
      <c r="D313" t="s">
        <v>316</v>
      </c>
      <c r="E313" t="s">
        <v>219</v>
      </c>
      <c r="F313" t="s">
        <v>306</v>
      </c>
      <c r="G313" t="s">
        <v>11</v>
      </c>
      <c r="H313">
        <v>4068.0</v>
      </c>
      <c r="I313" t="s">
        <v>31</v>
      </c>
      <c r="J313" t="s">
        <v>56</v>
      </c>
      <c r="K313" t="s">
        <v>71</v>
      </c>
      <c r="L313" t="s">
        <v>72</v>
      </c>
      <c r="M313">
        <v>7.0</v>
      </c>
    </row>
    <row r="314">
      <c r="A314" s="2">
        <v>45868</v>
      </c>
      <c r="B314">
        <v>2026.0</v>
      </c>
      <c r="C314" t="s">
        <v>321</v>
      </c>
      <c r="D314" t="s">
        <v>319</v>
      </c>
      <c r="E314" t="s">
        <v>150</v>
      </c>
      <c r="F314" t="s">
        <v>310</v>
      </c>
      <c r="G314" t="s">
        <v>15</v>
      </c>
      <c r="H314">
        <v>7250.0</v>
      </c>
      <c r="I314" t="s">
        <v>31</v>
      </c>
      <c r="J314" t="s">
        <v>53</v>
      </c>
      <c r="K314" t="s">
        <v>95</v>
      </c>
      <c r="L314" t="s">
        <v>96</v>
      </c>
      <c r="M314">
        <v>7.0</v>
      </c>
    </row>
    <row r="315">
      <c r="A315" s="2">
        <v>45637</v>
      </c>
      <c r="B315">
        <v>2025.0</v>
      </c>
      <c r="C315" t="s">
        <v>315</v>
      </c>
      <c r="D315" t="s">
        <v>316</v>
      </c>
      <c r="E315" t="s">
        <v>146</v>
      </c>
      <c r="F315" t="s">
        <v>304</v>
      </c>
      <c r="G315" t="s">
        <v>9</v>
      </c>
      <c r="H315">
        <v>2790.0</v>
      </c>
      <c r="I315" t="s">
        <v>31</v>
      </c>
      <c r="J315" t="s">
        <v>75</v>
      </c>
      <c r="K315" t="s">
        <v>71</v>
      </c>
      <c r="L315" t="s">
        <v>72</v>
      </c>
      <c r="M315">
        <v>7.0</v>
      </c>
    </row>
    <row r="316">
      <c r="A316" s="2">
        <v>45981</v>
      </c>
      <c r="B316">
        <v>2026.0</v>
      </c>
      <c r="C316" t="s">
        <v>321</v>
      </c>
      <c r="D316" t="s">
        <v>316</v>
      </c>
      <c r="E316" t="s">
        <v>125</v>
      </c>
      <c r="F316" t="s">
        <v>305</v>
      </c>
      <c r="G316" t="s">
        <v>10</v>
      </c>
      <c r="H316">
        <v>3931.0</v>
      </c>
      <c r="I316" t="s">
        <v>31</v>
      </c>
      <c r="J316" t="s">
        <v>94</v>
      </c>
      <c r="K316" t="s">
        <v>46</v>
      </c>
      <c r="L316" t="s">
        <v>47</v>
      </c>
      <c r="M316">
        <v>7.0</v>
      </c>
    </row>
    <row r="317">
      <c r="A317" s="2">
        <v>45483</v>
      </c>
      <c r="B317">
        <v>2025.0</v>
      </c>
      <c r="C317" t="s">
        <v>315</v>
      </c>
      <c r="D317" t="s">
        <v>316</v>
      </c>
      <c r="E317" t="s">
        <v>232</v>
      </c>
      <c r="F317" t="s">
        <v>304</v>
      </c>
      <c r="G317" t="s">
        <v>9</v>
      </c>
      <c r="H317">
        <v>2800.0</v>
      </c>
      <c r="I317" t="s">
        <v>31</v>
      </c>
      <c r="J317" t="s">
        <v>75</v>
      </c>
      <c r="K317" t="s">
        <v>46</v>
      </c>
      <c r="L317" t="s">
        <v>47</v>
      </c>
      <c r="M317">
        <v>7.0</v>
      </c>
    </row>
    <row r="318">
      <c r="A318" s="2">
        <v>45364</v>
      </c>
      <c r="B318">
        <v>2024.0</v>
      </c>
      <c r="C318" t="s">
        <v>318</v>
      </c>
      <c r="D318" t="s">
        <v>316</v>
      </c>
      <c r="E318" t="s">
        <v>199</v>
      </c>
      <c r="F318" t="s">
        <v>308</v>
      </c>
      <c r="G318" t="s">
        <v>13</v>
      </c>
      <c r="H318">
        <v>5169.0</v>
      </c>
      <c r="I318" t="s">
        <v>31</v>
      </c>
      <c r="J318" t="s">
        <v>42</v>
      </c>
      <c r="K318" t="s">
        <v>46</v>
      </c>
      <c r="L318" t="s">
        <v>47</v>
      </c>
      <c r="M318">
        <v>7.0</v>
      </c>
    </row>
    <row r="319">
      <c r="A319" s="2">
        <v>45417</v>
      </c>
      <c r="B319">
        <v>2024.0</v>
      </c>
      <c r="C319" t="s">
        <v>318</v>
      </c>
      <c r="D319" t="s">
        <v>316</v>
      </c>
      <c r="E319" t="s">
        <v>54</v>
      </c>
      <c r="F319" t="s">
        <v>306</v>
      </c>
      <c r="G319" t="s">
        <v>11</v>
      </c>
      <c r="H319">
        <v>4012.0</v>
      </c>
      <c r="I319" t="s">
        <v>31</v>
      </c>
      <c r="J319" t="s">
        <v>56</v>
      </c>
      <c r="K319" t="s">
        <v>46</v>
      </c>
      <c r="L319" t="s">
        <v>47</v>
      </c>
      <c r="M319">
        <v>7.0</v>
      </c>
    </row>
    <row r="320">
      <c r="A320" s="2">
        <v>45924</v>
      </c>
      <c r="B320">
        <v>2026.0</v>
      </c>
      <c r="C320" t="s">
        <v>321</v>
      </c>
      <c r="D320" t="s">
        <v>316</v>
      </c>
      <c r="E320" t="s">
        <v>54</v>
      </c>
      <c r="F320" t="s">
        <v>306</v>
      </c>
      <c r="G320" t="s">
        <v>11</v>
      </c>
      <c r="H320">
        <v>4012.0</v>
      </c>
      <c r="I320" t="s">
        <v>31</v>
      </c>
      <c r="J320" t="s">
        <v>56</v>
      </c>
      <c r="K320" t="s">
        <v>43</v>
      </c>
      <c r="L320" t="s">
        <v>44</v>
      </c>
      <c r="M320">
        <v>7.0</v>
      </c>
    </row>
    <row r="321">
      <c r="A321" s="2">
        <v>45531</v>
      </c>
      <c r="B321">
        <v>2025.0</v>
      </c>
      <c r="C321" t="s">
        <v>315</v>
      </c>
      <c r="D321" t="s">
        <v>316</v>
      </c>
      <c r="E321" t="s">
        <v>181</v>
      </c>
      <c r="F321" t="s">
        <v>306</v>
      </c>
      <c r="G321" t="s">
        <v>11</v>
      </c>
      <c r="H321">
        <v>4119.0</v>
      </c>
      <c r="I321" t="s">
        <v>31</v>
      </c>
      <c r="J321" t="s">
        <v>56</v>
      </c>
      <c r="K321" t="s">
        <v>46</v>
      </c>
      <c r="L321" t="s">
        <v>47</v>
      </c>
      <c r="M321">
        <v>7.0</v>
      </c>
    </row>
    <row r="322">
      <c r="A322" s="2">
        <v>45430</v>
      </c>
      <c r="B322">
        <v>2024.0</v>
      </c>
      <c r="C322" t="s">
        <v>318</v>
      </c>
      <c r="D322" t="s">
        <v>316</v>
      </c>
      <c r="E322" t="s">
        <v>87</v>
      </c>
      <c r="F322" t="s">
        <v>305</v>
      </c>
      <c r="G322" t="s">
        <v>10</v>
      </c>
      <c r="H322">
        <v>3148.0</v>
      </c>
      <c r="I322" t="s">
        <v>31</v>
      </c>
      <c r="J322" t="s">
        <v>89</v>
      </c>
      <c r="K322" t="s">
        <v>95</v>
      </c>
      <c r="L322" t="s">
        <v>96</v>
      </c>
      <c r="M322">
        <v>7.09</v>
      </c>
    </row>
    <row r="323">
      <c r="A323" s="2">
        <v>45783</v>
      </c>
      <c r="B323">
        <v>2025.0</v>
      </c>
      <c r="C323" t="s">
        <v>315</v>
      </c>
      <c r="D323" t="s">
        <v>316</v>
      </c>
      <c r="E323" t="s">
        <v>175</v>
      </c>
      <c r="F323" t="s">
        <v>311</v>
      </c>
      <c r="G323" t="s">
        <v>16</v>
      </c>
      <c r="H323">
        <v>2617.0</v>
      </c>
      <c r="I323" t="s">
        <v>31</v>
      </c>
      <c r="J323" t="s">
        <v>107</v>
      </c>
      <c r="K323" t="s">
        <v>95</v>
      </c>
      <c r="L323" t="s">
        <v>96</v>
      </c>
      <c r="M323">
        <v>7.22</v>
      </c>
    </row>
    <row r="324">
      <c r="A324" s="2">
        <v>45470</v>
      </c>
      <c r="B324">
        <v>2024.0</v>
      </c>
      <c r="C324" t="s">
        <v>318</v>
      </c>
      <c r="D324" t="s">
        <v>316</v>
      </c>
      <c r="E324" t="s">
        <v>223</v>
      </c>
      <c r="F324" t="s">
        <v>305</v>
      </c>
      <c r="G324" t="s">
        <v>10</v>
      </c>
      <c r="H324">
        <v>3915.0</v>
      </c>
      <c r="I324" t="s">
        <v>31</v>
      </c>
      <c r="J324" t="s">
        <v>94</v>
      </c>
      <c r="K324" t="s">
        <v>43</v>
      </c>
      <c r="L324" t="s">
        <v>44</v>
      </c>
      <c r="M324">
        <v>7.29</v>
      </c>
    </row>
    <row r="325">
      <c r="A325" s="2">
        <v>45828</v>
      </c>
      <c r="B325">
        <v>2025.0</v>
      </c>
      <c r="C325" t="s">
        <v>315</v>
      </c>
      <c r="D325" t="s">
        <v>316</v>
      </c>
      <c r="E325" t="s">
        <v>195</v>
      </c>
      <c r="F325" t="s">
        <v>306</v>
      </c>
      <c r="G325" t="s">
        <v>11</v>
      </c>
      <c r="H325">
        <v>4700.0</v>
      </c>
      <c r="I325" t="s">
        <v>31</v>
      </c>
      <c r="J325" t="s">
        <v>32</v>
      </c>
      <c r="K325" t="s">
        <v>95</v>
      </c>
      <c r="L325" t="s">
        <v>96</v>
      </c>
      <c r="M325">
        <v>7.41</v>
      </c>
    </row>
    <row r="326">
      <c r="A326" s="2">
        <v>45387</v>
      </c>
      <c r="B326">
        <v>2024.0</v>
      </c>
      <c r="C326" t="s">
        <v>318</v>
      </c>
      <c r="D326" t="s">
        <v>319</v>
      </c>
      <c r="E326" t="s">
        <v>242</v>
      </c>
      <c r="F326" t="s">
        <v>305</v>
      </c>
      <c r="G326" t="s">
        <v>10</v>
      </c>
      <c r="H326">
        <v>3977.0</v>
      </c>
      <c r="I326" t="s">
        <v>31</v>
      </c>
      <c r="J326" t="s">
        <v>94</v>
      </c>
      <c r="K326" t="s">
        <v>43</v>
      </c>
      <c r="L326" t="s">
        <v>44</v>
      </c>
      <c r="M326">
        <v>7.5</v>
      </c>
    </row>
    <row r="327">
      <c r="A327" s="2">
        <v>45391</v>
      </c>
      <c r="B327">
        <v>2024.0</v>
      </c>
      <c r="C327" t="s">
        <v>318</v>
      </c>
      <c r="D327" t="s">
        <v>316</v>
      </c>
      <c r="E327" t="s">
        <v>131</v>
      </c>
      <c r="F327" t="s">
        <v>306</v>
      </c>
      <c r="G327" t="s">
        <v>11</v>
      </c>
      <c r="H327">
        <v>4655.0</v>
      </c>
      <c r="I327" t="s">
        <v>31</v>
      </c>
      <c r="J327" t="s">
        <v>32</v>
      </c>
      <c r="K327" t="s">
        <v>43</v>
      </c>
      <c r="L327" t="s">
        <v>44</v>
      </c>
      <c r="M327">
        <v>7.5</v>
      </c>
    </row>
    <row r="328">
      <c r="A328" s="2">
        <v>45822</v>
      </c>
      <c r="B328">
        <v>2025.0</v>
      </c>
      <c r="C328" t="s">
        <v>315</v>
      </c>
      <c r="D328" t="s">
        <v>319</v>
      </c>
      <c r="E328" t="s">
        <v>64</v>
      </c>
      <c r="F328" t="s">
        <v>306</v>
      </c>
      <c r="G328" t="s">
        <v>11</v>
      </c>
      <c r="H328">
        <v>4215.0</v>
      </c>
      <c r="I328" t="s">
        <v>31</v>
      </c>
      <c r="J328" t="s">
        <v>61</v>
      </c>
      <c r="K328" t="s">
        <v>95</v>
      </c>
      <c r="L328" t="s">
        <v>96</v>
      </c>
      <c r="M328">
        <v>7.57</v>
      </c>
    </row>
    <row r="329">
      <c r="A329" s="2">
        <v>45947</v>
      </c>
      <c r="B329">
        <v>2026.0</v>
      </c>
      <c r="C329" t="s">
        <v>321</v>
      </c>
      <c r="D329" t="s">
        <v>319</v>
      </c>
      <c r="E329" t="s">
        <v>64</v>
      </c>
      <c r="F329" t="s">
        <v>306</v>
      </c>
      <c r="G329" t="s">
        <v>11</v>
      </c>
      <c r="H329">
        <v>4215.0</v>
      </c>
      <c r="I329" t="s">
        <v>31</v>
      </c>
      <c r="J329" t="s">
        <v>61</v>
      </c>
      <c r="K329" t="s">
        <v>95</v>
      </c>
      <c r="L329" t="s">
        <v>96</v>
      </c>
      <c r="M329">
        <v>7.76</v>
      </c>
    </row>
    <row r="330">
      <c r="A330" s="2">
        <v>45829</v>
      </c>
      <c r="B330">
        <v>2025.0</v>
      </c>
      <c r="C330" t="s">
        <v>315</v>
      </c>
      <c r="D330" t="s">
        <v>316</v>
      </c>
      <c r="E330" t="s">
        <v>35</v>
      </c>
      <c r="F330" t="s">
        <v>305</v>
      </c>
      <c r="G330" t="s">
        <v>10</v>
      </c>
      <c r="H330">
        <v>3280.0</v>
      </c>
      <c r="I330" t="s">
        <v>31</v>
      </c>
      <c r="J330" t="s">
        <v>37</v>
      </c>
      <c r="K330" t="s">
        <v>112</v>
      </c>
      <c r="L330" t="s">
        <v>113</v>
      </c>
      <c r="M330">
        <v>7.96</v>
      </c>
    </row>
    <row r="331">
      <c r="A331" s="2">
        <v>45911</v>
      </c>
      <c r="B331">
        <v>2026.0</v>
      </c>
      <c r="C331" t="s">
        <v>321</v>
      </c>
      <c r="D331" t="s">
        <v>316</v>
      </c>
      <c r="E331" t="s">
        <v>256</v>
      </c>
      <c r="F331" t="s">
        <v>304</v>
      </c>
      <c r="G331" t="s">
        <v>9</v>
      </c>
      <c r="H331">
        <v>2350.0</v>
      </c>
      <c r="I331" t="s">
        <v>31</v>
      </c>
      <c r="J331" t="s">
        <v>70</v>
      </c>
      <c r="K331" t="s">
        <v>33</v>
      </c>
      <c r="L331" t="s">
        <v>34</v>
      </c>
      <c r="M331">
        <v>7.98</v>
      </c>
    </row>
    <row r="332">
      <c r="A332" s="2">
        <v>45620</v>
      </c>
      <c r="B332">
        <v>2025.0</v>
      </c>
      <c r="C332" t="s">
        <v>315</v>
      </c>
      <c r="D332" t="s">
        <v>316</v>
      </c>
      <c r="E332" t="s">
        <v>90</v>
      </c>
      <c r="F332" t="s">
        <v>305</v>
      </c>
      <c r="G332" t="s">
        <v>10</v>
      </c>
      <c r="H332">
        <v>3353.0</v>
      </c>
      <c r="I332" t="s">
        <v>31</v>
      </c>
      <c r="J332" t="s">
        <v>37</v>
      </c>
      <c r="K332" t="s">
        <v>112</v>
      </c>
      <c r="L332" t="s">
        <v>113</v>
      </c>
      <c r="M332">
        <v>7.98</v>
      </c>
    </row>
    <row r="333">
      <c r="A333" s="2">
        <v>46012</v>
      </c>
      <c r="B333">
        <v>2026.0</v>
      </c>
      <c r="C333" t="s">
        <v>321</v>
      </c>
      <c r="D333" t="s">
        <v>319</v>
      </c>
      <c r="E333" t="s">
        <v>160</v>
      </c>
      <c r="F333" t="s">
        <v>307</v>
      </c>
      <c r="G333" t="s">
        <v>12</v>
      </c>
      <c r="H333">
        <v>6280.0</v>
      </c>
      <c r="I333" t="s">
        <v>31</v>
      </c>
      <c r="J333" t="s">
        <v>162</v>
      </c>
      <c r="K333" t="s">
        <v>112</v>
      </c>
      <c r="L333" t="s">
        <v>113</v>
      </c>
      <c r="M333">
        <v>7.98</v>
      </c>
    </row>
    <row r="334">
      <c r="A334" s="2">
        <v>45758</v>
      </c>
      <c r="B334">
        <v>2025.0</v>
      </c>
      <c r="C334" t="s">
        <v>315</v>
      </c>
      <c r="D334" t="s">
        <v>316</v>
      </c>
      <c r="E334" t="s">
        <v>87</v>
      </c>
      <c r="F334" t="s">
        <v>305</v>
      </c>
      <c r="G334" t="s">
        <v>10</v>
      </c>
      <c r="H334">
        <v>3148.0</v>
      </c>
      <c r="I334" t="s">
        <v>31</v>
      </c>
      <c r="J334" t="s">
        <v>89</v>
      </c>
      <c r="K334" t="s">
        <v>33</v>
      </c>
      <c r="L334" t="s">
        <v>34</v>
      </c>
      <c r="M334">
        <v>7.98</v>
      </c>
    </row>
    <row r="335">
      <c r="A335" s="2">
        <v>45913</v>
      </c>
      <c r="B335">
        <v>2026.0</v>
      </c>
      <c r="C335" t="s">
        <v>321</v>
      </c>
      <c r="D335" t="s">
        <v>316</v>
      </c>
      <c r="E335" t="s">
        <v>139</v>
      </c>
      <c r="F335" t="s">
        <v>305</v>
      </c>
      <c r="G335" t="s">
        <v>10</v>
      </c>
      <c r="H335">
        <v>3199.0</v>
      </c>
      <c r="I335" t="s">
        <v>31</v>
      </c>
      <c r="J335" t="s">
        <v>89</v>
      </c>
      <c r="K335" t="s">
        <v>112</v>
      </c>
      <c r="L335" t="s">
        <v>113</v>
      </c>
      <c r="M335">
        <v>7.98</v>
      </c>
    </row>
    <row r="336">
      <c r="A336" s="2">
        <v>45903</v>
      </c>
      <c r="B336">
        <v>2026.0</v>
      </c>
      <c r="C336" t="s">
        <v>321</v>
      </c>
      <c r="D336" t="s">
        <v>316</v>
      </c>
      <c r="E336" t="s">
        <v>240</v>
      </c>
      <c r="F336" t="s">
        <v>310</v>
      </c>
      <c r="G336" t="s">
        <v>15</v>
      </c>
      <c r="H336">
        <v>7010.0</v>
      </c>
      <c r="I336" t="s">
        <v>31</v>
      </c>
      <c r="J336" t="s">
        <v>53</v>
      </c>
      <c r="K336" t="s">
        <v>33</v>
      </c>
      <c r="L336" t="s">
        <v>34</v>
      </c>
      <c r="M336">
        <v>7.98</v>
      </c>
    </row>
    <row r="337">
      <c r="A337" s="2">
        <v>45508</v>
      </c>
      <c r="B337">
        <v>2025.0</v>
      </c>
      <c r="C337" t="s">
        <v>315</v>
      </c>
      <c r="D337" t="s">
        <v>316</v>
      </c>
      <c r="E337" t="s">
        <v>169</v>
      </c>
      <c r="F337" t="s">
        <v>307</v>
      </c>
      <c r="G337" t="s">
        <v>12</v>
      </c>
      <c r="H337">
        <v>6027.0</v>
      </c>
      <c r="I337" t="s">
        <v>31</v>
      </c>
      <c r="J337" t="s">
        <v>102</v>
      </c>
      <c r="K337" t="s">
        <v>33</v>
      </c>
      <c r="L337" t="s">
        <v>34</v>
      </c>
      <c r="M337">
        <v>7.98</v>
      </c>
    </row>
    <row r="338">
      <c r="A338" s="2">
        <v>45663</v>
      </c>
      <c r="B338">
        <v>2025.0</v>
      </c>
      <c r="C338" t="s">
        <v>315</v>
      </c>
      <c r="D338" t="s">
        <v>319</v>
      </c>
      <c r="E338" t="s">
        <v>105</v>
      </c>
      <c r="F338" t="s">
        <v>304</v>
      </c>
      <c r="G338" t="s">
        <v>9</v>
      </c>
      <c r="H338">
        <v>2541.0</v>
      </c>
      <c r="I338" t="s">
        <v>31</v>
      </c>
      <c r="J338" t="s">
        <v>107</v>
      </c>
      <c r="K338" t="s">
        <v>71</v>
      </c>
      <c r="L338" t="s">
        <v>72</v>
      </c>
      <c r="M338">
        <v>7.98</v>
      </c>
    </row>
    <row r="339">
      <c r="A339" s="2">
        <v>45904</v>
      </c>
      <c r="B339">
        <v>2026.0</v>
      </c>
      <c r="C339" t="s">
        <v>321</v>
      </c>
      <c r="D339" t="s">
        <v>316</v>
      </c>
      <c r="E339" t="s">
        <v>201</v>
      </c>
      <c r="F339" t="s">
        <v>305</v>
      </c>
      <c r="G339" t="s">
        <v>10</v>
      </c>
      <c r="H339">
        <v>3131.0</v>
      </c>
      <c r="I339" t="s">
        <v>31</v>
      </c>
      <c r="J339" t="s">
        <v>89</v>
      </c>
      <c r="K339" t="s">
        <v>33</v>
      </c>
      <c r="L339" t="s">
        <v>34</v>
      </c>
      <c r="M339">
        <v>7.98</v>
      </c>
    </row>
    <row r="340">
      <c r="A340" s="2">
        <v>45478</v>
      </c>
      <c r="B340">
        <v>2025.0</v>
      </c>
      <c r="C340" t="s">
        <v>315</v>
      </c>
      <c r="D340" t="s">
        <v>319</v>
      </c>
      <c r="E340" t="s">
        <v>225</v>
      </c>
      <c r="F340" t="s">
        <v>308</v>
      </c>
      <c r="G340" t="s">
        <v>13</v>
      </c>
      <c r="H340">
        <v>5607.0</v>
      </c>
      <c r="I340" t="s">
        <v>31</v>
      </c>
      <c r="J340" t="s">
        <v>227</v>
      </c>
      <c r="K340" t="s">
        <v>33</v>
      </c>
      <c r="L340" t="s">
        <v>34</v>
      </c>
      <c r="M340">
        <v>7.98</v>
      </c>
    </row>
    <row r="341">
      <c r="A341" s="2">
        <v>45805</v>
      </c>
      <c r="B341">
        <v>2025.0</v>
      </c>
      <c r="C341" t="s">
        <v>315</v>
      </c>
      <c r="D341" t="s">
        <v>316</v>
      </c>
      <c r="E341" t="s">
        <v>85</v>
      </c>
      <c r="F341" t="s">
        <v>304</v>
      </c>
      <c r="G341" t="s">
        <v>9</v>
      </c>
      <c r="H341">
        <v>2120.0</v>
      </c>
      <c r="I341" t="s">
        <v>31</v>
      </c>
      <c r="J341" t="s">
        <v>81</v>
      </c>
      <c r="K341" t="s">
        <v>33</v>
      </c>
      <c r="L341" t="s">
        <v>34</v>
      </c>
      <c r="M341">
        <v>7.98</v>
      </c>
    </row>
    <row r="342">
      <c r="A342" s="2">
        <v>45910</v>
      </c>
      <c r="B342">
        <v>2026.0</v>
      </c>
      <c r="C342" t="s">
        <v>321</v>
      </c>
      <c r="D342" t="s">
        <v>316</v>
      </c>
      <c r="E342" t="s">
        <v>141</v>
      </c>
      <c r="F342" t="s">
        <v>304</v>
      </c>
      <c r="G342" t="s">
        <v>9</v>
      </c>
      <c r="H342">
        <v>2539.0</v>
      </c>
      <c r="I342" t="s">
        <v>31</v>
      </c>
      <c r="J342" t="s">
        <v>107</v>
      </c>
      <c r="K342" t="s">
        <v>33</v>
      </c>
      <c r="L342" t="s">
        <v>34</v>
      </c>
      <c r="M342">
        <v>7.98</v>
      </c>
    </row>
    <row r="343">
      <c r="A343" s="2">
        <v>45356</v>
      </c>
      <c r="B343">
        <v>2024.0</v>
      </c>
      <c r="C343" t="s">
        <v>318</v>
      </c>
      <c r="D343" t="s">
        <v>319</v>
      </c>
      <c r="E343" t="s">
        <v>181</v>
      </c>
      <c r="F343" t="s">
        <v>306</v>
      </c>
      <c r="G343" t="s">
        <v>11</v>
      </c>
      <c r="H343">
        <v>4119.0</v>
      </c>
      <c r="I343" t="s">
        <v>31</v>
      </c>
      <c r="J343" t="s">
        <v>56</v>
      </c>
      <c r="K343" t="s">
        <v>43</v>
      </c>
      <c r="L343" t="s">
        <v>44</v>
      </c>
      <c r="M343">
        <v>7.98</v>
      </c>
    </row>
    <row r="344">
      <c r="A344" s="2">
        <v>45824</v>
      </c>
      <c r="B344">
        <v>2025.0</v>
      </c>
      <c r="C344" t="s">
        <v>315</v>
      </c>
      <c r="D344" t="s">
        <v>316</v>
      </c>
      <c r="E344" t="s">
        <v>177</v>
      </c>
      <c r="F344" t="s">
        <v>307</v>
      </c>
      <c r="G344" t="s">
        <v>12</v>
      </c>
      <c r="H344">
        <v>6330.0</v>
      </c>
      <c r="I344" t="s">
        <v>31</v>
      </c>
      <c r="J344" t="s">
        <v>162</v>
      </c>
      <c r="K344" t="s">
        <v>43</v>
      </c>
      <c r="L344" t="s">
        <v>44</v>
      </c>
      <c r="M344">
        <v>7.99</v>
      </c>
    </row>
    <row r="345">
      <c r="A345" s="2">
        <v>45682</v>
      </c>
      <c r="B345">
        <v>2025.0</v>
      </c>
      <c r="C345" t="s">
        <v>315</v>
      </c>
      <c r="D345" t="s">
        <v>316</v>
      </c>
      <c r="E345" t="s">
        <v>262</v>
      </c>
      <c r="F345" t="s">
        <v>305</v>
      </c>
      <c r="G345" t="s">
        <v>10</v>
      </c>
      <c r="H345">
        <v>3018.0</v>
      </c>
      <c r="I345" t="s">
        <v>31</v>
      </c>
      <c r="J345" t="s">
        <v>120</v>
      </c>
      <c r="K345" t="s">
        <v>43</v>
      </c>
      <c r="L345" t="s">
        <v>44</v>
      </c>
      <c r="M345">
        <v>7.99</v>
      </c>
    </row>
    <row r="346">
      <c r="A346" s="2">
        <v>45350</v>
      </c>
      <c r="B346">
        <v>2024.0</v>
      </c>
      <c r="C346" t="s">
        <v>318</v>
      </c>
      <c r="D346" t="s">
        <v>316</v>
      </c>
      <c r="E346" t="s">
        <v>250</v>
      </c>
      <c r="F346" t="s">
        <v>305</v>
      </c>
      <c r="G346" t="s">
        <v>10</v>
      </c>
      <c r="H346">
        <v>3550.0</v>
      </c>
      <c r="I346" t="s">
        <v>31</v>
      </c>
      <c r="J346" t="s">
        <v>37</v>
      </c>
      <c r="K346" t="s">
        <v>43</v>
      </c>
      <c r="L346" t="s">
        <v>44</v>
      </c>
      <c r="M346">
        <v>7.99</v>
      </c>
    </row>
    <row r="347">
      <c r="A347" s="2">
        <v>45391</v>
      </c>
      <c r="B347">
        <v>2024.0</v>
      </c>
      <c r="C347" t="s">
        <v>318</v>
      </c>
      <c r="D347" t="s">
        <v>316</v>
      </c>
      <c r="E347" t="s">
        <v>215</v>
      </c>
      <c r="F347" t="s">
        <v>310</v>
      </c>
      <c r="G347" t="s">
        <v>15</v>
      </c>
      <c r="H347">
        <v>7320.0</v>
      </c>
      <c r="I347" t="s">
        <v>31</v>
      </c>
      <c r="J347" t="s">
        <v>53</v>
      </c>
      <c r="K347" t="s">
        <v>33</v>
      </c>
      <c r="L347" t="s">
        <v>34</v>
      </c>
      <c r="M347">
        <v>7.99</v>
      </c>
    </row>
    <row r="348">
      <c r="A348" s="2">
        <v>45472</v>
      </c>
      <c r="B348">
        <v>2024.0</v>
      </c>
      <c r="C348" t="s">
        <v>318</v>
      </c>
      <c r="D348" t="s">
        <v>316</v>
      </c>
      <c r="E348" t="s">
        <v>242</v>
      </c>
      <c r="F348" t="s">
        <v>305</v>
      </c>
      <c r="G348" t="s">
        <v>10</v>
      </c>
      <c r="H348">
        <v>3977.0</v>
      </c>
      <c r="I348" t="s">
        <v>31</v>
      </c>
      <c r="J348" t="s">
        <v>94</v>
      </c>
      <c r="K348" t="s">
        <v>38</v>
      </c>
      <c r="L348" t="s">
        <v>39</v>
      </c>
      <c r="M348">
        <v>7.99</v>
      </c>
    </row>
    <row r="349">
      <c r="A349" s="2">
        <v>45891</v>
      </c>
      <c r="B349">
        <v>2026.0</v>
      </c>
      <c r="C349" t="s">
        <v>321</v>
      </c>
      <c r="D349" t="s">
        <v>316</v>
      </c>
      <c r="E349" t="s">
        <v>203</v>
      </c>
      <c r="F349" t="s">
        <v>305</v>
      </c>
      <c r="G349" t="s">
        <v>10</v>
      </c>
      <c r="H349">
        <v>3175.0</v>
      </c>
      <c r="I349" t="s">
        <v>31</v>
      </c>
      <c r="J349" t="s">
        <v>89</v>
      </c>
      <c r="K349" t="s">
        <v>57</v>
      </c>
      <c r="L349" t="s">
        <v>58</v>
      </c>
      <c r="M349">
        <v>7.99</v>
      </c>
    </row>
    <row r="350">
      <c r="A350" s="2">
        <v>45701</v>
      </c>
      <c r="B350">
        <v>2025.0</v>
      </c>
      <c r="C350" t="s">
        <v>315</v>
      </c>
      <c r="D350" t="s">
        <v>316</v>
      </c>
      <c r="E350" t="s">
        <v>205</v>
      </c>
      <c r="F350" t="s">
        <v>305</v>
      </c>
      <c r="G350" t="s">
        <v>10</v>
      </c>
      <c r="H350">
        <v>3400.0</v>
      </c>
      <c r="I350" t="s">
        <v>31</v>
      </c>
      <c r="J350" t="s">
        <v>37</v>
      </c>
      <c r="K350" t="s">
        <v>71</v>
      </c>
      <c r="L350" t="s">
        <v>72</v>
      </c>
      <c r="M350">
        <v>7.99</v>
      </c>
    </row>
    <row r="351">
      <c r="A351" s="2">
        <v>45841</v>
      </c>
      <c r="B351">
        <v>2026.0</v>
      </c>
      <c r="C351" t="s">
        <v>321</v>
      </c>
      <c r="D351" t="s">
        <v>319</v>
      </c>
      <c r="E351" t="s">
        <v>183</v>
      </c>
      <c r="F351" t="s">
        <v>304</v>
      </c>
      <c r="G351" t="s">
        <v>9</v>
      </c>
      <c r="H351">
        <v>2480.0</v>
      </c>
      <c r="I351" t="s">
        <v>31</v>
      </c>
      <c r="J351" t="s">
        <v>70</v>
      </c>
      <c r="K351" t="s">
        <v>43</v>
      </c>
      <c r="L351" t="s">
        <v>44</v>
      </c>
      <c r="M351">
        <v>7.99</v>
      </c>
    </row>
    <row r="352">
      <c r="A352" s="2">
        <v>45765</v>
      </c>
      <c r="B352">
        <v>2025.0</v>
      </c>
      <c r="C352" t="s">
        <v>315</v>
      </c>
      <c r="D352" t="s">
        <v>316</v>
      </c>
      <c r="E352" t="s">
        <v>171</v>
      </c>
      <c r="F352" t="s">
        <v>305</v>
      </c>
      <c r="G352" t="s">
        <v>10</v>
      </c>
      <c r="H352">
        <v>3500.0</v>
      </c>
      <c r="I352" t="s">
        <v>31</v>
      </c>
      <c r="J352" t="s">
        <v>37</v>
      </c>
      <c r="K352" t="s">
        <v>123</v>
      </c>
      <c r="L352" t="s">
        <v>124</v>
      </c>
      <c r="M352">
        <v>7.99</v>
      </c>
    </row>
    <row r="353">
      <c r="A353" s="2">
        <v>45362</v>
      </c>
      <c r="B353">
        <v>2024.0</v>
      </c>
      <c r="C353" t="s">
        <v>318</v>
      </c>
      <c r="D353" t="s">
        <v>316</v>
      </c>
      <c r="E353" t="s">
        <v>110</v>
      </c>
      <c r="F353" t="s">
        <v>304</v>
      </c>
      <c r="G353" t="s">
        <v>9</v>
      </c>
      <c r="H353">
        <v>2101.0</v>
      </c>
      <c r="I353" t="s">
        <v>31</v>
      </c>
      <c r="J353" t="s">
        <v>81</v>
      </c>
      <c r="K353" t="s">
        <v>46</v>
      </c>
      <c r="L353" t="s">
        <v>47</v>
      </c>
      <c r="M353">
        <v>7.99</v>
      </c>
    </row>
    <row r="354">
      <c r="A354" s="2">
        <v>45581</v>
      </c>
      <c r="B354">
        <v>2025.0</v>
      </c>
      <c r="C354" t="s">
        <v>315</v>
      </c>
      <c r="D354" t="s">
        <v>319</v>
      </c>
      <c r="E354" t="s">
        <v>110</v>
      </c>
      <c r="F354" t="s">
        <v>304</v>
      </c>
      <c r="G354" t="s">
        <v>9</v>
      </c>
      <c r="H354">
        <v>2101.0</v>
      </c>
      <c r="I354" t="s">
        <v>31</v>
      </c>
      <c r="J354" t="s">
        <v>81</v>
      </c>
      <c r="K354" t="s">
        <v>57</v>
      </c>
      <c r="L354" t="s">
        <v>58</v>
      </c>
      <c r="M354">
        <v>7.99</v>
      </c>
    </row>
    <row r="355">
      <c r="A355" s="2">
        <v>45959</v>
      </c>
      <c r="B355">
        <v>2026.0</v>
      </c>
      <c r="C355" t="s">
        <v>321</v>
      </c>
      <c r="D355" t="s">
        <v>316</v>
      </c>
      <c r="E355" t="s">
        <v>195</v>
      </c>
      <c r="F355" t="s">
        <v>306</v>
      </c>
      <c r="G355" t="s">
        <v>11</v>
      </c>
      <c r="H355">
        <v>4700.0</v>
      </c>
      <c r="I355" t="s">
        <v>31</v>
      </c>
      <c r="J355" t="s">
        <v>32</v>
      </c>
      <c r="K355" t="s">
        <v>112</v>
      </c>
      <c r="L355" t="s">
        <v>113</v>
      </c>
      <c r="M355">
        <v>7.99</v>
      </c>
    </row>
    <row r="356">
      <c r="A356" s="2">
        <v>45312</v>
      </c>
      <c r="B356">
        <v>2024.0</v>
      </c>
      <c r="C356" t="s">
        <v>318</v>
      </c>
      <c r="D356" t="s">
        <v>316</v>
      </c>
      <c r="E356" t="s">
        <v>199</v>
      </c>
      <c r="F356" t="s">
        <v>308</v>
      </c>
      <c r="G356" t="s">
        <v>13</v>
      </c>
      <c r="H356">
        <v>5169.0</v>
      </c>
      <c r="I356" t="s">
        <v>31</v>
      </c>
      <c r="J356" t="s">
        <v>42</v>
      </c>
      <c r="K356" t="s">
        <v>123</v>
      </c>
      <c r="L356" t="s">
        <v>124</v>
      </c>
      <c r="M356">
        <v>7.99</v>
      </c>
    </row>
    <row r="357">
      <c r="A357" s="2">
        <v>45602</v>
      </c>
      <c r="B357">
        <v>2025.0</v>
      </c>
      <c r="C357" t="s">
        <v>315</v>
      </c>
      <c r="D357" t="s">
        <v>319</v>
      </c>
      <c r="E357" t="s">
        <v>64</v>
      </c>
      <c r="F357" t="s">
        <v>306</v>
      </c>
      <c r="G357" t="s">
        <v>11</v>
      </c>
      <c r="H357">
        <v>4215.0</v>
      </c>
      <c r="I357" t="s">
        <v>31</v>
      </c>
      <c r="J357" t="s">
        <v>61</v>
      </c>
      <c r="K357" t="s">
        <v>46</v>
      </c>
      <c r="L357" t="s">
        <v>47</v>
      </c>
      <c r="M357">
        <v>7.99</v>
      </c>
    </row>
    <row r="358">
      <c r="A358" s="2">
        <v>45940</v>
      </c>
      <c r="B358">
        <v>2026.0</v>
      </c>
      <c r="C358" t="s">
        <v>321</v>
      </c>
      <c r="D358" t="s">
        <v>316</v>
      </c>
      <c r="E358" t="s">
        <v>141</v>
      </c>
      <c r="F358" t="s">
        <v>304</v>
      </c>
      <c r="G358" t="s">
        <v>9</v>
      </c>
      <c r="H358">
        <v>2539.0</v>
      </c>
      <c r="I358" t="s">
        <v>31</v>
      </c>
      <c r="J358" t="s">
        <v>107</v>
      </c>
      <c r="K358" t="s">
        <v>46</v>
      </c>
      <c r="L358" t="s">
        <v>47</v>
      </c>
      <c r="M358">
        <v>7.99</v>
      </c>
    </row>
    <row r="359">
      <c r="A359" s="2">
        <v>45653</v>
      </c>
      <c r="B359">
        <v>2025.0</v>
      </c>
      <c r="C359" t="s">
        <v>315</v>
      </c>
      <c r="D359" t="s">
        <v>316</v>
      </c>
      <c r="E359" t="s">
        <v>158</v>
      </c>
      <c r="F359" t="s">
        <v>306</v>
      </c>
      <c r="G359" t="s">
        <v>11</v>
      </c>
      <c r="H359">
        <v>4570.0</v>
      </c>
      <c r="I359" t="s">
        <v>31</v>
      </c>
      <c r="J359" t="s">
        <v>84</v>
      </c>
      <c r="K359" t="s">
        <v>46</v>
      </c>
      <c r="L359" t="s">
        <v>47</v>
      </c>
      <c r="M359">
        <v>8.0</v>
      </c>
    </row>
    <row r="360">
      <c r="A360" s="2">
        <v>45960</v>
      </c>
      <c r="B360">
        <v>2026.0</v>
      </c>
      <c r="C360" t="s">
        <v>321</v>
      </c>
      <c r="D360" t="s">
        <v>316</v>
      </c>
      <c r="E360" t="s">
        <v>152</v>
      </c>
      <c r="F360" t="s">
        <v>306</v>
      </c>
      <c r="G360" t="s">
        <v>11</v>
      </c>
      <c r="H360">
        <v>4305.0</v>
      </c>
      <c r="I360" t="s">
        <v>31</v>
      </c>
      <c r="J360" t="s">
        <v>61</v>
      </c>
      <c r="K360" t="s">
        <v>46</v>
      </c>
      <c r="L360" t="s">
        <v>47</v>
      </c>
      <c r="M360">
        <v>8.0</v>
      </c>
    </row>
    <row r="361">
      <c r="A361" s="2">
        <v>45436</v>
      </c>
      <c r="B361">
        <v>2024.0</v>
      </c>
      <c r="C361" t="s">
        <v>318</v>
      </c>
      <c r="D361" t="s">
        <v>316</v>
      </c>
      <c r="E361" t="s">
        <v>146</v>
      </c>
      <c r="F361" t="s">
        <v>304</v>
      </c>
      <c r="G361" t="s">
        <v>9</v>
      </c>
      <c r="H361">
        <v>2790.0</v>
      </c>
      <c r="I361" t="s">
        <v>31</v>
      </c>
      <c r="J361" t="s">
        <v>75</v>
      </c>
      <c r="K361" t="s">
        <v>43</v>
      </c>
      <c r="L361" t="s">
        <v>44</v>
      </c>
      <c r="M361">
        <v>8.0</v>
      </c>
    </row>
    <row r="362">
      <c r="A362" s="2">
        <v>45335</v>
      </c>
      <c r="B362">
        <v>2024.0</v>
      </c>
      <c r="C362" t="s">
        <v>318</v>
      </c>
      <c r="D362" t="s">
        <v>316</v>
      </c>
      <c r="E362" t="s">
        <v>185</v>
      </c>
      <c r="F362" t="s">
        <v>307</v>
      </c>
      <c r="G362" t="s">
        <v>12</v>
      </c>
      <c r="H362">
        <v>6109.0</v>
      </c>
      <c r="I362" t="s">
        <v>31</v>
      </c>
      <c r="J362" t="s">
        <v>162</v>
      </c>
      <c r="K362" t="s">
        <v>43</v>
      </c>
      <c r="L362" t="s">
        <v>44</v>
      </c>
      <c r="M362">
        <v>8.0</v>
      </c>
    </row>
    <row r="363">
      <c r="A363" s="2">
        <v>45957</v>
      </c>
      <c r="B363">
        <v>2026.0</v>
      </c>
      <c r="C363" t="s">
        <v>321</v>
      </c>
      <c r="D363" t="s">
        <v>319</v>
      </c>
      <c r="E363" t="s">
        <v>167</v>
      </c>
      <c r="F363" t="s">
        <v>307</v>
      </c>
      <c r="G363" t="s">
        <v>12</v>
      </c>
      <c r="H363">
        <v>6030.0</v>
      </c>
      <c r="I363" t="s">
        <v>31</v>
      </c>
      <c r="J363" t="s">
        <v>102</v>
      </c>
      <c r="K363" t="s">
        <v>95</v>
      </c>
      <c r="L363" t="s">
        <v>96</v>
      </c>
      <c r="M363">
        <v>8.0</v>
      </c>
    </row>
    <row r="364">
      <c r="A364" s="2">
        <v>45858</v>
      </c>
      <c r="B364">
        <v>2026.0</v>
      </c>
      <c r="C364" t="s">
        <v>321</v>
      </c>
      <c r="D364" t="s">
        <v>319</v>
      </c>
      <c r="E364" t="s">
        <v>114</v>
      </c>
      <c r="F364" t="s">
        <v>304</v>
      </c>
      <c r="G364" t="s">
        <v>9</v>
      </c>
      <c r="H364">
        <v>2031.0</v>
      </c>
      <c r="I364" t="s">
        <v>31</v>
      </c>
      <c r="J364" t="s">
        <v>99</v>
      </c>
      <c r="K364" t="s">
        <v>71</v>
      </c>
      <c r="L364" t="s">
        <v>72</v>
      </c>
      <c r="M364">
        <v>8.0</v>
      </c>
    </row>
    <row r="365">
      <c r="A365" s="2">
        <v>46001</v>
      </c>
      <c r="B365">
        <v>2026.0</v>
      </c>
      <c r="C365" t="s">
        <v>321</v>
      </c>
      <c r="D365" t="s">
        <v>319</v>
      </c>
      <c r="E365" t="s">
        <v>181</v>
      </c>
      <c r="F365" t="s">
        <v>306</v>
      </c>
      <c r="G365" t="s">
        <v>11</v>
      </c>
      <c r="H365">
        <v>4119.0</v>
      </c>
      <c r="I365" t="s">
        <v>31</v>
      </c>
      <c r="J365" t="s">
        <v>56</v>
      </c>
      <c r="K365" t="s">
        <v>38</v>
      </c>
      <c r="L365" t="s">
        <v>39</v>
      </c>
      <c r="M365">
        <v>8.0</v>
      </c>
    </row>
    <row r="366">
      <c r="A366" s="2">
        <v>45355</v>
      </c>
      <c r="B366">
        <v>2024.0</v>
      </c>
      <c r="C366" t="s">
        <v>318</v>
      </c>
      <c r="D366" t="s">
        <v>316</v>
      </c>
      <c r="E366" t="s">
        <v>87</v>
      </c>
      <c r="F366" t="s">
        <v>305</v>
      </c>
      <c r="G366" t="s">
        <v>10</v>
      </c>
      <c r="H366">
        <v>3148.0</v>
      </c>
      <c r="I366" t="s">
        <v>31</v>
      </c>
      <c r="J366" t="s">
        <v>89</v>
      </c>
      <c r="K366" t="s">
        <v>43</v>
      </c>
      <c r="L366" t="s">
        <v>44</v>
      </c>
      <c r="M366">
        <v>8.1</v>
      </c>
    </row>
    <row r="367">
      <c r="A367" s="2">
        <v>45504</v>
      </c>
      <c r="B367">
        <v>2025.0</v>
      </c>
      <c r="C367" t="s">
        <v>315</v>
      </c>
      <c r="D367" t="s">
        <v>316</v>
      </c>
      <c r="E367" t="s">
        <v>246</v>
      </c>
      <c r="F367" t="s">
        <v>305</v>
      </c>
      <c r="G367" t="s">
        <v>10</v>
      </c>
      <c r="H367">
        <v>3551.0</v>
      </c>
      <c r="I367" t="s">
        <v>31</v>
      </c>
      <c r="J367" t="s">
        <v>37</v>
      </c>
      <c r="K367" t="s">
        <v>33</v>
      </c>
      <c r="L367" t="s">
        <v>34</v>
      </c>
      <c r="M367">
        <v>8.23</v>
      </c>
    </row>
    <row r="368">
      <c r="A368" s="2">
        <v>45826</v>
      </c>
      <c r="B368">
        <v>2025.0</v>
      </c>
      <c r="C368" t="s">
        <v>315</v>
      </c>
      <c r="D368" t="s">
        <v>316</v>
      </c>
      <c r="E368" t="s">
        <v>209</v>
      </c>
      <c r="F368" t="s">
        <v>304</v>
      </c>
      <c r="G368" t="s">
        <v>9</v>
      </c>
      <c r="H368">
        <v>2116.0</v>
      </c>
      <c r="I368" t="s">
        <v>31</v>
      </c>
      <c r="J368" t="s">
        <v>81</v>
      </c>
      <c r="K368" t="s">
        <v>57</v>
      </c>
      <c r="L368" t="s">
        <v>58</v>
      </c>
      <c r="M368">
        <v>8.26</v>
      </c>
    </row>
    <row r="369">
      <c r="A369" s="2">
        <v>45745</v>
      </c>
      <c r="B369">
        <v>2025.0</v>
      </c>
      <c r="C369" t="s">
        <v>315</v>
      </c>
      <c r="D369" t="s">
        <v>316</v>
      </c>
      <c r="E369" t="s">
        <v>209</v>
      </c>
      <c r="F369" t="s">
        <v>304</v>
      </c>
      <c r="G369" t="s">
        <v>9</v>
      </c>
      <c r="H369">
        <v>2116.0</v>
      </c>
      <c r="I369" t="s">
        <v>31</v>
      </c>
      <c r="J369" t="s">
        <v>81</v>
      </c>
      <c r="K369" t="s">
        <v>66</v>
      </c>
      <c r="L369" t="s">
        <v>67</v>
      </c>
      <c r="M369">
        <v>8.28</v>
      </c>
    </row>
    <row r="370">
      <c r="A370" s="2">
        <v>45413</v>
      </c>
      <c r="B370">
        <v>2024.0</v>
      </c>
      <c r="C370" t="s">
        <v>318</v>
      </c>
      <c r="D370" t="s">
        <v>316</v>
      </c>
      <c r="E370" t="s">
        <v>209</v>
      </c>
      <c r="F370" t="s">
        <v>304</v>
      </c>
      <c r="G370" t="s">
        <v>9</v>
      </c>
      <c r="H370">
        <v>2116.0</v>
      </c>
      <c r="I370" t="s">
        <v>31</v>
      </c>
      <c r="J370" t="s">
        <v>81</v>
      </c>
      <c r="K370" t="s">
        <v>71</v>
      </c>
      <c r="L370" t="s">
        <v>72</v>
      </c>
      <c r="M370">
        <v>8.440000000000001</v>
      </c>
    </row>
    <row r="371">
      <c r="A371" s="2">
        <v>45402</v>
      </c>
      <c r="B371">
        <v>2024.0</v>
      </c>
      <c r="C371" t="s">
        <v>318</v>
      </c>
      <c r="D371" t="s">
        <v>316</v>
      </c>
      <c r="E371" t="s">
        <v>148</v>
      </c>
      <c r="F371" t="s">
        <v>307</v>
      </c>
      <c r="G371" t="s">
        <v>12</v>
      </c>
      <c r="H371">
        <v>6450.0</v>
      </c>
      <c r="I371" t="s">
        <v>31</v>
      </c>
      <c r="J371" t="s">
        <v>50</v>
      </c>
      <c r="K371" t="s">
        <v>43</v>
      </c>
      <c r="L371" t="s">
        <v>44</v>
      </c>
      <c r="M371">
        <v>8.5</v>
      </c>
    </row>
    <row r="372">
      <c r="A372" s="2">
        <v>45574</v>
      </c>
      <c r="B372">
        <v>2025.0</v>
      </c>
      <c r="C372" t="s">
        <v>315</v>
      </c>
      <c r="D372" t="s">
        <v>316</v>
      </c>
      <c r="E372" t="s">
        <v>185</v>
      </c>
      <c r="F372" t="s">
        <v>307</v>
      </c>
      <c r="G372" t="s">
        <v>12</v>
      </c>
      <c r="H372">
        <v>6109.0</v>
      </c>
      <c r="I372" t="s">
        <v>31</v>
      </c>
      <c r="J372" t="s">
        <v>162</v>
      </c>
      <c r="K372" t="s">
        <v>43</v>
      </c>
      <c r="L372" t="s">
        <v>44</v>
      </c>
      <c r="M372">
        <v>8.5</v>
      </c>
    </row>
    <row r="373">
      <c r="A373" s="2">
        <v>45712</v>
      </c>
      <c r="B373">
        <v>2025.0</v>
      </c>
      <c r="C373" t="s">
        <v>315</v>
      </c>
      <c r="D373" t="s">
        <v>316</v>
      </c>
      <c r="E373" t="s">
        <v>114</v>
      </c>
      <c r="F373" t="s">
        <v>304</v>
      </c>
      <c r="G373" t="s">
        <v>9</v>
      </c>
      <c r="H373">
        <v>2031.0</v>
      </c>
      <c r="I373" t="s">
        <v>31</v>
      </c>
      <c r="J373" t="s">
        <v>99</v>
      </c>
      <c r="K373" t="s">
        <v>43</v>
      </c>
      <c r="L373" t="s">
        <v>44</v>
      </c>
      <c r="M373">
        <v>8.5</v>
      </c>
    </row>
    <row r="374">
      <c r="A374" s="2">
        <v>45904</v>
      </c>
      <c r="B374">
        <v>2026.0</v>
      </c>
      <c r="C374" t="s">
        <v>321</v>
      </c>
      <c r="D374" t="s">
        <v>319</v>
      </c>
      <c r="E374" t="s">
        <v>154</v>
      </c>
      <c r="F374" t="s">
        <v>306</v>
      </c>
      <c r="G374" t="s">
        <v>11</v>
      </c>
      <c r="H374">
        <v>4551.0</v>
      </c>
      <c r="I374" t="s">
        <v>31</v>
      </c>
      <c r="J374" t="s">
        <v>84</v>
      </c>
      <c r="K374" t="s">
        <v>38</v>
      </c>
      <c r="L374" t="s">
        <v>39</v>
      </c>
      <c r="M374">
        <v>8.629999999999999</v>
      </c>
    </row>
    <row r="375">
      <c r="A375" s="2">
        <v>45536</v>
      </c>
      <c r="B375">
        <v>2025.0</v>
      </c>
      <c r="C375" t="s">
        <v>315</v>
      </c>
      <c r="D375" t="s">
        <v>316</v>
      </c>
      <c r="E375" t="s">
        <v>256</v>
      </c>
      <c r="F375" t="s">
        <v>304</v>
      </c>
      <c r="G375" t="s">
        <v>9</v>
      </c>
      <c r="H375">
        <v>2350.0</v>
      </c>
      <c r="I375" t="s">
        <v>31</v>
      </c>
      <c r="J375" t="s">
        <v>70</v>
      </c>
      <c r="K375" t="s">
        <v>43</v>
      </c>
      <c r="L375" t="s">
        <v>44</v>
      </c>
      <c r="M375">
        <v>8.84</v>
      </c>
    </row>
    <row r="376">
      <c r="A376" s="2">
        <v>45872</v>
      </c>
      <c r="B376">
        <v>2026.0</v>
      </c>
      <c r="C376" t="s">
        <v>321</v>
      </c>
      <c r="D376" t="s">
        <v>319</v>
      </c>
      <c r="E376" t="s">
        <v>108</v>
      </c>
      <c r="F376" t="s">
        <v>304</v>
      </c>
      <c r="G376" t="s">
        <v>9</v>
      </c>
      <c r="H376">
        <v>2795.0</v>
      </c>
      <c r="I376" t="s">
        <v>31</v>
      </c>
      <c r="J376" t="s">
        <v>75</v>
      </c>
      <c r="K376" t="s">
        <v>95</v>
      </c>
      <c r="L376" t="s">
        <v>96</v>
      </c>
      <c r="M376">
        <v>8.940000000000001</v>
      </c>
    </row>
    <row r="377">
      <c r="A377" s="2">
        <v>45669</v>
      </c>
      <c r="B377">
        <v>2025.0</v>
      </c>
      <c r="C377" t="s">
        <v>315</v>
      </c>
      <c r="D377" t="s">
        <v>316</v>
      </c>
      <c r="E377" t="s">
        <v>85</v>
      </c>
      <c r="F377" t="s">
        <v>304</v>
      </c>
      <c r="G377" t="s">
        <v>9</v>
      </c>
      <c r="H377">
        <v>2120.0</v>
      </c>
      <c r="I377" t="s">
        <v>31</v>
      </c>
      <c r="J377" t="s">
        <v>81</v>
      </c>
      <c r="K377" t="s">
        <v>95</v>
      </c>
      <c r="L377" t="s">
        <v>96</v>
      </c>
      <c r="M377">
        <v>8.940000000000001</v>
      </c>
    </row>
    <row r="378">
      <c r="A378" s="2">
        <v>45443</v>
      </c>
      <c r="B378">
        <v>2024.0</v>
      </c>
      <c r="C378" t="s">
        <v>318</v>
      </c>
      <c r="D378" t="s">
        <v>316</v>
      </c>
      <c r="E378" t="s">
        <v>129</v>
      </c>
      <c r="F378" t="s">
        <v>305</v>
      </c>
      <c r="G378" t="s">
        <v>10</v>
      </c>
      <c r="H378">
        <v>3066.0</v>
      </c>
      <c r="I378" t="s">
        <v>31</v>
      </c>
      <c r="J378" t="s">
        <v>120</v>
      </c>
      <c r="K378" t="s">
        <v>43</v>
      </c>
      <c r="L378" t="s">
        <v>44</v>
      </c>
      <c r="M378">
        <v>8.97</v>
      </c>
    </row>
    <row r="379">
      <c r="A379" s="2">
        <v>45520</v>
      </c>
      <c r="B379">
        <v>2025.0</v>
      </c>
      <c r="C379" t="s">
        <v>315</v>
      </c>
      <c r="D379" t="s">
        <v>316</v>
      </c>
      <c r="E379" t="s">
        <v>143</v>
      </c>
      <c r="F379" t="s">
        <v>309</v>
      </c>
      <c r="G379" t="s">
        <v>14</v>
      </c>
      <c r="H379">
        <v>800.0</v>
      </c>
      <c r="I379" t="s">
        <v>31</v>
      </c>
      <c r="J379" t="s">
        <v>145</v>
      </c>
      <c r="K379" t="s">
        <v>38</v>
      </c>
      <c r="L379" t="s">
        <v>39</v>
      </c>
      <c r="M379">
        <v>8.98</v>
      </c>
    </row>
    <row r="380">
      <c r="A380" s="2">
        <v>45682</v>
      </c>
      <c r="B380">
        <v>2025.0</v>
      </c>
      <c r="C380" t="s">
        <v>315</v>
      </c>
      <c r="D380" t="s">
        <v>319</v>
      </c>
      <c r="E380" t="s">
        <v>160</v>
      </c>
      <c r="F380" t="s">
        <v>307</v>
      </c>
      <c r="G380" t="s">
        <v>12</v>
      </c>
      <c r="H380">
        <v>6280.0</v>
      </c>
      <c r="I380" t="s">
        <v>31</v>
      </c>
      <c r="J380" t="s">
        <v>162</v>
      </c>
      <c r="K380" t="s">
        <v>46</v>
      </c>
      <c r="L380" t="s">
        <v>47</v>
      </c>
      <c r="M380">
        <v>8.99</v>
      </c>
    </row>
    <row r="381">
      <c r="A381" s="2">
        <v>45763</v>
      </c>
      <c r="B381">
        <v>2025.0</v>
      </c>
      <c r="C381" t="s">
        <v>315</v>
      </c>
      <c r="D381" t="s">
        <v>316</v>
      </c>
      <c r="E381" t="s">
        <v>197</v>
      </c>
      <c r="F381" t="s">
        <v>304</v>
      </c>
      <c r="G381" t="s">
        <v>9</v>
      </c>
      <c r="H381">
        <v>2560.0</v>
      </c>
      <c r="I381" t="s">
        <v>31</v>
      </c>
      <c r="J381" t="s">
        <v>107</v>
      </c>
      <c r="K381" t="s">
        <v>38</v>
      </c>
      <c r="L381" t="s">
        <v>39</v>
      </c>
      <c r="M381">
        <v>8.99</v>
      </c>
    </row>
    <row r="382">
      <c r="A382" s="2">
        <v>45760</v>
      </c>
      <c r="B382">
        <v>2025.0</v>
      </c>
      <c r="C382" t="s">
        <v>315</v>
      </c>
      <c r="D382" t="s">
        <v>316</v>
      </c>
      <c r="E382" t="s">
        <v>105</v>
      </c>
      <c r="F382" t="s">
        <v>304</v>
      </c>
      <c r="G382" t="s">
        <v>9</v>
      </c>
      <c r="H382">
        <v>2541.0</v>
      </c>
      <c r="I382" t="s">
        <v>31</v>
      </c>
      <c r="J382" t="s">
        <v>107</v>
      </c>
      <c r="K382" t="s">
        <v>57</v>
      </c>
      <c r="L382" t="s">
        <v>58</v>
      </c>
      <c r="M382">
        <v>8.99</v>
      </c>
    </row>
    <row r="383">
      <c r="A383" s="2">
        <v>45408</v>
      </c>
      <c r="B383">
        <v>2024.0</v>
      </c>
      <c r="C383" t="s">
        <v>318</v>
      </c>
      <c r="D383" t="s">
        <v>316</v>
      </c>
      <c r="E383" t="s">
        <v>258</v>
      </c>
      <c r="F383" t="s">
        <v>309</v>
      </c>
      <c r="G383" t="s">
        <v>14</v>
      </c>
      <c r="H383">
        <v>870.0</v>
      </c>
      <c r="I383" t="s">
        <v>31</v>
      </c>
      <c r="J383" t="s">
        <v>145</v>
      </c>
      <c r="K383" t="s">
        <v>43</v>
      </c>
      <c r="L383" t="s">
        <v>44</v>
      </c>
      <c r="M383">
        <v>9.0</v>
      </c>
    </row>
    <row r="384">
      <c r="A384" s="2">
        <v>45366</v>
      </c>
      <c r="B384">
        <v>2024.0</v>
      </c>
      <c r="C384" t="s">
        <v>318</v>
      </c>
      <c r="D384" t="s">
        <v>316</v>
      </c>
      <c r="E384" t="s">
        <v>103</v>
      </c>
      <c r="F384" t="s">
        <v>307</v>
      </c>
      <c r="G384" t="s">
        <v>12</v>
      </c>
      <c r="H384">
        <v>6021.0</v>
      </c>
      <c r="I384" t="s">
        <v>31</v>
      </c>
      <c r="J384" t="s">
        <v>102</v>
      </c>
      <c r="K384" t="s">
        <v>43</v>
      </c>
      <c r="L384" t="s">
        <v>44</v>
      </c>
      <c r="M384">
        <v>9.0</v>
      </c>
    </row>
    <row r="385">
      <c r="A385" s="2">
        <v>45496</v>
      </c>
      <c r="B385">
        <v>2025.0</v>
      </c>
      <c r="C385" t="s">
        <v>315</v>
      </c>
      <c r="D385" t="s">
        <v>316</v>
      </c>
      <c r="E385" t="s">
        <v>48</v>
      </c>
      <c r="F385" t="s">
        <v>307</v>
      </c>
      <c r="G385" t="s">
        <v>12</v>
      </c>
      <c r="H385">
        <v>6725.0</v>
      </c>
      <c r="I385" t="s">
        <v>31</v>
      </c>
      <c r="J385" t="s">
        <v>50</v>
      </c>
      <c r="K385" t="s">
        <v>43</v>
      </c>
      <c r="L385" t="s">
        <v>44</v>
      </c>
      <c r="M385">
        <v>9.0</v>
      </c>
    </row>
    <row r="386">
      <c r="A386" s="2">
        <v>45547</v>
      </c>
      <c r="B386">
        <v>2025.0</v>
      </c>
      <c r="C386" t="s">
        <v>315</v>
      </c>
      <c r="D386" t="s">
        <v>316</v>
      </c>
      <c r="E386" t="s">
        <v>100</v>
      </c>
      <c r="F386" t="s">
        <v>307</v>
      </c>
      <c r="G386" t="s">
        <v>12</v>
      </c>
      <c r="H386">
        <v>6010.0</v>
      </c>
      <c r="I386" t="s">
        <v>31</v>
      </c>
      <c r="J386" t="s">
        <v>102</v>
      </c>
      <c r="K386" t="s">
        <v>43</v>
      </c>
      <c r="L386" t="s">
        <v>44</v>
      </c>
      <c r="M386">
        <v>9.0</v>
      </c>
    </row>
    <row r="387">
      <c r="A387" s="2">
        <v>45940</v>
      </c>
      <c r="B387">
        <v>2026.0</v>
      </c>
      <c r="C387" t="s">
        <v>321</v>
      </c>
      <c r="D387" t="s">
        <v>316</v>
      </c>
      <c r="E387" t="s">
        <v>248</v>
      </c>
      <c r="F387" t="s">
        <v>307</v>
      </c>
      <c r="G387" t="s">
        <v>12</v>
      </c>
      <c r="H387">
        <v>6112.0</v>
      </c>
      <c r="I387" t="s">
        <v>31</v>
      </c>
      <c r="J387" t="s">
        <v>162</v>
      </c>
      <c r="K387" t="s">
        <v>95</v>
      </c>
      <c r="L387" t="s">
        <v>96</v>
      </c>
      <c r="M387">
        <v>9.0</v>
      </c>
    </row>
    <row r="388">
      <c r="A388" s="2">
        <v>45509</v>
      </c>
      <c r="B388">
        <v>2025.0</v>
      </c>
      <c r="C388" t="s">
        <v>315</v>
      </c>
      <c r="D388" t="s">
        <v>316</v>
      </c>
      <c r="E388" t="s">
        <v>125</v>
      </c>
      <c r="F388" t="s">
        <v>305</v>
      </c>
      <c r="G388" t="s">
        <v>10</v>
      </c>
      <c r="H388">
        <v>3931.0</v>
      </c>
      <c r="I388" t="s">
        <v>31</v>
      </c>
      <c r="J388" t="s">
        <v>94</v>
      </c>
      <c r="K388" t="s">
        <v>43</v>
      </c>
      <c r="L388" t="s">
        <v>44</v>
      </c>
      <c r="M388">
        <v>9.0</v>
      </c>
    </row>
    <row r="389">
      <c r="A389" s="2">
        <v>45479</v>
      </c>
      <c r="B389">
        <v>2025.0</v>
      </c>
      <c r="C389" t="s">
        <v>315</v>
      </c>
      <c r="D389" t="s">
        <v>316</v>
      </c>
      <c r="E389" t="s">
        <v>51</v>
      </c>
      <c r="F389" t="s">
        <v>310</v>
      </c>
      <c r="G389" t="s">
        <v>15</v>
      </c>
      <c r="H389">
        <v>7018.0</v>
      </c>
      <c r="I389" t="s">
        <v>31</v>
      </c>
      <c r="J389" t="s">
        <v>53</v>
      </c>
      <c r="K389" t="s">
        <v>43</v>
      </c>
      <c r="L389" t="s">
        <v>44</v>
      </c>
      <c r="M389">
        <v>9.0</v>
      </c>
    </row>
    <row r="390">
      <c r="A390" s="2">
        <v>45817</v>
      </c>
      <c r="B390">
        <v>2025.0</v>
      </c>
      <c r="C390" t="s">
        <v>315</v>
      </c>
      <c r="D390" t="s">
        <v>316</v>
      </c>
      <c r="E390" t="s">
        <v>262</v>
      </c>
      <c r="F390" t="s">
        <v>305</v>
      </c>
      <c r="G390" t="s">
        <v>10</v>
      </c>
      <c r="H390">
        <v>3018.0</v>
      </c>
      <c r="I390" t="s">
        <v>31</v>
      </c>
      <c r="J390" t="s">
        <v>120</v>
      </c>
      <c r="K390" t="s">
        <v>46</v>
      </c>
      <c r="L390" t="s">
        <v>47</v>
      </c>
      <c r="M390">
        <v>9.02</v>
      </c>
    </row>
    <row r="391">
      <c r="A391" s="2">
        <v>45604</v>
      </c>
      <c r="B391">
        <v>2025.0</v>
      </c>
      <c r="C391" t="s">
        <v>315</v>
      </c>
      <c r="D391" t="s">
        <v>316</v>
      </c>
      <c r="E391" t="s">
        <v>246</v>
      </c>
      <c r="F391" t="s">
        <v>305</v>
      </c>
      <c r="G391" t="s">
        <v>10</v>
      </c>
      <c r="H391">
        <v>3551.0</v>
      </c>
      <c r="I391" t="s">
        <v>31</v>
      </c>
      <c r="J391" t="s">
        <v>37</v>
      </c>
      <c r="K391" t="s">
        <v>43</v>
      </c>
      <c r="L391" t="s">
        <v>44</v>
      </c>
      <c r="M391">
        <v>9.11</v>
      </c>
    </row>
    <row r="392">
      <c r="A392" s="2">
        <v>45896</v>
      </c>
      <c r="B392">
        <v>2026.0</v>
      </c>
      <c r="C392" t="s">
        <v>321</v>
      </c>
      <c r="D392" t="s">
        <v>316</v>
      </c>
      <c r="E392" t="s">
        <v>211</v>
      </c>
      <c r="F392" t="s">
        <v>304</v>
      </c>
      <c r="G392" t="s">
        <v>9</v>
      </c>
      <c r="H392">
        <v>2650.0</v>
      </c>
      <c r="I392" t="s">
        <v>31</v>
      </c>
      <c r="J392" t="s">
        <v>75</v>
      </c>
      <c r="K392" t="s">
        <v>123</v>
      </c>
      <c r="L392" t="s">
        <v>124</v>
      </c>
      <c r="M392">
        <v>9.29</v>
      </c>
    </row>
    <row r="393">
      <c r="A393" s="2">
        <v>45954</v>
      </c>
      <c r="B393">
        <v>2026.0</v>
      </c>
      <c r="C393" t="s">
        <v>321</v>
      </c>
      <c r="D393" t="s">
        <v>316</v>
      </c>
      <c r="E393" t="s">
        <v>262</v>
      </c>
      <c r="F393" t="s">
        <v>305</v>
      </c>
      <c r="G393" t="s">
        <v>10</v>
      </c>
      <c r="H393">
        <v>3018.0</v>
      </c>
      <c r="I393" t="s">
        <v>31</v>
      </c>
      <c r="J393" t="s">
        <v>120</v>
      </c>
      <c r="K393" t="s">
        <v>95</v>
      </c>
      <c r="L393" t="s">
        <v>96</v>
      </c>
      <c r="M393">
        <v>9.36</v>
      </c>
    </row>
    <row r="394">
      <c r="A394" s="2">
        <v>45794</v>
      </c>
      <c r="B394">
        <v>2025.0</v>
      </c>
      <c r="C394" t="s">
        <v>315</v>
      </c>
      <c r="D394" t="s">
        <v>316</v>
      </c>
      <c r="E394" t="s">
        <v>131</v>
      </c>
      <c r="F394" t="s">
        <v>306</v>
      </c>
      <c r="G394" t="s">
        <v>11</v>
      </c>
      <c r="H394">
        <v>4655.0</v>
      </c>
      <c r="I394" t="s">
        <v>31</v>
      </c>
      <c r="J394" t="s">
        <v>32</v>
      </c>
      <c r="K394" t="s">
        <v>95</v>
      </c>
      <c r="L394" t="s">
        <v>96</v>
      </c>
      <c r="M394">
        <v>9.5</v>
      </c>
    </row>
    <row r="395">
      <c r="A395" s="2">
        <v>45836</v>
      </c>
      <c r="B395">
        <v>2025.0</v>
      </c>
      <c r="C395" t="s">
        <v>315</v>
      </c>
      <c r="D395" t="s">
        <v>316</v>
      </c>
      <c r="E395" t="s">
        <v>219</v>
      </c>
      <c r="F395" t="s">
        <v>306</v>
      </c>
      <c r="G395" t="s">
        <v>11</v>
      </c>
      <c r="H395">
        <v>4068.0</v>
      </c>
      <c r="I395" t="s">
        <v>31</v>
      </c>
      <c r="J395" t="s">
        <v>56</v>
      </c>
      <c r="K395" t="s">
        <v>46</v>
      </c>
      <c r="L395" t="s">
        <v>47</v>
      </c>
      <c r="M395">
        <v>9.5</v>
      </c>
    </row>
    <row r="396">
      <c r="A396" s="2">
        <v>45874</v>
      </c>
      <c r="B396">
        <v>2026.0</v>
      </c>
      <c r="C396" t="s">
        <v>321</v>
      </c>
      <c r="D396" t="s">
        <v>316</v>
      </c>
      <c r="E396" t="s">
        <v>160</v>
      </c>
      <c r="F396" t="s">
        <v>307</v>
      </c>
      <c r="G396" t="s">
        <v>12</v>
      </c>
      <c r="H396">
        <v>6280.0</v>
      </c>
      <c r="I396" t="s">
        <v>31</v>
      </c>
      <c r="J396" t="s">
        <v>162</v>
      </c>
      <c r="K396" t="s">
        <v>43</v>
      </c>
      <c r="L396" t="s">
        <v>44</v>
      </c>
      <c r="M396">
        <v>9.52</v>
      </c>
    </row>
    <row r="397">
      <c r="A397" s="2">
        <v>45777</v>
      </c>
      <c r="B397">
        <v>2025.0</v>
      </c>
      <c r="C397" t="s">
        <v>315</v>
      </c>
      <c r="D397" t="s">
        <v>316</v>
      </c>
      <c r="E397" t="s">
        <v>148</v>
      </c>
      <c r="F397" t="s">
        <v>307</v>
      </c>
      <c r="G397" t="s">
        <v>12</v>
      </c>
      <c r="H397">
        <v>6450.0</v>
      </c>
      <c r="I397" t="s">
        <v>31</v>
      </c>
      <c r="J397" t="s">
        <v>50</v>
      </c>
      <c r="K397" t="s">
        <v>43</v>
      </c>
      <c r="L397" t="s">
        <v>44</v>
      </c>
      <c r="M397">
        <v>9.6</v>
      </c>
    </row>
    <row r="398">
      <c r="A398" s="2">
        <v>45813</v>
      </c>
      <c r="B398">
        <v>2025.0</v>
      </c>
      <c r="C398" t="s">
        <v>315</v>
      </c>
      <c r="D398" t="s">
        <v>316</v>
      </c>
      <c r="E398" t="s">
        <v>129</v>
      </c>
      <c r="F398" t="s">
        <v>305</v>
      </c>
      <c r="G398" t="s">
        <v>10</v>
      </c>
      <c r="H398">
        <v>3066.0</v>
      </c>
      <c r="I398" t="s">
        <v>31</v>
      </c>
      <c r="J398" t="s">
        <v>120</v>
      </c>
      <c r="K398" t="s">
        <v>95</v>
      </c>
      <c r="L398" t="s">
        <v>96</v>
      </c>
      <c r="M398">
        <v>9.85</v>
      </c>
    </row>
    <row r="399">
      <c r="A399" s="2">
        <v>45744</v>
      </c>
      <c r="B399">
        <v>2025.0</v>
      </c>
      <c r="C399" t="s">
        <v>315</v>
      </c>
      <c r="D399" t="s">
        <v>316</v>
      </c>
      <c r="E399" t="s">
        <v>97</v>
      </c>
      <c r="F399" t="s">
        <v>304</v>
      </c>
      <c r="G399" t="s">
        <v>9</v>
      </c>
      <c r="H399">
        <v>2067.0</v>
      </c>
      <c r="I399" t="s">
        <v>31</v>
      </c>
      <c r="J399" t="s">
        <v>99</v>
      </c>
      <c r="K399" t="s">
        <v>112</v>
      </c>
      <c r="L399" t="s">
        <v>113</v>
      </c>
      <c r="M399">
        <v>9.95</v>
      </c>
    </row>
    <row r="400">
      <c r="A400" s="2">
        <v>45791</v>
      </c>
      <c r="B400">
        <v>2025.0</v>
      </c>
      <c r="C400" t="s">
        <v>315</v>
      </c>
      <c r="D400" t="s">
        <v>319</v>
      </c>
      <c r="E400" t="s">
        <v>73</v>
      </c>
      <c r="F400" t="s">
        <v>304</v>
      </c>
      <c r="G400" t="s">
        <v>9</v>
      </c>
      <c r="H400">
        <v>2750.0</v>
      </c>
      <c r="I400" t="s">
        <v>31</v>
      </c>
      <c r="J400" t="s">
        <v>75</v>
      </c>
      <c r="K400" t="s">
        <v>112</v>
      </c>
      <c r="L400" t="s">
        <v>113</v>
      </c>
      <c r="M400">
        <v>9.95</v>
      </c>
    </row>
    <row r="401">
      <c r="A401" s="2">
        <v>45964</v>
      </c>
      <c r="B401">
        <v>2026.0</v>
      </c>
      <c r="C401" t="s">
        <v>321</v>
      </c>
      <c r="D401" t="s">
        <v>316</v>
      </c>
      <c r="E401" t="s">
        <v>82</v>
      </c>
      <c r="F401" t="s">
        <v>306</v>
      </c>
      <c r="G401" t="s">
        <v>11</v>
      </c>
      <c r="H401">
        <v>4558.0</v>
      </c>
      <c r="I401" t="s">
        <v>31</v>
      </c>
      <c r="J401" t="s">
        <v>84</v>
      </c>
      <c r="K401" t="s">
        <v>33</v>
      </c>
      <c r="L401" t="s">
        <v>34</v>
      </c>
      <c r="M401">
        <v>9.97</v>
      </c>
    </row>
    <row r="402">
      <c r="A402" s="2">
        <v>45430</v>
      </c>
      <c r="B402">
        <v>2024.0</v>
      </c>
      <c r="C402" t="s">
        <v>318</v>
      </c>
      <c r="D402" t="s">
        <v>316</v>
      </c>
      <c r="E402" t="s">
        <v>209</v>
      </c>
      <c r="F402" t="s">
        <v>304</v>
      </c>
      <c r="G402" t="s">
        <v>9</v>
      </c>
      <c r="H402">
        <v>2116.0</v>
      </c>
      <c r="I402" t="s">
        <v>31</v>
      </c>
      <c r="J402" t="s">
        <v>81</v>
      </c>
      <c r="K402" t="s">
        <v>33</v>
      </c>
      <c r="L402" t="s">
        <v>34</v>
      </c>
      <c r="M402">
        <v>9.97</v>
      </c>
    </row>
    <row r="403">
      <c r="A403" s="2">
        <v>45458</v>
      </c>
      <c r="B403">
        <v>2024.0</v>
      </c>
      <c r="C403" t="s">
        <v>318</v>
      </c>
      <c r="D403" t="s">
        <v>316</v>
      </c>
      <c r="E403" t="s">
        <v>76</v>
      </c>
      <c r="F403" t="s">
        <v>306</v>
      </c>
      <c r="G403" t="s">
        <v>11</v>
      </c>
      <c r="H403">
        <v>4883.0</v>
      </c>
      <c r="I403" t="s">
        <v>31</v>
      </c>
      <c r="J403" t="s">
        <v>78</v>
      </c>
      <c r="K403" t="s">
        <v>112</v>
      </c>
      <c r="L403" t="s">
        <v>113</v>
      </c>
      <c r="M403">
        <v>9.98</v>
      </c>
    </row>
    <row r="404">
      <c r="A404" s="2">
        <v>45390</v>
      </c>
      <c r="B404">
        <v>2024.0</v>
      </c>
      <c r="C404" t="s">
        <v>318</v>
      </c>
      <c r="D404" t="s">
        <v>316</v>
      </c>
      <c r="E404" t="s">
        <v>250</v>
      </c>
      <c r="F404" t="s">
        <v>305</v>
      </c>
      <c r="G404" t="s">
        <v>10</v>
      </c>
      <c r="H404">
        <v>3550.0</v>
      </c>
      <c r="I404" t="s">
        <v>31</v>
      </c>
      <c r="J404" t="s">
        <v>37</v>
      </c>
      <c r="K404" t="s">
        <v>33</v>
      </c>
      <c r="L404" t="s">
        <v>34</v>
      </c>
      <c r="M404">
        <v>9.98</v>
      </c>
    </row>
    <row r="405">
      <c r="A405" s="2">
        <v>45719</v>
      </c>
      <c r="B405">
        <v>2025.0</v>
      </c>
      <c r="C405" t="s">
        <v>315</v>
      </c>
      <c r="D405" t="s">
        <v>316</v>
      </c>
      <c r="E405" t="s">
        <v>250</v>
      </c>
      <c r="F405" t="s">
        <v>305</v>
      </c>
      <c r="G405" t="s">
        <v>10</v>
      </c>
      <c r="H405">
        <v>3550.0</v>
      </c>
      <c r="I405" t="s">
        <v>31</v>
      </c>
      <c r="J405" t="s">
        <v>37</v>
      </c>
      <c r="K405" t="s">
        <v>71</v>
      </c>
      <c r="L405" t="s">
        <v>72</v>
      </c>
      <c r="M405">
        <v>9.98</v>
      </c>
    </row>
    <row r="406">
      <c r="A406" s="2">
        <v>45786</v>
      </c>
      <c r="B406">
        <v>2025.0</v>
      </c>
      <c r="C406" t="s">
        <v>315</v>
      </c>
      <c r="D406" t="s">
        <v>316</v>
      </c>
      <c r="E406" t="s">
        <v>215</v>
      </c>
      <c r="F406" t="s">
        <v>310</v>
      </c>
      <c r="G406" t="s">
        <v>15</v>
      </c>
      <c r="H406">
        <v>7320.0</v>
      </c>
      <c r="I406" t="s">
        <v>31</v>
      </c>
      <c r="J406" t="s">
        <v>53</v>
      </c>
      <c r="K406" t="s">
        <v>123</v>
      </c>
      <c r="L406" t="s">
        <v>124</v>
      </c>
      <c r="M406">
        <v>9.98</v>
      </c>
    </row>
    <row r="407">
      <c r="A407" s="2">
        <v>46014</v>
      </c>
      <c r="B407">
        <v>2026.0</v>
      </c>
      <c r="C407" t="s">
        <v>321</v>
      </c>
      <c r="D407" t="s">
        <v>319</v>
      </c>
      <c r="E407" t="s">
        <v>87</v>
      </c>
      <c r="F407" t="s">
        <v>305</v>
      </c>
      <c r="G407" t="s">
        <v>10</v>
      </c>
      <c r="H407">
        <v>3148.0</v>
      </c>
      <c r="I407" t="s">
        <v>31</v>
      </c>
      <c r="J407" t="s">
        <v>89</v>
      </c>
      <c r="K407" t="s">
        <v>33</v>
      </c>
      <c r="L407" t="s">
        <v>34</v>
      </c>
      <c r="M407">
        <v>9.98</v>
      </c>
    </row>
    <row r="408">
      <c r="A408" s="2">
        <v>45860</v>
      </c>
      <c r="B408">
        <v>2026.0</v>
      </c>
      <c r="C408" t="s">
        <v>321</v>
      </c>
      <c r="D408" t="s">
        <v>319</v>
      </c>
      <c r="E408" t="s">
        <v>97</v>
      </c>
      <c r="F408" t="s">
        <v>304</v>
      </c>
      <c r="G408" t="s">
        <v>9</v>
      </c>
      <c r="H408">
        <v>2067.0</v>
      </c>
      <c r="I408" t="s">
        <v>31</v>
      </c>
      <c r="J408" t="s">
        <v>99</v>
      </c>
      <c r="K408" t="s">
        <v>33</v>
      </c>
      <c r="L408" t="s">
        <v>34</v>
      </c>
      <c r="M408">
        <v>9.98</v>
      </c>
    </row>
    <row r="409">
      <c r="A409" s="2">
        <v>45743</v>
      </c>
      <c r="B409">
        <v>2025.0</v>
      </c>
      <c r="C409" t="s">
        <v>315</v>
      </c>
      <c r="D409" t="s">
        <v>316</v>
      </c>
      <c r="E409" t="s">
        <v>234</v>
      </c>
      <c r="F409" t="s">
        <v>304</v>
      </c>
      <c r="G409" t="s">
        <v>9</v>
      </c>
      <c r="H409">
        <v>2158.0</v>
      </c>
      <c r="I409" t="s">
        <v>31</v>
      </c>
      <c r="J409" t="s">
        <v>81</v>
      </c>
      <c r="K409" t="s">
        <v>43</v>
      </c>
      <c r="L409" t="s">
        <v>44</v>
      </c>
      <c r="M409">
        <v>9.98</v>
      </c>
    </row>
    <row r="410">
      <c r="A410" s="2">
        <v>45703</v>
      </c>
      <c r="B410">
        <v>2025.0</v>
      </c>
      <c r="C410" t="s">
        <v>315</v>
      </c>
      <c r="D410" t="s">
        <v>316</v>
      </c>
      <c r="E410" t="s">
        <v>62</v>
      </c>
      <c r="F410" t="s">
        <v>307</v>
      </c>
      <c r="G410" t="s">
        <v>12</v>
      </c>
      <c r="H410">
        <v>6530.0</v>
      </c>
      <c r="I410" t="s">
        <v>31</v>
      </c>
      <c r="J410" t="s">
        <v>50</v>
      </c>
      <c r="K410" t="s">
        <v>38</v>
      </c>
      <c r="L410" t="s">
        <v>39</v>
      </c>
      <c r="M410">
        <v>9.98</v>
      </c>
    </row>
    <row r="411">
      <c r="A411" s="2">
        <v>45567</v>
      </c>
      <c r="B411">
        <v>2025.0</v>
      </c>
      <c r="C411" t="s">
        <v>315</v>
      </c>
      <c r="D411" t="s">
        <v>316</v>
      </c>
      <c r="E411" t="s">
        <v>158</v>
      </c>
      <c r="F411" t="s">
        <v>306</v>
      </c>
      <c r="G411" t="s">
        <v>11</v>
      </c>
      <c r="H411">
        <v>4570.0</v>
      </c>
      <c r="I411" t="s">
        <v>31</v>
      </c>
      <c r="J411" t="s">
        <v>84</v>
      </c>
      <c r="K411" t="s">
        <v>112</v>
      </c>
      <c r="L411" t="s">
        <v>113</v>
      </c>
      <c r="M411">
        <v>9.98</v>
      </c>
    </row>
    <row r="412">
      <c r="A412" s="2">
        <v>45538</v>
      </c>
      <c r="B412">
        <v>2025.0</v>
      </c>
      <c r="C412" t="s">
        <v>315</v>
      </c>
      <c r="D412" t="s">
        <v>316</v>
      </c>
      <c r="E412" t="s">
        <v>264</v>
      </c>
      <c r="F412" t="s">
        <v>308</v>
      </c>
      <c r="G412" t="s">
        <v>13</v>
      </c>
      <c r="H412">
        <v>5043.0</v>
      </c>
      <c r="I412" t="s">
        <v>31</v>
      </c>
      <c r="J412" t="s">
        <v>42</v>
      </c>
      <c r="K412" t="s">
        <v>95</v>
      </c>
      <c r="L412" t="s">
        <v>96</v>
      </c>
      <c r="M412">
        <v>9.98</v>
      </c>
    </row>
    <row r="413">
      <c r="A413" s="2">
        <v>45810</v>
      </c>
      <c r="B413">
        <v>2025.0</v>
      </c>
      <c r="C413" t="s">
        <v>315</v>
      </c>
      <c r="D413" t="s">
        <v>316</v>
      </c>
      <c r="E413" t="s">
        <v>264</v>
      </c>
      <c r="F413" t="s">
        <v>308</v>
      </c>
      <c r="G413" t="s">
        <v>13</v>
      </c>
      <c r="H413">
        <v>5043.0</v>
      </c>
      <c r="I413" t="s">
        <v>31</v>
      </c>
      <c r="J413" t="s">
        <v>42</v>
      </c>
      <c r="K413" t="s">
        <v>33</v>
      </c>
      <c r="L413" t="s">
        <v>34</v>
      </c>
      <c r="M413">
        <v>9.98</v>
      </c>
    </row>
    <row r="414">
      <c r="A414" s="2">
        <v>45796</v>
      </c>
      <c r="B414">
        <v>2025.0</v>
      </c>
      <c r="C414" t="s">
        <v>315</v>
      </c>
      <c r="D414" t="s">
        <v>319</v>
      </c>
      <c r="E414" t="s">
        <v>225</v>
      </c>
      <c r="F414" t="s">
        <v>308</v>
      </c>
      <c r="G414" t="s">
        <v>13</v>
      </c>
      <c r="H414">
        <v>5607.0</v>
      </c>
      <c r="I414" t="s">
        <v>31</v>
      </c>
      <c r="J414" t="s">
        <v>227</v>
      </c>
      <c r="K414" t="s">
        <v>33</v>
      </c>
      <c r="L414" t="s">
        <v>34</v>
      </c>
      <c r="M414">
        <v>9.98</v>
      </c>
    </row>
    <row r="415">
      <c r="A415" s="2">
        <v>45940</v>
      </c>
      <c r="B415">
        <v>2026.0</v>
      </c>
      <c r="C415" t="s">
        <v>321</v>
      </c>
      <c r="D415" t="s">
        <v>316</v>
      </c>
      <c r="E415" t="s">
        <v>195</v>
      </c>
      <c r="F415" t="s">
        <v>306</v>
      </c>
      <c r="G415" t="s">
        <v>11</v>
      </c>
      <c r="H415">
        <v>4700.0</v>
      </c>
      <c r="I415" t="s">
        <v>31</v>
      </c>
      <c r="J415" t="s">
        <v>32</v>
      </c>
      <c r="K415" t="s">
        <v>33</v>
      </c>
      <c r="L415" t="s">
        <v>34</v>
      </c>
      <c r="M415">
        <v>9.98</v>
      </c>
    </row>
    <row r="416">
      <c r="A416" s="2">
        <v>46020</v>
      </c>
      <c r="B416">
        <v>2026.0</v>
      </c>
      <c r="C416" t="s">
        <v>321</v>
      </c>
      <c r="D416" t="s">
        <v>316</v>
      </c>
      <c r="E416" t="s">
        <v>260</v>
      </c>
      <c r="F416" t="s">
        <v>305</v>
      </c>
      <c r="G416" t="s">
        <v>10</v>
      </c>
      <c r="H416">
        <v>3179.0</v>
      </c>
      <c r="I416" t="s">
        <v>31</v>
      </c>
      <c r="J416" t="s">
        <v>89</v>
      </c>
      <c r="K416" t="s">
        <v>95</v>
      </c>
      <c r="L416" t="s">
        <v>96</v>
      </c>
      <c r="M416">
        <v>9.98</v>
      </c>
    </row>
    <row r="417">
      <c r="A417" s="2">
        <v>45982</v>
      </c>
      <c r="B417">
        <v>2026.0</v>
      </c>
      <c r="C417" t="s">
        <v>321</v>
      </c>
      <c r="D417" t="s">
        <v>319</v>
      </c>
      <c r="E417" t="s">
        <v>64</v>
      </c>
      <c r="F417" t="s">
        <v>306</v>
      </c>
      <c r="G417" t="s">
        <v>11</v>
      </c>
      <c r="H417">
        <v>4215.0</v>
      </c>
      <c r="I417" t="s">
        <v>31</v>
      </c>
      <c r="J417" t="s">
        <v>61</v>
      </c>
      <c r="K417" t="s">
        <v>33</v>
      </c>
      <c r="L417" t="s">
        <v>34</v>
      </c>
      <c r="M417">
        <v>9.98</v>
      </c>
    </row>
    <row r="418">
      <c r="A418" s="2">
        <v>45292</v>
      </c>
      <c r="B418">
        <v>2024.0</v>
      </c>
      <c r="C418" t="s">
        <v>318</v>
      </c>
      <c r="D418" t="s">
        <v>316</v>
      </c>
      <c r="E418" t="s">
        <v>29</v>
      </c>
      <c r="F418" t="s">
        <v>306</v>
      </c>
      <c r="G418" t="s">
        <v>11</v>
      </c>
      <c r="H418">
        <v>4703.0</v>
      </c>
      <c r="I418" t="s">
        <v>31</v>
      </c>
      <c r="J418" t="s">
        <v>32</v>
      </c>
      <c r="K418" t="s">
        <v>33</v>
      </c>
      <c r="L418" t="s">
        <v>34</v>
      </c>
      <c r="M418">
        <v>9.98</v>
      </c>
    </row>
    <row r="419">
      <c r="A419" s="2">
        <v>45586</v>
      </c>
      <c r="B419">
        <v>2025.0</v>
      </c>
      <c r="C419" t="s">
        <v>315</v>
      </c>
      <c r="D419" t="s">
        <v>316</v>
      </c>
      <c r="E419" t="s">
        <v>177</v>
      </c>
      <c r="F419" t="s">
        <v>307</v>
      </c>
      <c r="G419" t="s">
        <v>12</v>
      </c>
      <c r="H419">
        <v>6330.0</v>
      </c>
      <c r="I419" t="s">
        <v>31</v>
      </c>
      <c r="J419" t="s">
        <v>162</v>
      </c>
      <c r="K419" t="s">
        <v>71</v>
      </c>
      <c r="L419" t="s">
        <v>72</v>
      </c>
      <c r="M419">
        <v>9.99</v>
      </c>
    </row>
    <row r="420">
      <c r="A420" s="2">
        <v>45856</v>
      </c>
      <c r="B420">
        <v>2026.0</v>
      </c>
      <c r="C420" t="s">
        <v>321</v>
      </c>
      <c r="D420" t="s">
        <v>316</v>
      </c>
      <c r="E420" t="s">
        <v>177</v>
      </c>
      <c r="F420" t="s">
        <v>307</v>
      </c>
      <c r="G420" t="s">
        <v>12</v>
      </c>
      <c r="H420">
        <v>6330.0</v>
      </c>
      <c r="I420" t="s">
        <v>31</v>
      </c>
      <c r="J420" t="s">
        <v>162</v>
      </c>
      <c r="K420" t="s">
        <v>57</v>
      </c>
      <c r="L420" t="s">
        <v>58</v>
      </c>
      <c r="M420">
        <v>9.99</v>
      </c>
    </row>
    <row r="421">
      <c r="A421" s="2">
        <v>45955</v>
      </c>
      <c r="B421">
        <v>2026.0</v>
      </c>
      <c r="C421" t="s">
        <v>321</v>
      </c>
      <c r="D421" t="s">
        <v>316</v>
      </c>
      <c r="E421" t="s">
        <v>90</v>
      </c>
      <c r="F421" t="s">
        <v>305</v>
      </c>
      <c r="G421" t="s">
        <v>10</v>
      </c>
      <c r="H421">
        <v>3353.0</v>
      </c>
      <c r="I421" t="s">
        <v>31</v>
      </c>
      <c r="J421" t="s">
        <v>37</v>
      </c>
      <c r="K421" t="s">
        <v>71</v>
      </c>
      <c r="L421" t="s">
        <v>72</v>
      </c>
      <c r="M421">
        <v>9.99</v>
      </c>
    </row>
    <row r="422">
      <c r="A422" s="2">
        <v>45327</v>
      </c>
      <c r="B422">
        <v>2024.0</v>
      </c>
      <c r="C422" t="s">
        <v>318</v>
      </c>
      <c r="D422" t="s">
        <v>319</v>
      </c>
      <c r="E422" t="s">
        <v>108</v>
      </c>
      <c r="F422" t="s">
        <v>304</v>
      </c>
      <c r="G422" t="s">
        <v>9</v>
      </c>
      <c r="H422">
        <v>2795.0</v>
      </c>
      <c r="I422" t="s">
        <v>31</v>
      </c>
      <c r="J422" t="s">
        <v>75</v>
      </c>
      <c r="K422" t="s">
        <v>43</v>
      </c>
      <c r="L422" t="s">
        <v>44</v>
      </c>
      <c r="M422">
        <v>9.99</v>
      </c>
    </row>
    <row r="423">
      <c r="A423" s="2">
        <v>45530</v>
      </c>
      <c r="B423">
        <v>2025.0</v>
      </c>
      <c r="C423" t="s">
        <v>315</v>
      </c>
      <c r="D423" t="s">
        <v>316</v>
      </c>
      <c r="E423" t="s">
        <v>48</v>
      </c>
      <c r="F423" t="s">
        <v>307</v>
      </c>
      <c r="G423" t="s">
        <v>12</v>
      </c>
      <c r="H423">
        <v>6725.0</v>
      </c>
      <c r="I423" t="s">
        <v>31</v>
      </c>
      <c r="J423" t="s">
        <v>50</v>
      </c>
      <c r="K423" t="s">
        <v>123</v>
      </c>
      <c r="L423" t="s">
        <v>124</v>
      </c>
      <c r="M423">
        <v>9.99</v>
      </c>
    </row>
    <row r="424">
      <c r="A424" s="2">
        <v>45826</v>
      </c>
      <c r="B424">
        <v>2025.0</v>
      </c>
      <c r="C424" t="s">
        <v>315</v>
      </c>
      <c r="D424" t="s">
        <v>319</v>
      </c>
      <c r="E424" t="s">
        <v>187</v>
      </c>
      <c r="F424" t="s">
        <v>306</v>
      </c>
      <c r="G424" t="s">
        <v>11</v>
      </c>
      <c r="H424">
        <v>4870.0</v>
      </c>
      <c r="I424" t="s">
        <v>31</v>
      </c>
      <c r="J424" t="s">
        <v>78</v>
      </c>
      <c r="K424" t="s">
        <v>46</v>
      </c>
      <c r="L424" t="s">
        <v>47</v>
      </c>
      <c r="M424">
        <v>9.99</v>
      </c>
    </row>
    <row r="425">
      <c r="A425" s="2">
        <v>45613</v>
      </c>
      <c r="B425">
        <v>2025.0</v>
      </c>
      <c r="C425" t="s">
        <v>315</v>
      </c>
      <c r="D425" t="s">
        <v>319</v>
      </c>
      <c r="E425" t="s">
        <v>154</v>
      </c>
      <c r="F425" t="s">
        <v>306</v>
      </c>
      <c r="G425" t="s">
        <v>11</v>
      </c>
      <c r="H425">
        <v>4551.0</v>
      </c>
      <c r="I425" t="s">
        <v>31</v>
      </c>
      <c r="J425" t="s">
        <v>84</v>
      </c>
      <c r="K425" t="s">
        <v>38</v>
      </c>
      <c r="L425" t="s">
        <v>39</v>
      </c>
      <c r="M425">
        <v>9.99</v>
      </c>
    </row>
    <row r="426">
      <c r="A426" s="2">
        <v>45575</v>
      </c>
      <c r="B426">
        <v>2025.0</v>
      </c>
      <c r="C426" t="s">
        <v>315</v>
      </c>
      <c r="D426" t="s">
        <v>316</v>
      </c>
      <c r="E426" t="s">
        <v>197</v>
      </c>
      <c r="F426" t="s">
        <v>304</v>
      </c>
      <c r="G426" t="s">
        <v>9</v>
      </c>
      <c r="H426">
        <v>2560.0</v>
      </c>
      <c r="I426" t="s">
        <v>31</v>
      </c>
      <c r="J426" t="s">
        <v>107</v>
      </c>
      <c r="K426" t="s">
        <v>38</v>
      </c>
      <c r="L426" t="s">
        <v>39</v>
      </c>
      <c r="M426">
        <v>9.99</v>
      </c>
    </row>
    <row r="427">
      <c r="A427" s="2">
        <v>45332</v>
      </c>
      <c r="B427">
        <v>2024.0</v>
      </c>
      <c r="C427" t="s">
        <v>318</v>
      </c>
      <c r="D427" t="s">
        <v>316</v>
      </c>
      <c r="E427" t="s">
        <v>163</v>
      </c>
      <c r="F427" t="s">
        <v>304</v>
      </c>
      <c r="G427" t="s">
        <v>9</v>
      </c>
      <c r="H427">
        <v>2154.0</v>
      </c>
      <c r="I427" t="s">
        <v>31</v>
      </c>
      <c r="J427" t="s">
        <v>81</v>
      </c>
      <c r="K427" t="s">
        <v>71</v>
      </c>
      <c r="L427" t="s">
        <v>72</v>
      </c>
      <c r="M427">
        <v>9.99</v>
      </c>
    </row>
    <row r="428">
      <c r="A428" s="2">
        <v>45836</v>
      </c>
      <c r="B428">
        <v>2025.0</v>
      </c>
      <c r="C428" t="s">
        <v>315</v>
      </c>
      <c r="D428" t="s">
        <v>316</v>
      </c>
      <c r="E428" t="s">
        <v>143</v>
      </c>
      <c r="F428" t="s">
        <v>309</v>
      </c>
      <c r="G428" t="s">
        <v>14</v>
      </c>
      <c r="H428">
        <v>800.0</v>
      </c>
      <c r="I428" t="s">
        <v>31</v>
      </c>
      <c r="J428" t="s">
        <v>145</v>
      </c>
      <c r="K428" t="s">
        <v>43</v>
      </c>
      <c r="L428" t="s">
        <v>44</v>
      </c>
      <c r="M428">
        <v>9.99</v>
      </c>
    </row>
    <row r="429">
      <c r="A429" s="2">
        <v>45888</v>
      </c>
      <c r="B429">
        <v>2026.0</v>
      </c>
      <c r="C429" t="s">
        <v>321</v>
      </c>
      <c r="D429" t="s">
        <v>316</v>
      </c>
      <c r="E429" t="s">
        <v>234</v>
      </c>
      <c r="F429" t="s">
        <v>304</v>
      </c>
      <c r="G429" t="s">
        <v>9</v>
      </c>
      <c r="H429">
        <v>2158.0</v>
      </c>
      <c r="I429" t="s">
        <v>31</v>
      </c>
      <c r="J429" t="s">
        <v>81</v>
      </c>
      <c r="K429" t="s">
        <v>43</v>
      </c>
      <c r="L429" t="s">
        <v>44</v>
      </c>
      <c r="M429">
        <v>9.99</v>
      </c>
    </row>
    <row r="430">
      <c r="A430" s="2">
        <v>45714</v>
      </c>
      <c r="B430">
        <v>2025.0</v>
      </c>
      <c r="C430" t="s">
        <v>315</v>
      </c>
      <c r="D430" t="s">
        <v>319</v>
      </c>
      <c r="E430" t="s">
        <v>246</v>
      </c>
      <c r="F430" t="s">
        <v>305</v>
      </c>
      <c r="G430" t="s">
        <v>10</v>
      </c>
      <c r="H430">
        <v>3551.0</v>
      </c>
      <c r="I430" t="s">
        <v>31</v>
      </c>
      <c r="J430" t="s">
        <v>37</v>
      </c>
      <c r="K430" t="s">
        <v>57</v>
      </c>
      <c r="L430" t="s">
        <v>58</v>
      </c>
      <c r="M430">
        <v>9.99</v>
      </c>
    </row>
    <row r="431">
      <c r="A431" s="2">
        <v>45865</v>
      </c>
      <c r="B431">
        <v>2026.0</v>
      </c>
      <c r="C431" t="s">
        <v>321</v>
      </c>
      <c r="D431" t="s">
        <v>319</v>
      </c>
      <c r="E431" t="s">
        <v>248</v>
      </c>
      <c r="F431" t="s">
        <v>307</v>
      </c>
      <c r="G431" t="s">
        <v>12</v>
      </c>
      <c r="H431">
        <v>6112.0</v>
      </c>
      <c r="I431" t="s">
        <v>31</v>
      </c>
      <c r="J431" t="s">
        <v>162</v>
      </c>
      <c r="K431" t="s">
        <v>71</v>
      </c>
      <c r="L431" t="s">
        <v>72</v>
      </c>
      <c r="M431">
        <v>9.99</v>
      </c>
    </row>
    <row r="432">
      <c r="A432" s="2">
        <v>45573</v>
      </c>
      <c r="B432">
        <v>2025.0</v>
      </c>
      <c r="C432" t="s">
        <v>315</v>
      </c>
      <c r="D432" t="s">
        <v>316</v>
      </c>
      <c r="E432" t="s">
        <v>205</v>
      </c>
      <c r="F432" t="s">
        <v>305</v>
      </c>
      <c r="G432" t="s">
        <v>10</v>
      </c>
      <c r="H432">
        <v>3400.0</v>
      </c>
      <c r="I432" t="s">
        <v>31</v>
      </c>
      <c r="J432" t="s">
        <v>37</v>
      </c>
      <c r="K432" t="s">
        <v>43</v>
      </c>
      <c r="L432" t="s">
        <v>44</v>
      </c>
      <c r="M432">
        <v>9.99</v>
      </c>
    </row>
    <row r="433">
      <c r="A433" s="2">
        <v>45893</v>
      </c>
      <c r="B433">
        <v>2026.0</v>
      </c>
      <c r="C433" t="s">
        <v>321</v>
      </c>
      <c r="D433" t="s">
        <v>316</v>
      </c>
      <c r="E433" t="s">
        <v>150</v>
      </c>
      <c r="F433" t="s">
        <v>310</v>
      </c>
      <c r="G433" t="s">
        <v>15</v>
      </c>
      <c r="H433">
        <v>7250.0</v>
      </c>
      <c r="I433" t="s">
        <v>31</v>
      </c>
      <c r="J433" t="s">
        <v>53</v>
      </c>
      <c r="K433" t="s">
        <v>33</v>
      </c>
      <c r="L433" t="s">
        <v>34</v>
      </c>
      <c r="M433">
        <v>9.99</v>
      </c>
    </row>
    <row r="434">
      <c r="A434" s="2">
        <v>45897</v>
      </c>
      <c r="B434">
        <v>2026.0</v>
      </c>
      <c r="C434" t="s">
        <v>321</v>
      </c>
      <c r="D434" t="s">
        <v>319</v>
      </c>
      <c r="E434" t="s">
        <v>167</v>
      </c>
      <c r="F434" t="s">
        <v>307</v>
      </c>
      <c r="G434" t="s">
        <v>12</v>
      </c>
      <c r="H434">
        <v>6030.0</v>
      </c>
      <c r="I434" t="s">
        <v>31</v>
      </c>
      <c r="J434" t="s">
        <v>102</v>
      </c>
      <c r="K434" t="s">
        <v>43</v>
      </c>
      <c r="L434" t="s">
        <v>44</v>
      </c>
      <c r="M434">
        <v>9.99</v>
      </c>
    </row>
    <row r="435">
      <c r="A435" s="2">
        <v>45441</v>
      </c>
      <c r="B435">
        <v>2024.0</v>
      </c>
      <c r="C435" t="s">
        <v>318</v>
      </c>
      <c r="D435" t="s">
        <v>316</v>
      </c>
      <c r="E435" t="s">
        <v>260</v>
      </c>
      <c r="F435" t="s">
        <v>305</v>
      </c>
      <c r="G435" t="s">
        <v>10</v>
      </c>
      <c r="H435">
        <v>3179.0</v>
      </c>
      <c r="I435" t="s">
        <v>31</v>
      </c>
      <c r="J435" t="s">
        <v>89</v>
      </c>
      <c r="K435" t="s">
        <v>33</v>
      </c>
      <c r="L435" t="s">
        <v>34</v>
      </c>
      <c r="M435">
        <v>9.99</v>
      </c>
    </row>
    <row r="436">
      <c r="A436" s="2">
        <v>45590</v>
      </c>
      <c r="B436">
        <v>2025.0</v>
      </c>
      <c r="C436" t="s">
        <v>315</v>
      </c>
      <c r="D436" t="s">
        <v>316</v>
      </c>
      <c r="E436" t="s">
        <v>199</v>
      </c>
      <c r="F436" t="s">
        <v>308</v>
      </c>
      <c r="G436" t="s">
        <v>13</v>
      </c>
      <c r="H436">
        <v>5169.0</v>
      </c>
      <c r="I436" t="s">
        <v>31</v>
      </c>
      <c r="J436" t="s">
        <v>42</v>
      </c>
      <c r="K436" t="s">
        <v>95</v>
      </c>
      <c r="L436" t="s">
        <v>96</v>
      </c>
      <c r="M436">
        <v>9.99</v>
      </c>
    </row>
    <row r="437">
      <c r="A437" s="2">
        <v>45783</v>
      </c>
      <c r="B437">
        <v>2025.0</v>
      </c>
      <c r="C437" t="s">
        <v>315</v>
      </c>
      <c r="D437" t="s">
        <v>319</v>
      </c>
      <c r="E437" t="s">
        <v>181</v>
      </c>
      <c r="F437" t="s">
        <v>306</v>
      </c>
      <c r="G437" t="s">
        <v>11</v>
      </c>
      <c r="H437">
        <v>4119.0</v>
      </c>
      <c r="I437" t="s">
        <v>31</v>
      </c>
      <c r="J437" t="s">
        <v>56</v>
      </c>
      <c r="K437" t="s">
        <v>95</v>
      </c>
      <c r="L437" t="s">
        <v>96</v>
      </c>
      <c r="M437">
        <v>9.99</v>
      </c>
    </row>
    <row r="438">
      <c r="A438" s="2">
        <v>45448</v>
      </c>
      <c r="B438">
        <v>2024.0</v>
      </c>
      <c r="C438" t="s">
        <v>318</v>
      </c>
      <c r="D438" t="s">
        <v>316</v>
      </c>
      <c r="E438" t="s">
        <v>35</v>
      </c>
      <c r="F438" t="s">
        <v>305</v>
      </c>
      <c r="G438" t="s">
        <v>10</v>
      </c>
      <c r="H438">
        <v>3280.0</v>
      </c>
      <c r="I438" t="s">
        <v>31</v>
      </c>
      <c r="J438" t="s">
        <v>37</v>
      </c>
      <c r="K438" t="s">
        <v>33</v>
      </c>
      <c r="L438" t="s">
        <v>34</v>
      </c>
      <c r="M438">
        <v>9.99</v>
      </c>
    </row>
    <row r="439">
      <c r="A439" s="2">
        <v>45754</v>
      </c>
      <c r="B439">
        <v>2025.0</v>
      </c>
      <c r="C439" t="s">
        <v>315</v>
      </c>
      <c r="D439" t="s">
        <v>316</v>
      </c>
      <c r="E439" t="s">
        <v>191</v>
      </c>
      <c r="F439" t="s">
        <v>305</v>
      </c>
      <c r="G439" t="s">
        <v>10</v>
      </c>
      <c r="H439">
        <v>3030.0</v>
      </c>
      <c r="I439" t="s">
        <v>31</v>
      </c>
      <c r="J439" t="s">
        <v>120</v>
      </c>
      <c r="K439" t="s">
        <v>123</v>
      </c>
      <c r="L439" t="s">
        <v>124</v>
      </c>
      <c r="M439">
        <v>9.99</v>
      </c>
    </row>
    <row r="440">
      <c r="A440" s="2">
        <v>45807</v>
      </c>
      <c r="B440">
        <v>2025.0</v>
      </c>
      <c r="C440" t="s">
        <v>315</v>
      </c>
      <c r="D440" t="s">
        <v>316</v>
      </c>
      <c r="E440" t="s">
        <v>127</v>
      </c>
      <c r="F440" t="s">
        <v>306</v>
      </c>
      <c r="G440" t="s">
        <v>11</v>
      </c>
      <c r="H440">
        <v>4802.0</v>
      </c>
      <c r="I440" t="s">
        <v>31</v>
      </c>
      <c r="J440" t="s">
        <v>78</v>
      </c>
      <c r="K440" t="s">
        <v>43</v>
      </c>
      <c r="L440" t="s">
        <v>44</v>
      </c>
      <c r="M440">
        <v>10.0</v>
      </c>
    </row>
    <row r="441">
      <c r="A441" s="2">
        <v>45367</v>
      </c>
      <c r="B441">
        <v>2024.0</v>
      </c>
      <c r="C441" t="s">
        <v>318</v>
      </c>
      <c r="D441" t="s">
        <v>316</v>
      </c>
      <c r="E441" t="s">
        <v>103</v>
      </c>
      <c r="F441" t="s">
        <v>307</v>
      </c>
      <c r="G441" t="s">
        <v>12</v>
      </c>
      <c r="H441">
        <v>6021.0</v>
      </c>
      <c r="I441" t="s">
        <v>31</v>
      </c>
      <c r="J441" t="s">
        <v>102</v>
      </c>
      <c r="K441" t="s">
        <v>71</v>
      </c>
      <c r="L441" t="s">
        <v>72</v>
      </c>
      <c r="M441">
        <v>10.0</v>
      </c>
    </row>
    <row r="442">
      <c r="A442" s="2">
        <v>45331</v>
      </c>
      <c r="B442">
        <v>2024.0</v>
      </c>
      <c r="C442" t="s">
        <v>318</v>
      </c>
      <c r="D442" t="s">
        <v>316</v>
      </c>
      <c r="E442" t="s">
        <v>203</v>
      </c>
      <c r="F442" t="s">
        <v>305</v>
      </c>
      <c r="G442" t="s">
        <v>10</v>
      </c>
      <c r="H442">
        <v>3175.0</v>
      </c>
      <c r="I442" t="s">
        <v>31</v>
      </c>
      <c r="J442" t="s">
        <v>89</v>
      </c>
      <c r="K442" t="s">
        <v>46</v>
      </c>
      <c r="L442" t="s">
        <v>47</v>
      </c>
      <c r="M442">
        <v>10.0</v>
      </c>
    </row>
    <row r="443">
      <c r="A443" s="2">
        <v>45392</v>
      </c>
      <c r="B443">
        <v>2024.0</v>
      </c>
      <c r="C443" t="s">
        <v>318</v>
      </c>
      <c r="D443" t="s">
        <v>316</v>
      </c>
      <c r="E443" t="s">
        <v>240</v>
      </c>
      <c r="F443" t="s">
        <v>310</v>
      </c>
      <c r="G443" t="s">
        <v>15</v>
      </c>
      <c r="H443">
        <v>7010.0</v>
      </c>
      <c r="I443" t="s">
        <v>31</v>
      </c>
      <c r="J443" t="s">
        <v>53</v>
      </c>
      <c r="K443" t="s">
        <v>43</v>
      </c>
      <c r="L443" t="s">
        <v>44</v>
      </c>
      <c r="M443">
        <v>10.0</v>
      </c>
    </row>
    <row r="444">
      <c r="A444" s="2">
        <v>45639</v>
      </c>
      <c r="B444">
        <v>2025.0</v>
      </c>
      <c r="C444" t="s">
        <v>315</v>
      </c>
      <c r="D444" t="s">
        <v>316</v>
      </c>
      <c r="E444" t="s">
        <v>169</v>
      </c>
      <c r="F444" t="s">
        <v>307</v>
      </c>
      <c r="G444" t="s">
        <v>12</v>
      </c>
      <c r="H444">
        <v>6027.0</v>
      </c>
      <c r="I444" t="s">
        <v>31</v>
      </c>
      <c r="J444" t="s">
        <v>102</v>
      </c>
      <c r="K444" t="s">
        <v>43</v>
      </c>
      <c r="L444" t="s">
        <v>44</v>
      </c>
      <c r="M444">
        <v>10.0</v>
      </c>
    </row>
    <row r="445">
      <c r="A445" s="2">
        <v>45355</v>
      </c>
      <c r="B445">
        <v>2024.0</v>
      </c>
      <c r="C445" t="s">
        <v>318</v>
      </c>
      <c r="D445" t="s">
        <v>316</v>
      </c>
      <c r="E445" t="s">
        <v>79</v>
      </c>
      <c r="F445" t="s">
        <v>304</v>
      </c>
      <c r="G445" t="s">
        <v>9</v>
      </c>
      <c r="H445">
        <v>2141.0</v>
      </c>
      <c r="I445" t="s">
        <v>31</v>
      </c>
      <c r="J445" t="s">
        <v>81</v>
      </c>
      <c r="K445" t="s">
        <v>43</v>
      </c>
      <c r="L445" t="s">
        <v>44</v>
      </c>
      <c r="M445">
        <v>10.0</v>
      </c>
    </row>
    <row r="446">
      <c r="A446" s="2">
        <v>45771</v>
      </c>
      <c r="B446">
        <v>2025.0</v>
      </c>
      <c r="C446" t="s">
        <v>315</v>
      </c>
      <c r="D446" t="s">
        <v>316</v>
      </c>
      <c r="E446" t="s">
        <v>171</v>
      </c>
      <c r="F446" t="s">
        <v>305</v>
      </c>
      <c r="G446" t="s">
        <v>10</v>
      </c>
      <c r="H446">
        <v>3500.0</v>
      </c>
      <c r="I446" t="s">
        <v>31</v>
      </c>
      <c r="J446" t="s">
        <v>37</v>
      </c>
      <c r="K446" t="s">
        <v>43</v>
      </c>
      <c r="L446" t="s">
        <v>44</v>
      </c>
      <c r="M446">
        <v>10.0</v>
      </c>
    </row>
    <row r="447">
      <c r="A447" s="2">
        <v>45628</v>
      </c>
      <c r="B447">
        <v>2025.0</v>
      </c>
      <c r="C447" t="s">
        <v>315</v>
      </c>
      <c r="D447" t="s">
        <v>316</v>
      </c>
      <c r="E447" t="s">
        <v>244</v>
      </c>
      <c r="F447" t="s">
        <v>308</v>
      </c>
      <c r="G447" t="s">
        <v>13</v>
      </c>
      <c r="H447">
        <v>5168.0</v>
      </c>
      <c r="I447" t="s">
        <v>31</v>
      </c>
      <c r="J447" t="s">
        <v>42</v>
      </c>
      <c r="K447" t="s">
        <v>43</v>
      </c>
      <c r="L447" t="s">
        <v>44</v>
      </c>
      <c r="M447">
        <v>10.0</v>
      </c>
    </row>
    <row r="448">
      <c r="A448" s="2">
        <v>45309</v>
      </c>
      <c r="B448">
        <v>2024.0</v>
      </c>
      <c r="C448" t="s">
        <v>318</v>
      </c>
      <c r="D448" t="s">
        <v>319</v>
      </c>
      <c r="E448" t="s">
        <v>105</v>
      </c>
      <c r="F448" t="s">
        <v>304</v>
      </c>
      <c r="G448" t="s">
        <v>9</v>
      </c>
      <c r="H448">
        <v>2541.0</v>
      </c>
      <c r="I448" t="s">
        <v>31</v>
      </c>
      <c r="J448" t="s">
        <v>107</v>
      </c>
      <c r="K448" t="s">
        <v>38</v>
      </c>
      <c r="L448" t="s">
        <v>39</v>
      </c>
      <c r="M448">
        <v>10.0</v>
      </c>
    </row>
    <row r="449">
      <c r="A449" s="2">
        <v>45395</v>
      </c>
      <c r="B449">
        <v>2024.0</v>
      </c>
      <c r="C449" t="s">
        <v>318</v>
      </c>
      <c r="D449" t="s">
        <v>316</v>
      </c>
      <c r="E449" t="s">
        <v>260</v>
      </c>
      <c r="F449" t="s">
        <v>305</v>
      </c>
      <c r="G449" t="s">
        <v>10</v>
      </c>
      <c r="H449">
        <v>3179.0</v>
      </c>
      <c r="I449" t="s">
        <v>31</v>
      </c>
      <c r="J449" t="s">
        <v>89</v>
      </c>
      <c r="K449" t="s">
        <v>95</v>
      </c>
      <c r="L449" t="s">
        <v>96</v>
      </c>
      <c r="M449">
        <v>10.0</v>
      </c>
    </row>
    <row r="450">
      <c r="A450" s="2">
        <v>45880</v>
      </c>
      <c r="B450">
        <v>2026.0</v>
      </c>
      <c r="C450" t="s">
        <v>321</v>
      </c>
      <c r="D450" t="s">
        <v>316</v>
      </c>
      <c r="E450" t="s">
        <v>116</v>
      </c>
      <c r="F450" t="s">
        <v>304</v>
      </c>
      <c r="G450" t="s">
        <v>9</v>
      </c>
      <c r="H450">
        <v>2485.0</v>
      </c>
      <c r="I450" t="s">
        <v>31</v>
      </c>
      <c r="J450" t="s">
        <v>70</v>
      </c>
      <c r="K450" t="s">
        <v>71</v>
      </c>
      <c r="L450" t="s">
        <v>72</v>
      </c>
      <c r="M450">
        <v>10.0</v>
      </c>
    </row>
    <row r="451">
      <c r="A451" s="2">
        <v>45846</v>
      </c>
      <c r="B451">
        <v>2026.0</v>
      </c>
      <c r="C451" t="s">
        <v>321</v>
      </c>
      <c r="D451" t="s">
        <v>319</v>
      </c>
      <c r="E451" t="s">
        <v>64</v>
      </c>
      <c r="F451" t="s">
        <v>306</v>
      </c>
      <c r="G451" t="s">
        <v>11</v>
      </c>
      <c r="H451">
        <v>4215.0</v>
      </c>
      <c r="I451" t="s">
        <v>31</v>
      </c>
      <c r="J451" t="s">
        <v>61</v>
      </c>
      <c r="K451" t="s">
        <v>43</v>
      </c>
      <c r="L451" t="s">
        <v>44</v>
      </c>
      <c r="M451">
        <v>10.05</v>
      </c>
    </row>
    <row r="452">
      <c r="A452" s="2">
        <v>45527</v>
      </c>
      <c r="B452">
        <v>2025.0</v>
      </c>
      <c r="C452" t="s">
        <v>315</v>
      </c>
      <c r="D452" t="s">
        <v>316</v>
      </c>
      <c r="E452" t="s">
        <v>156</v>
      </c>
      <c r="F452" t="s">
        <v>304</v>
      </c>
      <c r="G452" t="s">
        <v>9</v>
      </c>
      <c r="H452">
        <v>2830.0</v>
      </c>
      <c r="I452" t="s">
        <v>31</v>
      </c>
      <c r="J452" t="s">
        <v>75</v>
      </c>
      <c r="K452" t="s">
        <v>43</v>
      </c>
      <c r="L452" t="s">
        <v>44</v>
      </c>
      <c r="M452">
        <v>10.09</v>
      </c>
    </row>
    <row r="453">
      <c r="A453" s="2">
        <v>45464</v>
      </c>
      <c r="B453">
        <v>2024.0</v>
      </c>
      <c r="C453" t="s">
        <v>318</v>
      </c>
      <c r="D453" t="s">
        <v>316</v>
      </c>
      <c r="E453" t="s">
        <v>82</v>
      </c>
      <c r="F453" t="s">
        <v>306</v>
      </c>
      <c r="G453" t="s">
        <v>11</v>
      </c>
      <c r="H453">
        <v>4558.0</v>
      </c>
      <c r="I453" t="s">
        <v>31</v>
      </c>
      <c r="J453" t="s">
        <v>84</v>
      </c>
      <c r="K453" t="s">
        <v>43</v>
      </c>
      <c r="L453" t="s">
        <v>44</v>
      </c>
      <c r="M453">
        <v>10.25</v>
      </c>
    </row>
    <row r="454">
      <c r="A454" s="2">
        <v>45379</v>
      </c>
      <c r="B454">
        <v>2024.0</v>
      </c>
      <c r="C454" t="s">
        <v>318</v>
      </c>
      <c r="D454" t="s">
        <v>316</v>
      </c>
      <c r="E454" t="s">
        <v>223</v>
      </c>
      <c r="F454" t="s">
        <v>305</v>
      </c>
      <c r="G454" t="s">
        <v>10</v>
      </c>
      <c r="H454">
        <v>3915.0</v>
      </c>
      <c r="I454" t="s">
        <v>31</v>
      </c>
      <c r="J454" t="s">
        <v>94</v>
      </c>
      <c r="K454" t="s">
        <v>38</v>
      </c>
      <c r="L454" t="s">
        <v>39</v>
      </c>
      <c r="M454">
        <v>10.5</v>
      </c>
    </row>
    <row r="455">
      <c r="A455" s="2">
        <v>45803</v>
      </c>
      <c r="B455">
        <v>2025.0</v>
      </c>
      <c r="C455" t="s">
        <v>315</v>
      </c>
      <c r="D455" t="s">
        <v>316</v>
      </c>
      <c r="E455" t="s">
        <v>105</v>
      </c>
      <c r="F455" t="s">
        <v>304</v>
      </c>
      <c r="G455" t="s">
        <v>9</v>
      </c>
      <c r="H455">
        <v>2541.0</v>
      </c>
      <c r="I455" t="s">
        <v>31</v>
      </c>
      <c r="J455" t="s">
        <v>107</v>
      </c>
      <c r="K455" t="s">
        <v>123</v>
      </c>
      <c r="L455" t="s">
        <v>124</v>
      </c>
      <c r="M455">
        <v>10.5</v>
      </c>
    </row>
    <row r="456">
      <c r="A456" s="2">
        <v>45568</v>
      </c>
      <c r="B456">
        <v>2025.0</v>
      </c>
      <c r="C456" t="s">
        <v>315</v>
      </c>
      <c r="D456" t="s">
        <v>316</v>
      </c>
      <c r="E456" t="s">
        <v>183</v>
      </c>
      <c r="F456" t="s">
        <v>304</v>
      </c>
      <c r="G456" t="s">
        <v>9</v>
      </c>
      <c r="H456">
        <v>2480.0</v>
      </c>
      <c r="I456" t="s">
        <v>31</v>
      </c>
      <c r="J456" t="s">
        <v>70</v>
      </c>
      <c r="K456" t="s">
        <v>95</v>
      </c>
      <c r="L456" t="s">
        <v>96</v>
      </c>
      <c r="M456">
        <v>10.65</v>
      </c>
    </row>
    <row r="457">
      <c r="A457" s="2">
        <v>45651</v>
      </c>
      <c r="B457">
        <v>2025.0</v>
      </c>
      <c r="C457" t="s">
        <v>315</v>
      </c>
      <c r="D457" t="s">
        <v>316</v>
      </c>
      <c r="E457" t="s">
        <v>131</v>
      </c>
      <c r="F457" t="s">
        <v>306</v>
      </c>
      <c r="G457" t="s">
        <v>11</v>
      </c>
      <c r="H457">
        <v>4655.0</v>
      </c>
      <c r="I457" t="s">
        <v>31</v>
      </c>
      <c r="J457" t="s">
        <v>32</v>
      </c>
      <c r="K457" t="s">
        <v>71</v>
      </c>
      <c r="L457" t="s">
        <v>72</v>
      </c>
      <c r="M457">
        <v>10.7</v>
      </c>
    </row>
    <row r="458">
      <c r="A458" s="2">
        <v>45717</v>
      </c>
      <c r="B458">
        <v>2025.0</v>
      </c>
      <c r="C458" t="s">
        <v>315</v>
      </c>
      <c r="D458" t="s">
        <v>319</v>
      </c>
      <c r="E458" t="s">
        <v>108</v>
      </c>
      <c r="F458" t="s">
        <v>304</v>
      </c>
      <c r="G458" t="s">
        <v>9</v>
      </c>
      <c r="H458">
        <v>2795.0</v>
      </c>
      <c r="I458" t="s">
        <v>31</v>
      </c>
      <c r="J458" t="s">
        <v>75</v>
      </c>
      <c r="K458" t="s">
        <v>33</v>
      </c>
      <c r="L458" t="s">
        <v>34</v>
      </c>
      <c r="M458">
        <v>10.78</v>
      </c>
    </row>
    <row r="459">
      <c r="A459" s="2">
        <v>45307</v>
      </c>
      <c r="B459">
        <v>2024.0</v>
      </c>
      <c r="C459" t="s">
        <v>318</v>
      </c>
      <c r="D459" t="s">
        <v>319</v>
      </c>
      <c r="E459" t="s">
        <v>183</v>
      </c>
      <c r="F459" t="s">
        <v>304</v>
      </c>
      <c r="G459" t="s">
        <v>9</v>
      </c>
      <c r="H459">
        <v>2480.0</v>
      </c>
      <c r="I459" t="s">
        <v>31</v>
      </c>
      <c r="J459" t="s">
        <v>70</v>
      </c>
      <c r="K459" t="s">
        <v>43</v>
      </c>
      <c r="L459" t="s">
        <v>44</v>
      </c>
      <c r="M459">
        <v>10.8</v>
      </c>
    </row>
    <row r="460">
      <c r="A460" s="2">
        <v>45450</v>
      </c>
      <c r="B460">
        <v>2024.0</v>
      </c>
      <c r="C460" t="s">
        <v>318</v>
      </c>
      <c r="D460" t="s">
        <v>316</v>
      </c>
      <c r="E460" t="s">
        <v>105</v>
      </c>
      <c r="F460" t="s">
        <v>304</v>
      </c>
      <c r="G460" t="s">
        <v>9</v>
      </c>
      <c r="H460">
        <v>2541.0</v>
      </c>
      <c r="I460" t="s">
        <v>31</v>
      </c>
      <c r="J460" t="s">
        <v>107</v>
      </c>
      <c r="K460" t="s">
        <v>43</v>
      </c>
      <c r="L460" t="s">
        <v>44</v>
      </c>
      <c r="M460">
        <v>10.9</v>
      </c>
    </row>
    <row r="461">
      <c r="A461" s="2">
        <v>45691</v>
      </c>
      <c r="B461">
        <v>2025.0</v>
      </c>
      <c r="C461" t="s">
        <v>315</v>
      </c>
      <c r="D461" t="s">
        <v>316</v>
      </c>
      <c r="E461" t="s">
        <v>165</v>
      </c>
      <c r="F461" t="s">
        <v>304</v>
      </c>
      <c r="G461" t="s">
        <v>9</v>
      </c>
      <c r="H461">
        <v>2064.0</v>
      </c>
      <c r="I461" t="s">
        <v>31</v>
      </c>
      <c r="J461" t="s">
        <v>99</v>
      </c>
      <c r="K461" t="s">
        <v>123</v>
      </c>
      <c r="L461" t="s">
        <v>124</v>
      </c>
      <c r="M461">
        <v>10.98</v>
      </c>
    </row>
    <row r="462">
      <c r="A462" s="2">
        <v>45638</v>
      </c>
      <c r="B462">
        <v>2025.0</v>
      </c>
      <c r="C462" t="s">
        <v>315</v>
      </c>
      <c r="D462" t="s">
        <v>319</v>
      </c>
      <c r="E462" t="s">
        <v>48</v>
      </c>
      <c r="F462" t="s">
        <v>307</v>
      </c>
      <c r="G462" t="s">
        <v>12</v>
      </c>
      <c r="H462">
        <v>6725.0</v>
      </c>
      <c r="I462" t="s">
        <v>31</v>
      </c>
      <c r="J462" t="s">
        <v>50</v>
      </c>
      <c r="K462" t="s">
        <v>71</v>
      </c>
      <c r="L462" t="s">
        <v>72</v>
      </c>
      <c r="M462">
        <v>10.98</v>
      </c>
    </row>
    <row r="463">
      <c r="A463" s="2">
        <v>45665</v>
      </c>
      <c r="B463">
        <v>2025.0</v>
      </c>
      <c r="C463" t="s">
        <v>315</v>
      </c>
      <c r="D463" t="s">
        <v>316</v>
      </c>
      <c r="E463" t="s">
        <v>146</v>
      </c>
      <c r="F463" t="s">
        <v>304</v>
      </c>
      <c r="G463" t="s">
        <v>9</v>
      </c>
      <c r="H463">
        <v>2790.0</v>
      </c>
      <c r="I463" t="s">
        <v>31</v>
      </c>
      <c r="J463" t="s">
        <v>75</v>
      </c>
      <c r="K463" t="s">
        <v>38</v>
      </c>
      <c r="L463" t="s">
        <v>39</v>
      </c>
      <c r="M463">
        <v>10.98</v>
      </c>
    </row>
    <row r="464">
      <c r="A464" s="2">
        <v>45770</v>
      </c>
      <c r="B464">
        <v>2025.0</v>
      </c>
      <c r="C464" t="s">
        <v>315</v>
      </c>
      <c r="D464" t="s">
        <v>319</v>
      </c>
      <c r="E464" t="s">
        <v>225</v>
      </c>
      <c r="F464" t="s">
        <v>308</v>
      </c>
      <c r="G464" t="s">
        <v>13</v>
      </c>
      <c r="H464">
        <v>5607.0</v>
      </c>
      <c r="I464" t="s">
        <v>31</v>
      </c>
      <c r="J464" t="s">
        <v>227</v>
      </c>
      <c r="K464" t="s">
        <v>33</v>
      </c>
      <c r="L464" t="s">
        <v>34</v>
      </c>
      <c r="M464">
        <v>10.98</v>
      </c>
    </row>
    <row r="465">
      <c r="A465" s="2">
        <v>45470</v>
      </c>
      <c r="B465">
        <v>2024.0</v>
      </c>
      <c r="C465" t="s">
        <v>318</v>
      </c>
      <c r="D465" t="s">
        <v>316</v>
      </c>
      <c r="E465" t="s">
        <v>195</v>
      </c>
      <c r="F465" t="s">
        <v>306</v>
      </c>
      <c r="G465" t="s">
        <v>11</v>
      </c>
      <c r="H465">
        <v>4700.0</v>
      </c>
      <c r="I465" t="s">
        <v>31</v>
      </c>
      <c r="J465" t="s">
        <v>32</v>
      </c>
      <c r="K465" t="s">
        <v>95</v>
      </c>
      <c r="L465" t="s">
        <v>96</v>
      </c>
      <c r="M465">
        <v>10.98</v>
      </c>
    </row>
    <row r="466">
      <c r="A466" s="2">
        <v>45994</v>
      </c>
      <c r="B466">
        <v>2026.0</v>
      </c>
      <c r="C466" t="s">
        <v>321</v>
      </c>
      <c r="D466" t="s">
        <v>319</v>
      </c>
      <c r="E466" t="s">
        <v>97</v>
      </c>
      <c r="F466" t="s">
        <v>304</v>
      </c>
      <c r="G466" t="s">
        <v>9</v>
      </c>
      <c r="H466">
        <v>2067.0</v>
      </c>
      <c r="I466" t="s">
        <v>31</v>
      </c>
      <c r="J466" t="s">
        <v>99</v>
      </c>
      <c r="K466" t="s">
        <v>95</v>
      </c>
      <c r="L466" t="s">
        <v>96</v>
      </c>
      <c r="M466">
        <v>10.99</v>
      </c>
    </row>
    <row r="467">
      <c r="A467" s="2">
        <v>45333</v>
      </c>
      <c r="B467">
        <v>2024.0</v>
      </c>
      <c r="C467" t="s">
        <v>318</v>
      </c>
      <c r="D467" t="s">
        <v>316</v>
      </c>
      <c r="E467" t="s">
        <v>62</v>
      </c>
      <c r="F467" t="s">
        <v>307</v>
      </c>
      <c r="G467" t="s">
        <v>12</v>
      </c>
      <c r="H467">
        <v>6530.0</v>
      </c>
      <c r="I467" t="s">
        <v>31</v>
      </c>
      <c r="J467" t="s">
        <v>50</v>
      </c>
      <c r="K467" t="s">
        <v>57</v>
      </c>
      <c r="L467" t="s">
        <v>58</v>
      </c>
      <c r="M467">
        <v>10.99</v>
      </c>
    </row>
    <row r="468">
      <c r="A468" s="2">
        <v>45483</v>
      </c>
      <c r="B468">
        <v>2025.0</v>
      </c>
      <c r="C468" t="s">
        <v>315</v>
      </c>
      <c r="D468" t="s">
        <v>316</v>
      </c>
      <c r="E468" t="s">
        <v>165</v>
      </c>
      <c r="F468" t="s">
        <v>304</v>
      </c>
      <c r="G468" t="s">
        <v>9</v>
      </c>
      <c r="H468">
        <v>2064.0</v>
      </c>
      <c r="I468" t="s">
        <v>31</v>
      </c>
      <c r="J468" t="s">
        <v>99</v>
      </c>
      <c r="K468" t="s">
        <v>38</v>
      </c>
      <c r="L468" t="s">
        <v>39</v>
      </c>
      <c r="M468">
        <v>11.0</v>
      </c>
    </row>
    <row r="469">
      <c r="A469" s="2">
        <v>45412</v>
      </c>
      <c r="B469">
        <v>2024.0</v>
      </c>
      <c r="C469" t="s">
        <v>318</v>
      </c>
      <c r="D469" t="s">
        <v>316</v>
      </c>
      <c r="E469" t="s">
        <v>205</v>
      </c>
      <c r="F469" t="s">
        <v>305</v>
      </c>
      <c r="G469" t="s">
        <v>10</v>
      </c>
      <c r="H469">
        <v>3400.0</v>
      </c>
      <c r="I469" t="s">
        <v>31</v>
      </c>
      <c r="J469" t="s">
        <v>37</v>
      </c>
      <c r="K469" t="s">
        <v>43</v>
      </c>
      <c r="L469" t="s">
        <v>44</v>
      </c>
      <c r="M469">
        <v>11.0</v>
      </c>
    </row>
    <row r="470">
      <c r="A470" s="2">
        <v>45682</v>
      </c>
      <c r="B470">
        <v>2025.0</v>
      </c>
      <c r="C470" t="s">
        <v>315</v>
      </c>
      <c r="D470" t="s">
        <v>319</v>
      </c>
      <c r="E470" t="s">
        <v>236</v>
      </c>
      <c r="F470" t="s">
        <v>307</v>
      </c>
      <c r="G470" t="s">
        <v>12</v>
      </c>
      <c r="H470">
        <v>6052.0</v>
      </c>
      <c r="I470" t="s">
        <v>31</v>
      </c>
      <c r="J470" t="s">
        <v>102</v>
      </c>
      <c r="K470" t="s">
        <v>71</v>
      </c>
      <c r="L470" t="s">
        <v>72</v>
      </c>
      <c r="M470">
        <v>11.0</v>
      </c>
    </row>
    <row r="471">
      <c r="A471" s="2">
        <v>45739</v>
      </c>
      <c r="B471">
        <v>2025.0</v>
      </c>
      <c r="C471" t="s">
        <v>315</v>
      </c>
      <c r="D471" t="s">
        <v>316</v>
      </c>
      <c r="E471" t="s">
        <v>199</v>
      </c>
      <c r="F471" t="s">
        <v>308</v>
      </c>
      <c r="G471" t="s">
        <v>13</v>
      </c>
      <c r="H471">
        <v>5169.0</v>
      </c>
      <c r="I471" t="s">
        <v>31</v>
      </c>
      <c r="J471" t="s">
        <v>42</v>
      </c>
      <c r="K471" t="s">
        <v>43</v>
      </c>
      <c r="L471" t="s">
        <v>44</v>
      </c>
      <c r="M471">
        <v>11.0</v>
      </c>
    </row>
    <row r="472">
      <c r="A472" s="2">
        <v>45444</v>
      </c>
      <c r="B472">
        <v>2024.0</v>
      </c>
      <c r="C472" t="s">
        <v>318</v>
      </c>
      <c r="D472" t="s">
        <v>316</v>
      </c>
      <c r="E472" t="s">
        <v>232</v>
      </c>
      <c r="F472" t="s">
        <v>304</v>
      </c>
      <c r="G472" t="s">
        <v>9</v>
      </c>
      <c r="H472">
        <v>2800.0</v>
      </c>
      <c r="I472" t="s">
        <v>31</v>
      </c>
      <c r="J472" t="s">
        <v>75</v>
      </c>
      <c r="K472" t="s">
        <v>71</v>
      </c>
      <c r="L472" t="s">
        <v>72</v>
      </c>
      <c r="M472">
        <v>11.000000000000002</v>
      </c>
    </row>
    <row r="473">
      <c r="A473" s="2">
        <v>45946</v>
      </c>
      <c r="B473">
        <v>2026.0</v>
      </c>
      <c r="C473" t="s">
        <v>321</v>
      </c>
      <c r="D473" t="s">
        <v>319</v>
      </c>
      <c r="E473" t="s">
        <v>246</v>
      </c>
      <c r="F473" t="s">
        <v>305</v>
      </c>
      <c r="G473" t="s">
        <v>10</v>
      </c>
      <c r="H473">
        <v>3551.0</v>
      </c>
      <c r="I473" t="s">
        <v>31</v>
      </c>
      <c r="J473" t="s">
        <v>37</v>
      </c>
      <c r="K473" t="s">
        <v>43</v>
      </c>
      <c r="L473" t="s">
        <v>44</v>
      </c>
      <c r="M473">
        <v>11.32</v>
      </c>
    </row>
    <row r="474">
      <c r="A474" s="2">
        <v>45650</v>
      </c>
      <c r="B474">
        <v>2025.0</v>
      </c>
      <c r="C474" t="s">
        <v>315</v>
      </c>
      <c r="D474" t="s">
        <v>316</v>
      </c>
      <c r="E474" t="s">
        <v>215</v>
      </c>
      <c r="F474" t="s">
        <v>310</v>
      </c>
      <c r="G474" t="s">
        <v>15</v>
      </c>
      <c r="H474">
        <v>7320.0</v>
      </c>
      <c r="I474" t="s">
        <v>31</v>
      </c>
      <c r="J474" t="s">
        <v>53</v>
      </c>
      <c r="K474" t="s">
        <v>43</v>
      </c>
      <c r="L474" t="s">
        <v>44</v>
      </c>
      <c r="M474">
        <v>11.5</v>
      </c>
    </row>
    <row r="475">
      <c r="A475" s="2">
        <v>45867</v>
      </c>
      <c r="B475">
        <v>2026.0</v>
      </c>
      <c r="C475" t="s">
        <v>321</v>
      </c>
      <c r="D475" t="s">
        <v>316</v>
      </c>
      <c r="E475" t="s">
        <v>260</v>
      </c>
      <c r="F475" t="s">
        <v>305</v>
      </c>
      <c r="G475" t="s">
        <v>10</v>
      </c>
      <c r="H475">
        <v>3179.0</v>
      </c>
      <c r="I475" t="s">
        <v>31</v>
      </c>
      <c r="J475" t="s">
        <v>89</v>
      </c>
      <c r="K475" t="s">
        <v>43</v>
      </c>
      <c r="L475" t="s">
        <v>44</v>
      </c>
      <c r="M475">
        <v>11.5</v>
      </c>
    </row>
    <row r="476">
      <c r="A476" s="2">
        <v>45500</v>
      </c>
      <c r="B476">
        <v>2025.0</v>
      </c>
      <c r="C476" t="s">
        <v>315</v>
      </c>
      <c r="D476" t="s">
        <v>316</v>
      </c>
      <c r="E476" t="s">
        <v>217</v>
      </c>
      <c r="F476" t="s">
        <v>305</v>
      </c>
      <c r="G476" t="s">
        <v>10</v>
      </c>
      <c r="H476">
        <v>3136.0</v>
      </c>
      <c r="I476" t="s">
        <v>31</v>
      </c>
      <c r="J476" t="s">
        <v>89</v>
      </c>
      <c r="K476" t="s">
        <v>43</v>
      </c>
      <c r="L476" t="s">
        <v>44</v>
      </c>
      <c r="M476">
        <v>11.6</v>
      </c>
    </row>
    <row r="477">
      <c r="A477" s="2">
        <v>45976</v>
      </c>
      <c r="B477">
        <v>2026.0</v>
      </c>
      <c r="C477" t="s">
        <v>321</v>
      </c>
      <c r="D477" t="s">
        <v>316</v>
      </c>
      <c r="E477" t="s">
        <v>203</v>
      </c>
      <c r="F477" t="s">
        <v>305</v>
      </c>
      <c r="G477" t="s">
        <v>10</v>
      </c>
      <c r="H477">
        <v>3175.0</v>
      </c>
      <c r="I477" t="s">
        <v>31</v>
      </c>
      <c r="J477" t="s">
        <v>89</v>
      </c>
      <c r="K477" t="s">
        <v>66</v>
      </c>
      <c r="L477" t="s">
        <v>67</v>
      </c>
      <c r="M477">
        <v>11.61</v>
      </c>
    </row>
    <row r="478">
      <c r="A478" s="2">
        <v>45620</v>
      </c>
      <c r="B478">
        <v>2025.0</v>
      </c>
      <c r="C478" t="s">
        <v>315</v>
      </c>
      <c r="D478" t="s">
        <v>319</v>
      </c>
      <c r="E478" t="s">
        <v>114</v>
      </c>
      <c r="F478" t="s">
        <v>304</v>
      </c>
      <c r="G478" t="s">
        <v>9</v>
      </c>
      <c r="H478">
        <v>2031.0</v>
      </c>
      <c r="I478" t="s">
        <v>31</v>
      </c>
      <c r="J478" t="s">
        <v>99</v>
      </c>
      <c r="K478" t="s">
        <v>95</v>
      </c>
      <c r="L478" t="s">
        <v>96</v>
      </c>
      <c r="M478">
        <v>11.76</v>
      </c>
    </row>
    <row r="479">
      <c r="A479" s="2">
        <v>45952</v>
      </c>
      <c r="B479">
        <v>2026.0</v>
      </c>
      <c r="C479" t="s">
        <v>321</v>
      </c>
      <c r="D479" t="s">
        <v>319</v>
      </c>
      <c r="E479" t="s">
        <v>97</v>
      </c>
      <c r="F479" t="s">
        <v>304</v>
      </c>
      <c r="G479" t="s">
        <v>9</v>
      </c>
      <c r="H479">
        <v>2067.0</v>
      </c>
      <c r="I479" t="s">
        <v>31</v>
      </c>
      <c r="J479" t="s">
        <v>99</v>
      </c>
      <c r="K479" t="s">
        <v>123</v>
      </c>
      <c r="L479" t="s">
        <v>124</v>
      </c>
      <c r="M479">
        <v>11.92</v>
      </c>
    </row>
    <row r="480">
      <c r="A480" s="2">
        <v>45749</v>
      </c>
      <c r="B480">
        <v>2025.0</v>
      </c>
      <c r="C480" t="s">
        <v>315</v>
      </c>
      <c r="D480" t="s">
        <v>319</v>
      </c>
      <c r="E480" t="s">
        <v>175</v>
      </c>
      <c r="F480" t="s">
        <v>311</v>
      </c>
      <c r="G480" t="s">
        <v>16</v>
      </c>
      <c r="H480">
        <v>2617.0</v>
      </c>
      <c r="I480" t="s">
        <v>31</v>
      </c>
      <c r="J480" t="s">
        <v>107</v>
      </c>
      <c r="K480" t="s">
        <v>43</v>
      </c>
      <c r="L480" t="s">
        <v>44</v>
      </c>
      <c r="M480">
        <v>11.96</v>
      </c>
    </row>
    <row r="481">
      <c r="A481" s="2">
        <v>45805</v>
      </c>
      <c r="B481">
        <v>2025.0</v>
      </c>
      <c r="C481" t="s">
        <v>315</v>
      </c>
      <c r="D481" t="s">
        <v>316</v>
      </c>
      <c r="E481" t="s">
        <v>163</v>
      </c>
      <c r="F481" t="s">
        <v>304</v>
      </c>
      <c r="G481" t="s">
        <v>9</v>
      </c>
      <c r="H481">
        <v>2154.0</v>
      </c>
      <c r="I481" t="s">
        <v>31</v>
      </c>
      <c r="J481" t="s">
        <v>81</v>
      </c>
      <c r="K481" t="s">
        <v>43</v>
      </c>
      <c r="L481" t="s">
        <v>44</v>
      </c>
      <c r="M481">
        <v>11.96</v>
      </c>
    </row>
    <row r="482">
      <c r="A482" s="2">
        <v>45353</v>
      </c>
      <c r="B482">
        <v>2024.0</v>
      </c>
      <c r="C482" t="s">
        <v>318</v>
      </c>
      <c r="D482" t="s">
        <v>319</v>
      </c>
      <c r="E482" t="s">
        <v>59</v>
      </c>
      <c r="F482" t="s">
        <v>306</v>
      </c>
      <c r="G482" t="s">
        <v>11</v>
      </c>
      <c r="H482">
        <v>4509.0</v>
      </c>
      <c r="I482" t="s">
        <v>31</v>
      </c>
      <c r="J482" t="s">
        <v>61</v>
      </c>
      <c r="K482" t="s">
        <v>33</v>
      </c>
      <c r="L482" t="s">
        <v>34</v>
      </c>
      <c r="M482">
        <v>11.96</v>
      </c>
    </row>
    <row r="483">
      <c r="A483" s="2">
        <v>45649</v>
      </c>
      <c r="B483">
        <v>2025.0</v>
      </c>
      <c r="C483" t="s">
        <v>315</v>
      </c>
      <c r="D483" t="s">
        <v>319</v>
      </c>
      <c r="E483" t="s">
        <v>225</v>
      </c>
      <c r="F483" t="s">
        <v>308</v>
      </c>
      <c r="G483" t="s">
        <v>13</v>
      </c>
      <c r="H483">
        <v>5607.0</v>
      </c>
      <c r="I483" t="s">
        <v>31</v>
      </c>
      <c r="J483" t="s">
        <v>227</v>
      </c>
      <c r="K483" t="s">
        <v>112</v>
      </c>
      <c r="L483" t="s">
        <v>113</v>
      </c>
      <c r="M483">
        <v>11.96</v>
      </c>
    </row>
    <row r="484">
      <c r="A484" s="2">
        <v>45338</v>
      </c>
      <c r="B484">
        <v>2024.0</v>
      </c>
      <c r="C484" t="s">
        <v>318</v>
      </c>
      <c r="D484" t="s">
        <v>316</v>
      </c>
      <c r="E484" t="s">
        <v>177</v>
      </c>
      <c r="F484" t="s">
        <v>307</v>
      </c>
      <c r="G484" t="s">
        <v>12</v>
      </c>
      <c r="H484">
        <v>6330.0</v>
      </c>
      <c r="I484" t="s">
        <v>31</v>
      </c>
      <c r="J484" t="s">
        <v>162</v>
      </c>
      <c r="K484" t="s">
        <v>112</v>
      </c>
      <c r="L484" t="s">
        <v>113</v>
      </c>
      <c r="M484">
        <v>11.97</v>
      </c>
    </row>
    <row r="485">
      <c r="A485" s="2">
        <v>45608</v>
      </c>
      <c r="B485">
        <v>2025.0</v>
      </c>
      <c r="C485" t="s">
        <v>315</v>
      </c>
      <c r="D485" t="s">
        <v>316</v>
      </c>
      <c r="E485" t="s">
        <v>175</v>
      </c>
      <c r="F485" t="s">
        <v>311</v>
      </c>
      <c r="G485" t="s">
        <v>16</v>
      </c>
      <c r="H485">
        <v>2617.0</v>
      </c>
      <c r="I485" t="s">
        <v>31</v>
      </c>
      <c r="J485" t="s">
        <v>107</v>
      </c>
      <c r="K485" t="s">
        <v>33</v>
      </c>
      <c r="L485" t="s">
        <v>34</v>
      </c>
      <c r="M485">
        <v>11.97</v>
      </c>
    </row>
    <row r="486">
      <c r="A486" s="2">
        <v>45617</v>
      </c>
      <c r="B486">
        <v>2025.0</v>
      </c>
      <c r="C486" t="s">
        <v>315</v>
      </c>
      <c r="D486" t="s">
        <v>316</v>
      </c>
      <c r="E486" t="s">
        <v>175</v>
      </c>
      <c r="F486" t="s">
        <v>311</v>
      </c>
      <c r="G486" t="s">
        <v>16</v>
      </c>
      <c r="H486">
        <v>2617.0</v>
      </c>
      <c r="I486" t="s">
        <v>31</v>
      </c>
      <c r="J486" t="s">
        <v>107</v>
      </c>
      <c r="K486" t="s">
        <v>95</v>
      </c>
      <c r="L486" t="s">
        <v>96</v>
      </c>
      <c r="M486">
        <v>11.97</v>
      </c>
    </row>
    <row r="487">
      <c r="A487" s="2">
        <v>45715</v>
      </c>
      <c r="B487">
        <v>2025.0</v>
      </c>
      <c r="C487" t="s">
        <v>315</v>
      </c>
      <c r="D487" t="s">
        <v>316</v>
      </c>
      <c r="E487" t="s">
        <v>250</v>
      </c>
      <c r="F487" t="s">
        <v>305</v>
      </c>
      <c r="G487" t="s">
        <v>10</v>
      </c>
      <c r="H487">
        <v>3550.0</v>
      </c>
      <c r="I487" t="s">
        <v>31</v>
      </c>
      <c r="J487" t="s">
        <v>37</v>
      </c>
      <c r="K487" t="s">
        <v>112</v>
      </c>
      <c r="L487" t="s">
        <v>113</v>
      </c>
      <c r="M487">
        <v>11.97</v>
      </c>
    </row>
    <row r="488">
      <c r="A488" s="2">
        <v>45703</v>
      </c>
      <c r="B488">
        <v>2025.0</v>
      </c>
      <c r="C488" t="s">
        <v>315</v>
      </c>
      <c r="D488" t="s">
        <v>319</v>
      </c>
      <c r="E488" t="s">
        <v>187</v>
      </c>
      <c r="F488" t="s">
        <v>306</v>
      </c>
      <c r="G488" t="s">
        <v>11</v>
      </c>
      <c r="H488">
        <v>4870.0</v>
      </c>
      <c r="I488" t="s">
        <v>31</v>
      </c>
      <c r="J488" t="s">
        <v>78</v>
      </c>
      <c r="K488" t="s">
        <v>33</v>
      </c>
      <c r="L488" t="s">
        <v>34</v>
      </c>
      <c r="M488">
        <v>11.97</v>
      </c>
    </row>
    <row r="489">
      <c r="A489" s="2">
        <v>45919</v>
      </c>
      <c r="B489">
        <v>2026.0</v>
      </c>
      <c r="C489" t="s">
        <v>321</v>
      </c>
      <c r="D489" t="s">
        <v>316</v>
      </c>
      <c r="E489" t="s">
        <v>242</v>
      </c>
      <c r="F489" t="s">
        <v>305</v>
      </c>
      <c r="G489" t="s">
        <v>10</v>
      </c>
      <c r="H489">
        <v>3977.0</v>
      </c>
      <c r="I489" t="s">
        <v>31</v>
      </c>
      <c r="J489" t="s">
        <v>94</v>
      </c>
      <c r="K489" t="s">
        <v>71</v>
      </c>
      <c r="L489" t="s">
        <v>72</v>
      </c>
      <c r="M489">
        <v>11.97</v>
      </c>
    </row>
    <row r="490">
      <c r="A490" s="2">
        <v>45478</v>
      </c>
      <c r="B490">
        <v>2025.0</v>
      </c>
      <c r="C490" t="s">
        <v>315</v>
      </c>
      <c r="D490" t="s">
        <v>316</v>
      </c>
      <c r="E490" t="s">
        <v>228</v>
      </c>
      <c r="F490" t="s">
        <v>306</v>
      </c>
      <c r="G490" t="s">
        <v>11</v>
      </c>
      <c r="H490">
        <v>4680.0</v>
      </c>
      <c r="I490" t="s">
        <v>31</v>
      </c>
      <c r="J490" t="s">
        <v>32</v>
      </c>
      <c r="K490" t="s">
        <v>71</v>
      </c>
      <c r="L490" t="s">
        <v>72</v>
      </c>
      <c r="M490">
        <v>11.97</v>
      </c>
    </row>
    <row r="491">
      <c r="A491" s="2">
        <v>45444</v>
      </c>
      <c r="B491">
        <v>2024.0</v>
      </c>
      <c r="C491" t="s">
        <v>318</v>
      </c>
      <c r="D491" t="s">
        <v>319</v>
      </c>
      <c r="E491" t="s">
        <v>248</v>
      </c>
      <c r="F491" t="s">
        <v>307</v>
      </c>
      <c r="G491" t="s">
        <v>12</v>
      </c>
      <c r="H491">
        <v>6112.0</v>
      </c>
      <c r="I491" t="s">
        <v>31</v>
      </c>
      <c r="J491" t="s">
        <v>162</v>
      </c>
      <c r="K491" t="s">
        <v>38</v>
      </c>
      <c r="L491" t="s">
        <v>39</v>
      </c>
      <c r="M491">
        <v>11.97</v>
      </c>
    </row>
    <row r="492">
      <c r="A492" s="2">
        <v>45806</v>
      </c>
      <c r="B492">
        <v>2025.0</v>
      </c>
      <c r="C492" t="s">
        <v>315</v>
      </c>
      <c r="D492" t="s">
        <v>316</v>
      </c>
      <c r="E492" t="s">
        <v>131</v>
      </c>
      <c r="F492" t="s">
        <v>306</v>
      </c>
      <c r="G492" t="s">
        <v>11</v>
      </c>
      <c r="H492">
        <v>4655.0</v>
      </c>
      <c r="I492" t="s">
        <v>31</v>
      </c>
      <c r="J492" t="s">
        <v>32</v>
      </c>
      <c r="K492" t="s">
        <v>33</v>
      </c>
      <c r="L492" t="s">
        <v>34</v>
      </c>
      <c r="M492">
        <v>11.97</v>
      </c>
    </row>
    <row r="493">
      <c r="A493" s="2">
        <v>45550</v>
      </c>
      <c r="B493">
        <v>2025.0</v>
      </c>
      <c r="C493" t="s">
        <v>315</v>
      </c>
      <c r="D493" t="s">
        <v>316</v>
      </c>
      <c r="E493" t="s">
        <v>219</v>
      </c>
      <c r="F493" t="s">
        <v>306</v>
      </c>
      <c r="G493" t="s">
        <v>11</v>
      </c>
      <c r="H493">
        <v>4068.0</v>
      </c>
      <c r="I493" t="s">
        <v>31</v>
      </c>
      <c r="J493" t="s">
        <v>56</v>
      </c>
      <c r="K493" t="s">
        <v>33</v>
      </c>
      <c r="L493" t="s">
        <v>34</v>
      </c>
      <c r="M493">
        <v>11.97</v>
      </c>
    </row>
    <row r="494">
      <c r="A494" s="2">
        <v>45885</v>
      </c>
      <c r="B494">
        <v>2026.0</v>
      </c>
      <c r="C494" t="s">
        <v>321</v>
      </c>
      <c r="D494" t="s">
        <v>319</v>
      </c>
      <c r="E494" t="s">
        <v>73</v>
      </c>
      <c r="F494" t="s">
        <v>304</v>
      </c>
      <c r="G494" t="s">
        <v>9</v>
      </c>
      <c r="H494">
        <v>2750.0</v>
      </c>
      <c r="I494" t="s">
        <v>31</v>
      </c>
      <c r="J494" t="s">
        <v>75</v>
      </c>
      <c r="K494" t="s">
        <v>33</v>
      </c>
      <c r="L494" t="s">
        <v>34</v>
      </c>
      <c r="M494">
        <v>11.97</v>
      </c>
    </row>
    <row r="495">
      <c r="A495" s="2">
        <v>45987</v>
      </c>
      <c r="B495">
        <v>2026.0</v>
      </c>
      <c r="C495" t="s">
        <v>321</v>
      </c>
      <c r="D495" t="s">
        <v>316</v>
      </c>
      <c r="E495" t="s">
        <v>133</v>
      </c>
      <c r="F495" t="s">
        <v>305</v>
      </c>
      <c r="G495" t="s">
        <v>10</v>
      </c>
      <c r="H495">
        <v>3429.0</v>
      </c>
      <c r="I495" t="s">
        <v>31</v>
      </c>
      <c r="J495" t="s">
        <v>37</v>
      </c>
      <c r="K495" t="s">
        <v>33</v>
      </c>
      <c r="L495" t="s">
        <v>34</v>
      </c>
      <c r="M495">
        <v>11.97</v>
      </c>
    </row>
    <row r="496">
      <c r="A496" s="2">
        <v>45379</v>
      </c>
      <c r="B496">
        <v>2024.0</v>
      </c>
      <c r="C496" t="s">
        <v>318</v>
      </c>
      <c r="D496" t="s">
        <v>316</v>
      </c>
      <c r="E496" t="s">
        <v>29</v>
      </c>
      <c r="F496" t="s">
        <v>306</v>
      </c>
      <c r="G496" t="s">
        <v>11</v>
      </c>
      <c r="H496">
        <v>4703.0</v>
      </c>
      <c r="I496" t="s">
        <v>31</v>
      </c>
      <c r="J496" t="s">
        <v>32</v>
      </c>
      <c r="K496" t="s">
        <v>33</v>
      </c>
      <c r="L496" t="s">
        <v>34</v>
      </c>
      <c r="M496">
        <v>11.97</v>
      </c>
    </row>
    <row r="497">
      <c r="A497" s="2">
        <v>45585</v>
      </c>
      <c r="B497">
        <v>2025.0</v>
      </c>
      <c r="C497" t="s">
        <v>315</v>
      </c>
      <c r="D497" t="s">
        <v>316</v>
      </c>
      <c r="E497" t="s">
        <v>127</v>
      </c>
      <c r="F497" t="s">
        <v>306</v>
      </c>
      <c r="G497" t="s">
        <v>11</v>
      </c>
      <c r="H497">
        <v>4802.0</v>
      </c>
      <c r="I497" t="s">
        <v>31</v>
      </c>
      <c r="J497" t="s">
        <v>78</v>
      </c>
      <c r="K497" t="s">
        <v>46</v>
      </c>
      <c r="L497" t="s">
        <v>47</v>
      </c>
      <c r="M497">
        <v>11.98</v>
      </c>
    </row>
    <row r="498">
      <c r="A498" s="2">
        <v>45705</v>
      </c>
      <c r="B498">
        <v>2025.0</v>
      </c>
      <c r="C498" t="s">
        <v>315</v>
      </c>
      <c r="D498" t="s">
        <v>316</v>
      </c>
      <c r="E498" t="s">
        <v>254</v>
      </c>
      <c r="F498" t="s">
        <v>308</v>
      </c>
      <c r="G498" t="s">
        <v>13</v>
      </c>
      <c r="H498">
        <v>5343.0</v>
      </c>
      <c r="I498" t="s">
        <v>31</v>
      </c>
      <c r="J498" t="s">
        <v>227</v>
      </c>
      <c r="K498" t="s">
        <v>71</v>
      </c>
      <c r="L498" t="s">
        <v>72</v>
      </c>
      <c r="M498">
        <v>11.98</v>
      </c>
    </row>
    <row r="499">
      <c r="A499" s="2">
        <v>45424</v>
      </c>
      <c r="B499">
        <v>2024.0</v>
      </c>
      <c r="C499" t="s">
        <v>318</v>
      </c>
      <c r="D499" t="s">
        <v>319</v>
      </c>
      <c r="E499" t="s">
        <v>48</v>
      </c>
      <c r="F499" t="s">
        <v>307</v>
      </c>
      <c r="G499" t="s">
        <v>12</v>
      </c>
      <c r="H499">
        <v>6725.0</v>
      </c>
      <c r="I499" t="s">
        <v>31</v>
      </c>
      <c r="J499" t="s">
        <v>50</v>
      </c>
      <c r="K499" t="s">
        <v>112</v>
      </c>
      <c r="L499" t="s">
        <v>113</v>
      </c>
      <c r="M499">
        <v>11.98</v>
      </c>
    </row>
    <row r="500">
      <c r="A500" s="2">
        <v>45419</v>
      </c>
      <c r="B500">
        <v>2024.0</v>
      </c>
      <c r="C500" t="s">
        <v>318</v>
      </c>
      <c r="D500" t="s">
        <v>316</v>
      </c>
      <c r="E500" t="s">
        <v>215</v>
      </c>
      <c r="F500" t="s">
        <v>310</v>
      </c>
      <c r="G500" t="s">
        <v>15</v>
      </c>
      <c r="H500">
        <v>7320.0</v>
      </c>
      <c r="I500" t="s">
        <v>31</v>
      </c>
      <c r="J500" t="s">
        <v>53</v>
      </c>
      <c r="K500" t="s">
        <v>57</v>
      </c>
      <c r="L500" t="s">
        <v>58</v>
      </c>
      <c r="M500">
        <v>11.98</v>
      </c>
    </row>
    <row r="501">
      <c r="A501" s="2">
        <v>45678</v>
      </c>
      <c r="B501">
        <v>2025.0</v>
      </c>
      <c r="C501" t="s">
        <v>315</v>
      </c>
      <c r="D501" t="s">
        <v>316</v>
      </c>
      <c r="E501" t="s">
        <v>240</v>
      </c>
      <c r="F501" t="s">
        <v>310</v>
      </c>
      <c r="G501" t="s">
        <v>15</v>
      </c>
      <c r="H501">
        <v>7010.0</v>
      </c>
      <c r="I501" t="s">
        <v>31</v>
      </c>
      <c r="J501" t="s">
        <v>53</v>
      </c>
      <c r="K501" t="s">
        <v>112</v>
      </c>
      <c r="L501" t="s">
        <v>113</v>
      </c>
      <c r="M501">
        <v>11.98</v>
      </c>
    </row>
    <row r="502">
      <c r="A502" s="2">
        <v>45545</v>
      </c>
      <c r="B502">
        <v>2025.0</v>
      </c>
      <c r="C502" t="s">
        <v>315</v>
      </c>
      <c r="D502" t="s">
        <v>316</v>
      </c>
      <c r="E502" t="s">
        <v>205</v>
      </c>
      <c r="F502" t="s">
        <v>305</v>
      </c>
      <c r="G502" t="s">
        <v>10</v>
      </c>
      <c r="H502">
        <v>3400.0</v>
      </c>
      <c r="I502" t="s">
        <v>31</v>
      </c>
      <c r="J502" t="s">
        <v>37</v>
      </c>
      <c r="K502" t="s">
        <v>95</v>
      </c>
      <c r="L502" t="s">
        <v>96</v>
      </c>
      <c r="M502">
        <v>11.98</v>
      </c>
    </row>
    <row r="503">
      <c r="A503" s="2">
        <v>45367</v>
      </c>
      <c r="B503">
        <v>2024.0</v>
      </c>
      <c r="C503" t="s">
        <v>318</v>
      </c>
      <c r="D503" t="s">
        <v>316</v>
      </c>
      <c r="E503" t="s">
        <v>219</v>
      </c>
      <c r="F503" t="s">
        <v>306</v>
      </c>
      <c r="G503" t="s">
        <v>11</v>
      </c>
      <c r="H503">
        <v>4068.0</v>
      </c>
      <c r="I503" t="s">
        <v>31</v>
      </c>
      <c r="J503" t="s">
        <v>56</v>
      </c>
      <c r="K503" t="s">
        <v>43</v>
      </c>
      <c r="L503" t="s">
        <v>44</v>
      </c>
      <c r="M503">
        <v>11.98</v>
      </c>
    </row>
    <row r="504">
      <c r="A504" s="2">
        <v>45340</v>
      </c>
      <c r="B504">
        <v>2024.0</v>
      </c>
      <c r="C504" t="s">
        <v>318</v>
      </c>
      <c r="D504" t="s">
        <v>316</v>
      </c>
      <c r="E504" t="s">
        <v>152</v>
      </c>
      <c r="F504" t="s">
        <v>306</v>
      </c>
      <c r="G504" t="s">
        <v>11</v>
      </c>
      <c r="H504">
        <v>4305.0</v>
      </c>
      <c r="I504" t="s">
        <v>31</v>
      </c>
      <c r="J504" t="s">
        <v>61</v>
      </c>
      <c r="K504" t="s">
        <v>123</v>
      </c>
      <c r="L504" t="s">
        <v>124</v>
      </c>
      <c r="M504">
        <v>11.98</v>
      </c>
    </row>
    <row r="505">
      <c r="A505" s="2">
        <v>45665</v>
      </c>
      <c r="B505">
        <v>2025.0</v>
      </c>
      <c r="C505" t="s">
        <v>315</v>
      </c>
      <c r="D505" t="s">
        <v>316</v>
      </c>
      <c r="E505" t="s">
        <v>260</v>
      </c>
      <c r="F505" t="s">
        <v>305</v>
      </c>
      <c r="G505" t="s">
        <v>10</v>
      </c>
      <c r="H505">
        <v>3179.0</v>
      </c>
      <c r="I505" t="s">
        <v>31</v>
      </c>
      <c r="J505" t="s">
        <v>89</v>
      </c>
      <c r="K505" t="s">
        <v>71</v>
      </c>
      <c r="L505" t="s">
        <v>72</v>
      </c>
      <c r="M505">
        <v>11.98</v>
      </c>
    </row>
    <row r="506">
      <c r="A506" s="2">
        <v>45772</v>
      </c>
      <c r="B506">
        <v>2025.0</v>
      </c>
      <c r="C506" t="s">
        <v>315</v>
      </c>
      <c r="D506" t="s">
        <v>316</v>
      </c>
      <c r="E506" t="s">
        <v>141</v>
      </c>
      <c r="F506" t="s">
        <v>304</v>
      </c>
      <c r="G506" t="s">
        <v>9</v>
      </c>
      <c r="H506">
        <v>2539.0</v>
      </c>
      <c r="I506" t="s">
        <v>31</v>
      </c>
      <c r="J506" t="s">
        <v>107</v>
      </c>
      <c r="K506" t="s">
        <v>95</v>
      </c>
      <c r="L506" t="s">
        <v>96</v>
      </c>
      <c r="M506">
        <v>11.98</v>
      </c>
    </row>
    <row r="507">
      <c r="A507" s="2">
        <v>45770</v>
      </c>
      <c r="B507">
        <v>2025.0</v>
      </c>
      <c r="C507" t="s">
        <v>315</v>
      </c>
      <c r="D507" t="s">
        <v>316</v>
      </c>
      <c r="E507" t="s">
        <v>258</v>
      </c>
      <c r="F507" t="s">
        <v>309</v>
      </c>
      <c r="G507" t="s">
        <v>14</v>
      </c>
      <c r="H507">
        <v>870.0</v>
      </c>
      <c r="I507" t="s">
        <v>31</v>
      </c>
      <c r="J507" t="s">
        <v>145</v>
      </c>
      <c r="K507" t="s">
        <v>43</v>
      </c>
      <c r="L507" t="s">
        <v>44</v>
      </c>
      <c r="M507">
        <v>11.99</v>
      </c>
    </row>
    <row r="508">
      <c r="A508" s="2">
        <v>45438</v>
      </c>
      <c r="B508">
        <v>2024.0</v>
      </c>
      <c r="C508" t="s">
        <v>318</v>
      </c>
      <c r="D508" t="s">
        <v>316</v>
      </c>
      <c r="E508" t="s">
        <v>262</v>
      </c>
      <c r="F508" t="s">
        <v>305</v>
      </c>
      <c r="G508" t="s">
        <v>10</v>
      </c>
      <c r="H508">
        <v>3018.0</v>
      </c>
      <c r="I508" t="s">
        <v>31</v>
      </c>
      <c r="J508" t="s">
        <v>120</v>
      </c>
      <c r="K508" t="s">
        <v>95</v>
      </c>
      <c r="L508" t="s">
        <v>96</v>
      </c>
      <c r="M508">
        <v>11.99</v>
      </c>
    </row>
    <row r="509">
      <c r="A509" s="2">
        <v>45935</v>
      </c>
      <c r="B509">
        <v>2026.0</v>
      </c>
      <c r="C509" t="s">
        <v>321</v>
      </c>
      <c r="D509" t="s">
        <v>316</v>
      </c>
      <c r="E509" t="s">
        <v>201</v>
      </c>
      <c r="F509" t="s">
        <v>305</v>
      </c>
      <c r="G509" t="s">
        <v>10</v>
      </c>
      <c r="H509">
        <v>3131.0</v>
      </c>
      <c r="I509" t="s">
        <v>31</v>
      </c>
      <c r="J509" t="s">
        <v>89</v>
      </c>
      <c r="K509" t="s">
        <v>43</v>
      </c>
      <c r="L509" t="s">
        <v>44</v>
      </c>
      <c r="M509">
        <v>11.99</v>
      </c>
    </row>
    <row r="510">
      <c r="A510" s="2">
        <v>45530</v>
      </c>
      <c r="B510">
        <v>2025.0</v>
      </c>
      <c r="C510" t="s">
        <v>315</v>
      </c>
      <c r="D510" t="s">
        <v>319</v>
      </c>
      <c r="E510" t="s">
        <v>211</v>
      </c>
      <c r="F510" t="s">
        <v>304</v>
      </c>
      <c r="G510" t="s">
        <v>9</v>
      </c>
      <c r="H510">
        <v>2650.0</v>
      </c>
      <c r="I510" t="s">
        <v>31</v>
      </c>
      <c r="J510" t="s">
        <v>75</v>
      </c>
      <c r="K510" t="s">
        <v>46</v>
      </c>
      <c r="L510" t="s">
        <v>47</v>
      </c>
      <c r="M510">
        <v>12.0</v>
      </c>
    </row>
    <row r="511">
      <c r="A511" s="2">
        <v>45759</v>
      </c>
      <c r="B511">
        <v>2025.0</v>
      </c>
      <c r="C511" t="s">
        <v>315</v>
      </c>
      <c r="D511" t="s">
        <v>316</v>
      </c>
      <c r="E511" t="s">
        <v>219</v>
      </c>
      <c r="F511" t="s">
        <v>306</v>
      </c>
      <c r="G511" t="s">
        <v>11</v>
      </c>
      <c r="H511">
        <v>4068.0</v>
      </c>
      <c r="I511" t="s">
        <v>31</v>
      </c>
      <c r="J511" t="s">
        <v>56</v>
      </c>
      <c r="K511" t="s">
        <v>123</v>
      </c>
      <c r="L511" t="s">
        <v>124</v>
      </c>
      <c r="M511">
        <v>12.43</v>
      </c>
    </row>
    <row r="512">
      <c r="A512" s="2">
        <v>45563</v>
      </c>
      <c r="B512">
        <v>2025.0</v>
      </c>
      <c r="C512" t="s">
        <v>315</v>
      </c>
      <c r="D512" t="s">
        <v>316</v>
      </c>
      <c r="E512" t="s">
        <v>62</v>
      </c>
      <c r="F512" t="s">
        <v>307</v>
      </c>
      <c r="G512" t="s">
        <v>12</v>
      </c>
      <c r="H512">
        <v>6530.0</v>
      </c>
      <c r="I512" t="s">
        <v>31</v>
      </c>
      <c r="J512" t="s">
        <v>50</v>
      </c>
      <c r="K512" t="s">
        <v>43</v>
      </c>
      <c r="L512" t="s">
        <v>44</v>
      </c>
      <c r="M512">
        <v>12.52</v>
      </c>
    </row>
    <row r="513">
      <c r="A513" s="2">
        <v>45738</v>
      </c>
      <c r="B513">
        <v>2025.0</v>
      </c>
      <c r="C513" t="s">
        <v>315</v>
      </c>
      <c r="D513" t="s">
        <v>319</v>
      </c>
      <c r="E513" t="s">
        <v>175</v>
      </c>
      <c r="F513" t="s">
        <v>311</v>
      </c>
      <c r="G513" t="s">
        <v>16</v>
      </c>
      <c r="H513">
        <v>2617.0</v>
      </c>
      <c r="I513" t="s">
        <v>31</v>
      </c>
      <c r="J513" t="s">
        <v>107</v>
      </c>
      <c r="K513" t="s">
        <v>71</v>
      </c>
      <c r="L513" t="s">
        <v>72</v>
      </c>
      <c r="M513">
        <v>12.77</v>
      </c>
    </row>
    <row r="514">
      <c r="A514" s="2">
        <v>45745</v>
      </c>
      <c r="B514">
        <v>2025.0</v>
      </c>
      <c r="C514" t="s">
        <v>315</v>
      </c>
      <c r="D514" t="s">
        <v>319</v>
      </c>
      <c r="E514" t="s">
        <v>103</v>
      </c>
      <c r="F514" t="s">
        <v>307</v>
      </c>
      <c r="G514" t="s">
        <v>12</v>
      </c>
      <c r="H514">
        <v>6021.0</v>
      </c>
      <c r="I514" t="s">
        <v>31</v>
      </c>
      <c r="J514" t="s">
        <v>102</v>
      </c>
      <c r="K514" t="s">
        <v>33</v>
      </c>
      <c r="L514" t="s">
        <v>34</v>
      </c>
      <c r="M514">
        <v>12.98</v>
      </c>
    </row>
    <row r="515">
      <c r="A515" s="2">
        <v>45760</v>
      </c>
      <c r="B515">
        <v>2025.0</v>
      </c>
      <c r="C515" t="s">
        <v>315</v>
      </c>
      <c r="D515" t="s">
        <v>316</v>
      </c>
      <c r="E515" t="s">
        <v>197</v>
      </c>
      <c r="F515" t="s">
        <v>304</v>
      </c>
      <c r="G515" t="s">
        <v>9</v>
      </c>
      <c r="H515">
        <v>2560.0</v>
      </c>
      <c r="I515" t="s">
        <v>31</v>
      </c>
      <c r="J515" t="s">
        <v>107</v>
      </c>
      <c r="K515" t="s">
        <v>95</v>
      </c>
      <c r="L515" t="s">
        <v>96</v>
      </c>
      <c r="M515">
        <v>12.98</v>
      </c>
    </row>
    <row r="516">
      <c r="A516" s="2">
        <v>45822</v>
      </c>
      <c r="B516">
        <v>2025.0</v>
      </c>
      <c r="C516" t="s">
        <v>315</v>
      </c>
      <c r="D516" t="s">
        <v>316</v>
      </c>
      <c r="E516" t="s">
        <v>103</v>
      </c>
      <c r="F516" t="s">
        <v>307</v>
      </c>
      <c r="G516" t="s">
        <v>12</v>
      </c>
      <c r="H516">
        <v>6021.0</v>
      </c>
      <c r="I516" t="s">
        <v>31</v>
      </c>
      <c r="J516" t="s">
        <v>102</v>
      </c>
      <c r="K516" t="s">
        <v>43</v>
      </c>
      <c r="L516" t="s">
        <v>44</v>
      </c>
      <c r="M516">
        <v>12.99</v>
      </c>
    </row>
    <row r="517">
      <c r="A517" s="2">
        <v>45393</v>
      </c>
      <c r="B517">
        <v>2024.0</v>
      </c>
      <c r="C517" t="s">
        <v>318</v>
      </c>
      <c r="D517" t="s">
        <v>316</v>
      </c>
      <c r="E517" t="s">
        <v>215</v>
      </c>
      <c r="F517" t="s">
        <v>310</v>
      </c>
      <c r="G517" t="s">
        <v>15</v>
      </c>
      <c r="H517">
        <v>7320.0</v>
      </c>
      <c r="I517" t="s">
        <v>31</v>
      </c>
      <c r="J517" t="s">
        <v>53</v>
      </c>
      <c r="K517" t="s">
        <v>46</v>
      </c>
      <c r="L517" t="s">
        <v>47</v>
      </c>
      <c r="M517">
        <v>12.99</v>
      </c>
    </row>
    <row r="518">
      <c r="A518" s="2">
        <v>45662</v>
      </c>
      <c r="B518">
        <v>2025.0</v>
      </c>
      <c r="C518" t="s">
        <v>315</v>
      </c>
      <c r="D518" t="s">
        <v>316</v>
      </c>
      <c r="E518" t="s">
        <v>217</v>
      </c>
      <c r="F518" t="s">
        <v>305</v>
      </c>
      <c r="G518" t="s">
        <v>10</v>
      </c>
      <c r="H518">
        <v>3136.0</v>
      </c>
      <c r="I518" t="s">
        <v>31</v>
      </c>
      <c r="J518" t="s">
        <v>89</v>
      </c>
      <c r="K518" t="s">
        <v>46</v>
      </c>
      <c r="L518" t="s">
        <v>47</v>
      </c>
      <c r="M518">
        <v>12.99</v>
      </c>
    </row>
    <row r="519">
      <c r="A519" s="2">
        <v>45330</v>
      </c>
      <c r="B519">
        <v>2024.0</v>
      </c>
      <c r="C519" t="s">
        <v>318</v>
      </c>
      <c r="D519" t="s">
        <v>316</v>
      </c>
      <c r="E519" t="s">
        <v>143</v>
      </c>
      <c r="F519" t="s">
        <v>309</v>
      </c>
      <c r="G519" t="s">
        <v>14</v>
      </c>
      <c r="H519">
        <v>800.0</v>
      </c>
      <c r="I519" t="s">
        <v>31</v>
      </c>
      <c r="J519" t="s">
        <v>145</v>
      </c>
      <c r="K519" t="s">
        <v>43</v>
      </c>
      <c r="L519" t="s">
        <v>44</v>
      </c>
      <c r="M519">
        <v>12.99</v>
      </c>
    </row>
    <row r="520">
      <c r="A520" s="2">
        <v>45305</v>
      </c>
      <c r="B520">
        <v>2024.0</v>
      </c>
      <c r="C520" t="s">
        <v>318</v>
      </c>
      <c r="D520" t="s">
        <v>316</v>
      </c>
      <c r="E520" t="s">
        <v>118</v>
      </c>
      <c r="F520" t="s">
        <v>305</v>
      </c>
      <c r="G520" t="s">
        <v>10</v>
      </c>
      <c r="H520">
        <v>3076.0</v>
      </c>
      <c r="I520" t="s">
        <v>31</v>
      </c>
      <c r="J520" t="s">
        <v>120</v>
      </c>
      <c r="K520" t="s">
        <v>46</v>
      </c>
      <c r="L520" t="s">
        <v>47</v>
      </c>
      <c r="M520">
        <v>12.99</v>
      </c>
    </row>
    <row r="521">
      <c r="A521" s="2">
        <v>45293</v>
      </c>
      <c r="B521">
        <v>2024.0</v>
      </c>
      <c r="C521" t="s">
        <v>318</v>
      </c>
      <c r="D521" t="s">
        <v>316</v>
      </c>
      <c r="E521" t="s">
        <v>62</v>
      </c>
      <c r="F521" t="s">
        <v>307</v>
      </c>
      <c r="G521" t="s">
        <v>12</v>
      </c>
      <c r="H521">
        <v>6530.0</v>
      </c>
      <c r="I521" t="s">
        <v>31</v>
      </c>
      <c r="J521" t="s">
        <v>50</v>
      </c>
      <c r="K521" t="s">
        <v>46</v>
      </c>
      <c r="L521" t="s">
        <v>47</v>
      </c>
      <c r="M521">
        <v>12.99</v>
      </c>
    </row>
    <row r="522">
      <c r="A522" s="2">
        <v>45850</v>
      </c>
      <c r="B522">
        <v>2026.0</v>
      </c>
      <c r="C522" t="s">
        <v>321</v>
      </c>
      <c r="D522" t="s">
        <v>316</v>
      </c>
      <c r="E522" t="s">
        <v>158</v>
      </c>
      <c r="F522" t="s">
        <v>306</v>
      </c>
      <c r="G522" t="s">
        <v>11</v>
      </c>
      <c r="H522">
        <v>4570.0</v>
      </c>
      <c r="I522" t="s">
        <v>31</v>
      </c>
      <c r="J522" t="s">
        <v>84</v>
      </c>
      <c r="K522" t="s">
        <v>33</v>
      </c>
      <c r="L522" t="s">
        <v>34</v>
      </c>
      <c r="M522">
        <v>12.99</v>
      </c>
    </row>
    <row r="523">
      <c r="A523" s="2">
        <v>45576</v>
      </c>
      <c r="B523">
        <v>2025.0</v>
      </c>
      <c r="C523" t="s">
        <v>315</v>
      </c>
      <c r="D523" t="s">
        <v>316</v>
      </c>
      <c r="E523" t="s">
        <v>79</v>
      </c>
      <c r="F523" t="s">
        <v>304</v>
      </c>
      <c r="G523" t="s">
        <v>9</v>
      </c>
      <c r="H523">
        <v>2141.0</v>
      </c>
      <c r="I523" t="s">
        <v>31</v>
      </c>
      <c r="J523" t="s">
        <v>81</v>
      </c>
      <c r="K523" t="s">
        <v>71</v>
      </c>
      <c r="L523" t="s">
        <v>72</v>
      </c>
      <c r="M523">
        <v>12.99</v>
      </c>
    </row>
    <row r="524">
      <c r="A524" s="2">
        <v>45912</v>
      </c>
      <c r="B524">
        <v>2026.0</v>
      </c>
      <c r="C524" t="s">
        <v>321</v>
      </c>
      <c r="D524" t="s">
        <v>319</v>
      </c>
      <c r="E524" t="s">
        <v>183</v>
      </c>
      <c r="F524" t="s">
        <v>304</v>
      </c>
      <c r="G524" t="s">
        <v>9</v>
      </c>
      <c r="H524">
        <v>2480.0</v>
      </c>
      <c r="I524" t="s">
        <v>31</v>
      </c>
      <c r="J524" t="s">
        <v>70</v>
      </c>
      <c r="K524" t="s">
        <v>46</v>
      </c>
      <c r="L524" t="s">
        <v>47</v>
      </c>
      <c r="M524">
        <v>12.99</v>
      </c>
    </row>
    <row r="525">
      <c r="A525" s="2">
        <v>45505</v>
      </c>
      <c r="B525">
        <v>2025.0</v>
      </c>
      <c r="C525" t="s">
        <v>315</v>
      </c>
      <c r="D525" t="s">
        <v>319</v>
      </c>
      <c r="E525" t="s">
        <v>193</v>
      </c>
      <c r="F525" t="s">
        <v>304</v>
      </c>
      <c r="G525" t="s">
        <v>9</v>
      </c>
      <c r="H525">
        <v>2020.0</v>
      </c>
      <c r="I525" t="s">
        <v>31</v>
      </c>
      <c r="J525" t="s">
        <v>99</v>
      </c>
      <c r="K525" t="s">
        <v>46</v>
      </c>
      <c r="L525" t="s">
        <v>47</v>
      </c>
      <c r="M525">
        <v>12.99</v>
      </c>
    </row>
    <row r="526">
      <c r="A526" s="2">
        <v>45536</v>
      </c>
      <c r="B526">
        <v>2025.0</v>
      </c>
      <c r="C526" t="s">
        <v>315</v>
      </c>
      <c r="D526" t="s">
        <v>316</v>
      </c>
      <c r="E526" t="s">
        <v>171</v>
      </c>
      <c r="F526" t="s">
        <v>305</v>
      </c>
      <c r="G526" t="s">
        <v>10</v>
      </c>
      <c r="H526">
        <v>3500.0</v>
      </c>
      <c r="I526" t="s">
        <v>31</v>
      </c>
      <c r="J526" t="s">
        <v>37</v>
      </c>
      <c r="K526" t="s">
        <v>46</v>
      </c>
      <c r="L526" t="s">
        <v>47</v>
      </c>
      <c r="M526">
        <v>12.99</v>
      </c>
    </row>
    <row r="527">
      <c r="A527" s="2">
        <v>45336</v>
      </c>
      <c r="B527">
        <v>2024.0</v>
      </c>
      <c r="C527" t="s">
        <v>318</v>
      </c>
      <c r="D527" t="s">
        <v>319</v>
      </c>
      <c r="E527" t="s">
        <v>125</v>
      </c>
      <c r="F527" t="s">
        <v>305</v>
      </c>
      <c r="G527" t="s">
        <v>10</v>
      </c>
      <c r="H527">
        <v>3931.0</v>
      </c>
      <c r="I527" t="s">
        <v>31</v>
      </c>
      <c r="J527" t="s">
        <v>94</v>
      </c>
      <c r="K527" t="s">
        <v>46</v>
      </c>
      <c r="L527" t="s">
        <v>47</v>
      </c>
      <c r="M527">
        <v>12.99</v>
      </c>
    </row>
    <row r="528">
      <c r="A528" s="2">
        <v>45833</v>
      </c>
      <c r="B528">
        <v>2025.0</v>
      </c>
      <c r="C528" t="s">
        <v>315</v>
      </c>
      <c r="D528" t="s">
        <v>319</v>
      </c>
      <c r="E528" t="s">
        <v>73</v>
      </c>
      <c r="F528" t="s">
        <v>304</v>
      </c>
      <c r="G528" t="s">
        <v>9</v>
      </c>
      <c r="H528">
        <v>2750.0</v>
      </c>
      <c r="I528" t="s">
        <v>31</v>
      </c>
      <c r="J528" t="s">
        <v>75</v>
      </c>
      <c r="K528" t="s">
        <v>38</v>
      </c>
      <c r="L528" t="s">
        <v>39</v>
      </c>
      <c r="M528">
        <v>12.99</v>
      </c>
    </row>
    <row r="529">
      <c r="A529" s="2">
        <v>45388</v>
      </c>
      <c r="B529">
        <v>2024.0</v>
      </c>
      <c r="C529" t="s">
        <v>318</v>
      </c>
      <c r="D529" t="s">
        <v>319</v>
      </c>
      <c r="E529" t="s">
        <v>114</v>
      </c>
      <c r="F529" t="s">
        <v>304</v>
      </c>
      <c r="G529" t="s">
        <v>9</v>
      </c>
      <c r="H529">
        <v>2031.0</v>
      </c>
      <c r="I529" t="s">
        <v>31</v>
      </c>
      <c r="J529" t="s">
        <v>99</v>
      </c>
      <c r="K529" t="s">
        <v>46</v>
      </c>
      <c r="L529" t="s">
        <v>47</v>
      </c>
      <c r="M529">
        <v>12.99</v>
      </c>
    </row>
    <row r="530">
      <c r="A530" s="2">
        <v>45781</v>
      </c>
      <c r="B530">
        <v>2025.0</v>
      </c>
      <c r="C530" t="s">
        <v>315</v>
      </c>
      <c r="D530" t="s">
        <v>319</v>
      </c>
      <c r="E530" t="s">
        <v>211</v>
      </c>
      <c r="F530" t="s">
        <v>304</v>
      </c>
      <c r="G530" t="s">
        <v>9</v>
      </c>
      <c r="H530">
        <v>2650.0</v>
      </c>
      <c r="I530" t="s">
        <v>31</v>
      </c>
      <c r="J530" t="s">
        <v>75</v>
      </c>
      <c r="K530" t="s">
        <v>95</v>
      </c>
      <c r="L530" t="s">
        <v>96</v>
      </c>
      <c r="M530">
        <v>12.99</v>
      </c>
    </row>
    <row r="531">
      <c r="A531" s="2">
        <v>45695</v>
      </c>
      <c r="B531">
        <v>2025.0</v>
      </c>
      <c r="C531" t="s">
        <v>315</v>
      </c>
      <c r="D531" t="s">
        <v>316</v>
      </c>
      <c r="E531" t="s">
        <v>35</v>
      </c>
      <c r="F531" t="s">
        <v>305</v>
      </c>
      <c r="G531" t="s">
        <v>10</v>
      </c>
      <c r="H531">
        <v>3280.0</v>
      </c>
      <c r="I531" t="s">
        <v>31</v>
      </c>
      <c r="J531" t="s">
        <v>37</v>
      </c>
      <c r="K531" t="s">
        <v>46</v>
      </c>
      <c r="L531" t="s">
        <v>47</v>
      </c>
      <c r="M531">
        <v>12.99</v>
      </c>
    </row>
    <row r="532">
      <c r="A532" s="2">
        <v>45878</v>
      </c>
      <c r="B532">
        <v>2026.0</v>
      </c>
      <c r="C532" t="s">
        <v>321</v>
      </c>
      <c r="D532" t="s">
        <v>316</v>
      </c>
      <c r="E532" t="s">
        <v>35</v>
      </c>
      <c r="F532" t="s">
        <v>305</v>
      </c>
      <c r="G532" t="s">
        <v>10</v>
      </c>
      <c r="H532">
        <v>3280.0</v>
      </c>
      <c r="I532" t="s">
        <v>31</v>
      </c>
      <c r="J532" t="s">
        <v>37</v>
      </c>
      <c r="K532" t="s">
        <v>57</v>
      </c>
      <c r="L532" t="s">
        <v>58</v>
      </c>
      <c r="M532">
        <v>12.99</v>
      </c>
    </row>
    <row r="533">
      <c r="A533" s="2">
        <v>45873</v>
      </c>
      <c r="B533">
        <v>2026.0</v>
      </c>
      <c r="C533" t="s">
        <v>321</v>
      </c>
      <c r="D533" t="s">
        <v>316</v>
      </c>
      <c r="E533" t="s">
        <v>92</v>
      </c>
      <c r="F533" t="s">
        <v>305</v>
      </c>
      <c r="G533" t="s">
        <v>10</v>
      </c>
      <c r="H533">
        <v>3690.0</v>
      </c>
      <c r="I533" t="s">
        <v>31</v>
      </c>
      <c r="J533" t="s">
        <v>94</v>
      </c>
      <c r="K533" t="s">
        <v>43</v>
      </c>
      <c r="L533" t="s">
        <v>44</v>
      </c>
      <c r="M533">
        <v>12.99</v>
      </c>
    </row>
    <row r="534">
      <c r="A534" s="2">
        <v>45309</v>
      </c>
      <c r="B534">
        <v>2024.0</v>
      </c>
      <c r="C534" t="s">
        <v>318</v>
      </c>
      <c r="D534" t="s">
        <v>316</v>
      </c>
      <c r="E534" t="s">
        <v>156</v>
      </c>
      <c r="F534" t="s">
        <v>304</v>
      </c>
      <c r="G534" t="s">
        <v>9</v>
      </c>
      <c r="H534">
        <v>2830.0</v>
      </c>
      <c r="I534" t="s">
        <v>31</v>
      </c>
      <c r="J534" t="s">
        <v>75</v>
      </c>
      <c r="K534" t="s">
        <v>38</v>
      </c>
      <c r="L534" t="s">
        <v>39</v>
      </c>
      <c r="M534">
        <v>13.0</v>
      </c>
    </row>
    <row r="535">
      <c r="A535" s="2">
        <v>45506</v>
      </c>
      <c r="B535">
        <v>2025.0</v>
      </c>
      <c r="C535" t="s">
        <v>315</v>
      </c>
      <c r="D535" t="s">
        <v>316</v>
      </c>
      <c r="E535" t="s">
        <v>152</v>
      </c>
      <c r="F535" t="s">
        <v>306</v>
      </c>
      <c r="G535" t="s">
        <v>11</v>
      </c>
      <c r="H535">
        <v>4305.0</v>
      </c>
      <c r="I535" t="s">
        <v>31</v>
      </c>
      <c r="J535" t="s">
        <v>61</v>
      </c>
      <c r="K535" t="s">
        <v>38</v>
      </c>
      <c r="L535" t="s">
        <v>39</v>
      </c>
      <c r="M535">
        <v>13.0</v>
      </c>
    </row>
    <row r="536">
      <c r="A536" s="2">
        <v>45787</v>
      </c>
      <c r="B536">
        <v>2025.0</v>
      </c>
      <c r="C536" t="s">
        <v>315</v>
      </c>
      <c r="D536" t="s">
        <v>316</v>
      </c>
      <c r="E536" t="s">
        <v>141</v>
      </c>
      <c r="F536" t="s">
        <v>304</v>
      </c>
      <c r="G536" t="s">
        <v>9</v>
      </c>
      <c r="H536">
        <v>2539.0</v>
      </c>
      <c r="I536" t="s">
        <v>31</v>
      </c>
      <c r="J536" t="s">
        <v>107</v>
      </c>
      <c r="K536" t="s">
        <v>43</v>
      </c>
      <c r="L536" t="s">
        <v>44</v>
      </c>
      <c r="M536">
        <v>13.0</v>
      </c>
    </row>
    <row r="537">
      <c r="A537" s="2">
        <v>45471</v>
      </c>
      <c r="B537">
        <v>2024.0</v>
      </c>
      <c r="C537" t="s">
        <v>318</v>
      </c>
      <c r="D537" t="s">
        <v>316</v>
      </c>
      <c r="E537" t="s">
        <v>189</v>
      </c>
      <c r="F537" t="s">
        <v>304</v>
      </c>
      <c r="G537" t="s">
        <v>9</v>
      </c>
      <c r="H537">
        <v>2131.0</v>
      </c>
      <c r="I537" t="s">
        <v>31</v>
      </c>
      <c r="J537" t="s">
        <v>81</v>
      </c>
      <c r="K537" t="s">
        <v>46</v>
      </c>
      <c r="L537" t="s">
        <v>47</v>
      </c>
      <c r="M537">
        <v>13.01</v>
      </c>
    </row>
    <row r="538">
      <c r="A538" s="2">
        <v>45910</v>
      </c>
      <c r="B538">
        <v>2026.0</v>
      </c>
      <c r="C538" t="s">
        <v>321</v>
      </c>
      <c r="D538" t="s">
        <v>316</v>
      </c>
      <c r="E538" t="s">
        <v>262</v>
      </c>
      <c r="F538" t="s">
        <v>305</v>
      </c>
      <c r="G538" t="s">
        <v>10</v>
      </c>
      <c r="H538">
        <v>3018.0</v>
      </c>
      <c r="I538" t="s">
        <v>31</v>
      </c>
      <c r="J538" t="s">
        <v>120</v>
      </c>
      <c r="K538" t="s">
        <v>43</v>
      </c>
      <c r="L538" t="s">
        <v>44</v>
      </c>
      <c r="M538">
        <v>13.08</v>
      </c>
    </row>
    <row r="539">
      <c r="A539" s="2">
        <v>45734</v>
      </c>
      <c r="B539">
        <v>2025.0</v>
      </c>
      <c r="C539" t="s">
        <v>315</v>
      </c>
      <c r="D539" t="s">
        <v>316</v>
      </c>
      <c r="E539" t="s">
        <v>258</v>
      </c>
      <c r="F539" t="s">
        <v>309</v>
      </c>
      <c r="G539" t="s">
        <v>14</v>
      </c>
      <c r="H539">
        <v>870.0</v>
      </c>
      <c r="I539" t="s">
        <v>31</v>
      </c>
      <c r="J539" t="s">
        <v>145</v>
      </c>
      <c r="K539" t="s">
        <v>33</v>
      </c>
      <c r="L539" t="s">
        <v>34</v>
      </c>
      <c r="M539">
        <v>13.27</v>
      </c>
    </row>
    <row r="540">
      <c r="A540" s="2">
        <v>45580</v>
      </c>
      <c r="B540">
        <v>2025.0</v>
      </c>
      <c r="C540" t="s">
        <v>315</v>
      </c>
      <c r="D540" t="s">
        <v>316</v>
      </c>
      <c r="E540" t="s">
        <v>133</v>
      </c>
      <c r="F540" t="s">
        <v>305</v>
      </c>
      <c r="G540" t="s">
        <v>10</v>
      </c>
      <c r="H540">
        <v>3429.0</v>
      </c>
      <c r="I540" t="s">
        <v>31</v>
      </c>
      <c r="J540" t="s">
        <v>37</v>
      </c>
      <c r="K540" t="s">
        <v>95</v>
      </c>
      <c r="L540" t="s">
        <v>96</v>
      </c>
      <c r="M540">
        <v>13.440000000000001</v>
      </c>
    </row>
    <row r="541">
      <c r="A541" s="2">
        <v>45946</v>
      </c>
      <c r="B541">
        <v>2026.0</v>
      </c>
      <c r="C541" t="s">
        <v>321</v>
      </c>
      <c r="D541" t="s">
        <v>316</v>
      </c>
      <c r="E541" t="s">
        <v>175</v>
      </c>
      <c r="F541" t="s">
        <v>311</v>
      </c>
      <c r="G541" t="s">
        <v>16</v>
      </c>
      <c r="H541">
        <v>2617.0</v>
      </c>
      <c r="I541" t="s">
        <v>31</v>
      </c>
      <c r="J541" t="s">
        <v>107</v>
      </c>
      <c r="K541" t="s">
        <v>95</v>
      </c>
      <c r="L541" t="s">
        <v>96</v>
      </c>
      <c r="M541">
        <v>13.47</v>
      </c>
    </row>
    <row r="542">
      <c r="A542" s="2">
        <v>45538</v>
      </c>
      <c r="B542">
        <v>2025.0</v>
      </c>
      <c r="C542" t="s">
        <v>315</v>
      </c>
      <c r="D542" t="s">
        <v>316</v>
      </c>
      <c r="E542" t="s">
        <v>125</v>
      </c>
      <c r="F542" t="s">
        <v>305</v>
      </c>
      <c r="G542" t="s">
        <v>10</v>
      </c>
      <c r="H542">
        <v>3931.0</v>
      </c>
      <c r="I542" t="s">
        <v>31</v>
      </c>
      <c r="J542" t="s">
        <v>94</v>
      </c>
      <c r="K542" t="s">
        <v>38</v>
      </c>
      <c r="L542" t="s">
        <v>39</v>
      </c>
      <c r="M542">
        <v>13.5</v>
      </c>
    </row>
    <row r="543">
      <c r="A543" s="2">
        <v>46001</v>
      </c>
      <c r="B543">
        <v>2026.0</v>
      </c>
      <c r="C543" t="s">
        <v>321</v>
      </c>
      <c r="D543" t="s">
        <v>316</v>
      </c>
      <c r="E543" t="s">
        <v>221</v>
      </c>
      <c r="F543" t="s">
        <v>306</v>
      </c>
      <c r="G543" t="s">
        <v>11</v>
      </c>
      <c r="H543">
        <v>4053.0</v>
      </c>
      <c r="I543" t="s">
        <v>31</v>
      </c>
      <c r="J543" t="s">
        <v>56</v>
      </c>
      <c r="K543" t="s">
        <v>43</v>
      </c>
      <c r="L543" t="s">
        <v>44</v>
      </c>
      <c r="M543">
        <v>13.64</v>
      </c>
    </row>
    <row r="544">
      <c r="A544" s="2">
        <v>45511</v>
      </c>
      <c r="B544">
        <v>2025.0</v>
      </c>
      <c r="C544" t="s">
        <v>315</v>
      </c>
      <c r="D544" t="s">
        <v>316</v>
      </c>
      <c r="E544" t="s">
        <v>139</v>
      </c>
      <c r="F544" t="s">
        <v>305</v>
      </c>
      <c r="G544" t="s">
        <v>10</v>
      </c>
      <c r="H544">
        <v>3199.0</v>
      </c>
      <c r="I544" t="s">
        <v>31</v>
      </c>
      <c r="J544" t="s">
        <v>89</v>
      </c>
      <c r="K544" t="s">
        <v>112</v>
      </c>
      <c r="L544" t="s">
        <v>113</v>
      </c>
      <c r="M544">
        <v>13.86</v>
      </c>
    </row>
    <row r="545">
      <c r="A545" s="2">
        <v>45982</v>
      </c>
      <c r="B545">
        <v>2026.0</v>
      </c>
      <c r="C545" t="s">
        <v>321</v>
      </c>
      <c r="D545" t="s">
        <v>316</v>
      </c>
      <c r="E545" t="s">
        <v>129</v>
      </c>
      <c r="F545" t="s">
        <v>305</v>
      </c>
      <c r="G545" t="s">
        <v>10</v>
      </c>
      <c r="H545">
        <v>3066.0</v>
      </c>
      <c r="I545" t="s">
        <v>31</v>
      </c>
      <c r="J545" t="s">
        <v>120</v>
      </c>
      <c r="K545" t="s">
        <v>46</v>
      </c>
      <c r="L545" t="s">
        <v>47</v>
      </c>
      <c r="M545">
        <v>13.93</v>
      </c>
    </row>
    <row r="546">
      <c r="A546" s="2">
        <v>45680</v>
      </c>
      <c r="B546">
        <v>2025.0</v>
      </c>
      <c r="C546" t="s">
        <v>315</v>
      </c>
      <c r="D546" t="s">
        <v>319</v>
      </c>
      <c r="E546" t="s">
        <v>225</v>
      </c>
      <c r="F546" t="s">
        <v>308</v>
      </c>
      <c r="G546" t="s">
        <v>13</v>
      </c>
      <c r="H546">
        <v>5607.0</v>
      </c>
      <c r="I546" t="s">
        <v>31</v>
      </c>
      <c r="J546" t="s">
        <v>227</v>
      </c>
      <c r="K546" t="s">
        <v>123</v>
      </c>
      <c r="L546" t="s">
        <v>124</v>
      </c>
      <c r="M546">
        <v>13.95</v>
      </c>
    </row>
    <row r="547">
      <c r="A547" s="2">
        <v>45568</v>
      </c>
      <c r="B547">
        <v>2025.0</v>
      </c>
      <c r="C547" t="s">
        <v>315</v>
      </c>
      <c r="D547" t="s">
        <v>316</v>
      </c>
      <c r="E547" t="s">
        <v>148</v>
      </c>
      <c r="F547" t="s">
        <v>307</v>
      </c>
      <c r="G547" t="s">
        <v>12</v>
      </c>
      <c r="H547">
        <v>6450.0</v>
      </c>
      <c r="I547" t="s">
        <v>31</v>
      </c>
      <c r="J547" t="s">
        <v>50</v>
      </c>
      <c r="K547" t="s">
        <v>33</v>
      </c>
      <c r="L547" t="s">
        <v>34</v>
      </c>
      <c r="M547">
        <v>13.96</v>
      </c>
    </row>
    <row r="548">
      <c r="A548" s="2">
        <v>45696</v>
      </c>
      <c r="B548">
        <v>2025.0</v>
      </c>
      <c r="C548" t="s">
        <v>315</v>
      </c>
      <c r="D548" t="s">
        <v>316</v>
      </c>
      <c r="E548" t="s">
        <v>141</v>
      </c>
      <c r="F548" t="s">
        <v>304</v>
      </c>
      <c r="G548" t="s">
        <v>9</v>
      </c>
      <c r="H548">
        <v>2539.0</v>
      </c>
      <c r="I548" t="s">
        <v>31</v>
      </c>
      <c r="J548" t="s">
        <v>107</v>
      </c>
      <c r="K548" t="s">
        <v>112</v>
      </c>
      <c r="L548" t="s">
        <v>113</v>
      </c>
      <c r="M548">
        <v>13.97</v>
      </c>
    </row>
    <row r="549">
      <c r="A549" s="2">
        <v>45446</v>
      </c>
      <c r="B549">
        <v>2024.0</v>
      </c>
      <c r="C549" t="s">
        <v>318</v>
      </c>
      <c r="D549" t="s">
        <v>316</v>
      </c>
      <c r="E549" t="s">
        <v>165</v>
      </c>
      <c r="F549" t="s">
        <v>304</v>
      </c>
      <c r="G549" t="s">
        <v>9</v>
      </c>
      <c r="H549">
        <v>2064.0</v>
      </c>
      <c r="I549" t="s">
        <v>31</v>
      </c>
      <c r="J549" t="s">
        <v>99</v>
      </c>
      <c r="K549" t="s">
        <v>95</v>
      </c>
      <c r="L549" t="s">
        <v>96</v>
      </c>
      <c r="M549">
        <v>13.98</v>
      </c>
    </row>
    <row r="550">
      <c r="A550" s="2">
        <v>45850</v>
      </c>
      <c r="B550">
        <v>2026.0</v>
      </c>
      <c r="C550" t="s">
        <v>321</v>
      </c>
      <c r="D550" t="s">
        <v>316</v>
      </c>
      <c r="E550" t="s">
        <v>175</v>
      </c>
      <c r="F550" t="s">
        <v>311</v>
      </c>
      <c r="G550" t="s">
        <v>16</v>
      </c>
      <c r="H550">
        <v>2617.0</v>
      </c>
      <c r="I550" t="s">
        <v>31</v>
      </c>
      <c r="J550" t="s">
        <v>107</v>
      </c>
      <c r="K550" t="s">
        <v>71</v>
      </c>
      <c r="L550" t="s">
        <v>72</v>
      </c>
      <c r="M550">
        <v>13.98</v>
      </c>
    </row>
    <row r="551">
      <c r="A551" s="2">
        <v>45719</v>
      </c>
      <c r="B551">
        <v>2025.0</v>
      </c>
      <c r="C551" t="s">
        <v>315</v>
      </c>
      <c r="D551" t="s">
        <v>316</v>
      </c>
      <c r="E551" t="s">
        <v>258</v>
      </c>
      <c r="F551" t="s">
        <v>309</v>
      </c>
      <c r="G551" t="s">
        <v>14</v>
      </c>
      <c r="H551">
        <v>870.0</v>
      </c>
      <c r="I551" t="s">
        <v>31</v>
      </c>
      <c r="J551" t="s">
        <v>145</v>
      </c>
      <c r="K551" t="s">
        <v>38</v>
      </c>
      <c r="L551" t="s">
        <v>39</v>
      </c>
      <c r="M551">
        <v>13.99</v>
      </c>
    </row>
    <row r="552">
      <c r="A552" s="2">
        <v>45994</v>
      </c>
      <c r="B552">
        <v>2026.0</v>
      </c>
      <c r="C552" t="s">
        <v>321</v>
      </c>
      <c r="D552" t="s">
        <v>316</v>
      </c>
      <c r="E552" t="s">
        <v>156</v>
      </c>
      <c r="F552" t="s">
        <v>304</v>
      </c>
      <c r="G552" t="s">
        <v>9</v>
      </c>
      <c r="H552">
        <v>2830.0</v>
      </c>
      <c r="I552" t="s">
        <v>31</v>
      </c>
      <c r="J552" t="s">
        <v>75</v>
      </c>
      <c r="K552" t="s">
        <v>33</v>
      </c>
      <c r="L552" t="s">
        <v>34</v>
      </c>
      <c r="M552">
        <v>13.99</v>
      </c>
    </row>
    <row r="553">
      <c r="A553" s="2">
        <v>45363</v>
      </c>
      <c r="B553">
        <v>2024.0</v>
      </c>
      <c r="C553" t="s">
        <v>318</v>
      </c>
      <c r="D553" t="s">
        <v>316</v>
      </c>
      <c r="E553" t="s">
        <v>139</v>
      </c>
      <c r="F553" t="s">
        <v>305</v>
      </c>
      <c r="G553" t="s">
        <v>10</v>
      </c>
      <c r="H553">
        <v>3199.0</v>
      </c>
      <c r="I553" t="s">
        <v>31</v>
      </c>
      <c r="J553" t="s">
        <v>89</v>
      </c>
      <c r="K553" t="s">
        <v>46</v>
      </c>
      <c r="L553" t="s">
        <v>47</v>
      </c>
      <c r="M553">
        <v>13.99</v>
      </c>
    </row>
    <row r="554">
      <c r="A554" s="2">
        <v>45724</v>
      </c>
      <c r="B554">
        <v>2025.0</v>
      </c>
      <c r="C554" t="s">
        <v>315</v>
      </c>
      <c r="D554" t="s">
        <v>316</v>
      </c>
      <c r="E554" t="s">
        <v>228</v>
      </c>
      <c r="F554" t="s">
        <v>306</v>
      </c>
      <c r="G554" t="s">
        <v>11</v>
      </c>
      <c r="H554">
        <v>4680.0</v>
      </c>
      <c r="I554" t="s">
        <v>31</v>
      </c>
      <c r="J554" t="s">
        <v>32</v>
      </c>
      <c r="K554" t="s">
        <v>123</v>
      </c>
      <c r="L554" t="s">
        <v>124</v>
      </c>
      <c r="M554">
        <v>13.99</v>
      </c>
    </row>
    <row r="555">
      <c r="A555" s="2">
        <v>45379</v>
      </c>
      <c r="B555">
        <v>2024.0</v>
      </c>
      <c r="C555" t="s">
        <v>318</v>
      </c>
      <c r="D555" t="s">
        <v>316</v>
      </c>
      <c r="E555" t="s">
        <v>40</v>
      </c>
      <c r="F555" t="s">
        <v>308</v>
      </c>
      <c r="G555" t="s">
        <v>13</v>
      </c>
      <c r="H555">
        <v>5011.0</v>
      </c>
      <c r="I555" t="s">
        <v>31</v>
      </c>
      <c r="J555" t="s">
        <v>42</v>
      </c>
      <c r="K555" t="s">
        <v>33</v>
      </c>
      <c r="L555" t="s">
        <v>34</v>
      </c>
      <c r="M555">
        <v>14.0</v>
      </c>
    </row>
    <row r="556">
      <c r="A556" s="2">
        <v>45915</v>
      </c>
      <c r="B556">
        <v>2026.0</v>
      </c>
      <c r="C556" t="s">
        <v>321</v>
      </c>
      <c r="D556" t="s">
        <v>316</v>
      </c>
      <c r="E556" t="s">
        <v>163</v>
      </c>
      <c r="F556" t="s">
        <v>304</v>
      </c>
      <c r="G556" t="s">
        <v>9</v>
      </c>
      <c r="H556">
        <v>2154.0</v>
      </c>
      <c r="I556" t="s">
        <v>31</v>
      </c>
      <c r="J556" t="s">
        <v>81</v>
      </c>
      <c r="K556" t="s">
        <v>46</v>
      </c>
      <c r="L556" t="s">
        <v>47</v>
      </c>
      <c r="M556">
        <v>14.0</v>
      </c>
    </row>
    <row r="557">
      <c r="A557" s="2">
        <v>45671</v>
      </c>
      <c r="B557">
        <v>2025.0</v>
      </c>
      <c r="C557" t="s">
        <v>315</v>
      </c>
      <c r="D557" t="s">
        <v>319</v>
      </c>
      <c r="E557" t="s">
        <v>108</v>
      </c>
      <c r="F557" t="s">
        <v>304</v>
      </c>
      <c r="G557" t="s">
        <v>9</v>
      </c>
      <c r="H557">
        <v>2795.0</v>
      </c>
      <c r="I557" t="s">
        <v>31</v>
      </c>
      <c r="J557" t="s">
        <v>75</v>
      </c>
      <c r="K557" t="s">
        <v>38</v>
      </c>
      <c r="L557" t="s">
        <v>39</v>
      </c>
      <c r="M557">
        <v>14.11</v>
      </c>
    </row>
    <row r="558">
      <c r="A558" s="2">
        <v>45711</v>
      </c>
      <c r="B558">
        <v>2025.0</v>
      </c>
      <c r="C558" t="s">
        <v>315</v>
      </c>
      <c r="D558" t="s">
        <v>316</v>
      </c>
      <c r="E558" t="s">
        <v>175</v>
      </c>
      <c r="F558" t="s">
        <v>311</v>
      </c>
      <c r="G558" t="s">
        <v>16</v>
      </c>
      <c r="H558">
        <v>2617.0</v>
      </c>
      <c r="I558" t="s">
        <v>31</v>
      </c>
      <c r="J558" t="s">
        <v>107</v>
      </c>
      <c r="K558" t="s">
        <v>43</v>
      </c>
      <c r="L558" t="s">
        <v>44</v>
      </c>
      <c r="M558">
        <v>14.12</v>
      </c>
    </row>
    <row r="559">
      <c r="A559" s="2">
        <v>45846</v>
      </c>
      <c r="B559">
        <v>2026.0</v>
      </c>
      <c r="C559" t="s">
        <v>321</v>
      </c>
      <c r="D559" t="s">
        <v>316</v>
      </c>
      <c r="E559" t="s">
        <v>262</v>
      </c>
      <c r="F559" t="s">
        <v>305</v>
      </c>
      <c r="G559" t="s">
        <v>10</v>
      </c>
      <c r="H559">
        <v>3018.0</v>
      </c>
      <c r="I559" t="s">
        <v>31</v>
      </c>
      <c r="J559" t="s">
        <v>120</v>
      </c>
      <c r="K559" t="s">
        <v>66</v>
      </c>
      <c r="L559" t="s">
        <v>67</v>
      </c>
      <c r="M559">
        <v>14.21</v>
      </c>
    </row>
    <row r="560">
      <c r="A560" s="2">
        <v>45618</v>
      </c>
      <c r="B560">
        <v>2025.0</v>
      </c>
      <c r="C560" t="s">
        <v>315</v>
      </c>
      <c r="D560" t="s">
        <v>319</v>
      </c>
      <c r="E560" t="s">
        <v>59</v>
      </c>
      <c r="F560" t="s">
        <v>306</v>
      </c>
      <c r="G560" t="s">
        <v>11</v>
      </c>
      <c r="H560">
        <v>4509.0</v>
      </c>
      <c r="I560" t="s">
        <v>31</v>
      </c>
      <c r="J560" t="s">
        <v>61</v>
      </c>
      <c r="K560" t="s">
        <v>33</v>
      </c>
      <c r="L560" t="s">
        <v>34</v>
      </c>
      <c r="M560">
        <v>14.370000000000001</v>
      </c>
    </row>
    <row r="561">
      <c r="A561" s="2">
        <v>45831</v>
      </c>
      <c r="B561">
        <v>2025.0</v>
      </c>
      <c r="C561" t="s">
        <v>315</v>
      </c>
      <c r="D561" t="s">
        <v>316</v>
      </c>
      <c r="E561" t="s">
        <v>108</v>
      </c>
      <c r="F561" t="s">
        <v>304</v>
      </c>
      <c r="G561" t="s">
        <v>9</v>
      </c>
      <c r="H561">
        <v>2795.0</v>
      </c>
      <c r="I561" t="s">
        <v>31</v>
      </c>
      <c r="J561" t="s">
        <v>75</v>
      </c>
      <c r="K561" t="s">
        <v>43</v>
      </c>
      <c r="L561" t="s">
        <v>44</v>
      </c>
      <c r="M561">
        <v>14.55</v>
      </c>
    </row>
    <row r="562">
      <c r="A562" s="2">
        <v>45298</v>
      </c>
      <c r="B562">
        <v>2024.0</v>
      </c>
      <c r="C562" t="s">
        <v>318</v>
      </c>
      <c r="D562" t="s">
        <v>316</v>
      </c>
      <c r="E562" t="s">
        <v>105</v>
      </c>
      <c r="F562" t="s">
        <v>304</v>
      </c>
      <c r="G562" t="s">
        <v>9</v>
      </c>
      <c r="H562">
        <v>2541.0</v>
      </c>
      <c r="I562" t="s">
        <v>31</v>
      </c>
      <c r="J562" t="s">
        <v>107</v>
      </c>
      <c r="K562" t="s">
        <v>43</v>
      </c>
      <c r="L562" t="s">
        <v>44</v>
      </c>
      <c r="M562">
        <v>14.57</v>
      </c>
    </row>
    <row r="563">
      <c r="A563" s="2">
        <v>45683</v>
      </c>
      <c r="B563">
        <v>2025.0</v>
      </c>
      <c r="C563" t="s">
        <v>315</v>
      </c>
      <c r="D563" t="s">
        <v>316</v>
      </c>
      <c r="E563" t="s">
        <v>177</v>
      </c>
      <c r="F563" t="s">
        <v>307</v>
      </c>
      <c r="G563" t="s">
        <v>12</v>
      </c>
      <c r="H563">
        <v>6330.0</v>
      </c>
      <c r="I563" t="s">
        <v>31</v>
      </c>
      <c r="J563" t="s">
        <v>162</v>
      </c>
      <c r="K563" t="s">
        <v>123</v>
      </c>
      <c r="L563" t="s">
        <v>124</v>
      </c>
      <c r="M563">
        <v>14.73</v>
      </c>
    </row>
    <row r="564">
      <c r="A564" s="2">
        <v>45974</v>
      </c>
      <c r="B564">
        <v>2026.0</v>
      </c>
      <c r="C564" t="s">
        <v>321</v>
      </c>
      <c r="D564" t="s">
        <v>316</v>
      </c>
      <c r="E564" t="s">
        <v>108</v>
      </c>
      <c r="F564" t="s">
        <v>304</v>
      </c>
      <c r="G564" t="s">
        <v>9</v>
      </c>
      <c r="H564">
        <v>2795.0</v>
      </c>
      <c r="I564" t="s">
        <v>31</v>
      </c>
      <c r="J564" t="s">
        <v>75</v>
      </c>
      <c r="K564" t="s">
        <v>33</v>
      </c>
      <c r="L564" t="s">
        <v>34</v>
      </c>
      <c r="M564">
        <v>14.75</v>
      </c>
    </row>
    <row r="565">
      <c r="A565" s="2">
        <v>45927</v>
      </c>
      <c r="B565">
        <v>2026.0</v>
      </c>
      <c r="C565" t="s">
        <v>321</v>
      </c>
      <c r="D565" t="s">
        <v>316</v>
      </c>
      <c r="E565" t="s">
        <v>108</v>
      </c>
      <c r="F565" t="s">
        <v>304</v>
      </c>
      <c r="G565" t="s">
        <v>9</v>
      </c>
      <c r="H565">
        <v>2795.0</v>
      </c>
      <c r="I565" t="s">
        <v>31</v>
      </c>
      <c r="J565" t="s">
        <v>75</v>
      </c>
      <c r="K565" t="s">
        <v>43</v>
      </c>
      <c r="L565" t="s">
        <v>44</v>
      </c>
      <c r="M565">
        <v>14.9</v>
      </c>
    </row>
    <row r="566">
      <c r="A566" s="2">
        <v>45707</v>
      </c>
      <c r="B566">
        <v>2025.0</v>
      </c>
      <c r="C566" t="s">
        <v>315</v>
      </c>
      <c r="D566" t="s">
        <v>316</v>
      </c>
      <c r="E566" t="s">
        <v>228</v>
      </c>
      <c r="F566" t="s">
        <v>306</v>
      </c>
      <c r="G566" t="s">
        <v>11</v>
      </c>
      <c r="H566">
        <v>4680.0</v>
      </c>
      <c r="I566" t="s">
        <v>31</v>
      </c>
      <c r="J566" t="s">
        <v>32</v>
      </c>
      <c r="K566" t="s">
        <v>38</v>
      </c>
      <c r="L566" t="s">
        <v>39</v>
      </c>
      <c r="M566">
        <v>14.95</v>
      </c>
    </row>
    <row r="567">
      <c r="A567" s="2">
        <v>45552</v>
      </c>
      <c r="B567">
        <v>2025.0</v>
      </c>
      <c r="C567" t="s">
        <v>315</v>
      </c>
      <c r="D567" t="s">
        <v>316</v>
      </c>
      <c r="E567" t="s">
        <v>260</v>
      </c>
      <c r="F567" t="s">
        <v>305</v>
      </c>
      <c r="G567" t="s">
        <v>10</v>
      </c>
      <c r="H567">
        <v>3179.0</v>
      </c>
      <c r="I567" t="s">
        <v>31</v>
      </c>
      <c r="J567" t="s">
        <v>89</v>
      </c>
      <c r="K567" t="s">
        <v>38</v>
      </c>
      <c r="L567" t="s">
        <v>39</v>
      </c>
      <c r="M567">
        <v>14.95</v>
      </c>
    </row>
    <row r="568">
      <c r="A568" s="2">
        <v>45398</v>
      </c>
      <c r="B568">
        <v>2024.0</v>
      </c>
      <c r="C568" t="s">
        <v>318</v>
      </c>
      <c r="D568" t="s">
        <v>316</v>
      </c>
      <c r="E568" t="s">
        <v>262</v>
      </c>
      <c r="F568" t="s">
        <v>305</v>
      </c>
      <c r="G568" t="s">
        <v>10</v>
      </c>
      <c r="H568">
        <v>3018.0</v>
      </c>
      <c r="I568" t="s">
        <v>31</v>
      </c>
      <c r="J568" t="s">
        <v>120</v>
      </c>
      <c r="K568" t="s">
        <v>71</v>
      </c>
      <c r="L568" t="s">
        <v>72</v>
      </c>
      <c r="M568">
        <v>14.97</v>
      </c>
    </row>
    <row r="569">
      <c r="A569" s="2">
        <v>45298</v>
      </c>
      <c r="B569">
        <v>2024.0</v>
      </c>
      <c r="C569" t="s">
        <v>318</v>
      </c>
      <c r="D569" t="s">
        <v>319</v>
      </c>
      <c r="E569" t="s">
        <v>108</v>
      </c>
      <c r="F569" t="s">
        <v>304</v>
      </c>
      <c r="G569" t="s">
        <v>9</v>
      </c>
      <c r="H569">
        <v>2795.0</v>
      </c>
      <c r="I569" t="s">
        <v>31</v>
      </c>
      <c r="J569" t="s">
        <v>75</v>
      </c>
      <c r="K569" t="s">
        <v>46</v>
      </c>
      <c r="L569" t="s">
        <v>47</v>
      </c>
      <c r="M569">
        <v>14.97</v>
      </c>
    </row>
    <row r="570">
      <c r="A570" s="2">
        <v>45977</v>
      </c>
      <c r="B570">
        <v>2026.0</v>
      </c>
      <c r="C570" t="s">
        <v>321</v>
      </c>
      <c r="D570" t="s">
        <v>319</v>
      </c>
      <c r="E570" t="s">
        <v>114</v>
      </c>
      <c r="F570" t="s">
        <v>304</v>
      </c>
      <c r="G570" t="s">
        <v>9</v>
      </c>
      <c r="H570">
        <v>2031.0</v>
      </c>
      <c r="I570" t="s">
        <v>31</v>
      </c>
      <c r="J570" t="s">
        <v>99</v>
      </c>
      <c r="K570" t="s">
        <v>33</v>
      </c>
      <c r="L570" t="s">
        <v>34</v>
      </c>
      <c r="M570">
        <v>14.97</v>
      </c>
    </row>
    <row r="571">
      <c r="A571" s="2">
        <v>45421</v>
      </c>
      <c r="B571">
        <v>2024.0</v>
      </c>
      <c r="C571" t="s">
        <v>318</v>
      </c>
      <c r="D571" t="s">
        <v>319</v>
      </c>
      <c r="E571" t="s">
        <v>260</v>
      </c>
      <c r="F571" t="s">
        <v>305</v>
      </c>
      <c r="G571" t="s">
        <v>10</v>
      </c>
      <c r="H571">
        <v>3179.0</v>
      </c>
      <c r="I571" t="s">
        <v>31</v>
      </c>
      <c r="J571" t="s">
        <v>89</v>
      </c>
      <c r="K571" t="s">
        <v>33</v>
      </c>
      <c r="L571" t="s">
        <v>34</v>
      </c>
      <c r="M571">
        <v>14.97</v>
      </c>
    </row>
    <row r="572">
      <c r="A572" s="2">
        <v>46000</v>
      </c>
      <c r="B572">
        <v>2026.0</v>
      </c>
      <c r="C572" t="s">
        <v>321</v>
      </c>
      <c r="D572" t="s">
        <v>316</v>
      </c>
      <c r="E572" t="s">
        <v>116</v>
      </c>
      <c r="F572" t="s">
        <v>304</v>
      </c>
      <c r="G572" t="s">
        <v>9</v>
      </c>
      <c r="H572">
        <v>2485.0</v>
      </c>
      <c r="I572" t="s">
        <v>31</v>
      </c>
      <c r="J572" t="s">
        <v>70</v>
      </c>
      <c r="K572" t="s">
        <v>123</v>
      </c>
      <c r="L572" t="s">
        <v>124</v>
      </c>
      <c r="M572">
        <v>14.97</v>
      </c>
    </row>
    <row r="573">
      <c r="A573" s="2">
        <v>45326</v>
      </c>
      <c r="B573">
        <v>2024.0</v>
      </c>
      <c r="C573" t="s">
        <v>318</v>
      </c>
      <c r="D573" t="s">
        <v>319</v>
      </c>
      <c r="E573" t="s">
        <v>181</v>
      </c>
      <c r="F573" t="s">
        <v>306</v>
      </c>
      <c r="G573" t="s">
        <v>11</v>
      </c>
      <c r="H573">
        <v>4119.0</v>
      </c>
      <c r="I573" t="s">
        <v>31</v>
      </c>
      <c r="J573" t="s">
        <v>56</v>
      </c>
      <c r="K573" t="s">
        <v>95</v>
      </c>
      <c r="L573" t="s">
        <v>96</v>
      </c>
      <c r="M573">
        <v>14.97</v>
      </c>
    </row>
    <row r="574">
      <c r="A574" s="2">
        <v>45567</v>
      </c>
      <c r="B574">
        <v>2025.0</v>
      </c>
      <c r="C574" t="s">
        <v>315</v>
      </c>
      <c r="D574" t="s">
        <v>319</v>
      </c>
      <c r="E574" t="s">
        <v>236</v>
      </c>
      <c r="F574" t="s">
        <v>307</v>
      </c>
      <c r="G574" t="s">
        <v>12</v>
      </c>
      <c r="H574">
        <v>6052.0</v>
      </c>
      <c r="I574" t="s">
        <v>31</v>
      </c>
      <c r="J574" t="s">
        <v>102</v>
      </c>
      <c r="K574" t="s">
        <v>112</v>
      </c>
      <c r="L574" t="s">
        <v>113</v>
      </c>
      <c r="M574">
        <v>14.98</v>
      </c>
    </row>
    <row r="575">
      <c r="A575" s="2">
        <v>45487</v>
      </c>
      <c r="B575">
        <v>2025.0</v>
      </c>
      <c r="C575" t="s">
        <v>315</v>
      </c>
      <c r="D575" t="s">
        <v>316</v>
      </c>
      <c r="E575" t="s">
        <v>127</v>
      </c>
      <c r="F575" t="s">
        <v>306</v>
      </c>
      <c r="G575" t="s">
        <v>11</v>
      </c>
      <c r="H575">
        <v>4802.0</v>
      </c>
      <c r="I575" t="s">
        <v>31</v>
      </c>
      <c r="J575" t="s">
        <v>78</v>
      </c>
      <c r="K575" t="s">
        <v>43</v>
      </c>
      <c r="L575" t="s">
        <v>44</v>
      </c>
      <c r="M575">
        <v>14.99</v>
      </c>
    </row>
    <row r="576">
      <c r="A576" s="2">
        <v>45994</v>
      </c>
      <c r="B576">
        <v>2026.0</v>
      </c>
      <c r="C576" t="s">
        <v>321</v>
      </c>
      <c r="D576" t="s">
        <v>316</v>
      </c>
      <c r="E576" t="s">
        <v>256</v>
      </c>
      <c r="F576" t="s">
        <v>304</v>
      </c>
      <c r="G576" t="s">
        <v>9</v>
      </c>
      <c r="H576">
        <v>2350.0</v>
      </c>
      <c r="I576" t="s">
        <v>31</v>
      </c>
      <c r="J576" t="s">
        <v>70</v>
      </c>
      <c r="K576" t="s">
        <v>43</v>
      </c>
      <c r="L576" t="s">
        <v>44</v>
      </c>
      <c r="M576">
        <v>14.99</v>
      </c>
    </row>
    <row r="577">
      <c r="A577" s="2">
        <v>45345</v>
      </c>
      <c r="B577">
        <v>2024.0</v>
      </c>
      <c r="C577" t="s">
        <v>318</v>
      </c>
      <c r="D577" t="s">
        <v>319</v>
      </c>
      <c r="E577" t="s">
        <v>187</v>
      </c>
      <c r="F577" t="s">
        <v>306</v>
      </c>
      <c r="G577" t="s">
        <v>11</v>
      </c>
      <c r="H577">
        <v>4870.0</v>
      </c>
      <c r="I577" t="s">
        <v>31</v>
      </c>
      <c r="J577" t="s">
        <v>78</v>
      </c>
      <c r="K577" t="s">
        <v>71</v>
      </c>
      <c r="L577" t="s">
        <v>72</v>
      </c>
      <c r="M577">
        <v>14.99</v>
      </c>
    </row>
    <row r="578">
      <c r="A578" s="2">
        <v>45465</v>
      </c>
      <c r="B578">
        <v>2024.0</v>
      </c>
      <c r="C578" t="s">
        <v>318</v>
      </c>
      <c r="D578" t="s">
        <v>319</v>
      </c>
      <c r="E578" t="s">
        <v>97</v>
      </c>
      <c r="F578" t="s">
        <v>304</v>
      </c>
      <c r="G578" t="s">
        <v>9</v>
      </c>
      <c r="H578">
        <v>2067.0</v>
      </c>
      <c r="I578" t="s">
        <v>31</v>
      </c>
      <c r="J578" t="s">
        <v>99</v>
      </c>
      <c r="K578" t="s">
        <v>33</v>
      </c>
      <c r="L578" t="s">
        <v>34</v>
      </c>
      <c r="M578">
        <v>14.99</v>
      </c>
    </row>
    <row r="579">
      <c r="A579" s="2">
        <v>45720</v>
      </c>
      <c r="B579">
        <v>2025.0</v>
      </c>
      <c r="C579" t="s">
        <v>315</v>
      </c>
      <c r="D579" t="s">
        <v>316</v>
      </c>
      <c r="E579" t="s">
        <v>135</v>
      </c>
      <c r="F579" t="s">
        <v>311</v>
      </c>
      <c r="G579" t="s">
        <v>16</v>
      </c>
      <c r="H579">
        <v>2609.0</v>
      </c>
      <c r="I579" t="s">
        <v>31</v>
      </c>
      <c r="J579" t="s">
        <v>107</v>
      </c>
      <c r="K579" t="s">
        <v>43</v>
      </c>
      <c r="L579" t="s">
        <v>44</v>
      </c>
      <c r="M579">
        <v>14.99</v>
      </c>
    </row>
    <row r="580">
      <c r="A580" s="2">
        <v>46006</v>
      </c>
      <c r="B580">
        <v>2026.0</v>
      </c>
      <c r="C580" t="s">
        <v>321</v>
      </c>
      <c r="D580" t="s">
        <v>319</v>
      </c>
      <c r="E580" t="s">
        <v>248</v>
      </c>
      <c r="F580" t="s">
        <v>307</v>
      </c>
      <c r="G580" t="s">
        <v>12</v>
      </c>
      <c r="H580">
        <v>6112.0</v>
      </c>
      <c r="I580" t="s">
        <v>31</v>
      </c>
      <c r="J580" t="s">
        <v>162</v>
      </c>
      <c r="K580" t="s">
        <v>123</v>
      </c>
      <c r="L580" t="s">
        <v>124</v>
      </c>
      <c r="M580">
        <v>14.99</v>
      </c>
    </row>
    <row r="581">
      <c r="A581" s="2">
        <v>45828</v>
      </c>
      <c r="B581">
        <v>2025.0</v>
      </c>
      <c r="C581" t="s">
        <v>315</v>
      </c>
      <c r="D581" t="s">
        <v>319</v>
      </c>
      <c r="E581" t="s">
        <v>150</v>
      </c>
      <c r="F581" t="s">
        <v>310</v>
      </c>
      <c r="G581" t="s">
        <v>15</v>
      </c>
      <c r="H581">
        <v>7250.0</v>
      </c>
      <c r="I581" t="s">
        <v>31</v>
      </c>
      <c r="J581" t="s">
        <v>53</v>
      </c>
      <c r="K581" t="s">
        <v>46</v>
      </c>
      <c r="L581" t="s">
        <v>47</v>
      </c>
      <c r="M581">
        <v>14.99</v>
      </c>
    </row>
    <row r="582">
      <c r="A582" s="2">
        <v>45694</v>
      </c>
      <c r="B582">
        <v>2025.0</v>
      </c>
      <c r="C582" t="s">
        <v>315</v>
      </c>
      <c r="D582" t="s">
        <v>316</v>
      </c>
      <c r="E582" t="s">
        <v>213</v>
      </c>
      <c r="F582" t="s">
        <v>306</v>
      </c>
      <c r="G582" t="s">
        <v>11</v>
      </c>
      <c r="H582">
        <v>4740.0</v>
      </c>
      <c r="I582" t="s">
        <v>31</v>
      </c>
      <c r="J582" t="s">
        <v>32</v>
      </c>
      <c r="K582" t="s">
        <v>43</v>
      </c>
      <c r="L582" t="s">
        <v>44</v>
      </c>
      <c r="M582">
        <v>14.99</v>
      </c>
    </row>
    <row r="583">
      <c r="A583" s="2">
        <v>45791</v>
      </c>
      <c r="B583">
        <v>2025.0</v>
      </c>
      <c r="C583" t="s">
        <v>315</v>
      </c>
      <c r="D583" t="s">
        <v>319</v>
      </c>
      <c r="E583" t="s">
        <v>185</v>
      </c>
      <c r="F583" t="s">
        <v>307</v>
      </c>
      <c r="G583" t="s">
        <v>12</v>
      </c>
      <c r="H583">
        <v>6109.0</v>
      </c>
      <c r="I583" t="s">
        <v>31</v>
      </c>
      <c r="J583" t="s">
        <v>162</v>
      </c>
      <c r="K583" t="s">
        <v>71</v>
      </c>
      <c r="L583" t="s">
        <v>72</v>
      </c>
      <c r="M583">
        <v>14.99</v>
      </c>
    </row>
    <row r="584">
      <c r="A584" s="2">
        <v>45333</v>
      </c>
      <c r="B584">
        <v>2024.0</v>
      </c>
      <c r="C584" t="s">
        <v>318</v>
      </c>
      <c r="D584" t="s">
        <v>319</v>
      </c>
      <c r="E584" t="s">
        <v>193</v>
      </c>
      <c r="F584" t="s">
        <v>304</v>
      </c>
      <c r="G584" t="s">
        <v>9</v>
      </c>
      <c r="H584">
        <v>2020.0</v>
      </c>
      <c r="I584" t="s">
        <v>31</v>
      </c>
      <c r="J584" t="s">
        <v>99</v>
      </c>
      <c r="K584" t="s">
        <v>46</v>
      </c>
      <c r="L584" t="s">
        <v>47</v>
      </c>
      <c r="M584">
        <v>14.99</v>
      </c>
    </row>
    <row r="585">
      <c r="A585" s="2">
        <v>46016</v>
      </c>
      <c r="B585">
        <v>2026.0</v>
      </c>
      <c r="C585" t="s">
        <v>321</v>
      </c>
      <c r="D585" t="s">
        <v>319</v>
      </c>
      <c r="E585" t="s">
        <v>73</v>
      </c>
      <c r="F585" t="s">
        <v>304</v>
      </c>
      <c r="G585" t="s">
        <v>9</v>
      </c>
      <c r="H585">
        <v>2750.0</v>
      </c>
      <c r="I585" t="s">
        <v>31</v>
      </c>
      <c r="J585" t="s">
        <v>75</v>
      </c>
      <c r="K585" t="s">
        <v>95</v>
      </c>
      <c r="L585" t="s">
        <v>96</v>
      </c>
      <c r="M585">
        <v>14.99</v>
      </c>
    </row>
    <row r="586">
      <c r="A586" s="2">
        <v>45674</v>
      </c>
      <c r="B586">
        <v>2025.0</v>
      </c>
      <c r="C586" t="s">
        <v>315</v>
      </c>
      <c r="D586" t="s">
        <v>319</v>
      </c>
      <c r="E586" t="s">
        <v>73</v>
      </c>
      <c r="F586" t="s">
        <v>304</v>
      </c>
      <c r="G586" t="s">
        <v>9</v>
      </c>
      <c r="H586">
        <v>2750.0</v>
      </c>
      <c r="I586" t="s">
        <v>31</v>
      </c>
      <c r="J586" t="s">
        <v>75</v>
      </c>
      <c r="K586" t="s">
        <v>71</v>
      </c>
      <c r="L586" t="s">
        <v>72</v>
      </c>
      <c r="M586">
        <v>14.99</v>
      </c>
    </row>
    <row r="587">
      <c r="A587" s="2">
        <v>45991</v>
      </c>
      <c r="B587">
        <v>2026.0</v>
      </c>
      <c r="C587" t="s">
        <v>321</v>
      </c>
      <c r="D587" t="s">
        <v>319</v>
      </c>
      <c r="E587" t="s">
        <v>73</v>
      </c>
      <c r="F587" t="s">
        <v>304</v>
      </c>
      <c r="G587" t="s">
        <v>9</v>
      </c>
      <c r="H587">
        <v>2750.0</v>
      </c>
      <c r="I587" t="s">
        <v>31</v>
      </c>
      <c r="J587" t="s">
        <v>75</v>
      </c>
      <c r="K587" t="s">
        <v>46</v>
      </c>
      <c r="L587" t="s">
        <v>47</v>
      </c>
      <c r="M587">
        <v>14.99</v>
      </c>
    </row>
    <row r="588">
      <c r="A588" s="2">
        <v>45870</v>
      </c>
      <c r="B588">
        <v>2026.0</v>
      </c>
      <c r="C588" t="s">
        <v>321</v>
      </c>
      <c r="D588" t="s">
        <v>316</v>
      </c>
      <c r="E588" t="s">
        <v>238</v>
      </c>
      <c r="F588" t="s">
        <v>308</v>
      </c>
      <c r="G588" t="s">
        <v>13</v>
      </c>
      <c r="H588">
        <v>5082.0</v>
      </c>
      <c r="I588" t="s">
        <v>31</v>
      </c>
      <c r="J588" t="s">
        <v>42</v>
      </c>
      <c r="K588" t="s">
        <v>43</v>
      </c>
      <c r="L588" t="s">
        <v>44</v>
      </c>
      <c r="M588">
        <v>14.99</v>
      </c>
    </row>
    <row r="589">
      <c r="A589" s="2">
        <v>45953</v>
      </c>
      <c r="B589">
        <v>2026.0</v>
      </c>
      <c r="C589" t="s">
        <v>321</v>
      </c>
      <c r="D589" t="s">
        <v>316</v>
      </c>
      <c r="E589" t="s">
        <v>87</v>
      </c>
      <c r="F589" t="s">
        <v>305</v>
      </c>
      <c r="G589" t="s">
        <v>10</v>
      </c>
      <c r="H589">
        <v>3148.0</v>
      </c>
      <c r="I589" t="s">
        <v>31</v>
      </c>
      <c r="J589" t="s">
        <v>89</v>
      </c>
      <c r="K589" t="s">
        <v>71</v>
      </c>
      <c r="L589" t="s">
        <v>72</v>
      </c>
      <c r="M589">
        <v>15.0</v>
      </c>
    </row>
    <row r="590">
      <c r="A590" s="2">
        <v>45921</v>
      </c>
      <c r="B590">
        <v>2026.0</v>
      </c>
      <c r="C590" t="s">
        <v>321</v>
      </c>
      <c r="D590" t="s">
        <v>316</v>
      </c>
      <c r="E590" t="s">
        <v>213</v>
      </c>
      <c r="F590" t="s">
        <v>306</v>
      </c>
      <c r="G590" t="s">
        <v>11</v>
      </c>
      <c r="H590">
        <v>4740.0</v>
      </c>
      <c r="I590" t="s">
        <v>31</v>
      </c>
      <c r="J590" t="s">
        <v>32</v>
      </c>
      <c r="K590" t="s">
        <v>43</v>
      </c>
      <c r="L590" t="s">
        <v>44</v>
      </c>
      <c r="M590">
        <v>15.0</v>
      </c>
    </row>
    <row r="591">
      <c r="A591" s="2">
        <v>45783</v>
      </c>
      <c r="B591">
        <v>2025.0</v>
      </c>
      <c r="C591" t="s">
        <v>315</v>
      </c>
      <c r="D591" t="s">
        <v>319</v>
      </c>
      <c r="E591" t="s">
        <v>137</v>
      </c>
      <c r="F591" t="s">
        <v>305</v>
      </c>
      <c r="G591" t="s">
        <v>10</v>
      </c>
      <c r="H591">
        <v>3134.0</v>
      </c>
      <c r="I591" t="s">
        <v>31</v>
      </c>
      <c r="J591" t="s">
        <v>89</v>
      </c>
      <c r="K591" t="s">
        <v>43</v>
      </c>
      <c r="L591" t="s">
        <v>44</v>
      </c>
      <c r="M591">
        <v>15.0</v>
      </c>
    </row>
    <row r="592">
      <c r="A592" s="2">
        <v>45971</v>
      </c>
      <c r="B592">
        <v>2026.0</v>
      </c>
      <c r="C592" t="s">
        <v>321</v>
      </c>
      <c r="D592" t="s">
        <v>316</v>
      </c>
      <c r="E592" t="s">
        <v>116</v>
      </c>
      <c r="F592" t="s">
        <v>304</v>
      </c>
      <c r="G592" t="s">
        <v>9</v>
      </c>
      <c r="H592">
        <v>2485.0</v>
      </c>
      <c r="I592" t="s">
        <v>31</v>
      </c>
      <c r="J592" t="s">
        <v>70</v>
      </c>
      <c r="K592" t="s">
        <v>43</v>
      </c>
      <c r="L592" t="s">
        <v>44</v>
      </c>
      <c r="M592">
        <v>15.0</v>
      </c>
    </row>
    <row r="593">
      <c r="A593" s="2">
        <v>45977</v>
      </c>
      <c r="B593">
        <v>2026.0</v>
      </c>
      <c r="C593" t="s">
        <v>321</v>
      </c>
      <c r="D593" t="s">
        <v>316</v>
      </c>
      <c r="E593" t="s">
        <v>256</v>
      </c>
      <c r="F593" t="s">
        <v>304</v>
      </c>
      <c r="G593" t="s">
        <v>9</v>
      </c>
      <c r="H593">
        <v>2350.0</v>
      </c>
      <c r="I593" t="s">
        <v>31</v>
      </c>
      <c r="J593" t="s">
        <v>70</v>
      </c>
      <c r="K593" t="s">
        <v>95</v>
      </c>
      <c r="L593" t="s">
        <v>96</v>
      </c>
      <c r="M593">
        <v>15.059999999999999</v>
      </c>
    </row>
    <row r="594">
      <c r="A594" s="2">
        <v>45866</v>
      </c>
      <c r="B594">
        <v>2026.0</v>
      </c>
      <c r="C594" t="s">
        <v>321</v>
      </c>
      <c r="D594" t="s">
        <v>316</v>
      </c>
      <c r="E594" t="s">
        <v>87</v>
      </c>
      <c r="F594" t="s">
        <v>305</v>
      </c>
      <c r="G594" t="s">
        <v>10</v>
      </c>
      <c r="H594">
        <v>3148.0</v>
      </c>
      <c r="I594" t="s">
        <v>31</v>
      </c>
      <c r="J594" t="s">
        <v>89</v>
      </c>
      <c r="K594" t="s">
        <v>95</v>
      </c>
      <c r="L594" t="s">
        <v>96</v>
      </c>
      <c r="M594">
        <v>15.39</v>
      </c>
    </row>
    <row r="595">
      <c r="A595" s="2">
        <v>45641</v>
      </c>
      <c r="B595">
        <v>2025.0</v>
      </c>
      <c r="C595" t="s">
        <v>315</v>
      </c>
      <c r="D595" t="s">
        <v>316</v>
      </c>
      <c r="E595" t="s">
        <v>167</v>
      </c>
      <c r="F595" t="s">
        <v>307</v>
      </c>
      <c r="G595" t="s">
        <v>12</v>
      </c>
      <c r="H595">
        <v>6030.0</v>
      </c>
      <c r="I595" t="s">
        <v>31</v>
      </c>
      <c r="J595" t="s">
        <v>102</v>
      </c>
      <c r="K595" t="s">
        <v>43</v>
      </c>
      <c r="L595" t="s">
        <v>44</v>
      </c>
      <c r="M595">
        <v>15.5</v>
      </c>
    </row>
    <row r="596">
      <c r="A596" s="2">
        <v>45360</v>
      </c>
      <c r="B596">
        <v>2024.0</v>
      </c>
      <c r="C596" t="s">
        <v>318</v>
      </c>
      <c r="D596" t="s">
        <v>319</v>
      </c>
      <c r="E596" t="s">
        <v>87</v>
      </c>
      <c r="F596" t="s">
        <v>305</v>
      </c>
      <c r="G596" t="s">
        <v>10</v>
      </c>
      <c r="H596">
        <v>3148.0</v>
      </c>
      <c r="I596" t="s">
        <v>31</v>
      </c>
      <c r="J596" t="s">
        <v>89</v>
      </c>
      <c r="K596" t="s">
        <v>38</v>
      </c>
      <c r="L596" t="s">
        <v>39</v>
      </c>
      <c r="M596">
        <v>15.53</v>
      </c>
    </row>
    <row r="597">
      <c r="A597" s="2">
        <v>46022</v>
      </c>
      <c r="B597">
        <v>2026.0</v>
      </c>
      <c r="C597" t="s">
        <v>321</v>
      </c>
      <c r="D597" t="s">
        <v>316</v>
      </c>
      <c r="E597" t="s">
        <v>97</v>
      </c>
      <c r="F597" t="s">
        <v>304</v>
      </c>
      <c r="G597" t="s">
        <v>9</v>
      </c>
      <c r="H597">
        <v>2067.0</v>
      </c>
      <c r="I597" t="s">
        <v>31</v>
      </c>
      <c r="J597" t="s">
        <v>99</v>
      </c>
      <c r="K597" t="s">
        <v>123</v>
      </c>
      <c r="L597" t="s">
        <v>124</v>
      </c>
      <c r="M597">
        <v>15.84</v>
      </c>
    </row>
    <row r="598">
      <c r="A598" s="2">
        <v>45746</v>
      </c>
      <c r="B598">
        <v>2025.0</v>
      </c>
      <c r="C598" t="s">
        <v>315</v>
      </c>
      <c r="D598" t="s">
        <v>319</v>
      </c>
      <c r="E598" t="s">
        <v>211</v>
      </c>
      <c r="F598" t="s">
        <v>304</v>
      </c>
      <c r="G598" t="s">
        <v>9</v>
      </c>
      <c r="H598">
        <v>2650.0</v>
      </c>
      <c r="I598" t="s">
        <v>31</v>
      </c>
      <c r="J598" t="s">
        <v>75</v>
      </c>
      <c r="K598" t="s">
        <v>38</v>
      </c>
      <c r="L598" t="s">
        <v>39</v>
      </c>
      <c r="M598">
        <v>15.84</v>
      </c>
    </row>
    <row r="599">
      <c r="A599" s="2">
        <v>45608</v>
      </c>
      <c r="B599">
        <v>2025.0</v>
      </c>
      <c r="C599" t="s">
        <v>315</v>
      </c>
      <c r="D599" t="s">
        <v>319</v>
      </c>
      <c r="E599" t="s">
        <v>246</v>
      </c>
      <c r="F599" t="s">
        <v>305</v>
      </c>
      <c r="G599" t="s">
        <v>10</v>
      </c>
      <c r="H599">
        <v>3551.0</v>
      </c>
      <c r="I599" t="s">
        <v>31</v>
      </c>
      <c r="J599" t="s">
        <v>37</v>
      </c>
      <c r="K599" t="s">
        <v>38</v>
      </c>
      <c r="L599" t="s">
        <v>39</v>
      </c>
      <c r="M599">
        <v>15.9</v>
      </c>
    </row>
    <row r="600">
      <c r="A600" s="2">
        <v>45941</v>
      </c>
      <c r="B600">
        <v>2026.0</v>
      </c>
      <c r="C600" t="s">
        <v>321</v>
      </c>
      <c r="D600" t="s">
        <v>316</v>
      </c>
      <c r="E600" t="s">
        <v>177</v>
      </c>
      <c r="F600" t="s">
        <v>307</v>
      </c>
      <c r="G600" t="s">
        <v>12</v>
      </c>
      <c r="H600">
        <v>6330.0</v>
      </c>
      <c r="I600" t="s">
        <v>31</v>
      </c>
      <c r="J600" t="s">
        <v>162</v>
      </c>
      <c r="K600" t="s">
        <v>95</v>
      </c>
      <c r="L600" t="s">
        <v>96</v>
      </c>
      <c r="M600">
        <v>15.92</v>
      </c>
    </row>
    <row r="601">
      <c r="A601" s="2">
        <v>45384</v>
      </c>
      <c r="B601">
        <v>2024.0</v>
      </c>
      <c r="C601" t="s">
        <v>318</v>
      </c>
      <c r="D601" t="s">
        <v>316</v>
      </c>
      <c r="E601" t="s">
        <v>258</v>
      </c>
      <c r="F601" t="s">
        <v>309</v>
      </c>
      <c r="G601" t="s">
        <v>14</v>
      </c>
      <c r="H601">
        <v>870.0</v>
      </c>
      <c r="I601" t="s">
        <v>31</v>
      </c>
      <c r="J601" t="s">
        <v>145</v>
      </c>
      <c r="K601" t="s">
        <v>33</v>
      </c>
      <c r="L601" t="s">
        <v>34</v>
      </c>
      <c r="M601">
        <v>15.96</v>
      </c>
    </row>
    <row r="602">
      <c r="A602" s="2">
        <v>45340</v>
      </c>
      <c r="B602">
        <v>2024.0</v>
      </c>
      <c r="C602" t="s">
        <v>318</v>
      </c>
      <c r="D602" t="s">
        <v>319</v>
      </c>
      <c r="E602" t="s">
        <v>87</v>
      </c>
      <c r="F602" t="s">
        <v>305</v>
      </c>
      <c r="G602" t="s">
        <v>10</v>
      </c>
      <c r="H602">
        <v>3148.0</v>
      </c>
      <c r="I602" t="s">
        <v>31</v>
      </c>
      <c r="J602" t="s">
        <v>89</v>
      </c>
      <c r="K602" t="s">
        <v>123</v>
      </c>
      <c r="L602" t="s">
        <v>124</v>
      </c>
      <c r="M602">
        <v>15.96</v>
      </c>
    </row>
    <row r="603">
      <c r="A603" s="2">
        <v>45772</v>
      </c>
      <c r="B603">
        <v>2025.0</v>
      </c>
      <c r="C603" t="s">
        <v>315</v>
      </c>
      <c r="D603" t="s">
        <v>316</v>
      </c>
      <c r="E603" t="s">
        <v>242</v>
      </c>
      <c r="F603" t="s">
        <v>305</v>
      </c>
      <c r="G603" t="s">
        <v>10</v>
      </c>
      <c r="H603">
        <v>3977.0</v>
      </c>
      <c r="I603" t="s">
        <v>31</v>
      </c>
      <c r="J603" t="s">
        <v>94</v>
      </c>
      <c r="K603" t="s">
        <v>112</v>
      </c>
      <c r="L603" t="s">
        <v>113</v>
      </c>
      <c r="M603">
        <v>15.96</v>
      </c>
    </row>
    <row r="604">
      <c r="A604" s="2">
        <v>45402</v>
      </c>
      <c r="B604">
        <v>2024.0</v>
      </c>
      <c r="C604" t="s">
        <v>318</v>
      </c>
      <c r="D604" t="s">
        <v>319</v>
      </c>
      <c r="E604" t="s">
        <v>246</v>
      </c>
      <c r="F604" t="s">
        <v>305</v>
      </c>
      <c r="G604" t="s">
        <v>10</v>
      </c>
      <c r="H604">
        <v>3551.0</v>
      </c>
      <c r="I604" t="s">
        <v>31</v>
      </c>
      <c r="J604" t="s">
        <v>37</v>
      </c>
      <c r="K604" t="s">
        <v>95</v>
      </c>
      <c r="L604" t="s">
        <v>96</v>
      </c>
      <c r="M604">
        <v>15.96</v>
      </c>
    </row>
    <row r="605">
      <c r="A605" s="2">
        <v>45812</v>
      </c>
      <c r="B605">
        <v>2025.0</v>
      </c>
      <c r="C605" t="s">
        <v>315</v>
      </c>
      <c r="D605" t="s">
        <v>316</v>
      </c>
      <c r="E605" t="s">
        <v>79</v>
      </c>
      <c r="F605" t="s">
        <v>304</v>
      </c>
      <c r="G605" t="s">
        <v>9</v>
      </c>
      <c r="H605">
        <v>2141.0</v>
      </c>
      <c r="I605" t="s">
        <v>31</v>
      </c>
      <c r="J605" t="s">
        <v>81</v>
      </c>
      <c r="K605" t="s">
        <v>95</v>
      </c>
      <c r="L605" t="s">
        <v>96</v>
      </c>
      <c r="M605">
        <v>15.96</v>
      </c>
    </row>
    <row r="606">
      <c r="A606" s="2">
        <v>45500</v>
      </c>
      <c r="B606">
        <v>2025.0</v>
      </c>
      <c r="C606" t="s">
        <v>315</v>
      </c>
      <c r="D606" t="s">
        <v>319</v>
      </c>
      <c r="E606" t="s">
        <v>114</v>
      </c>
      <c r="F606" t="s">
        <v>304</v>
      </c>
      <c r="G606" t="s">
        <v>9</v>
      </c>
      <c r="H606">
        <v>2031.0</v>
      </c>
      <c r="I606" t="s">
        <v>31</v>
      </c>
      <c r="J606" t="s">
        <v>99</v>
      </c>
      <c r="K606" t="s">
        <v>112</v>
      </c>
      <c r="L606" t="s">
        <v>113</v>
      </c>
      <c r="M606">
        <v>15.96</v>
      </c>
    </row>
    <row r="607">
      <c r="A607" s="2">
        <v>45930</v>
      </c>
      <c r="B607">
        <v>2026.0</v>
      </c>
      <c r="C607" t="s">
        <v>321</v>
      </c>
      <c r="D607" t="s">
        <v>319</v>
      </c>
      <c r="E607" t="s">
        <v>87</v>
      </c>
      <c r="F607" t="s">
        <v>305</v>
      </c>
      <c r="G607" t="s">
        <v>10</v>
      </c>
      <c r="H607">
        <v>3148.0</v>
      </c>
      <c r="I607" t="s">
        <v>31</v>
      </c>
      <c r="J607" t="s">
        <v>89</v>
      </c>
      <c r="K607" t="s">
        <v>38</v>
      </c>
      <c r="L607" t="s">
        <v>39</v>
      </c>
      <c r="M607">
        <v>15.97</v>
      </c>
    </row>
    <row r="608">
      <c r="A608" s="2">
        <v>45414</v>
      </c>
      <c r="B608">
        <v>2024.0</v>
      </c>
      <c r="C608" t="s">
        <v>318</v>
      </c>
      <c r="D608" t="s">
        <v>316</v>
      </c>
      <c r="E608" t="s">
        <v>179</v>
      </c>
      <c r="F608" t="s">
        <v>304</v>
      </c>
      <c r="G608" t="s">
        <v>9</v>
      </c>
      <c r="H608">
        <v>2015.0</v>
      </c>
      <c r="I608" t="s">
        <v>31</v>
      </c>
      <c r="J608" t="s">
        <v>99</v>
      </c>
      <c r="K608" t="s">
        <v>46</v>
      </c>
      <c r="L608" t="s">
        <v>47</v>
      </c>
      <c r="M608">
        <v>15.98</v>
      </c>
    </row>
    <row r="609">
      <c r="A609" s="2">
        <v>45610</v>
      </c>
      <c r="B609">
        <v>2025.0</v>
      </c>
      <c r="C609" t="s">
        <v>315</v>
      </c>
      <c r="D609" t="s">
        <v>316</v>
      </c>
      <c r="E609" t="s">
        <v>262</v>
      </c>
      <c r="F609" t="s">
        <v>305</v>
      </c>
      <c r="G609" t="s">
        <v>10</v>
      </c>
      <c r="H609">
        <v>3018.0</v>
      </c>
      <c r="I609" t="s">
        <v>31</v>
      </c>
      <c r="J609" t="s">
        <v>120</v>
      </c>
      <c r="K609" t="s">
        <v>33</v>
      </c>
      <c r="L609" t="s">
        <v>34</v>
      </c>
      <c r="M609">
        <v>15.98</v>
      </c>
    </row>
    <row r="610">
      <c r="A610" s="2">
        <v>45517</v>
      </c>
      <c r="B610">
        <v>2025.0</v>
      </c>
      <c r="C610" t="s">
        <v>315</v>
      </c>
      <c r="D610" t="s">
        <v>319</v>
      </c>
      <c r="E610" t="s">
        <v>48</v>
      </c>
      <c r="F610" t="s">
        <v>307</v>
      </c>
      <c r="G610" t="s">
        <v>12</v>
      </c>
      <c r="H610">
        <v>6725.0</v>
      </c>
      <c r="I610" t="s">
        <v>31</v>
      </c>
      <c r="J610" t="s">
        <v>50</v>
      </c>
      <c r="K610" t="s">
        <v>57</v>
      </c>
      <c r="L610" t="s">
        <v>58</v>
      </c>
      <c r="M610">
        <v>15.98</v>
      </c>
    </row>
    <row r="611">
      <c r="A611" s="2">
        <v>46006</v>
      </c>
      <c r="B611">
        <v>2026.0</v>
      </c>
      <c r="C611" t="s">
        <v>321</v>
      </c>
      <c r="D611" t="s">
        <v>319</v>
      </c>
      <c r="E611" t="s">
        <v>154</v>
      </c>
      <c r="F611" t="s">
        <v>306</v>
      </c>
      <c r="G611" t="s">
        <v>11</v>
      </c>
      <c r="H611">
        <v>4551.0</v>
      </c>
      <c r="I611" t="s">
        <v>31</v>
      </c>
      <c r="J611" t="s">
        <v>84</v>
      </c>
      <c r="K611" t="s">
        <v>46</v>
      </c>
      <c r="L611" t="s">
        <v>47</v>
      </c>
      <c r="M611">
        <v>15.98</v>
      </c>
    </row>
    <row r="612">
      <c r="A612" s="2">
        <v>45920</v>
      </c>
      <c r="B612">
        <v>2026.0</v>
      </c>
      <c r="C612" t="s">
        <v>321</v>
      </c>
      <c r="D612" t="s">
        <v>319</v>
      </c>
      <c r="E612" t="s">
        <v>87</v>
      </c>
      <c r="F612" t="s">
        <v>305</v>
      </c>
      <c r="G612" t="s">
        <v>10</v>
      </c>
      <c r="H612">
        <v>3148.0</v>
      </c>
      <c r="I612" t="s">
        <v>31</v>
      </c>
      <c r="J612" t="s">
        <v>89</v>
      </c>
      <c r="K612" t="s">
        <v>95</v>
      </c>
      <c r="L612" t="s">
        <v>96</v>
      </c>
      <c r="M612">
        <v>15.98</v>
      </c>
    </row>
    <row r="613">
      <c r="A613" s="2">
        <v>45749</v>
      </c>
      <c r="B613">
        <v>2025.0</v>
      </c>
      <c r="C613" t="s">
        <v>315</v>
      </c>
      <c r="D613" t="s">
        <v>316</v>
      </c>
      <c r="E613" t="s">
        <v>242</v>
      </c>
      <c r="F613" t="s">
        <v>305</v>
      </c>
      <c r="G613" t="s">
        <v>10</v>
      </c>
      <c r="H613">
        <v>3977.0</v>
      </c>
      <c r="I613" t="s">
        <v>31</v>
      </c>
      <c r="J613" t="s">
        <v>94</v>
      </c>
      <c r="K613" t="s">
        <v>38</v>
      </c>
      <c r="L613" t="s">
        <v>39</v>
      </c>
      <c r="M613">
        <v>15.98</v>
      </c>
    </row>
    <row r="614">
      <c r="A614" s="2">
        <v>45347</v>
      </c>
      <c r="B614">
        <v>2024.0</v>
      </c>
      <c r="C614" t="s">
        <v>318</v>
      </c>
      <c r="D614" t="s">
        <v>316</v>
      </c>
      <c r="E614" t="s">
        <v>203</v>
      </c>
      <c r="F614" t="s">
        <v>305</v>
      </c>
      <c r="G614" t="s">
        <v>10</v>
      </c>
      <c r="H614">
        <v>3175.0</v>
      </c>
      <c r="I614" t="s">
        <v>31</v>
      </c>
      <c r="J614" t="s">
        <v>89</v>
      </c>
      <c r="K614" t="s">
        <v>57</v>
      </c>
      <c r="L614" t="s">
        <v>58</v>
      </c>
      <c r="M614">
        <v>15.98</v>
      </c>
    </row>
    <row r="615">
      <c r="A615" s="2">
        <v>45991</v>
      </c>
      <c r="B615">
        <v>2026.0</v>
      </c>
      <c r="C615" t="s">
        <v>321</v>
      </c>
      <c r="D615" t="s">
        <v>316</v>
      </c>
      <c r="E615" t="s">
        <v>148</v>
      </c>
      <c r="F615" t="s">
        <v>307</v>
      </c>
      <c r="G615" t="s">
        <v>12</v>
      </c>
      <c r="H615">
        <v>6450.0</v>
      </c>
      <c r="I615" t="s">
        <v>31</v>
      </c>
      <c r="J615" t="s">
        <v>50</v>
      </c>
      <c r="K615" t="s">
        <v>123</v>
      </c>
      <c r="L615" t="s">
        <v>124</v>
      </c>
      <c r="M615">
        <v>15.98</v>
      </c>
    </row>
    <row r="616">
      <c r="A616" s="2">
        <v>45352</v>
      </c>
      <c r="B616">
        <v>2024.0</v>
      </c>
      <c r="C616" t="s">
        <v>318</v>
      </c>
      <c r="D616" t="s">
        <v>316</v>
      </c>
      <c r="E616" t="s">
        <v>152</v>
      </c>
      <c r="F616" t="s">
        <v>306</v>
      </c>
      <c r="G616" t="s">
        <v>11</v>
      </c>
      <c r="H616">
        <v>4305.0</v>
      </c>
      <c r="I616" t="s">
        <v>31</v>
      </c>
      <c r="J616" t="s">
        <v>61</v>
      </c>
      <c r="K616" t="s">
        <v>43</v>
      </c>
      <c r="L616" t="s">
        <v>44</v>
      </c>
      <c r="M616">
        <v>15.98</v>
      </c>
    </row>
    <row r="617">
      <c r="A617" s="2">
        <v>45715</v>
      </c>
      <c r="B617">
        <v>2025.0</v>
      </c>
      <c r="C617" t="s">
        <v>315</v>
      </c>
      <c r="D617" t="s">
        <v>316</v>
      </c>
      <c r="E617" t="s">
        <v>264</v>
      </c>
      <c r="F617" t="s">
        <v>308</v>
      </c>
      <c r="G617" t="s">
        <v>13</v>
      </c>
      <c r="H617">
        <v>5043.0</v>
      </c>
      <c r="I617" t="s">
        <v>31</v>
      </c>
      <c r="J617" t="s">
        <v>42</v>
      </c>
      <c r="K617" t="s">
        <v>38</v>
      </c>
      <c r="L617" t="s">
        <v>39</v>
      </c>
      <c r="M617">
        <v>15.98</v>
      </c>
    </row>
    <row r="618">
      <c r="A618" s="2">
        <v>45986</v>
      </c>
      <c r="B618">
        <v>2026.0</v>
      </c>
      <c r="C618" t="s">
        <v>321</v>
      </c>
      <c r="D618" t="s">
        <v>319</v>
      </c>
      <c r="E618" t="s">
        <v>137</v>
      </c>
      <c r="F618" t="s">
        <v>305</v>
      </c>
      <c r="G618" t="s">
        <v>10</v>
      </c>
      <c r="H618">
        <v>3134.0</v>
      </c>
      <c r="I618" t="s">
        <v>31</v>
      </c>
      <c r="J618" t="s">
        <v>89</v>
      </c>
      <c r="K618" t="s">
        <v>38</v>
      </c>
      <c r="L618" t="s">
        <v>39</v>
      </c>
      <c r="M618">
        <v>15.98</v>
      </c>
    </row>
    <row r="619">
      <c r="A619" s="2">
        <v>45552</v>
      </c>
      <c r="B619">
        <v>2025.0</v>
      </c>
      <c r="C619" t="s">
        <v>315</v>
      </c>
      <c r="D619" t="s">
        <v>316</v>
      </c>
      <c r="E619" t="s">
        <v>64</v>
      </c>
      <c r="F619" t="s">
        <v>306</v>
      </c>
      <c r="G619" t="s">
        <v>11</v>
      </c>
      <c r="H619">
        <v>4215.0</v>
      </c>
      <c r="I619" t="s">
        <v>31</v>
      </c>
      <c r="J619" t="s">
        <v>61</v>
      </c>
      <c r="K619" t="s">
        <v>95</v>
      </c>
      <c r="L619" t="s">
        <v>96</v>
      </c>
      <c r="M619">
        <v>15.98</v>
      </c>
    </row>
    <row r="620">
      <c r="A620" s="2">
        <v>45333</v>
      </c>
      <c r="B620">
        <v>2024.0</v>
      </c>
      <c r="C620" t="s">
        <v>318</v>
      </c>
      <c r="D620" t="s">
        <v>316</v>
      </c>
      <c r="E620" t="s">
        <v>191</v>
      </c>
      <c r="F620" t="s">
        <v>305</v>
      </c>
      <c r="G620" t="s">
        <v>10</v>
      </c>
      <c r="H620">
        <v>3030.0</v>
      </c>
      <c r="I620" t="s">
        <v>31</v>
      </c>
      <c r="J620" t="s">
        <v>120</v>
      </c>
      <c r="K620" t="s">
        <v>43</v>
      </c>
      <c r="L620" t="s">
        <v>44</v>
      </c>
      <c r="M620">
        <v>15.99</v>
      </c>
    </row>
    <row r="621">
      <c r="A621" s="2">
        <v>45394</v>
      </c>
      <c r="B621">
        <v>2024.0</v>
      </c>
      <c r="C621" t="s">
        <v>318</v>
      </c>
      <c r="D621" t="s">
        <v>316</v>
      </c>
      <c r="E621" t="s">
        <v>177</v>
      </c>
      <c r="F621" t="s">
        <v>307</v>
      </c>
      <c r="G621" t="s">
        <v>12</v>
      </c>
      <c r="H621">
        <v>6330.0</v>
      </c>
      <c r="I621" t="s">
        <v>31</v>
      </c>
      <c r="J621" t="s">
        <v>162</v>
      </c>
      <c r="K621" t="s">
        <v>43</v>
      </c>
      <c r="L621" t="s">
        <v>44</v>
      </c>
      <c r="M621">
        <v>16.0</v>
      </c>
    </row>
    <row r="622">
      <c r="A622" s="2">
        <v>45643</v>
      </c>
      <c r="B622">
        <v>2025.0</v>
      </c>
      <c r="C622" t="s">
        <v>315</v>
      </c>
      <c r="D622" t="s">
        <v>316</v>
      </c>
      <c r="E622" t="s">
        <v>234</v>
      </c>
      <c r="F622" t="s">
        <v>304</v>
      </c>
      <c r="G622" t="s">
        <v>9</v>
      </c>
      <c r="H622">
        <v>2158.0</v>
      </c>
      <c r="I622" t="s">
        <v>31</v>
      </c>
      <c r="J622" t="s">
        <v>81</v>
      </c>
      <c r="K622" t="s">
        <v>46</v>
      </c>
      <c r="L622" t="s">
        <v>47</v>
      </c>
      <c r="M622">
        <v>16.0</v>
      </c>
    </row>
    <row r="623">
      <c r="A623" s="2">
        <v>45616</v>
      </c>
      <c r="B623">
        <v>2025.0</v>
      </c>
      <c r="C623" t="s">
        <v>315</v>
      </c>
      <c r="D623" t="s">
        <v>316</v>
      </c>
      <c r="E623" t="s">
        <v>131</v>
      </c>
      <c r="F623" t="s">
        <v>306</v>
      </c>
      <c r="G623" t="s">
        <v>11</v>
      </c>
      <c r="H623">
        <v>4655.0</v>
      </c>
      <c r="I623" t="s">
        <v>31</v>
      </c>
      <c r="J623" t="s">
        <v>32</v>
      </c>
      <c r="K623" t="s">
        <v>43</v>
      </c>
      <c r="L623" t="s">
        <v>44</v>
      </c>
      <c r="M623">
        <v>16.0</v>
      </c>
    </row>
    <row r="624">
      <c r="A624" s="2">
        <v>45802</v>
      </c>
      <c r="B624">
        <v>2025.0</v>
      </c>
      <c r="C624" t="s">
        <v>315</v>
      </c>
      <c r="D624" t="s">
        <v>316</v>
      </c>
      <c r="E624" t="s">
        <v>146</v>
      </c>
      <c r="F624" t="s">
        <v>304</v>
      </c>
      <c r="G624" t="s">
        <v>9</v>
      </c>
      <c r="H624">
        <v>2790.0</v>
      </c>
      <c r="I624" t="s">
        <v>31</v>
      </c>
      <c r="J624" t="s">
        <v>75</v>
      </c>
      <c r="K624" t="s">
        <v>43</v>
      </c>
      <c r="L624" t="s">
        <v>44</v>
      </c>
      <c r="M624">
        <v>16.0</v>
      </c>
    </row>
    <row r="625">
      <c r="A625" s="2">
        <v>45467</v>
      </c>
      <c r="B625">
        <v>2024.0</v>
      </c>
      <c r="C625" t="s">
        <v>318</v>
      </c>
      <c r="D625" t="s">
        <v>316</v>
      </c>
      <c r="E625" t="s">
        <v>193</v>
      </c>
      <c r="F625" t="s">
        <v>304</v>
      </c>
      <c r="G625" t="s">
        <v>9</v>
      </c>
      <c r="H625">
        <v>2020.0</v>
      </c>
      <c r="I625" t="s">
        <v>31</v>
      </c>
      <c r="J625" t="s">
        <v>99</v>
      </c>
      <c r="K625" t="s">
        <v>43</v>
      </c>
      <c r="L625" t="s">
        <v>44</v>
      </c>
      <c r="M625">
        <v>16.02</v>
      </c>
    </row>
    <row r="626">
      <c r="A626" s="2">
        <v>45654</v>
      </c>
      <c r="B626">
        <v>2025.0</v>
      </c>
      <c r="C626" t="s">
        <v>315</v>
      </c>
      <c r="D626" t="s">
        <v>316</v>
      </c>
      <c r="E626" t="s">
        <v>131</v>
      </c>
      <c r="F626" t="s">
        <v>306</v>
      </c>
      <c r="G626" t="s">
        <v>11</v>
      </c>
      <c r="H626">
        <v>4655.0</v>
      </c>
      <c r="I626" t="s">
        <v>31</v>
      </c>
      <c r="J626" t="s">
        <v>32</v>
      </c>
      <c r="K626" t="s">
        <v>43</v>
      </c>
      <c r="L626" t="s">
        <v>44</v>
      </c>
      <c r="M626">
        <v>16.39</v>
      </c>
    </row>
    <row r="627">
      <c r="A627" s="2">
        <v>45630</v>
      </c>
      <c r="B627">
        <v>2025.0</v>
      </c>
      <c r="C627" t="s">
        <v>315</v>
      </c>
      <c r="D627" t="s">
        <v>319</v>
      </c>
      <c r="E627" t="s">
        <v>211</v>
      </c>
      <c r="F627" t="s">
        <v>304</v>
      </c>
      <c r="G627" t="s">
        <v>9</v>
      </c>
      <c r="H627">
        <v>2650.0</v>
      </c>
      <c r="I627" t="s">
        <v>31</v>
      </c>
      <c r="J627" t="s">
        <v>75</v>
      </c>
      <c r="K627" t="s">
        <v>95</v>
      </c>
      <c r="L627" t="s">
        <v>96</v>
      </c>
      <c r="M627">
        <v>16.45</v>
      </c>
    </row>
    <row r="628">
      <c r="A628" s="2">
        <v>45592</v>
      </c>
      <c r="B628">
        <v>2025.0</v>
      </c>
      <c r="C628" t="s">
        <v>315</v>
      </c>
      <c r="D628" t="s">
        <v>316</v>
      </c>
      <c r="E628" t="s">
        <v>148</v>
      </c>
      <c r="F628" t="s">
        <v>307</v>
      </c>
      <c r="G628" t="s">
        <v>12</v>
      </c>
      <c r="H628">
        <v>6450.0</v>
      </c>
      <c r="I628" t="s">
        <v>31</v>
      </c>
      <c r="J628" t="s">
        <v>50</v>
      </c>
      <c r="K628" t="s">
        <v>123</v>
      </c>
      <c r="L628" t="s">
        <v>124</v>
      </c>
      <c r="M628">
        <v>16.490000000000002</v>
      </c>
    </row>
    <row r="629">
      <c r="A629" s="2">
        <v>45632</v>
      </c>
      <c r="B629">
        <v>2025.0</v>
      </c>
      <c r="C629" t="s">
        <v>315</v>
      </c>
      <c r="D629" t="s">
        <v>316</v>
      </c>
      <c r="E629" t="s">
        <v>197</v>
      </c>
      <c r="F629" t="s">
        <v>304</v>
      </c>
      <c r="G629" t="s">
        <v>9</v>
      </c>
      <c r="H629">
        <v>2560.0</v>
      </c>
      <c r="I629" t="s">
        <v>31</v>
      </c>
      <c r="J629" t="s">
        <v>107</v>
      </c>
      <c r="K629" t="s">
        <v>43</v>
      </c>
      <c r="L629" t="s">
        <v>44</v>
      </c>
      <c r="M629">
        <v>16.5</v>
      </c>
    </row>
    <row r="630">
      <c r="A630" s="2">
        <v>45315</v>
      </c>
      <c r="B630">
        <v>2024.0</v>
      </c>
      <c r="C630" t="s">
        <v>318</v>
      </c>
      <c r="D630" t="s">
        <v>316</v>
      </c>
      <c r="E630" t="s">
        <v>110</v>
      </c>
      <c r="F630" t="s">
        <v>304</v>
      </c>
      <c r="G630" t="s">
        <v>9</v>
      </c>
      <c r="H630">
        <v>2101.0</v>
      </c>
      <c r="I630" t="s">
        <v>31</v>
      </c>
      <c r="J630" t="s">
        <v>81</v>
      </c>
      <c r="K630" t="s">
        <v>43</v>
      </c>
      <c r="L630" t="s">
        <v>44</v>
      </c>
      <c r="M630">
        <v>16.5</v>
      </c>
    </row>
    <row r="631">
      <c r="A631" s="2">
        <v>45707</v>
      </c>
      <c r="B631">
        <v>2025.0</v>
      </c>
      <c r="C631" t="s">
        <v>315</v>
      </c>
      <c r="D631" t="s">
        <v>316</v>
      </c>
      <c r="E631" t="s">
        <v>260</v>
      </c>
      <c r="F631" t="s">
        <v>305</v>
      </c>
      <c r="G631" t="s">
        <v>10</v>
      </c>
      <c r="H631">
        <v>3179.0</v>
      </c>
      <c r="I631" t="s">
        <v>31</v>
      </c>
      <c r="J631" t="s">
        <v>89</v>
      </c>
      <c r="K631" t="s">
        <v>38</v>
      </c>
      <c r="L631" t="s">
        <v>39</v>
      </c>
      <c r="M631">
        <v>16.5</v>
      </c>
    </row>
    <row r="632">
      <c r="A632" s="2">
        <v>45981</v>
      </c>
      <c r="B632">
        <v>2026.0</v>
      </c>
      <c r="C632" t="s">
        <v>321</v>
      </c>
      <c r="D632" t="s">
        <v>316</v>
      </c>
      <c r="E632" t="s">
        <v>116</v>
      </c>
      <c r="F632" t="s">
        <v>304</v>
      </c>
      <c r="G632" t="s">
        <v>9</v>
      </c>
      <c r="H632">
        <v>2485.0</v>
      </c>
      <c r="I632" t="s">
        <v>31</v>
      </c>
      <c r="J632" t="s">
        <v>70</v>
      </c>
      <c r="K632" t="s">
        <v>112</v>
      </c>
      <c r="L632" t="s">
        <v>113</v>
      </c>
      <c r="M632">
        <v>16.9</v>
      </c>
    </row>
    <row r="633">
      <c r="A633" s="2">
        <v>45735</v>
      </c>
      <c r="B633">
        <v>2025.0</v>
      </c>
      <c r="C633" t="s">
        <v>315</v>
      </c>
      <c r="D633" t="s">
        <v>316</v>
      </c>
      <c r="E633" t="s">
        <v>217</v>
      </c>
      <c r="F633" t="s">
        <v>305</v>
      </c>
      <c r="G633" t="s">
        <v>10</v>
      </c>
      <c r="H633">
        <v>3136.0</v>
      </c>
      <c r="I633" t="s">
        <v>31</v>
      </c>
      <c r="J633" t="s">
        <v>89</v>
      </c>
      <c r="K633" t="s">
        <v>112</v>
      </c>
      <c r="L633" t="s">
        <v>113</v>
      </c>
      <c r="M633">
        <v>16.91</v>
      </c>
    </row>
    <row r="634">
      <c r="A634" s="2">
        <v>45593</v>
      </c>
      <c r="B634">
        <v>2025.0</v>
      </c>
      <c r="C634" t="s">
        <v>315</v>
      </c>
      <c r="D634" t="s">
        <v>316</v>
      </c>
      <c r="E634" t="s">
        <v>175</v>
      </c>
      <c r="F634" t="s">
        <v>311</v>
      </c>
      <c r="G634" t="s">
        <v>16</v>
      </c>
      <c r="H634">
        <v>2617.0</v>
      </c>
      <c r="I634" t="s">
        <v>31</v>
      </c>
      <c r="J634" t="s">
        <v>107</v>
      </c>
      <c r="K634" t="s">
        <v>43</v>
      </c>
      <c r="L634" t="s">
        <v>44</v>
      </c>
      <c r="M634">
        <v>16.98</v>
      </c>
    </row>
    <row r="635">
      <c r="A635" s="2">
        <v>45920</v>
      </c>
      <c r="B635">
        <v>2026.0</v>
      </c>
      <c r="C635" t="s">
        <v>321</v>
      </c>
      <c r="D635" t="s">
        <v>316</v>
      </c>
      <c r="E635" t="s">
        <v>76</v>
      </c>
      <c r="F635" t="s">
        <v>306</v>
      </c>
      <c r="G635" t="s">
        <v>11</v>
      </c>
      <c r="H635">
        <v>4883.0</v>
      </c>
      <c r="I635" t="s">
        <v>31</v>
      </c>
      <c r="J635" t="s">
        <v>78</v>
      </c>
      <c r="K635" t="s">
        <v>43</v>
      </c>
      <c r="L635" t="s">
        <v>44</v>
      </c>
      <c r="M635">
        <v>16.99</v>
      </c>
    </row>
    <row r="636">
      <c r="A636" s="2">
        <v>45599</v>
      </c>
      <c r="B636">
        <v>2025.0</v>
      </c>
      <c r="C636" t="s">
        <v>315</v>
      </c>
      <c r="D636" t="s">
        <v>316</v>
      </c>
      <c r="E636" t="s">
        <v>201</v>
      </c>
      <c r="F636" t="s">
        <v>305</v>
      </c>
      <c r="G636" t="s">
        <v>10</v>
      </c>
      <c r="H636">
        <v>3131.0</v>
      </c>
      <c r="I636" t="s">
        <v>31</v>
      </c>
      <c r="J636" t="s">
        <v>89</v>
      </c>
      <c r="K636" t="s">
        <v>71</v>
      </c>
      <c r="L636" t="s">
        <v>72</v>
      </c>
      <c r="M636">
        <v>16.99</v>
      </c>
    </row>
    <row r="637">
      <c r="A637" s="2">
        <v>45536</v>
      </c>
      <c r="B637">
        <v>2025.0</v>
      </c>
      <c r="C637" t="s">
        <v>315</v>
      </c>
      <c r="D637" t="s">
        <v>316</v>
      </c>
      <c r="E637" t="s">
        <v>199</v>
      </c>
      <c r="F637" t="s">
        <v>308</v>
      </c>
      <c r="G637" t="s">
        <v>13</v>
      </c>
      <c r="H637">
        <v>5169.0</v>
      </c>
      <c r="I637" t="s">
        <v>31</v>
      </c>
      <c r="J637" t="s">
        <v>42</v>
      </c>
      <c r="K637" t="s">
        <v>123</v>
      </c>
      <c r="L637" t="s">
        <v>124</v>
      </c>
      <c r="M637">
        <v>16.99</v>
      </c>
    </row>
    <row r="638">
      <c r="A638" s="2">
        <v>45395</v>
      </c>
      <c r="B638">
        <v>2024.0</v>
      </c>
      <c r="C638" t="s">
        <v>318</v>
      </c>
      <c r="D638" t="s">
        <v>319</v>
      </c>
      <c r="E638" t="s">
        <v>221</v>
      </c>
      <c r="F638" t="s">
        <v>306</v>
      </c>
      <c r="G638" t="s">
        <v>11</v>
      </c>
      <c r="H638">
        <v>4053.0</v>
      </c>
      <c r="I638" t="s">
        <v>31</v>
      </c>
      <c r="J638" t="s">
        <v>56</v>
      </c>
      <c r="K638" t="s">
        <v>46</v>
      </c>
      <c r="L638" t="s">
        <v>47</v>
      </c>
      <c r="M638">
        <v>16.990000000000002</v>
      </c>
    </row>
    <row r="639">
      <c r="A639" s="2">
        <v>45300</v>
      </c>
      <c r="B639">
        <v>2024.0</v>
      </c>
      <c r="C639" t="s">
        <v>318</v>
      </c>
      <c r="D639" t="s">
        <v>316</v>
      </c>
      <c r="E639" t="s">
        <v>139</v>
      </c>
      <c r="F639" t="s">
        <v>305</v>
      </c>
      <c r="G639" t="s">
        <v>10</v>
      </c>
      <c r="H639">
        <v>3199.0</v>
      </c>
      <c r="I639" t="s">
        <v>31</v>
      </c>
      <c r="J639" t="s">
        <v>89</v>
      </c>
      <c r="K639" t="s">
        <v>38</v>
      </c>
      <c r="L639" t="s">
        <v>39</v>
      </c>
      <c r="M639">
        <v>17.0</v>
      </c>
    </row>
    <row r="640">
      <c r="A640" s="2">
        <v>45749</v>
      </c>
      <c r="B640">
        <v>2025.0</v>
      </c>
      <c r="C640" t="s">
        <v>315</v>
      </c>
      <c r="D640" t="s">
        <v>316</v>
      </c>
      <c r="E640" t="s">
        <v>118</v>
      </c>
      <c r="F640" t="s">
        <v>305</v>
      </c>
      <c r="G640" t="s">
        <v>10</v>
      </c>
      <c r="H640">
        <v>3076.0</v>
      </c>
      <c r="I640" t="s">
        <v>31</v>
      </c>
      <c r="J640" t="s">
        <v>120</v>
      </c>
      <c r="K640" t="s">
        <v>112</v>
      </c>
      <c r="L640" t="s">
        <v>113</v>
      </c>
      <c r="M640">
        <v>17.0</v>
      </c>
    </row>
    <row r="641">
      <c r="A641" s="2">
        <v>45917</v>
      </c>
      <c r="B641">
        <v>2026.0</v>
      </c>
      <c r="C641" t="s">
        <v>321</v>
      </c>
      <c r="D641" t="s">
        <v>316</v>
      </c>
      <c r="E641" t="s">
        <v>260</v>
      </c>
      <c r="F641" t="s">
        <v>305</v>
      </c>
      <c r="G641" t="s">
        <v>10</v>
      </c>
      <c r="H641">
        <v>3179.0</v>
      </c>
      <c r="I641" t="s">
        <v>31</v>
      </c>
      <c r="J641" t="s">
        <v>89</v>
      </c>
      <c r="K641" t="s">
        <v>43</v>
      </c>
      <c r="L641" t="s">
        <v>44</v>
      </c>
      <c r="M641">
        <v>17.0</v>
      </c>
    </row>
    <row r="642">
      <c r="A642" s="2">
        <v>45888</v>
      </c>
      <c r="B642">
        <v>2026.0</v>
      </c>
      <c r="C642" t="s">
        <v>321</v>
      </c>
      <c r="D642" t="s">
        <v>319</v>
      </c>
      <c r="E642" t="s">
        <v>167</v>
      </c>
      <c r="F642" t="s">
        <v>307</v>
      </c>
      <c r="G642" t="s">
        <v>12</v>
      </c>
      <c r="H642">
        <v>6030.0</v>
      </c>
      <c r="I642" t="s">
        <v>31</v>
      </c>
      <c r="J642" t="s">
        <v>102</v>
      </c>
      <c r="K642" t="s">
        <v>112</v>
      </c>
      <c r="L642" t="s">
        <v>113</v>
      </c>
      <c r="M642">
        <v>17.37</v>
      </c>
    </row>
    <row r="643">
      <c r="A643" s="2">
        <v>45463</v>
      </c>
      <c r="B643">
        <v>2024.0</v>
      </c>
      <c r="C643" t="s">
        <v>318</v>
      </c>
      <c r="D643" t="s">
        <v>319</v>
      </c>
      <c r="E643" t="s">
        <v>230</v>
      </c>
      <c r="F643" t="s">
        <v>308</v>
      </c>
      <c r="G643" t="s">
        <v>13</v>
      </c>
      <c r="H643">
        <v>5290.0</v>
      </c>
      <c r="I643" t="s">
        <v>31</v>
      </c>
      <c r="J643" t="s">
        <v>227</v>
      </c>
      <c r="K643" t="s">
        <v>71</v>
      </c>
      <c r="L643" t="s">
        <v>72</v>
      </c>
      <c r="M643">
        <v>17.46</v>
      </c>
    </row>
    <row r="644">
      <c r="A644" s="2">
        <v>45466</v>
      </c>
      <c r="B644">
        <v>2024.0</v>
      </c>
      <c r="C644" t="s">
        <v>318</v>
      </c>
      <c r="D644" t="s">
        <v>316</v>
      </c>
      <c r="E644" t="s">
        <v>221</v>
      </c>
      <c r="F644" t="s">
        <v>306</v>
      </c>
      <c r="G644" t="s">
        <v>11</v>
      </c>
      <c r="H644">
        <v>4053.0</v>
      </c>
      <c r="I644" t="s">
        <v>31</v>
      </c>
      <c r="J644" t="s">
        <v>56</v>
      </c>
      <c r="K644" t="s">
        <v>95</v>
      </c>
      <c r="L644" t="s">
        <v>96</v>
      </c>
      <c r="M644">
        <v>17.490000000000002</v>
      </c>
    </row>
    <row r="645">
      <c r="A645" s="2">
        <v>45345</v>
      </c>
      <c r="B645">
        <v>2024.0</v>
      </c>
      <c r="C645" t="s">
        <v>318</v>
      </c>
      <c r="D645" t="s">
        <v>319</v>
      </c>
      <c r="E645" t="s">
        <v>59</v>
      </c>
      <c r="F645" t="s">
        <v>306</v>
      </c>
      <c r="G645" t="s">
        <v>11</v>
      </c>
      <c r="H645">
        <v>4509.0</v>
      </c>
      <c r="I645" t="s">
        <v>31</v>
      </c>
      <c r="J645" t="s">
        <v>61</v>
      </c>
      <c r="K645" t="s">
        <v>95</v>
      </c>
      <c r="L645" t="s">
        <v>96</v>
      </c>
      <c r="M645">
        <v>17.54</v>
      </c>
    </row>
    <row r="646">
      <c r="A646" s="2">
        <v>45574</v>
      </c>
      <c r="B646">
        <v>2025.0</v>
      </c>
      <c r="C646" t="s">
        <v>315</v>
      </c>
      <c r="D646" t="s">
        <v>316</v>
      </c>
      <c r="E646" t="s">
        <v>68</v>
      </c>
      <c r="F646" t="s">
        <v>304</v>
      </c>
      <c r="G646" t="s">
        <v>9</v>
      </c>
      <c r="H646">
        <v>2478.0</v>
      </c>
      <c r="I646" t="s">
        <v>31</v>
      </c>
      <c r="J646" t="s">
        <v>70</v>
      </c>
      <c r="K646" t="s">
        <v>33</v>
      </c>
      <c r="L646" t="s">
        <v>34</v>
      </c>
      <c r="M646">
        <v>17.83</v>
      </c>
    </row>
    <row r="647">
      <c r="A647" s="2">
        <v>45375</v>
      </c>
      <c r="B647">
        <v>2024.0</v>
      </c>
      <c r="C647" t="s">
        <v>318</v>
      </c>
      <c r="D647" t="s">
        <v>316</v>
      </c>
      <c r="E647" t="s">
        <v>181</v>
      </c>
      <c r="F647" t="s">
        <v>306</v>
      </c>
      <c r="G647" t="s">
        <v>11</v>
      </c>
      <c r="H647">
        <v>4119.0</v>
      </c>
      <c r="I647" t="s">
        <v>31</v>
      </c>
      <c r="J647" t="s">
        <v>56</v>
      </c>
      <c r="K647" t="s">
        <v>43</v>
      </c>
      <c r="L647" t="s">
        <v>44</v>
      </c>
      <c r="M647">
        <v>17.83</v>
      </c>
    </row>
    <row r="648">
      <c r="A648" s="2">
        <v>46017</v>
      </c>
      <c r="B648">
        <v>2026.0</v>
      </c>
      <c r="C648" t="s">
        <v>321</v>
      </c>
      <c r="D648" t="s">
        <v>319</v>
      </c>
      <c r="E648" t="s">
        <v>73</v>
      </c>
      <c r="F648" t="s">
        <v>304</v>
      </c>
      <c r="G648" t="s">
        <v>9</v>
      </c>
      <c r="H648">
        <v>2750.0</v>
      </c>
      <c r="I648" t="s">
        <v>31</v>
      </c>
      <c r="J648" t="s">
        <v>75</v>
      </c>
      <c r="K648" t="s">
        <v>112</v>
      </c>
      <c r="L648" t="s">
        <v>113</v>
      </c>
      <c r="M648">
        <v>17.91</v>
      </c>
    </row>
    <row r="649">
      <c r="A649" s="2">
        <v>45572</v>
      </c>
      <c r="B649">
        <v>2025.0</v>
      </c>
      <c r="C649" t="s">
        <v>315</v>
      </c>
      <c r="D649" t="s">
        <v>319</v>
      </c>
      <c r="E649" t="s">
        <v>103</v>
      </c>
      <c r="F649" t="s">
        <v>307</v>
      </c>
      <c r="G649" t="s">
        <v>12</v>
      </c>
      <c r="H649">
        <v>6021.0</v>
      </c>
      <c r="I649" t="s">
        <v>31</v>
      </c>
      <c r="J649" t="s">
        <v>102</v>
      </c>
      <c r="K649" t="s">
        <v>38</v>
      </c>
      <c r="L649" t="s">
        <v>39</v>
      </c>
      <c r="M649">
        <v>17.94</v>
      </c>
    </row>
    <row r="650">
      <c r="A650" s="2">
        <v>45305</v>
      </c>
      <c r="B650">
        <v>2024.0</v>
      </c>
      <c r="C650" t="s">
        <v>318</v>
      </c>
      <c r="D650" t="s">
        <v>316</v>
      </c>
      <c r="E650" t="s">
        <v>92</v>
      </c>
      <c r="F650" t="s">
        <v>305</v>
      </c>
      <c r="G650" t="s">
        <v>10</v>
      </c>
      <c r="H650">
        <v>3690.0</v>
      </c>
      <c r="I650" t="s">
        <v>31</v>
      </c>
      <c r="J650" t="s">
        <v>94</v>
      </c>
      <c r="K650" t="s">
        <v>112</v>
      </c>
      <c r="L650" t="s">
        <v>113</v>
      </c>
      <c r="M650">
        <v>17.94</v>
      </c>
    </row>
    <row r="651">
      <c r="A651" s="2">
        <v>45336</v>
      </c>
      <c r="B651">
        <v>2024.0</v>
      </c>
      <c r="C651" t="s">
        <v>318</v>
      </c>
      <c r="D651" t="s">
        <v>319</v>
      </c>
      <c r="E651" t="s">
        <v>110</v>
      </c>
      <c r="F651" t="s">
        <v>304</v>
      </c>
      <c r="G651" t="s">
        <v>9</v>
      </c>
      <c r="H651">
        <v>2101.0</v>
      </c>
      <c r="I651" t="s">
        <v>31</v>
      </c>
      <c r="J651" t="s">
        <v>81</v>
      </c>
      <c r="K651" t="s">
        <v>43</v>
      </c>
      <c r="L651" t="s">
        <v>44</v>
      </c>
      <c r="M651">
        <v>17.96</v>
      </c>
    </row>
    <row r="652">
      <c r="A652" s="2">
        <v>45809</v>
      </c>
      <c r="B652">
        <v>2025.0</v>
      </c>
      <c r="C652" t="s">
        <v>315</v>
      </c>
      <c r="D652" t="s">
        <v>316</v>
      </c>
      <c r="E652" t="s">
        <v>175</v>
      </c>
      <c r="F652" t="s">
        <v>311</v>
      </c>
      <c r="G652" t="s">
        <v>16</v>
      </c>
      <c r="H652">
        <v>2617.0</v>
      </c>
      <c r="I652" t="s">
        <v>31</v>
      </c>
      <c r="J652" t="s">
        <v>107</v>
      </c>
      <c r="K652" t="s">
        <v>38</v>
      </c>
      <c r="L652" t="s">
        <v>39</v>
      </c>
      <c r="M652">
        <v>17.97</v>
      </c>
    </row>
    <row r="653">
      <c r="A653" s="2">
        <v>45549</v>
      </c>
      <c r="B653">
        <v>2025.0</v>
      </c>
      <c r="C653" t="s">
        <v>315</v>
      </c>
      <c r="D653" t="s">
        <v>319</v>
      </c>
      <c r="E653" t="s">
        <v>254</v>
      </c>
      <c r="F653" t="s">
        <v>308</v>
      </c>
      <c r="G653" t="s">
        <v>13</v>
      </c>
      <c r="H653">
        <v>5343.0</v>
      </c>
      <c r="I653" t="s">
        <v>31</v>
      </c>
      <c r="J653" t="s">
        <v>227</v>
      </c>
      <c r="K653" t="s">
        <v>71</v>
      </c>
      <c r="L653" t="s">
        <v>72</v>
      </c>
      <c r="M653">
        <v>17.97</v>
      </c>
    </row>
    <row r="654">
      <c r="A654" s="2">
        <v>45586</v>
      </c>
      <c r="B654">
        <v>2025.0</v>
      </c>
      <c r="C654" t="s">
        <v>315</v>
      </c>
      <c r="D654" t="s">
        <v>316</v>
      </c>
      <c r="E654" t="s">
        <v>215</v>
      </c>
      <c r="F654" t="s">
        <v>310</v>
      </c>
      <c r="G654" t="s">
        <v>15</v>
      </c>
      <c r="H654">
        <v>7320.0</v>
      </c>
      <c r="I654" t="s">
        <v>31</v>
      </c>
      <c r="J654" t="s">
        <v>53</v>
      </c>
      <c r="K654" t="s">
        <v>46</v>
      </c>
      <c r="L654" t="s">
        <v>47</v>
      </c>
      <c r="M654">
        <v>17.97</v>
      </c>
    </row>
    <row r="655">
      <c r="A655" s="2">
        <v>45625</v>
      </c>
      <c r="B655">
        <v>2025.0</v>
      </c>
      <c r="C655" t="s">
        <v>315</v>
      </c>
      <c r="D655" t="s">
        <v>316</v>
      </c>
      <c r="E655" t="s">
        <v>143</v>
      </c>
      <c r="F655" t="s">
        <v>309</v>
      </c>
      <c r="G655" t="s">
        <v>14</v>
      </c>
      <c r="H655">
        <v>800.0</v>
      </c>
      <c r="I655" t="s">
        <v>31</v>
      </c>
      <c r="J655" t="s">
        <v>145</v>
      </c>
      <c r="K655" t="s">
        <v>33</v>
      </c>
      <c r="L655" t="s">
        <v>34</v>
      </c>
      <c r="M655">
        <v>17.97</v>
      </c>
    </row>
    <row r="656">
      <c r="A656" s="2">
        <v>45749</v>
      </c>
      <c r="B656">
        <v>2025.0</v>
      </c>
      <c r="C656" t="s">
        <v>315</v>
      </c>
      <c r="D656" t="s">
        <v>319</v>
      </c>
      <c r="E656" t="s">
        <v>248</v>
      </c>
      <c r="F656" t="s">
        <v>307</v>
      </c>
      <c r="G656" t="s">
        <v>12</v>
      </c>
      <c r="H656">
        <v>6112.0</v>
      </c>
      <c r="I656" t="s">
        <v>31</v>
      </c>
      <c r="J656" t="s">
        <v>162</v>
      </c>
      <c r="K656" t="s">
        <v>95</v>
      </c>
      <c r="L656" t="s">
        <v>96</v>
      </c>
      <c r="M656">
        <v>17.97</v>
      </c>
    </row>
    <row r="657">
      <c r="A657" s="2">
        <v>45834</v>
      </c>
      <c r="B657">
        <v>2025.0</v>
      </c>
      <c r="C657" t="s">
        <v>315</v>
      </c>
      <c r="D657" t="s">
        <v>316</v>
      </c>
      <c r="E657" t="s">
        <v>223</v>
      </c>
      <c r="F657" t="s">
        <v>305</v>
      </c>
      <c r="G657" t="s">
        <v>10</v>
      </c>
      <c r="H657">
        <v>3915.0</v>
      </c>
      <c r="I657" t="s">
        <v>31</v>
      </c>
      <c r="J657" t="s">
        <v>94</v>
      </c>
      <c r="K657" t="s">
        <v>43</v>
      </c>
      <c r="L657" t="s">
        <v>44</v>
      </c>
      <c r="M657">
        <v>17.97</v>
      </c>
    </row>
    <row r="658">
      <c r="A658" s="2">
        <v>45646</v>
      </c>
      <c r="B658">
        <v>2025.0</v>
      </c>
      <c r="C658" t="s">
        <v>315</v>
      </c>
      <c r="D658" t="s">
        <v>316</v>
      </c>
      <c r="E658" t="s">
        <v>219</v>
      </c>
      <c r="F658" t="s">
        <v>306</v>
      </c>
      <c r="G658" t="s">
        <v>11</v>
      </c>
      <c r="H658">
        <v>4068.0</v>
      </c>
      <c r="I658" t="s">
        <v>31</v>
      </c>
      <c r="J658" t="s">
        <v>56</v>
      </c>
      <c r="K658" t="s">
        <v>33</v>
      </c>
      <c r="L658" t="s">
        <v>34</v>
      </c>
      <c r="M658">
        <v>17.97</v>
      </c>
    </row>
    <row r="659">
      <c r="A659" s="2">
        <v>45311</v>
      </c>
      <c r="B659">
        <v>2024.0</v>
      </c>
      <c r="C659" t="s">
        <v>318</v>
      </c>
      <c r="D659" t="s">
        <v>316</v>
      </c>
      <c r="E659" t="s">
        <v>133</v>
      </c>
      <c r="F659" t="s">
        <v>305</v>
      </c>
      <c r="G659" t="s">
        <v>10</v>
      </c>
      <c r="H659">
        <v>3429.0</v>
      </c>
      <c r="I659" t="s">
        <v>31</v>
      </c>
      <c r="J659" t="s">
        <v>37</v>
      </c>
      <c r="K659" t="s">
        <v>112</v>
      </c>
      <c r="L659" t="s">
        <v>113</v>
      </c>
      <c r="M659">
        <v>17.97</v>
      </c>
    </row>
    <row r="660">
      <c r="A660" s="2">
        <v>45734</v>
      </c>
      <c r="B660">
        <v>2025.0</v>
      </c>
      <c r="C660" t="s">
        <v>315</v>
      </c>
      <c r="D660" t="s">
        <v>319</v>
      </c>
      <c r="E660" t="s">
        <v>211</v>
      </c>
      <c r="F660" t="s">
        <v>304</v>
      </c>
      <c r="G660" t="s">
        <v>9</v>
      </c>
      <c r="H660">
        <v>2650.0</v>
      </c>
      <c r="I660" t="s">
        <v>31</v>
      </c>
      <c r="J660" t="s">
        <v>75</v>
      </c>
      <c r="K660" t="s">
        <v>38</v>
      </c>
      <c r="L660" t="s">
        <v>39</v>
      </c>
      <c r="M660">
        <v>17.97</v>
      </c>
    </row>
    <row r="661">
      <c r="A661" s="2">
        <v>45824</v>
      </c>
      <c r="B661">
        <v>2025.0</v>
      </c>
      <c r="C661" t="s">
        <v>315</v>
      </c>
      <c r="D661" t="s">
        <v>316</v>
      </c>
      <c r="E661" t="s">
        <v>158</v>
      </c>
      <c r="F661" t="s">
        <v>306</v>
      </c>
      <c r="G661" t="s">
        <v>11</v>
      </c>
      <c r="H661">
        <v>4570.0</v>
      </c>
      <c r="I661" t="s">
        <v>31</v>
      </c>
      <c r="J661" t="s">
        <v>84</v>
      </c>
      <c r="K661" t="s">
        <v>112</v>
      </c>
      <c r="L661" t="s">
        <v>113</v>
      </c>
      <c r="M661">
        <v>17.98</v>
      </c>
    </row>
    <row r="662">
      <c r="A662" s="2">
        <v>45903</v>
      </c>
      <c r="B662">
        <v>2026.0</v>
      </c>
      <c r="C662" t="s">
        <v>321</v>
      </c>
      <c r="D662" t="s">
        <v>316</v>
      </c>
      <c r="E662" t="s">
        <v>169</v>
      </c>
      <c r="F662" t="s">
        <v>307</v>
      </c>
      <c r="G662" t="s">
        <v>12</v>
      </c>
      <c r="H662">
        <v>6027.0</v>
      </c>
      <c r="I662" t="s">
        <v>31</v>
      </c>
      <c r="J662" t="s">
        <v>102</v>
      </c>
      <c r="K662" t="s">
        <v>71</v>
      </c>
      <c r="L662" t="s">
        <v>72</v>
      </c>
      <c r="M662">
        <v>17.98</v>
      </c>
    </row>
    <row r="663">
      <c r="A663" s="2">
        <v>45751</v>
      </c>
      <c r="B663">
        <v>2025.0</v>
      </c>
      <c r="C663" t="s">
        <v>315</v>
      </c>
      <c r="D663" t="s">
        <v>319</v>
      </c>
      <c r="E663" t="s">
        <v>183</v>
      </c>
      <c r="F663" t="s">
        <v>304</v>
      </c>
      <c r="G663" t="s">
        <v>9</v>
      </c>
      <c r="H663">
        <v>2480.0</v>
      </c>
      <c r="I663" t="s">
        <v>31</v>
      </c>
      <c r="J663" t="s">
        <v>70</v>
      </c>
      <c r="K663" t="s">
        <v>95</v>
      </c>
      <c r="L663" t="s">
        <v>96</v>
      </c>
      <c r="M663">
        <v>17.98</v>
      </c>
    </row>
    <row r="664">
      <c r="A664" s="2">
        <v>45385</v>
      </c>
      <c r="B664">
        <v>2024.0</v>
      </c>
      <c r="C664" t="s">
        <v>318</v>
      </c>
      <c r="D664" t="s">
        <v>316</v>
      </c>
      <c r="E664" t="s">
        <v>225</v>
      </c>
      <c r="F664" t="s">
        <v>308</v>
      </c>
      <c r="G664" t="s">
        <v>13</v>
      </c>
      <c r="H664">
        <v>5607.0</v>
      </c>
      <c r="I664" t="s">
        <v>31</v>
      </c>
      <c r="J664" t="s">
        <v>227</v>
      </c>
      <c r="K664" t="s">
        <v>95</v>
      </c>
      <c r="L664" t="s">
        <v>96</v>
      </c>
      <c r="M664">
        <v>17.98</v>
      </c>
    </row>
    <row r="665">
      <c r="A665" s="2">
        <v>45654</v>
      </c>
      <c r="B665">
        <v>2025.0</v>
      </c>
      <c r="C665" t="s">
        <v>315</v>
      </c>
      <c r="D665" t="s">
        <v>319</v>
      </c>
      <c r="E665" t="s">
        <v>114</v>
      </c>
      <c r="F665" t="s">
        <v>304</v>
      </c>
      <c r="G665" t="s">
        <v>9</v>
      </c>
      <c r="H665">
        <v>2031.0</v>
      </c>
      <c r="I665" t="s">
        <v>31</v>
      </c>
      <c r="J665" t="s">
        <v>99</v>
      </c>
      <c r="K665" t="s">
        <v>46</v>
      </c>
      <c r="L665" t="s">
        <v>47</v>
      </c>
      <c r="M665">
        <v>17.98</v>
      </c>
    </row>
    <row r="666">
      <c r="A666" s="2">
        <v>46019</v>
      </c>
      <c r="B666">
        <v>2026.0</v>
      </c>
      <c r="C666" t="s">
        <v>321</v>
      </c>
      <c r="D666" t="s">
        <v>316</v>
      </c>
      <c r="E666" t="s">
        <v>258</v>
      </c>
      <c r="F666" t="s">
        <v>309</v>
      </c>
      <c r="G666" t="s">
        <v>14</v>
      </c>
      <c r="H666">
        <v>870.0</v>
      </c>
      <c r="I666" t="s">
        <v>31</v>
      </c>
      <c r="J666" t="s">
        <v>145</v>
      </c>
      <c r="K666" t="s">
        <v>71</v>
      </c>
      <c r="L666" t="s">
        <v>72</v>
      </c>
      <c r="M666">
        <v>17.990000000000002</v>
      </c>
    </row>
    <row r="667">
      <c r="A667" s="2">
        <v>45878</v>
      </c>
      <c r="B667">
        <v>2026.0</v>
      </c>
      <c r="C667" t="s">
        <v>321</v>
      </c>
      <c r="D667" t="s">
        <v>316</v>
      </c>
      <c r="E667" t="s">
        <v>250</v>
      </c>
      <c r="F667" t="s">
        <v>305</v>
      </c>
      <c r="G667" t="s">
        <v>10</v>
      </c>
      <c r="H667">
        <v>3550.0</v>
      </c>
      <c r="I667" t="s">
        <v>31</v>
      </c>
      <c r="J667" t="s">
        <v>37</v>
      </c>
      <c r="K667" t="s">
        <v>46</v>
      </c>
      <c r="L667" t="s">
        <v>47</v>
      </c>
      <c r="M667">
        <v>17.990000000000002</v>
      </c>
    </row>
    <row r="668">
      <c r="A668" s="2">
        <v>45325</v>
      </c>
      <c r="B668">
        <v>2024.0</v>
      </c>
      <c r="C668" t="s">
        <v>318</v>
      </c>
      <c r="D668" t="s">
        <v>316</v>
      </c>
      <c r="E668" t="s">
        <v>232</v>
      </c>
      <c r="F668" t="s">
        <v>304</v>
      </c>
      <c r="G668" t="s">
        <v>9</v>
      </c>
      <c r="H668">
        <v>2800.0</v>
      </c>
      <c r="I668" t="s">
        <v>31</v>
      </c>
      <c r="J668" t="s">
        <v>75</v>
      </c>
      <c r="K668" t="s">
        <v>43</v>
      </c>
      <c r="L668" t="s">
        <v>44</v>
      </c>
      <c r="M668">
        <v>17.990000000000002</v>
      </c>
    </row>
    <row r="669">
      <c r="A669" s="2">
        <v>45709</v>
      </c>
      <c r="B669">
        <v>2025.0</v>
      </c>
      <c r="C669" t="s">
        <v>315</v>
      </c>
      <c r="D669" t="s">
        <v>316</v>
      </c>
      <c r="E669" t="s">
        <v>191</v>
      </c>
      <c r="F669" t="s">
        <v>305</v>
      </c>
      <c r="G669" t="s">
        <v>10</v>
      </c>
      <c r="H669">
        <v>3030.0</v>
      </c>
      <c r="I669" t="s">
        <v>31</v>
      </c>
      <c r="J669" t="s">
        <v>120</v>
      </c>
      <c r="K669" t="s">
        <v>43</v>
      </c>
      <c r="L669" t="s">
        <v>44</v>
      </c>
      <c r="M669">
        <v>17.990000000000002</v>
      </c>
    </row>
    <row r="670">
      <c r="A670" s="2">
        <v>45506</v>
      </c>
      <c r="B670">
        <v>2025.0</v>
      </c>
      <c r="C670" t="s">
        <v>315</v>
      </c>
      <c r="D670" t="s">
        <v>316</v>
      </c>
      <c r="E670" t="s">
        <v>203</v>
      </c>
      <c r="F670" t="s">
        <v>305</v>
      </c>
      <c r="G670" t="s">
        <v>10</v>
      </c>
      <c r="H670">
        <v>3175.0</v>
      </c>
      <c r="I670" t="s">
        <v>31</v>
      </c>
      <c r="J670" t="s">
        <v>89</v>
      </c>
      <c r="K670" t="s">
        <v>33</v>
      </c>
      <c r="L670" t="s">
        <v>34</v>
      </c>
      <c r="M670">
        <v>18.0</v>
      </c>
    </row>
    <row r="671">
      <c r="A671" s="2">
        <v>45652</v>
      </c>
      <c r="B671">
        <v>2025.0</v>
      </c>
      <c r="C671" t="s">
        <v>315</v>
      </c>
      <c r="D671" t="s">
        <v>316</v>
      </c>
      <c r="E671" t="s">
        <v>228</v>
      </c>
      <c r="F671" t="s">
        <v>306</v>
      </c>
      <c r="G671" t="s">
        <v>11</v>
      </c>
      <c r="H671">
        <v>4680.0</v>
      </c>
      <c r="I671" t="s">
        <v>31</v>
      </c>
      <c r="J671" t="s">
        <v>32</v>
      </c>
      <c r="K671" t="s">
        <v>43</v>
      </c>
      <c r="L671" t="s">
        <v>44</v>
      </c>
      <c r="M671">
        <v>18.0</v>
      </c>
    </row>
    <row r="672">
      <c r="A672" s="2">
        <v>45300</v>
      </c>
      <c r="B672">
        <v>2024.0</v>
      </c>
      <c r="C672" t="s">
        <v>318</v>
      </c>
      <c r="D672" t="s">
        <v>316</v>
      </c>
      <c r="E672" t="s">
        <v>105</v>
      </c>
      <c r="F672" t="s">
        <v>304</v>
      </c>
      <c r="G672" t="s">
        <v>9</v>
      </c>
      <c r="H672">
        <v>2541.0</v>
      </c>
      <c r="I672" t="s">
        <v>31</v>
      </c>
      <c r="J672" t="s">
        <v>107</v>
      </c>
      <c r="K672" t="s">
        <v>71</v>
      </c>
      <c r="L672" t="s">
        <v>72</v>
      </c>
      <c r="M672">
        <v>18.0</v>
      </c>
    </row>
    <row r="673">
      <c r="A673" s="2">
        <v>45885</v>
      </c>
      <c r="B673">
        <v>2026.0</v>
      </c>
      <c r="C673" t="s">
        <v>321</v>
      </c>
      <c r="D673" t="s">
        <v>316</v>
      </c>
      <c r="E673" t="s">
        <v>85</v>
      </c>
      <c r="F673" t="s">
        <v>304</v>
      </c>
      <c r="G673" t="s">
        <v>9</v>
      </c>
      <c r="H673">
        <v>2120.0</v>
      </c>
      <c r="I673" t="s">
        <v>31</v>
      </c>
      <c r="J673" t="s">
        <v>81</v>
      </c>
      <c r="K673" t="s">
        <v>43</v>
      </c>
      <c r="L673" t="s">
        <v>44</v>
      </c>
      <c r="M673">
        <v>18.01</v>
      </c>
    </row>
    <row r="674">
      <c r="A674" s="2">
        <v>45840</v>
      </c>
      <c r="B674">
        <v>2026.0</v>
      </c>
      <c r="C674" t="s">
        <v>321</v>
      </c>
      <c r="D674" t="s">
        <v>316</v>
      </c>
      <c r="E674" t="s">
        <v>118</v>
      </c>
      <c r="F674" t="s">
        <v>305</v>
      </c>
      <c r="G674" t="s">
        <v>10</v>
      </c>
      <c r="H674">
        <v>3076.0</v>
      </c>
      <c r="I674" t="s">
        <v>31</v>
      </c>
      <c r="J674" t="s">
        <v>120</v>
      </c>
      <c r="K674" t="s">
        <v>43</v>
      </c>
      <c r="L674" t="s">
        <v>44</v>
      </c>
      <c r="M674">
        <v>18.31</v>
      </c>
    </row>
    <row r="675">
      <c r="A675" s="2">
        <v>45519</v>
      </c>
      <c r="B675">
        <v>2025.0</v>
      </c>
      <c r="C675" t="s">
        <v>315</v>
      </c>
      <c r="D675" t="s">
        <v>316</v>
      </c>
      <c r="E675" t="s">
        <v>215</v>
      </c>
      <c r="F675" t="s">
        <v>310</v>
      </c>
      <c r="G675" t="s">
        <v>15</v>
      </c>
      <c r="H675">
        <v>7320.0</v>
      </c>
      <c r="I675" t="s">
        <v>31</v>
      </c>
      <c r="J675" t="s">
        <v>53</v>
      </c>
      <c r="K675" t="s">
        <v>43</v>
      </c>
      <c r="L675" t="s">
        <v>44</v>
      </c>
      <c r="M675">
        <v>18.5</v>
      </c>
    </row>
    <row r="676">
      <c r="A676" s="2">
        <v>45523</v>
      </c>
      <c r="B676">
        <v>2025.0</v>
      </c>
      <c r="C676" t="s">
        <v>315</v>
      </c>
      <c r="D676" t="s">
        <v>316</v>
      </c>
      <c r="E676" t="s">
        <v>232</v>
      </c>
      <c r="F676" t="s">
        <v>304</v>
      </c>
      <c r="G676" t="s">
        <v>9</v>
      </c>
      <c r="H676">
        <v>2800.0</v>
      </c>
      <c r="I676" t="s">
        <v>31</v>
      </c>
      <c r="J676" t="s">
        <v>75</v>
      </c>
      <c r="K676" t="s">
        <v>46</v>
      </c>
      <c r="L676" t="s">
        <v>47</v>
      </c>
      <c r="M676">
        <v>18.57</v>
      </c>
    </row>
    <row r="677">
      <c r="A677" s="2">
        <v>45508</v>
      </c>
      <c r="B677">
        <v>2025.0</v>
      </c>
      <c r="C677" t="s">
        <v>315</v>
      </c>
      <c r="D677" t="s">
        <v>316</v>
      </c>
      <c r="E677" t="s">
        <v>92</v>
      </c>
      <c r="F677" t="s">
        <v>305</v>
      </c>
      <c r="G677" t="s">
        <v>10</v>
      </c>
      <c r="H677">
        <v>3690.0</v>
      </c>
      <c r="I677" t="s">
        <v>31</v>
      </c>
      <c r="J677" t="s">
        <v>94</v>
      </c>
      <c r="K677" t="s">
        <v>112</v>
      </c>
      <c r="L677" t="s">
        <v>113</v>
      </c>
      <c r="M677">
        <v>18.58</v>
      </c>
    </row>
    <row r="678">
      <c r="A678" s="2">
        <v>45303</v>
      </c>
      <c r="B678">
        <v>2024.0</v>
      </c>
      <c r="C678" t="s">
        <v>318</v>
      </c>
      <c r="D678" t="s">
        <v>319</v>
      </c>
      <c r="E678" t="s">
        <v>110</v>
      </c>
      <c r="F678" t="s">
        <v>304</v>
      </c>
      <c r="G678" t="s">
        <v>9</v>
      </c>
      <c r="H678">
        <v>2101.0</v>
      </c>
      <c r="I678" t="s">
        <v>31</v>
      </c>
      <c r="J678" t="s">
        <v>81</v>
      </c>
      <c r="K678" t="s">
        <v>123</v>
      </c>
      <c r="L678" t="s">
        <v>124</v>
      </c>
      <c r="M678">
        <v>18.89</v>
      </c>
    </row>
    <row r="679">
      <c r="A679" s="2">
        <v>45810</v>
      </c>
      <c r="B679">
        <v>2025.0</v>
      </c>
      <c r="C679" t="s">
        <v>315</v>
      </c>
      <c r="D679" t="s">
        <v>316</v>
      </c>
      <c r="E679" t="s">
        <v>189</v>
      </c>
      <c r="F679" t="s">
        <v>304</v>
      </c>
      <c r="G679" t="s">
        <v>9</v>
      </c>
      <c r="H679">
        <v>2131.0</v>
      </c>
      <c r="I679" t="s">
        <v>31</v>
      </c>
      <c r="J679" t="s">
        <v>81</v>
      </c>
      <c r="K679" t="s">
        <v>33</v>
      </c>
      <c r="L679" t="s">
        <v>34</v>
      </c>
      <c r="M679">
        <v>18.950000000000003</v>
      </c>
    </row>
    <row r="680">
      <c r="A680" s="2">
        <v>45799</v>
      </c>
      <c r="B680">
        <v>2025.0</v>
      </c>
      <c r="C680" t="s">
        <v>315</v>
      </c>
      <c r="D680" t="s">
        <v>316</v>
      </c>
      <c r="E680" t="s">
        <v>240</v>
      </c>
      <c r="F680" t="s">
        <v>310</v>
      </c>
      <c r="G680" t="s">
        <v>15</v>
      </c>
      <c r="H680">
        <v>7010.0</v>
      </c>
      <c r="I680" t="s">
        <v>31</v>
      </c>
      <c r="J680" t="s">
        <v>53</v>
      </c>
      <c r="K680" t="s">
        <v>112</v>
      </c>
      <c r="L680" t="s">
        <v>113</v>
      </c>
      <c r="M680">
        <v>18.950000000000003</v>
      </c>
    </row>
    <row r="681">
      <c r="A681" s="2">
        <v>45674</v>
      </c>
      <c r="B681">
        <v>2025.0</v>
      </c>
      <c r="C681" t="s">
        <v>315</v>
      </c>
      <c r="D681" t="s">
        <v>316</v>
      </c>
      <c r="E681" t="s">
        <v>177</v>
      </c>
      <c r="F681" t="s">
        <v>307</v>
      </c>
      <c r="G681" t="s">
        <v>12</v>
      </c>
      <c r="H681">
        <v>6330.0</v>
      </c>
      <c r="I681" t="s">
        <v>31</v>
      </c>
      <c r="J681" t="s">
        <v>162</v>
      </c>
      <c r="K681" t="s">
        <v>38</v>
      </c>
      <c r="L681" t="s">
        <v>39</v>
      </c>
      <c r="M681">
        <v>18.97</v>
      </c>
    </row>
    <row r="682">
      <c r="A682" s="2">
        <v>45940</v>
      </c>
      <c r="B682">
        <v>2026.0</v>
      </c>
      <c r="C682" t="s">
        <v>321</v>
      </c>
      <c r="D682" t="s">
        <v>319</v>
      </c>
      <c r="E682" t="s">
        <v>160</v>
      </c>
      <c r="F682" t="s">
        <v>307</v>
      </c>
      <c r="G682" t="s">
        <v>12</v>
      </c>
      <c r="H682">
        <v>6280.0</v>
      </c>
      <c r="I682" t="s">
        <v>31</v>
      </c>
      <c r="J682" t="s">
        <v>162</v>
      </c>
      <c r="K682" t="s">
        <v>71</v>
      </c>
      <c r="L682" t="s">
        <v>72</v>
      </c>
      <c r="M682">
        <v>18.98</v>
      </c>
    </row>
    <row r="683">
      <c r="A683" s="2">
        <v>45498</v>
      </c>
      <c r="B683">
        <v>2025.0</v>
      </c>
      <c r="C683" t="s">
        <v>315</v>
      </c>
      <c r="D683" t="s">
        <v>316</v>
      </c>
      <c r="E683" t="s">
        <v>187</v>
      </c>
      <c r="F683" t="s">
        <v>306</v>
      </c>
      <c r="G683" t="s">
        <v>11</v>
      </c>
      <c r="H683">
        <v>4870.0</v>
      </c>
      <c r="I683" t="s">
        <v>31</v>
      </c>
      <c r="J683" t="s">
        <v>78</v>
      </c>
      <c r="K683" t="s">
        <v>38</v>
      </c>
      <c r="L683" t="s">
        <v>39</v>
      </c>
      <c r="M683">
        <v>18.990000000000002</v>
      </c>
    </row>
    <row r="684">
      <c r="A684" s="2">
        <v>45760</v>
      </c>
      <c r="B684">
        <v>2025.0</v>
      </c>
      <c r="C684" t="s">
        <v>315</v>
      </c>
      <c r="D684" t="s">
        <v>316</v>
      </c>
      <c r="E684" t="s">
        <v>254</v>
      </c>
      <c r="F684" t="s">
        <v>308</v>
      </c>
      <c r="G684" t="s">
        <v>13</v>
      </c>
      <c r="H684">
        <v>5343.0</v>
      </c>
      <c r="I684" t="s">
        <v>31</v>
      </c>
      <c r="J684" t="s">
        <v>227</v>
      </c>
      <c r="K684" t="s">
        <v>95</v>
      </c>
      <c r="L684" t="s">
        <v>96</v>
      </c>
      <c r="M684">
        <v>19.0</v>
      </c>
    </row>
    <row r="685">
      <c r="A685" s="2">
        <v>45461</v>
      </c>
      <c r="B685">
        <v>2024.0</v>
      </c>
      <c r="C685" t="s">
        <v>318</v>
      </c>
      <c r="D685" t="s">
        <v>316</v>
      </c>
      <c r="E685" t="s">
        <v>177</v>
      </c>
      <c r="F685" t="s">
        <v>307</v>
      </c>
      <c r="G685" t="s">
        <v>12</v>
      </c>
      <c r="H685">
        <v>6330.0</v>
      </c>
      <c r="I685" t="s">
        <v>31</v>
      </c>
      <c r="J685" t="s">
        <v>162</v>
      </c>
      <c r="K685" t="s">
        <v>46</v>
      </c>
      <c r="L685" t="s">
        <v>47</v>
      </c>
      <c r="M685">
        <v>19.0</v>
      </c>
    </row>
    <row r="686">
      <c r="A686" s="2">
        <v>45441</v>
      </c>
      <c r="B686">
        <v>2024.0</v>
      </c>
      <c r="C686" t="s">
        <v>318</v>
      </c>
      <c r="D686" t="s">
        <v>316</v>
      </c>
      <c r="E686" t="s">
        <v>137</v>
      </c>
      <c r="F686" t="s">
        <v>305</v>
      </c>
      <c r="G686" t="s">
        <v>10</v>
      </c>
      <c r="H686">
        <v>3134.0</v>
      </c>
      <c r="I686" t="s">
        <v>31</v>
      </c>
      <c r="J686" t="s">
        <v>89</v>
      </c>
      <c r="K686" t="s">
        <v>38</v>
      </c>
      <c r="L686" t="s">
        <v>39</v>
      </c>
      <c r="M686">
        <v>19.0</v>
      </c>
    </row>
    <row r="687">
      <c r="A687" s="2">
        <v>46012</v>
      </c>
      <c r="B687">
        <v>2026.0</v>
      </c>
      <c r="C687" t="s">
        <v>321</v>
      </c>
      <c r="D687" t="s">
        <v>319</v>
      </c>
      <c r="E687" t="s">
        <v>105</v>
      </c>
      <c r="F687" t="s">
        <v>304</v>
      </c>
      <c r="G687" t="s">
        <v>9</v>
      </c>
      <c r="H687">
        <v>2541.0</v>
      </c>
      <c r="I687" t="s">
        <v>31</v>
      </c>
      <c r="J687" t="s">
        <v>107</v>
      </c>
      <c r="K687" t="s">
        <v>43</v>
      </c>
      <c r="L687" t="s">
        <v>44</v>
      </c>
      <c r="M687">
        <v>19.18</v>
      </c>
    </row>
    <row r="688">
      <c r="A688" s="2">
        <v>45929</v>
      </c>
      <c r="B688">
        <v>2026.0</v>
      </c>
      <c r="C688" t="s">
        <v>321</v>
      </c>
      <c r="D688" t="s">
        <v>316</v>
      </c>
      <c r="E688" t="s">
        <v>254</v>
      </c>
      <c r="F688" t="s">
        <v>308</v>
      </c>
      <c r="G688" t="s">
        <v>13</v>
      </c>
      <c r="H688">
        <v>5343.0</v>
      </c>
      <c r="I688" t="s">
        <v>31</v>
      </c>
      <c r="J688" t="s">
        <v>227</v>
      </c>
      <c r="K688" t="s">
        <v>43</v>
      </c>
      <c r="L688" t="s">
        <v>44</v>
      </c>
      <c r="M688">
        <v>19.2</v>
      </c>
    </row>
    <row r="689">
      <c r="A689" s="2">
        <v>45580</v>
      </c>
      <c r="B689">
        <v>2025.0</v>
      </c>
      <c r="C689" t="s">
        <v>315</v>
      </c>
      <c r="D689" t="s">
        <v>319</v>
      </c>
      <c r="E689" t="s">
        <v>154</v>
      </c>
      <c r="F689" t="s">
        <v>306</v>
      </c>
      <c r="G689" t="s">
        <v>11</v>
      </c>
      <c r="H689">
        <v>4551.0</v>
      </c>
      <c r="I689" t="s">
        <v>31</v>
      </c>
      <c r="J689" t="s">
        <v>84</v>
      </c>
      <c r="K689" t="s">
        <v>33</v>
      </c>
      <c r="L689" t="s">
        <v>34</v>
      </c>
      <c r="M689">
        <v>19.34</v>
      </c>
    </row>
    <row r="690">
      <c r="A690" s="2">
        <v>45942</v>
      </c>
      <c r="B690">
        <v>2026.0</v>
      </c>
      <c r="C690" t="s">
        <v>321</v>
      </c>
      <c r="D690" t="s">
        <v>316</v>
      </c>
      <c r="E690" t="s">
        <v>240</v>
      </c>
      <c r="F690" t="s">
        <v>310</v>
      </c>
      <c r="G690" t="s">
        <v>15</v>
      </c>
      <c r="H690">
        <v>7010.0</v>
      </c>
      <c r="I690" t="s">
        <v>31</v>
      </c>
      <c r="J690" t="s">
        <v>53</v>
      </c>
      <c r="K690" t="s">
        <v>123</v>
      </c>
      <c r="L690" t="s">
        <v>124</v>
      </c>
      <c r="M690">
        <v>19.39</v>
      </c>
    </row>
    <row r="691">
      <c r="A691" s="2">
        <v>45482</v>
      </c>
      <c r="B691">
        <v>2025.0</v>
      </c>
      <c r="C691" t="s">
        <v>315</v>
      </c>
      <c r="D691" t="s">
        <v>316</v>
      </c>
      <c r="E691" t="s">
        <v>217</v>
      </c>
      <c r="F691" t="s">
        <v>305</v>
      </c>
      <c r="G691" t="s">
        <v>10</v>
      </c>
      <c r="H691">
        <v>3136.0</v>
      </c>
      <c r="I691" t="s">
        <v>31</v>
      </c>
      <c r="J691" t="s">
        <v>89</v>
      </c>
      <c r="K691" t="s">
        <v>95</v>
      </c>
      <c r="L691" t="s">
        <v>96</v>
      </c>
      <c r="M691">
        <v>19.48</v>
      </c>
    </row>
    <row r="692">
      <c r="A692" s="2">
        <v>45783</v>
      </c>
      <c r="B692">
        <v>2025.0</v>
      </c>
      <c r="C692" t="s">
        <v>315</v>
      </c>
      <c r="D692" t="s">
        <v>316</v>
      </c>
      <c r="E692" t="s">
        <v>131</v>
      </c>
      <c r="F692" t="s">
        <v>306</v>
      </c>
      <c r="G692" t="s">
        <v>11</v>
      </c>
      <c r="H692">
        <v>4655.0</v>
      </c>
      <c r="I692" t="s">
        <v>31</v>
      </c>
      <c r="J692" t="s">
        <v>32</v>
      </c>
      <c r="K692" t="s">
        <v>71</v>
      </c>
      <c r="L692" t="s">
        <v>72</v>
      </c>
      <c r="M692">
        <v>19.490000000000002</v>
      </c>
    </row>
    <row r="693">
      <c r="A693" s="2">
        <v>45615</v>
      </c>
      <c r="B693">
        <v>2025.0</v>
      </c>
      <c r="C693" t="s">
        <v>315</v>
      </c>
      <c r="D693" t="s">
        <v>316</v>
      </c>
      <c r="E693" t="s">
        <v>213</v>
      </c>
      <c r="F693" t="s">
        <v>306</v>
      </c>
      <c r="G693" t="s">
        <v>11</v>
      </c>
      <c r="H693">
        <v>4740.0</v>
      </c>
      <c r="I693" t="s">
        <v>31</v>
      </c>
      <c r="J693" t="s">
        <v>32</v>
      </c>
      <c r="K693" t="s">
        <v>33</v>
      </c>
      <c r="L693" t="s">
        <v>34</v>
      </c>
      <c r="M693">
        <v>19.55</v>
      </c>
    </row>
    <row r="694">
      <c r="A694" s="2">
        <v>45376</v>
      </c>
      <c r="B694">
        <v>2024.0</v>
      </c>
      <c r="C694" t="s">
        <v>318</v>
      </c>
      <c r="D694" t="s">
        <v>316</v>
      </c>
      <c r="E694" t="s">
        <v>127</v>
      </c>
      <c r="F694" t="s">
        <v>306</v>
      </c>
      <c r="G694" t="s">
        <v>11</v>
      </c>
      <c r="H694">
        <v>4802.0</v>
      </c>
      <c r="I694" t="s">
        <v>31</v>
      </c>
      <c r="J694" t="s">
        <v>78</v>
      </c>
      <c r="K694" t="s">
        <v>112</v>
      </c>
      <c r="L694" t="s">
        <v>113</v>
      </c>
      <c r="M694">
        <v>19.9</v>
      </c>
    </row>
    <row r="695">
      <c r="A695" s="2">
        <v>45766</v>
      </c>
      <c r="B695">
        <v>2025.0</v>
      </c>
      <c r="C695" t="s">
        <v>315</v>
      </c>
      <c r="D695" t="s">
        <v>316</v>
      </c>
      <c r="E695" t="s">
        <v>262</v>
      </c>
      <c r="F695" t="s">
        <v>305</v>
      </c>
      <c r="G695" t="s">
        <v>10</v>
      </c>
      <c r="H695">
        <v>3018.0</v>
      </c>
      <c r="I695" t="s">
        <v>31</v>
      </c>
      <c r="J695" t="s">
        <v>120</v>
      </c>
      <c r="K695" t="s">
        <v>112</v>
      </c>
      <c r="L695" t="s">
        <v>113</v>
      </c>
      <c r="M695">
        <v>19.95</v>
      </c>
    </row>
    <row r="696">
      <c r="A696" s="2">
        <v>45726</v>
      </c>
      <c r="B696">
        <v>2025.0</v>
      </c>
      <c r="C696" t="s">
        <v>315</v>
      </c>
      <c r="D696" t="s">
        <v>316</v>
      </c>
      <c r="E696" t="s">
        <v>234</v>
      </c>
      <c r="F696" t="s">
        <v>304</v>
      </c>
      <c r="G696" t="s">
        <v>9</v>
      </c>
      <c r="H696">
        <v>2158.0</v>
      </c>
      <c r="I696" t="s">
        <v>31</v>
      </c>
      <c r="J696" t="s">
        <v>81</v>
      </c>
      <c r="K696" t="s">
        <v>33</v>
      </c>
      <c r="L696" t="s">
        <v>34</v>
      </c>
      <c r="M696">
        <v>19.95</v>
      </c>
    </row>
    <row r="697">
      <c r="A697" s="2">
        <v>45855</v>
      </c>
      <c r="B697">
        <v>2026.0</v>
      </c>
      <c r="C697" t="s">
        <v>321</v>
      </c>
      <c r="D697" t="s">
        <v>319</v>
      </c>
      <c r="E697" t="s">
        <v>114</v>
      </c>
      <c r="F697" t="s">
        <v>304</v>
      </c>
      <c r="G697" t="s">
        <v>9</v>
      </c>
      <c r="H697">
        <v>2031.0</v>
      </c>
      <c r="I697" t="s">
        <v>31</v>
      </c>
      <c r="J697" t="s">
        <v>99</v>
      </c>
      <c r="K697" t="s">
        <v>95</v>
      </c>
      <c r="L697" t="s">
        <v>96</v>
      </c>
      <c r="M697">
        <v>19.95</v>
      </c>
    </row>
    <row r="698">
      <c r="A698" s="2">
        <v>45956</v>
      </c>
      <c r="B698">
        <v>2026.0</v>
      </c>
      <c r="C698" t="s">
        <v>321</v>
      </c>
      <c r="D698" t="s">
        <v>316</v>
      </c>
      <c r="E698" t="s">
        <v>116</v>
      </c>
      <c r="F698" t="s">
        <v>304</v>
      </c>
      <c r="G698" t="s">
        <v>9</v>
      </c>
      <c r="H698">
        <v>2485.0</v>
      </c>
      <c r="I698" t="s">
        <v>31</v>
      </c>
      <c r="J698" t="s">
        <v>70</v>
      </c>
      <c r="K698" t="s">
        <v>33</v>
      </c>
      <c r="L698" t="s">
        <v>34</v>
      </c>
      <c r="M698">
        <v>19.95</v>
      </c>
    </row>
    <row r="699">
      <c r="A699" s="2">
        <v>45808</v>
      </c>
      <c r="B699">
        <v>2025.0</v>
      </c>
      <c r="C699" t="s">
        <v>315</v>
      </c>
      <c r="D699" t="s">
        <v>316</v>
      </c>
      <c r="E699" t="s">
        <v>165</v>
      </c>
      <c r="F699" t="s">
        <v>304</v>
      </c>
      <c r="G699" t="s">
        <v>9</v>
      </c>
      <c r="H699">
        <v>2064.0</v>
      </c>
      <c r="I699" t="s">
        <v>31</v>
      </c>
      <c r="J699" t="s">
        <v>99</v>
      </c>
      <c r="K699" t="s">
        <v>112</v>
      </c>
      <c r="L699" t="s">
        <v>113</v>
      </c>
      <c r="M699">
        <v>19.96</v>
      </c>
    </row>
    <row r="700">
      <c r="A700" s="2">
        <v>45393</v>
      </c>
      <c r="B700">
        <v>2024.0</v>
      </c>
      <c r="C700" t="s">
        <v>318</v>
      </c>
      <c r="D700" t="s">
        <v>316</v>
      </c>
      <c r="E700" t="s">
        <v>135</v>
      </c>
      <c r="F700" t="s">
        <v>311</v>
      </c>
      <c r="G700" t="s">
        <v>16</v>
      </c>
      <c r="H700">
        <v>2609.0</v>
      </c>
      <c r="I700" t="s">
        <v>31</v>
      </c>
      <c r="J700" t="s">
        <v>107</v>
      </c>
      <c r="K700" t="s">
        <v>95</v>
      </c>
      <c r="L700" t="s">
        <v>96</v>
      </c>
      <c r="M700">
        <v>19.96</v>
      </c>
    </row>
    <row r="701">
      <c r="A701" s="2">
        <v>45987</v>
      </c>
      <c r="B701">
        <v>2026.0</v>
      </c>
      <c r="C701" t="s">
        <v>321</v>
      </c>
      <c r="D701" t="s">
        <v>316</v>
      </c>
      <c r="E701" t="s">
        <v>171</v>
      </c>
      <c r="F701" t="s">
        <v>305</v>
      </c>
      <c r="G701" t="s">
        <v>10</v>
      </c>
      <c r="H701">
        <v>3500.0</v>
      </c>
      <c r="I701" t="s">
        <v>31</v>
      </c>
      <c r="J701" t="s">
        <v>37</v>
      </c>
      <c r="K701" t="s">
        <v>33</v>
      </c>
      <c r="L701" t="s">
        <v>34</v>
      </c>
      <c r="M701">
        <v>19.96</v>
      </c>
    </row>
    <row r="702">
      <c r="A702" s="2">
        <v>45364</v>
      </c>
      <c r="B702">
        <v>2024.0</v>
      </c>
      <c r="C702" t="s">
        <v>318</v>
      </c>
      <c r="D702" t="s">
        <v>319</v>
      </c>
      <c r="E702" t="s">
        <v>110</v>
      </c>
      <c r="F702" t="s">
        <v>304</v>
      </c>
      <c r="G702" t="s">
        <v>9</v>
      </c>
      <c r="H702">
        <v>2101.0</v>
      </c>
      <c r="I702" t="s">
        <v>31</v>
      </c>
      <c r="J702" t="s">
        <v>81</v>
      </c>
      <c r="K702" t="s">
        <v>33</v>
      </c>
      <c r="L702" t="s">
        <v>34</v>
      </c>
      <c r="M702">
        <v>19.96</v>
      </c>
    </row>
    <row r="703">
      <c r="A703" s="2">
        <v>45697</v>
      </c>
      <c r="B703">
        <v>2025.0</v>
      </c>
      <c r="C703" t="s">
        <v>315</v>
      </c>
      <c r="D703" t="s">
        <v>316</v>
      </c>
      <c r="E703" t="s">
        <v>238</v>
      </c>
      <c r="F703" t="s">
        <v>308</v>
      </c>
      <c r="G703" t="s">
        <v>13</v>
      </c>
      <c r="H703">
        <v>5082.0</v>
      </c>
      <c r="I703" t="s">
        <v>31</v>
      </c>
      <c r="J703" t="s">
        <v>42</v>
      </c>
      <c r="K703" t="s">
        <v>112</v>
      </c>
      <c r="L703" t="s">
        <v>113</v>
      </c>
      <c r="M703">
        <v>19.96</v>
      </c>
    </row>
    <row r="704">
      <c r="A704" s="2">
        <v>45984</v>
      </c>
      <c r="B704">
        <v>2026.0</v>
      </c>
      <c r="C704" t="s">
        <v>321</v>
      </c>
      <c r="D704" t="s">
        <v>319</v>
      </c>
      <c r="E704" t="s">
        <v>64</v>
      </c>
      <c r="F704" t="s">
        <v>306</v>
      </c>
      <c r="G704" t="s">
        <v>11</v>
      </c>
      <c r="H704">
        <v>4215.0</v>
      </c>
      <c r="I704" t="s">
        <v>31</v>
      </c>
      <c r="J704" t="s">
        <v>61</v>
      </c>
      <c r="K704" t="s">
        <v>33</v>
      </c>
      <c r="L704" t="s">
        <v>34</v>
      </c>
      <c r="M704">
        <v>19.96</v>
      </c>
    </row>
    <row r="705">
      <c r="A705" s="2">
        <v>45714</v>
      </c>
      <c r="B705">
        <v>2025.0</v>
      </c>
      <c r="C705" t="s">
        <v>315</v>
      </c>
      <c r="D705" t="s">
        <v>319</v>
      </c>
      <c r="E705" t="s">
        <v>48</v>
      </c>
      <c r="F705" t="s">
        <v>307</v>
      </c>
      <c r="G705" t="s">
        <v>12</v>
      </c>
      <c r="H705">
        <v>6725.0</v>
      </c>
      <c r="I705" t="s">
        <v>31</v>
      </c>
      <c r="J705" t="s">
        <v>50</v>
      </c>
      <c r="K705" t="s">
        <v>38</v>
      </c>
      <c r="L705" t="s">
        <v>39</v>
      </c>
      <c r="M705">
        <v>19.98</v>
      </c>
    </row>
    <row r="706">
      <c r="A706" s="2">
        <v>45867</v>
      </c>
      <c r="B706">
        <v>2026.0</v>
      </c>
      <c r="C706" t="s">
        <v>321</v>
      </c>
      <c r="D706" t="s">
        <v>316</v>
      </c>
      <c r="E706" t="s">
        <v>197</v>
      </c>
      <c r="F706" t="s">
        <v>304</v>
      </c>
      <c r="G706" t="s">
        <v>9</v>
      </c>
      <c r="H706">
        <v>2560.0</v>
      </c>
      <c r="I706" t="s">
        <v>31</v>
      </c>
      <c r="J706" t="s">
        <v>107</v>
      </c>
      <c r="K706" t="s">
        <v>71</v>
      </c>
      <c r="L706" t="s">
        <v>72</v>
      </c>
      <c r="M706">
        <v>19.98</v>
      </c>
    </row>
    <row r="707">
      <c r="A707" s="2">
        <v>45616</v>
      </c>
      <c r="B707">
        <v>2025.0</v>
      </c>
      <c r="C707" t="s">
        <v>315</v>
      </c>
      <c r="D707" t="s">
        <v>316</v>
      </c>
      <c r="E707" t="s">
        <v>240</v>
      </c>
      <c r="F707" t="s">
        <v>310</v>
      </c>
      <c r="G707" t="s">
        <v>15</v>
      </c>
      <c r="H707">
        <v>7010.0</v>
      </c>
      <c r="I707" t="s">
        <v>31</v>
      </c>
      <c r="J707" t="s">
        <v>53</v>
      </c>
      <c r="K707" t="s">
        <v>43</v>
      </c>
      <c r="L707" t="s">
        <v>44</v>
      </c>
      <c r="M707">
        <v>19.98</v>
      </c>
    </row>
    <row r="708">
      <c r="A708" s="2">
        <v>45617</v>
      </c>
      <c r="B708">
        <v>2025.0</v>
      </c>
      <c r="C708" t="s">
        <v>315</v>
      </c>
      <c r="D708" t="s">
        <v>319</v>
      </c>
      <c r="E708" t="s">
        <v>110</v>
      </c>
      <c r="F708" t="s">
        <v>304</v>
      </c>
      <c r="G708" t="s">
        <v>9</v>
      </c>
      <c r="H708">
        <v>2101.0</v>
      </c>
      <c r="I708" t="s">
        <v>31</v>
      </c>
      <c r="J708" t="s">
        <v>81</v>
      </c>
      <c r="K708" t="s">
        <v>71</v>
      </c>
      <c r="L708" t="s">
        <v>72</v>
      </c>
      <c r="M708">
        <v>19.98</v>
      </c>
    </row>
    <row r="709">
      <c r="A709" s="2">
        <v>45818</v>
      </c>
      <c r="B709">
        <v>2025.0</v>
      </c>
      <c r="C709" t="s">
        <v>315</v>
      </c>
      <c r="D709" t="s">
        <v>316</v>
      </c>
      <c r="E709" t="s">
        <v>252</v>
      </c>
      <c r="F709" t="s">
        <v>305</v>
      </c>
      <c r="G709" t="s">
        <v>10</v>
      </c>
      <c r="H709">
        <v>3630.0</v>
      </c>
      <c r="I709" t="s">
        <v>31</v>
      </c>
      <c r="J709" t="s">
        <v>94</v>
      </c>
      <c r="K709" t="s">
        <v>57</v>
      </c>
      <c r="L709" t="s">
        <v>58</v>
      </c>
      <c r="M709">
        <v>19.98</v>
      </c>
    </row>
    <row r="710">
      <c r="A710" s="2">
        <v>45871</v>
      </c>
      <c r="B710">
        <v>2026.0</v>
      </c>
      <c r="C710" t="s">
        <v>321</v>
      </c>
      <c r="D710" t="s">
        <v>316</v>
      </c>
      <c r="E710" t="s">
        <v>29</v>
      </c>
      <c r="F710" t="s">
        <v>306</v>
      </c>
      <c r="G710" t="s">
        <v>11</v>
      </c>
      <c r="H710">
        <v>4703.0</v>
      </c>
      <c r="I710" t="s">
        <v>31</v>
      </c>
      <c r="J710" t="s">
        <v>32</v>
      </c>
      <c r="K710" t="s">
        <v>71</v>
      </c>
      <c r="L710" t="s">
        <v>72</v>
      </c>
      <c r="M710">
        <v>19.98</v>
      </c>
    </row>
    <row r="711">
      <c r="A711" s="2">
        <v>45371</v>
      </c>
      <c r="B711">
        <v>2024.0</v>
      </c>
      <c r="C711" t="s">
        <v>318</v>
      </c>
      <c r="D711" t="s">
        <v>316</v>
      </c>
      <c r="E711" t="s">
        <v>127</v>
      </c>
      <c r="F711" t="s">
        <v>306</v>
      </c>
      <c r="G711" t="s">
        <v>11</v>
      </c>
      <c r="H711">
        <v>4802.0</v>
      </c>
      <c r="I711" t="s">
        <v>31</v>
      </c>
      <c r="J711" t="s">
        <v>78</v>
      </c>
      <c r="K711" t="s">
        <v>43</v>
      </c>
      <c r="L711" t="s">
        <v>44</v>
      </c>
      <c r="M711">
        <v>19.99</v>
      </c>
    </row>
    <row r="712">
      <c r="A712" s="2">
        <v>45426</v>
      </c>
      <c r="B712">
        <v>2024.0</v>
      </c>
      <c r="C712" t="s">
        <v>318</v>
      </c>
      <c r="D712" t="s">
        <v>316</v>
      </c>
      <c r="E712" t="s">
        <v>240</v>
      </c>
      <c r="F712" t="s">
        <v>310</v>
      </c>
      <c r="G712" t="s">
        <v>15</v>
      </c>
      <c r="H712">
        <v>7010.0</v>
      </c>
      <c r="I712" t="s">
        <v>31</v>
      </c>
      <c r="J712" t="s">
        <v>53</v>
      </c>
      <c r="K712" t="s">
        <v>123</v>
      </c>
      <c r="L712" t="s">
        <v>124</v>
      </c>
      <c r="M712">
        <v>19.99</v>
      </c>
    </row>
    <row r="713">
      <c r="A713" s="2">
        <v>45615</v>
      </c>
      <c r="B713">
        <v>2025.0</v>
      </c>
      <c r="C713" t="s">
        <v>315</v>
      </c>
      <c r="D713" t="s">
        <v>316</v>
      </c>
      <c r="E713" t="s">
        <v>201</v>
      </c>
      <c r="F713" t="s">
        <v>305</v>
      </c>
      <c r="G713" t="s">
        <v>10</v>
      </c>
      <c r="H713">
        <v>3131.0</v>
      </c>
      <c r="I713" t="s">
        <v>31</v>
      </c>
      <c r="J713" t="s">
        <v>89</v>
      </c>
      <c r="K713" t="s">
        <v>43</v>
      </c>
      <c r="L713" t="s">
        <v>44</v>
      </c>
      <c r="M713">
        <v>19.99</v>
      </c>
    </row>
    <row r="714">
      <c r="A714" s="2">
        <v>45381</v>
      </c>
      <c r="B714">
        <v>2024.0</v>
      </c>
      <c r="C714" t="s">
        <v>318</v>
      </c>
      <c r="D714" t="s">
        <v>316</v>
      </c>
      <c r="E714" t="s">
        <v>195</v>
      </c>
      <c r="F714" t="s">
        <v>306</v>
      </c>
      <c r="G714" t="s">
        <v>11</v>
      </c>
      <c r="H714">
        <v>4700.0</v>
      </c>
      <c r="I714" t="s">
        <v>31</v>
      </c>
      <c r="J714" t="s">
        <v>32</v>
      </c>
      <c r="K714" t="s">
        <v>95</v>
      </c>
      <c r="L714" t="s">
        <v>96</v>
      </c>
      <c r="M714">
        <v>19.99</v>
      </c>
    </row>
    <row r="715">
      <c r="A715" s="2">
        <v>45861</v>
      </c>
      <c r="B715">
        <v>2026.0</v>
      </c>
      <c r="C715" t="s">
        <v>321</v>
      </c>
      <c r="D715" t="s">
        <v>316</v>
      </c>
      <c r="E715" t="s">
        <v>85</v>
      </c>
      <c r="F715" t="s">
        <v>304</v>
      </c>
      <c r="G715" t="s">
        <v>9</v>
      </c>
      <c r="H715">
        <v>2120.0</v>
      </c>
      <c r="I715" t="s">
        <v>31</v>
      </c>
      <c r="J715" t="s">
        <v>81</v>
      </c>
      <c r="K715" t="s">
        <v>43</v>
      </c>
      <c r="L715" t="s">
        <v>44</v>
      </c>
      <c r="M715">
        <v>19.99</v>
      </c>
    </row>
    <row r="716">
      <c r="A716" s="2">
        <v>45633</v>
      </c>
      <c r="B716">
        <v>2025.0</v>
      </c>
      <c r="C716" t="s">
        <v>315</v>
      </c>
      <c r="D716" t="s">
        <v>316</v>
      </c>
      <c r="E716" t="s">
        <v>76</v>
      </c>
      <c r="F716" t="s">
        <v>306</v>
      </c>
      <c r="G716" t="s">
        <v>11</v>
      </c>
      <c r="H716">
        <v>4883.0</v>
      </c>
      <c r="I716" t="s">
        <v>31</v>
      </c>
      <c r="J716" t="s">
        <v>78</v>
      </c>
      <c r="K716" t="s">
        <v>123</v>
      </c>
      <c r="L716" t="s">
        <v>124</v>
      </c>
      <c r="M716">
        <v>19.990000000000002</v>
      </c>
    </row>
    <row r="717">
      <c r="A717" s="2">
        <v>45584</v>
      </c>
      <c r="B717">
        <v>2025.0</v>
      </c>
      <c r="C717" t="s">
        <v>315</v>
      </c>
      <c r="D717" t="s">
        <v>316</v>
      </c>
      <c r="E717" t="s">
        <v>179</v>
      </c>
      <c r="F717" t="s">
        <v>304</v>
      </c>
      <c r="G717" t="s">
        <v>9</v>
      </c>
      <c r="H717">
        <v>2015.0</v>
      </c>
      <c r="I717" t="s">
        <v>31</v>
      </c>
      <c r="J717" t="s">
        <v>99</v>
      </c>
      <c r="K717" t="s">
        <v>43</v>
      </c>
      <c r="L717" t="s">
        <v>44</v>
      </c>
      <c r="M717">
        <v>20.0</v>
      </c>
    </row>
    <row r="718">
      <c r="A718" s="2">
        <v>45389</v>
      </c>
      <c r="B718">
        <v>2024.0</v>
      </c>
      <c r="C718" t="s">
        <v>318</v>
      </c>
      <c r="D718" t="s">
        <v>316</v>
      </c>
      <c r="E718" t="s">
        <v>135</v>
      </c>
      <c r="F718" t="s">
        <v>311</v>
      </c>
      <c r="G718" t="s">
        <v>16</v>
      </c>
      <c r="H718">
        <v>2609.0</v>
      </c>
      <c r="I718" t="s">
        <v>31</v>
      </c>
      <c r="J718" t="s">
        <v>107</v>
      </c>
      <c r="K718" t="s">
        <v>43</v>
      </c>
      <c r="L718" t="s">
        <v>44</v>
      </c>
      <c r="M718">
        <v>20.0</v>
      </c>
    </row>
    <row r="719">
      <c r="A719" s="2">
        <v>45934</v>
      </c>
      <c r="B719">
        <v>2026.0</v>
      </c>
      <c r="C719" t="s">
        <v>321</v>
      </c>
      <c r="D719" t="s">
        <v>316</v>
      </c>
      <c r="E719" t="s">
        <v>244</v>
      </c>
      <c r="F719" t="s">
        <v>308</v>
      </c>
      <c r="G719" t="s">
        <v>13</v>
      </c>
      <c r="H719">
        <v>5168.0</v>
      </c>
      <c r="I719" t="s">
        <v>31</v>
      </c>
      <c r="J719" t="s">
        <v>42</v>
      </c>
      <c r="K719" t="s">
        <v>95</v>
      </c>
      <c r="L719" t="s">
        <v>96</v>
      </c>
      <c r="M719">
        <v>20.0</v>
      </c>
    </row>
    <row r="720">
      <c r="A720" s="2">
        <v>45933</v>
      </c>
      <c r="B720">
        <v>2026.0</v>
      </c>
      <c r="C720" t="s">
        <v>321</v>
      </c>
      <c r="D720" t="s">
        <v>319</v>
      </c>
      <c r="E720" t="s">
        <v>160</v>
      </c>
      <c r="F720" t="s">
        <v>307</v>
      </c>
      <c r="G720" t="s">
        <v>12</v>
      </c>
      <c r="H720">
        <v>6280.0</v>
      </c>
      <c r="I720" t="s">
        <v>31</v>
      </c>
      <c r="J720" t="s">
        <v>162</v>
      </c>
      <c r="K720" t="s">
        <v>43</v>
      </c>
      <c r="L720" t="s">
        <v>44</v>
      </c>
      <c r="M720">
        <v>20.01</v>
      </c>
    </row>
    <row r="721">
      <c r="A721" s="2">
        <v>45663</v>
      </c>
      <c r="B721">
        <v>2025.0</v>
      </c>
      <c r="C721" t="s">
        <v>315</v>
      </c>
      <c r="D721" t="s">
        <v>319</v>
      </c>
      <c r="E721" t="s">
        <v>59</v>
      </c>
      <c r="F721" t="s">
        <v>306</v>
      </c>
      <c r="G721" t="s">
        <v>11</v>
      </c>
      <c r="H721">
        <v>4509.0</v>
      </c>
      <c r="I721" t="s">
        <v>31</v>
      </c>
      <c r="J721" t="s">
        <v>61</v>
      </c>
      <c r="K721" t="s">
        <v>66</v>
      </c>
      <c r="L721" t="s">
        <v>67</v>
      </c>
      <c r="M721">
        <v>20.18</v>
      </c>
    </row>
    <row r="722">
      <c r="A722" s="2">
        <v>45824</v>
      </c>
      <c r="B722">
        <v>2025.0</v>
      </c>
      <c r="C722" t="s">
        <v>315</v>
      </c>
      <c r="D722" t="s">
        <v>319</v>
      </c>
      <c r="E722" t="s">
        <v>211</v>
      </c>
      <c r="F722" t="s">
        <v>304</v>
      </c>
      <c r="G722" t="s">
        <v>9</v>
      </c>
      <c r="H722">
        <v>2650.0</v>
      </c>
      <c r="I722" t="s">
        <v>31</v>
      </c>
      <c r="J722" t="s">
        <v>75</v>
      </c>
      <c r="K722" t="s">
        <v>66</v>
      </c>
      <c r="L722" t="s">
        <v>67</v>
      </c>
      <c r="M722">
        <v>20.32</v>
      </c>
    </row>
    <row r="723">
      <c r="A723" s="2">
        <v>45984</v>
      </c>
      <c r="B723">
        <v>2026.0</v>
      </c>
      <c r="C723" t="s">
        <v>321</v>
      </c>
      <c r="D723" t="s">
        <v>316</v>
      </c>
      <c r="E723" t="s">
        <v>197</v>
      </c>
      <c r="F723" t="s">
        <v>304</v>
      </c>
      <c r="G723" t="s">
        <v>9</v>
      </c>
      <c r="H723">
        <v>2560.0</v>
      </c>
      <c r="I723" t="s">
        <v>31</v>
      </c>
      <c r="J723" t="s">
        <v>107</v>
      </c>
      <c r="K723" t="s">
        <v>71</v>
      </c>
      <c r="L723" t="s">
        <v>72</v>
      </c>
      <c r="M723">
        <v>20.5</v>
      </c>
    </row>
    <row r="724">
      <c r="A724" s="2">
        <v>45422</v>
      </c>
      <c r="B724">
        <v>2024.0</v>
      </c>
      <c r="C724" t="s">
        <v>318</v>
      </c>
      <c r="D724" t="s">
        <v>319</v>
      </c>
      <c r="E724" t="s">
        <v>221</v>
      </c>
      <c r="F724" t="s">
        <v>306</v>
      </c>
      <c r="G724" t="s">
        <v>11</v>
      </c>
      <c r="H724">
        <v>4053.0</v>
      </c>
      <c r="I724" t="s">
        <v>31</v>
      </c>
      <c r="J724" t="s">
        <v>56</v>
      </c>
      <c r="K724" t="s">
        <v>66</v>
      </c>
      <c r="L724" t="s">
        <v>67</v>
      </c>
      <c r="M724">
        <v>20.58</v>
      </c>
    </row>
    <row r="725">
      <c r="A725" s="2">
        <v>45719</v>
      </c>
      <c r="B725">
        <v>2025.0</v>
      </c>
      <c r="C725" t="s">
        <v>315</v>
      </c>
      <c r="D725" t="s">
        <v>316</v>
      </c>
      <c r="E725" t="s">
        <v>175</v>
      </c>
      <c r="F725" t="s">
        <v>311</v>
      </c>
      <c r="G725" t="s">
        <v>16</v>
      </c>
      <c r="H725">
        <v>2617.0</v>
      </c>
      <c r="I725" t="s">
        <v>31</v>
      </c>
      <c r="J725" t="s">
        <v>107</v>
      </c>
      <c r="K725" t="s">
        <v>43</v>
      </c>
      <c r="L725" t="s">
        <v>44</v>
      </c>
      <c r="M725">
        <v>20.59</v>
      </c>
    </row>
    <row r="726">
      <c r="A726" s="2">
        <v>45530</v>
      </c>
      <c r="B726">
        <v>2025.0</v>
      </c>
      <c r="C726" t="s">
        <v>315</v>
      </c>
      <c r="D726" t="s">
        <v>316</v>
      </c>
      <c r="E726" t="s">
        <v>193</v>
      </c>
      <c r="F726" t="s">
        <v>304</v>
      </c>
      <c r="G726" t="s">
        <v>9</v>
      </c>
      <c r="H726">
        <v>2020.0</v>
      </c>
      <c r="I726" t="s">
        <v>31</v>
      </c>
      <c r="J726" t="s">
        <v>99</v>
      </c>
      <c r="K726" t="s">
        <v>43</v>
      </c>
      <c r="L726" t="s">
        <v>44</v>
      </c>
      <c r="M726">
        <v>20.75</v>
      </c>
    </row>
    <row r="727">
      <c r="A727" s="2">
        <v>45626</v>
      </c>
      <c r="B727">
        <v>2025.0</v>
      </c>
      <c r="C727" t="s">
        <v>315</v>
      </c>
      <c r="D727" t="s">
        <v>316</v>
      </c>
      <c r="E727" t="s">
        <v>258</v>
      </c>
      <c r="F727" t="s">
        <v>309</v>
      </c>
      <c r="G727" t="s">
        <v>14</v>
      </c>
      <c r="H727">
        <v>870.0</v>
      </c>
      <c r="I727" t="s">
        <v>31</v>
      </c>
      <c r="J727" t="s">
        <v>145</v>
      </c>
      <c r="K727" t="s">
        <v>123</v>
      </c>
      <c r="L727" t="s">
        <v>124</v>
      </c>
      <c r="M727">
        <v>20.87</v>
      </c>
    </row>
    <row r="728">
      <c r="A728" s="2">
        <v>45743</v>
      </c>
      <c r="B728">
        <v>2025.0</v>
      </c>
      <c r="C728" t="s">
        <v>315</v>
      </c>
      <c r="D728" t="s">
        <v>316</v>
      </c>
      <c r="E728" t="s">
        <v>118</v>
      </c>
      <c r="F728" t="s">
        <v>305</v>
      </c>
      <c r="G728" t="s">
        <v>10</v>
      </c>
      <c r="H728">
        <v>3076.0</v>
      </c>
      <c r="I728" t="s">
        <v>31</v>
      </c>
      <c r="J728" t="s">
        <v>120</v>
      </c>
      <c r="K728" t="s">
        <v>123</v>
      </c>
      <c r="L728" t="s">
        <v>124</v>
      </c>
      <c r="M728">
        <v>20.9</v>
      </c>
    </row>
    <row r="729">
      <c r="A729" s="2">
        <v>45907</v>
      </c>
      <c r="B729">
        <v>2026.0</v>
      </c>
      <c r="C729" t="s">
        <v>321</v>
      </c>
      <c r="D729" t="s">
        <v>316</v>
      </c>
      <c r="E729" t="s">
        <v>90</v>
      </c>
      <c r="F729" t="s">
        <v>305</v>
      </c>
      <c r="G729" t="s">
        <v>10</v>
      </c>
      <c r="H729">
        <v>3353.0</v>
      </c>
      <c r="I729" t="s">
        <v>31</v>
      </c>
      <c r="J729" t="s">
        <v>37</v>
      </c>
      <c r="K729" t="s">
        <v>33</v>
      </c>
      <c r="L729" t="s">
        <v>34</v>
      </c>
      <c r="M729">
        <v>20.93</v>
      </c>
    </row>
    <row r="730">
      <c r="A730" s="2">
        <v>45818</v>
      </c>
      <c r="B730">
        <v>2025.0</v>
      </c>
      <c r="C730" t="s">
        <v>315</v>
      </c>
      <c r="D730" t="s">
        <v>316</v>
      </c>
      <c r="E730" t="s">
        <v>79</v>
      </c>
      <c r="F730" t="s">
        <v>304</v>
      </c>
      <c r="G730" t="s">
        <v>9</v>
      </c>
      <c r="H730">
        <v>2141.0</v>
      </c>
      <c r="I730" t="s">
        <v>31</v>
      </c>
      <c r="J730" t="s">
        <v>81</v>
      </c>
      <c r="K730" t="s">
        <v>112</v>
      </c>
      <c r="L730" t="s">
        <v>113</v>
      </c>
      <c r="M730">
        <v>20.94</v>
      </c>
    </row>
    <row r="731">
      <c r="A731" s="2">
        <v>45452</v>
      </c>
      <c r="B731">
        <v>2024.0</v>
      </c>
      <c r="C731" t="s">
        <v>318</v>
      </c>
      <c r="D731" t="s">
        <v>316</v>
      </c>
      <c r="E731" t="s">
        <v>139</v>
      </c>
      <c r="F731" t="s">
        <v>305</v>
      </c>
      <c r="G731" t="s">
        <v>10</v>
      </c>
      <c r="H731">
        <v>3199.0</v>
      </c>
      <c r="I731" t="s">
        <v>31</v>
      </c>
      <c r="J731" t="s">
        <v>89</v>
      </c>
      <c r="K731" t="s">
        <v>33</v>
      </c>
      <c r="L731" t="s">
        <v>34</v>
      </c>
      <c r="M731">
        <v>20.950000000000003</v>
      </c>
    </row>
    <row r="732">
      <c r="A732" s="2">
        <v>45923</v>
      </c>
      <c r="B732">
        <v>2026.0</v>
      </c>
      <c r="C732" t="s">
        <v>321</v>
      </c>
      <c r="D732" t="s">
        <v>316</v>
      </c>
      <c r="E732" t="s">
        <v>165</v>
      </c>
      <c r="F732" t="s">
        <v>304</v>
      </c>
      <c r="G732" t="s">
        <v>9</v>
      </c>
      <c r="H732">
        <v>2064.0</v>
      </c>
      <c r="I732" t="s">
        <v>31</v>
      </c>
      <c r="J732" t="s">
        <v>99</v>
      </c>
      <c r="K732" t="s">
        <v>123</v>
      </c>
      <c r="L732" t="s">
        <v>124</v>
      </c>
      <c r="M732">
        <v>20.96</v>
      </c>
    </row>
    <row r="733">
      <c r="A733" s="2">
        <v>45946</v>
      </c>
      <c r="B733">
        <v>2026.0</v>
      </c>
      <c r="C733" t="s">
        <v>321</v>
      </c>
      <c r="D733" t="s">
        <v>316</v>
      </c>
      <c r="E733" t="s">
        <v>242</v>
      </c>
      <c r="F733" t="s">
        <v>305</v>
      </c>
      <c r="G733" t="s">
        <v>10</v>
      </c>
      <c r="H733">
        <v>3977.0</v>
      </c>
      <c r="I733" t="s">
        <v>31</v>
      </c>
      <c r="J733" t="s">
        <v>94</v>
      </c>
      <c r="K733" t="s">
        <v>95</v>
      </c>
      <c r="L733" t="s">
        <v>96</v>
      </c>
      <c r="M733">
        <v>20.97</v>
      </c>
    </row>
    <row r="734">
      <c r="A734" s="2">
        <v>45605</v>
      </c>
      <c r="B734">
        <v>2025.0</v>
      </c>
      <c r="C734" t="s">
        <v>315</v>
      </c>
      <c r="D734" t="s">
        <v>316</v>
      </c>
      <c r="E734" t="s">
        <v>158</v>
      </c>
      <c r="F734" t="s">
        <v>306</v>
      </c>
      <c r="G734" t="s">
        <v>11</v>
      </c>
      <c r="H734">
        <v>4570.0</v>
      </c>
      <c r="I734" t="s">
        <v>31</v>
      </c>
      <c r="J734" t="s">
        <v>84</v>
      </c>
      <c r="K734" t="s">
        <v>123</v>
      </c>
      <c r="L734" t="s">
        <v>124</v>
      </c>
      <c r="M734">
        <v>20.97</v>
      </c>
    </row>
    <row r="735">
      <c r="A735" s="2">
        <v>46013</v>
      </c>
      <c r="B735">
        <v>2026.0</v>
      </c>
      <c r="C735" t="s">
        <v>321</v>
      </c>
      <c r="D735" t="s">
        <v>316</v>
      </c>
      <c r="E735" t="s">
        <v>244</v>
      </c>
      <c r="F735" t="s">
        <v>308</v>
      </c>
      <c r="G735" t="s">
        <v>13</v>
      </c>
      <c r="H735">
        <v>5168.0</v>
      </c>
      <c r="I735" t="s">
        <v>31</v>
      </c>
      <c r="J735" t="s">
        <v>42</v>
      </c>
      <c r="K735" t="s">
        <v>95</v>
      </c>
      <c r="L735" t="s">
        <v>96</v>
      </c>
      <c r="M735">
        <v>20.97</v>
      </c>
    </row>
    <row r="736">
      <c r="A736" s="2">
        <v>45330</v>
      </c>
      <c r="B736">
        <v>2024.0</v>
      </c>
      <c r="C736" t="s">
        <v>318</v>
      </c>
      <c r="D736" t="s">
        <v>316</v>
      </c>
      <c r="E736" t="s">
        <v>240</v>
      </c>
      <c r="F736" t="s">
        <v>310</v>
      </c>
      <c r="G736" t="s">
        <v>15</v>
      </c>
      <c r="H736">
        <v>7010.0</v>
      </c>
      <c r="I736" t="s">
        <v>31</v>
      </c>
      <c r="J736" t="s">
        <v>53</v>
      </c>
      <c r="K736" t="s">
        <v>43</v>
      </c>
      <c r="L736" t="s">
        <v>44</v>
      </c>
      <c r="M736">
        <v>20.98</v>
      </c>
    </row>
    <row r="737">
      <c r="A737" s="2">
        <v>45435</v>
      </c>
      <c r="B737">
        <v>2024.0</v>
      </c>
      <c r="C737" t="s">
        <v>318</v>
      </c>
      <c r="D737" t="s">
        <v>316</v>
      </c>
      <c r="E737" t="s">
        <v>85</v>
      </c>
      <c r="F737" t="s">
        <v>304</v>
      </c>
      <c r="G737" t="s">
        <v>9</v>
      </c>
      <c r="H737">
        <v>2120.0</v>
      </c>
      <c r="I737" t="s">
        <v>31</v>
      </c>
      <c r="J737" t="s">
        <v>81</v>
      </c>
      <c r="K737" t="s">
        <v>46</v>
      </c>
      <c r="L737" t="s">
        <v>47</v>
      </c>
      <c r="M737">
        <v>20.98</v>
      </c>
    </row>
    <row r="738">
      <c r="A738" s="2">
        <v>45773</v>
      </c>
      <c r="B738">
        <v>2025.0</v>
      </c>
      <c r="C738" t="s">
        <v>315</v>
      </c>
      <c r="D738" t="s">
        <v>316</v>
      </c>
      <c r="E738" t="s">
        <v>189</v>
      </c>
      <c r="F738" t="s">
        <v>304</v>
      </c>
      <c r="G738" t="s">
        <v>9</v>
      </c>
      <c r="H738">
        <v>2131.0</v>
      </c>
      <c r="I738" t="s">
        <v>31</v>
      </c>
      <c r="J738" t="s">
        <v>81</v>
      </c>
      <c r="K738" t="s">
        <v>71</v>
      </c>
      <c r="L738" t="s">
        <v>72</v>
      </c>
      <c r="M738">
        <v>20.990000000000002</v>
      </c>
    </row>
    <row r="739">
      <c r="A739" s="2">
        <v>45926</v>
      </c>
      <c r="B739">
        <v>2026.0</v>
      </c>
      <c r="C739" t="s">
        <v>321</v>
      </c>
      <c r="D739" t="s">
        <v>316</v>
      </c>
      <c r="E739" t="s">
        <v>179</v>
      </c>
      <c r="F739" t="s">
        <v>304</v>
      </c>
      <c r="G739" t="s">
        <v>9</v>
      </c>
      <c r="H739">
        <v>2015.0</v>
      </c>
      <c r="I739" t="s">
        <v>31</v>
      </c>
      <c r="J739" t="s">
        <v>99</v>
      </c>
      <c r="K739" t="s">
        <v>95</v>
      </c>
      <c r="L739" t="s">
        <v>96</v>
      </c>
      <c r="M739">
        <v>21.0</v>
      </c>
    </row>
    <row r="740">
      <c r="A740" s="2">
        <v>45450</v>
      </c>
      <c r="B740">
        <v>2024.0</v>
      </c>
      <c r="C740" t="s">
        <v>318</v>
      </c>
      <c r="D740" t="s">
        <v>316</v>
      </c>
      <c r="E740" t="s">
        <v>254</v>
      </c>
      <c r="F740" t="s">
        <v>308</v>
      </c>
      <c r="G740" t="s">
        <v>13</v>
      </c>
      <c r="H740">
        <v>5343.0</v>
      </c>
      <c r="I740" t="s">
        <v>31</v>
      </c>
      <c r="J740" t="s">
        <v>227</v>
      </c>
      <c r="K740" t="s">
        <v>46</v>
      </c>
      <c r="L740" t="s">
        <v>47</v>
      </c>
      <c r="M740">
        <v>21.0</v>
      </c>
    </row>
    <row r="741">
      <c r="A741" s="2">
        <v>45747</v>
      </c>
      <c r="B741">
        <v>2025.0</v>
      </c>
      <c r="C741" t="s">
        <v>315</v>
      </c>
      <c r="D741" t="s">
        <v>316</v>
      </c>
      <c r="E741" t="s">
        <v>254</v>
      </c>
      <c r="F741" t="s">
        <v>308</v>
      </c>
      <c r="G741" t="s">
        <v>13</v>
      </c>
      <c r="H741">
        <v>5343.0</v>
      </c>
      <c r="I741" t="s">
        <v>31</v>
      </c>
      <c r="J741" t="s">
        <v>227</v>
      </c>
      <c r="K741" t="s">
        <v>38</v>
      </c>
      <c r="L741" t="s">
        <v>39</v>
      </c>
      <c r="M741">
        <v>21.0</v>
      </c>
    </row>
    <row r="742">
      <c r="A742" s="2">
        <v>45431</v>
      </c>
      <c r="B742">
        <v>2024.0</v>
      </c>
      <c r="C742" t="s">
        <v>318</v>
      </c>
      <c r="D742" t="s">
        <v>316</v>
      </c>
      <c r="E742" t="s">
        <v>264</v>
      </c>
      <c r="F742" t="s">
        <v>308</v>
      </c>
      <c r="G742" t="s">
        <v>13</v>
      </c>
      <c r="H742">
        <v>5043.0</v>
      </c>
      <c r="I742" t="s">
        <v>31</v>
      </c>
      <c r="J742" t="s">
        <v>42</v>
      </c>
      <c r="K742" t="s">
        <v>43</v>
      </c>
      <c r="L742" t="s">
        <v>44</v>
      </c>
      <c r="M742">
        <v>21.0</v>
      </c>
    </row>
    <row r="743">
      <c r="A743" s="2">
        <v>45957</v>
      </c>
      <c r="B743">
        <v>2026.0</v>
      </c>
      <c r="C743" t="s">
        <v>321</v>
      </c>
      <c r="D743" t="s">
        <v>316</v>
      </c>
      <c r="E743" t="s">
        <v>125</v>
      </c>
      <c r="F743" t="s">
        <v>305</v>
      </c>
      <c r="G743" t="s">
        <v>10</v>
      </c>
      <c r="H743">
        <v>3931.0</v>
      </c>
      <c r="I743" t="s">
        <v>31</v>
      </c>
      <c r="J743" t="s">
        <v>94</v>
      </c>
      <c r="K743" t="s">
        <v>57</v>
      </c>
      <c r="L743" t="s">
        <v>58</v>
      </c>
      <c r="M743">
        <v>21.0</v>
      </c>
    </row>
    <row r="744">
      <c r="A744" s="2">
        <v>45704</v>
      </c>
      <c r="B744">
        <v>2025.0</v>
      </c>
      <c r="C744" t="s">
        <v>315</v>
      </c>
      <c r="D744" t="s">
        <v>319</v>
      </c>
      <c r="E744" t="s">
        <v>201</v>
      </c>
      <c r="F744" t="s">
        <v>305</v>
      </c>
      <c r="G744" t="s">
        <v>10</v>
      </c>
      <c r="H744">
        <v>3131.0</v>
      </c>
      <c r="I744" t="s">
        <v>31</v>
      </c>
      <c r="J744" t="s">
        <v>89</v>
      </c>
      <c r="K744" t="s">
        <v>43</v>
      </c>
      <c r="L744" t="s">
        <v>44</v>
      </c>
      <c r="M744">
        <v>21.0</v>
      </c>
    </row>
    <row r="745">
      <c r="A745" s="2">
        <v>45408</v>
      </c>
      <c r="B745">
        <v>2024.0</v>
      </c>
      <c r="C745" t="s">
        <v>318</v>
      </c>
      <c r="D745" t="s">
        <v>319</v>
      </c>
      <c r="E745" t="s">
        <v>108</v>
      </c>
      <c r="F745" t="s">
        <v>304</v>
      </c>
      <c r="G745" t="s">
        <v>9</v>
      </c>
      <c r="H745">
        <v>2795.0</v>
      </c>
      <c r="I745" t="s">
        <v>31</v>
      </c>
      <c r="J745" t="s">
        <v>75</v>
      </c>
      <c r="K745" t="s">
        <v>71</v>
      </c>
      <c r="L745" t="s">
        <v>72</v>
      </c>
      <c r="M745">
        <v>21.310000000000002</v>
      </c>
    </row>
    <row r="746">
      <c r="A746" s="2">
        <v>45655</v>
      </c>
      <c r="B746">
        <v>2025.0</v>
      </c>
      <c r="C746" t="s">
        <v>315</v>
      </c>
      <c r="D746" t="s">
        <v>319</v>
      </c>
      <c r="E746" t="s">
        <v>87</v>
      </c>
      <c r="F746" t="s">
        <v>305</v>
      </c>
      <c r="G746" t="s">
        <v>10</v>
      </c>
      <c r="H746">
        <v>3148.0</v>
      </c>
      <c r="I746" t="s">
        <v>31</v>
      </c>
      <c r="J746" t="s">
        <v>89</v>
      </c>
      <c r="K746" t="s">
        <v>46</v>
      </c>
      <c r="L746" t="s">
        <v>47</v>
      </c>
      <c r="M746">
        <v>21.48</v>
      </c>
    </row>
    <row r="747">
      <c r="A747" s="2">
        <v>45343</v>
      </c>
      <c r="B747">
        <v>2024.0</v>
      </c>
      <c r="C747" t="s">
        <v>318</v>
      </c>
      <c r="D747" t="s">
        <v>316</v>
      </c>
      <c r="E747" t="s">
        <v>163</v>
      </c>
      <c r="F747" t="s">
        <v>304</v>
      </c>
      <c r="G747" t="s">
        <v>9</v>
      </c>
      <c r="H747">
        <v>2154.0</v>
      </c>
      <c r="I747" t="s">
        <v>31</v>
      </c>
      <c r="J747" t="s">
        <v>81</v>
      </c>
      <c r="K747" t="s">
        <v>71</v>
      </c>
      <c r="L747" t="s">
        <v>72</v>
      </c>
      <c r="M747">
        <v>21.490000000000002</v>
      </c>
    </row>
    <row r="748">
      <c r="A748" s="2">
        <v>45933</v>
      </c>
      <c r="B748">
        <v>2026.0</v>
      </c>
      <c r="C748" t="s">
        <v>321</v>
      </c>
      <c r="D748" t="s">
        <v>316</v>
      </c>
      <c r="E748" t="s">
        <v>197</v>
      </c>
      <c r="F748" t="s">
        <v>304</v>
      </c>
      <c r="G748" t="s">
        <v>9</v>
      </c>
      <c r="H748">
        <v>2560.0</v>
      </c>
      <c r="I748" t="s">
        <v>31</v>
      </c>
      <c r="J748" t="s">
        <v>107</v>
      </c>
      <c r="K748" t="s">
        <v>43</v>
      </c>
      <c r="L748" t="s">
        <v>44</v>
      </c>
      <c r="M748">
        <v>21.5</v>
      </c>
    </row>
    <row r="749">
      <c r="A749" s="2">
        <v>45354</v>
      </c>
      <c r="B749">
        <v>2024.0</v>
      </c>
      <c r="C749" t="s">
        <v>318</v>
      </c>
      <c r="D749" t="s">
        <v>316</v>
      </c>
      <c r="E749" t="s">
        <v>87</v>
      </c>
      <c r="F749" t="s">
        <v>305</v>
      </c>
      <c r="G749" t="s">
        <v>10</v>
      </c>
      <c r="H749">
        <v>3148.0</v>
      </c>
      <c r="I749" t="s">
        <v>31</v>
      </c>
      <c r="J749" t="s">
        <v>89</v>
      </c>
      <c r="K749" t="s">
        <v>43</v>
      </c>
      <c r="L749" t="s">
        <v>44</v>
      </c>
      <c r="M749">
        <v>21.75</v>
      </c>
    </row>
    <row r="750">
      <c r="A750" s="2">
        <v>45869</v>
      </c>
      <c r="B750">
        <v>2026.0</v>
      </c>
      <c r="C750" t="s">
        <v>321</v>
      </c>
      <c r="D750" t="s">
        <v>316</v>
      </c>
      <c r="E750" t="s">
        <v>203</v>
      </c>
      <c r="F750" t="s">
        <v>305</v>
      </c>
      <c r="G750" t="s">
        <v>10</v>
      </c>
      <c r="H750">
        <v>3175.0</v>
      </c>
      <c r="I750" t="s">
        <v>31</v>
      </c>
      <c r="J750" t="s">
        <v>89</v>
      </c>
      <c r="K750" t="s">
        <v>38</v>
      </c>
      <c r="L750" t="s">
        <v>39</v>
      </c>
      <c r="M750">
        <v>21.81</v>
      </c>
    </row>
    <row r="751">
      <c r="A751" s="2">
        <v>45687</v>
      </c>
      <c r="B751">
        <v>2025.0</v>
      </c>
      <c r="C751" t="s">
        <v>315</v>
      </c>
      <c r="D751" t="s">
        <v>319</v>
      </c>
      <c r="E751" t="s">
        <v>105</v>
      </c>
      <c r="F751" t="s">
        <v>304</v>
      </c>
      <c r="G751" t="s">
        <v>9</v>
      </c>
      <c r="H751">
        <v>2541.0</v>
      </c>
      <c r="I751" t="s">
        <v>31</v>
      </c>
      <c r="J751" t="s">
        <v>107</v>
      </c>
      <c r="K751" t="s">
        <v>112</v>
      </c>
      <c r="L751" t="s">
        <v>113</v>
      </c>
      <c r="M751">
        <v>21.94</v>
      </c>
    </row>
    <row r="752">
      <c r="A752" s="2">
        <v>45394</v>
      </c>
      <c r="B752">
        <v>2024.0</v>
      </c>
      <c r="C752" t="s">
        <v>318</v>
      </c>
      <c r="D752" t="s">
        <v>316</v>
      </c>
      <c r="E752" t="s">
        <v>141</v>
      </c>
      <c r="F752" t="s">
        <v>304</v>
      </c>
      <c r="G752" t="s">
        <v>9</v>
      </c>
      <c r="H752">
        <v>2539.0</v>
      </c>
      <c r="I752" t="s">
        <v>31</v>
      </c>
      <c r="J752" t="s">
        <v>107</v>
      </c>
      <c r="K752" t="s">
        <v>33</v>
      </c>
      <c r="L752" t="s">
        <v>34</v>
      </c>
      <c r="M752">
        <v>21.95</v>
      </c>
    </row>
    <row r="753">
      <c r="A753" s="2">
        <v>45606</v>
      </c>
      <c r="B753">
        <v>2025.0</v>
      </c>
      <c r="C753" t="s">
        <v>315</v>
      </c>
      <c r="D753" t="s">
        <v>316</v>
      </c>
      <c r="E753" t="s">
        <v>191</v>
      </c>
      <c r="F753" t="s">
        <v>305</v>
      </c>
      <c r="G753" t="s">
        <v>10</v>
      </c>
      <c r="H753">
        <v>3030.0</v>
      </c>
      <c r="I753" t="s">
        <v>31</v>
      </c>
      <c r="J753" t="s">
        <v>120</v>
      </c>
      <c r="K753" t="s">
        <v>33</v>
      </c>
      <c r="L753" t="s">
        <v>34</v>
      </c>
      <c r="M753">
        <v>21.96</v>
      </c>
    </row>
    <row r="754">
      <c r="A754" s="2">
        <v>45350</v>
      </c>
      <c r="B754">
        <v>2024.0</v>
      </c>
      <c r="C754" t="s">
        <v>318</v>
      </c>
      <c r="D754" t="s">
        <v>316</v>
      </c>
      <c r="E754" t="s">
        <v>203</v>
      </c>
      <c r="F754" t="s">
        <v>305</v>
      </c>
      <c r="G754" t="s">
        <v>10</v>
      </c>
      <c r="H754">
        <v>3175.0</v>
      </c>
      <c r="I754" t="s">
        <v>31</v>
      </c>
      <c r="J754" t="s">
        <v>89</v>
      </c>
      <c r="K754" t="s">
        <v>95</v>
      </c>
      <c r="L754" t="s">
        <v>96</v>
      </c>
      <c r="M754">
        <v>21.97</v>
      </c>
    </row>
    <row r="755">
      <c r="A755" s="2">
        <v>46000</v>
      </c>
      <c r="B755">
        <v>2026.0</v>
      </c>
      <c r="C755" t="s">
        <v>321</v>
      </c>
      <c r="D755" t="s">
        <v>319</v>
      </c>
      <c r="E755" t="s">
        <v>64</v>
      </c>
      <c r="F755" t="s">
        <v>306</v>
      </c>
      <c r="G755" t="s">
        <v>11</v>
      </c>
      <c r="H755">
        <v>4215.0</v>
      </c>
      <c r="I755" t="s">
        <v>31</v>
      </c>
      <c r="J755" t="s">
        <v>61</v>
      </c>
      <c r="K755" t="s">
        <v>38</v>
      </c>
      <c r="L755" t="s">
        <v>39</v>
      </c>
      <c r="M755">
        <v>21.97</v>
      </c>
    </row>
    <row r="756">
      <c r="A756" s="2">
        <v>45899</v>
      </c>
      <c r="B756">
        <v>2026.0</v>
      </c>
      <c r="C756" t="s">
        <v>321</v>
      </c>
      <c r="D756" t="s">
        <v>319</v>
      </c>
      <c r="E756" t="s">
        <v>167</v>
      </c>
      <c r="F756" t="s">
        <v>307</v>
      </c>
      <c r="G756" t="s">
        <v>12</v>
      </c>
      <c r="H756">
        <v>6030.0</v>
      </c>
      <c r="I756" t="s">
        <v>31</v>
      </c>
      <c r="J756" t="s">
        <v>102</v>
      </c>
      <c r="K756" t="s">
        <v>33</v>
      </c>
      <c r="L756" t="s">
        <v>34</v>
      </c>
      <c r="M756">
        <v>21.98</v>
      </c>
    </row>
    <row r="757">
      <c r="A757" s="2">
        <v>45937</v>
      </c>
      <c r="B757">
        <v>2026.0</v>
      </c>
      <c r="C757" t="s">
        <v>321</v>
      </c>
      <c r="D757" t="s">
        <v>316</v>
      </c>
      <c r="E757" t="s">
        <v>100</v>
      </c>
      <c r="F757" t="s">
        <v>307</v>
      </c>
      <c r="G757" t="s">
        <v>12</v>
      </c>
      <c r="H757">
        <v>6010.0</v>
      </c>
      <c r="I757" t="s">
        <v>31</v>
      </c>
      <c r="J757" t="s">
        <v>102</v>
      </c>
      <c r="K757" t="s">
        <v>123</v>
      </c>
      <c r="L757" t="s">
        <v>124</v>
      </c>
      <c r="M757">
        <v>21.99</v>
      </c>
    </row>
    <row r="758">
      <c r="A758" s="2">
        <v>45752</v>
      </c>
      <c r="B758">
        <v>2025.0</v>
      </c>
      <c r="C758" t="s">
        <v>315</v>
      </c>
      <c r="D758" t="s">
        <v>316</v>
      </c>
      <c r="E758" t="s">
        <v>152</v>
      </c>
      <c r="F758" t="s">
        <v>306</v>
      </c>
      <c r="G758" t="s">
        <v>11</v>
      </c>
      <c r="H758">
        <v>4305.0</v>
      </c>
      <c r="I758" t="s">
        <v>31</v>
      </c>
      <c r="J758" t="s">
        <v>61</v>
      </c>
      <c r="K758" t="s">
        <v>38</v>
      </c>
      <c r="L758" t="s">
        <v>39</v>
      </c>
      <c r="M758">
        <v>21.990000000000002</v>
      </c>
    </row>
    <row r="759">
      <c r="A759" s="2">
        <v>45337</v>
      </c>
      <c r="B759">
        <v>2024.0</v>
      </c>
      <c r="C759" t="s">
        <v>318</v>
      </c>
      <c r="D759" t="s">
        <v>316</v>
      </c>
      <c r="E759" t="s">
        <v>203</v>
      </c>
      <c r="F759" t="s">
        <v>305</v>
      </c>
      <c r="G759" t="s">
        <v>10</v>
      </c>
      <c r="H759">
        <v>3175.0</v>
      </c>
      <c r="I759" t="s">
        <v>31</v>
      </c>
      <c r="J759" t="s">
        <v>89</v>
      </c>
      <c r="K759" t="s">
        <v>43</v>
      </c>
      <c r="L759" t="s">
        <v>44</v>
      </c>
      <c r="M759">
        <v>22.0</v>
      </c>
    </row>
    <row r="760">
      <c r="A760" s="2">
        <v>45811</v>
      </c>
      <c r="B760">
        <v>2025.0</v>
      </c>
      <c r="C760" t="s">
        <v>315</v>
      </c>
      <c r="D760" t="s">
        <v>316</v>
      </c>
      <c r="E760" t="s">
        <v>252</v>
      </c>
      <c r="F760" t="s">
        <v>305</v>
      </c>
      <c r="G760" t="s">
        <v>10</v>
      </c>
      <c r="H760">
        <v>3630.0</v>
      </c>
      <c r="I760" t="s">
        <v>31</v>
      </c>
      <c r="J760" t="s">
        <v>94</v>
      </c>
      <c r="K760" t="s">
        <v>71</v>
      </c>
      <c r="L760" t="s">
        <v>72</v>
      </c>
      <c r="M760">
        <v>22.0</v>
      </c>
    </row>
    <row r="761">
      <c r="A761" s="2">
        <v>45311</v>
      </c>
      <c r="B761">
        <v>2024.0</v>
      </c>
      <c r="C761" t="s">
        <v>318</v>
      </c>
      <c r="D761" t="s">
        <v>316</v>
      </c>
      <c r="E761" t="s">
        <v>197</v>
      </c>
      <c r="F761" t="s">
        <v>304</v>
      </c>
      <c r="G761" t="s">
        <v>9</v>
      </c>
      <c r="H761">
        <v>2560.0</v>
      </c>
      <c r="I761" t="s">
        <v>31</v>
      </c>
      <c r="J761" t="s">
        <v>107</v>
      </c>
      <c r="K761" t="s">
        <v>46</v>
      </c>
      <c r="L761" t="s">
        <v>47</v>
      </c>
      <c r="M761">
        <v>22.25</v>
      </c>
    </row>
    <row r="762">
      <c r="A762" s="2">
        <v>45963</v>
      </c>
      <c r="B762">
        <v>2026.0</v>
      </c>
      <c r="C762" t="s">
        <v>321</v>
      </c>
      <c r="D762" t="s">
        <v>316</v>
      </c>
      <c r="E762" t="s">
        <v>225</v>
      </c>
      <c r="F762" t="s">
        <v>308</v>
      </c>
      <c r="G762" t="s">
        <v>13</v>
      </c>
      <c r="H762">
        <v>5607.0</v>
      </c>
      <c r="I762" t="s">
        <v>31</v>
      </c>
      <c r="J762" t="s">
        <v>227</v>
      </c>
      <c r="K762" t="s">
        <v>38</v>
      </c>
      <c r="L762" t="s">
        <v>39</v>
      </c>
      <c r="M762">
        <v>22.29</v>
      </c>
    </row>
    <row r="763">
      <c r="A763" s="2">
        <v>45958</v>
      </c>
      <c r="B763">
        <v>2026.0</v>
      </c>
      <c r="C763" t="s">
        <v>321</v>
      </c>
      <c r="D763" t="s">
        <v>319</v>
      </c>
      <c r="E763" t="s">
        <v>108</v>
      </c>
      <c r="F763" t="s">
        <v>304</v>
      </c>
      <c r="G763" t="s">
        <v>9</v>
      </c>
      <c r="H763">
        <v>2795.0</v>
      </c>
      <c r="I763" t="s">
        <v>31</v>
      </c>
      <c r="J763" t="s">
        <v>75</v>
      </c>
      <c r="K763" t="s">
        <v>43</v>
      </c>
      <c r="L763" t="s">
        <v>44</v>
      </c>
      <c r="M763">
        <v>22.41</v>
      </c>
    </row>
    <row r="764">
      <c r="A764" s="2">
        <v>45845</v>
      </c>
      <c r="B764">
        <v>2026.0</v>
      </c>
      <c r="C764" t="s">
        <v>321</v>
      </c>
      <c r="D764" t="s">
        <v>316</v>
      </c>
      <c r="E764" t="s">
        <v>156</v>
      </c>
      <c r="F764" t="s">
        <v>304</v>
      </c>
      <c r="G764" t="s">
        <v>9</v>
      </c>
      <c r="H764">
        <v>2830.0</v>
      </c>
      <c r="I764" t="s">
        <v>31</v>
      </c>
      <c r="J764" t="s">
        <v>75</v>
      </c>
      <c r="K764" t="s">
        <v>33</v>
      </c>
      <c r="L764" t="s">
        <v>34</v>
      </c>
      <c r="M764">
        <v>22.93</v>
      </c>
    </row>
    <row r="765">
      <c r="A765" s="2">
        <v>45761</v>
      </c>
      <c r="B765">
        <v>2025.0</v>
      </c>
      <c r="C765" t="s">
        <v>315</v>
      </c>
      <c r="D765" t="s">
        <v>319</v>
      </c>
      <c r="E765" t="s">
        <v>167</v>
      </c>
      <c r="F765" t="s">
        <v>307</v>
      </c>
      <c r="G765" t="s">
        <v>12</v>
      </c>
      <c r="H765">
        <v>6030.0</v>
      </c>
      <c r="I765" t="s">
        <v>31</v>
      </c>
      <c r="J765" t="s">
        <v>102</v>
      </c>
      <c r="K765" t="s">
        <v>112</v>
      </c>
      <c r="L765" t="s">
        <v>113</v>
      </c>
      <c r="M765">
        <v>22.939999999999998</v>
      </c>
    </row>
    <row r="766">
      <c r="A766" s="2">
        <v>45450</v>
      </c>
      <c r="B766">
        <v>2024.0</v>
      </c>
      <c r="C766" t="s">
        <v>318</v>
      </c>
      <c r="D766" t="s">
        <v>319</v>
      </c>
      <c r="E766" t="s">
        <v>137</v>
      </c>
      <c r="F766" t="s">
        <v>305</v>
      </c>
      <c r="G766" t="s">
        <v>10</v>
      </c>
      <c r="H766">
        <v>3134.0</v>
      </c>
      <c r="I766" t="s">
        <v>31</v>
      </c>
      <c r="J766" t="s">
        <v>89</v>
      </c>
      <c r="K766" t="s">
        <v>33</v>
      </c>
      <c r="L766" t="s">
        <v>34</v>
      </c>
      <c r="M766">
        <v>22.939999999999998</v>
      </c>
    </row>
    <row r="767">
      <c r="A767" s="2">
        <v>45554</v>
      </c>
      <c r="B767">
        <v>2025.0</v>
      </c>
      <c r="C767" t="s">
        <v>315</v>
      </c>
      <c r="D767" t="s">
        <v>316</v>
      </c>
      <c r="E767" t="s">
        <v>68</v>
      </c>
      <c r="F767" t="s">
        <v>304</v>
      </c>
      <c r="G767" t="s">
        <v>9</v>
      </c>
      <c r="H767">
        <v>2478.0</v>
      </c>
      <c r="I767" t="s">
        <v>31</v>
      </c>
      <c r="J767" t="s">
        <v>70</v>
      </c>
      <c r="K767" t="s">
        <v>123</v>
      </c>
      <c r="L767" t="s">
        <v>124</v>
      </c>
      <c r="M767">
        <v>22.97</v>
      </c>
    </row>
    <row r="768">
      <c r="A768" s="2">
        <v>45899</v>
      </c>
      <c r="B768">
        <v>2026.0</v>
      </c>
      <c r="C768" t="s">
        <v>321</v>
      </c>
      <c r="D768" t="s">
        <v>316</v>
      </c>
      <c r="E768" t="s">
        <v>219</v>
      </c>
      <c r="F768" t="s">
        <v>306</v>
      </c>
      <c r="G768" t="s">
        <v>11</v>
      </c>
      <c r="H768">
        <v>4068.0</v>
      </c>
      <c r="I768" t="s">
        <v>31</v>
      </c>
      <c r="J768" t="s">
        <v>56</v>
      </c>
      <c r="K768" t="s">
        <v>95</v>
      </c>
      <c r="L768" t="s">
        <v>96</v>
      </c>
      <c r="M768">
        <v>22.990000000000002</v>
      </c>
    </row>
    <row r="769">
      <c r="A769" s="2">
        <v>45703</v>
      </c>
      <c r="B769">
        <v>2025.0</v>
      </c>
      <c r="C769" t="s">
        <v>315</v>
      </c>
      <c r="D769" t="s">
        <v>316</v>
      </c>
      <c r="E769" t="s">
        <v>209</v>
      </c>
      <c r="F769" t="s">
        <v>304</v>
      </c>
      <c r="G769" t="s">
        <v>9</v>
      </c>
      <c r="H769">
        <v>2116.0</v>
      </c>
      <c r="I769" t="s">
        <v>31</v>
      </c>
      <c r="J769" t="s">
        <v>81</v>
      </c>
      <c r="K769" t="s">
        <v>33</v>
      </c>
      <c r="L769" t="s">
        <v>34</v>
      </c>
      <c r="M769">
        <v>23.0</v>
      </c>
    </row>
    <row r="770">
      <c r="A770" s="2">
        <v>45913</v>
      </c>
      <c r="B770">
        <v>2026.0</v>
      </c>
      <c r="C770" t="s">
        <v>321</v>
      </c>
      <c r="D770" t="s">
        <v>316</v>
      </c>
      <c r="E770" t="s">
        <v>100</v>
      </c>
      <c r="F770" t="s">
        <v>307</v>
      </c>
      <c r="G770" t="s">
        <v>12</v>
      </c>
      <c r="H770">
        <v>6010.0</v>
      </c>
      <c r="I770" t="s">
        <v>31</v>
      </c>
      <c r="J770" t="s">
        <v>102</v>
      </c>
      <c r="K770" t="s">
        <v>43</v>
      </c>
      <c r="L770" t="s">
        <v>44</v>
      </c>
      <c r="M770">
        <v>23.0</v>
      </c>
    </row>
    <row r="771">
      <c r="A771" s="2">
        <v>45344</v>
      </c>
      <c r="B771">
        <v>2024.0</v>
      </c>
      <c r="C771" t="s">
        <v>318</v>
      </c>
      <c r="D771" t="s">
        <v>316</v>
      </c>
      <c r="E771" t="s">
        <v>256</v>
      </c>
      <c r="F771" t="s">
        <v>304</v>
      </c>
      <c r="G771" t="s">
        <v>9</v>
      </c>
      <c r="H771">
        <v>2350.0</v>
      </c>
      <c r="I771" t="s">
        <v>31</v>
      </c>
      <c r="J771" t="s">
        <v>70</v>
      </c>
      <c r="K771" t="s">
        <v>43</v>
      </c>
      <c r="L771" t="s">
        <v>44</v>
      </c>
      <c r="M771">
        <v>23.16</v>
      </c>
    </row>
    <row r="772">
      <c r="A772" s="2">
        <v>46000</v>
      </c>
      <c r="B772">
        <v>2026.0</v>
      </c>
      <c r="C772" t="s">
        <v>321</v>
      </c>
      <c r="D772" t="s">
        <v>316</v>
      </c>
      <c r="E772" t="s">
        <v>127</v>
      </c>
      <c r="F772" t="s">
        <v>306</v>
      </c>
      <c r="G772" t="s">
        <v>11</v>
      </c>
      <c r="H772">
        <v>4802.0</v>
      </c>
      <c r="I772" t="s">
        <v>31</v>
      </c>
      <c r="J772" t="s">
        <v>78</v>
      </c>
      <c r="K772" t="s">
        <v>38</v>
      </c>
      <c r="L772" t="s">
        <v>39</v>
      </c>
      <c r="M772">
        <v>23.18</v>
      </c>
    </row>
    <row r="773">
      <c r="A773" s="2">
        <v>45547</v>
      </c>
      <c r="B773">
        <v>2025.0</v>
      </c>
      <c r="C773" t="s">
        <v>315</v>
      </c>
      <c r="D773" t="s">
        <v>319</v>
      </c>
      <c r="E773" t="s">
        <v>150</v>
      </c>
      <c r="F773" t="s">
        <v>310</v>
      </c>
      <c r="G773" t="s">
        <v>15</v>
      </c>
      <c r="H773">
        <v>7250.0</v>
      </c>
      <c r="I773" t="s">
        <v>31</v>
      </c>
      <c r="J773" t="s">
        <v>53</v>
      </c>
      <c r="K773" t="s">
        <v>46</v>
      </c>
      <c r="L773" t="s">
        <v>47</v>
      </c>
      <c r="M773">
        <v>23.38</v>
      </c>
    </row>
    <row r="774">
      <c r="A774" s="2">
        <v>45394</v>
      </c>
      <c r="B774">
        <v>2024.0</v>
      </c>
      <c r="C774" t="s">
        <v>318</v>
      </c>
      <c r="D774" t="s">
        <v>319</v>
      </c>
      <c r="E774" t="s">
        <v>110</v>
      </c>
      <c r="F774" t="s">
        <v>304</v>
      </c>
      <c r="G774" t="s">
        <v>9</v>
      </c>
      <c r="H774">
        <v>2101.0</v>
      </c>
      <c r="I774" t="s">
        <v>31</v>
      </c>
      <c r="J774" t="s">
        <v>81</v>
      </c>
      <c r="K774" t="s">
        <v>71</v>
      </c>
      <c r="L774" t="s">
        <v>72</v>
      </c>
      <c r="M774">
        <v>23.39</v>
      </c>
    </row>
    <row r="775">
      <c r="A775" s="2">
        <v>45829</v>
      </c>
      <c r="B775">
        <v>2025.0</v>
      </c>
      <c r="C775" t="s">
        <v>315</v>
      </c>
      <c r="D775" t="s">
        <v>316</v>
      </c>
      <c r="E775" t="s">
        <v>185</v>
      </c>
      <c r="F775" t="s">
        <v>307</v>
      </c>
      <c r="G775" t="s">
        <v>12</v>
      </c>
      <c r="H775">
        <v>6109.0</v>
      </c>
      <c r="I775" t="s">
        <v>31</v>
      </c>
      <c r="J775" t="s">
        <v>162</v>
      </c>
      <c r="K775" t="s">
        <v>38</v>
      </c>
      <c r="L775" t="s">
        <v>39</v>
      </c>
      <c r="M775">
        <v>23.490000000000002</v>
      </c>
    </row>
    <row r="776">
      <c r="A776" s="2">
        <v>45863</v>
      </c>
      <c r="B776">
        <v>2026.0</v>
      </c>
      <c r="C776" t="s">
        <v>321</v>
      </c>
      <c r="D776" t="s">
        <v>319</v>
      </c>
      <c r="E776" t="s">
        <v>246</v>
      </c>
      <c r="F776" t="s">
        <v>305</v>
      </c>
      <c r="G776" t="s">
        <v>10</v>
      </c>
      <c r="H776">
        <v>3551.0</v>
      </c>
      <c r="I776" t="s">
        <v>31</v>
      </c>
      <c r="J776" t="s">
        <v>37</v>
      </c>
      <c r="K776" t="s">
        <v>112</v>
      </c>
      <c r="L776" t="s">
        <v>113</v>
      </c>
      <c r="M776">
        <v>23.76</v>
      </c>
    </row>
    <row r="777">
      <c r="A777" s="2">
        <v>45527</v>
      </c>
      <c r="B777">
        <v>2025.0</v>
      </c>
      <c r="C777" t="s">
        <v>315</v>
      </c>
      <c r="D777" t="s">
        <v>316</v>
      </c>
      <c r="E777" t="s">
        <v>185</v>
      </c>
      <c r="F777" t="s">
        <v>307</v>
      </c>
      <c r="G777" t="s">
        <v>12</v>
      </c>
      <c r="H777">
        <v>6109.0</v>
      </c>
      <c r="I777" t="s">
        <v>31</v>
      </c>
      <c r="J777" t="s">
        <v>162</v>
      </c>
      <c r="K777" t="s">
        <v>112</v>
      </c>
      <c r="L777" t="s">
        <v>113</v>
      </c>
      <c r="M777">
        <v>23.89</v>
      </c>
    </row>
    <row r="778">
      <c r="A778" s="2">
        <v>45976</v>
      </c>
      <c r="B778">
        <v>2026.0</v>
      </c>
      <c r="C778" t="s">
        <v>321</v>
      </c>
      <c r="D778" t="s">
        <v>316</v>
      </c>
      <c r="E778" t="s">
        <v>256</v>
      </c>
      <c r="F778" t="s">
        <v>304</v>
      </c>
      <c r="G778" t="s">
        <v>9</v>
      </c>
      <c r="H778">
        <v>2350.0</v>
      </c>
      <c r="I778" t="s">
        <v>31</v>
      </c>
      <c r="J778" t="s">
        <v>70</v>
      </c>
      <c r="K778" t="s">
        <v>66</v>
      </c>
      <c r="L778" t="s">
        <v>67</v>
      </c>
      <c r="M778">
        <v>23.9</v>
      </c>
    </row>
    <row r="779">
      <c r="A779" s="2">
        <v>45325</v>
      </c>
      <c r="B779">
        <v>2024.0</v>
      </c>
      <c r="C779" t="s">
        <v>318</v>
      </c>
      <c r="D779" t="s">
        <v>316</v>
      </c>
      <c r="E779" t="s">
        <v>234</v>
      </c>
      <c r="F779" t="s">
        <v>304</v>
      </c>
      <c r="G779" t="s">
        <v>9</v>
      </c>
      <c r="H779">
        <v>2158.0</v>
      </c>
      <c r="I779" t="s">
        <v>31</v>
      </c>
      <c r="J779" t="s">
        <v>81</v>
      </c>
      <c r="K779" t="s">
        <v>112</v>
      </c>
      <c r="L779" t="s">
        <v>113</v>
      </c>
      <c r="M779">
        <v>23.92</v>
      </c>
    </row>
    <row r="780">
      <c r="A780" s="2">
        <v>45374</v>
      </c>
      <c r="B780">
        <v>2024.0</v>
      </c>
      <c r="C780" t="s">
        <v>318</v>
      </c>
      <c r="D780" t="s">
        <v>316</v>
      </c>
      <c r="E780" t="s">
        <v>85</v>
      </c>
      <c r="F780" t="s">
        <v>304</v>
      </c>
      <c r="G780" t="s">
        <v>9</v>
      </c>
      <c r="H780">
        <v>2120.0</v>
      </c>
      <c r="I780" t="s">
        <v>31</v>
      </c>
      <c r="J780" t="s">
        <v>81</v>
      </c>
      <c r="K780" t="s">
        <v>112</v>
      </c>
      <c r="L780" t="s">
        <v>113</v>
      </c>
      <c r="M780">
        <v>23.92</v>
      </c>
    </row>
    <row r="781">
      <c r="A781" s="2">
        <v>45292</v>
      </c>
      <c r="B781">
        <v>2024.0</v>
      </c>
      <c r="C781" t="s">
        <v>318</v>
      </c>
      <c r="D781" t="s">
        <v>316</v>
      </c>
      <c r="E781" t="s">
        <v>35</v>
      </c>
      <c r="F781" t="s">
        <v>305</v>
      </c>
      <c r="G781" t="s">
        <v>10</v>
      </c>
      <c r="H781">
        <v>3280.0</v>
      </c>
      <c r="I781" t="s">
        <v>31</v>
      </c>
      <c r="J781" t="s">
        <v>37</v>
      </c>
      <c r="K781" t="s">
        <v>38</v>
      </c>
      <c r="L781" t="s">
        <v>39</v>
      </c>
      <c r="M781">
        <v>23.92</v>
      </c>
    </row>
    <row r="782">
      <c r="A782" s="2">
        <v>45798</v>
      </c>
      <c r="B782">
        <v>2025.0</v>
      </c>
      <c r="C782" t="s">
        <v>315</v>
      </c>
      <c r="D782" t="s">
        <v>316</v>
      </c>
      <c r="E782" t="s">
        <v>175</v>
      </c>
      <c r="F782" t="s">
        <v>311</v>
      </c>
      <c r="G782" t="s">
        <v>16</v>
      </c>
      <c r="H782">
        <v>2617.0</v>
      </c>
      <c r="I782" t="s">
        <v>31</v>
      </c>
      <c r="J782" t="s">
        <v>107</v>
      </c>
      <c r="K782" t="s">
        <v>66</v>
      </c>
      <c r="L782" t="s">
        <v>67</v>
      </c>
      <c r="M782">
        <v>23.94</v>
      </c>
    </row>
    <row r="783">
      <c r="A783" s="2">
        <v>45899</v>
      </c>
      <c r="B783">
        <v>2026.0</v>
      </c>
      <c r="C783" t="s">
        <v>321</v>
      </c>
      <c r="D783" t="s">
        <v>316</v>
      </c>
      <c r="E783" t="s">
        <v>215</v>
      </c>
      <c r="F783" t="s">
        <v>310</v>
      </c>
      <c r="G783" t="s">
        <v>15</v>
      </c>
      <c r="H783">
        <v>7320.0</v>
      </c>
      <c r="I783" t="s">
        <v>31</v>
      </c>
      <c r="J783" t="s">
        <v>53</v>
      </c>
      <c r="K783" t="s">
        <v>71</v>
      </c>
      <c r="L783" t="s">
        <v>72</v>
      </c>
      <c r="M783">
        <v>23.94</v>
      </c>
    </row>
    <row r="784">
      <c r="A784" s="2">
        <v>45361</v>
      </c>
      <c r="B784">
        <v>2024.0</v>
      </c>
      <c r="C784" t="s">
        <v>318</v>
      </c>
      <c r="D784" t="s">
        <v>319</v>
      </c>
      <c r="E784" t="s">
        <v>154</v>
      </c>
      <c r="F784" t="s">
        <v>306</v>
      </c>
      <c r="G784" t="s">
        <v>11</v>
      </c>
      <c r="H784">
        <v>4551.0</v>
      </c>
      <c r="I784" t="s">
        <v>31</v>
      </c>
      <c r="J784" t="s">
        <v>84</v>
      </c>
      <c r="K784" t="s">
        <v>112</v>
      </c>
      <c r="L784" t="s">
        <v>113</v>
      </c>
      <c r="M784">
        <v>23.94</v>
      </c>
    </row>
    <row r="785">
      <c r="A785" s="2">
        <v>45645</v>
      </c>
      <c r="B785">
        <v>2025.0</v>
      </c>
      <c r="C785" t="s">
        <v>315</v>
      </c>
      <c r="D785" t="s">
        <v>319</v>
      </c>
      <c r="E785" t="s">
        <v>87</v>
      </c>
      <c r="F785" t="s">
        <v>305</v>
      </c>
      <c r="G785" t="s">
        <v>10</v>
      </c>
      <c r="H785">
        <v>3148.0</v>
      </c>
      <c r="I785" t="s">
        <v>31</v>
      </c>
      <c r="J785" t="s">
        <v>89</v>
      </c>
      <c r="K785" t="s">
        <v>38</v>
      </c>
      <c r="L785" t="s">
        <v>39</v>
      </c>
      <c r="M785">
        <v>23.94</v>
      </c>
    </row>
    <row r="786">
      <c r="A786" s="2">
        <v>45849</v>
      </c>
      <c r="B786">
        <v>2026.0</v>
      </c>
      <c r="C786" t="s">
        <v>321</v>
      </c>
      <c r="D786" t="s">
        <v>316</v>
      </c>
      <c r="E786" t="s">
        <v>169</v>
      </c>
      <c r="F786" t="s">
        <v>307</v>
      </c>
      <c r="G786" t="s">
        <v>12</v>
      </c>
      <c r="H786">
        <v>6027.0</v>
      </c>
      <c r="I786" t="s">
        <v>31</v>
      </c>
      <c r="J786" t="s">
        <v>102</v>
      </c>
      <c r="K786" t="s">
        <v>71</v>
      </c>
      <c r="L786" t="s">
        <v>72</v>
      </c>
      <c r="M786">
        <v>23.94</v>
      </c>
    </row>
    <row r="787">
      <c r="A787" s="2">
        <v>45716</v>
      </c>
      <c r="B787">
        <v>2025.0</v>
      </c>
      <c r="C787" t="s">
        <v>315</v>
      </c>
      <c r="D787" t="s">
        <v>319</v>
      </c>
      <c r="E787" t="s">
        <v>183</v>
      </c>
      <c r="F787" t="s">
        <v>304</v>
      </c>
      <c r="G787" t="s">
        <v>9</v>
      </c>
      <c r="H787">
        <v>2480.0</v>
      </c>
      <c r="I787" t="s">
        <v>31</v>
      </c>
      <c r="J787" t="s">
        <v>70</v>
      </c>
      <c r="K787" t="s">
        <v>71</v>
      </c>
      <c r="L787" t="s">
        <v>72</v>
      </c>
      <c r="M787">
        <v>23.94</v>
      </c>
    </row>
    <row r="788">
      <c r="A788" s="2">
        <v>45436</v>
      </c>
      <c r="B788">
        <v>2024.0</v>
      </c>
      <c r="C788" t="s">
        <v>318</v>
      </c>
      <c r="D788" t="s">
        <v>319</v>
      </c>
      <c r="E788" t="s">
        <v>185</v>
      </c>
      <c r="F788" t="s">
        <v>307</v>
      </c>
      <c r="G788" t="s">
        <v>12</v>
      </c>
      <c r="H788">
        <v>6109.0</v>
      </c>
      <c r="I788" t="s">
        <v>31</v>
      </c>
      <c r="J788" t="s">
        <v>162</v>
      </c>
      <c r="K788" t="s">
        <v>33</v>
      </c>
      <c r="L788" t="s">
        <v>34</v>
      </c>
      <c r="M788">
        <v>23.94</v>
      </c>
    </row>
    <row r="789">
      <c r="A789" s="2">
        <v>45771</v>
      </c>
      <c r="B789">
        <v>2025.0</v>
      </c>
      <c r="C789" t="s">
        <v>315</v>
      </c>
      <c r="D789" t="s">
        <v>316</v>
      </c>
      <c r="E789" t="s">
        <v>97</v>
      </c>
      <c r="F789" t="s">
        <v>304</v>
      </c>
      <c r="G789" t="s">
        <v>9</v>
      </c>
      <c r="H789">
        <v>2067.0</v>
      </c>
      <c r="I789" t="s">
        <v>31</v>
      </c>
      <c r="J789" t="s">
        <v>99</v>
      </c>
      <c r="K789" t="s">
        <v>43</v>
      </c>
      <c r="L789" t="s">
        <v>44</v>
      </c>
      <c r="M789">
        <v>23.96</v>
      </c>
    </row>
    <row r="790">
      <c r="A790" s="2">
        <v>45426</v>
      </c>
      <c r="B790">
        <v>2024.0</v>
      </c>
      <c r="C790" t="s">
        <v>318</v>
      </c>
      <c r="D790" t="s">
        <v>316</v>
      </c>
      <c r="E790" t="s">
        <v>143</v>
      </c>
      <c r="F790" t="s">
        <v>309</v>
      </c>
      <c r="G790" t="s">
        <v>14</v>
      </c>
      <c r="H790">
        <v>800.0</v>
      </c>
      <c r="I790" t="s">
        <v>31</v>
      </c>
      <c r="J790" t="s">
        <v>145</v>
      </c>
      <c r="K790" t="s">
        <v>38</v>
      </c>
      <c r="L790" t="s">
        <v>39</v>
      </c>
      <c r="M790">
        <v>23.96</v>
      </c>
    </row>
    <row r="791">
      <c r="A791" s="2">
        <v>45514</v>
      </c>
      <c r="B791">
        <v>2025.0</v>
      </c>
      <c r="C791" t="s">
        <v>315</v>
      </c>
      <c r="D791" t="s">
        <v>319</v>
      </c>
      <c r="E791" t="s">
        <v>246</v>
      </c>
      <c r="F791" t="s">
        <v>305</v>
      </c>
      <c r="G791" t="s">
        <v>10</v>
      </c>
      <c r="H791">
        <v>3551.0</v>
      </c>
      <c r="I791" t="s">
        <v>31</v>
      </c>
      <c r="J791" t="s">
        <v>37</v>
      </c>
      <c r="K791" t="s">
        <v>33</v>
      </c>
      <c r="L791" t="s">
        <v>34</v>
      </c>
      <c r="M791">
        <v>23.96</v>
      </c>
    </row>
    <row r="792">
      <c r="A792" s="2">
        <v>45977</v>
      </c>
      <c r="B792">
        <v>2026.0</v>
      </c>
      <c r="C792" t="s">
        <v>321</v>
      </c>
      <c r="D792" t="s">
        <v>316</v>
      </c>
      <c r="E792" t="s">
        <v>131</v>
      </c>
      <c r="F792" t="s">
        <v>306</v>
      </c>
      <c r="G792" t="s">
        <v>11</v>
      </c>
      <c r="H792">
        <v>4655.0</v>
      </c>
      <c r="I792" t="s">
        <v>31</v>
      </c>
      <c r="J792" t="s">
        <v>32</v>
      </c>
      <c r="K792" t="s">
        <v>71</v>
      </c>
      <c r="L792" t="s">
        <v>72</v>
      </c>
      <c r="M792">
        <v>23.96</v>
      </c>
    </row>
    <row r="793">
      <c r="A793" s="2">
        <v>45918</v>
      </c>
      <c r="B793">
        <v>2026.0</v>
      </c>
      <c r="C793" t="s">
        <v>321</v>
      </c>
      <c r="D793" t="s">
        <v>316</v>
      </c>
      <c r="E793" t="s">
        <v>207</v>
      </c>
      <c r="F793" t="s">
        <v>306</v>
      </c>
      <c r="G793" t="s">
        <v>11</v>
      </c>
      <c r="H793">
        <v>4825.0</v>
      </c>
      <c r="I793" t="s">
        <v>31</v>
      </c>
      <c r="J793" t="s">
        <v>78</v>
      </c>
      <c r="K793" t="s">
        <v>95</v>
      </c>
      <c r="L793" t="s">
        <v>96</v>
      </c>
      <c r="M793">
        <v>23.96</v>
      </c>
    </row>
    <row r="794">
      <c r="A794" s="2">
        <v>45605</v>
      </c>
      <c r="B794">
        <v>2025.0</v>
      </c>
      <c r="C794" t="s">
        <v>315</v>
      </c>
      <c r="D794" t="s">
        <v>316</v>
      </c>
      <c r="E794" t="s">
        <v>244</v>
      </c>
      <c r="F794" t="s">
        <v>308</v>
      </c>
      <c r="G794" t="s">
        <v>13</v>
      </c>
      <c r="H794">
        <v>5168.0</v>
      </c>
      <c r="I794" t="s">
        <v>31</v>
      </c>
      <c r="J794" t="s">
        <v>42</v>
      </c>
      <c r="K794" t="s">
        <v>112</v>
      </c>
      <c r="L794" t="s">
        <v>113</v>
      </c>
      <c r="M794">
        <v>23.96</v>
      </c>
    </row>
    <row r="795">
      <c r="A795" s="2">
        <v>45583</v>
      </c>
      <c r="B795">
        <v>2025.0</v>
      </c>
      <c r="C795" t="s">
        <v>315</v>
      </c>
      <c r="D795" t="s">
        <v>319</v>
      </c>
      <c r="E795" t="s">
        <v>260</v>
      </c>
      <c r="F795" t="s">
        <v>305</v>
      </c>
      <c r="G795" t="s">
        <v>10</v>
      </c>
      <c r="H795">
        <v>3179.0</v>
      </c>
      <c r="I795" t="s">
        <v>31</v>
      </c>
      <c r="J795" t="s">
        <v>89</v>
      </c>
      <c r="K795" t="s">
        <v>46</v>
      </c>
      <c r="L795" t="s">
        <v>47</v>
      </c>
      <c r="M795">
        <v>23.96</v>
      </c>
    </row>
    <row r="796">
      <c r="A796" s="2">
        <v>45458</v>
      </c>
      <c r="B796">
        <v>2024.0</v>
      </c>
      <c r="C796" t="s">
        <v>318</v>
      </c>
      <c r="D796" t="s">
        <v>316</v>
      </c>
      <c r="E796" t="s">
        <v>133</v>
      </c>
      <c r="F796" t="s">
        <v>305</v>
      </c>
      <c r="G796" t="s">
        <v>10</v>
      </c>
      <c r="H796">
        <v>3429.0</v>
      </c>
      <c r="I796" t="s">
        <v>31</v>
      </c>
      <c r="J796" t="s">
        <v>37</v>
      </c>
      <c r="K796" t="s">
        <v>46</v>
      </c>
      <c r="L796" t="s">
        <v>47</v>
      </c>
      <c r="M796">
        <v>23.96</v>
      </c>
    </row>
    <row r="797">
      <c r="A797" s="2">
        <v>45579</v>
      </c>
      <c r="B797">
        <v>2025.0</v>
      </c>
      <c r="C797" t="s">
        <v>315</v>
      </c>
      <c r="D797" t="s">
        <v>316</v>
      </c>
      <c r="E797" t="s">
        <v>54</v>
      </c>
      <c r="F797" t="s">
        <v>306</v>
      </c>
      <c r="G797" t="s">
        <v>11</v>
      </c>
      <c r="H797">
        <v>4012.0</v>
      </c>
      <c r="I797" t="s">
        <v>31</v>
      </c>
      <c r="J797" t="s">
        <v>56</v>
      </c>
      <c r="K797" t="s">
        <v>38</v>
      </c>
      <c r="L797" t="s">
        <v>39</v>
      </c>
      <c r="M797">
        <v>23.96</v>
      </c>
    </row>
    <row r="798">
      <c r="A798" s="2">
        <v>45971</v>
      </c>
      <c r="B798">
        <v>2026.0</v>
      </c>
      <c r="C798" t="s">
        <v>321</v>
      </c>
      <c r="D798" t="s">
        <v>316</v>
      </c>
      <c r="E798" t="s">
        <v>40</v>
      </c>
      <c r="F798" t="s">
        <v>308</v>
      </c>
      <c r="G798" t="s">
        <v>13</v>
      </c>
      <c r="H798">
        <v>5011.0</v>
      </c>
      <c r="I798" t="s">
        <v>31</v>
      </c>
      <c r="J798" t="s">
        <v>42</v>
      </c>
      <c r="K798" t="s">
        <v>38</v>
      </c>
      <c r="L798" t="s">
        <v>39</v>
      </c>
      <c r="M798">
        <v>23.96</v>
      </c>
    </row>
    <row r="799">
      <c r="A799" s="2">
        <v>45793</v>
      </c>
      <c r="B799">
        <v>2025.0</v>
      </c>
      <c r="C799" t="s">
        <v>315</v>
      </c>
      <c r="D799" t="s">
        <v>316</v>
      </c>
      <c r="E799" t="s">
        <v>90</v>
      </c>
      <c r="F799" t="s">
        <v>305</v>
      </c>
      <c r="G799" t="s">
        <v>10</v>
      </c>
      <c r="H799">
        <v>3353.0</v>
      </c>
      <c r="I799" t="s">
        <v>31</v>
      </c>
      <c r="J799" t="s">
        <v>37</v>
      </c>
      <c r="K799" t="s">
        <v>57</v>
      </c>
      <c r="L799" t="s">
        <v>58</v>
      </c>
      <c r="M799">
        <v>23.97</v>
      </c>
    </row>
    <row r="800">
      <c r="A800" s="2">
        <v>45686</v>
      </c>
      <c r="B800">
        <v>2025.0</v>
      </c>
      <c r="C800" t="s">
        <v>315</v>
      </c>
      <c r="D800" t="s">
        <v>319</v>
      </c>
      <c r="E800" t="s">
        <v>201</v>
      </c>
      <c r="F800" t="s">
        <v>305</v>
      </c>
      <c r="G800" t="s">
        <v>10</v>
      </c>
      <c r="H800">
        <v>3131.0</v>
      </c>
      <c r="I800" t="s">
        <v>31</v>
      </c>
      <c r="J800" t="s">
        <v>89</v>
      </c>
      <c r="K800" t="s">
        <v>46</v>
      </c>
      <c r="L800" t="s">
        <v>47</v>
      </c>
      <c r="M800">
        <v>23.97</v>
      </c>
    </row>
    <row r="801">
      <c r="A801" s="2">
        <v>45794</v>
      </c>
      <c r="B801">
        <v>2025.0</v>
      </c>
      <c r="C801" t="s">
        <v>315</v>
      </c>
      <c r="D801" t="s">
        <v>316</v>
      </c>
      <c r="E801" t="s">
        <v>258</v>
      </c>
      <c r="F801" t="s">
        <v>309</v>
      </c>
      <c r="G801" t="s">
        <v>14</v>
      </c>
      <c r="H801">
        <v>870.0</v>
      </c>
      <c r="I801" t="s">
        <v>31</v>
      </c>
      <c r="J801" t="s">
        <v>145</v>
      </c>
      <c r="K801" t="s">
        <v>43</v>
      </c>
      <c r="L801" t="s">
        <v>44</v>
      </c>
      <c r="M801">
        <v>23.98</v>
      </c>
    </row>
    <row r="802">
      <c r="A802" s="2">
        <v>45994</v>
      </c>
      <c r="B802">
        <v>2026.0</v>
      </c>
      <c r="C802" t="s">
        <v>321</v>
      </c>
      <c r="D802" t="s">
        <v>316</v>
      </c>
      <c r="E802" t="s">
        <v>121</v>
      </c>
      <c r="F802" t="s">
        <v>306</v>
      </c>
      <c r="G802" t="s">
        <v>11</v>
      </c>
      <c r="H802">
        <v>4566.0</v>
      </c>
      <c r="I802" t="s">
        <v>31</v>
      </c>
      <c r="J802" t="s">
        <v>84</v>
      </c>
      <c r="K802" t="s">
        <v>123</v>
      </c>
      <c r="L802" t="s">
        <v>124</v>
      </c>
      <c r="M802">
        <v>23.990000000000002</v>
      </c>
    </row>
    <row r="803">
      <c r="A803" s="2">
        <v>45336</v>
      </c>
      <c r="B803">
        <v>2024.0</v>
      </c>
      <c r="C803" t="s">
        <v>318</v>
      </c>
      <c r="D803" t="s">
        <v>316</v>
      </c>
      <c r="E803" t="s">
        <v>195</v>
      </c>
      <c r="F803" t="s">
        <v>306</v>
      </c>
      <c r="G803" t="s">
        <v>11</v>
      </c>
      <c r="H803">
        <v>4700.0</v>
      </c>
      <c r="I803" t="s">
        <v>31</v>
      </c>
      <c r="J803" t="s">
        <v>32</v>
      </c>
      <c r="K803" t="s">
        <v>43</v>
      </c>
      <c r="L803" t="s">
        <v>44</v>
      </c>
      <c r="M803">
        <v>23.990000000000002</v>
      </c>
    </row>
    <row r="804">
      <c r="A804" s="2">
        <v>45456</v>
      </c>
      <c r="B804">
        <v>2024.0</v>
      </c>
      <c r="C804" t="s">
        <v>318</v>
      </c>
      <c r="D804" t="s">
        <v>319</v>
      </c>
      <c r="E804" t="s">
        <v>246</v>
      </c>
      <c r="F804" t="s">
        <v>305</v>
      </c>
      <c r="G804" t="s">
        <v>10</v>
      </c>
      <c r="H804">
        <v>3551.0</v>
      </c>
      <c r="I804" t="s">
        <v>31</v>
      </c>
      <c r="J804" t="s">
        <v>37</v>
      </c>
      <c r="K804" t="s">
        <v>57</v>
      </c>
      <c r="L804" t="s">
        <v>58</v>
      </c>
      <c r="M804">
        <v>24.04</v>
      </c>
    </row>
    <row r="805">
      <c r="A805" s="2">
        <v>45525</v>
      </c>
      <c r="B805">
        <v>2025.0</v>
      </c>
      <c r="C805" t="s">
        <v>315</v>
      </c>
      <c r="D805" t="s">
        <v>319</v>
      </c>
      <c r="E805" t="s">
        <v>236</v>
      </c>
      <c r="F805" t="s">
        <v>307</v>
      </c>
      <c r="G805" t="s">
        <v>12</v>
      </c>
      <c r="H805">
        <v>6052.0</v>
      </c>
      <c r="I805" t="s">
        <v>31</v>
      </c>
      <c r="J805" t="s">
        <v>102</v>
      </c>
      <c r="K805" t="s">
        <v>33</v>
      </c>
      <c r="L805" t="s">
        <v>34</v>
      </c>
      <c r="M805">
        <v>24.08</v>
      </c>
    </row>
    <row r="806">
      <c r="A806" s="2">
        <v>45511</v>
      </c>
      <c r="B806">
        <v>2025.0</v>
      </c>
      <c r="C806" t="s">
        <v>315</v>
      </c>
      <c r="D806" t="s">
        <v>319</v>
      </c>
      <c r="E806" t="s">
        <v>248</v>
      </c>
      <c r="F806" t="s">
        <v>307</v>
      </c>
      <c r="G806" t="s">
        <v>12</v>
      </c>
      <c r="H806">
        <v>6112.0</v>
      </c>
      <c r="I806" t="s">
        <v>31</v>
      </c>
      <c r="J806" t="s">
        <v>162</v>
      </c>
      <c r="K806" t="s">
        <v>43</v>
      </c>
      <c r="L806" t="s">
        <v>44</v>
      </c>
      <c r="M806">
        <v>24.42</v>
      </c>
    </row>
    <row r="807">
      <c r="A807" s="2">
        <v>46021</v>
      </c>
      <c r="B807">
        <v>2026.0</v>
      </c>
      <c r="C807" t="s">
        <v>321</v>
      </c>
      <c r="D807" t="s">
        <v>316</v>
      </c>
      <c r="E807" t="s">
        <v>169</v>
      </c>
      <c r="F807" t="s">
        <v>307</v>
      </c>
      <c r="G807" t="s">
        <v>12</v>
      </c>
      <c r="H807">
        <v>6027.0</v>
      </c>
      <c r="I807" t="s">
        <v>31</v>
      </c>
      <c r="J807" t="s">
        <v>102</v>
      </c>
      <c r="K807" t="s">
        <v>123</v>
      </c>
      <c r="L807" t="s">
        <v>124</v>
      </c>
      <c r="M807">
        <v>24.439999999999998</v>
      </c>
    </row>
    <row r="808">
      <c r="A808" s="2">
        <v>45336</v>
      </c>
      <c r="B808">
        <v>2024.0</v>
      </c>
      <c r="C808" t="s">
        <v>318</v>
      </c>
      <c r="D808" t="s">
        <v>316</v>
      </c>
      <c r="E808" t="s">
        <v>191</v>
      </c>
      <c r="F808" t="s">
        <v>305</v>
      </c>
      <c r="G808" t="s">
        <v>10</v>
      </c>
      <c r="H808">
        <v>3030.0</v>
      </c>
      <c r="I808" t="s">
        <v>31</v>
      </c>
      <c r="J808" t="s">
        <v>120</v>
      </c>
      <c r="K808" t="s">
        <v>71</v>
      </c>
      <c r="L808" t="s">
        <v>72</v>
      </c>
      <c r="M808">
        <v>24.45</v>
      </c>
    </row>
    <row r="809">
      <c r="A809" s="2">
        <v>45687</v>
      </c>
      <c r="B809">
        <v>2025.0</v>
      </c>
      <c r="C809" t="s">
        <v>315</v>
      </c>
      <c r="D809" t="s">
        <v>316</v>
      </c>
      <c r="E809" t="s">
        <v>225</v>
      </c>
      <c r="F809" t="s">
        <v>308</v>
      </c>
      <c r="G809" t="s">
        <v>13</v>
      </c>
      <c r="H809">
        <v>5607.0</v>
      </c>
      <c r="I809" t="s">
        <v>31</v>
      </c>
      <c r="J809" t="s">
        <v>227</v>
      </c>
      <c r="K809" t="s">
        <v>43</v>
      </c>
      <c r="L809" t="s">
        <v>44</v>
      </c>
      <c r="M809">
        <v>24.46</v>
      </c>
    </row>
    <row r="810">
      <c r="A810" s="2">
        <v>45322</v>
      </c>
      <c r="B810">
        <v>2024.0</v>
      </c>
      <c r="C810" t="s">
        <v>318</v>
      </c>
      <c r="D810" t="s">
        <v>316</v>
      </c>
      <c r="E810" t="s">
        <v>195</v>
      </c>
      <c r="F810" t="s">
        <v>306</v>
      </c>
      <c r="G810" t="s">
        <v>11</v>
      </c>
      <c r="H810">
        <v>4700.0</v>
      </c>
      <c r="I810" t="s">
        <v>31</v>
      </c>
      <c r="J810" t="s">
        <v>32</v>
      </c>
      <c r="K810" t="s">
        <v>123</v>
      </c>
      <c r="L810" t="s">
        <v>124</v>
      </c>
      <c r="M810">
        <v>24.490000000000002</v>
      </c>
    </row>
    <row r="811">
      <c r="A811" s="2">
        <v>45978</v>
      </c>
      <c r="B811">
        <v>2026.0</v>
      </c>
      <c r="C811" t="s">
        <v>321</v>
      </c>
      <c r="D811" t="s">
        <v>319</v>
      </c>
      <c r="E811" t="s">
        <v>108</v>
      </c>
      <c r="F811" t="s">
        <v>304</v>
      </c>
      <c r="G811" t="s">
        <v>9</v>
      </c>
      <c r="H811">
        <v>2795.0</v>
      </c>
      <c r="I811" t="s">
        <v>31</v>
      </c>
      <c r="J811" t="s">
        <v>75</v>
      </c>
      <c r="K811" t="s">
        <v>46</v>
      </c>
      <c r="L811" t="s">
        <v>47</v>
      </c>
      <c r="M811">
        <v>24.58</v>
      </c>
    </row>
    <row r="812">
      <c r="A812" s="2">
        <v>45399</v>
      </c>
      <c r="B812">
        <v>2024.0</v>
      </c>
      <c r="C812" t="s">
        <v>318</v>
      </c>
      <c r="D812" t="s">
        <v>319</v>
      </c>
      <c r="E812" t="s">
        <v>108</v>
      </c>
      <c r="F812" t="s">
        <v>304</v>
      </c>
      <c r="G812" t="s">
        <v>9</v>
      </c>
      <c r="H812">
        <v>2795.0</v>
      </c>
      <c r="I812" t="s">
        <v>31</v>
      </c>
      <c r="J812" t="s">
        <v>75</v>
      </c>
      <c r="K812" t="s">
        <v>123</v>
      </c>
      <c r="L812" t="s">
        <v>124</v>
      </c>
      <c r="M812">
        <v>24.880000000000003</v>
      </c>
    </row>
    <row r="813">
      <c r="A813" s="2">
        <v>45935</v>
      </c>
      <c r="B813">
        <v>2026.0</v>
      </c>
      <c r="C813" t="s">
        <v>321</v>
      </c>
      <c r="D813" t="s">
        <v>319</v>
      </c>
      <c r="E813" t="s">
        <v>82</v>
      </c>
      <c r="F813" t="s">
        <v>306</v>
      </c>
      <c r="G813" t="s">
        <v>11</v>
      </c>
      <c r="H813">
        <v>4558.0</v>
      </c>
      <c r="I813" t="s">
        <v>31</v>
      </c>
      <c r="J813" t="s">
        <v>84</v>
      </c>
      <c r="K813" t="s">
        <v>38</v>
      </c>
      <c r="L813" t="s">
        <v>39</v>
      </c>
      <c r="M813">
        <v>24.93</v>
      </c>
    </row>
    <row r="814">
      <c r="A814" s="2">
        <v>45714</v>
      </c>
      <c r="B814">
        <v>2025.0</v>
      </c>
      <c r="C814" t="s">
        <v>315</v>
      </c>
      <c r="D814" t="s">
        <v>316</v>
      </c>
      <c r="E814" t="s">
        <v>217</v>
      </c>
      <c r="F814" t="s">
        <v>305</v>
      </c>
      <c r="G814" t="s">
        <v>10</v>
      </c>
      <c r="H814">
        <v>3136.0</v>
      </c>
      <c r="I814" t="s">
        <v>31</v>
      </c>
      <c r="J814" t="s">
        <v>89</v>
      </c>
      <c r="K814" t="s">
        <v>112</v>
      </c>
      <c r="L814" t="s">
        <v>113</v>
      </c>
      <c r="M814">
        <v>24.95</v>
      </c>
    </row>
    <row r="815">
      <c r="A815" s="2">
        <v>45895</v>
      </c>
      <c r="B815">
        <v>2026.0</v>
      </c>
      <c r="C815" t="s">
        <v>321</v>
      </c>
      <c r="D815" t="s">
        <v>319</v>
      </c>
      <c r="E815" t="s">
        <v>246</v>
      </c>
      <c r="F815" t="s">
        <v>305</v>
      </c>
      <c r="G815" t="s">
        <v>10</v>
      </c>
      <c r="H815">
        <v>3551.0</v>
      </c>
      <c r="I815" t="s">
        <v>31</v>
      </c>
      <c r="J815" t="s">
        <v>37</v>
      </c>
      <c r="K815" t="s">
        <v>112</v>
      </c>
      <c r="L815" t="s">
        <v>113</v>
      </c>
      <c r="M815">
        <v>24.95</v>
      </c>
    </row>
    <row r="816">
      <c r="A816" s="2">
        <v>45517</v>
      </c>
      <c r="B816">
        <v>2025.0</v>
      </c>
      <c r="C816" t="s">
        <v>315</v>
      </c>
      <c r="D816" t="s">
        <v>316</v>
      </c>
      <c r="E816" t="s">
        <v>82</v>
      </c>
      <c r="F816" t="s">
        <v>306</v>
      </c>
      <c r="G816" t="s">
        <v>11</v>
      </c>
      <c r="H816">
        <v>4558.0</v>
      </c>
      <c r="I816" t="s">
        <v>31</v>
      </c>
      <c r="J816" t="s">
        <v>84</v>
      </c>
      <c r="K816" t="s">
        <v>71</v>
      </c>
      <c r="L816" t="s">
        <v>72</v>
      </c>
      <c r="M816">
        <v>24.95</v>
      </c>
    </row>
    <row r="817">
      <c r="A817" s="2">
        <v>45964</v>
      </c>
      <c r="B817">
        <v>2026.0</v>
      </c>
      <c r="C817" t="s">
        <v>321</v>
      </c>
      <c r="D817" t="s">
        <v>319</v>
      </c>
      <c r="E817" t="s">
        <v>105</v>
      </c>
      <c r="F817" t="s">
        <v>304</v>
      </c>
      <c r="G817" t="s">
        <v>9</v>
      </c>
      <c r="H817">
        <v>2541.0</v>
      </c>
      <c r="I817" t="s">
        <v>31</v>
      </c>
      <c r="J817" t="s">
        <v>107</v>
      </c>
      <c r="K817" t="s">
        <v>33</v>
      </c>
      <c r="L817" t="s">
        <v>34</v>
      </c>
      <c r="M817">
        <v>24.97</v>
      </c>
    </row>
    <row r="818">
      <c r="A818" s="2">
        <v>45861</v>
      </c>
      <c r="B818">
        <v>2026.0</v>
      </c>
      <c r="C818" t="s">
        <v>321</v>
      </c>
      <c r="D818" t="s">
        <v>319</v>
      </c>
      <c r="E818" t="s">
        <v>108</v>
      </c>
      <c r="F818" t="s">
        <v>304</v>
      </c>
      <c r="G818" t="s">
        <v>9</v>
      </c>
      <c r="H818">
        <v>2795.0</v>
      </c>
      <c r="I818" t="s">
        <v>31</v>
      </c>
      <c r="J818" t="s">
        <v>75</v>
      </c>
      <c r="K818" t="s">
        <v>57</v>
      </c>
      <c r="L818" t="s">
        <v>58</v>
      </c>
      <c r="M818">
        <v>24.99</v>
      </c>
    </row>
    <row r="819">
      <c r="A819" s="2">
        <v>45803</v>
      </c>
      <c r="B819">
        <v>2025.0</v>
      </c>
      <c r="C819" t="s">
        <v>315</v>
      </c>
      <c r="D819" t="s">
        <v>316</v>
      </c>
      <c r="E819" t="s">
        <v>158</v>
      </c>
      <c r="F819" t="s">
        <v>306</v>
      </c>
      <c r="G819" t="s">
        <v>11</v>
      </c>
      <c r="H819">
        <v>4570.0</v>
      </c>
      <c r="I819" t="s">
        <v>31</v>
      </c>
      <c r="J819" t="s">
        <v>84</v>
      </c>
      <c r="K819" t="s">
        <v>123</v>
      </c>
      <c r="L819" t="s">
        <v>124</v>
      </c>
      <c r="M819">
        <v>24.99</v>
      </c>
    </row>
    <row r="820">
      <c r="A820" s="2">
        <v>45867</v>
      </c>
      <c r="B820">
        <v>2026.0</v>
      </c>
      <c r="C820" t="s">
        <v>321</v>
      </c>
      <c r="D820" t="s">
        <v>316</v>
      </c>
      <c r="E820" t="s">
        <v>146</v>
      </c>
      <c r="F820" t="s">
        <v>304</v>
      </c>
      <c r="G820" t="s">
        <v>9</v>
      </c>
      <c r="H820">
        <v>2790.0</v>
      </c>
      <c r="I820" t="s">
        <v>31</v>
      </c>
      <c r="J820" t="s">
        <v>75</v>
      </c>
      <c r="K820" t="s">
        <v>123</v>
      </c>
      <c r="L820" t="s">
        <v>124</v>
      </c>
      <c r="M820">
        <v>24.99</v>
      </c>
    </row>
    <row r="821">
      <c r="A821" s="2">
        <v>45826</v>
      </c>
      <c r="B821">
        <v>2025.0</v>
      </c>
      <c r="C821" t="s">
        <v>315</v>
      </c>
      <c r="D821" t="s">
        <v>316</v>
      </c>
      <c r="E821" t="s">
        <v>146</v>
      </c>
      <c r="F821" t="s">
        <v>304</v>
      </c>
      <c r="G821" t="s">
        <v>9</v>
      </c>
      <c r="H821">
        <v>2790.0</v>
      </c>
      <c r="I821" t="s">
        <v>31</v>
      </c>
      <c r="J821" t="s">
        <v>75</v>
      </c>
      <c r="K821" t="s">
        <v>43</v>
      </c>
      <c r="L821" t="s">
        <v>44</v>
      </c>
      <c r="M821">
        <v>24.99</v>
      </c>
    </row>
    <row r="822">
      <c r="A822" s="2">
        <v>45514</v>
      </c>
      <c r="B822">
        <v>2025.0</v>
      </c>
      <c r="C822" t="s">
        <v>315</v>
      </c>
      <c r="D822" t="s">
        <v>316</v>
      </c>
      <c r="E822" t="s">
        <v>205</v>
      </c>
      <c r="F822" t="s">
        <v>305</v>
      </c>
      <c r="G822" t="s">
        <v>10</v>
      </c>
      <c r="H822">
        <v>3400.0</v>
      </c>
      <c r="I822" t="s">
        <v>31</v>
      </c>
      <c r="J822" t="s">
        <v>37</v>
      </c>
      <c r="K822" t="s">
        <v>46</v>
      </c>
      <c r="L822" t="s">
        <v>47</v>
      </c>
      <c r="M822">
        <v>24.990000000000002</v>
      </c>
    </row>
    <row r="823">
      <c r="A823" s="2">
        <v>45996</v>
      </c>
      <c r="B823">
        <v>2026.0</v>
      </c>
      <c r="C823" t="s">
        <v>321</v>
      </c>
      <c r="D823" t="s">
        <v>316</v>
      </c>
      <c r="E823" t="s">
        <v>35</v>
      </c>
      <c r="F823" t="s">
        <v>305</v>
      </c>
      <c r="G823" t="s">
        <v>10</v>
      </c>
      <c r="H823">
        <v>3280.0</v>
      </c>
      <c r="I823" t="s">
        <v>31</v>
      </c>
      <c r="J823" t="s">
        <v>37</v>
      </c>
      <c r="K823" t="s">
        <v>71</v>
      </c>
      <c r="L823" t="s">
        <v>72</v>
      </c>
      <c r="M823">
        <v>25.0</v>
      </c>
    </row>
    <row r="824">
      <c r="A824" s="2">
        <v>46004</v>
      </c>
      <c r="B824">
        <v>2026.0</v>
      </c>
      <c r="C824" t="s">
        <v>321</v>
      </c>
      <c r="D824" t="s">
        <v>316</v>
      </c>
      <c r="E824" t="s">
        <v>183</v>
      </c>
      <c r="F824" t="s">
        <v>304</v>
      </c>
      <c r="G824" t="s">
        <v>9</v>
      </c>
      <c r="H824">
        <v>2480.0</v>
      </c>
      <c r="I824" t="s">
        <v>31</v>
      </c>
      <c r="J824" t="s">
        <v>70</v>
      </c>
      <c r="K824" t="s">
        <v>33</v>
      </c>
      <c r="L824" t="s">
        <v>34</v>
      </c>
      <c r="M824">
        <v>25.0</v>
      </c>
    </row>
    <row r="825">
      <c r="A825" s="2">
        <v>45888</v>
      </c>
      <c r="B825">
        <v>2026.0</v>
      </c>
      <c r="C825" t="s">
        <v>321</v>
      </c>
      <c r="D825" t="s">
        <v>316</v>
      </c>
      <c r="E825" t="s">
        <v>238</v>
      </c>
      <c r="F825" t="s">
        <v>308</v>
      </c>
      <c r="G825" t="s">
        <v>13</v>
      </c>
      <c r="H825">
        <v>5082.0</v>
      </c>
      <c r="I825" t="s">
        <v>31</v>
      </c>
      <c r="J825" t="s">
        <v>42</v>
      </c>
      <c r="K825" t="s">
        <v>43</v>
      </c>
      <c r="L825" t="s">
        <v>44</v>
      </c>
      <c r="M825">
        <v>25.0</v>
      </c>
    </row>
    <row r="826">
      <c r="A826" s="2">
        <v>45627</v>
      </c>
      <c r="B826">
        <v>2025.0</v>
      </c>
      <c r="C826" t="s">
        <v>315</v>
      </c>
      <c r="D826" t="s">
        <v>316</v>
      </c>
      <c r="E826" t="s">
        <v>35</v>
      </c>
      <c r="F826" t="s">
        <v>305</v>
      </c>
      <c r="G826" t="s">
        <v>10</v>
      </c>
      <c r="H826">
        <v>3280.0</v>
      </c>
      <c r="I826" t="s">
        <v>31</v>
      </c>
      <c r="J826" t="s">
        <v>37</v>
      </c>
      <c r="K826" t="s">
        <v>95</v>
      </c>
      <c r="L826" t="s">
        <v>96</v>
      </c>
      <c r="M826">
        <v>25.0</v>
      </c>
    </row>
    <row r="827">
      <c r="A827" s="2">
        <v>45642</v>
      </c>
      <c r="B827">
        <v>2025.0</v>
      </c>
      <c r="C827" t="s">
        <v>315</v>
      </c>
      <c r="D827" t="s">
        <v>316</v>
      </c>
      <c r="E827" t="s">
        <v>82</v>
      </c>
      <c r="F827" t="s">
        <v>306</v>
      </c>
      <c r="G827" t="s">
        <v>11</v>
      </c>
      <c r="H827">
        <v>4558.0</v>
      </c>
      <c r="I827" t="s">
        <v>31</v>
      </c>
      <c r="J827" t="s">
        <v>84</v>
      </c>
      <c r="K827" t="s">
        <v>43</v>
      </c>
      <c r="L827" t="s">
        <v>44</v>
      </c>
      <c r="M827">
        <v>25.19</v>
      </c>
    </row>
    <row r="828">
      <c r="A828" s="2">
        <v>45805</v>
      </c>
      <c r="B828">
        <v>2025.0</v>
      </c>
      <c r="C828" t="s">
        <v>315</v>
      </c>
      <c r="D828" t="s">
        <v>316</v>
      </c>
      <c r="E828" t="s">
        <v>156</v>
      </c>
      <c r="F828" t="s">
        <v>304</v>
      </c>
      <c r="G828" t="s">
        <v>9</v>
      </c>
      <c r="H828">
        <v>2830.0</v>
      </c>
      <c r="I828" t="s">
        <v>31</v>
      </c>
      <c r="J828" t="s">
        <v>75</v>
      </c>
      <c r="K828" t="s">
        <v>95</v>
      </c>
      <c r="L828" t="s">
        <v>96</v>
      </c>
      <c r="M828">
        <v>25.2</v>
      </c>
    </row>
    <row r="829">
      <c r="A829" s="2">
        <v>45591</v>
      </c>
      <c r="B829">
        <v>2025.0</v>
      </c>
      <c r="C829" t="s">
        <v>315</v>
      </c>
      <c r="D829" t="s">
        <v>316</v>
      </c>
      <c r="E829" t="s">
        <v>163</v>
      </c>
      <c r="F829" t="s">
        <v>304</v>
      </c>
      <c r="G829" t="s">
        <v>9</v>
      </c>
      <c r="H829">
        <v>2154.0</v>
      </c>
      <c r="I829" t="s">
        <v>31</v>
      </c>
      <c r="J829" t="s">
        <v>81</v>
      </c>
      <c r="K829" t="s">
        <v>46</v>
      </c>
      <c r="L829" t="s">
        <v>47</v>
      </c>
      <c r="M829">
        <v>25.5</v>
      </c>
    </row>
    <row r="830">
      <c r="A830" s="2">
        <v>45820</v>
      </c>
      <c r="B830">
        <v>2025.0</v>
      </c>
      <c r="C830" t="s">
        <v>315</v>
      </c>
      <c r="D830" t="s">
        <v>316</v>
      </c>
      <c r="E830" t="s">
        <v>139</v>
      </c>
      <c r="F830" t="s">
        <v>305</v>
      </c>
      <c r="G830" t="s">
        <v>10</v>
      </c>
      <c r="H830">
        <v>3199.0</v>
      </c>
      <c r="I830" t="s">
        <v>31</v>
      </c>
      <c r="J830" t="s">
        <v>89</v>
      </c>
      <c r="K830" t="s">
        <v>95</v>
      </c>
      <c r="L830" t="s">
        <v>96</v>
      </c>
      <c r="M830">
        <v>25.52</v>
      </c>
    </row>
    <row r="831">
      <c r="A831" s="2">
        <v>45867</v>
      </c>
      <c r="B831">
        <v>2026.0</v>
      </c>
      <c r="C831" t="s">
        <v>321</v>
      </c>
      <c r="D831" t="s">
        <v>316</v>
      </c>
      <c r="E831" t="s">
        <v>177</v>
      </c>
      <c r="F831" t="s">
        <v>307</v>
      </c>
      <c r="G831" t="s">
        <v>12</v>
      </c>
      <c r="H831">
        <v>6330.0</v>
      </c>
      <c r="I831" t="s">
        <v>31</v>
      </c>
      <c r="J831" t="s">
        <v>162</v>
      </c>
      <c r="K831" t="s">
        <v>43</v>
      </c>
      <c r="L831" t="s">
        <v>44</v>
      </c>
      <c r="M831">
        <v>25.6</v>
      </c>
    </row>
    <row r="832">
      <c r="A832" s="2">
        <v>46009</v>
      </c>
      <c r="B832">
        <v>2026.0</v>
      </c>
      <c r="C832" t="s">
        <v>321</v>
      </c>
      <c r="D832" t="s">
        <v>316</v>
      </c>
      <c r="E832" t="s">
        <v>232</v>
      </c>
      <c r="F832" t="s">
        <v>304</v>
      </c>
      <c r="G832" t="s">
        <v>9</v>
      </c>
      <c r="H832">
        <v>2800.0</v>
      </c>
      <c r="I832" t="s">
        <v>31</v>
      </c>
      <c r="J832" t="s">
        <v>75</v>
      </c>
      <c r="K832" t="s">
        <v>123</v>
      </c>
      <c r="L832" t="s">
        <v>124</v>
      </c>
      <c r="M832">
        <v>25.77</v>
      </c>
    </row>
    <row r="833">
      <c r="A833" s="2">
        <v>45696</v>
      </c>
      <c r="B833">
        <v>2025.0</v>
      </c>
      <c r="C833" t="s">
        <v>315</v>
      </c>
      <c r="D833" t="s">
        <v>316</v>
      </c>
      <c r="E833" t="s">
        <v>221</v>
      </c>
      <c r="F833" t="s">
        <v>306</v>
      </c>
      <c r="G833" t="s">
        <v>11</v>
      </c>
      <c r="H833">
        <v>4053.0</v>
      </c>
      <c r="I833" t="s">
        <v>31</v>
      </c>
      <c r="J833" t="s">
        <v>56</v>
      </c>
      <c r="K833" t="s">
        <v>66</v>
      </c>
      <c r="L833" t="s">
        <v>67</v>
      </c>
      <c r="M833">
        <v>25.79</v>
      </c>
    </row>
    <row r="834">
      <c r="A834" s="2">
        <v>45372</v>
      </c>
      <c r="B834">
        <v>2024.0</v>
      </c>
      <c r="C834" t="s">
        <v>318</v>
      </c>
      <c r="D834" t="s">
        <v>316</v>
      </c>
      <c r="E834" t="s">
        <v>223</v>
      </c>
      <c r="F834" t="s">
        <v>305</v>
      </c>
      <c r="G834" t="s">
        <v>10</v>
      </c>
      <c r="H834">
        <v>3915.0</v>
      </c>
      <c r="I834" t="s">
        <v>31</v>
      </c>
      <c r="J834" t="s">
        <v>94</v>
      </c>
      <c r="K834" t="s">
        <v>95</v>
      </c>
      <c r="L834" t="s">
        <v>96</v>
      </c>
      <c r="M834">
        <v>25.84</v>
      </c>
    </row>
    <row r="835">
      <c r="A835" s="2">
        <v>45842</v>
      </c>
      <c r="B835">
        <v>2026.0</v>
      </c>
      <c r="C835" t="s">
        <v>321</v>
      </c>
      <c r="D835" t="s">
        <v>319</v>
      </c>
      <c r="E835" t="s">
        <v>103</v>
      </c>
      <c r="F835" t="s">
        <v>307</v>
      </c>
      <c r="G835" t="s">
        <v>12</v>
      </c>
      <c r="H835">
        <v>6021.0</v>
      </c>
      <c r="I835" t="s">
        <v>31</v>
      </c>
      <c r="J835" t="s">
        <v>102</v>
      </c>
      <c r="K835" t="s">
        <v>33</v>
      </c>
      <c r="L835" t="s">
        <v>34</v>
      </c>
      <c r="M835">
        <v>25.92</v>
      </c>
    </row>
    <row r="836">
      <c r="A836" s="2">
        <v>45855</v>
      </c>
      <c r="B836">
        <v>2026.0</v>
      </c>
      <c r="C836" t="s">
        <v>321</v>
      </c>
      <c r="D836" t="s">
        <v>319</v>
      </c>
      <c r="E836" t="s">
        <v>211</v>
      </c>
      <c r="F836" t="s">
        <v>304</v>
      </c>
      <c r="G836" t="s">
        <v>9</v>
      </c>
      <c r="H836">
        <v>2650.0</v>
      </c>
      <c r="I836" t="s">
        <v>31</v>
      </c>
      <c r="J836" t="s">
        <v>75</v>
      </c>
      <c r="K836" t="s">
        <v>112</v>
      </c>
      <c r="L836" t="s">
        <v>113</v>
      </c>
      <c r="M836">
        <v>25.93</v>
      </c>
    </row>
    <row r="837">
      <c r="A837" s="2">
        <v>45373</v>
      </c>
      <c r="B837">
        <v>2024.0</v>
      </c>
      <c r="C837" t="s">
        <v>318</v>
      </c>
      <c r="D837" t="s">
        <v>319</v>
      </c>
      <c r="E837" t="s">
        <v>121</v>
      </c>
      <c r="F837" t="s">
        <v>306</v>
      </c>
      <c r="G837" t="s">
        <v>11</v>
      </c>
      <c r="H837">
        <v>4566.0</v>
      </c>
      <c r="I837" t="s">
        <v>31</v>
      </c>
      <c r="J837" t="s">
        <v>84</v>
      </c>
      <c r="K837" t="s">
        <v>33</v>
      </c>
      <c r="L837" t="s">
        <v>34</v>
      </c>
      <c r="M837">
        <v>25.95</v>
      </c>
    </row>
    <row r="838">
      <c r="A838" s="2">
        <v>45465</v>
      </c>
      <c r="B838">
        <v>2024.0</v>
      </c>
      <c r="C838" t="s">
        <v>318</v>
      </c>
      <c r="D838" t="s">
        <v>316</v>
      </c>
      <c r="E838" t="s">
        <v>51</v>
      </c>
      <c r="F838" t="s">
        <v>310</v>
      </c>
      <c r="G838" t="s">
        <v>15</v>
      </c>
      <c r="H838">
        <v>7018.0</v>
      </c>
      <c r="I838" t="s">
        <v>31</v>
      </c>
      <c r="J838" t="s">
        <v>53</v>
      </c>
      <c r="K838" t="s">
        <v>95</v>
      </c>
      <c r="L838" t="s">
        <v>96</v>
      </c>
      <c r="M838">
        <v>25.95</v>
      </c>
    </row>
    <row r="839">
      <c r="A839" s="2">
        <v>45338</v>
      </c>
      <c r="B839">
        <v>2024.0</v>
      </c>
      <c r="C839" t="s">
        <v>318</v>
      </c>
      <c r="D839" t="s">
        <v>316</v>
      </c>
      <c r="E839" t="s">
        <v>252</v>
      </c>
      <c r="F839" t="s">
        <v>305</v>
      </c>
      <c r="G839" t="s">
        <v>10</v>
      </c>
      <c r="H839">
        <v>3630.0</v>
      </c>
      <c r="I839" t="s">
        <v>31</v>
      </c>
      <c r="J839" t="s">
        <v>94</v>
      </c>
      <c r="K839" t="s">
        <v>33</v>
      </c>
      <c r="L839" t="s">
        <v>34</v>
      </c>
      <c r="M839">
        <v>25.95</v>
      </c>
    </row>
    <row r="840">
      <c r="A840" s="2">
        <v>45413</v>
      </c>
      <c r="B840">
        <v>2024.0</v>
      </c>
      <c r="C840" t="s">
        <v>318</v>
      </c>
      <c r="D840" t="s">
        <v>316</v>
      </c>
      <c r="E840" t="s">
        <v>40</v>
      </c>
      <c r="F840" t="s">
        <v>308</v>
      </c>
      <c r="G840" t="s">
        <v>13</v>
      </c>
      <c r="H840">
        <v>5011.0</v>
      </c>
      <c r="I840" t="s">
        <v>31</v>
      </c>
      <c r="J840" t="s">
        <v>42</v>
      </c>
      <c r="K840" t="s">
        <v>123</v>
      </c>
      <c r="L840" t="s">
        <v>124</v>
      </c>
      <c r="M840">
        <v>25.95</v>
      </c>
    </row>
    <row r="841">
      <c r="A841" s="2">
        <v>45458</v>
      </c>
      <c r="B841">
        <v>2024.0</v>
      </c>
      <c r="C841" t="s">
        <v>318</v>
      </c>
      <c r="D841" t="s">
        <v>316</v>
      </c>
      <c r="E841" t="s">
        <v>207</v>
      </c>
      <c r="F841" t="s">
        <v>306</v>
      </c>
      <c r="G841" t="s">
        <v>11</v>
      </c>
      <c r="H841">
        <v>4825.0</v>
      </c>
      <c r="I841" t="s">
        <v>31</v>
      </c>
      <c r="J841" t="s">
        <v>78</v>
      </c>
      <c r="K841" t="s">
        <v>71</v>
      </c>
      <c r="L841" t="s">
        <v>72</v>
      </c>
      <c r="M841">
        <v>25.96</v>
      </c>
    </row>
    <row r="842">
      <c r="A842" s="2">
        <v>45330</v>
      </c>
      <c r="B842">
        <v>2024.0</v>
      </c>
      <c r="C842" t="s">
        <v>318</v>
      </c>
      <c r="D842" t="s">
        <v>316</v>
      </c>
      <c r="E842" t="s">
        <v>165</v>
      </c>
      <c r="F842" t="s">
        <v>304</v>
      </c>
      <c r="G842" t="s">
        <v>9</v>
      </c>
      <c r="H842">
        <v>2064.0</v>
      </c>
      <c r="I842" t="s">
        <v>31</v>
      </c>
      <c r="J842" t="s">
        <v>99</v>
      </c>
      <c r="K842" t="s">
        <v>46</v>
      </c>
      <c r="L842" t="s">
        <v>47</v>
      </c>
      <c r="M842">
        <v>25.98</v>
      </c>
    </row>
    <row r="843">
      <c r="A843" s="2">
        <v>45537</v>
      </c>
      <c r="B843">
        <v>2025.0</v>
      </c>
      <c r="C843" t="s">
        <v>315</v>
      </c>
      <c r="D843" t="s">
        <v>319</v>
      </c>
      <c r="E843" t="s">
        <v>68</v>
      </c>
      <c r="F843" t="s">
        <v>304</v>
      </c>
      <c r="G843" t="s">
        <v>9</v>
      </c>
      <c r="H843">
        <v>2478.0</v>
      </c>
      <c r="I843" t="s">
        <v>31</v>
      </c>
      <c r="J843" t="s">
        <v>70</v>
      </c>
      <c r="K843" t="s">
        <v>46</v>
      </c>
      <c r="L843" t="s">
        <v>47</v>
      </c>
      <c r="M843">
        <v>25.98</v>
      </c>
    </row>
    <row r="844">
      <c r="A844" s="2">
        <v>45544</v>
      </c>
      <c r="B844">
        <v>2025.0</v>
      </c>
      <c r="C844" t="s">
        <v>315</v>
      </c>
      <c r="D844" t="s">
        <v>319</v>
      </c>
      <c r="E844" t="s">
        <v>187</v>
      </c>
      <c r="F844" t="s">
        <v>306</v>
      </c>
      <c r="G844" t="s">
        <v>11</v>
      </c>
      <c r="H844">
        <v>4870.0</v>
      </c>
      <c r="I844" t="s">
        <v>31</v>
      </c>
      <c r="J844" t="s">
        <v>78</v>
      </c>
      <c r="K844" t="s">
        <v>46</v>
      </c>
      <c r="L844" t="s">
        <v>47</v>
      </c>
      <c r="M844">
        <v>25.98</v>
      </c>
    </row>
    <row r="845">
      <c r="A845" s="2">
        <v>46011</v>
      </c>
      <c r="B845">
        <v>2026.0</v>
      </c>
      <c r="C845" t="s">
        <v>321</v>
      </c>
      <c r="D845" t="s">
        <v>319</v>
      </c>
      <c r="E845" t="s">
        <v>87</v>
      </c>
      <c r="F845" t="s">
        <v>305</v>
      </c>
      <c r="G845" t="s">
        <v>10</v>
      </c>
      <c r="H845">
        <v>3148.0</v>
      </c>
      <c r="I845" t="s">
        <v>31</v>
      </c>
      <c r="J845" t="s">
        <v>89</v>
      </c>
      <c r="K845" t="s">
        <v>46</v>
      </c>
      <c r="L845" t="s">
        <v>47</v>
      </c>
      <c r="M845">
        <v>25.98</v>
      </c>
    </row>
    <row r="846">
      <c r="A846" s="2">
        <v>45332</v>
      </c>
      <c r="B846">
        <v>2024.0</v>
      </c>
      <c r="C846" t="s">
        <v>318</v>
      </c>
      <c r="D846" t="s">
        <v>316</v>
      </c>
      <c r="E846" t="s">
        <v>97</v>
      </c>
      <c r="F846" t="s">
        <v>304</v>
      </c>
      <c r="G846" t="s">
        <v>9</v>
      </c>
      <c r="H846">
        <v>2067.0</v>
      </c>
      <c r="I846" t="s">
        <v>31</v>
      </c>
      <c r="J846" t="s">
        <v>99</v>
      </c>
      <c r="K846" t="s">
        <v>57</v>
      </c>
      <c r="L846" t="s">
        <v>58</v>
      </c>
      <c r="M846">
        <v>25.98</v>
      </c>
    </row>
    <row r="847">
      <c r="A847" s="2">
        <v>45403</v>
      </c>
      <c r="B847">
        <v>2024.0</v>
      </c>
      <c r="C847" t="s">
        <v>318</v>
      </c>
      <c r="D847" t="s">
        <v>316</v>
      </c>
      <c r="E847" t="s">
        <v>242</v>
      </c>
      <c r="F847" t="s">
        <v>305</v>
      </c>
      <c r="G847" t="s">
        <v>10</v>
      </c>
      <c r="H847">
        <v>3977.0</v>
      </c>
      <c r="I847" t="s">
        <v>31</v>
      </c>
      <c r="J847" t="s">
        <v>94</v>
      </c>
      <c r="K847" t="s">
        <v>46</v>
      </c>
      <c r="L847" t="s">
        <v>47</v>
      </c>
      <c r="M847">
        <v>25.98</v>
      </c>
    </row>
    <row r="848">
      <c r="A848" s="2">
        <v>45515</v>
      </c>
      <c r="B848">
        <v>2025.0</v>
      </c>
      <c r="C848" t="s">
        <v>315</v>
      </c>
      <c r="D848" t="s">
        <v>316</v>
      </c>
      <c r="E848" t="s">
        <v>234</v>
      </c>
      <c r="F848" t="s">
        <v>304</v>
      </c>
      <c r="G848" t="s">
        <v>9</v>
      </c>
      <c r="H848">
        <v>2158.0</v>
      </c>
      <c r="I848" t="s">
        <v>31</v>
      </c>
      <c r="J848" t="s">
        <v>81</v>
      </c>
      <c r="K848" t="s">
        <v>43</v>
      </c>
      <c r="L848" t="s">
        <v>44</v>
      </c>
      <c r="M848">
        <v>25.98</v>
      </c>
    </row>
    <row r="849">
      <c r="A849" s="2">
        <v>45370</v>
      </c>
      <c r="B849">
        <v>2024.0</v>
      </c>
      <c r="C849" t="s">
        <v>318</v>
      </c>
      <c r="D849" t="s">
        <v>316</v>
      </c>
      <c r="E849" t="s">
        <v>135</v>
      </c>
      <c r="F849" t="s">
        <v>311</v>
      </c>
      <c r="G849" t="s">
        <v>16</v>
      </c>
      <c r="H849">
        <v>2609.0</v>
      </c>
      <c r="I849" t="s">
        <v>31</v>
      </c>
      <c r="J849" t="s">
        <v>107</v>
      </c>
      <c r="K849" t="s">
        <v>43</v>
      </c>
      <c r="L849" t="s">
        <v>44</v>
      </c>
      <c r="M849">
        <v>25.98</v>
      </c>
    </row>
    <row r="850">
      <c r="A850" s="2">
        <v>45723</v>
      </c>
      <c r="B850">
        <v>2025.0</v>
      </c>
      <c r="C850" t="s">
        <v>315</v>
      </c>
      <c r="D850" t="s">
        <v>316</v>
      </c>
      <c r="E850" t="s">
        <v>158</v>
      </c>
      <c r="F850" t="s">
        <v>306</v>
      </c>
      <c r="G850" t="s">
        <v>11</v>
      </c>
      <c r="H850">
        <v>4570.0</v>
      </c>
      <c r="I850" t="s">
        <v>31</v>
      </c>
      <c r="J850" t="s">
        <v>84</v>
      </c>
      <c r="K850" t="s">
        <v>57</v>
      </c>
      <c r="L850" t="s">
        <v>58</v>
      </c>
      <c r="M850">
        <v>25.98</v>
      </c>
    </row>
    <row r="851">
      <c r="A851" s="2">
        <v>45404</v>
      </c>
      <c r="B851">
        <v>2024.0</v>
      </c>
      <c r="C851" t="s">
        <v>318</v>
      </c>
      <c r="D851" t="s">
        <v>319</v>
      </c>
      <c r="E851" t="s">
        <v>248</v>
      </c>
      <c r="F851" t="s">
        <v>307</v>
      </c>
      <c r="G851" t="s">
        <v>12</v>
      </c>
      <c r="H851">
        <v>6112.0</v>
      </c>
      <c r="I851" t="s">
        <v>31</v>
      </c>
      <c r="J851" t="s">
        <v>162</v>
      </c>
      <c r="K851" t="s">
        <v>46</v>
      </c>
      <c r="L851" t="s">
        <v>47</v>
      </c>
      <c r="M851">
        <v>25.98</v>
      </c>
    </row>
    <row r="852">
      <c r="A852" s="2">
        <v>45754</v>
      </c>
      <c r="B852">
        <v>2025.0</v>
      </c>
      <c r="C852" t="s">
        <v>315</v>
      </c>
      <c r="D852" t="s">
        <v>316</v>
      </c>
      <c r="E852" t="s">
        <v>223</v>
      </c>
      <c r="F852" t="s">
        <v>305</v>
      </c>
      <c r="G852" t="s">
        <v>10</v>
      </c>
      <c r="H852">
        <v>3915.0</v>
      </c>
      <c r="I852" t="s">
        <v>31</v>
      </c>
      <c r="J852" t="s">
        <v>94</v>
      </c>
      <c r="K852" t="s">
        <v>46</v>
      </c>
      <c r="L852" t="s">
        <v>47</v>
      </c>
      <c r="M852">
        <v>25.98</v>
      </c>
    </row>
    <row r="853">
      <c r="A853" s="2">
        <v>45755</v>
      </c>
      <c r="B853">
        <v>2025.0</v>
      </c>
      <c r="C853" t="s">
        <v>315</v>
      </c>
      <c r="D853" t="s">
        <v>316</v>
      </c>
      <c r="E853" t="s">
        <v>82</v>
      </c>
      <c r="F853" t="s">
        <v>306</v>
      </c>
      <c r="G853" t="s">
        <v>11</v>
      </c>
      <c r="H853">
        <v>4558.0</v>
      </c>
      <c r="I853" t="s">
        <v>31</v>
      </c>
      <c r="J853" t="s">
        <v>84</v>
      </c>
      <c r="K853" t="s">
        <v>46</v>
      </c>
      <c r="L853" t="s">
        <v>47</v>
      </c>
      <c r="M853">
        <v>25.98</v>
      </c>
    </row>
    <row r="854">
      <c r="A854" s="2">
        <v>45612</v>
      </c>
      <c r="B854">
        <v>2025.0</v>
      </c>
      <c r="C854" t="s">
        <v>315</v>
      </c>
      <c r="D854" t="s">
        <v>319</v>
      </c>
      <c r="E854" t="s">
        <v>125</v>
      </c>
      <c r="F854" t="s">
        <v>305</v>
      </c>
      <c r="G854" t="s">
        <v>10</v>
      </c>
      <c r="H854">
        <v>3931.0</v>
      </c>
      <c r="I854" t="s">
        <v>31</v>
      </c>
      <c r="J854" t="s">
        <v>94</v>
      </c>
      <c r="K854" t="s">
        <v>46</v>
      </c>
      <c r="L854" t="s">
        <v>47</v>
      </c>
      <c r="M854">
        <v>25.98</v>
      </c>
    </row>
    <row r="855">
      <c r="A855" s="2">
        <v>45699</v>
      </c>
      <c r="B855">
        <v>2025.0</v>
      </c>
      <c r="C855" t="s">
        <v>315</v>
      </c>
      <c r="D855" t="s">
        <v>316</v>
      </c>
      <c r="E855" t="s">
        <v>73</v>
      </c>
      <c r="F855" t="s">
        <v>304</v>
      </c>
      <c r="G855" t="s">
        <v>9</v>
      </c>
      <c r="H855">
        <v>2750.0</v>
      </c>
      <c r="I855" t="s">
        <v>31</v>
      </c>
      <c r="J855" t="s">
        <v>75</v>
      </c>
      <c r="K855" t="s">
        <v>43</v>
      </c>
      <c r="L855" t="s">
        <v>44</v>
      </c>
      <c r="M855">
        <v>25.98</v>
      </c>
    </row>
    <row r="856">
      <c r="A856" s="2">
        <v>45844</v>
      </c>
      <c r="B856">
        <v>2026.0</v>
      </c>
      <c r="C856" t="s">
        <v>321</v>
      </c>
      <c r="D856" t="s">
        <v>316</v>
      </c>
      <c r="E856" t="s">
        <v>209</v>
      </c>
      <c r="F856" t="s">
        <v>304</v>
      </c>
      <c r="G856" t="s">
        <v>9</v>
      </c>
      <c r="H856">
        <v>2116.0</v>
      </c>
      <c r="I856" t="s">
        <v>31</v>
      </c>
      <c r="J856" t="s">
        <v>81</v>
      </c>
      <c r="K856" t="s">
        <v>46</v>
      </c>
      <c r="L856" t="s">
        <v>47</v>
      </c>
      <c r="M856">
        <v>25.98</v>
      </c>
    </row>
    <row r="857">
      <c r="A857" s="2">
        <v>45412</v>
      </c>
      <c r="B857">
        <v>2024.0</v>
      </c>
      <c r="C857" t="s">
        <v>318</v>
      </c>
      <c r="D857" t="s">
        <v>319</v>
      </c>
      <c r="E857" t="s">
        <v>260</v>
      </c>
      <c r="F857" t="s">
        <v>305</v>
      </c>
      <c r="G857" t="s">
        <v>10</v>
      </c>
      <c r="H857">
        <v>3179.0</v>
      </c>
      <c r="I857" t="s">
        <v>31</v>
      </c>
      <c r="J857" t="s">
        <v>89</v>
      </c>
      <c r="K857" t="s">
        <v>46</v>
      </c>
      <c r="L857" t="s">
        <v>47</v>
      </c>
      <c r="M857">
        <v>25.98</v>
      </c>
    </row>
    <row r="858">
      <c r="A858" s="2">
        <v>45433</v>
      </c>
      <c r="B858">
        <v>2024.0</v>
      </c>
      <c r="C858" t="s">
        <v>318</v>
      </c>
      <c r="D858" t="s">
        <v>316</v>
      </c>
      <c r="E858" t="s">
        <v>64</v>
      </c>
      <c r="F858" t="s">
        <v>306</v>
      </c>
      <c r="G858" t="s">
        <v>11</v>
      </c>
      <c r="H858">
        <v>4215.0</v>
      </c>
      <c r="I858" t="s">
        <v>31</v>
      </c>
      <c r="J858" t="s">
        <v>61</v>
      </c>
      <c r="K858" t="s">
        <v>46</v>
      </c>
      <c r="L858" t="s">
        <v>47</v>
      </c>
      <c r="M858">
        <v>25.98</v>
      </c>
    </row>
    <row r="859">
      <c r="A859" s="2">
        <v>45851</v>
      </c>
      <c r="B859">
        <v>2026.0</v>
      </c>
      <c r="C859" t="s">
        <v>321</v>
      </c>
      <c r="D859" t="s">
        <v>316</v>
      </c>
      <c r="E859" t="s">
        <v>133</v>
      </c>
      <c r="F859" t="s">
        <v>305</v>
      </c>
      <c r="G859" t="s">
        <v>10</v>
      </c>
      <c r="H859">
        <v>3429.0</v>
      </c>
      <c r="I859" t="s">
        <v>31</v>
      </c>
      <c r="J859" t="s">
        <v>37</v>
      </c>
      <c r="K859" t="s">
        <v>71</v>
      </c>
      <c r="L859" t="s">
        <v>72</v>
      </c>
      <c r="M859">
        <v>25.98</v>
      </c>
    </row>
    <row r="860">
      <c r="A860" s="2">
        <v>45435</v>
      </c>
      <c r="B860">
        <v>2024.0</v>
      </c>
      <c r="C860" t="s">
        <v>318</v>
      </c>
      <c r="D860" t="s">
        <v>316</v>
      </c>
      <c r="E860" t="s">
        <v>141</v>
      </c>
      <c r="F860" t="s">
        <v>304</v>
      </c>
      <c r="G860" t="s">
        <v>9</v>
      </c>
      <c r="H860">
        <v>2539.0</v>
      </c>
      <c r="I860" t="s">
        <v>31</v>
      </c>
      <c r="J860" t="s">
        <v>107</v>
      </c>
      <c r="K860" t="s">
        <v>43</v>
      </c>
      <c r="L860" t="s">
        <v>44</v>
      </c>
      <c r="M860">
        <v>25.98</v>
      </c>
    </row>
    <row r="861">
      <c r="A861" s="2">
        <v>45778</v>
      </c>
      <c r="B861">
        <v>2025.0</v>
      </c>
      <c r="C861" t="s">
        <v>315</v>
      </c>
      <c r="D861" t="s">
        <v>316</v>
      </c>
      <c r="E861" t="s">
        <v>213</v>
      </c>
      <c r="F861" t="s">
        <v>306</v>
      </c>
      <c r="G861" t="s">
        <v>11</v>
      </c>
      <c r="H861">
        <v>4740.0</v>
      </c>
      <c r="I861" t="s">
        <v>31</v>
      </c>
      <c r="J861" t="s">
        <v>32</v>
      </c>
      <c r="K861" t="s">
        <v>57</v>
      </c>
      <c r="L861" t="s">
        <v>58</v>
      </c>
      <c r="M861">
        <v>26.0</v>
      </c>
    </row>
    <row r="862">
      <c r="A862" s="2">
        <v>45874</v>
      </c>
      <c r="B862">
        <v>2026.0</v>
      </c>
      <c r="C862" t="s">
        <v>321</v>
      </c>
      <c r="D862" t="s">
        <v>316</v>
      </c>
      <c r="E862" t="s">
        <v>189</v>
      </c>
      <c r="F862" t="s">
        <v>304</v>
      </c>
      <c r="G862" t="s">
        <v>9</v>
      </c>
      <c r="H862">
        <v>2131.0</v>
      </c>
      <c r="I862" t="s">
        <v>31</v>
      </c>
      <c r="J862" t="s">
        <v>81</v>
      </c>
      <c r="K862" t="s">
        <v>43</v>
      </c>
      <c r="L862" t="s">
        <v>44</v>
      </c>
      <c r="M862">
        <v>26.0</v>
      </c>
    </row>
    <row r="863">
      <c r="A863" s="2">
        <v>45877</v>
      </c>
      <c r="B863">
        <v>2026.0</v>
      </c>
      <c r="C863" t="s">
        <v>321</v>
      </c>
      <c r="D863" t="s">
        <v>319</v>
      </c>
      <c r="E863" t="s">
        <v>175</v>
      </c>
      <c r="F863" t="s">
        <v>311</v>
      </c>
      <c r="G863" t="s">
        <v>16</v>
      </c>
      <c r="H863">
        <v>2617.0</v>
      </c>
      <c r="I863" t="s">
        <v>31</v>
      </c>
      <c r="J863" t="s">
        <v>107</v>
      </c>
      <c r="K863" t="s">
        <v>43</v>
      </c>
      <c r="L863" t="s">
        <v>44</v>
      </c>
      <c r="M863">
        <v>26.28</v>
      </c>
    </row>
    <row r="864">
      <c r="A864" s="2">
        <v>45640</v>
      </c>
      <c r="B864">
        <v>2025.0</v>
      </c>
      <c r="C864" t="s">
        <v>315</v>
      </c>
      <c r="D864" t="s">
        <v>319</v>
      </c>
      <c r="E864" t="s">
        <v>59</v>
      </c>
      <c r="F864" t="s">
        <v>306</v>
      </c>
      <c r="G864" t="s">
        <v>11</v>
      </c>
      <c r="H864">
        <v>4509.0</v>
      </c>
      <c r="I864" t="s">
        <v>31</v>
      </c>
      <c r="J864" t="s">
        <v>61</v>
      </c>
      <c r="K864" t="s">
        <v>66</v>
      </c>
      <c r="L864" t="s">
        <v>67</v>
      </c>
      <c r="M864">
        <v>26.41</v>
      </c>
    </row>
    <row r="865">
      <c r="A865" s="2">
        <v>45632</v>
      </c>
      <c r="B865">
        <v>2025.0</v>
      </c>
      <c r="C865" t="s">
        <v>315</v>
      </c>
      <c r="D865" t="s">
        <v>316</v>
      </c>
      <c r="E865" t="s">
        <v>179</v>
      </c>
      <c r="F865" t="s">
        <v>304</v>
      </c>
      <c r="G865" t="s">
        <v>9</v>
      </c>
      <c r="H865">
        <v>2015.0</v>
      </c>
      <c r="I865" t="s">
        <v>31</v>
      </c>
      <c r="J865" t="s">
        <v>99</v>
      </c>
      <c r="K865" t="s">
        <v>43</v>
      </c>
      <c r="L865" t="s">
        <v>44</v>
      </c>
      <c r="M865">
        <v>26.810000000000002</v>
      </c>
    </row>
    <row r="866">
      <c r="A866" s="2">
        <v>45821</v>
      </c>
      <c r="B866">
        <v>2025.0</v>
      </c>
      <c r="C866" t="s">
        <v>315</v>
      </c>
      <c r="D866" t="s">
        <v>316</v>
      </c>
      <c r="E866" t="s">
        <v>244</v>
      </c>
      <c r="F866" t="s">
        <v>308</v>
      </c>
      <c r="G866" t="s">
        <v>13</v>
      </c>
      <c r="H866">
        <v>5168.0</v>
      </c>
      <c r="I866" t="s">
        <v>31</v>
      </c>
      <c r="J866" t="s">
        <v>42</v>
      </c>
      <c r="K866" t="s">
        <v>123</v>
      </c>
      <c r="L866" t="s">
        <v>124</v>
      </c>
      <c r="M866">
        <v>26.9</v>
      </c>
    </row>
    <row r="867">
      <c r="A867" s="2">
        <v>45968</v>
      </c>
      <c r="B867">
        <v>2026.0</v>
      </c>
      <c r="C867" t="s">
        <v>321</v>
      </c>
      <c r="D867" t="s">
        <v>319</v>
      </c>
      <c r="E867" t="s">
        <v>244</v>
      </c>
      <c r="F867" t="s">
        <v>308</v>
      </c>
      <c r="G867" t="s">
        <v>13</v>
      </c>
      <c r="H867">
        <v>5168.0</v>
      </c>
      <c r="I867" t="s">
        <v>31</v>
      </c>
      <c r="J867" t="s">
        <v>42</v>
      </c>
      <c r="K867" t="s">
        <v>38</v>
      </c>
      <c r="L867" t="s">
        <v>39</v>
      </c>
      <c r="M867">
        <v>26.91</v>
      </c>
    </row>
    <row r="868">
      <c r="A868" s="2">
        <v>45382</v>
      </c>
      <c r="B868">
        <v>2024.0</v>
      </c>
      <c r="C868" t="s">
        <v>318</v>
      </c>
      <c r="D868" t="s">
        <v>316</v>
      </c>
      <c r="E868" t="s">
        <v>139</v>
      </c>
      <c r="F868" t="s">
        <v>305</v>
      </c>
      <c r="G868" t="s">
        <v>10</v>
      </c>
      <c r="H868">
        <v>3199.0</v>
      </c>
      <c r="I868" t="s">
        <v>31</v>
      </c>
      <c r="J868" t="s">
        <v>89</v>
      </c>
      <c r="K868" t="s">
        <v>71</v>
      </c>
      <c r="L868" t="s">
        <v>72</v>
      </c>
      <c r="M868">
        <v>26.95</v>
      </c>
    </row>
    <row r="869">
      <c r="A869" s="2">
        <v>45947</v>
      </c>
      <c r="B869">
        <v>2026.0</v>
      </c>
      <c r="C869" t="s">
        <v>321</v>
      </c>
      <c r="D869" t="s">
        <v>319</v>
      </c>
      <c r="E869" t="s">
        <v>73</v>
      </c>
      <c r="F869" t="s">
        <v>304</v>
      </c>
      <c r="G869" t="s">
        <v>9</v>
      </c>
      <c r="H869">
        <v>2750.0</v>
      </c>
      <c r="I869" t="s">
        <v>31</v>
      </c>
      <c r="J869" t="s">
        <v>75</v>
      </c>
      <c r="K869" t="s">
        <v>95</v>
      </c>
      <c r="L869" t="s">
        <v>96</v>
      </c>
      <c r="M869">
        <v>26.950000000000003</v>
      </c>
    </row>
    <row r="870">
      <c r="A870" s="2">
        <v>45733</v>
      </c>
      <c r="B870">
        <v>2025.0</v>
      </c>
      <c r="C870" t="s">
        <v>315</v>
      </c>
      <c r="D870" t="s">
        <v>319</v>
      </c>
      <c r="E870" t="s">
        <v>150</v>
      </c>
      <c r="F870" t="s">
        <v>310</v>
      </c>
      <c r="G870" t="s">
        <v>15</v>
      </c>
      <c r="H870">
        <v>7250.0</v>
      </c>
      <c r="I870" t="s">
        <v>31</v>
      </c>
      <c r="J870" t="s">
        <v>53</v>
      </c>
      <c r="K870" t="s">
        <v>71</v>
      </c>
      <c r="L870" t="s">
        <v>72</v>
      </c>
      <c r="M870">
        <v>26.97</v>
      </c>
    </row>
    <row r="871">
      <c r="A871" s="2">
        <v>45376</v>
      </c>
      <c r="B871">
        <v>2024.0</v>
      </c>
      <c r="C871" t="s">
        <v>318</v>
      </c>
      <c r="D871" t="s">
        <v>316</v>
      </c>
      <c r="E871" t="s">
        <v>85</v>
      </c>
      <c r="F871" t="s">
        <v>304</v>
      </c>
      <c r="G871" t="s">
        <v>9</v>
      </c>
      <c r="H871">
        <v>2120.0</v>
      </c>
      <c r="I871" t="s">
        <v>31</v>
      </c>
      <c r="J871" t="s">
        <v>81</v>
      </c>
      <c r="K871" t="s">
        <v>123</v>
      </c>
      <c r="L871" t="s">
        <v>124</v>
      </c>
      <c r="M871">
        <v>26.979999999999997</v>
      </c>
    </row>
    <row r="872">
      <c r="A872" s="2">
        <v>45856</v>
      </c>
      <c r="B872">
        <v>2026.0</v>
      </c>
      <c r="C872" t="s">
        <v>321</v>
      </c>
      <c r="D872" t="s">
        <v>316</v>
      </c>
      <c r="E872" t="s">
        <v>76</v>
      </c>
      <c r="F872" t="s">
        <v>306</v>
      </c>
      <c r="G872" t="s">
        <v>11</v>
      </c>
      <c r="H872">
        <v>4883.0</v>
      </c>
      <c r="I872" t="s">
        <v>31</v>
      </c>
      <c r="J872" t="s">
        <v>78</v>
      </c>
      <c r="K872" t="s">
        <v>38</v>
      </c>
      <c r="L872" t="s">
        <v>39</v>
      </c>
      <c r="M872">
        <v>26.98</v>
      </c>
    </row>
    <row r="873">
      <c r="A873" s="2">
        <v>45593</v>
      </c>
      <c r="B873">
        <v>2025.0</v>
      </c>
      <c r="C873" t="s">
        <v>315</v>
      </c>
      <c r="D873" t="s">
        <v>316</v>
      </c>
      <c r="E873" t="s">
        <v>76</v>
      </c>
      <c r="F873" t="s">
        <v>306</v>
      </c>
      <c r="G873" t="s">
        <v>11</v>
      </c>
      <c r="H873">
        <v>4883.0</v>
      </c>
      <c r="I873" t="s">
        <v>31</v>
      </c>
      <c r="J873" t="s">
        <v>78</v>
      </c>
      <c r="K873" t="s">
        <v>43</v>
      </c>
      <c r="L873" t="s">
        <v>44</v>
      </c>
      <c r="M873">
        <v>26.98</v>
      </c>
    </row>
    <row r="874">
      <c r="A874" s="2">
        <v>45686</v>
      </c>
      <c r="B874">
        <v>2025.0</v>
      </c>
      <c r="C874" t="s">
        <v>315</v>
      </c>
      <c r="D874" t="s">
        <v>316</v>
      </c>
      <c r="E874" t="s">
        <v>201</v>
      </c>
      <c r="F874" t="s">
        <v>305</v>
      </c>
      <c r="G874" t="s">
        <v>10</v>
      </c>
      <c r="H874">
        <v>3131.0</v>
      </c>
      <c r="I874" t="s">
        <v>31</v>
      </c>
      <c r="J874" t="s">
        <v>89</v>
      </c>
      <c r="K874" t="s">
        <v>43</v>
      </c>
      <c r="L874" t="s">
        <v>44</v>
      </c>
      <c r="M874">
        <v>26.98</v>
      </c>
    </row>
    <row r="875">
      <c r="A875" s="2">
        <v>45504</v>
      </c>
      <c r="B875">
        <v>2025.0</v>
      </c>
      <c r="C875" t="s">
        <v>315</v>
      </c>
      <c r="D875" t="s">
        <v>316</v>
      </c>
      <c r="E875" t="s">
        <v>215</v>
      </c>
      <c r="F875" t="s">
        <v>310</v>
      </c>
      <c r="G875" t="s">
        <v>15</v>
      </c>
      <c r="H875">
        <v>7320.0</v>
      </c>
      <c r="I875" t="s">
        <v>31</v>
      </c>
      <c r="J875" t="s">
        <v>53</v>
      </c>
      <c r="K875" t="s">
        <v>38</v>
      </c>
      <c r="L875" t="s">
        <v>39</v>
      </c>
      <c r="M875">
        <v>26.990000000000002</v>
      </c>
    </row>
    <row r="876">
      <c r="A876" s="2">
        <v>45310</v>
      </c>
      <c r="B876">
        <v>2024.0</v>
      </c>
      <c r="C876" t="s">
        <v>318</v>
      </c>
      <c r="D876" t="s">
        <v>316</v>
      </c>
      <c r="E876" t="s">
        <v>129</v>
      </c>
      <c r="F876" t="s">
        <v>305</v>
      </c>
      <c r="G876" t="s">
        <v>10</v>
      </c>
      <c r="H876">
        <v>3066.0</v>
      </c>
      <c r="I876" t="s">
        <v>31</v>
      </c>
      <c r="J876" t="s">
        <v>120</v>
      </c>
      <c r="K876" t="s">
        <v>38</v>
      </c>
      <c r="L876" t="s">
        <v>39</v>
      </c>
      <c r="M876">
        <v>27.0</v>
      </c>
    </row>
    <row r="877">
      <c r="A877" s="2">
        <v>45781</v>
      </c>
      <c r="B877">
        <v>2025.0</v>
      </c>
      <c r="C877" t="s">
        <v>315</v>
      </c>
      <c r="D877" t="s">
        <v>316</v>
      </c>
      <c r="E877" t="s">
        <v>135</v>
      </c>
      <c r="F877" t="s">
        <v>311</v>
      </c>
      <c r="G877" t="s">
        <v>16</v>
      </c>
      <c r="H877">
        <v>2609.0</v>
      </c>
      <c r="I877" t="s">
        <v>31</v>
      </c>
      <c r="J877" t="s">
        <v>107</v>
      </c>
      <c r="K877" t="s">
        <v>33</v>
      </c>
      <c r="L877" t="s">
        <v>34</v>
      </c>
      <c r="M877">
        <v>27.18</v>
      </c>
    </row>
    <row r="878">
      <c r="A878" s="2">
        <v>45333</v>
      </c>
      <c r="B878">
        <v>2024.0</v>
      </c>
      <c r="C878" t="s">
        <v>318</v>
      </c>
      <c r="D878" t="s">
        <v>316</v>
      </c>
      <c r="E878" t="s">
        <v>82</v>
      </c>
      <c r="F878" t="s">
        <v>306</v>
      </c>
      <c r="G878" t="s">
        <v>11</v>
      </c>
      <c r="H878">
        <v>4558.0</v>
      </c>
      <c r="I878" t="s">
        <v>31</v>
      </c>
      <c r="J878" t="s">
        <v>84</v>
      </c>
      <c r="K878" t="s">
        <v>95</v>
      </c>
      <c r="L878" t="s">
        <v>96</v>
      </c>
      <c r="M878">
        <v>27.27</v>
      </c>
    </row>
    <row r="879">
      <c r="A879" s="2">
        <v>45803</v>
      </c>
      <c r="B879">
        <v>2025.0</v>
      </c>
      <c r="C879" t="s">
        <v>315</v>
      </c>
      <c r="D879" t="s">
        <v>316</v>
      </c>
      <c r="E879" t="s">
        <v>175</v>
      </c>
      <c r="F879" t="s">
        <v>311</v>
      </c>
      <c r="G879" t="s">
        <v>16</v>
      </c>
      <c r="H879">
        <v>2617.0</v>
      </c>
      <c r="I879" t="s">
        <v>31</v>
      </c>
      <c r="J879" t="s">
        <v>107</v>
      </c>
      <c r="K879" t="s">
        <v>71</v>
      </c>
      <c r="L879" t="s">
        <v>72</v>
      </c>
      <c r="M879">
        <v>27.36</v>
      </c>
    </row>
    <row r="880">
      <c r="A880" s="2">
        <v>45894</v>
      </c>
      <c r="B880">
        <v>2026.0</v>
      </c>
      <c r="C880" t="s">
        <v>321</v>
      </c>
      <c r="D880" t="s">
        <v>316</v>
      </c>
      <c r="E880" t="s">
        <v>116</v>
      </c>
      <c r="F880" t="s">
        <v>304</v>
      </c>
      <c r="G880" t="s">
        <v>9</v>
      </c>
      <c r="H880">
        <v>2485.0</v>
      </c>
      <c r="I880" t="s">
        <v>31</v>
      </c>
      <c r="J880" t="s">
        <v>70</v>
      </c>
      <c r="K880" t="s">
        <v>38</v>
      </c>
      <c r="L880" t="s">
        <v>39</v>
      </c>
      <c r="M880">
        <v>27.38</v>
      </c>
    </row>
    <row r="881">
      <c r="A881" s="2">
        <v>45899</v>
      </c>
      <c r="B881">
        <v>2026.0</v>
      </c>
      <c r="C881" t="s">
        <v>321</v>
      </c>
      <c r="D881" t="s">
        <v>319</v>
      </c>
      <c r="E881" t="s">
        <v>175</v>
      </c>
      <c r="F881" t="s">
        <v>311</v>
      </c>
      <c r="G881" t="s">
        <v>16</v>
      </c>
      <c r="H881">
        <v>2617.0</v>
      </c>
      <c r="I881" t="s">
        <v>31</v>
      </c>
      <c r="J881" t="s">
        <v>107</v>
      </c>
      <c r="K881" t="s">
        <v>46</v>
      </c>
      <c r="L881" t="s">
        <v>47</v>
      </c>
      <c r="M881">
        <v>27.48</v>
      </c>
    </row>
    <row r="882">
      <c r="A882" s="2">
        <v>45321</v>
      </c>
      <c r="B882">
        <v>2024.0</v>
      </c>
      <c r="C882" t="s">
        <v>318</v>
      </c>
      <c r="D882" t="s">
        <v>316</v>
      </c>
      <c r="E882" t="s">
        <v>228</v>
      </c>
      <c r="F882" t="s">
        <v>306</v>
      </c>
      <c r="G882" t="s">
        <v>11</v>
      </c>
      <c r="H882">
        <v>4680.0</v>
      </c>
      <c r="I882" t="s">
        <v>31</v>
      </c>
      <c r="J882" t="s">
        <v>32</v>
      </c>
      <c r="K882" t="s">
        <v>43</v>
      </c>
      <c r="L882" t="s">
        <v>44</v>
      </c>
      <c r="M882">
        <v>27.5</v>
      </c>
    </row>
    <row r="883">
      <c r="A883" s="2">
        <v>45802</v>
      </c>
      <c r="B883">
        <v>2025.0</v>
      </c>
      <c r="C883" t="s">
        <v>315</v>
      </c>
      <c r="D883" t="s">
        <v>319</v>
      </c>
      <c r="E883" t="s">
        <v>244</v>
      </c>
      <c r="F883" t="s">
        <v>308</v>
      </c>
      <c r="G883" t="s">
        <v>13</v>
      </c>
      <c r="H883">
        <v>5168.0</v>
      </c>
      <c r="I883" t="s">
        <v>31</v>
      </c>
      <c r="J883" t="s">
        <v>42</v>
      </c>
      <c r="K883" t="s">
        <v>38</v>
      </c>
      <c r="L883" t="s">
        <v>39</v>
      </c>
      <c r="M883">
        <v>27.53</v>
      </c>
    </row>
    <row r="884">
      <c r="A884" s="2">
        <v>45616</v>
      </c>
      <c r="B884">
        <v>2025.0</v>
      </c>
      <c r="C884" t="s">
        <v>315</v>
      </c>
      <c r="D884" t="s">
        <v>316</v>
      </c>
      <c r="E884" t="s">
        <v>118</v>
      </c>
      <c r="F884" t="s">
        <v>305</v>
      </c>
      <c r="G884" t="s">
        <v>10</v>
      </c>
      <c r="H884">
        <v>3076.0</v>
      </c>
      <c r="I884" t="s">
        <v>31</v>
      </c>
      <c r="J884" t="s">
        <v>120</v>
      </c>
      <c r="K884" t="s">
        <v>66</v>
      </c>
      <c r="L884" t="s">
        <v>67</v>
      </c>
      <c r="M884">
        <v>27.62</v>
      </c>
    </row>
    <row r="885">
      <c r="A885" s="2">
        <v>45569</v>
      </c>
      <c r="B885">
        <v>2025.0</v>
      </c>
      <c r="C885" t="s">
        <v>315</v>
      </c>
      <c r="D885" t="s">
        <v>316</v>
      </c>
      <c r="E885" t="s">
        <v>105</v>
      </c>
      <c r="F885" t="s">
        <v>304</v>
      </c>
      <c r="G885" t="s">
        <v>9</v>
      </c>
      <c r="H885">
        <v>2541.0</v>
      </c>
      <c r="I885" t="s">
        <v>31</v>
      </c>
      <c r="J885" t="s">
        <v>107</v>
      </c>
      <c r="K885" t="s">
        <v>95</v>
      </c>
      <c r="L885" t="s">
        <v>96</v>
      </c>
      <c r="M885">
        <v>27.72</v>
      </c>
    </row>
    <row r="886">
      <c r="A886" s="2">
        <v>45836</v>
      </c>
      <c r="B886">
        <v>2025.0</v>
      </c>
      <c r="C886" t="s">
        <v>315</v>
      </c>
      <c r="D886" t="s">
        <v>316</v>
      </c>
      <c r="E886" t="s">
        <v>150</v>
      </c>
      <c r="F886" t="s">
        <v>310</v>
      </c>
      <c r="G886" t="s">
        <v>15</v>
      </c>
      <c r="H886">
        <v>7250.0</v>
      </c>
      <c r="I886" t="s">
        <v>31</v>
      </c>
      <c r="J886" t="s">
        <v>53</v>
      </c>
      <c r="K886" t="s">
        <v>43</v>
      </c>
      <c r="L886" t="s">
        <v>44</v>
      </c>
      <c r="M886">
        <v>27.86</v>
      </c>
    </row>
    <row r="887">
      <c r="A887" s="2">
        <v>45832</v>
      </c>
      <c r="B887">
        <v>2025.0</v>
      </c>
      <c r="C887" t="s">
        <v>315</v>
      </c>
      <c r="D887" t="s">
        <v>316</v>
      </c>
      <c r="E887" t="s">
        <v>171</v>
      </c>
      <c r="F887" t="s">
        <v>305</v>
      </c>
      <c r="G887" t="s">
        <v>10</v>
      </c>
      <c r="H887">
        <v>3500.0</v>
      </c>
      <c r="I887" t="s">
        <v>31</v>
      </c>
      <c r="J887" t="s">
        <v>37</v>
      </c>
      <c r="K887" t="s">
        <v>71</v>
      </c>
      <c r="L887" t="s">
        <v>72</v>
      </c>
      <c r="M887">
        <v>27.93</v>
      </c>
    </row>
    <row r="888">
      <c r="A888" s="2">
        <v>46013</v>
      </c>
      <c r="B888">
        <v>2026.0</v>
      </c>
      <c r="C888" t="s">
        <v>321</v>
      </c>
      <c r="D888" t="s">
        <v>319</v>
      </c>
      <c r="E888" t="s">
        <v>230</v>
      </c>
      <c r="F888" t="s">
        <v>308</v>
      </c>
      <c r="G888" t="s">
        <v>13</v>
      </c>
      <c r="H888">
        <v>5290.0</v>
      </c>
      <c r="I888" t="s">
        <v>31</v>
      </c>
      <c r="J888" t="s">
        <v>227</v>
      </c>
      <c r="K888" t="s">
        <v>33</v>
      </c>
      <c r="L888" t="s">
        <v>34</v>
      </c>
      <c r="M888">
        <v>27.94</v>
      </c>
    </row>
    <row r="889">
      <c r="A889" s="2">
        <v>45430</v>
      </c>
      <c r="B889">
        <v>2024.0</v>
      </c>
      <c r="C889" t="s">
        <v>318</v>
      </c>
      <c r="D889" t="s">
        <v>316</v>
      </c>
      <c r="E889" t="s">
        <v>238</v>
      </c>
      <c r="F889" t="s">
        <v>308</v>
      </c>
      <c r="G889" t="s">
        <v>13</v>
      </c>
      <c r="H889">
        <v>5082.0</v>
      </c>
      <c r="I889" t="s">
        <v>31</v>
      </c>
      <c r="J889" t="s">
        <v>42</v>
      </c>
      <c r="K889" t="s">
        <v>33</v>
      </c>
      <c r="L889" t="s">
        <v>34</v>
      </c>
      <c r="M889">
        <v>27.94</v>
      </c>
    </row>
    <row r="890">
      <c r="A890" s="2">
        <v>45829</v>
      </c>
      <c r="B890">
        <v>2025.0</v>
      </c>
      <c r="C890" t="s">
        <v>315</v>
      </c>
      <c r="D890" t="s">
        <v>316</v>
      </c>
      <c r="E890" t="s">
        <v>64</v>
      </c>
      <c r="F890" t="s">
        <v>306</v>
      </c>
      <c r="G890" t="s">
        <v>11</v>
      </c>
      <c r="H890">
        <v>4215.0</v>
      </c>
      <c r="I890" t="s">
        <v>31</v>
      </c>
      <c r="J890" t="s">
        <v>61</v>
      </c>
      <c r="K890" t="s">
        <v>112</v>
      </c>
      <c r="L890" t="s">
        <v>113</v>
      </c>
      <c r="M890">
        <v>27.94</v>
      </c>
    </row>
    <row r="891">
      <c r="A891" s="2">
        <v>45943</v>
      </c>
      <c r="B891">
        <v>2026.0</v>
      </c>
      <c r="C891" t="s">
        <v>321</v>
      </c>
      <c r="D891" t="s">
        <v>316</v>
      </c>
      <c r="E891" t="s">
        <v>173</v>
      </c>
      <c r="F891" t="s">
        <v>306</v>
      </c>
      <c r="G891" t="s">
        <v>11</v>
      </c>
      <c r="H891">
        <v>4220.0</v>
      </c>
      <c r="I891" t="s">
        <v>31</v>
      </c>
      <c r="J891" t="s">
        <v>61</v>
      </c>
      <c r="K891" t="s">
        <v>112</v>
      </c>
      <c r="L891" t="s">
        <v>113</v>
      </c>
      <c r="M891">
        <v>27.96</v>
      </c>
    </row>
    <row r="892">
      <c r="A892" s="2">
        <v>45410</v>
      </c>
      <c r="B892">
        <v>2024.0</v>
      </c>
      <c r="C892" t="s">
        <v>318</v>
      </c>
      <c r="D892" t="s">
        <v>316</v>
      </c>
      <c r="E892" t="s">
        <v>92</v>
      </c>
      <c r="F892" t="s">
        <v>305</v>
      </c>
      <c r="G892" t="s">
        <v>10</v>
      </c>
      <c r="H892">
        <v>3690.0</v>
      </c>
      <c r="I892" t="s">
        <v>31</v>
      </c>
      <c r="J892" t="s">
        <v>94</v>
      </c>
      <c r="K892" t="s">
        <v>71</v>
      </c>
      <c r="L892" t="s">
        <v>72</v>
      </c>
      <c r="M892">
        <v>27.96</v>
      </c>
    </row>
    <row r="893">
      <c r="A893" s="2">
        <v>45572</v>
      </c>
      <c r="B893">
        <v>2025.0</v>
      </c>
      <c r="C893" t="s">
        <v>315</v>
      </c>
      <c r="D893" t="s">
        <v>319</v>
      </c>
      <c r="E893" t="s">
        <v>181</v>
      </c>
      <c r="F893" t="s">
        <v>306</v>
      </c>
      <c r="G893" t="s">
        <v>11</v>
      </c>
      <c r="H893">
        <v>4119.0</v>
      </c>
      <c r="I893" t="s">
        <v>31</v>
      </c>
      <c r="J893" t="s">
        <v>56</v>
      </c>
      <c r="K893" t="s">
        <v>46</v>
      </c>
      <c r="L893" t="s">
        <v>47</v>
      </c>
      <c r="M893">
        <v>27.97</v>
      </c>
    </row>
    <row r="894">
      <c r="A894" s="2">
        <v>45637</v>
      </c>
      <c r="B894">
        <v>2025.0</v>
      </c>
      <c r="C894" t="s">
        <v>315</v>
      </c>
      <c r="D894" t="s">
        <v>319</v>
      </c>
      <c r="E894" t="s">
        <v>181</v>
      </c>
      <c r="F894" t="s">
        <v>306</v>
      </c>
      <c r="G894" t="s">
        <v>11</v>
      </c>
      <c r="H894">
        <v>4119.0</v>
      </c>
      <c r="I894" t="s">
        <v>31</v>
      </c>
      <c r="J894" t="s">
        <v>56</v>
      </c>
      <c r="K894" t="s">
        <v>71</v>
      </c>
      <c r="L894" t="s">
        <v>72</v>
      </c>
      <c r="M894">
        <v>27.97</v>
      </c>
    </row>
    <row r="895">
      <c r="A895" s="2">
        <v>45604</v>
      </c>
      <c r="B895">
        <v>2025.0</v>
      </c>
      <c r="C895" t="s">
        <v>315</v>
      </c>
      <c r="D895" t="s">
        <v>316</v>
      </c>
      <c r="E895" t="s">
        <v>234</v>
      </c>
      <c r="F895" t="s">
        <v>304</v>
      </c>
      <c r="G895" t="s">
        <v>9</v>
      </c>
      <c r="H895">
        <v>2158.0</v>
      </c>
      <c r="I895" t="s">
        <v>31</v>
      </c>
      <c r="J895" t="s">
        <v>81</v>
      </c>
      <c r="K895" t="s">
        <v>38</v>
      </c>
      <c r="L895" t="s">
        <v>39</v>
      </c>
      <c r="M895">
        <v>27.98</v>
      </c>
    </row>
    <row r="896">
      <c r="A896" s="2">
        <v>45726</v>
      </c>
      <c r="B896">
        <v>2025.0</v>
      </c>
      <c r="C896" t="s">
        <v>315</v>
      </c>
      <c r="D896" t="s">
        <v>316</v>
      </c>
      <c r="E896" t="s">
        <v>228</v>
      </c>
      <c r="F896" t="s">
        <v>306</v>
      </c>
      <c r="G896" t="s">
        <v>11</v>
      </c>
      <c r="H896">
        <v>4680.0</v>
      </c>
      <c r="I896" t="s">
        <v>31</v>
      </c>
      <c r="J896" t="s">
        <v>32</v>
      </c>
      <c r="K896" t="s">
        <v>43</v>
      </c>
      <c r="L896" t="s">
        <v>44</v>
      </c>
      <c r="M896">
        <v>27.98</v>
      </c>
    </row>
    <row r="897">
      <c r="A897" s="2">
        <v>45606</v>
      </c>
      <c r="B897">
        <v>2025.0</v>
      </c>
      <c r="C897" t="s">
        <v>315</v>
      </c>
      <c r="D897" t="s">
        <v>316</v>
      </c>
      <c r="E897" t="s">
        <v>205</v>
      </c>
      <c r="F897" t="s">
        <v>305</v>
      </c>
      <c r="G897" t="s">
        <v>10</v>
      </c>
      <c r="H897">
        <v>3400.0</v>
      </c>
      <c r="I897" t="s">
        <v>31</v>
      </c>
      <c r="J897" t="s">
        <v>37</v>
      </c>
      <c r="K897" t="s">
        <v>43</v>
      </c>
      <c r="L897" t="s">
        <v>44</v>
      </c>
      <c r="M897">
        <v>27.98</v>
      </c>
    </row>
    <row r="898">
      <c r="A898" s="2">
        <v>45971</v>
      </c>
      <c r="B898">
        <v>2026.0</v>
      </c>
      <c r="C898" t="s">
        <v>321</v>
      </c>
      <c r="D898" t="s">
        <v>316</v>
      </c>
      <c r="E898" t="s">
        <v>242</v>
      </c>
      <c r="F898" t="s">
        <v>305</v>
      </c>
      <c r="G898" t="s">
        <v>10</v>
      </c>
      <c r="H898">
        <v>3977.0</v>
      </c>
      <c r="I898" t="s">
        <v>31</v>
      </c>
      <c r="J898" t="s">
        <v>94</v>
      </c>
      <c r="K898" t="s">
        <v>46</v>
      </c>
      <c r="L898" t="s">
        <v>47</v>
      </c>
      <c r="M898">
        <v>27.990000000000002</v>
      </c>
    </row>
    <row r="899">
      <c r="A899" s="2">
        <v>45858</v>
      </c>
      <c r="B899">
        <v>2026.0</v>
      </c>
      <c r="C899" t="s">
        <v>321</v>
      </c>
      <c r="D899" t="s">
        <v>316</v>
      </c>
      <c r="E899" t="s">
        <v>68</v>
      </c>
      <c r="F899" t="s">
        <v>304</v>
      </c>
      <c r="G899" t="s">
        <v>9</v>
      </c>
      <c r="H899">
        <v>2478.0</v>
      </c>
      <c r="I899" t="s">
        <v>31</v>
      </c>
      <c r="J899" t="s">
        <v>70</v>
      </c>
      <c r="K899" t="s">
        <v>38</v>
      </c>
      <c r="L899" t="s">
        <v>39</v>
      </c>
      <c r="M899">
        <v>28.0</v>
      </c>
    </row>
    <row r="900">
      <c r="A900" s="2">
        <v>45382</v>
      </c>
      <c r="B900">
        <v>2024.0</v>
      </c>
      <c r="C900" t="s">
        <v>318</v>
      </c>
      <c r="D900" t="s">
        <v>319</v>
      </c>
      <c r="E900" t="s">
        <v>160</v>
      </c>
      <c r="F900" t="s">
        <v>307</v>
      </c>
      <c r="G900" t="s">
        <v>12</v>
      </c>
      <c r="H900">
        <v>6280.0</v>
      </c>
      <c r="I900" t="s">
        <v>31</v>
      </c>
      <c r="J900" t="s">
        <v>162</v>
      </c>
      <c r="K900" t="s">
        <v>46</v>
      </c>
      <c r="L900" t="s">
        <v>47</v>
      </c>
      <c r="M900">
        <v>28.04</v>
      </c>
    </row>
    <row r="901">
      <c r="A901" s="2">
        <v>45534</v>
      </c>
      <c r="B901">
        <v>2025.0</v>
      </c>
      <c r="C901" t="s">
        <v>315</v>
      </c>
      <c r="D901" t="s">
        <v>316</v>
      </c>
      <c r="E901" t="s">
        <v>209</v>
      </c>
      <c r="F901" t="s">
        <v>304</v>
      </c>
      <c r="G901" t="s">
        <v>9</v>
      </c>
      <c r="H901">
        <v>2116.0</v>
      </c>
      <c r="I901" t="s">
        <v>31</v>
      </c>
      <c r="J901" t="s">
        <v>81</v>
      </c>
      <c r="K901" t="s">
        <v>33</v>
      </c>
      <c r="L901" t="s">
        <v>34</v>
      </c>
      <c r="M901">
        <v>28.13</v>
      </c>
    </row>
    <row r="902">
      <c r="A902" s="2">
        <v>45663</v>
      </c>
      <c r="B902">
        <v>2025.0</v>
      </c>
      <c r="C902" t="s">
        <v>315</v>
      </c>
      <c r="D902" t="s">
        <v>316</v>
      </c>
      <c r="E902" t="s">
        <v>114</v>
      </c>
      <c r="F902" t="s">
        <v>304</v>
      </c>
      <c r="G902" t="s">
        <v>9</v>
      </c>
      <c r="H902">
        <v>2031.0</v>
      </c>
      <c r="I902" t="s">
        <v>31</v>
      </c>
      <c r="J902" t="s">
        <v>99</v>
      </c>
      <c r="K902" t="s">
        <v>43</v>
      </c>
      <c r="L902" t="s">
        <v>44</v>
      </c>
      <c r="M902">
        <v>28.18</v>
      </c>
    </row>
    <row r="903">
      <c r="A903" s="2">
        <v>45345</v>
      </c>
      <c r="B903">
        <v>2024.0</v>
      </c>
      <c r="C903" t="s">
        <v>318</v>
      </c>
      <c r="D903" t="s">
        <v>316</v>
      </c>
      <c r="E903" t="s">
        <v>158</v>
      </c>
      <c r="F903" t="s">
        <v>306</v>
      </c>
      <c r="G903" t="s">
        <v>11</v>
      </c>
      <c r="H903">
        <v>4570.0</v>
      </c>
      <c r="I903" t="s">
        <v>31</v>
      </c>
      <c r="J903" t="s">
        <v>84</v>
      </c>
      <c r="K903" t="s">
        <v>38</v>
      </c>
      <c r="L903" t="s">
        <v>39</v>
      </c>
      <c r="M903">
        <v>28.47</v>
      </c>
    </row>
    <row r="904">
      <c r="A904" s="2">
        <v>45536</v>
      </c>
      <c r="B904">
        <v>2025.0</v>
      </c>
      <c r="C904" t="s">
        <v>315</v>
      </c>
      <c r="D904" t="s">
        <v>316</v>
      </c>
      <c r="E904" t="s">
        <v>131</v>
      </c>
      <c r="F904" t="s">
        <v>306</v>
      </c>
      <c r="G904" t="s">
        <v>11</v>
      </c>
      <c r="H904">
        <v>4655.0</v>
      </c>
      <c r="I904" t="s">
        <v>31</v>
      </c>
      <c r="J904" t="s">
        <v>32</v>
      </c>
      <c r="K904" t="s">
        <v>38</v>
      </c>
      <c r="L904" t="s">
        <v>39</v>
      </c>
      <c r="M904">
        <v>28.48</v>
      </c>
    </row>
    <row r="905">
      <c r="A905" s="2">
        <v>45985</v>
      </c>
      <c r="B905">
        <v>2026.0</v>
      </c>
      <c r="C905" t="s">
        <v>321</v>
      </c>
      <c r="D905" t="s">
        <v>319</v>
      </c>
      <c r="E905" t="s">
        <v>150</v>
      </c>
      <c r="F905" t="s">
        <v>310</v>
      </c>
      <c r="G905" t="s">
        <v>15</v>
      </c>
      <c r="H905">
        <v>7250.0</v>
      </c>
      <c r="I905" t="s">
        <v>31</v>
      </c>
      <c r="J905" t="s">
        <v>53</v>
      </c>
      <c r="K905" t="s">
        <v>33</v>
      </c>
      <c r="L905" t="s">
        <v>34</v>
      </c>
      <c r="M905">
        <v>28.53</v>
      </c>
    </row>
    <row r="906">
      <c r="A906" s="2">
        <v>45961</v>
      </c>
      <c r="B906">
        <v>2026.0</v>
      </c>
      <c r="C906" t="s">
        <v>321</v>
      </c>
      <c r="D906" t="s">
        <v>319</v>
      </c>
      <c r="E906" t="s">
        <v>207</v>
      </c>
      <c r="F906" t="s">
        <v>306</v>
      </c>
      <c r="G906" t="s">
        <v>11</v>
      </c>
      <c r="H906">
        <v>4825.0</v>
      </c>
      <c r="I906" t="s">
        <v>31</v>
      </c>
      <c r="J906" t="s">
        <v>78</v>
      </c>
      <c r="K906" t="s">
        <v>38</v>
      </c>
      <c r="L906" t="s">
        <v>39</v>
      </c>
      <c r="M906">
        <v>28.92</v>
      </c>
    </row>
    <row r="907">
      <c r="A907" s="2">
        <v>45542</v>
      </c>
      <c r="B907">
        <v>2025.0</v>
      </c>
      <c r="C907" t="s">
        <v>315</v>
      </c>
      <c r="D907" t="s">
        <v>316</v>
      </c>
      <c r="E907" t="s">
        <v>92</v>
      </c>
      <c r="F907" t="s">
        <v>305</v>
      </c>
      <c r="G907" t="s">
        <v>10</v>
      </c>
      <c r="H907">
        <v>3690.0</v>
      </c>
      <c r="I907" t="s">
        <v>31</v>
      </c>
      <c r="J907" t="s">
        <v>94</v>
      </c>
      <c r="K907" t="s">
        <v>112</v>
      </c>
      <c r="L907" t="s">
        <v>113</v>
      </c>
      <c r="M907">
        <v>28.92</v>
      </c>
    </row>
    <row r="908">
      <c r="A908" s="2">
        <v>45526</v>
      </c>
      <c r="B908">
        <v>2025.0</v>
      </c>
      <c r="C908" t="s">
        <v>315</v>
      </c>
      <c r="D908" t="s">
        <v>319</v>
      </c>
      <c r="E908" t="s">
        <v>116</v>
      </c>
      <c r="F908" t="s">
        <v>304</v>
      </c>
      <c r="G908" t="s">
        <v>9</v>
      </c>
      <c r="H908">
        <v>2485.0</v>
      </c>
      <c r="I908" t="s">
        <v>31</v>
      </c>
      <c r="J908" t="s">
        <v>70</v>
      </c>
      <c r="K908" t="s">
        <v>38</v>
      </c>
      <c r="L908" t="s">
        <v>39</v>
      </c>
      <c r="M908">
        <v>28.93</v>
      </c>
    </row>
    <row r="909">
      <c r="A909" s="2">
        <v>45502</v>
      </c>
      <c r="B909">
        <v>2025.0</v>
      </c>
      <c r="C909" t="s">
        <v>315</v>
      </c>
      <c r="D909" t="s">
        <v>316</v>
      </c>
      <c r="E909" t="s">
        <v>223</v>
      </c>
      <c r="F909" t="s">
        <v>305</v>
      </c>
      <c r="G909" t="s">
        <v>10</v>
      </c>
      <c r="H909">
        <v>3915.0</v>
      </c>
      <c r="I909" t="s">
        <v>31</v>
      </c>
      <c r="J909" t="s">
        <v>94</v>
      </c>
      <c r="K909" t="s">
        <v>95</v>
      </c>
      <c r="L909" t="s">
        <v>96</v>
      </c>
      <c r="M909">
        <v>28.939999999999998</v>
      </c>
    </row>
    <row r="910">
      <c r="A910" s="2">
        <v>45337</v>
      </c>
      <c r="B910">
        <v>2024.0</v>
      </c>
      <c r="C910" t="s">
        <v>318</v>
      </c>
      <c r="D910" t="s">
        <v>319</v>
      </c>
      <c r="E910" t="s">
        <v>248</v>
      </c>
      <c r="F910" t="s">
        <v>307</v>
      </c>
      <c r="G910" t="s">
        <v>12</v>
      </c>
      <c r="H910">
        <v>6112.0</v>
      </c>
      <c r="I910" t="s">
        <v>31</v>
      </c>
      <c r="J910" t="s">
        <v>162</v>
      </c>
      <c r="K910" t="s">
        <v>112</v>
      </c>
      <c r="L910" t="s">
        <v>113</v>
      </c>
      <c r="M910">
        <v>28.95</v>
      </c>
    </row>
    <row r="911">
      <c r="A911" s="2">
        <v>45440</v>
      </c>
      <c r="B911">
        <v>2024.0</v>
      </c>
      <c r="C911" t="s">
        <v>318</v>
      </c>
      <c r="D911" t="s">
        <v>316</v>
      </c>
      <c r="E911" t="s">
        <v>169</v>
      </c>
      <c r="F911" t="s">
        <v>307</v>
      </c>
      <c r="G911" t="s">
        <v>12</v>
      </c>
      <c r="H911">
        <v>6027.0</v>
      </c>
      <c r="I911" t="s">
        <v>31</v>
      </c>
      <c r="J911" t="s">
        <v>102</v>
      </c>
      <c r="K911" t="s">
        <v>112</v>
      </c>
      <c r="L911" t="s">
        <v>113</v>
      </c>
      <c r="M911">
        <v>28.96</v>
      </c>
    </row>
    <row r="912">
      <c r="A912" s="2">
        <v>45362</v>
      </c>
      <c r="B912">
        <v>2024.0</v>
      </c>
      <c r="C912" t="s">
        <v>318</v>
      </c>
      <c r="D912" t="s">
        <v>319</v>
      </c>
      <c r="E912" t="s">
        <v>105</v>
      </c>
      <c r="F912" t="s">
        <v>304</v>
      </c>
      <c r="G912" t="s">
        <v>9</v>
      </c>
      <c r="H912">
        <v>2541.0</v>
      </c>
      <c r="I912" t="s">
        <v>31</v>
      </c>
      <c r="J912" t="s">
        <v>107</v>
      </c>
      <c r="K912" t="s">
        <v>43</v>
      </c>
      <c r="L912" t="s">
        <v>44</v>
      </c>
      <c r="M912">
        <v>28.97</v>
      </c>
    </row>
    <row r="913">
      <c r="A913" s="2">
        <v>45917</v>
      </c>
      <c r="B913">
        <v>2026.0</v>
      </c>
      <c r="C913" t="s">
        <v>321</v>
      </c>
      <c r="D913" t="s">
        <v>319</v>
      </c>
      <c r="E913" t="s">
        <v>219</v>
      </c>
      <c r="F913" t="s">
        <v>306</v>
      </c>
      <c r="G913" t="s">
        <v>11</v>
      </c>
      <c r="H913">
        <v>4068.0</v>
      </c>
      <c r="I913" t="s">
        <v>31</v>
      </c>
      <c r="J913" t="s">
        <v>56</v>
      </c>
      <c r="K913" t="s">
        <v>95</v>
      </c>
      <c r="L913" t="s">
        <v>96</v>
      </c>
      <c r="M913">
        <v>28.979999999999997</v>
      </c>
    </row>
    <row r="914">
      <c r="A914" s="2">
        <v>45548</v>
      </c>
      <c r="B914">
        <v>2025.0</v>
      </c>
      <c r="C914" t="s">
        <v>315</v>
      </c>
      <c r="D914" t="s">
        <v>319</v>
      </c>
      <c r="E914" t="s">
        <v>225</v>
      </c>
      <c r="F914" t="s">
        <v>308</v>
      </c>
      <c r="G914" t="s">
        <v>13</v>
      </c>
      <c r="H914">
        <v>5607.0</v>
      </c>
      <c r="I914" t="s">
        <v>31</v>
      </c>
      <c r="J914" t="s">
        <v>227</v>
      </c>
      <c r="K914" t="s">
        <v>95</v>
      </c>
      <c r="L914" t="s">
        <v>96</v>
      </c>
      <c r="M914">
        <v>28.98</v>
      </c>
    </row>
    <row r="915">
      <c r="A915" s="2">
        <v>45833</v>
      </c>
      <c r="B915">
        <v>2025.0</v>
      </c>
      <c r="C915" t="s">
        <v>315</v>
      </c>
      <c r="D915" t="s">
        <v>316</v>
      </c>
      <c r="E915" t="s">
        <v>199</v>
      </c>
      <c r="F915" t="s">
        <v>308</v>
      </c>
      <c r="G915" t="s">
        <v>13</v>
      </c>
      <c r="H915">
        <v>5169.0</v>
      </c>
      <c r="I915" t="s">
        <v>31</v>
      </c>
      <c r="J915" t="s">
        <v>42</v>
      </c>
      <c r="K915" t="s">
        <v>43</v>
      </c>
      <c r="L915" t="s">
        <v>44</v>
      </c>
      <c r="M915">
        <v>29.0</v>
      </c>
    </row>
    <row r="916">
      <c r="A916" s="2">
        <v>45755</v>
      </c>
      <c r="B916">
        <v>2025.0</v>
      </c>
      <c r="C916" t="s">
        <v>315</v>
      </c>
      <c r="D916" t="s">
        <v>316</v>
      </c>
      <c r="E916" t="s">
        <v>177</v>
      </c>
      <c r="F916" t="s">
        <v>307</v>
      </c>
      <c r="G916" t="s">
        <v>12</v>
      </c>
      <c r="H916">
        <v>6330.0</v>
      </c>
      <c r="I916" t="s">
        <v>31</v>
      </c>
      <c r="J916" t="s">
        <v>162</v>
      </c>
      <c r="K916" t="s">
        <v>46</v>
      </c>
      <c r="L916" t="s">
        <v>47</v>
      </c>
      <c r="M916">
        <v>29.0</v>
      </c>
    </row>
    <row r="917">
      <c r="A917" s="2">
        <v>45751</v>
      </c>
      <c r="B917">
        <v>2025.0</v>
      </c>
      <c r="C917" t="s">
        <v>315</v>
      </c>
      <c r="D917" t="s">
        <v>319</v>
      </c>
      <c r="E917" t="s">
        <v>97</v>
      </c>
      <c r="F917" t="s">
        <v>304</v>
      </c>
      <c r="G917" t="s">
        <v>9</v>
      </c>
      <c r="H917">
        <v>2067.0</v>
      </c>
      <c r="I917" t="s">
        <v>31</v>
      </c>
      <c r="J917" t="s">
        <v>99</v>
      </c>
      <c r="K917" t="s">
        <v>43</v>
      </c>
      <c r="L917" t="s">
        <v>44</v>
      </c>
      <c r="M917">
        <v>29.0</v>
      </c>
    </row>
    <row r="918">
      <c r="A918" s="2">
        <v>45339</v>
      </c>
      <c r="B918">
        <v>2024.0</v>
      </c>
      <c r="C918" t="s">
        <v>318</v>
      </c>
      <c r="D918" t="s">
        <v>316</v>
      </c>
      <c r="E918" t="s">
        <v>248</v>
      </c>
      <c r="F918" t="s">
        <v>307</v>
      </c>
      <c r="G918" t="s">
        <v>12</v>
      </c>
      <c r="H918">
        <v>6112.0</v>
      </c>
      <c r="I918" t="s">
        <v>31</v>
      </c>
      <c r="J918" t="s">
        <v>162</v>
      </c>
      <c r="K918" t="s">
        <v>43</v>
      </c>
      <c r="L918" t="s">
        <v>44</v>
      </c>
      <c r="M918">
        <v>29.0</v>
      </c>
    </row>
    <row r="919">
      <c r="A919" s="2">
        <v>45710</v>
      </c>
      <c r="B919">
        <v>2025.0</v>
      </c>
      <c r="C919" t="s">
        <v>315</v>
      </c>
      <c r="D919" t="s">
        <v>316</v>
      </c>
      <c r="E919" t="s">
        <v>264</v>
      </c>
      <c r="F919" t="s">
        <v>308</v>
      </c>
      <c r="G919" t="s">
        <v>13</v>
      </c>
      <c r="H919">
        <v>5043.0</v>
      </c>
      <c r="I919" t="s">
        <v>31</v>
      </c>
      <c r="J919" t="s">
        <v>42</v>
      </c>
      <c r="K919" t="s">
        <v>43</v>
      </c>
      <c r="L919" t="s">
        <v>44</v>
      </c>
      <c r="M919">
        <v>29.009999999999998</v>
      </c>
    </row>
    <row r="920">
      <c r="A920" s="2">
        <v>45645</v>
      </c>
      <c r="B920">
        <v>2025.0</v>
      </c>
      <c r="C920" t="s">
        <v>315</v>
      </c>
      <c r="D920" t="s">
        <v>319</v>
      </c>
      <c r="E920" t="s">
        <v>59</v>
      </c>
      <c r="F920" t="s">
        <v>306</v>
      </c>
      <c r="G920" t="s">
        <v>11</v>
      </c>
      <c r="H920">
        <v>4509.0</v>
      </c>
      <c r="I920" t="s">
        <v>31</v>
      </c>
      <c r="J920" t="s">
        <v>61</v>
      </c>
      <c r="K920" t="s">
        <v>43</v>
      </c>
      <c r="L920" t="s">
        <v>44</v>
      </c>
      <c r="M920">
        <v>29.39</v>
      </c>
    </row>
    <row r="921">
      <c r="A921" s="2">
        <v>45628</v>
      </c>
      <c r="B921">
        <v>2025.0</v>
      </c>
      <c r="C921" t="s">
        <v>315</v>
      </c>
      <c r="D921" t="s">
        <v>319</v>
      </c>
      <c r="E921" t="s">
        <v>242</v>
      </c>
      <c r="F921" t="s">
        <v>305</v>
      </c>
      <c r="G921" t="s">
        <v>10</v>
      </c>
      <c r="H921">
        <v>3977.0</v>
      </c>
      <c r="I921" t="s">
        <v>31</v>
      </c>
      <c r="J921" t="s">
        <v>94</v>
      </c>
      <c r="K921" t="s">
        <v>43</v>
      </c>
      <c r="L921" t="s">
        <v>44</v>
      </c>
      <c r="M921">
        <v>29.5</v>
      </c>
    </row>
    <row r="922">
      <c r="A922" s="2">
        <v>45901</v>
      </c>
      <c r="B922">
        <v>2026.0</v>
      </c>
      <c r="C922" t="s">
        <v>321</v>
      </c>
      <c r="D922" t="s">
        <v>316</v>
      </c>
      <c r="E922" t="s">
        <v>173</v>
      </c>
      <c r="F922" t="s">
        <v>306</v>
      </c>
      <c r="G922" t="s">
        <v>11</v>
      </c>
      <c r="H922">
        <v>4220.0</v>
      </c>
      <c r="I922" t="s">
        <v>31</v>
      </c>
      <c r="J922" t="s">
        <v>61</v>
      </c>
      <c r="K922" t="s">
        <v>112</v>
      </c>
      <c r="L922" t="s">
        <v>113</v>
      </c>
      <c r="M922">
        <v>29.6</v>
      </c>
    </row>
    <row r="923">
      <c r="A923" s="2">
        <v>45389</v>
      </c>
      <c r="B923">
        <v>2024.0</v>
      </c>
      <c r="C923" t="s">
        <v>318</v>
      </c>
      <c r="D923" t="s">
        <v>316</v>
      </c>
      <c r="E923" t="s">
        <v>163</v>
      </c>
      <c r="F923" t="s">
        <v>304</v>
      </c>
      <c r="G923" t="s">
        <v>9</v>
      </c>
      <c r="H923">
        <v>2154.0</v>
      </c>
      <c r="I923" t="s">
        <v>31</v>
      </c>
      <c r="J923" t="s">
        <v>81</v>
      </c>
      <c r="K923" t="s">
        <v>66</v>
      </c>
      <c r="L923" t="s">
        <v>67</v>
      </c>
      <c r="M923">
        <v>29.65</v>
      </c>
    </row>
    <row r="924">
      <c r="A924" s="2">
        <v>45806</v>
      </c>
      <c r="B924">
        <v>2025.0</v>
      </c>
      <c r="C924" t="s">
        <v>315</v>
      </c>
      <c r="D924" t="s">
        <v>319</v>
      </c>
      <c r="E924" t="s">
        <v>201</v>
      </c>
      <c r="F924" t="s">
        <v>305</v>
      </c>
      <c r="G924" t="s">
        <v>10</v>
      </c>
      <c r="H924">
        <v>3131.0</v>
      </c>
      <c r="I924" t="s">
        <v>31</v>
      </c>
      <c r="J924" t="s">
        <v>89</v>
      </c>
      <c r="K924" t="s">
        <v>112</v>
      </c>
      <c r="L924" t="s">
        <v>113</v>
      </c>
      <c r="M924">
        <v>29.85</v>
      </c>
    </row>
    <row r="925">
      <c r="A925" s="2">
        <v>45779</v>
      </c>
      <c r="B925">
        <v>2025.0</v>
      </c>
      <c r="C925" t="s">
        <v>315</v>
      </c>
      <c r="D925" t="s">
        <v>319</v>
      </c>
      <c r="E925" t="s">
        <v>110</v>
      </c>
      <c r="F925" t="s">
        <v>304</v>
      </c>
      <c r="G925" t="s">
        <v>9</v>
      </c>
      <c r="H925">
        <v>2101.0</v>
      </c>
      <c r="I925" t="s">
        <v>31</v>
      </c>
      <c r="J925" t="s">
        <v>81</v>
      </c>
      <c r="K925" t="s">
        <v>33</v>
      </c>
      <c r="L925" t="s">
        <v>34</v>
      </c>
      <c r="M925">
        <v>29.9</v>
      </c>
    </row>
    <row r="926">
      <c r="A926" s="2">
        <v>45489</v>
      </c>
      <c r="B926">
        <v>2025.0</v>
      </c>
      <c r="C926" t="s">
        <v>315</v>
      </c>
      <c r="D926" t="s">
        <v>316</v>
      </c>
      <c r="E926" t="s">
        <v>205</v>
      </c>
      <c r="F926" t="s">
        <v>305</v>
      </c>
      <c r="G926" t="s">
        <v>10</v>
      </c>
      <c r="H926">
        <v>3400.0</v>
      </c>
      <c r="I926" t="s">
        <v>31</v>
      </c>
      <c r="J926" t="s">
        <v>37</v>
      </c>
      <c r="K926" t="s">
        <v>112</v>
      </c>
      <c r="L926" t="s">
        <v>113</v>
      </c>
      <c r="M926">
        <v>29.91</v>
      </c>
    </row>
    <row r="927">
      <c r="A927" s="2">
        <v>45990</v>
      </c>
      <c r="B927">
        <v>2026.0</v>
      </c>
      <c r="C927" t="s">
        <v>321</v>
      </c>
      <c r="D927" t="s">
        <v>316</v>
      </c>
      <c r="E927" t="s">
        <v>223</v>
      </c>
      <c r="F927" t="s">
        <v>305</v>
      </c>
      <c r="G927" t="s">
        <v>10</v>
      </c>
      <c r="H927">
        <v>3915.0</v>
      </c>
      <c r="I927" t="s">
        <v>31</v>
      </c>
      <c r="J927" t="s">
        <v>94</v>
      </c>
      <c r="K927" t="s">
        <v>33</v>
      </c>
      <c r="L927" t="s">
        <v>34</v>
      </c>
      <c r="M927">
        <v>29.910000000000004</v>
      </c>
    </row>
    <row r="928">
      <c r="A928" s="2">
        <v>45903</v>
      </c>
      <c r="B928">
        <v>2026.0</v>
      </c>
      <c r="C928" t="s">
        <v>321</v>
      </c>
      <c r="D928" t="s">
        <v>316</v>
      </c>
      <c r="E928" t="s">
        <v>76</v>
      </c>
      <c r="F928" t="s">
        <v>306</v>
      </c>
      <c r="G928" t="s">
        <v>11</v>
      </c>
      <c r="H928">
        <v>4883.0</v>
      </c>
      <c r="I928" t="s">
        <v>31</v>
      </c>
      <c r="J928" t="s">
        <v>78</v>
      </c>
      <c r="K928" t="s">
        <v>33</v>
      </c>
      <c r="L928" t="s">
        <v>34</v>
      </c>
      <c r="M928">
        <v>29.92</v>
      </c>
    </row>
    <row r="929">
      <c r="A929" s="2">
        <v>45728</v>
      </c>
      <c r="B929">
        <v>2025.0</v>
      </c>
      <c r="C929" t="s">
        <v>315</v>
      </c>
      <c r="D929" t="s">
        <v>316</v>
      </c>
      <c r="E929" t="s">
        <v>90</v>
      </c>
      <c r="F929" t="s">
        <v>305</v>
      </c>
      <c r="G929" t="s">
        <v>10</v>
      </c>
      <c r="H929">
        <v>3353.0</v>
      </c>
      <c r="I929" t="s">
        <v>31</v>
      </c>
      <c r="J929" t="s">
        <v>37</v>
      </c>
      <c r="K929" t="s">
        <v>46</v>
      </c>
      <c r="L929" t="s">
        <v>47</v>
      </c>
      <c r="M929">
        <v>29.95</v>
      </c>
    </row>
    <row r="930">
      <c r="A930" s="2">
        <v>45905</v>
      </c>
      <c r="B930">
        <v>2026.0</v>
      </c>
      <c r="C930" t="s">
        <v>321</v>
      </c>
      <c r="D930" t="s">
        <v>316</v>
      </c>
      <c r="E930" t="s">
        <v>156</v>
      </c>
      <c r="F930" t="s">
        <v>304</v>
      </c>
      <c r="G930" t="s">
        <v>9</v>
      </c>
      <c r="H930">
        <v>2830.0</v>
      </c>
      <c r="I930" t="s">
        <v>31</v>
      </c>
      <c r="J930" t="s">
        <v>75</v>
      </c>
      <c r="K930" t="s">
        <v>38</v>
      </c>
      <c r="L930" t="s">
        <v>39</v>
      </c>
      <c r="M930">
        <v>29.95</v>
      </c>
    </row>
    <row r="931">
      <c r="A931" s="2">
        <v>45358</v>
      </c>
      <c r="B931">
        <v>2024.0</v>
      </c>
      <c r="C931" t="s">
        <v>318</v>
      </c>
      <c r="D931" t="s">
        <v>319</v>
      </c>
      <c r="E931" t="s">
        <v>118</v>
      </c>
      <c r="F931" t="s">
        <v>305</v>
      </c>
      <c r="G931" t="s">
        <v>10</v>
      </c>
      <c r="H931">
        <v>3076.0</v>
      </c>
      <c r="I931" t="s">
        <v>31</v>
      </c>
      <c r="J931" t="s">
        <v>120</v>
      </c>
      <c r="K931" t="s">
        <v>46</v>
      </c>
      <c r="L931" t="s">
        <v>47</v>
      </c>
      <c r="M931">
        <v>29.95</v>
      </c>
    </row>
    <row r="932">
      <c r="A932" s="2">
        <v>45346</v>
      </c>
      <c r="B932">
        <v>2024.0</v>
      </c>
      <c r="C932" t="s">
        <v>318</v>
      </c>
      <c r="D932" t="s">
        <v>316</v>
      </c>
      <c r="E932" t="s">
        <v>240</v>
      </c>
      <c r="F932" t="s">
        <v>310</v>
      </c>
      <c r="G932" t="s">
        <v>15</v>
      </c>
      <c r="H932">
        <v>7010.0</v>
      </c>
      <c r="I932" t="s">
        <v>31</v>
      </c>
      <c r="J932" t="s">
        <v>53</v>
      </c>
      <c r="K932" t="s">
        <v>38</v>
      </c>
      <c r="L932" t="s">
        <v>39</v>
      </c>
      <c r="M932">
        <v>29.95</v>
      </c>
    </row>
    <row r="933">
      <c r="A933" s="2">
        <v>45946</v>
      </c>
      <c r="B933">
        <v>2026.0</v>
      </c>
      <c r="C933" t="s">
        <v>321</v>
      </c>
      <c r="D933" t="s">
        <v>319</v>
      </c>
      <c r="E933" t="s">
        <v>185</v>
      </c>
      <c r="F933" t="s">
        <v>307</v>
      </c>
      <c r="G933" t="s">
        <v>12</v>
      </c>
      <c r="H933">
        <v>6109.0</v>
      </c>
      <c r="I933" t="s">
        <v>31</v>
      </c>
      <c r="J933" t="s">
        <v>162</v>
      </c>
      <c r="K933" t="s">
        <v>38</v>
      </c>
      <c r="L933" t="s">
        <v>39</v>
      </c>
      <c r="M933">
        <v>29.95</v>
      </c>
    </row>
    <row r="934">
      <c r="A934" s="2">
        <v>45721</v>
      </c>
      <c r="B934">
        <v>2025.0</v>
      </c>
      <c r="C934" t="s">
        <v>315</v>
      </c>
      <c r="D934" t="s">
        <v>316</v>
      </c>
      <c r="E934" t="s">
        <v>73</v>
      </c>
      <c r="F934" t="s">
        <v>304</v>
      </c>
      <c r="G934" t="s">
        <v>9</v>
      </c>
      <c r="H934">
        <v>2750.0</v>
      </c>
      <c r="I934" t="s">
        <v>31</v>
      </c>
      <c r="J934" t="s">
        <v>75</v>
      </c>
      <c r="K934" t="s">
        <v>46</v>
      </c>
      <c r="L934" t="s">
        <v>47</v>
      </c>
      <c r="M934">
        <v>29.95</v>
      </c>
    </row>
    <row r="935">
      <c r="A935" s="2">
        <v>45826</v>
      </c>
      <c r="B935">
        <v>2025.0</v>
      </c>
      <c r="C935" t="s">
        <v>315</v>
      </c>
      <c r="D935" t="s">
        <v>316</v>
      </c>
      <c r="E935" t="s">
        <v>137</v>
      </c>
      <c r="F935" t="s">
        <v>305</v>
      </c>
      <c r="G935" t="s">
        <v>10</v>
      </c>
      <c r="H935">
        <v>3134.0</v>
      </c>
      <c r="I935" t="s">
        <v>31</v>
      </c>
      <c r="J935" t="s">
        <v>89</v>
      </c>
      <c r="K935" t="s">
        <v>46</v>
      </c>
      <c r="L935" t="s">
        <v>47</v>
      </c>
      <c r="M935">
        <v>29.95</v>
      </c>
    </row>
    <row r="936">
      <c r="A936" s="2">
        <v>45871</v>
      </c>
      <c r="B936">
        <v>2026.0</v>
      </c>
      <c r="C936" t="s">
        <v>321</v>
      </c>
      <c r="D936" t="s">
        <v>316</v>
      </c>
      <c r="E936" t="s">
        <v>54</v>
      </c>
      <c r="F936" t="s">
        <v>306</v>
      </c>
      <c r="G936" t="s">
        <v>11</v>
      </c>
      <c r="H936">
        <v>4012.0</v>
      </c>
      <c r="I936" t="s">
        <v>31</v>
      </c>
      <c r="J936" t="s">
        <v>56</v>
      </c>
      <c r="K936" t="s">
        <v>95</v>
      </c>
      <c r="L936" t="s">
        <v>96</v>
      </c>
      <c r="M936">
        <v>29.95</v>
      </c>
    </row>
    <row r="937">
      <c r="A937" s="2">
        <v>45455</v>
      </c>
      <c r="B937">
        <v>2024.0</v>
      </c>
      <c r="C937" t="s">
        <v>318</v>
      </c>
      <c r="D937" t="s">
        <v>319</v>
      </c>
      <c r="E937" t="s">
        <v>201</v>
      </c>
      <c r="F937" t="s">
        <v>305</v>
      </c>
      <c r="G937" t="s">
        <v>10</v>
      </c>
      <c r="H937">
        <v>3131.0</v>
      </c>
      <c r="I937" t="s">
        <v>31</v>
      </c>
      <c r="J937" t="s">
        <v>89</v>
      </c>
      <c r="K937" t="s">
        <v>112</v>
      </c>
      <c r="L937" t="s">
        <v>113</v>
      </c>
      <c r="M937">
        <v>29.950000000000003</v>
      </c>
    </row>
    <row r="938">
      <c r="A938" s="2">
        <v>45352</v>
      </c>
      <c r="B938">
        <v>2024.0</v>
      </c>
      <c r="C938" t="s">
        <v>318</v>
      </c>
      <c r="D938" t="s">
        <v>316</v>
      </c>
      <c r="E938" t="s">
        <v>258</v>
      </c>
      <c r="F938" t="s">
        <v>309</v>
      </c>
      <c r="G938" t="s">
        <v>14</v>
      </c>
      <c r="H938">
        <v>870.0</v>
      </c>
      <c r="I938" t="s">
        <v>31</v>
      </c>
      <c r="J938" t="s">
        <v>145</v>
      </c>
      <c r="K938" t="s">
        <v>71</v>
      </c>
      <c r="L938" t="s">
        <v>72</v>
      </c>
      <c r="M938">
        <v>29.97</v>
      </c>
    </row>
    <row r="939">
      <c r="A939" s="2">
        <v>45976</v>
      </c>
      <c r="B939">
        <v>2026.0</v>
      </c>
      <c r="C939" t="s">
        <v>321</v>
      </c>
      <c r="D939" t="s">
        <v>319</v>
      </c>
      <c r="E939" t="s">
        <v>68</v>
      </c>
      <c r="F939" t="s">
        <v>304</v>
      </c>
      <c r="G939" t="s">
        <v>9</v>
      </c>
      <c r="H939">
        <v>2478.0</v>
      </c>
      <c r="I939" t="s">
        <v>31</v>
      </c>
      <c r="J939" t="s">
        <v>70</v>
      </c>
      <c r="K939" t="s">
        <v>33</v>
      </c>
      <c r="L939" t="s">
        <v>34</v>
      </c>
      <c r="M939">
        <v>29.97</v>
      </c>
    </row>
    <row r="940">
      <c r="A940" s="2">
        <v>45611</v>
      </c>
      <c r="B940">
        <v>2025.0</v>
      </c>
      <c r="C940" t="s">
        <v>315</v>
      </c>
      <c r="D940" t="s">
        <v>319</v>
      </c>
      <c r="E940" t="s">
        <v>118</v>
      </c>
      <c r="F940" t="s">
        <v>305</v>
      </c>
      <c r="G940" t="s">
        <v>10</v>
      </c>
      <c r="H940">
        <v>3076.0</v>
      </c>
      <c r="I940" t="s">
        <v>31</v>
      </c>
      <c r="J940" t="s">
        <v>120</v>
      </c>
      <c r="K940" t="s">
        <v>71</v>
      </c>
      <c r="L940" t="s">
        <v>72</v>
      </c>
      <c r="M940">
        <v>29.97</v>
      </c>
    </row>
    <row r="941">
      <c r="A941" s="2">
        <v>45374</v>
      </c>
      <c r="B941">
        <v>2024.0</v>
      </c>
      <c r="C941" t="s">
        <v>318</v>
      </c>
      <c r="D941" t="s">
        <v>316</v>
      </c>
      <c r="E941" t="s">
        <v>131</v>
      </c>
      <c r="F941" t="s">
        <v>306</v>
      </c>
      <c r="G941" t="s">
        <v>11</v>
      </c>
      <c r="H941">
        <v>4655.0</v>
      </c>
      <c r="I941" t="s">
        <v>31</v>
      </c>
      <c r="J941" t="s">
        <v>32</v>
      </c>
      <c r="K941" t="s">
        <v>123</v>
      </c>
      <c r="L941" t="s">
        <v>124</v>
      </c>
      <c r="M941">
        <v>29.97</v>
      </c>
    </row>
    <row r="942">
      <c r="A942" s="2">
        <v>45414</v>
      </c>
      <c r="B942">
        <v>2024.0</v>
      </c>
      <c r="C942" t="s">
        <v>318</v>
      </c>
      <c r="D942" t="s">
        <v>316</v>
      </c>
      <c r="E942" t="s">
        <v>152</v>
      </c>
      <c r="F942" t="s">
        <v>306</v>
      </c>
      <c r="G942" t="s">
        <v>11</v>
      </c>
      <c r="H942">
        <v>4305.0</v>
      </c>
      <c r="I942" t="s">
        <v>31</v>
      </c>
      <c r="J942" t="s">
        <v>61</v>
      </c>
      <c r="K942" t="s">
        <v>43</v>
      </c>
      <c r="L942" t="s">
        <v>44</v>
      </c>
      <c r="M942">
        <v>29.97</v>
      </c>
    </row>
    <row r="943">
      <c r="A943" s="2">
        <v>45319</v>
      </c>
      <c r="B943">
        <v>2024.0</v>
      </c>
      <c r="C943" t="s">
        <v>318</v>
      </c>
      <c r="D943" t="s">
        <v>319</v>
      </c>
      <c r="E943" t="s">
        <v>167</v>
      </c>
      <c r="F943" t="s">
        <v>307</v>
      </c>
      <c r="G943" t="s">
        <v>12</v>
      </c>
      <c r="H943">
        <v>6030.0</v>
      </c>
      <c r="I943" t="s">
        <v>31</v>
      </c>
      <c r="J943" t="s">
        <v>102</v>
      </c>
      <c r="K943" t="s">
        <v>123</v>
      </c>
      <c r="L943" t="s">
        <v>124</v>
      </c>
      <c r="M943">
        <v>29.97</v>
      </c>
    </row>
    <row r="944">
      <c r="A944" s="2">
        <v>45502</v>
      </c>
      <c r="B944">
        <v>2025.0</v>
      </c>
      <c r="C944" t="s">
        <v>315</v>
      </c>
      <c r="D944" t="s">
        <v>316</v>
      </c>
      <c r="E944" t="s">
        <v>152</v>
      </c>
      <c r="F944" t="s">
        <v>306</v>
      </c>
      <c r="G944" t="s">
        <v>11</v>
      </c>
      <c r="H944">
        <v>4305.0</v>
      </c>
      <c r="I944" t="s">
        <v>31</v>
      </c>
      <c r="J944" t="s">
        <v>61</v>
      </c>
      <c r="K944" t="s">
        <v>43</v>
      </c>
      <c r="L944" t="s">
        <v>44</v>
      </c>
      <c r="M944">
        <v>29.98</v>
      </c>
    </row>
    <row r="945">
      <c r="A945" s="2">
        <v>45860</v>
      </c>
      <c r="B945">
        <v>2026.0</v>
      </c>
      <c r="C945" t="s">
        <v>321</v>
      </c>
      <c r="D945" t="s">
        <v>319</v>
      </c>
      <c r="E945" t="s">
        <v>150</v>
      </c>
      <c r="F945" t="s">
        <v>310</v>
      </c>
      <c r="G945" t="s">
        <v>15</v>
      </c>
      <c r="H945">
        <v>7250.0</v>
      </c>
      <c r="I945" t="s">
        <v>31</v>
      </c>
      <c r="J945" t="s">
        <v>53</v>
      </c>
      <c r="K945" t="s">
        <v>43</v>
      </c>
      <c r="L945" t="s">
        <v>44</v>
      </c>
      <c r="M945">
        <v>29.98</v>
      </c>
    </row>
    <row r="946">
      <c r="A946" s="2">
        <v>45710</v>
      </c>
      <c r="B946">
        <v>2025.0</v>
      </c>
      <c r="C946" t="s">
        <v>315</v>
      </c>
      <c r="D946" t="s">
        <v>319</v>
      </c>
      <c r="E946" t="s">
        <v>230</v>
      </c>
      <c r="F946" t="s">
        <v>308</v>
      </c>
      <c r="G946" t="s">
        <v>13</v>
      </c>
      <c r="H946">
        <v>5290.0</v>
      </c>
      <c r="I946" t="s">
        <v>31</v>
      </c>
      <c r="J946" t="s">
        <v>227</v>
      </c>
      <c r="K946" t="s">
        <v>43</v>
      </c>
      <c r="L946" t="s">
        <v>44</v>
      </c>
      <c r="M946">
        <v>29.98</v>
      </c>
    </row>
    <row r="947">
      <c r="A947" s="2">
        <v>45949</v>
      </c>
      <c r="B947">
        <v>2026.0</v>
      </c>
      <c r="C947" t="s">
        <v>321</v>
      </c>
      <c r="D947" t="s">
        <v>316</v>
      </c>
      <c r="E947" t="s">
        <v>51</v>
      </c>
      <c r="F947" t="s">
        <v>310</v>
      </c>
      <c r="G947" t="s">
        <v>15</v>
      </c>
      <c r="H947">
        <v>7018.0</v>
      </c>
      <c r="I947" t="s">
        <v>31</v>
      </c>
      <c r="J947" t="s">
        <v>53</v>
      </c>
      <c r="K947" t="s">
        <v>123</v>
      </c>
      <c r="L947" t="s">
        <v>124</v>
      </c>
      <c r="M947">
        <v>29.98</v>
      </c>
    </row>
    <row r="948">
      <c r="A948" s="2">
        <v>45629</v>
      </c>
      <c r="B948">
        <v>2025.0</v>
      </c>
      <c r="C948" t="s">
        <v>315</v>
      </c>
      <c r="D948" t="s">
        <v>319</v>
      </c>
      <c r="E948" t="s">
        <v>260</v>
      </c>
      <c r="F948" t="s">
        <v>305</v>
      </c>
      <c r="G948" t="s">
        <v>10</v>
      </c>
      <c r="H948">
        <v>3179.0</v>
      </c>
      <c r="I948" t="s">
        <v>31</v>
      </c>
      <c r="J948" t="s">
        <v>89</v>
      </c>
      <c r="K948" t="s">
        <v>123</v>
      </c>
      <c r="L948" t="s">
        <v>124</v>
      </c>
      <c r="M948">
        <v>29.98</v>
      </c>
    </row>
    <row r="949">
      <c r="A949" s="2">
        <v>45405</v>
      </c>
      <c r="B949">
        <v>2024.0</v>
      </c>
      <c r="C949" t="s">
        <v>318</v>
      </c>
      <c r="D949" t="s">
        <v>316</v>
      </c>
      <c r="E949" t="s">
        <v>133</v>
      </c>
      <c r="F949" t="s">
        <v>305</v>
      </c>
      <c r="G949" t="s">
        <v>10</v>
      </c>
      <c r="H949">
        <v>3429.0</v>
      </c>
      <c r="I949" t="s">
        <v>31</v>
      </c>
      <c r="J949" t="s">
        <v>37</v>
      </c>
      <c r="K949" t="s">
        <v>46</v>
      </c>
      <c r="L949" t="s">
        <v>47</v>
      </c>
      <c r="M949">
        <v>29.98</v>
      </c>
    </row>
    <row r="950">
      <c r="A950" s="2">
        <v>45532</v>
      </c>
      <c r="B950">
        <v>2025.0</v>
      </c>
      <c r="C950" t="s">
        <v>315</v>
      </c>
      <c r="D950" t="s">
        <v>319</v>
      </c>
      <c r="E950" t="s">
        <v>187</v>
      </c>
      <c r="F950" t="s">
        <v>306</v>
      </c>
      <c r="G950" t="s">
        <v>11</v>
      </c>
      <c r="H950">
        <v>4870.0</v>
      </c>
      <c r="I950" t="s">
        <v>31</v>
      </c>
      <c r="J950" t="s">
        <v>78</v>
      </c>
      <c r="K950" t="s">
        <v>43</v>
      </c>
      <c r="L950" t="s">
        <v>44</v>
      </c>
      <c r="M950">
        <v>29.99</v>
      </c>
    </row>
    <row r="951">
      <c r="A951" s="2">
        <v>45818</v>
      </c>
      <c r="B951">
        <v>2025.0</v>
      </c>
      <c r="C951" t="s">
        <v>315</v>
      </c>
      <c r="D951" t="s">
        <v>316</v>
      </c>
      <c r="E951" t="s">
        <v>100</v>
      </c>
      <c r="F951" t="s">
        <v>307</v>
      </c>
      <c r="G951" t="s">
        <v>12</v>
      </c>
      <c r="H951">
        <v>6010.0</v>
      </c>
      <c r="I951" t="s">
        <v>31</v>
      </c>
      <c r="J951" t="s">
        <v>102</v>
      </c>
      <c r="K951" t="s">
        <v>57</v>
      </c>
      <c r="L951" t="s">
        <v>58</v>
      </c>
      <c r="M951">
        <v>29.99</v>
      </c>
    </row>
    <row r="952">
      <c r="A952" s="2">
        <v>45930</v>
      </c>
      <c r="B952">
        <v>2026.0</v>
      </c>
      <c r="C952" t="s">
        <v>321</v>
      </c>
      <c r="D952" t="s">
        <v>316</v>
      </c>
      <c r="E952" t="s">
        <v>221</v>
      </c>
      <c r="F952" t="s">
        <v>306</v>
      </c>
      <c r="G952" t="s">
        <v>11</v>
      </c>
      <c r="H952">
        <v>4053.0</v>
      </c>
      <c r="I952" t="s">
        <v>31</v>
      </c>
      <c r="J952" t="s">
        <v>56</v>
      </c>
      <c r="K952" t="s">
        <v>46</v>
      </c>
      <c r="L952" t="s">
        <v>47</v>
      </c>
      <c r="M952">
        <v>30.369999999999997</v>
      </c>
    </row>
    <row r="953">
      <c r="A953" s="2">
        <v>45388</v>
      </c>
      <c r="B953">
        <v>2024.0</v>
      </c>
      <c r="C953" t="s">
        <v>318</v>
      </c>
      <c r="D953" t="s">
        <v>316</v>
      </c>
      <c r="E953" t="s">
        <v>185</v>
      </c>
      <c r="F953" t="s">
        <v>307</v>
      </c>
      <c r="G953" t="s">
        <v>12</v>
      </c>
      <c r="H953">
        <v>6109.0</v>
      </c>
      <c r="I953" t="s">
        <v>31</v>
      </c>
      <c r="J953" t="s">
        <v>162</v>
      </c>
      <c r="K953" t="s">
        <v>123</v>
      </c>
      <c r="L953" t="s">
        <v>124</v>
      </c>
      <c r="M953">
        <v>30.63</v>
      </c>
    </row>
    <row r="954">
      <c r="A954" s="2">
        <v>45918</v>
      </c>
      <c r="B954">
        <v>2026.0</v>
      </c>
      <c r="C954" t="s">
        <v>321</v>
      </c>
      <c r="D954" t="s">
        <v>316</v>
      </c>
      <c r="E954" t="s">
        <v>179</v>
      </c>
      <c r="F954" t="s">
        <v>304</v>
      </c>
      <c r="G954" t="s">
        <v>9</v>
      </c>
      <c r="H954">
        <v>2015.0</v>
      </c>
      <c r="I954" t="s">
        <v>31</v>
      </c>
      <c r="J954" t="s">
        <v>99</v>
      </c>
      <c r="K954" t="s">
        <v>33</v>
      </c>
      <c r="L954" t="s">
        <v>34</v>
      </c>
      <c r="M954">
        <v>30.86</v>
      </c>
    </row>
    <row r="955">
      <c r="A955" s="2">
        <v>45723</v>
      </c>
      <c r="B955">
        <v>2025.0</v>
      </c>
      <c r="C955" t="s">
        <v>315</v>
      </c>
      <c r="D955" t="s">
        <v>316</v>
      </c>
      <c r="E955" t="s">
        <v>68</v>
      </c>
      <c r="F955" t="s">
        <v>304</v>
      </c>
      <c r="G955" t="s">
        <v>9</v>
      </c>
      <c r="H955">
        <v>2478.0</v>
      </c>
      <c r="I955" t="s">
        <v>31</v>
      </c>
      <c r="J955" t="s">
        <v>70</v>
      </c>
      <c r="K955" t="s">
        <v>43</v>
      </c>
      <c r="L955" t="s">
        <v>44</v>
      </c>
      <c r="M955">
        <v>30.9</v>
      </c>
    </row>
    <row r="956">
      <c r="A956" s="2">
        <v>45659</v>
      </c>
      <c r="B956">
        <v>2025.0</v>
      </c>
      <c r="C956" t="s">
        <v>315</v>
      </c>
      <c r="D956" t="s">
        <v>319</v>
      </c>
      <c r="E956" t="s">
        <v>219</v>
      </c>
      <c r="F956" t="s">
        <v>306</v>
      </c>
      <c r="G956" t="s">
        <v>11</v>
      </c>
      <c r="H956">
        <v>4068.0</v>
      </c>
      <c r="I956" t="s">
        <v>31</v>
      </c>
      <c r="J956" t="s">
        <v>56</v>
      </c>
      <c r="K956" t="s">
        <v>38</v>
      </c>
      <c r="L956" t="s">
        <v>39</v>
      </c>
      <c r="M956">
        <v>30.92</v>
      </c>
    </row>
    <row r="957">
      <c r="A957" s="2">
        <v>45451</v>
      </c>
      <c r="B957">
        <v>2024.0</v>
      </c>
      <c r="C957" t="s">
        <v>318</v>
      </c>
      <c r="D957" t="s">
        <v>316</v>
      </c>
      <c r="E957" t="s">
        <v>29</v>
      </c>
      <c r="F957" t="s">
        <v>306</v>
      </c>
      <c r="G957" t="s">
        <v>11</v>
      </c>
      <c r="H957">
        <v>4703.0</v>
      </c>
      <c r="I957" t="s">
        <v>31</v>
      </c>
      <c r="J957" t="s">
        <v>32</v>
      </c>
      <c r="K957" t="s">
        <v>38</v>
      </c>
      <c r="L957" t="s">
        <v>39</v>
      </c>
      <c r="M957">
        <v>30.950000000000003</v>
      </c>
    </row>
    <row r="958">
      <c r="A958" s="2">
        <v>45553</v>
      </c>
      <c r="B958">
        <v>2025.0</v>
      </c>
      <c r="C958" t="s">
        <v>315</v>
      </c>
      <c r="D958" t="s">
        <v>316</v>
      </c>
      <c r="E958" t="s">
        <v>160</v>
      </c>
      <c r="F958" t="s">
        <v>307</v>
      </c>
      <c r="G958" t="s">
        <v>12</v>
      </c>
      <c r="H958">
        <v>6280.0</v>
      </c>
      <c r="I958" t="s">
        <v>31</v>
      </c>
      <c r="J958" t="s">
        <v>162</v>
      </c>
      <c r="K958" t="s">
        <v>66</v>
      </c>
      <c r="L958" t="s">
        <v>67</v>
      </c>
      <c r="M958">
        <v>31.0</v>
      </c>
    </row>
    <row r="959">
      <c r="A959" s="2">
        <v>45328</v>
      </c>
      <c r="B959">
        <v>2024.0</v>
      </c>
      <c r="C959" t="s">
        <v>318</v>
      </c>
      <c r="D959" t="s">
        <v>316</v>
      </c>
      <c r="E959" t="s">
        <v>135</v>
      </c>
      <c r="F959" t="s">
        <v>311</v>
      </c>
      <c r="G959" t="s">
        <v>16</v>
      </c>
      <c r="H959">
        <v>2609.0</v>
      </c>
      <c r="I959" t="s">
        <v>31</v>
      </c>
      <c r="J959" t="s">
        <v>107</v>
      </c>
      <c r="K959" t="s">
        <v>112</v>
      </c>
      <c r="L959" t="s">
        <v>113</v>
      </c>
      <c r="M959">
        <v>31.0</v>
      </c>
    </row>
    <row r="960">
      <c r="A960" s="2">
        <v>45832</v>
      </c>
      <c r="B960">
        <v>2025.0</v>
      </c>
      <c r="C960" t="s">
        <v>315</v>
      </c>
      <c r="D960" t="s">
        <v>316</v>
      </c>
      <c r="E960" t="s">
        <v>146</v>
      </c>
      <c r="F960" t="s">
        <v>304</v>
      </c>
      <c r="G960" t="s">
        <v>9</v>
      </c>
      <c r="H960">
        <v>2790.0</v>
      </c>
      <c r="I960" t="s">
        <v>31</v>
      </c>
      <c r="J960" t="s">
        <v>75</v>
      </c>
      <c r="K960" t="s">
        <v>43</v>
      </c>
      <c r="L960" t="s">
        <v>44</v>
      </c>
      <c r="M960">
        <v>31.0</v>
      </c>
    </row>
    <row r="961">
      <c r="A961" s="2">
        <v>45332</v>
      </c>
      <c r="B961">
        <v>2024.0</v>
      </c>
      <c r="C961" t="s">
        <v>318</v>
      </c>
      <c r="D961" t="s">
        <v>316</v>
      </c>
      <c r="E961" t="s">
        <v>173</v>
      </c>
      <c r="F961" t="s">
        <v>306</v>
      </c>
      <c r="G961" t="s">
        <v>11</v>
      </c>
      <c r="H961">
        <v>4220.0</v>
      </c>
      <c r="I961" t="s">
        <v>31</v>
      </c>
      <c r="J961" t="s">
        <v>61</v>
      </c>
      <c r="K961" t="s">
        <v>33</v>
      </c>
      <c r="L961" t="s">
        <v>34</v>
      </c>
      <c r="M961">
        <v>31.119999999999997</v>
      </c>
    </row>
    <row r="962">
      <c r="A962" s="2">
        <v>45479</v>
      </c>
      <c r="B962">
        <v>2025.0</v>
      </c>
      <c r="C962" t="s">
        <v>315</v>
      </c>
      <c r="D962" t="s">
        <v>316</v>
      </c>
      <c r="E962" t="s">
        <v>64</v>
      </c>
      <c r="F962" t="s">
        <v>306</v>
      </c>
      <c r="G962" t="s">
        <v>11</v>
      </c>
      <c r="H962">
        <v>4215.0</v>
      </c>
      <c r="I962" t="s">
        <v>31</v>
      </c>
      <c r="J962" t="s">
        <v>61</v>
      </c>
      <c r="K962" t="s">
        <v>46</v>
      </c>
      <c r="L962" t="s">
        <v>47</v>
      </c>
      <c r="M962">
        <v>31.16</v>
      </c>
    </row>
    <row r="963">
      <c r="A963" s="2">
        <v>45729</v>
      </c>
      <c r="B963">
        <v>2025.0</v>
      </c>
      <c r="C963" t="s">
        <v>315</v>
      </c>
      <c r="D963" t="s">
        <v>316</v>
      </c>
      <c r="E963" t="s">
        <v>92</v>
      </c>
      <c r="F963" t="s">
        <v>305</v>
      </c>
      <c r="G963" t="s">
        <v>10</v>
      </c>
      <c r="H963">
        <v>3690.0</v>
      </c>
      <c r="I963" t="s">
        <v>31</v>
      </c>
      <c r="J963" t="s">
        <v>94</v>
      </c>
      <c r="K963" t="s">
        <v>43</v>
      </c>
      <c r="L963" t="s">
        <v>44</v>
      </c>
      <c r="M963">
        <v>31.490000000000002</v>
      </c>
    </row>
    <row r="964">
      <c r="A964" s="2">
        <v>45829</v>
      </c>
      <c r="B964">
        <v>2025.0</v>
      </c>
      <c r="C964" t="s">
        <v>315</v>
      </c>
      <c r="D964" t="s">
        <v>316</v>
      </c>
      <c r="E964" t="s">
        <v>219</v>
      </c>
      <c r="F964" t="s">
        <v>306</v>
      </c>
      <c r="G964" t="s">
        <v>11</v>
      </c>
      <c r="H964">
        <v>4068.0</v>
      </c>
      <c r="I964" t="s">
        <v>31</v>
      </c>
      <c r="J964" t="s">
        <v>56</v>
      </c>
      <c r="K964" t="s">
        <v>43</v>
      </c>
      <c r="L964" t="s">
        <v>44</v>
      </c>
      <c r="M964">
        <v>31.5</v>
      </c>
    </row>
    <row r="965">
      <c r="A965" s="2">
        <v>45639</v>
      </c>
      <c r="B965">
        <v>2025.0</v>
      </c>
      <c r="C965" t="s">
        <v>315</v>
      </c>
      <c r="D965" t="s">
        <v>316</v>
      </c>
      <c r="E965" t="s">
        <v>121</v>
      </c>
      <c r="F965" t="s">
        <v>306</v>
      </c>
      <c r="G965" t="s">
        <v>11</v>
      </c>
      <c r="H965">
        <v>4566.0</v>
      </c>
      <c r="I965" t="s">
        <v>31</v>
      </c>
      <c r="J965" t="s">
        <v>84</v>
      </c>
      <c r="K965" t="s">
        <v>43</v>
      </c>
      <c r="L965" t="s">
        <v>44</v>
      </c>
      <c r="M965">
        <v>31.5</v>
      </c>
    </row>
    <row r="966">
      <c r="A966" s="2">
        <v>45584</v>
      </c>
      <c r="B966">
        <v>2025.0</v>
      </c>
      <c r="C966" t="s">
        <v>315</v>
      </c>
      <c r="D966" t="s">
        <v>316</v>
      </c>
      <c r="E966" t="s">
        <v>54</v>
      </c>
      <c r="F966" t="s">
        <v>306</v>
      </c>
      <c r="G966" t="s">
        <v>11</v>
      </c>
      <c r="H966">
        <v>4012.0</v>
      </c>
      <c r="I966" t="s">
        <v>31</v>
      </c>
      <c r="J966" t="s">
        <v>56</v>
      </c>
      <c r="K966" t="s">
        <v>43</v>
      </c>
      <c r="L966" t="s">
        <v>44</v>
      </c>
      <c r="M966">
        <v>31.5</v>
      </c>
    </row>
    <row r="967">
      <c r="A967" s="2">
        <v>45306</v>
      </c>
      <c r="B967">
        <v>2024.0</v>
      </c>
      <c r="C967" t="s">
        <v>318</v>
      </c>
      <c r="D967" t="s">
        <v>319</v>
      </c>
      <c r="E967" t="s">
        <v>87</v>
      </c>
      <c r="F967" t="s">
        <v>305</v>
      </c>
      <c r="G967" t="s">
        <v>10</v>
      </c>
      <c r="H967">
        <v>3148.0</v>
      </c>
      <c r="I967" t="s">
        <v>31</v>
      </c>
      <c r="J967" t="s">
        <v>89</v>
      </c>
      <c r="K967" t="s">
        <v>33</v>
      </c>
      <c r="L967" t="s">
        <v>34</v>
      </c>
      <c r="M967">
        <v>31.68</v>
      </c>
    </row>
    <row r="968">
      <c r="A968" s="2">
        <v>45864</v>
      </c>
      <c r="B968">
        <v>2026.0</v>
      </c>
      <c r="C968" t="s">
        <v>321</v>
      </c>
      <c r="D968" t="s">
        <v>316</v>
      </c>
      <c r="E968" t="s">
        <v>209</v>
      </c>
      <c r="F968" t="s">
        <v>304</v>
      </c>
      <c r="G968" t="s">
        <v>9</v>
      </c>
      <c r="H968">
        <v>2116.0</v>
      </c>
      <c r="I968" t="s">
        <v>31</v>
      </c>
      <c r="J968" t="s">
        <v>81</v>
      </c>
      <c r="K968" t="s">
        <v>112</v>
      </c>
      <c r="L968" t="s">
        <v>113</v>
      </c>
      <c r="M968">
        <v>31.68</v>
      </c>
    </row>
    <row r="969">
      <c r="A969" s="2">
        <v>45669</v>
      </c>
      <c r="B969">
        <v>2025.0</v>
      </c>
      <c r="C969" t="s">
        <v>315</v>
      </c>
      <c r="D969" t="s">
        <v>319</v>
      </c>
      <c r="E969" t="s">
        <v>110</v>
      </c>
      <c r="F969" t="s">
        <v>304</v>
      </c>
      <c r="G969" t="s">
        <v>9</v>
      </c>
      <c r="H969">
        <v>2101.0</v>
      </c>
      <c r="I969" t="s">
        <v>31</v>
      </c>
      <c r="J969" t="s">
        <v>81</v>
      </c>
      <c r="K969" t="s">
        <v>66</v>
      </c>
      <c r="L969" t="s">
        <v>67</v>
      </c>
      <c r="M969">
        <v>31.84</v>
      </c>
    </row>
    <row r="970">
      <c r="A970" s="2">
        <v>45374</v>
      </c>
      <c r="B970">
        <v>2024.0</v>
      </c>
      <c r="C970" t="s">
        <v>318</v>
      </c>
      <c r="D970" t="s">
        <v>316</v>
      </c>
      <c r="E970" t="s">
        <v>181</v>
      </c>
      <c r="F970" t="s">
        <v>306</v>
      </c>
      <c r="G970" t="s">
        <v>11</v>
      </c>
      <c r="H970">
        <v>4119.0</v>
      </c>
      <c r="I970" t="s">
        <v>31</v>
      </c>
      <c r="J970" t="s">
        <v>56</v>
      </c>
      <c r="K970" t="s">
        <v>43</v>
      </c>
      <c r="L970" t="s">
        <v>44</v>
      </c>
      <c r="M970">
        <v>31.880000000000003</v>
      </c>
    </row>
    <row r="971">
      <c r="A971" s="2">
        <v>45927</v>
      </c>
      <c r="B971">
        <v>2026.0</v>
      </c>
      <c r="C971" t="s">
        <v>321</v>
      </c>
      <c r="D971" t="s">
        <v>319</v>
      </c>
      <c r="E971" t="s">
        <v>195</v>
      </c>
      <c r="F971" t="s">
        <v>306</v>
      </c>
      <c r="G971" t="s">
        <v>11</v>
      </c>
      <c r="H971">
        <v>4700.0</v>
      </c>
      <c r="I971" t="s">
        <v>31</v>
      </c>
      <c r="J971" t="s">
        <v>32</v>
      </c>
      <c r="K971" t="s">
        <v>33</v>
      </c>
      <c r="L971" t="s">
        <v>34</v>
      </c>
      <c r="M971">
        <v>31.91</v>
      </c>
    </row>
    <row r="972">
      <c r="A972" s="2">
        <v>45703</v>
      </c>
      <c r="B972">
        <v>2025.0</v>
      </c>
      <c r="C972" t="s">
        <v>315</v>
      </c>
      <c r="D972" t="s">
        <v>316</v>
      </c>
      <c r="E972" t="s">
        <v>139</v>
      </c>
      <c r="F972" t="s">
        <v>305</v>
      </c>
      <c r="G972" t="s">
        <v>10</v>
      </c>
      <c r="H972">
        <v>3199.0</v>
      </c>
      <c r="I972" t="s">
        <v>31</v>
      </c>
      <c r="J972" t="s">
        <v>89</v>
      </c>
      <c r="K972" t="s">
        <v>33</v>
      </c>
      <c r="L972" t="s">
        <v>34</v>
      </c>
      <c r="M972">
        <v>31.92</v>
      </c>
    </row>
    <row r="973">
      <c r="A973" s="2">
        <v>45492</v>
      </c>
      <c r="B973">
        <v>2025.0</v>
      </c>
      <c r="C973" t="s">
        <v>315</v>
      </c>
      <c r="D973" t="s">
        <v>319</v>
      </c>
      <c r="E973" t="s">
        <v>181</v>
      </c>
      <c r="F973" t="s">
        <v>306</v>
      </c>
      <c r="G973" t="s">
        <v>11</v>
      </c>
      <c r="H973">
        <v>4119.0</v>
      </c>
      <c r="I973" t="s">
        <v>31</v>
      </c>
      <c r="J973" t="s">
        <v>56</v>
      </c>
      <c r="K973" t="s">
        <v>95</v>
      </c>
      <c r="L973" t="s">
        <v>96</v>
      </c>
      <c r="M973">
        <v>31.92</v>
      </c>
    </row>
    <row r="974">
      <c r="A974" s="2">
        <v>45726</v>
      </c>
      <c r="B974">
        <v>2025.0</v>
      </c>
      <c r="C974" t="s">
        <v>315</v>
      </c>
      <c r="D974" t="s">
        <v>319</v>
      </c>
      <c r="E974" t="s">
        <v>211</v>
      </c>
      <c r="F974" t="s">
        <v>304</v>
      </c>
      <c r="G974" t="s">
        <v>9</v>
      </c>
      <c r="H974">
        <v>2650.0</v>
      </c>
      <c r="I974" t="s">
        <v>31</v>
      </c>
      <c r="J974" t="s">
        <v>75</v>
      </c>
      <c r="K974" t="s">
        <v>123</v>
      </c>
      <c r="L974" t="s">
        <v>124</v>
      </c>
      <c r="M974">
        <v>31.92</v>
      </c>
    </row>
    <row r="975">
      <c r="A975" s="2">
        <v>45684</v>
      </c>
      <c r="B975">
        <v>2025.0</v>
      </c>
      <c r="C975" t="s">
        <v>315</v>
      </c>
      <c r="D975" t="s">
        <v>316</v>
      </c>
      <c r="E975" t="s">
        <v>129</v>
      </c>
      <c r="F975" t="s">
        <v>305</v>
      </c>
      <c r="G975" t="s">
        <v>10</v>
      </c>
      <c r="H975">
        <v>3066.0</v>
      </c>
      <c r="I975" t="s">
        <v>31</v>
      </c>
      <c r="J975" t="s">
        <v>120</v>
      </c>
      <c r="K975" t="s">
        <v>33</v>
      </c>
      <c r="L975" t="s">
        <v>34</v>
      </c>
      <c r="M975">
        <v>31.93</v>
      </c>
    </row>
    <row r="976">
      <c r="A976" s="2">
        <v>45892</v>
      </c>
      <c r="B976">
        <v>2026.0</v>
      </c>
      <c r="C976" t="s">
        <v>321</v>
      </c>
      <c r="D976" t="s">
        <v>316</v>
      </c>
      <c r="E976" t="s">
        <v>118</v>
      </c>
      <c r="F976" t="s">
        <v>305</v>
      </c>
      <c r="G976" t="s">
        <v>10</v>
      </c>
      <c r="H976">
        <v>3076.0</v>
      </c>
      <c r="I976" t="s">
        <v>31</v>
      </c>
      <c r="J976" t="s">
        <v>120</v>
      </c>
      <c r="K976" t="s">
        <v>33</v>
      </c>
      <c r="L976" t="s">
        <v>34</v>
      </c>
      <c r="M976">
        <v>31.93</v>
      </c>
    </row>
    <row r="977">
      <c r="A977" s="2">
        <v>45873</v>
      </c>
      <c r="B977">
        <v>2026.0</v>
      </c>
      <c r="C977" t="s">
        <v>321</v>
      </c>
      <c r="D977" t="s">
        <v>316</v>
      </c>
      <c r="E977" t="s">
        <v>262</v>
      </c>
      <c r="F977" t="s">
        <v>305</v>
      </c>
      <c r="G977" t="s">
        <v>10</v>
      </c>
      <c r="H977">
        <v>3018.0</v>
      </c>
      <c r="I977" t="s">
        <v>31</v>
      </c>
      <c r="J977" t="s">
        <v>120</v>
      </c>
      <c r="K977" t="s">
        <v>46</v>
      </c>
      <c r="L977" t="s">
        <v>47</v>
      </c>
      <c r="M977">
        <v>31.96</v>
      </c>
    </row>
    <row r="978">
      <c r="A978" s="2">
        <v>45340</v>
      </c>
      <c r="B978">
        <v>2024.0</v>
      </c>
      <c r="C978" t="s">
        <v>318</v>
      </c>
      <c r="D978" t="s">
        <v>319</v>
      </c>
      <c r="E978" t="s">
        <v>118</v>
      </c>
      <c r="F978" t="s">
        <v>305</v>
      </c>
      <c r="G978" t="s">
        <v>10</v>
      </c>
      <c r="H978">
        <v>3076.0</v>
      </c>
      <c r="I978" t="s">
        <v>31</v>
      </c>
      <c r="J978" t="s">
        <v>120</v>
      </c>
      <c r="K978" t="s">
        <v>95</v>
      </c>
      <c r="L978" t="s">
        <v>96</v>
      </c>
      <c r="M978">
        <v>31.96</v>
      </c>
    </row>
    <row r="979">
      <c r="A979" s="2">
        <v>45979</v>
      </c>
      <c r="B979">
        <v>2026.0</v>
      </c>
      <c r="C979" t="s">
        <v>321</v>
      </c>
      <c r="D979" t="s">
        <v>316</v>
      </c>
      <c r="E979" t="s">
        <v>228</v>
      </c>
      <c r="F979" t="s">
        <v>306</v>
      </c>
      <c r="G979" t="s">
        <v>11</v>
      </c>
      <c r="H979">
        <v>4680.0</v>
      </c>
      <c r="I979" t="s">
        <v>31</v>
      </c>
      <c r="J979" t="s">
        <v>32</v>
      </c>
      <c r="K979" t="s">
        <v>33</v>
      </c>
      <c r="L979" t="s">
        <v>34</v>
      </c>
      <c r="M979">
        <v>31.96</v>
      </c>
    </row>
    <row r="980">
      <c r="A980" s="2">
        <v>45510</v>
      </c>
      <c r="B980">
        <v>2025.0</v>
      </c>
      <c r="C980" t="s">
        <v>315</v>
      </c>
      <c r="D980" t="s">
        <v>316</v>
      </c>
      <c r="E980" t="s">
        <v>158</v>
      </c>
      <c r="F980" t="s">
        <v>306</v>
      </c>
      <c r="G980" t="s">
        <v>11</v>
      </c>
      <c r="H980">
        <v>4570.0</v>
      </c>
      <c r="I980" t="s">
        <v>31</v>
      </c>
      <c r="J980" t="s">
        <v>84</v>
      </c>
      <c r="K980" t="s">
        <v>112</v>
      </c>
      <c r="L980" t="s">
        <v>113</v>
      </c>
      <c r="M980">
        <v>31.96</v>
      </c>
    </row>
    <row r="981">
      <c r="A981" s="2">
        <v>45472</v>
      </c>
      <c r="B981">
        <v>2024.0</v>
      </c>
      <c r="C981" t="s">
        <v>318</v>
      </c>
      <c r="D981" t="s">
        <v>316</v>
      </c>
      <c r="E981" t="s">
        <v>82</v>
      </c>
      <c r="F981" t="s">
        <v>306</v>
      </c>
      <c r="G981" t="s">
        <v>11</v>
      </c>
      <c r="H981">
        <v>4558.0</v>
      </c>
      <c r="I981" t="s">
        <v>31</v>
      </c>
      <c r="J981" t="s">
        <v>84</v>
      </c>
      <c r="K981" t="s">
        <v>43</v>
      </c>
      <c r="L981" t="s">
        <v>44</v>
      </c>
      <c r="M981">
        <v>31.96</v>
      </c>
    </row>
    <row r="982">
      <c r="A982" s="2">
        <v>45652</v>
      </c>
      <c r="B982">
        <v>2025.0</v>
      </c>
      <c r="C982" t="s">
        <v>315</v>
      </c>
      <c r="D982" t="s">
        <v>319</v>
      </c>
      <c r="E982" t="s">
        <v>232</v>
      </c>
      <c r="F982" t="s">
        <v>304</v>
      </c>
      <c r="G982" t="s">
        <v>9</v>
      </c>
      <c r="H982">
        <v>2800.0</v>
      </c>
      <c r="I982" t="s">
        <v>31</v>
      </c>
      <c r="J982" t="s">
        <v>75</v>
      </c>
      <c r="K982" t="s">
        <v>46</v>
      </c>
      <c r="L982" t="s">
        <v>47</v>
      </c>
      <c r="M982">
        <v>31.96</v>
      </c>
    </row>
    <row r="983">
      <c r="A983" s="2">
        <v>45983</v>
      </c>
      <c r="B983">
        <v>2026.0</v>
      </c>
      <c r="C983" t="s">
        <v>321</v>
      </c>
      <c r="D983" t="s">
        <v>316</v>
      </c>
      <c r="E983" t="s">
        <v>195</v>
      </c>
      <c r="F983" t="s">
        <v>306</v>
      </c>
      <c r="G983" t="s">
        <v>11</v>
      </c>
      <c r="H983">
        <v>4700.0</v>
      </c>
      <c r="I983" t="s">
        <v>31</v>
      </c>
      <c r="J983" t="s">
        <v>32</v>
      </c>
      <c r="K983" t="s">
        <v>46</v>
      </c>
      <c r="L983" t="s">
        <v>47</v>
      </c>
      <c r="M983">
        <v>31.96</v>
      </c>
    </row>
    <row r="984">
      <c r="A984" s="2">
        <v>45607</v>
      </c>
      <c r="B984">
        <v>2025.0</v>
      </c>
      <c r="C984" t="s">
        <v>315</v>
      </c>
      <c r="D984" t="s">
        <v>316</v>
      </c>
      <c r="E984" t="s">
        <v>135</v>
      </c>
      <c r="F984" t="s">
        <v>311</v>
      </c>
      <c r="G984" t="s">
        <v>16</v>
      </c>
      <c r="H984">
        <v>2609.0</v>
      </c>
      <c r="I984" t="s">
        <v>31</v>
      </c>
      <c r="J984" t="s">
        <v>107</v>
      </c>
      <c r="K984" t="s">
        <v>46</v>
      </c>
      <c r="L984" t="s">
        <v>47</v>
      </c>
      <c r="M984">
        <v>31.97</v>
      </c>
    </row>
    <row r="985">
      <c r="A985" s="2">
        <v>45977</v>
      </c>
      <c r="B985">
        <v>2026.0</v>
      </c>
      <c r="C985" t="s">
        <v>321</v>
      </c>
      <c r="D985" t="s">
        <v>319</v>
      </c>
      <c r="E985" t="s">
        <v>121</v>
      </c>
      <c r="F985" t="s">
        <v>306</v>
      </c>
      <c r="G985" t="s">
        <v>11</v>
      </c>
      <c r="H985">
        <v>4566.0</v>
      </c>
      <c r="I985" t="s">
        <v>31</v>
      </c>
      <c r="J985" t="s">
        <v>84</v>
      </c>
      <c r="K985" t="s">
        <v>112</v>
      </c>
      <c r="L985" t="s">
        <v>113</v>
      </c>
      <c r="M985">
        <v>31.97</v>
      </c>
    </row>
    <row r="986">
      <c r="A986" s="2">
        <v>45641</v>
      </c>
      <c r="B986">
        <v>2025.0</v>
      </c>
      <c r="C986" t="s">
        <v>315</v>
      </c>
      <c r="D986" t="s">
        <v>319</v>
      </c>
      <c r="E986" t="s">
        <v>167</v>
      </c>
      <c r="F986" t="s">
        <v>307</v>
      </c>
      <c r="G986" t="s">
        <v>12</v>
      </c>
      <c r="H986">
        <v>6030.0</v>
      </c>
      <c r="I986" t="s">
        <v>31</v>
      </c>
      <c r="J986" t="s">
        <v>102</v>
      </c>
      <c r="K986" t="s">
        <v>71</v>
      </c>
      <c r="L986" t="s">
        <v>72</v>
      </c>
      <c r="M986">
        <v>32.46</v>
      </c>
    </row>
    <row r="987">
      <c r="A987" s="2">
        <v>45412</v>
      </c>
      <c r="B987">
        <v>2024.0</v>
      </c>
      <c r="C987" t="s">
        <v>318</v>
      </c>
      <c r="D987" t="s">
        <v>316</v>
      </c>
      <c r="E987" t="s">
        <v>62</v>
      </c>
      <c r="F987" t="s">
        <v>307</v>
      </c>
      <c r="G987" t="s">
        <v>12</v>
      </c>
      <c r="H987">
        <v>6530.0</v>
      </c>
      <c r="I987" t="s">
        <v>31</v>
      </c>
      <c r="J987" t="s">
        <v>50</v>
      </c>
      <c r="K987" t="s">
        <v>38</v>
      </c>
      <c r="L987" t="s">
        <v>39</v>
      </c>
      <c r="M987">
        <v>32.56</v>
      </c>
    </row>
    <row r="988">
      <c r="A988" s="2">
        <v>45709</v>
      </c>
      <c r="B988">
        <v>2025.0</v>
      </c>
      <c r="C988" t="s">
        <v>315</v>
      </c>
      <c r="D988" t="s">
        <v>319</v>
      </c>
      <c r="E988" t="s">
        <v>114</v>
      </c>
      <c r="F988" t="s">
        <v>304</v>
      </c>
      <c r="G988" t="s">
        <v>9</v>
      </c>
      <c r="H988">
        <v>2031.0</v>
      </c>
      <c r="I988" t="s">
        <v>31</v>
      </c>
      <c r="J988" t="s">
        <v>99</v>
      </c>
      <c r="K988" t="s">
        <v>33</v>
      </c>
      <c r="L988" t="s">
        <v>34</v>
      </c>
      <c r="M988">
        <v>32.67</v>
      </c>
    </row>
    <row r="989">
      <c r="A989" s="2">
        <v>45878</v>
      </c>
      <c r="B989">
        <v>2026.0</v>
      </c>
      <c r="C989" t="s">
        <v>321</v>
      </c>
      <c r="D989" t="s">
        <v>316</v>
      </c>
      <c r="E989" t="s">
        <v>232</v>
      </c>
      <c r="F989" t="s">
        <v>304</v>
      </c>
      <c r="G989" t="s">
        <v>9</v>
      </c>
      <c r="H989">
        <v>2800.0</v>
      </c>
      <c r="I989" t="s">
        <v>31</v>
      </c>
      <c r="J989" t="s">
        <v>75</v>
      </c>
      <c r="K989" t="s">
        <v>123</v>
      </c>
      <c r="L989" t="s">
        <v>124</v>
      </c>
      <c r="M989">
        <v>32.74</v>
      </c>
    </row>
    <row r="990">
      <c r="A990" s="2">
        <v>45528</v>
      </c>
      <c r="B990">
        <v>2025.0</v>
      </c>
      <c r="C990" t="s">
        <v>315</v>
      </c>
      <c r="D990" t="s">
        <v>316</v>
      </c>
      <c r="E990" t="s">
        <v>29</v>
      </c>
      <c r="F990" t="s">
        <v>306</v>
      </c>
      <c r="G990" t="s">
        <v>11</v>
      </c>
      <c r="H990">
        <v>4703.0</v>
      </c>
      <c r="I990" t="s">
        <v>31</v>
      </c>
      <c r="J990" t="s">
        <v>32</v>
      </c>
      <c r="K990" t="s">
        <v>43</v>
      </c>
      <c r="L990" t="s">
        <v>44</v>
      </c>
      <c r="M990">
        <v>32.8</v>
      </c>
    </row>
    <row r="991">
      <c r="A991" s="2">
        <v>45337</v>
      </c>
      <c r="B991">
        <v>2024.0</v>
      </c>
      <c r="C991" t="s">
        <v>318</v>
      </c>
      <c r="D991" t="s">
        <v>316</v>
      </c>
      <c r="E991" t="s">
        <v>250</v>
      </c>
      <c r="F991" t="s">
        <v>305</v>
      </c>
      <c r="G991" t="s">
        <v>10</v>
      </c>
      <c r="H991">
        <v>3550.0</v>
      </c>
      <c r="I991" t="s">
        <v>31</v>
      </c>
      <c r="J991" t="s">
        <v>37</v>
      </c>
      <c r="K991" t="s">
        <v>57</v>
      </c>
      <c r="L991" t="s">
        <v>58</v>
      </c>
      <c r="M991">
        <v>32.85</v>
      </c>
    </row>
    <row r="992">
      <c r="A992" s="2">
        <v>45603</v>
      </c>
      <c r="B992">
        <v>2025.0</v>
      </c>
      <c r="C992" t="s">
        <v>315</v>
      </c>
      <c r="D992" t="s">
        <v>316</v>
      </c>
      <c r="E992" t="s">
        <v>256</v>
      </c>
      <c r="F992" t="s">
        <v>304</v>
      </c>
      <c r="G992" t="s">
        <v>9</v>
      </c>
      <c r="H992">
        <v>2350.0</v>
      </c>
      <c r="I992" t="s">
        <v>31</v>
      </c>
      <c r="J992" t="s">
        <v>70</v>
      </c>
      <c r="K992" t="s">
        <v>38</v>
      </c>
      <c r="L992" t="s">
        <v>39</v>
      </c>
      <c r="M992">
        <v>32.89</v>
      </c>
    </row>
    <row r="993">
      <c r="A993" s="2">
        <v>45921</v>
      </c>
      <c r="B993">
        <v>2026.0</v>
      </c>
      <c r="C993" t="s">
        <v>321</v>
      </c>
      <c r="D993" t="s">
        <v>316</v>
      </c>
      <c r="E993" t="s">
        <v>205</v>
      </c>
      <c r="F993" t="s">
        <v>305</v>
      </c>
      <c r="G993" t="s">
        <v>10</v>
      </c>
      <c r="H993">
        <v>3400.0</v>
      </c>
      <c r="I993" t="s">
        <v>31</v>
      </c>
      <c r="J993" t="s">
        <v>37</v>
      </c>
      <c r="K993" t="s">
        <v>33</v>
      </c>
      <c r="L993" t="s">
        <v>34</v>
      </c>
      <c r="M993">
        <v>32.89</v>
      </c>
    </row>
    <row r="994">
      <c r="A994" s="2">
        <v>45843</v>
      </c>
      <c r="B994">
        <v>2026.0</v>
      </c>
      <c r="C994" t="s">
        <v>321</v>
      </c>
      <c r="D994" t="s">
        <v>319</v>
      </c>
      <c r="E994" t="s">
        <v>137</v>
      </c>
      <c r="F994" t="s">
        <v>305</v>
      </c>
      <c r="G994" t="s">
        <v>10</v>
      </c>
      <c r="H994">
        <v>3134.0</v>
      </c>
      <c r="I994" t="s">
        <v>31</v>
      </c>
      <c r="J994" t="s">
        <v>89</v>
      </c>
      <c r="K994" t="s">
        <v>123</v>
      </c>
      <c r="L994" t="s">
        <v>124</v>
      </c>
      <c r="M994">
        <v>32.94</v>
      </c>
    </row>
    <row r="995">
      <c r="A995" s="2">
        <v>45382</v>
      </c>
      <c r="B995">
        <v>2024.0</v>
      </c>
      <c r="C995" t="s">
        <v>318</v>
      </c>
      <c r="D995" t="s">
        <v>316</v>
      </c>
      <c r="E995" t="s">
        <v>223</v>
      </c>
      <c r="F995" t="s">
        <v>305</v>
      </c>
      <c r="G995" t="s">
        <v>10</v>
      </c>
      <c r="H995">
        <v>3915.0</v>
      </c>
      <c r="I995" t="s">
        <v>31</v>
      </c>
      <c r="J995" t="s">
        <v>94</v>
      </c>
      <c r="K995" t="s">
        <v>123</v>
      </c>
      <c r="L995" t="s">
        <v>124</v>
      </c>
      <c r="M995">
        <v>32.95</v>
      </c>
    </row>
    <row r="996">
      <c r="A996" s="2">
        <v>45908</v>
      </c>
      <c r="B996">
        <v>2026.0</v>
      </c>
      <c r="C996" t="s">
        <v>321</v>
      </c>
      <c r="D996" t="s">
        <v>316</v>
      </c>
      <c r="E996" t="s">
        <v>191</v>
      </c>
      <c r="F996" t="s">
        <v>305</v>
      </c>
      <c r="G996" t="s">
        <v>10</v>
      </c>
      <c r="H996">
        <v>3030.0</v>
      </c>
      <c r="I996" t="s">
        <v>31</v>
      </c>
      <c r="J996" t="s">
        <v>120</v>
      </c>
      <c r="K996" t="s">
        <v>57</v>
      </c>
      <c r="L996" t="s">
        <v>58</v>
      </c>
      <c r="M996">
        <v>32.99</v>
      </c>
    </row>
    <row r="997">
      <c r="A997" s="2">
        <v>45759</v>
      </c>
      <c r="B997">
        <v>2025.0</v>
      </c>
      <c r="C997" t="s">
        <v>315</v>
      </c>
      <c r="D997" t="s">
        <v>316</v>
      </c>
      <c r="E997" t="s">
        <v>64</v>
      </c>
      <c r="F997" t="s">
        <v>306</v>
      </c>
      <c r="G997" t="s">
        <v>11</v>
      </c>
      <c r="H997">
        <v>4215.0</v>
      </c>
      <c r="I997" t="s">
        <v>31</v>
      </c>
      <c r="J997" t="s">
        <v>61</v>
      </c>
      <c r="K997" t="s">
        <v>46</v>
      </c>
      <c r="L997" t="s">
        <v>47</v>
      </c>
      <c r="M997">
        <v>33.0</v>
      </c>
    </row>
    <row r="998">
      <c r="A998" s="2">
        <v>45409</v>
      </c>
      <c r="B998">
        <v>2024.0</v>
      </c>
      <c r="C998" t="s">
        <v>318</v>
      </c>
      <c r="D998" t="s">
        <v>316</v>
      </c>
      <c r="E998" t="s">
        <v>262</v>
      </c>
      <c r="F998" t="s">
        <v>305</v>
      </c>
      <c r="G998" t="s">
        <v>10</v>
      </c>
      <c r="H998">
        <v>3018.0</v>
      </c>
      <c r="I998" t="s">
        <v>31</v>
      </c>
      <c r="J998" t="s">
        <v>120</v>
      </c>
      <c r="K998" t="s">
        <v>95</v>
      </c>
      <c r="L998" t="s">
        <v>96</v>
      </c>
      <c r="M998">
        <v>33.0</v>
      </c>
    </row>
    <row r="999">
      <c r="A999" s="2">
        <v>45829</v>
      </c>
      <c r="B999">
        <v>2025.0</v>
      </c>
      <c r="C999" t="s">
        <v>315</v>
      </c>
      <c r="D999" t="s">
        <v>316</v>
      </c>
      <c r="E999" t="s">
        <v>230</v>
      </c>
      <c r="F999" t="s">
        <v>308</v>
      </c>
      <c r="G999" t="s">
        <v>13</v>
      </c>
      <c r="H999">
        <v>5290.0</v>
      </c>
      <c r="I999" t="s">
        <v>31</v>
      </c>
      <c r="J999" t="s">
        <v>227</v>
      </c>
      <c r="K999" t="s">
        <v>43</v>
      </c>
      <c r="L999" t="s">
        <v>44</v>
      </c>
      <c r="M999">
        <v>33.0</v>
      </c>
    </row>
    <row r="1000">
      <c r="A1000" s="2">
        <v>45670</v>
      </c>
      <c r="B1000">
        <v>2025.0</v>
      </c>
      <c r="C1000" t="s">
        <v>315</v>
      </c>
      <c r="D1000" t="s">
        <v>316</v>
      </c>
      <c r="E1000" t="s">
        <v>191</v>
      </c>
      <c r="F1000" t="s">
        <v>305</v>
      </c>
      <c r="G1000" t="s">
        <v>10</v>
      </c>
      <c r="H1000">
        <v>3030.0</v>
      </c>
      <c r="I1000" t="s">
        <v>31</v>
      </c>
      <c r="J1000" t="s">
        <v>120</v>
      </c>
      <c r="K1000" t="s">
        <v>123</v>
      </c>
      <c r="L1000" t="s">
        <v>124</v>
      </c>
      <c r="M1000">
        <v>33.38</v>
      </c>
    </row>
    <row r="1001">
      <c r="A1001" s="2">
        <v>45631</v>
      </c>
      <c r="B1001">
        <v>2025.0</v>
      </c>
      <c r="C1001" t="s">
        <v>315</v>
      </c>
      <c r="D1001" t="s">
        <v>316</v>
      </c>
      <c r="E1001" t="s">
        <v>59</v>
      </c>
      <c r="F1001" t="s">
        <v>306</v>
      </c>
      <c r="G1001" t="s">
        <v>11</v>
      </c>
      <c r="H1001">
        <v>4509.0</v>
      </c>
      <c r="I1001" t="s">
        <v>31</v>
      </c>
      <c r="J1001" t="s">
        <v>61</v>
      </c>
      <c r="K1001" t="s">
        <v>123</v>
      </c>
      <c r="L1001" t="s">
        <v>124</v>
      </c>
      <c r="M1001">
        <v>33.39</v>
      </c>
    </row>
    <row r="1002">
      <c r="A1002" s="2">
        <v>45323</v>
      </c>
      <c r="B1002">
        <v>2024.0</v>
      </c>
      <c r="C1002" t="s">
        <v>318</v>
      </c>
      <c r="D1002" t="s">
        <v>316</v>
      </c>
      <c r="E1002" t="s">
        <v>143</v>
      </c>
      <c r="F1002" t="s">
        <v>309</v>
      </c>
      <c r="G1002" t="s">
        <v>14</v>
      </c>
      <c r="H1002">
        <v>800.0</v>
      </c>
      <c r="I1002" t="s">
        <v>31</v>
      </c>
      <c r="J1002" t="s">
        <v>145</v>
      </c>
      <c r="K1002" t="s">
        <v>112</v>
      </c>
      <c r="L1002" t="s">
        <v>113</v>
      </c>
      <c r="M1002">
        <v>33.41</v>
      </c>
    </row>
    <row r="1003">
      <c r="A1003" s="2">
        <v>46000</v>
      </c>
      <c r="B1003">
        <v>2026.0</v>
      </c>
      <c r="C1003" t="s">
        <v>321</v>
      </c>
      <c r="D1003" t="s">
        <v>316</v>
      </c>
      <c r="E1003" t="s">
        <v>240</v>
      </c>
      <c r="F1003" t="s">
        <v>310</v>
      </c>
      <c r="G1003" t="s">
        <v>15</v>
      </c>
      <c r="H1003">
        <v>7010.0</v>
      </c>
      <c r="I1003" t="s">
        <v>31</v>
      </c>
      <c r="J1003" t="s">
        <v>53</v>
      </c>
      <c r="K1003" t="s">
        <v>123</v>
      </c>
      <c r="L1003" t="s">
        <v>124</v>
      </c>
      <c r="M1003">
        <v>33.43</v>
      </c>
    </row>
    <row r="1004">
      <c r="A1004" s="2">
        <v>45411</v>
      </c>
      <c r="B1004">
        <v>2024.0</v>
      </c>
      <c r="C1004" t="s">
        <v>318</v>
      </c>
      <c r="D1004" t="s">
        <v>319</v>
      </c>
      <c r="E1004" t="s">
        <v>139</v>
      </c>
      <c r="F1004" t="s">
        <v>305</v>
      </c>
      <c r="G1004" t="s">
        <v>10</v>
      </c>
      <c r="H1004">
        <v>3199.0</v>
      </c>
      <c r="I1004" t="s">
        <v>31</v>
      </c>
      <c r="J1004" t="s">
        <v>89</v>
      </c>
      <c r="K1004" t="s">
        <v>43</v>
      </c>
      <c r="L1004" t="s">
        <v>44</v>
      </c>
      <c r="M1004">
        <v>33.75</v>
      </c>
    </row>
    <row r="1005">
      <c r="A1005" s="2">
        <v>45540</v>
      </c>
      <c r="B1005">
        <v>2025.0</v>
      </c>
      <c r="C1005" t="s">
        <v>315</v>
      </c>
      <c r="D1005" t="s">
        <v>316</v>
      </c>
      <c r="E1005" t="s">
        <v>62</v>
      </c>
      <c r="F1005" t="s">
        <v>307</v>
      </c>
      <c r="G1005" t="s">
        <v>12</v>
      </c>
      <c r="H1005">
        <v>6530.0</v>
      </c>
      <c r="I1005" t="s">
        <v>31</v>
      </c>
      <c r="J1005" t="s">
        <v>50</v>
      </c>
      <c r="K1005" t="s">
        <v>33</v>
      </c>
      <c r="L1005" t="s">
        <v>34</v>
      </c>
      <c r="M1005">
        <v>33.89</v>
      </c>
    </row>
    <row r="1006">
      <c r="A1006" s="2">
        <v>45373</v>
      </c>
      <c r="B1006">
        <v>2024.0</v>
      </c>
      <c r="C1006" t="s">
        <v>318</v>
      </c>
      <c r="D1006" t="s">
        <v>316</v>
      </c>
      <c r="E1006" t="s">
        <v>141</v>
      </c>
      <c r="F1006" t="s">
        <v>304</v>
      </c>
      <c r="G1006" t="s">
        <v>9</v>
      </c>
      <c r="H1006">
        <v>2539.0</v>
      </c>
      <c r="I1006" t="s">
        <v>31</v>
      </c>
      <c r="J1006" t="s">
        <v>107</v>
      </c>
      <c r="K1006" t="s">
        <v>95</v>
      </c>
      <c r="L1006" t="s">
        <v>96</v>
      </c>
      <c r="M1006">
        <v>33.93</v>
      </c>
    </row>
    <row r="1007">
      <c r="A1007" s="2">
        <v>45737</v>
      </c>
      <c r="B1007">
        <v>2025.0</v>
      </c>
      <c r="C1007" t="s">
        <v>315</v>
      </c>
      <c r="D1007" t="s">
        <v>316</v>
      </c>
      <c r="E1007" t="s">
        <v>203</v>
      </c>
      <c r="F1007" t="s">
        <v>305</v>
      </c>
      <c r="G1007" t="s">
        <v>10</v>
      </c>
      <c r="H1007">
        <v>3175.0</v>
      </c>
      <c r="I1007" t="s">
        <v>31</v>
      </c>
      <c r="J1007" t="s">
        <v>89</v>
      </c>
      <c r="K1007" t="s">
        <v>33</v>
      </c>
      <c r="L1007" t="s">
        <v>34</v>
      </c>
      <c r="M1007">
        <v>33.94</v>
      </c>
    </row>
    <row r="1008">
      <c r="A1008" s="2">
        <v>45561</v>
      </c>
      <c r="B1008">
        <v>2025.0</v>
      </c>
      <c r="C1008" t="s">
        <v>315</v>
      </c>
      <c r="D1008" t="s">
        <v>316</v>
      </c>
      <c r="E1008" t="s">
        <v>197</v>
      </c>
      <c r="F1008" t="s">
        <v>304</v>
      </c>
      <c r="G1008" t="s">
        <v>9</v>
      </c>
      <c r="H1008">
        <v>2560.0</v>
      </c>
      <c r="I1008" t="s">
        <v>31</v>
      </c>
      <c r="J1008" t="s">
        <v>107</v>
      </c>
      <c r="K1008" t="s">
        <v>43</v>
      </c>
      <c r="L1008" t="s">
        <v>44</v>
      </c>
      <c r="M1008">
        <v>33.97</v>
      </c>
    </row>
    <row r="1009">
      <c r="A1009" s="2">
        <v>45435</v>
      </c>
      <c r="B1009">
        <v>2024.0</v>
      </c>
      <c r="C1009" t="s">
        <v>318</v>
      </c>
      <c r="D1009" t="s">
        <v>316</v>
      </c>
      <c r="E1009" t="s">
        <v>197</v>
      </c>
      <c r="F1009" t="s">
        <v>304</v>
      </c>
      <c r="G1009" t="s">
        <v>9</v>
      </c>
      <c r="H1009">
        <v>2560.0</v>
      </c>
      <c r="I1009" t="s">
        <v>31</v>
      </c>
      <c r="J1009" t="s">
        <v>107</v>
      </c>
      <c r="K1009" t="s">
        <v>46</v>
      </c>
      <c r="L1009" t="s">
        <v>47</v>
      </c>
      <c r="M1009">
        <v>33.98</v>
      </c>
    </row>
    <row r="1010">
      <c r="A1010" s="2">
        <v>45330</v>
      </c>
      <c r="B1010">
        <v>2024.0</v>
      </c>
      <c r="C1010" t="s">
        <v>318</v>
      </c>
      <c r="D1010" t="s">
        <v>316</v>
      </c>
      <c r="E1010" t="s">
        <v>242</v>
      </c>
      <c r="F1010" t="s">
        <v>305</v>
      </c>
      <c r="G1010" t="s">
        <v>10</v>
      </c>
      <c r="H1010">
        <v>3977.0</v>
      </c>
      <c r="I1010" t="s">
        <v>31</v>
      </c>
      <c r="J1010" t="s">
        <v>94</v>
      </c>
      <c r="K1010" t="s">
        <v>71</v>
      </c>
      <c r="L1010" t="s">
        <v>72</v>
      </c>
      <c r="M1010">
        <v>33.98</v>
      </c>
    </row>
    <row r="1011">
      <c r="A1011" s="2">
        <v>45440</v>
      </c>
      <c r="B1011">
        <v>2024.0</v>
      </c>
      <c r="C1011" t="s">
        <v>318</v>
      </c>
      <c r="D1011" t="s">
        <v>316</v>
      </c>
      <c r="E1011" t="s">
        <v>183</v>
      </c>
      <c r="F1011" t="s">
        <v>304</v>
      </c>
      <c r="G1011" t="s">
        <v>9</v>
      </c>
      <c r="H1011">
        <v>2480.0</v>
      </c>
      <c r="I1011" t="s">
        <v>31</v>
      </c>
      <c r="J1011" t="s">
        <v>70</v>
      </c>
      <c r="K1011" t="s">
        <v>43</v>
      </c>
      <c r="L1011" t="s">
        <v>44</v>
      </c>
      <c r="M1011">
        <v>34.120000000000005</v>
      </c>
    </row>
    <row r="1012">
      <c r="A1012" s="2">
        <v>45881</v>
      </c>
      <c r="B1012">
        <v>2026.0</v>
      </c>
      <c r="C1012" t="s">
        <v>321</v>
      </c>
      <c r="D1012" t="s">
        <v>316</v>
      </c>
      <c r="E1012" t="s">
        <v>217</v>
      </c>
      <c r="F1012" t="s">
        <v>305</v>
      </c>
      <c r="G1012" t="s">
        <v>10</v>
      </c>
      <c r="H1012">
        <v>3136.0</v>
      </c>
      <c r="I1012" t="s">
        <v>31</v>
      </c>
      <c r="J1012" t="s">
        <v>89</v>
      </c>
      <c r="K1012" t="s">
        <v>38</v>
      </c>
      <c r="L1012" t="s">
        <v>39</v>
      </c>
      <c r="M1012">
        <v>34.47</v>
      </c>
    </row>
    <row r="1013">
      <c r="A1013" s="2">
        <v>45575</v>
      </c>
      <c r="B1013">
        <v>2025.0</v>
      </c>
      <c r="C1013" t="s">
        <v>315</v>
      </c>
      <c r="D1013" t="s">
        <v>316</v>
      </c>
      <c r="E1013" t="s">
        <v>217</v>
      </c>
      <c r="F1013" t="s">
        <v>305</v>
      </c>
      <c r="G1013" t="s">
        <v>10</v>
      </c>
      <c r="H1013">
        <v>3136.0</v>
      </c>
      <c r="I1013" t="s">
        <v>31</v>
      </c>
      <c r="J1013" t="s">
        <v>89</v>
      </c>
      <c r="K1013" t="s">
        <v>43</v>
      </c>
      <c r="L1013" t="s">
        <v>44</v>
      </c>
      <c r="M1013">
        <v>34.5</v>
      </c>
    </row>
    <row r="1014">
      <c r="A1014" s="2">
        <v>45886</v>
      </c>
      <c r="B1014">
        <v>2026.0</v>
      </c>
      <c r="C1014" t="s">
        <v>321</v>
      </c>
      <c r="D1014" t="s">
        <v>316</v>
      </c>
      <c r="E1014" t="s">
        <v>256</v>
      </c>
      <c r="F1014" t="s">
        <v>304</v>
      </c>
      <c r="G1014" t="s">
        <v>9</v>
      </c>
      <c r="H1014">
        <v>2350.0</v>
      </c>
      <c r="I1014" t="s">
        <v>31</v>
      </c>
      <c r="J1014" t="s">
        <v>70</v>
      </c>
      <c r="K1014" t="s">
        <v>112</v>
      </c>
      <c r="L1014" t="s">
        <v>113</v>
      </c>
      <c r="M1014">
        <v>34.57</v>
      </c>
    </row>
    <row r="1015">
      <c r="A1015" s="2">
        <v>45572</v>
      </c>
      <c r="B1015">
        <v>2025.0</v>
      </c>
      <c r="C1015" t="s">
        <v>315</v>
      </c>
      <c r="D1015" t="s">
        <v>319</v>
      </c>
      <c r="E1015" t="s">
        <v>236</v>
      </c>
      <c r="F1015" t="s">
        <v>307</v>
      </c>
      <c r="G1015" t="s">
        <v>12</v>
      </c>
      <c r="H1015">
        <v>6052.0</v>
      </c>
      <c r="I1015" t="s">
        <v>31</v>
      </c>
      <c r="J1015" t="s">
        <v>102</v>
      </c>
      <c r="K1015" t="s">
        <v>46</v>
      </c>
      <c r="L1015" t="s">
        <v>47</v>
      </c>
      <c r="M1015">
        <v>34.74</v>
      </c>
    </row>
    <row r="1016">
      <c r="A1016" s="2">
        <v>45781</v>
      </c>
      <c r="B1016">
        <v>2025.0</v>
      </c>
      <c r="C1016" t="s">
        <v>315</v>
      </c>
      <c r="D1016" t="s">
        <v>319</v>
      </c>
      <c r="E1016" t="s">
        <v>154</v>
      </c>
      <c r="F1016" t="s">
        <v>306</v>
      </c>
      <c r="G1016" t="s">
        <v>11</v>
      </c>
      <c r="H1016">
        <v>4551.0</v>
      </c>
      <c r="I1016" t="s">
        <v>31</v>
      </c>
      <c r="J1016" t="s">
        <v>84</v>
      </c>
      <c r="K1016" t="s">
        <v>66</v>
      </c>
      <c r="L1016" t="s">
        <v>67</v>
      </c>
      <c r="M1016">
        <v>34.86</v>
      </c>
    </row>
    <row r="1017">
      <c r="A1017" s="2">
        <v>45301</v>
      </c>
      <c r="B1017">
        <v>2024.0</v>
      </c>
      <c r="C1017" t="s">
        <v>318</v>
      </c>
      <c r="D1017" t="s">
        <v>316</v>
      </c>
      <c r="E1017" t="s">
        <v>148</v>
      </c>
      <c r="F1017" t="s">
        <v>307</v>
      </c>
      <c r="G1017" t="s">
        <v>12</v>
      </c>
      <c r="H1017">
        <v>6450.0</v>
      </c>
      <c r="I1017" t="s">
        <v>31</v>
      </c>
      <c r="J1017" t="s">
        <v>50</v>
      </c>
      <c r="K1017" t="s">
        <v>33</v>
      </c>
      <c r="L1017" t="s">
        <v>34</v>
      </c>
      <c r="M1017">
        <v>34.910000000000004</v>
      </c>
    </row>
    <row r="1018">
      <c r="A1018" s="2">
        <v>45596</v>
      </c>
      <c r="B1018">
        <v>2025.0</v>
      </c>
      <c r="C1018" t="s">
        <v>315</v>
      </c>
      <c r="D1018" t="s">
        <v>316</v>
      </c>
      <c r="E1018" t="s">
        <v>92</v>
      </c>
      <c r="F1018" t="s">
        <v>305</v>
      </c>
      <c r="G1018" t="s">
        <v>10</v>
      </c>
      <c r="H1018">
        <v>3690.0</v>
      </c>
      <c r="I1018" t="s">
        <v>31</v>
      </c>
      <c r="J1018" t="s">
        <v>94</v>
      </c>
      <c r="K1018" t="s">
        <v>33</v>
      </c>
      <c r="L1018" t="s">
        <v>34</v>
      </c>
      <c r="M1018">
        <v>34.92</v>
      </c>
    </row>
    <row r="1019">
      <c r="A1019" s="2">
        <v>45346</v>
      </c>
      <c r="B1019">
        <v>2024.0</v>
      </c>
      <c r="C1019" t="s">
        <v>318</v>
      </c>
      <c r="D1019" t="s">
        <v>316</v>
      </c>
      <c r="E1019" t="s">
        <v>177</v>
      </c>
      <c r="F1019" t="s">
        <v>307</v>
      </c>
      <c r="G1019" t="s">
        <v>12</v>
      </c>
      <c r="H1019">
        <v>6330.0</v>
      </c>
      <c r="I1019" t="s">
        <v>31</v>
      </c>
      <c r="J1019" t="s">
        <v>162</v>
      </c>
      <c r="K1019" t="s">
        <v>123</v>
      </c>
      <c r="L1019" t="s">
        <v>124</v>
      </c>
      <c r="M1019">
        <v>34.93</v>
      </c>
    </row>
    <row r="1020">
      <c r="A1020" s="2">
        <v>45472</v>
      </c>
      <c r="B1020">
        <v>2024.0</v>
      </c>
      <c r="C1020" t="s">
        <v>318</v>
      </c>
      <c r="D1020" t="s">
        <v>316</v>
      </c>
      <c r="E1020" t="s">
        <v>177</v>
      </c>
      <c r="F1020" t="s">
        <v>307</v>
      </c>
      <c r="G1020" t="s">
        <v>12</v>
      </c>
      <c r="H1020">
        <v>6330.0</v>
      </c>
      <c r="I1020" t="s">
        <v>31</v>
      </c>
      <c r="J1020" t="s">
        <v>162</v>
      </c>
      <c r="K1020" t="s">
        <v>95</v>
      </c>
      <c r="L1020" t="s">
        <v>96</v>
      </c>
      <c r="M1020">
        <v>34.93</v>
      </c>
    </row>
    <row r="1021">
      <c r="A1021" s="2">
        <v>45859</v>
      </c>
      <c r="B1021">
        <v>2026.0</v>
      </c>
      <c r="C1021" t="s">
        <v>321</v>
      </c>
      <c r="D1021" t="s">
        <v>316</v>
      </c>
      <c r="E1021" t="s">
        <v>76</v>
      </c>
      <c r="F1021" t="s">
        <v>306</v>
      </c>
      <c r="G1021" t="s">
        <v>11</v>
      </c>
      <c r="H1021">
        <v>4883.0</v>
      </c>
      <c r="I1021" t="s">
        <v>31</v>
      </c>
      <c r="J1021" t="s">
        <v>78</v>
      </c>
      <c r="K1021" t="s">
        <v>95</v>
      </c>
      <c r="L1021" t="s">
        <v>96</v>
      </c>
      <c r="M1021">
        <v>34.93</v>
      </c>
    </row>
    <row r="1022">
      <c r="A1022" s="2">
        <v>45388</v>
      </c>
      <c r="B1022">
        <v>2024.0</v>
      </c>
      <c r="C1022" t="s">
        <v>318</v>
      </c>
      <c r="D1022" t="s">
        <v>319</v>
      </c>
      <c r="E1022" t="s">
        <v>68</v>
      </c>
      <c r="F1022" t="s">
        <v>304</v>
      </c>
      <c r="G1022" t="s">
        <v>9</v>
      </c>
      <c r="H1022">
        <v>2478.0</v>
      </c>
      <c r="I1022" t="s">
        <v>31</v>
      </c>
      <c r="J1022" t="s">
        <v>70</v>
      </c>
      <c r="K1022" t="s">
        <v>71</v>
      </c>
      <c r="L1022" t="s">
        <v>72</v>
      </c>
      <c r="M1022">
        <v>34.93</v>
      </c>
    </row>
    <row r="1023">
      <c r="A1023" s="2">
        <v>45461</v>
      </c>
      <c r="B1023">
        <v>2024.0</v>
      </c>
      <c r="C1023" t="s">
        <v>318</v>
      </c>
      <c r="D1023" t="s">
        <v>316</v>
      </c>
      <c r="E1023" t="s">
        <v>191</v>
      </c>
      <c r="F1023" t="s">
        <v>305</v>
      </c>
      <c r="G1023" t="s">
        <v>10</v>
      </c>
      <c r="H1023">
        <v>3030.0</v>
      </c>
      <c r="I1023" t="s">
        <v>31</v>
      </c>
      <c r="J1023" t="s">
        <v>120</v>
      </c>
      <c r="K1023" t="s">
        <v>43</v>
      </c>
      <c r="L1023" t="s">
        <v>44</v>
      </c>
      <c r="M1023">
        <v>34.95</v>
      </c>
    </row>
    <row r="1024">
      <c r="A1024" s="2">
        <v>45451</v>
      </c>
      <c r="B1024">
        <v>2024.0</v>
      </c>
      <c r="C1024" t="s">
        <v>318</v>
      </c>
      <c r="D1024" t="s">
        <v>316</v>
      </c>
      <c r="E1024" t="s">
        <v>228</v>
      </c>
      <c r="F1024" t="s">
        <v>306</v>
      </c>
      <c r="G1024" t="s">
        <v>11</v>
      </c>
      <c r="H1024">
        <v>4680.0</v>
      </c>
      <c r="I1024" t="s">
        <v>31</v>
      </c>
      <c r="J1024" t="s">
        <v>32</v>
      </c>
      <c r="K1024" t="s">
        <v>43</v>
      </c>
      <c r="L1024" t="s">
        <v>44</v>
      </c>
      <c r="M1024">
        <v>34.96</v>
      </c>
    </row>
    <row r="1025">
      <c r="A1025" s="2">
        <v>45657</v>
      </c>
      <c r="B1025">
        <v>2025.0</v>
      </c>
      <c r="C1025" t="s">
        <v>315</v>
      </c>
      <c r="D1025" t="s">
        <v>319</v>
      </c>
      <c r="E1025" t="s">
        <v>236</v>
      </c>
      <c r="F1025" t="s">
        <v>307</v>
      </c>
      <c r="G1025" t="s">
        <v>12</v>
      </c>
      <c r="H1025">
        <v>6052.0</v>
      </c>
      <c r="I1025" t="s">
        <v>31</v>
      </c>
      <c r="J1025" t="s">
        <v>102</v>
      </c>
      <c r="K1025" t="s">
        <v>123</v>
      </c>
      <c r="L1025" t="s">
        <v>124</v>
      </c>
      <c r="M1025">
        <v>34.97</v>
      </c>
    </row>
    <row r="1026">
      <c r="A1026" s="2">
        <v>45548</v>
      </c>
      <c r="B1026">
        <v>2025.0</v>
      </c>
      <c r="C1026" t="s">
        <v>315</v>
      </c>
      <c r="D1026" t="s">
        <v>316</v>
      </c>
      <c r="E1026" t="s">
        <v>154</v>
      </c>
      <c r="F1026" t="s">
        <v>306</v>
      </c>
      <c r="G1026" t="s">
        <v>11</v>
      </c>
      <c r="H1026">
        <v>4551.0</v>
      </c>
      <c r="I1026" t="s">
        <v>31</v>
      </c>
      <c r="J1026" t="s">
        <v>84</v>
      </c>
      <c r="K1026" t="s">
        <v>95</v>
      </c>
      <c r="L1026" t="s">
        <v>96</v>
      </c>
      <c r="M1026">
        <v>34.989999999999995</v>
      </c>
    </row>
    <row r="1027">
      <c r="A1027" s="2">
        <v>45669</v>
      </c>
      <c r="B1027">
        <v>2025.0</v>
      </c>
      <c r="C1027" t="s">
        <v>315</v>
      </c>
      <c r="D1027" t="s">
        <v>316</v>
      </c>
      <c r="E1027" t="s">
        <v>258</v>
      </c>
      <c r="F1027" t="s">
        <v>309</v>
      </c>
      <c r="G1027" t="s">
        <v>14</v>
      </c>
      <c r="H1027">
        <v>870.0</v>
      </c>
      <c r="I1027" t="s">
        <v>31</v>
      </c>
      <c r="J1027" t="s">
        <v>145</v>
      </c>
      <c r="K1027" t="s">
        <v>123</v>
      </c>
      <c r="L1027" t="s">
        <v>124</v>
      </c>
      <c r="M1027">
        <v>35.0</v>
      </c>
    </row>
    <row r="1028">
      <c r="A1028" s="2">
        <v>45761</v>
      </c>
      <c r="B1028">
        <v>2025.0</v>
      </c>
      <c r="C1028" t="s">
        <v>315</v>
      </c>
      <c r="D1028" t="s">
        <v>316</v>
      </c>
      <c r="E1028" t="s">
        <v>139</v>
      </c>
      <c r="F1028" t="s">
        <v>305</v>
      </c>
      <c r="G1028" t="s">
        <v>10</v>
      </c>
      <c r="H1028">
        <v>3199.0</v>
      </c>
      <c r="I1028" t="s">
        <v>31</v>
      </c>
      <c r="J1028" t="s">
        <v>89</v>
      </c>
      <c r="K1028" t="s">
        <v>38</v>
      </c>
      <c r="L1028" t="s">
        <v>39</v>
      </c>
      <c r="M1028">
        <v>35.11</v>
      </c>
    </row>
    <row r="1029">
      <c r="A1029" s="2">
        <v>45987</v>
      </c>
      <c r="B1029">
        <v>2026.0</v>
      </c>
      <c r="C1029" t="s">
        <v>321</v>
      </c>
      <c r="D1029" t="s">
        <v>316</v>
      </c>
      <c r="E1029" t="s">
        <v>100</v>
      </c>
      <c r="F1029" t="s">
        <v>307</v>
      </c>
      <c r="G1029" t="s">
        <v>12</v>
      </c>
      <c r="H1029">
        <v>6010.0</v>
      </c>
      <c r="I1029" t="s">
        <v>31</v>
      </c>
      <c r="J1029" t="s">
        <v>102</v>
      </c>
      <c r="K1029" t="s">
        <v>71</v>
      </c>
      <c r="L1029" t="s">
        <v>72</v>
      </c>
      <c r="M1029">
        <v>35.28</v>
      </c>
    </row>
    <row r="1030">
      <c r="A1030" s="2">
        <v>45292</v>
      </c>
      <c r="B1030">
        <v>2024.0</v>
      </c>
      <c r="C1030" t="s">
        <v>318</v>
      </c>
      <c r="D1030" t="s">
        <v>316</v>
      </c>
      <c r="E1030" t="s">
        <v>40</v>
      </c>
      <c r="F1030" t="s">
        <v>308</v>
      </c>
      <c r="G1030" t="s">
        <v>13</v>
      </c>
      <c r="H1030">
        <v>5011.0</v>
      </c>
      <c r="I1030" t="s">
        <v>31</v>
      </c>
      <c r="J1030" t="s">
        <v>42</v>
      </c>
      <c r="K1030" t="s">
        <v>43</v>
      </c>
      <c r="L1030" t="s">
        <v>44</v>
      </c>
      <c r="M1030">
        <v>35.480000000000004</v>
      </c>
    </row>
    <row r="1031">
      <c r="A1031" s="2">
        <v>45413</v>
      </c>
      <c r="B1031">
        <v>2024.0</v>
      </c>
      <c r="C1031" t="s">
        <v>318</v>
      </c>
      <c r="D1031" t="s">
        <v>316</v>
      </c>
      <c r="E1031" t="s">
        <v>173</v>
      </c>
      <c r="F1031" t="s">
        <v>306</v>
      </c>
      <c r="G1031" t="s">
        <v>11</v>
      </c>
      <c r="H1031">
        <v>4220.0</v>
      </c>
      <c r="I1031" t="s">
        <v>31</v>
      </c>
      <c r="J1031" t="s">
        <v>61</v>
      </c>
      <c r="K1031" t="s">
        <v>112</v>
      </c>
      <c r="L1031" t="s">
        <v>113</v>
      </c>
      <c r="M1031">
        <v>35.62</v>
      </c>
    </row>
    <row r="1032">
      <c r="A1032" s="2">
        <v>45545</v>
      </c>
      <c r="B1032">
        <v>2025.0</v>
      </c>
      <c r="C1032" t="s">
        <v>315</v>
      </c>
      <c r="D1032" t="s">
        <v>316</v>
      </c>
      <c r="E1032" t="s">
        <v>156</v>
      </c>
      <c r="F1032" t="s">
        <v>304</v>
      </c>
      <c r="G1032" t="s">
        <v>9</v>
      </c>
      <c r="H1032">
        <v>2830.0</v>
      </c>
      <c r="I1032" t="s">
        <v>31</v>
      </c>
      <c r="J1032" t="s">
        <v>75</v>
      </c>
      <c r="K1032" t="s">
        <v>57</v>
      </c>
      <c r="L1032" t="s">
        <v>58</v>
      </c>
      <c r="M1032">
        <v>35.72</v>
      </c>
    </row>
    <row r="1033">
      <c r="A1033" s="2">
        <v>45494</v>
      </c>
      <c r="B1033">
        <v>2025.0</v>
      </c>
      <c r="C1033" t="s">
        <v>315</v>
      </c>
      <c r="D1033" t="s">
        <v>316</v>
      </c>
      <c r="E1033" t="s">
        <v>97</v>
      </c>
      <c r="F1033" t="s">
        <v>304</v>
      </c>
      <c r="G1033" t="s">
        <v>9</v>
      </c>
      <c r="H1033">
        <v>2067.0</v>
      </c>
      <c r="I1033" t="s">
        <v>31</v>
      </c>
      <c r="J1033" t="s">
        <v>99</v>
      </c>
      <c r="K1033" t="s">
        <v>66</v>
      </c>
      <c r="L1033" t="s">
        <v>67</v>
      </c>
      <c r="M1033">
        <v>35.82</v>
      </c>
    </row>
    <row r="1034">
      <c r="A1034" s="2">
        <v>45815</v>
      </c>
      <c r="B1034">
        <v>2025.0</v>
      </c>
      <c r="C1034" t="s">
        <v>315</v>
      </c>
      <c r="D1034" t="s">
        <v>316</v>
      </c>
      <c r="E1034" t="s">
        <v>92</v>
      </c>
      <c r="F1034" t="s">
        <v>305</v>
      </c>
      <c r="G1034" t="s">
        <v>10</v>
      </c>
      <c r="H1034">
        <v>3690.0</v>
      </c>
      <c r="I1034" t="s">
        <v>31</v>
      </c>
      <c r="J1034" t="s">
        <v>94</v>
      </c>
      <c r="K1034" t="s">
        <v>46</v>
      </c>
      <c r="L1034" t="s">
        <v>47</v>
      </c>
      <c r="M1034">
        <v>35.84</v>
      </c>
    </row>
    <row r="1035">
      <c r="A1035" s="2">
        <v>45623</v>
      </c>
      <c r="B1035">
        <v>2025.0</v>
      </c>
      <c r="C1035" t="s">
        <v>315</v>
      </c>
      <c r="D1035" t="s">
        <v>319</v>
      </c>
      <c r="E1035" t="s">
        <v>248</v>
      </c>
      <c r="F1035" t="s">
        <v>307</v>
      </c>
      <c r="G1035" t="s">
        <v>12</v>
      </c>
      <c r="H1035">
        <v>6112.0</v>
      </c>
      <c r="I1035" t="s">
        <v>31</v>
      </c>
      <c r="J1035" t="s">
        <v>162</v>
      </c>
      <c r="K1035" t="s">
        <v>112</v>
      </c>
      <c r="L1035" t="s">
        <v>113</v>
      </c>
      <c r="M1035">
        <v>35.88</v>
      </c>
    </row>
    <row r="1036">
      <c r="A1036" s="2">
        <v>45316</v>
      </c>
      <c r="B1036">
        <v>2024.0</v>
      </c>
      <c r="C1036" t="s">
        <v>318</v>
      </c>
      <c r="D1036" t="s">
        <v>316</v>
      </c>
      <c r="E1036" t="s">
        <v>171</v>
      </c>
      <c r="F1036" t="s">
        <v>305</v>
      </c>
      <c r="G1036" t="s">
        <v>10</v>
      </c>
      <c r="H1036">
        <v>3500.0</v>
      </c>
      <c r="I1036" t="s">
        <v>31</v>
      </c>
      <c r="J1036" t="s">
        <v>37</v>
      </c>
      <c r="K1036" t="s">
        <v>38</v>
      </c>
      <c r="L1036" t="s">
        <v>39</v>
      </c>
      <c r="M1036">
        <v>35.88</v>
      </c>
    </row>
    <row r="1037">
      <c r="A1037" s="2">
        <v>45749</v>
      </c>
      <c r="B1037">
        <v>2025.0</v>
      </c>
      <c r="C1037" t="s">
        <v>315</v>
      </c>
      <c r="D1037" t="s">
        <v>319</v>
      </c>
      <c r="E1037" t="s">
        <v>121</v>
      </c>
      <c r="F1037" t="s">
        <v>306</v>
      </c>
      <c r="G1037" t="s">
        <v>11</v>
      </c>
      <c r="H1037">
        <v>4566.0</v>
      </c>
      <c r="I1037" t="s">
        <v>31</v>
      </c>
      <c r="J1037" t="s">
        <v>84</v>
      </c>
      <c r="K1037" t="s">
        <v>112</v>
      </c>
      <c r="L1037" t="s">
        <v>113</v>
      </c>
      <c r="M1037">
        <v>35.88</v>
      </c>
    </row>
    <row r="1038">
      <c r="A1038" s="2">
        <v>45962</v>
      </c>
      <c r="B1038">
        <v>2026.0</v>
      </c>
      <c r="C1038" t="s">
        <v>321</v>
      </c>
      <c r="D1038" t="s">
        <v>319</v>
      </c>
      <c r="E1038" t="s">
        <v>114</v>
      </c>
      <c r="F1038" t="s">
        <v>304</v>
      </c>
      <c r="G1038" t="s">
        <v>9</v>
      </c>
      <c r="H1038">
        <v>2031.0</v>
      </c>
      <c r="I1038" t="s">
        <v>31</v>
      </c>
      <c r="J1038" t="s">
        <v>99</v>
      </c>
      <c r="K1038" t="s">
        <v>112</v>
      </c>
      <c r="L1038" t="s">
        <v>113</v>
      </c>
      <c r="M1038">
        <v>35.88</v>
      </c>
    </row>
    <row r="1039">
      <c r="A1039" s="2">
        <v>45621</v>
      </c>
      <c r="B1039">
        <v>2025.0</v>
      </c>
      <c r="C1039" t="s">
        <v>315</v>
      </c>
      <c r="D1039" t="s">
        <v>316</v>
      </c>
      <c r="E1039" t="s">
        <v>179</v>
      </c>
      <c r="F1039" t="s">
        <v>304</v>
      </c>
      <c r="G1039" t="s">
        <v>9</v>
      </c>
      <c r="H1039">
        <v>2015.0</v>
      </c>
      <c r="I1039" t="s">
        <v>31</v>
      </c>
      <c r="J1039" t="s">
        <v>99</v>
      </c>
      <c r="K1039" t="s">
        <v>33</v>
      </c>
      <c r="L1039" t="s">
        <v>34</v>
      </c>
      <c r="M1039">
        <v>35.91</v>
      </c>
    </row>
    <row r="1040">
      <c r="A1040" s="2">
        <v>45566</v>
      </c>
      <c r="B1040">
        <v>2025.0</v>
      </c>
      <c r="C1040" t="s">
        <v>315</v>
      </c>
      <c r="D1040" t="s">
        <v>316</v>
      </c>
      <c r="E1040" t="s">
        <v>129</v>
      </c>
      <c r="F1040" t="s">
        <v>305</v>
      </c>
      <c r="G1040" t="s">
        <v>10</v>
      </c>
      <c r="H1040">
        <v>3066.0</v>
      </c>
      <c r="I1040" t="s">
        <v>31</v>
      </c>
      <c r="J1040" t="s">
        <v>120</v>
      </c>
      <c r="K1040" t="s">
        <v>123</v>
      </c>
      <c r="L1040" t="s">
        <v>124</v>
      </c>
      <c r="M1040">
        <v>35.91</v>
      </c>
    </row>
    <row r="1041">
      <c r="A1041" s="2">
        <v>45477</v>
      </c>
      <c r="B1041">
        <v>2025.0</v>
      </c>
      <c r="C1041" t="s">
        <v>315</v>
      </c>
      <c r="D1041" t="s">
        <v>316</v>
      </c>
      <c r="E1041" t="s">
        <v>158</v>
      </c>
      <c r="F1041" t="s">
        <v>306</v>
      </c>
      <c r="G1041" t="s">
        <v>11</v>
      </c>
      <c r="H1041">
        <v>4570.0</v>
      </c>
      <c r="I1041" t="s">
        <v>31</v>
      </c>
      <c r="J1041" t="s">
        <v>84</v>
      </c>
      <c r="K1041" t="s">
        <v>33</v>
      </c>
      <c r="L1041" t="s">
        <v>34</v>
      </c>
      <c r="M1041">
        <v>35.91</v>
      </c>
    </row>
    <row r="1042">
      <c r="A1042" s="2">
        <v>45719</v>
      </c>
      <c r="B1042">
        <v>2025.0</v>
      </c>
      <c r="C1042" t="s">
        <v>315</v>
      </c>
      <c r="D1042" t="s">
        <v>316</v>
      </c>
      <c r="E1042" t="s">
        <v>223</v>
      </c>
      <c r="F1042" t="s">
        <v>305</v>
      </c>
      <c r="G1042" t="s">
        <v>10</v>
      </c>
      <c r="H1042">
        <v>3915.0</v>
      </c>
      <c r="I1042" t="s">
        <v>31</v>
      </c>
      <c r="J1042" t="s">
        <v>94</v>
      </c>
      <c r="K1042" t="s">
        <v>71</v>
      </c>
      <c r="L1042" t="s">
        <v>72</v>
      </c>
      <c r="M1042">
        <v>35.91</v>
      </c>
    </row>
    <row r="1043">
      <c r="A1043" s="2">
        <v>45474</v>
      </c>
      <c r="B1043">
        <v>2025.0</v>
      </c>
      <c r="C1043" t="s">
        <v>315</v>
      </c>
      <c r="D1043" t="s">
        <v>316</v>
      </c>
      <c r="E1043" t="s">
        <v>79</v>
      </c>
      <c r="F1043" t="s">
        <v>304</v>
      </c>
      <c r="G1043" t="s">
        <v>9</v>
      </c>
      <c r="H1043">
        <v>2141.0</v>
      </c>
      <c r="I1043" t="s">
        <v>31</v>
      </c>
      <c r="J1043" t="s">
        <v>81</v>
      </c>
      <c r="K1043" t="s">
        <v>112</v>
      </c>
      <c r="L1043" t="s">
        <v>113</v>
      </c>
      <c r="M1043">
        <v>35.91</v>
      </c>
    </row>
    <row r="1044">
      <c r="A1044" s="2">
        <v>45765</v>
      </c>
      <c r="B1044">
        <v>2025.0</v>
      </c>
      <c r="C1044" t="s">
        <v>315</v>
      </c>
      <c r="D1044" t="s">
        <v>316</v>
      </c>
      <c r="E1044" t="s">
        <v>135</v>
      </c>
      <c r="F1044" t="s">
        <v>311</v>
      </c>
      <c r="G1044" t="s">
        <v>16</v>
      </c>
      <c r="H1044">
        <v>2609.0</v>
      </c>
      <c r="I1044" t="s">
        <v>31</v>
      </c>
      <c r="J1044" t="s">
        <v>107</v>
      </c>
      <c r="K1044" t="s">
        <v>33</v>
      </c>
      <c r="L1044" t="s">
        <v>34</v>
      </c>
      <c r="M1044">
        <v>35.910000000000004</v>
      </c>
    </row>
    <row r="1045">
      <c r="A1045" s="2">
        <v>45327</v>
      </c>
      <c r="B1045">
        <v>2024.0</v>
      </c>
      <c r="C1045" t="s">
        <v>318</v>
      </c>
      <c r="D1045" t="s">
        <v>316</v>
      </c>
      <c r="E1045" t="s">
        <v>225</v>
      </c>
      <c r="F1045" t="s">
        <v>308</v>
      </c>
      <c r="G1045" t="s">
        <v>13</v>
      </c>
      <c r="H1045">
        <v>5607.0</v>
      </c>
      <c r="I1045" t="s">
        <v>31</v>
      </c>
      <c r="J1045" t="s">
        <v>227</v>
      </c>
      <c r="K1045" t="s">
        <v>71</v>
      </c>
      <c r="L1045" t="s">
        <v>72</v>
      </c>
      <c r="M1045">
        <v>35.92</v>
      </c>
    </row>
    <row r="1046">
      <c r="A1046" s="2">
        <v>45593</v>
      </c>
      <c r="B1046">
        <v>2025.0</v>
      </c>
      <c r="C1046" t="s">
        <v>315</v>
      </c>
      <c r="D1046" t="s">
        <v>316</v>
      </c>
      <c r="E1046" t="s">
        <v>173</v>
      </c>
      <c r="F1046" t="s">
        <v>306</v>
      </c>
      <c r="G1046" t="s">
        <v>11</v>
      </c>
      <c r="H1046">
        <v>4220.0</v>
      </c>
      <c r="I1046" t="s">
        <v>31</v>
      </c>
      <c r="J1046" t="s">
        <v>61</v>
      </c>
      <c r="K1046" t="s">
        <v>38</v>
      </c>
      <c r="L1046" t="s">
        <v>39</v>
      </c>
      <c r="M1046">
        <v>35.94</v>
      </c>
    </row>
    <row r="1047">
      <c r="A1047" s="2">
        <v>45582</v>
      </c>
      <c r="B1047">
        <v>2025.0</v>
      </c>
      <c r="C1047" t="s">
        <v>315</v>
      </c>
      <c r="D1047" t="s">
        <v>319</v>
      </c>
      <c r="E1047" t="s">
        <v>228</v>
      </c>
      <c r="F1047" t="s">
        <v>306</v>
      </c>
      <c r="G1047" t="s">
        <v>11</v>
      </c>
      <c r="H1047">
        <v>4680.0</v>
      </c>
      <c r="I1047" t="s">
        <v>31</v>
      </c>
      <c r="J1047" t="s">
        <v>32</v>
      </c>
      <c r="K1047" t="s">
        <v>46</v>
      </c>
      <c r="L1047" t="s">
        <v>47</v>
      </c>
      <c r="M1047">
        <v>35.94</v>
      </c>
    </row>
    <row r="1048">
      <c r="A1048" s="2">
        <v>45720</v>
      </c>
      <c r="B1048">
        <v>2025.0</v>
      </c>
      <c r="C1048" t="s">
        <v>315</v>
      </c>
      <c r="D1048" t="s">
        <v>319</v>
      </c>
      <c r="E1048" t="s">
        <v>207</v>
      </c>
      <c r="F1048" t="s">
        <v>306</v>
      </c>
      <c r="G1048" t="s">
        <v>11</v>
      </c>
      <c r="H1048">
        <v>4825.0</v>
      </c>
      <c r="I1048" t="s">
        <v>31</v>
      </c>
      <c r="J1048" t="s">
        <v>78</v>
      </c>
      <c r="K1048" t="s">
        <v>46</v>
      </c>
      <c r="L1048" t="s">
        <v>47</v>
      </c>
      <c r="M1048">
        <v>35.94</v>
      </c>
    </row>
    <row r="1049">
      <c r="A1049" s="2">
        <v>45579</v>
      </c>
      <c r="B1049">
        <v>2025.0</v>
      </c>
      <c r="C1049" t="s">
        <v>315</v>
      </c>
      <c r="D1049" t="s">
        <v>316</v>
      </c>
      <c r="E1049" t="s">
        <v>85</v>
      </c>
      <c r="F1049" t="s">
        <v>304</v>
      </c>
      <c r="G1049" t="s">
        <v>9</v>
      </c>
      <c r="H1049">
        <v>2120.0</v>
      </c>
      <c r="I1049" t="s">
        <v>31</v>
      </c>
      <c r="J1049" t="s">
        <v>81</v>
      </c>
      <c r="K1049" t="s">
        <v>46</v>
      </c>
      <c r="L1049" t="s">
        <v>47</v>
      </c>
      <c r="M1049">
        <v>35.94</v>
      </c>
    </row>
    <row r="1050">
      <c r="A1050" s="2">
        <v>45367</v>
      </c>
      <c r="B1050">
        <v>2024.0</v>
      </c>
      <c r="C1050" t="s">
        <v>318</v>
      </c>
      <c r="D1050" t="s">
        <v>316</v>
      </c>
      <c r="E1050" t="s">
        <v>175</v>
      </c>
      <c r="F1050" t="s">
        <v>311</v>
      </c>
      <c r="G1050" t="s">
        <v>16</v>
      </c>
      <c r="H1050">
        <v>2617.0</v>
      </c>
      <c r="I1050" t="s">
        <v>31</v>
      </c>
      <c r="J1050" t="s">
        <v>107</v>
      </c>
      <c r="K1050" t="s">
        <v>71</v>
      </c>
      <c r="L1050" t="s">
        <v>72</v>
      </c>
      <c r="M1050">
        <v>35.96</v>
      </c>
    </row>
    <row r="1051">
      <c r="A1051" s="2">
        <v>45308</v>
      </c>
      <c r="B1051">
        <v>2024.0</v>
      </c>
      <c r="C1051" t="s">
        <v>318</v>
      </c>
      <c r="D1051" t="s">
        <v>319</v>
      </c>
      <c r="E1051" t="s">
        <v>103</v>
      </c>
      <c r="F1051" t="s">
        <v>307</v>
      </c>
      <c r="G1051" t="s">
        <v>12</v>
      </c>
      <c r="H1051">
        <v>6021.0</v>
      </c>
      <c r="I1051" t="s">
        <v>31</v>
      </c>
      <c r="J1051" t="s">
        <v>102</v>
      </c>
      <c r="K1051" t="s">
        <v>43</v>
      </c>
      <c r="L1051" t="s">
        <v>44</v>
      </c>
      <c r="M1051">
        <v>35.97</v>
      </c>
    </row>
    <row r="1052">
      <c r="A1052" s="2">
        <v>45366</v>
      </c>
      <c r="B1052">
        <v>2024.0</v>
      </c>
      <c r="C1052" t="s">
        <v>318</v>
      </c>
      <c r="D1052" t="s">
        <v>316</v>
      </c>
      <c r="E1052" t="s">
        <v>238</v>
      </c>
      <c r="F1052" t="s">
        <v>308</v>
      </c>
      <c r="G1052" t="s">
        <v>13</v>
      </c>
      <c r="H1052">
        <v>5082.0</v>
      </c>
      <c r="I1052" t="s">
        <v>31</v>
      </c>
      <c r="J1052" t="s">
        <v>42</v>
      </c>
      <c r="K1052" t="s">
        <v>33</v>
      </c>
      <c r="L1052" t="s">
        <v>34</v>
      </c>
      <c r="M1052">
        <v>35.980000000000004</v>
      </c>
    </row>
    <row r="1053">
      <c r="A1053" s="2">
        <v>45322</v>
      </c>
      <c r="B1053">
        <v>2024.0</v>
      </c>
      <c r="C1053" t="s">
        <v>318</v>
      </c>
      <c r="D1053" t="s">
        <v>316</v>
      </c>
      <c r="E1053" t="s">
        <v>189</v>
      </c>
      <c r="F1053" t="s">
        <v>304</v>
      </c>
      <c r="G1053" t="s">
        <v>9</v>
      </c>
      <c r="H1053">
        <v>2131.0</v>
      </c>
      <c r="I1053" t="s">
        <v>31</v>
      </c>
      <c r="J1053" t="s">
        <v>81</v>
      </c>
      <c r="K1053" t="s">
        <v>43</v>
      </c>
      <c r="L1053" t="s">
        <v>44</v>
      </c>
      <c r="M1053">
        <v>36.0</v>
      </c>
    </row>
    <row r="1054">
      <c r="A1054" s="2">
        <v>45568</v>
      </c>
      <c r="B1054">
        <v>2025.0</v>
      </c>
      <c r="C1054" t="s">
        <v>315</v>
      </c>
      <c r="D1054" t="s">
        <v>316</v>
      </c>
      <c r="E1054" t="s">
        <v>207</v>
      </c>
      <c r="F1054" t="s">
        <v>306</v>
      </c>
      <c r="G1054" t="s">
        <v>11</v>
      </c>
      <c r="H1054">
        <v>4825.0</v>
      </c>
      <c r="I1054" t="s">
        <v>31</v>
      </c>
      <c r="J1054" t="s">
        <v>78</v>
      </c>
      <c r="K1054" t="s">
        <v>43</v>
      </c>
      <c r="L1054" t="s">
        <v>44</v>
      </c>
      <c r="M1054">
        <v>36.0</v>
      </c>
    </row>
    <row r="1055">
      <c r="A1055" s="2">
        <v>45921</v>
      </c>
      <c r="B1055">
        <v>2026.0</v>
      </c>
      <c r="C1055" t="s">
        <v>321</v>
      </c>
      <c r="D1055" t="s">
        <v>316</v>
      </c>
      <c r="E1055" t="s">
        <v>252</v>
      </c>
      <c r="F1055" t="s">
        <v>305</v>
      </c>
      <c r="G1055" t="s">
        <v>10</v>
      </c>
      <c r="H1055">
        <v>3630.0</v>
      </c>
      <c r="I1055" t="s">
        <v>31</v>
      </c>
      <c r="J1055" t="s">
        <v>94</v>
      </c>
      <c r="K1055" t="s">
        <v>57</v>
      </c>
      <c r="L1055" t="s">
        <v>58</v>
      </c>
      <c r="M1055">
        <v>36.0</v>
      </c>
    </row>
    <row r="1056">
      <c r="A1056" s="2">
        <v>45426</v>
      </c>
      <c r="B1056">
        <v>2024.0</v>
      </c>
      <c r="C1056" t="s">
        <v>318</v>
      </c>
      <c r="D1056" t="s">
        <v>316</v>
      </c>
      <c r="E1056" t="s">
        <v>40</v>
      </c>
      <c r="F1056" t="s">
        <v>308</v>
      </c>
      <c r="G1056" t="s">
        <v>13</v>
      </c>
      <c r="H1056">
        <v>5011.0</v>
      </c>
      <c r="I1056" t="s">
        <v>31</v>
      </c>
      <c r="J1056" t="s">
        <v>42</v>
      </c>
      <c r="K1056" t="s">
        <v>43</v>
      </c>
      <c r="L1056" t="s">
        <v>44</v>
      </c>
      <c r="M1056">
        <v>36.0</v>
      </c>
    </row>
    <row r="1057">
      <c r="A1057" s="2">
        <v>45715</v>
      </c>
      <c r="B1057">
        <v>2025.0</v>
      </c>
      <c r="C1057" t="s">
        <v>315</v>
      </c>
      <c r="D1057" t="s">
        <v>316</v>
      </c>
      <c r="E1057" t="s">
        <v>143</v>
      </c>
      <c r="F1057" t="s">
        <v>309</v>
      </c>
      <c r="G1057" t="s">
        <v>14</v>
      </c>
      <c r="H1057">
        <v>800.0</v>
      </c>
      <c r="I1057" t="s">
        <v>31</v>
      </c>
      <c r="J1057" t="s">
        <v>145</v>
      </c>
      <c r="K1057" t="s">
        <v>95</v>
      </c>
      <c r="L1057" t="s">
        <v>96</v>
      </c>
      <c r="M1057">
        <v>36.08</v>
      </c>
    </row>
    <row r="1058">
      <c r="A1058" s="2">
        <v>45419</v>
      </c>
      <c r="B1058">
        <v>2024.0</v>
      </c>
      <c r="C1058" t="s">
        <v>318</v>
      </c>
      <c r="D1058" t="s">
        <v>316</v>
      </c>
      <c r="E1058" t="s">
        <v>238</v>
      </c>
      <c r="F1058" t="s">
        <v>308</v>
      </c>
      <c r="G1058" t="s">
        <v>13</v>
      </c>
      <c r="H1058">
        <v>5082.0</v>
      </c>
      <c r="I1058" t="s">
        <v>31</v>
      </c>
      <c r="J1058" t="s">
        <v>42</v>
      </c>
      <c r="K1058" t="s">
        <v>123</v>
      </c>
      <c r="L1058" t="s">
        <v>124</v>
      </c>
      <c r="M1058">
        <v>36.489999999999995</v>
      </c>
    </row>
    <row r="1059">
      <c r="A1059" s="2">
        <v>45644</v>
      </c>
      <c r="B1059">
        <v>2025.0</v>
      </c>
      <c r="C1059" t="s">
        <v>315</v>
      </c>
      <c r="D1059" t="s">
        <v>316</v>
      </c>
      <c r="E1059" t="s">
        <v>131</v>
      </c>
      <c r="F1059" t="s">
        <v>306</v>
      </c>
      <c r="G1059" t="s">
        <v>11</v>
      </c>
      <c r="H1059">
        <v>4655.0</v>
      </c>
      <c r="I1059" t="s">
        <v>31</v>
      </c>
      <c r="J1059" t="s">
        <v>32</v>
      </c>
      <c r="K1059" t="s">
        <v>43</v>
      </c>
      <c r="L1059" t="s">
        <v>44</v>
      </c>
      <c r="M1059">
        <v>36.5</v>
      </c>
    </row>
    <row r="1060">
      <c r="A1060" s="2">
        <v>45708</v>
      </c>
      <c r="B1060">
        <v>2025.0</v>
      </c>
      <c r="C1060" t="s">
        <v>315</v>
      </c>
      <c r="D1060" t="s">
        <v>316</v>
      </c>
      <c r="E1060" t="s">
        <v>150</v>
      </c>
      <c r="F1060" t="s">
        <v>310</v>
      </c>
      <c r="G1060" t="s">
        <v>15</v>
      </c>
      <c r="H1060">
        <v>7250.0</v>
      </c>
      <c r="I1060" t="s">
        <v>31</v>
      </c>
      <c r="J1060" t="s">
        <v>53</v>
      </c>
      <c r="K1060" t="s">
        <v>43</v>
      </c>
      <c r="L1060" t="s">
        <v>44</v>
      </c>
      <c r="M1060">
        <v>36.5</v>
      </c>
    </row>
    <row r="1061">
      <c r="A1061" s="2">
        <v>45921</v>
      </c>
      <c r="B1061">
        <v>2026.0</v>
      </c>
      <c r="C1061" t="s">
        <v>321</v>
      </c>
      <c r="D1061" t="s">
        <v>319</v>
      </c>
      <c r="E1061" t="s">
        <v>118</v>
      </c>
      <c r="F1061" t="s">
        <v>305</v>
      </c>
      <c r="G1061" t="s">
        <v>10</v>
      </c>
      <c r="H1061">
        <v>3076.0</v>
      </c>
      <c r="I1061" t="s">
        <v>31</v>
      </c>
      <c r="J1061" t="s">
        <v>120</v>
      </c>
      <c r="K1061" t="s">
        <v>71</v>
      </c>
      <c r="L1061" t="s">
        <v>72</v>
      </c>
      <c r="M1061">
        <v>36.54</v>
      </c>
    </row>
    <row r="1062">
      <c r="A1062" s="2">
        <v>45785</v>
      </c>
      <c r="B1062">
        <v>2025.0</v>
      </c>
      <c r="C1062" t="s">
        <v>315</v>
      </c>
      <c r="D1062" t="s">
        <v>316</v>
      </c>
      <c r="E1062" t="s">
        <v>179</v>
      </c>
      <c r="F1062" t="s">
        <v>304</v>
      </c>
      <c r="G1062" t="s">
        <v>9</v>
      </c>
      <c r="H1062">
        <v>2015.0</v>
      </c>
      <c r="I1062" t="s">
        <v>31</v>
      </c>
      <c r="J1062" t="s">
        <v>99</v>
      </c>
      <c r="K1062" t="s">
        <v>71</v>
      </c>
      <c r="L1062" t="s">
        <v>72</v>
      </c>
      <c r="M1062">
        <v>36.67</v>
      </c>
    </row>
    <row r="1063">
      <c r="A1063" s="2">
        <v>45807</v>
      </c>
      <c r="B1063">
        <v>2025.0</v>
      </c>
      <c r="C1063" t="s">
        <v>315</v>
      </c>
      <c r="D1063" t="s">
        <v>319</v>
      </c>
      <c r="E1063" t="s">
        <v>29</v>
      </c>
      <c r="F1063" t="s">
        <v>306</v>
      </c>
      <c r="G1063" t="s">
        <v>11</v>
      </c>
      <c r="H1063">
        <v>4703.0</v>
      </c>
      <c r="I1063" t="s">
        <v>31</v>
      </c>
      <c r="J1063" t="s">
        <v>32</v>
      </c>
      <c r="K1063" t="s">
        <v>38</v>
      </c>
      <c r="L1063" t="s">
        <v>39</v>
      </c>
      <c r="M1063">
        <v>36.92</v>
      </c>
    </row>
    <row r="1064">
      <c r="A1064" s="2">
        <v>45374</v>
      </c>
      <c r="B1064">
        <v>2024.0</v>
      </c>
      <c r="C1064" t="s">
        <v>318</v>
      </c>
      <c r="D1064" t="s">
        <v>319</v>
      </c>
      <c r="E1064" t="s">
        <v>68</v>
      </c>
      <c r="F1064" t="s">
        <v>304</v>
      </c>
      <c r="G1064" t="s">
        <v>9</v>
      </c>
      <c r="H1064">
        <v>2478.0</v>
      </c>
      <c r="I1064" t="s">
        <v>31</v>
      </c>
      <c r="J1064" t="s">
        <v>70</v>
      </c>
      <c r="K1064" t="s">
        <v>46</v>
      </c>
      <c r="L1064" t="s">
        <v>47</v>
      </c>
      <c r="M1064">
        <v>36.97</v>
      </c>
    </row>
    <row r="1065">
      <c r="A1065" s="2">
        <v>45646</v>
      </c>
      <c r="B1065">
        <v>2025.0</v>
      </c>
      <c r="C1065" t="s">
        <v>315</v>
      </c>
      <c r="D1065" t="s">
        <v>316</v>
      </c>
      <c r="E1065" t="s">
        <v>152</v>
      </c>
      <c r="F1065" t="s">
        <v>306</v>
      </c>
      <c r="G1065" t="s">
        <v>11</v>
      </c>
      <c r="H1065">
        <v>4305.0</v>
      </c>
      <c r="I1065" t="s">
        <v>31</v>
      </c>
      <c r="J1065" t="s">
        <v>61</v>
      </c>
      <c r="K1065" t="s">
        <v>33</v>
      </c>
      <c r="L1065" t="s">
        <v>34</v>
      </c>
      <c r="M1065">
        <v>36.97</v>
      </c>
    </row>
    <row r="1066">
      <c r="A1066" s="2">
        <v>45449</v>
      </c>
      <c r="B1066">
        <v>2024.0</v>
      </c>
      <c r="C1066" t="s">
        <v>318</v>
      </c>
      <c r="D1066" t="s">
        <v>316</v>
      </c>
      <c r="E1066" t="s">
        <v>76</v>
      </c>
      <c r="F1066" t="s">
        <v>306</v>
      </c>
      <c r="G1066" t="s">
        <v>11</v>
      </c>
      <c r="H1066">
        <v>4883.0</v>
      </c>
      <c r="I1066" t="s">
        <v>31</v>
      </c>
      <c r="J1066" t="s">
        <v>78</v>
      </c>
      <c r="K1066" t="s">
        <v>71</v>
      </c>
      <c r="L1066" t="s">
        <v>72</v>
      </c>
      <c r="M1066">
        <v>37.0</v>
      </c>
    </row>
    <row r="1067">
      <c r="A1067" s="2">
        <v>45866</v>
      </c>
      <c r="B1067">
        <v>2026.0</v>
      </c>
      <c r="C1067" t="s">
        <v>321</v>
      </c>
      <c r="D1067" t="s">
        <v>319</v>
      </c>
      <c r="E1067" t="s">
        <v>183</v>
      </c>
      <c r="F1067" t="s">
        <v>304</v>
      </c>
      <c r="G1067" t="s">
        <v>9</v>
      </c>
      <c r="H1067">
        <v>2480.0</v>
      </c>
      <c r="I1067" t="s">
        <v>31</v>
      </c>
      <c r="J1067" t="s">
        <v>70</v>
      </c>
      <c r="K1067" t="s">
        <v>66</v>
      </c>
      <c r="L1067" t="s">
        <v>67</v>
      </c>
      <c r="M1067">
        <v>37.19</v>
      </c>
    </row>
    <row r="1068">
      <c r="A1068" s="2">
        <v>45835</v>
      </c>
      <c r="B1068">
        <v>2025.0</v>
      </c>
      <c r="C1068" t="s">
        <v>315</v>
      </c>
      <c r="D1068" t="s">
        <v>316</v>
      </c>
      <c r="E1068" t="s">
        <v>246</v>
      </c>
      <c r="F1068" t="s">
        <v>305</v>
      </c>
      <c r="G1068" t="s">
        <v>10</v>
      </c>
      <c r="H1068">
        <v>3551.0</v>
      </c>
      <c r="I1068" t="s">
        <v>31</v>
      </c>
      <c r="J1068" t="s">
        <v>37</v>
      </c>
      <c r="K1068" t="s">
        <v>95</v>
      </c>
      <c r="L1068" t="s">
        <v>96</v>
      </c>
      <c r="M1068">
        <v>37.33</v>
      </c>
    </row>
    <row r="1069">
      <c r="A1069" s="2">
        <v>45373</v>
      </c>
      <c r="B1069">
        <v>2024.0</v>
      </c>
      <c r="C1069" t="s">
        <v>318</v>
      </c>
      <c r="D1069" t="s">
        <v>319</v>
      </c>
      <c r="E1069" t="s">
        <v>213</v>
      </c>
      <c r="F1069" t="s">
        <v>306</v>
      </c>
      <c r="G1069" t="s">
        <v>11</v>
      </c>
      <c r="H1069">
        <v>4740.0</v>
      </c>
      <c r="I1069" t="s">
        <v>31</v>
      </c>
      <c r="J1069" t="s">
        <v>32</v>
      </c>
      <c r="K1069" t="s">
        <v>123</v>
      </c>
      <c r="L1069" t="s">
        <v>124</v>
      </c>
      <c r="M1069">
        <v>37.42</v>
      </c>
    </row>
    <row r="1070">
      <c r="A1070" s="2">
        <v>46000</v>
      </c>
      <c r="B1070">
        <v>2026.0</v>
      </c>
      <c r="C1070" t="s">
        <v>321</v>
      </c>
      <c r="D1070" t="s">
        <v>316</v>
      </c>
      <c r="E1070" t="s">
        <v>232</v>
      </c>
      <c r="F1070" t="s">
        <v>304</v>
      </c>
      <c r="G1070" t="s">
        <v>9</v>
      </c>
      <c r="H1070">
        <v>2800.0</v>
      </c>
      <c r="I1070" t="s">
        <v>31</v>
      </c>
      <c r="J1070" t="s">
        <v>75</v>
      </c>
      <c r="K1070" t="s">
        <v>43</v>
      </c>
      <c r="L1070" t="s">
        <v>44</v>
      </c>
      <c r="M1070">
        <v>37.46</v>
      </c>
    </row>
    <row r="1071">
      <c r="A1071" s="2">
        <v>45784</v>
      </c>
      <c r="B1071">
        <v>2025.0</v>
      </c>
      <c r="C1071" t="s">
        <v>315</v>
      </c>
      <c r="D1071" t="s">
        <v>316</v>
      </c>
      <c r="E1071" t="s">
        <v>225</v>
      </c>
      <c r="F1071" t="s">
        <v>308</v>
      </c>
      <c r="G1071" t="s">
        <v>13</v>
      </c>
      <c r="H1071">
        <v>5607.0</v>
      </c>
      <c r="I1071" t="s">
        <v>31</v>
      </c>
      <c r="J1071" t="s">
        <v>227</v>
      </c>
      <c r="K1071" t="s">
        <v>43</v>
      </c>
      <c r="L1071" t="s">
        <v>44</v>
      </c>
      <c r="M1071">
        <v>37.47</v>
      </c>
    </row>
    <row r="1072">
      <c r="A1072" s="2">
        <v>45874</v>
      </c>
      <c r="B1072">
        <v>2026.0</v>
      </c>
      <c r="C1072" t="s">
        <v>321</v>
      </c>
      <c r="D1072" t="s">
        <v>316</v>
      </c>
      <c r="E1072" t="s">
        <v>135</v>
      </c>
      <c r="F1072" t="s">
        <v>311</v>
      </c>
      <c r="G1072" t="s">
        <v>16</v>
      </c>
      <c r="H1072">
        <v>2609.0</v>
      </c>
      <c r="I1072" t="s">
        <v>31</v>
      </c>
      <c r="J1072" t="s">
        <v>107</v>
      </c>
      <c r="K1072" t="s">
        <v>123</v>
      </c>
      <c r="L1072" t="s">
        <v>124</v>
      </c>
      <c r="M1072">
        <v>37.49</v>
      </c>
    </row>
    <row r="1073">
      <c r="A1073" s="2">
        <v>45978</v>
      </c>
      <c r="B1073">
        <v>2026.0</v>
      </c>
      <c r="C1073" t="s">
        <v>321</v>
      </c>
      <c r="D1073" t="s">
        <v>319</v>
      </c>
      <c r="E1073" t="s">
        <v>187</v>
      </c>
      <c r="F1073" t="s">
        <v>306</v>
      </c>
      <c r="G1073" t="s">
        <v>11</v>
      </c>
      <c r="H1073">
        <v>4870.0</v>
      </c>
      <c r="I1073" t="s">
        <v>31</v>
      </c>
      <c r="J1073" t="s">
        <v>78</v>
      </c>
      <c r="K1073" t="s">
        <v>43</v>
      </c>
      <c r="L1073" t="s">
        <v>44</v>
      </c>
      <c r="M1073">
        <v>37.5</v>
      </c>
    </row>
    <row r="1074">
      <c r="A1074" s="2">
        <v>45544</v>
      </c>
      <c r="B1074">
        <v>2025.0</v>
      </c>
      <c r="C1074" t="s">
        <v>315</v>
      </c>
      <c r="D1074" t="s">
        <v>319</v>
      </c>
      <c r="E1074" t="s">
        <v>87</v>
      </c>
      <c r="F1074" t="s">
        <v>305</v>
      </c>
      <c r="G1074" t="s">
        <v>10</v>
      </c>
      <c r="H1074">
        <v>3148.0</v>
      </c>
      <c r="I1074" t="s">
        <v>31</v>
      </c>
      <c r="J1074" t="s">
        <v>89</v>
      </c>
      <c r="K1074" t="s">
        <v>46</v>
      </c>
      <c r="L1074" t="s">
        <v>47</v>
      </c>
      <c r="M1074">
        <v>37.57</v>
      </c>
    </row>
    <row r="1075">
      <c r="A1075" s="2">
        <v>45355</v>
      </c>
      <c r="B1075">
        <v>2024.0</v>
      </c>
      <c r="C1075" t="s">
        <v>318</v>
      </c>
      <c r="D1075" t="s">
        <v>316</v>
      </c>
      <c r="E1075" t="s">
        <v>179</v>
      </c>
      <c r="F1075" t="s">
        <v>304</v>
      </c>
      <c r="G1075" t="s">
        <v>9</v>
      </c>
      <c r="H1075">
        <v>2015.0</v>
      </c>
      <c r="I1075" t="s">
        <v>31</v>
      </c>
      <c r="J1075" t="s">
        <v>99</v>
      </c>
      <c r="K1075" t="s">
        <v>57</v>
      </c>
      <c r="L1075" t="s">
        <v>58</v>
      </c>
      <c r="M1075">
        <v>37.62</v>
      </c>
    </row>
    <row r="1076">
      <c r="A1076" s="2">
        <v>45398</v>
      </c>
      <c r="B1076">
        <v>2024.0</v>
      </c>
      <c r="C1076" t="s">
        <v>318</v>
      </c>
      <c r="D1076" t="s">
        <v>319</v>
      </c>
      <c r="E1076" t="s">
        <v>193</v>
      </c>
      <c r="F1076" t="s">
        <v>304</v>
      </c>
      <c r="G1076" t="s">
        <v>9</v>
      </c>
      <c r="H1076">
        <v>2020.0</v>
      </c>
      <c r="I1076" t="s">
        <v>31</v>
      </c>
      <c r="J1076" t="s">
        <v>99</v>
      </c>
      <c r="K1076" t="s">
        <v>33</v>
      </c>
      <c r="L1076" t="s">
        <v>34</v>
      </c>
      <c r="M1076">
        <v>37.62</v>
      </c>
    </row>
    <row r="1077">
      <c r="A1077" s="2">
        <v>45887</v>
      </c>
      <c r="B1077">
        <v>2026.0</v>
      </c>
      <c r="C1077" t="s">
        <v>321</v>
      </c>
      <c r="D1077" t="s">
        <v>319</v>
      </c>
      <c r="E1077" t="s">
        <v>125</v>
      </c>
      <c r="F1077" t="s">
        <v>305</v>
      </c>
      <c r="G1077" t="s">
        <v>10</v>
      </c>
      <c r="H1077">
        <v>3931.0</v>
      </c>
      <c r="I1077" t="s">
        <v>31</v>
      </c>
      <c r="J1077" t="s">
        <v>94</v>
      </c>
      <c r="K1077" t="s">
        <v>71</v>
      </c>
      <c r="L1077" t="s">
        <v>72</v>
      </c>
      <c r="M1077">
        <v>37.620000000000005</v>
      </c>
    </row>
    <row r="1078">
      <c r="A1078" s="2">
        <v>45986</v>
      </c>
      <c r="B1078">
        <v>2026.0</v>
      </c>
      <c r="C1078" t="s">
        <v>321</v>
      </c>
      <c r="D1078" t="s">
        <v>316</v>
      </c>
      <c r="E1078" t="s">
        <v>59</v>
      </c>
      <c r="F1078" t="s">
        <v>306</v>
      </c>
      <c r="G1078" t="s">
        <v>11</v>
      </c>
      <c r="H1078">
        <v>4509.0</v>
      </c>
      <c r="I1078" t="s">
        <v>31</v>
      </c>
      <c r="J1078" t="s">
        <v>61</v>
      </c>
      <c r="K1078" t="s">
        <v>33</v>
      </c>
      <c r="L1078" t="s">
        <v>34</v>
      </c>
      <c r="M1078">
        <v>37.91</v>
      </c>
    </row>
    <row r="1079">
      <c r="A1079" s="2">
        <v>45326</v>
      </c>
      <c r="B1079">
        <v>2024.0</v>
      </c>
      <c r="C1079" t="s">
        <v>318</v>
      </c>
      <c r="D1079" t="s">
        <v>316</v>
      </c>
      <c r="E1079" t="s">
        <v>152</v>
      </c>
      <c r="F1079" t="s">
        <v>306</v>
      </c>
      <c r="G1079" t="s">
        <v>11</v>
      </c>
      <c r="H1079">
        <v>4305.0</v>
      </c>
      <c r="I1079" t="s">
        <v>31</v>
      </c>
      <c r="J1079" t="s">
        <v>61</v>
      </c>
      <c r="K1079" t="s">
        <v>112</v>
      </c>
      <c r="L1079" t="s">
        <v>113</v>
      </c>
      <c r="M1079">
        <v>37.910000000000004</v>
      </c>
    </row>
    <row r="1080">
      <c r="A1080" s="2">
        <v>46007</v>
      </c>
      <c r="B1080">
        <v>2026.0</v>
      </c>
      <c r="C1080" t="s">
        <v>321</v>
      </c>
      <c r="D1080" t="s">
        <v>316</v>
      </c>
      <c r="E1080" t="s">
        <v>92</v>
      </c>
      <c r="F1080" t="s">
        <v>305</v>
      </c>
      <c r="G1080" t="s">
        <v>10</v>
      </c>
      <c r="H1080">
        <v>3690.0</v>
      </c>
      <c r="I1080" t="s">
        <v>31</v>
      </c>
      <c r="J1080" t="s">
        <v>94</v>
      </c>
      <c r="K1080" t="s">
        <v>33</v>
      </c>
      <c r="L1080" t="s">
        <v>34</v>
      </c>
      <c r="M1080">
        <v>37.93</v>
      </c>
    </row>
    <row r="1081">
      <c r="A1081" s="2">
        <v>45488</v>
      </c>
      <c r="B1081">
        <v>2025.0</v>
      </c>
      <c r="C1081" t="s">
        <v>315</v>
      </c>
      <c r="D1081" t="s">
        <v>319</v>
      </c>
      <c r="E1081" t="s">
        <v>230</v>
      </c>
      <c r="F1081" t="s">
        <v>308</v>
      </c>
      <c r="G1081" t="s">
        <v>13</v>
      </c>
      <c r="H1081">
        <v>5290.0</v>
      </c>
      <c r="I1081" t="s">
        <v>31</v>
      </c>
      <c r="J1081" t="s">
        <v>227</v>
      </c>
      <c r="K1081" t="s">
        <v>123</v>
      </c>
      <c r="L1081" t="s">
        <v>124</v>
      </c>
      <c r="M1081">
        <v>37.96</v>
      </c>
    </row>
    <row r="1082">
      <c r="A1082" s="2">
        <v>45918</v>
      </c>
      <c r="B1082">
        <v>2026.0</v>
      </c>
      <c r="C1082" t="s">
        <v>321</v>
      </c>
      <c r="D1082" t="s">
        <v>316</v>
      </c>
      <c r="E1082" t="s">
        <v>223</v>
      </c>
      <c r="F1082" t="s">
        <v>305</v>
      </c>
      <c r="G1082" t="s">
        <v>10</v>
      </c>
      <c r="H1082">
        <v>3915.0</v>
      </c>
      <c r="I1082" t="s">
        <v>31</v>
      </c>
      <c r="J1082" t="s">
        <v>94</v>
      </c>
      <c r="K1082" t="s">
        <v>71</v>
      </c>
      <c r="L1082" t="s">
        <v>72</v>
      </c>
      <c r="M1082">
        <v>37.98</v>
      </c>
    </row>
    <row r="1083">
      <c r="A1083" s="2">
        <v>45947</v>
      </c>
      <c r="B1083">
        <v>2026.0</v>
      </c>
      <c r="C1083" t="s">
        <v>321</v>
      </c>
      <c r="D1083" t="s">
        <v>316</v>
      </c>
      <c r="E1083" t="s">
        <v>163</v>
      </c>
      <c r="F1083" t="s">
        <v>304</v>
      </c>
      <c r="G1083" t="s">
        <v>9</v>
      </c>
      <c r="H1083">
        <v>2154.0</v>
      </c>
      <c r="I1083" t="s">
        <v>31</v>
      </c>
      <c r="J1083" t="s">
        <v>81</v>
      </c>
      <c r="K1083" t="s">
        <v>33</v>
      </c>
      <c r="L1083" t="s">
        <v>34</v>
      </c>
      <c r="M1083">
        <v>38.0</v>
      </c>
    </row>
    <row r="1084">
      <c r="A1084" s="2">
        <v>45498</v>
      </c>
      <c r="B1084">
        <v>2025.0</v>
      </c>
      <c r="C1084" t="s">
        <v>315</v>
      </c>
      <c r="D1084" t="s">
        <v>316</v>
      </c>
      <c r="E1084" t="s">
        <v>232</v>
      </c>
      <c r="F1084" t="s">
        <v>304</v>
      </c>
      <c r="G1084" t="s">
        <v>9</v>
      </c>
      <c r="H1084">
        <v>2800.0</v>
      </c>
      <c r="I1084" t="s">
        <v>31</v>
      </c>
      <c r="J1084" t="s">
        <v>75</v>
      </c>
      <c r="K1084" t="s">
        <v>43</v>
      </c>
      <c r="L1084" t="s">
        <v>44</v>
      </c>
      <c r="M1084">
        <v>38.0</v>
      </c>
    </row>
    <row r="1085">
      <c r="A1085" s="2">
        <v>45315</v>
      </c>
      <c r="B1085">
        <v>2024.0</v>
      </c>
      <c r="C1085" t="s">
        <v>318</v>
      </c>
      <c r="D1085" t="s">
        <v>316</v>
      </c>
      <c r="E1085" t="s">
        <v>90</v>
      </c>
      <c r="F1085" t="s">
        <v>305</v>
      </c>
      <c r="G1085" t="s">
        <v>10</v>
      </c>
      <c r="H1085">
        <v>3353.0</v>
      </c>
      <c r="I1085" t="s">
        <v>31</v>
      </c>
      <c r="J1085" t="s">
        <v>37</v>
      </c>
      <c r="K1085" t="s">
        <v>123</v>
      </c>
      <c r="L1085" t="s">
        <v>124</v>
      </c>
      <c r="M1085">
        <v>38.13</v>
      </c>
    </row>
    <row r="1086">
      <c r="A1086" s="2">
        <v>45948</v>
      </c>
      <c r="B1086">
        <v>2026.0</v>
      </c>
      <c r="C1086" t="s">
        <v>321</v>
      </c>
      <c r="D1086" t="s">
        <v>316</v>
      </c>
      <c r="E1086" t="s">
        <v>262</v>
      </c>
      <c r="F1086" t="s">
        <v>305</v>
      </c>
      <c r="G1086" t="s">
        <v>10</v>
      </c>
      <c r="H1086">
        <v>3018.0</v>
      </c>
      <c r="I1086" t="s">
        <v>31</v>
      </c>
      <c r="J1086" t="s">
        <v>120</v>
      </c>
      <c r="K1086" t="s">
        <v>123</v>
      </c>
      <c r="L1086" t="s">
        <v>124</v>
      </c>
      <c r="M1086">
        <v>38.28</v>
      </c>
    </row>
    <row r="1087">
      <c r="A1087" s="2">
        <v>45918</v>
      </c>
      <c r="B1087">
        <v>2026.0</v>
      </c>
      <c r="C1087" t="s">
        <v>321</v>
      </c>
      <c r="D1087" t="s">
        <v>319</v>
      </c>
      <c r="E1087" t="s">
        <v>82</v>
      </c>
      <c r="F1087" t="s">
        <v>306</v>
      </c>
      <c r="G1087" t="s">
        <v>11</v>
      </c>
      <c r="H1087">
        <v>4558.0</v>
      </c>
      <c r="I1087" t="s">
        <v>31</v>
      </c>
      <c r="J1087" t="s">
        <v>84</v>
      </c>
      <c r="K1087" t="s">
        <v>33</v>
      </c>
      <c r="L1087" t="s">
        <v>34</v>
      </c>
      <c r="M1087">
        <v>38.34</v>
      </c>
    </row>
    <row r="1088">
      <c r="A1088" s="2">
        <v>45312</v>
      </c>
      <c r="B1088">
        <v>2024.0</v>
      </c>
      <c r="C1088" t="s">
        <v>318</v>
      </c>
      <c r="D1088" t="s">
        <v>316</v>
      </c>
      <c r="E1088" t="s">
        <v>92</v>
      </c>
      <c r="F1088" t="s">
        <v>305</v>
      </c>
      <c r="G1088" t="s">
        <v>10</v>
      </c>
      <c r="H1088">
        <v>3690.0</v>
      </c>
      <c r="I1088" t="s">
        <v>31</v>
      </c>
      <c r="J1088" t="s">
        <v>94</v>
      </c>
      <c r="K1088" t="s">
        <v>38</v>
      </c>
      <c r="L1088" t="s">
        <v>39</v>
      </c>
      <c r="M1088">
        <v>38.480000000000004</v>
      </c>
    </row>
    <row r="1089">
      <c r="A1089" s="2">
        <v>45451</v>
      </c>
      <c r="B1089">
        <v>2024.0</v>
      </c>
      <c r="C1089" t="s">
        <v>318</v>
      </c>
      <c r="D1089" t="s">
        <v>319</v>
      </c>
      <c r="E1089" t="s">
        <v>254</v>
      </c>
      <c r="F1089" t="s">
        <v>308</v>
      </c>
      <c r="G1089" t="s">
        <v>13</v>
      </c>
      <c r="H1089">
        <v>5343.0</v>
      </c>
      <c r="I1089" t="s">
        <v>31</v>
      </c>
      <c r="J1089" t="s">
        <v>227</v>
      </c>
      <c r="K1089" t="s">
        <v>38</v>
      </c>
      <c r="L1089" t="s">
        <v>39</v>
      </c>
      <c r="M1089">
        <v>38.87</v>
      </c>
    </row>
    <row r="1090">
      <c r="A1090" s="2">
        <v>45406</v>
      </c>
      <c r="B1090">
        <v>2024.0</v>
      </c>
      <c r="C1090" t="s">
        <v>318</v>
      </c>
      <c r="D1090" t="s">
        <v>316</v>
      </c>
      <c r="E1090" t="s">
        <v>127</v>
      </c>
      <c r="F1090" t="s">
        <v>306</v>
      </c>
      <c r="G1090" t="s">
        <v>11</v>
      </c>
      <c r="H1090">
        <v>4802.0</v>
      </c>
      <c r="I1090" t="s">
        <v>31</v>
      </c>
      <c r="J1090" t="s">
        <v>78</v>
      </c>
      <c r="K1090" t="s">
        <v>123</v>
      </c>
      <c r="L1090" t="s">
        <v>124</v>
      </c>
      <c r="M1090">
        <v>38.92</v>
      </c>
    </row>
    <row r="1091">
      <c r="A1091" s="2">
        <v>45778</v>
      </c>
      <c r="B1091">
        <v>2025.0</v>
      </c>
      <c r="C1091" t="s">
        <v>315</v>
      </c>
      <c r="D1091" t="s">
        <v>316</v>
      </c>
      <c r="E1091" t="s">
        <v>175</v>
      </c>
      <c r="F1091" t="s">
        <v>311</v>
      </c>
      <c r="G1091" t="s">
        <v>16</v>
      </c>
      <c r="H1091">
        <v>2617.0</v>
      </c>
      <c r="I1091" t="s">
        <v>31</v>
      </c>
      <c r="J1091" t="s">
        <v>107</v>
      </c>
      <c r="K1091" t="s">
        <v>112</v>
      </c>
      <c r="L1091" t="s">
        <v>113</v>
      </c>
      <c r="M1091">
        <v>38.94</v>
      </c>
    </row>
    <row r="1092">
      <c r="A1092" s="2">
        <v>45481</v>
      </c>
      <c r="B1092">
        <v>2025.0</v>
      </c>
      <c r="C1092" t="s">
        <v>315</v>
      </c>
      <c r="D1092" t="s">
        <v>316</v>
      </c>
      <c r="E1092" t="s">
        <v>139</v>
      </c>
      <c r="F1092" t="s">
        <v>305</v>
      </c>
      <c r="G1092" t="s">
        <v>10</v>
      </c>
      <c r="H1092">
        <v>3199.0</v>
      </c>
      <c r="I1092" t="s">
        <v>31</v>
      </c>
      <c r="J1092" t="s">
        <v>89</v>
      </c>
      <c r="K1092" t="s">
        <v>38</v>
      </c>
      <c r="L1092" t="s">
        <v>39</v>
      </c>
      <c r="M1092">
        <v>38.94</v>
      </c>
    </row>
    <row r="1093">
      <c r="A1093" s="2">
        <v>45340</v>
      </c>
      <c r="B1093">
        <v>2024.0</v>
      </c>
      <c r="C1093" t="s">
        <v>318</v>
      </c>
      <c r="D1093" t="s">
        <v>316</v>
      </c>
      <c r="E1093" t="s">
        <v>238</v>
      </c>
      <c r="F1093" t="s">
        <v>308</v>
      </c>
      <c r="G1093" t="s">
        <v>13</v>
      </c>
      <c r="H1093">
        <v>5082.0</v>
      </c>
      <c r="I1093" t="s">
        <v>31</v>
      </c>
      <c r="J1093" t="s">
        <v>42</v>
      </c>
      <c r="K1093" t="s">
        <v>38</v>
      </c>
      <c r="L1093" t="s">
        <v>39</v>
      </c>
      <c r="M1093">
        <v>38.96</v>
      </c>
    </row>
    <row r="1094">
      <c r="A1094" s="2">
        <v>45771</v>
      </c>
      <c r="B1094">
        <v>2025.0</v>
      </c>
      <c r="C1094" t="s">
        <v>315</v>
      </c>
      <c r="D1094" t="s">
        <v>316</v>
      </c>
      <c r="E1094" t="s">
        <v>258</v>
      </c>
      <c r="F1094" t="s">
        <v>309</v>
      </c>
      <c r="G1094" t="s">
        <v>14</v>
      </c>
      <c r="H1094">
        <v>870.0</v>
      </c>
      <c r="I1094" t="s">
        <v>31</v>
      </c>
      <c r="J1094" t="s">
        <v>145</v>
      </c>
      <c r="K1094" t="s">
        <v>46</v>
      </c>
      <c r="L1094" t="s">
        <v>47</v>
      </c>
      <c r="M1094">
        <v>38.97</v>
      </c>
    </row>
    <row r="1095">
      <c r="A1095" s="2">
        <v>45397</v>
      </c>
      <c r="B1095">
        <v>2024.0</v>
      </c>
      <c r="C1095" t="s">
        <v>318</v>
      </c>
      <c r="D1095" t="s">
        <v>316</v>
      </c>
      <c r="E1095" t="s">
        <v>79</v>
      </c>
      <c r="F1095" t="s">
        <v>304</v>
      </c>
      <c r="G1095" t="s">
        <v>9</v>
      </c>
      <c r="H1095">
        <v>2141.0</v>
      </c>
      <c r="I1095" t="s">
        <v>31</v>
      </c>
      <c r="J1095" t="s">
        <v>81</v>
      </c>
      <c r="K1095" t="s">
        <v>46</v>
      </c>
      <c r="L1095" t="s">
        <v>47</v>
      </c>
      <c r="M1095">
        <v>38.97</v>
      </c>
    </row>
    <row r="1096">
      <c r="A1096" s="2">
        <v>45976</v>
      </c>
      <c r="B1096">
        <v>2026.0</v>
      </c>
      <c r="C1096" t="s">
        <v>321</v>
      </c>
      <c r="D1096" t="s">
        <v>319</v>
      </c>
      <c r="E1096" t="s">
        <v>79</v>
      </c>
      <c r="F1096" t="s">
        <v>304</v>
      </c>
      <c r="G1096" t="s">
        <v>9</v>
      </c>
      <c r="H1096">
        <v>2141.0</v>
      </c>
      <c r="I1096" t="s">
        <v>31</v>
      </c>
      <c r="J1096" t="s">
        <v>81</v>
      </c>
      <c r="K1096" t="s">
        <v>71</v>
      </c>
      <c r="L1096" t="s">
        <v>72</v>
      </c>
      <c r="M1096">
        <v>38.97</v>
      </c>
    </row>
    <row r="1097">
      <c r="A1097" s="2">
        <v>45364</v>
      </c>
      <c r="B1097">
        <v>2024.0</v>
      </c>
      <c r="C1097" t="s">
        <v>318</v>
      </c>
      <c r="D1097" t="s">
        <v>319</v>
      </c>
      <c r="E1097" t="s">
        <v>137</v>
      </c>
      <c r="F1097" t="s">
        <v>305</v>
      </c>
      <c r="G1097" t="s">
        <v>10</v>
      </c>
      <c r="H1097">
        <v>3134.0</v>
      </c>
      <c r="I1097" t="s">
        <v>31</v>
      </c>
      <c r="J1097" t="s">
        <v>89</v>
      </c>
      <c r="K1097" t="s">
        <v>46</v>
      </c>
      <c r="L1097" t="s">
        <v>47</v>
      </c>
      <c r="M1097">
        <v>38.97</v>
      </c>
    </row>
    <row r="1098">
      <c r="A1098" s="2">
        <v>45871</v>
      </c>
      <c r="B1098">
        <v>2026.0</v>
      </c>
      <c r="C1098" t="s">
        <v>321</v>
      </c>
      <c r="D1098" t="s">
        <v>316</v>
      </c>
      <c r="E1098" t="s">
        <v>195</v>
      </c>
      <c r="F1098" t="s">
        <v>306</v>
      </c>
      <c r="G1098" t="s">
        <v>11</v>
      </c>
      <c r="H1098">
        <v>4700.0</v>
      </c>
      <c r="I1098" t="s">
        <v>31</v>
      </c>
      <c r="J1098" t="s">
        <v>32</v>
      </c>
      <c r="K1098" t="s">
        <v>46</v>
      </c>
      <c r="L1098" t="s">
        <v>47</v>
      </c>
      <c r="M1098">
        <v>38.97</v>
      </c>
    </row>
    <row r="1099">
      <c r="A1099" s="2">
        <v>45499</v>
      </c>
      <c r="B1099">
        <v>2025.0</v>
      </c>
      <c r="C1099" t="s">
        <v>315</v>
      </c>
      <c r="D1099" t="s">
        <v>316</v>
      </c>
      <c r="E1099" t="s">
        <v>51</v>
      </c>
      <c r="F1099" t="s">
        <v>310</v>
      </c>
      <c r="G1099" t="s">
        <v>15</v>
      </c>
      <c r="H1099">
        <v>7018.0</v>
      </c>
      <c r="I1099" t="s">
        <v>31</v>
      </c>
      <c r="J1099" t="s">
        <v>53</v>
      </c>
      <c r="K1099" t="s">
        <v>46</v>
      </c>
      <c r="L1099" t="s">
        <v>47</v>
      </c>
      <c r="M1099">
        <v>38.97</v>
      </c>
    </row>
    <row r="1100">
      <c r="A1100" s="2">
        <v>45790</v>
      </c>
      <c r="B1100">
        <v>2025.0</v>
      </c>
      <c r="C1100" t="s">
        <v>315</v>
      </c>
      <c r="D1100" t="s">
        <v>316</v>
      </c>
      <c r="E1100" t="s">
        <v>209</v>
      </c>
      <c r="F1100" t="s">
        <v>304</v>
      </c>
      <c r="G1100" t="s">
        <v>9</v>
      </c>
      <c r="H1100">
        <v>2116.0</v>
      </c>
      <c r="I1100" t="s">
        <v>31</v>
      </c>
      <c r="J1100" t="s">
        <v>81</v>
      </c>
      <c r="K1100" t="s">
        <v>46</v>
      </c>
      <c r="L1100" t="s">
        <v>47</v>
      </c>
      <c r="M1100">
        <v>38.97</v>
      </c>
    </row>
    <row r="1101">
      <c r="A1101" s="2">
        <v>45998</v>
      </c>
      <c r="B1101">
        <v>2026.0</v>
      </c>
      <c r="C1101" t="s">
        <v>321</v>
      </c>
      <c r="D1101" t="s">
        <v>316</v>
      </c>
      <c r="E1101" t="s">
        <v>232</v>
      </c>
      <c r="F1101" t="s">
        <v>304</v>
      </c>
      <c r="G1101" t="s">
        <v>9</v>
      </c>
      <c r="H1101">
        <v>2800.0</v>
      </c>
      <c r="I1101" t="s">
        <v>31</v>
      </c>
      <c r="J1101" t="s">
        <v>75</v>
      </c>
      <c r="K1101" t="s">
        <v>46</v>
      </c>
      <c r="L1101" t="s">
        <v>47</v>
      </c>
      <c r="M1101">
        <v>39.0</v>
      </c>
    </row>
    <row r="1102">
      <c r="A1102" s="2">
        <v>45678</v>
      </c>
      <c r="B1102">
        <v>2025.0</v>
      </c>
      <c r="C1102" t="s">
        <v>315</v>
      </c>
      <c r="D1102" t="s">
        <v>316</v>
      </c>
      <c r="E1102" t="s">
        <v>209</v>
      </c>
      <c r="F1102" t="s">
        <v>304</v>
      </c>
      <c r="G1102" t="s">
        <v>9</v>
      </c>
      <c r="H1102">
        <v>2116.0</v>
      </c>
      <c r="I1102" t="s">
        <v>31</v>
      </c>
      <c r="J1102" t="s">
        <v>81</v>
      </c>
      <c r="K1102" t="s">
        <v>38</v>
      </c>
      <c r="L1102" t="s">
        <v>39</v>
      </c>
      <c r="M1102">
        <v>39.05</v>
      </c>
    </row>
    <row r="1103">
      <c r="A1103" s="2">
        <v>45508</v>
      </c>
      <c r="B1103">
        <v>2025.0</v>
      </c>
      <c r="C1103" t="s">
        <v>315</v>
      </c>
      <c r="D1103" t="s">
        <v>319</v>
      </c>
      <c r="E1103" t="s">
        <v>167</v>
      </c>
      <c r="F1103" t="s">
        <v>307</v>
      </c>
      <c r="G1103" t="s">
        <v>12</v>
      </c>
      <c r="H1103">
        <v>6030.0</v>
      </c>
      <c r="I1103" t="s">
        <v>31</v>
      </c>
      <c r="J1103" t="s">
        <v>102</v>
      </c>
      <c r="K1103" t="s">
        <v>123</v>
      </c>
      <c r="L1103" t="s">
        <v>124</v>
      </c>
      <c r="M1103">
        <v>39.480000000000004</v>
      </c>
    </row>
    <row r="1104">
      <c r="A1104" s="2">
        <v>45414</v>
      </c>
      <c r="B1104">
        <v>2024.0</v>
      </c>
      <c r="C1104" t="s">
        <v>318</v>
      </c>
      <c r="D1104" t="s">
        <v>319</v>
      </c>
      <c r="E1104" t="s">
        <v>163</v>
      </c>
      <c r="F1104" t="s">
        <v>304</v>
      </c>
      <c r="G1104" t="s">
        <v>9</v>
      </c>
      <c r="H1104">
        <v>2154.0</v>
      </c>
      <c r="I1104" t="s">
        <v>31</v>
      </c>
      <c r="J1104" t="s">
        <v>81</v>
      </c>
      <c r="K1104" t="s">
        <v>46</v>
      </c>
      <c r="L1104" t="s">
        <v>47</v>
      </c>
      <c r="M1104">
        <v>39.5</v>
      </c>
    </row>
    <row r="1105">
      <c r="A1105" s="2">
        <v>45377</v>
      </c>
      <c r="B1105">
        <v>2024.0</v>
      </c>
      <c r="C1105" t="s">
        <v>318</v>
      </c>
      <c r="D1105" t="s">
        <v>319</v>
      </c>
      <c r="E1105" t="s">
        <v>105</v>
      </c>
      <c r="F1105" t="s">
        <v>304</v>
      </c>
      <c r="G1105" t="s">
        <v>9</v>
      </c>
      <c r="H1105">
        <v>2541.0</v>
      </c>
      <c r="I1105" t="s">
        <v>31</v>
      </c>
      <c r="J1105" t="s">
        <v>107</v>
      </c>
      <c r="K1105" t="s">
        <v>95</v>
      </c>
      <c r="L1105" t="s">
        <v>96</v>
      </c>
      <c r="M1105">
        <v>39.58</v>
      </c>
    </row>
    <row r="1106">
      <c r="A1106" s="2">
        <v>45581</v>
      </c>
      <c r="B1106">
        <v>2025.0</v>
      </c>
      <c r="C1106" t="s">
        <v>315</v>
      </c>
      <c r="D1106" t="s">
        <v>316</v>
      </c>
      <c r="E1106" t="s">
        <v>141</v>
      </c>
      <c r="F1106" t="s">
        <v>304</v>
      </c>
      <c r="G1106" t="s">
        <v>9</v>
      </c>
      <c r="H1106">
        <v>2539.0</v>
      </c>
      <c r="I1106" t="s">
        <v>31</v>
      </c>
      <c r="J1106" t="s">
        <v>107</v>
      </c>
      <c r="K1106" t="s">
        <v>123</v>
      </c>
      <c r="L1106" t="s">
        <v>124</v>
      </c>
      <c r="M1106">
        <v>39.78</v>
      </c>
    </row>
    <row r="1107">
      <c r="A1107" s="2">
        <v>45977</v>
      </c>
      <c r="B1107">
        <v>2026.0</v>
      </c>
      <c r="C1107" t="s">
        <v>321</v>
      </c>
      <c r="D1107" t="s">
        <v>316</v>
      </c>
      <c r="E1107" t="s">
        <v>181</v>
      </c>
      <c r="F1107" t="s">
        <v>306</v>
      </c>
      <c r="G1107" t="s">
        <v>11</v>
      </c>
      <c r="H1107">
        <v>4119.0</v>
      </c>
      <c r="I1107" t="s">
        <v>31</v>
      </c>
      <c r="J1107" t="s">
        <v>56</v>
      </c>
      <c r="K1107" t="s">
        <v>95</v>
      </c>
      <c r="L1107" t="s">
        <v>96</v>
      </c>
      <c r="M1107">
        <v>39.8</v>
      </c>
    </row>
    <row r="1108">
      <c r="A1108" s="2">
        <v>45612</v>
      </c>
      <c r="B1108">
        <v>2025.0</v>
      </c>
      <c r="C1108" t="s">
        <v>315</v>
      </c>
      <c r="D1108" t="s">
        <v>319</v>
      </c>
      <c r="E1108" t="s">
        <v>87</v>
      </c>
      <c r="F1108" t="s">
        <v>305</v>
      </c>
      <c r="G1108" t="s">
        <v>10</v>
      </c>
      <c r="H1108">
        <v>3148.0</v>
      </c>
      <c r="I1108" t="s">
        <v>31</v>
      </c>
      <c r="J1108" t="s">
        <v>89</v>
      </c>
      <c r="K1108" t="s">
        <v>123</v>
      </c>
      <c r="L1108" t="s">
        <v>124</v>
      </c>
      <c r="M1108">
        <v>39.83</v>
      </c>
    </row>
    <row r="1109">
      <c r="A1109" s="2">
        <v>45999</v>
      </c>
      <c r="B1109">
        <v>2026.0</v>
      </c>
      <c r="C1109" t="s">
        <v>321</v>
      </c>
      <c r="D1109" t="s">
        <v>319</v>
      </c>
      <c r="E1109" t="s">
        <v>121</v>
      </c>
      <c r="F1109" t="s">
        <v>306</v>
      </c>
      <c r="G1109" t="s">
        <v>11</v>
      </c>
      <c r="H1109">
        <v>4566.0</v>
      </c>
      <c r="I1109" t="s">
        <v>31</v>
      </c>
      <c r="J1109" t="s">
        <v>84</v>
      </c>
      <c r="K1109" t="s">
        <v>71</v>
      </c>
      <c r="L1109" t="s">
        <v>72</v>
      </c>
      <c r="M1109">
        <v>39.91</v>
      </c>
    </row>
    <row r="1110">
      <c r="A1110" s="2">
        <v>45414</v>
      </c>
      <c r="B1110">
        <v>2024.0</v>
      </c>
      <c r="C1110" t="s">
        <v>318</v>
      </c>
      <c r="D1110" t="s">
        <v>319</v>
      </c>
      <c r="E1110" t="s">
        <v>48</v>
      </c>
      <c r="F1110" t="s">
        <v>307</v>
      </c>
      <c r="G1110" t="s">
        <v>12</v>
      </c>
      <c r="H1110">
        <v>6725.0</v>
      </c>
      <c r="I1110" t="s">
        <v>31</v>
      </c>
      <c r="J1110" t="s">
        <v>50</v>
      </c>
      <c r="K1110" t="s">
        <v>112</v>
      </c>
      <c r="L1110" t="s">
        <v>113</v>
      </c>
      <c r="M1110">
        <v>39.92</v>
      </c>
    </row>
    <row r="1111">
      <c r="A1111" s="2">
        <v>45907</v>
      </c>
      <c r="B1111">
        <v>2026.0</v>
      </c>
      <c r="C1111" t="s">
        <v>321</v>
      </c>
      <c r="D1111" t="s">
        <v>316</v>
      </c>
      <c r="E1111" t="s">
        <v>234</v>
      </c>
      <c r="F1111" t="s">
        <v>304</v>
      </c>
      <c r="G1111" t="s">
        <v>9</v>
      </c>
      <c r="H1111">
        <v>2158.0</v>
      </c>
      <c r="I1111" t="s">
        <v>31</v>
      </c>
      <c r="J1111" t="s">
        <v>81</v>
      </c>
      <c r="K1111" t="s">
        <v>123</v>
      </c>
      <c r="L1111" t="s">
        <v>124</v>
      </c>
      <c r="M1111">
        <v>39.94</v>
      </c>
    </row>
    <row r="1112">
      <c r="A1112" s="2">
        <v>45609</v>
      </c>
      <c r="B1112">
        <v>2025.0</v>
      </c>
      <c r="C1112" t="s">
        <v>315</v>
      </c>
      <c r="D1112" t="s">
        <v>316</v>
      </c>
      <c r="E1112" t="s">
        <v>262</v>
      </c>
      <c r="F1112" t="s">
        <v>305</v>
      </c>
      <c r="G1112" t="s">
        <v>10</v>
      </c>
      <c r="H1112">
        <v>3018.0</v>
      </c>
      <c r="I1112" t="s">
        <v>31</v>
      </c>
      <c r="J1112" t="s">
        <v>120</v>
      </c>
      <c r="K1112" t="s">
        <v>38</v>
      </c>
      <c r="L1112" t="s">
        <v>39</v>
      </c>
      <c r="M1112">
        <v>39.95</v>
      </c>
    </row>
    <row r="1113">
      <c r="A1113" s="2">
        <v>45779</v>
      </c>
      <c r="B1113">
        <v>2025.0</v>
      </c>
      <c r="C1113" t="s">
        <v>315</v>
      </c>
      <c r="D1113" t="s">
        <v>316</v>
      </c>
      <c r="E1113" t="s">
        <v>262</v>
      </c>
      <c r="F1113" t="s">
        <v>305</v>
      </c>
      <c r="G1113" t="s">
        <v>10</v>
      </c>
      <c r="H1113">
        <v>3018.0</v>
      </c>
      <c r="I1113" t="s">
        <v>31</v>
      </c>
      <c r="J1113" t="s">
        <v>120</v>
      </c>
      <c r="K1113" t="s">
        <v>95</v>
      </c>
      <c r="L1113" t="s">
        <v>96</v>
      </c>
      <c r="M1113">
        <v>39.95</v>
      </c>
    </row>
    <row r="1114">
      <c r="A1114" s="2">
        <v>45733</v>
      </c>
      <c r="B1114">
        <v>2025.0</v>
      </c>
      <c r="C1114" t="s">
        <v>315</v>
      </c>
      <c r="D1114" t="s">
        <v>319</v>
      </c>
      <c r="E1114" t="s">
        <v>68</v>
      </c>
      <c r="F1114" t="s">
        <v>304</v>
      </c>
      <c r="G1114" t="s">
        <v>9</v>
      </c>
      <c r="H1114">
        <v>2478.0</v>
      </c>
      <c r="I1114" t="s">
        <v>31</v>
      </c>
      <c r="J1114" t="s">
        <v>70</v>
      </c>
      <c r="K1114" t="s">
        <v>112</v>
      </c>
      <c r="L1114" t="s">
        <v>113</v>
      </c>
      <c r="M1114">
        <v>39.95</v>
      </c>
    </row>
    <row r="1115">
      <c r="A1115" s="2">
        <v>45998</v>
      </c>
      <c r="B1115">
        <v>2026.0</v>
      </c>
      <c r="C1115" t="s">
        <v>321</v>
      </c>
      <c r="D1115" t="s">
        <v>319</v>
      </c>
      <c r="E1115" t="s">
        <v>87</v>
      </c>
      <c r="F1115" t="s">
        <v>305</v>
      </c>
      <c r="G1115" t="s">
        <v>10</v>
      </c>
      <c r="H1115">
        <v>3148.0</v>
      </c>
      <c r="I1115" t="s">
        <v>31</v>
      </c>
      <c r="J1115" t="s">
        <v>89</v>
      </c>
      <c r="K1115" t="s">
        <v>95</v>
      </c>
      <c r="L1115" t="s">
        <v>96</v>
      </c>
      <c r="M1115">
        <v>39.95</v>
      </c>
    </row>
    <row r="1116">
      <c r="A1116" s="2">
        <v>45627</v>
      </c>
      <c r="B1116">
        <v>2025.0</v>
      </c>
      <c r="C1116" t="s">
        <v>315</v>
      </c>
      <c r="D1116" t="s">
        <v>316</v>
      </c>
      <c r="E1116" t="s">
        <v>97</v>
      </c>
      <c r="F1116" t="s">
        <v>304</v>
      </c>
      <c r="G1116" t="s">
        <v>9</v>
      </c>
      <c r="H1116">
        <v>2067.0</v>
      </c>
      <c r="I1116" t="s">
        <v>31</v>
      </c>
      <c r="J1116" t="s">
        <v>99</v>
      </c>
      <c r="K1116" t="s">
        <v>38</v>
      </c>
      <c r="L1116" t="s">
        <v>39</v>
      </c>
      <c r="M1116">
        <v>39.95</v>
      </c>
    </row>
    <row r="1117">
      <c r="A1117" s="2">
        <v>45360</v>
      </c>
      <c r="B1117">
        <v>2024.0</v>
      </c>
      <c r="C1117" t="s">
        <v>318</v>
      </c>
      <c r="D1117" t="s">
        <v>316</v>
      </c>
      <c r="E1117" t="s">
        <v>129</v>
      </c>
      <c r="F1117" t="s">
        <v>305</v>
      </c>
      <c r="G1117" t="s">
        <v>10</v>
      </c>
      <c r="H1117">
        <v>3066.0</v>
      </c>
      <c r="I1117" t="s">
        <v>31</v>
      </c>
      <c r="J1117" t="s">
        <v>120</v>
      </c>
      <c r="K1117" t="s">
        <v>33</v>
      </c>
      <c r="L1117" t="s">
        <v>34</v>
      </c>
      <c r="M1117">
        <v>39.95</v>
      </c>
    </row>
    <row r="1118">
      <c r="A1118" s="2">
        <v>45663</v>
      </c>
      <c r="B1118">
        <v>2025.0</v>
      </c>
      <c r="C1118" t="s">
        <v>315</v>
      </c>
      <c r="D1118" t="s">
        <v>316</v>
      </c>
      <c r="E1118" t="s">
        <v>165</v>
      </c>
      <c r="F1118" t="s">
        <v>304</v>
      </c>
      <c r="G1118" t="s">
        <v>9</v>
      </c>
      <c r="H1118">
        <v>2064.0</v>
      </c>
      <c r="I1118" t="s">
        <v>31</v>
      </c>
      <c r="J1118" t="s">
        <v>99</v>
      </c>
      <c r="K1118" t="s">
        <v>57</v>
      </c>
      <c r="L1118" t="s">
        <v>58</v>
      </c>
      <c r="M1118">
        <v>39.96</v>
      </c>
    </row>
    <row r="1119">
      <c r="A1119" s="2">
        <v>46002</v>
      </c>
      <c r="B1119">
        <v>2026.0</v>
      </c>
      <c r="C1119" t="s">
        <v>321</v>
      </c>
      <c r="D1119" t="s">
        <v>319</v>
      </c>
      <c r="E1119" t="s">
        <v>254</v>
      </c>
      <c r="F1119" t="s">
        <v>308</v>
      </c>
      <c r="G1119" t="s">
        <v>13</v>
      </c>
      <c r="H1119">
        <v>5343.0</v>
      </c>
      <c r="I1119" t="s">
        <v>31</v>
      </c>
      <c r="J1119" t="s">
        <v>227</v>
      </c>
      <c r="K1119" t="s">
        <v>43</v>
      </c>
      <c r="L1119" t="s">
        <v>44</v>
      </c>
      <c r="M1119">
        <v>39.96</v>
      </c>
    </row>
    <row r="1120">
      <c r="A1120" s="2">
        <v>45873</v>
      </c>
      <c r="B1120">
        <v>2026.0</v>
      </c>
      <c r="C1120" t="s">
        <v>321</v>
      </c>
      <c r="D1120" t="s">
        <v>316</v>
      </c>
      <c r="E1120" t="s">
        <v>97</v>
      </c>
      <c r="F1120" t="s">
        <v>304</v>
      </c>
      <c r="G1120" t="s">
        <v>9</v>
      </c>
      <c r="H1120">
        <v>2067.0</v>
      </c>
      <c r="I1120" t="s">
        <v>31</v>
      </c>
      <c r="J1120" t="s">
        <v>99</v>
      </c>
      <c r="K1120" t="s">
        <v>71</v>
      </c>
      <c r="L1120" t="s">
        <v>72</v>
      </c>
      <c r="M1120">
        <v>39.96</v>
      </c>
    </row>
    <row r="1121">
      <c r="A1121" s="2">
        <v>45302</v>
      </c>
      <c r="B1121">
        <v>2024.0</v>
      </c>
      <c r="C1121" t="s">
        <v>318</v>
      </c>
      <c r="D1121" t="s">
        <v>316</v>
      </c>
      <c r="E1121" t="s">
        <v>158</v>
      </c>
      <c r="F1121" t="s">
        <v>306</v>
      </c>
      <c r="G1121" t="s">
        <v>11</v>
      </c>
      <c r="H1121">
        <v>4570.0</v>
      </c>
      <c r="I1121" t="s">
        <v>31</v>
      </c>
      <c r="J1121" t="s">
        <v>84</v>
      </c>
      <c r="K1121" t="s">
        <v>33</v>
      </c>
      <c r="L1121" t="s">
        <v>34</v>
      </c>
      <c r="M1121">
        <v>39.96</v>
      </c>
    </row>
    <row r="1122">
      <c r="A1122" s="2">
        <v>45353</v>
      </c>
      <c r="B1122">
        <v>2024.0</v>
      </c>
      <c r="C1122" t="s">
        <v>318</v>
      </c>
      <c r="D1122" t="s">
        <v>316</v>
      </c>
      <c r="E1122" t="s">
        <v>195</v>
      </c>
      <c r="F1122" t="s">
        <v>306</v>
      </c>
      <c r="G1122" t="s">
        <v>11</v>
      </c>
      <c r="H1122">
        <v>4700.0</v>
      </c>
      <c r="I1122" t="s">
        <v>31</v>
      </c>
      <c r="J1122" t="s">
        <v>32</v>
      </c>
      <c r="K1122" t="s">
        <v>38</v>
      </c>
      <c r="L1122" t="s">
        <v>39</v>
      </c>
      <c r="M1122">
        <v>39.96</v>
      </c>
    </row>
    <row r="1123">
      <c r="A1123" s="2">
        <v>45698</v>
      </c>
      <c r="B1123">
        <v>2025.0</v>
      </c>
      <c r="C1123" t="s">
        <v>315</v>
      </c>
      <c r="D1123" t="s">
        <v>316</v>
      </c>
      <c r="E1123" t="s">
        <v>48</v>
      </c>
      <c r="F1123" t="s">
        <v>307</v>
      </c>
      <c r="G1123" t="s">
        <v>12</v>
      </c>
      <c r="H1123">
        <v>6725.0</v>
      </c>
      <c r="I1123" t="s">
        <v>31</v>
      </c>
      <c r="J1123" t="s">
        <v>50</v>
      </c>
      <c r="K1123" t="s">
        <v>43</v>
      </c>
      <c r="L1123" t="s">
        <v>44</v>
      </c>
      <c r="M1123">
        <v>39.97</v>
      </c>
    </row>
    <row r="1124">
      <c r="A1124" s="2">
        <v>45684</v>
      </c>
      <c r="B1124">
        <v>2025.0</v>
      </c>
      <c r="C1124" t="s">
        <v>315</v>
      </c>
      <c r="D1124" t="s">
        <v>319</v>
      </c>
      <c r="E1124" t="s">
        <v>264</v>
      </c>
      <c r="F1124" t="s">
        <v>308</v>
      </c>
      <c r="G1124" t="s">
        <v>13</v>
      </c>
      <c r="H1124">
        <v>5043.0</v>
      </c>
      <c r="I1124" t="s">
        <v>31</v>
      </c>
      <c r="J1124" t="s">
        <v>42</v>
      </c>
      <c r="K1124" t="s">
        <v>46</v>
      </c>
      <c r="L1124" t="s">
        <v>47</v>
      </c>
      <c r="M1124">
        <v>39.97</v>
      </c>
    </row>
    <row r="1125">
      <c r="A1125" s="2">
        <v>45910</v>
      </c>
      <c r="B1125">
        <v>2026.0</v>
      </c>
      <c r="C1125" t="s">
        <v>321</v>
      </c>
      <c r="D1125" t="s">
        <v>316</v>
      </c>
      <c r="E1125" t="s">
        <v>141</v>
      </c>
      <c r="F1125" t="s">
        <v>304</v>
      </c>
      <c r="G1125" t="s">
        <v>9</v>
      </c>
      <c r="H1125">
        <v>2539.0</v>
      </c>
      <c r="I1125" t="s">
        <v>31</v>
      </c>
      <c r="J1125" t="s">
        <v>107</v>
      </c>
      <c r="K1125" t="s">
        <v>71</v>
      </c>
      <c r="L1125" t="s">
        <v>72</v>
      </c>
      <c r="M1125">
        <v>40.0</v>
      </c>
    </row>
    <row r="1126">
      <c r="A1126" s="2">
        <v>45895</v>
      </c>
      <c r="B1126">
        <v>2026.0</v>
      </c>
      <c r="C1126" t="s">
        <v>321</v>
      </c>
      <c r="D1126" t="s">
        <v>319</v>
      </c>
      <c r="E1126" t="s">
        <v>108</v>
      </c>
      <c r="F1126" t="s">
        <v>304</v>
      </c>
      <c r="G1126" t="s">
        <v>9</v>
      </c>
      <c r="H1126">
        <v>2795.0</v>
      </c>
      <c r="I1126" t="s">
        <v>31</v>
      </c>
      <c r="J1126" t="s">
        <v>75</v>
      </c>
      <c r="K1126" t="s">
        <v>57</v>
      </c>
      <c r="L1126" t="s">
        <v>58</v>
      </c>
      <c r="M1126">
        <v>40.21</v>
      </c>
    </row>
    <row r="1127">
      <c r="A1127" s="2">
        <v>45348</v>
      </c>
      <c r="B1127">
        <v>2024.0</v>
      </c>
      <c r="C1127" t="s">
        <v>318</v>
      </c>
      <c r="D1127" t="s">
        <v>319</v>
      </c>
      <c r="E1127" t="s">
        <v>163</v>
      </c>
      <c r="F1127" t="s">
        <v>304</v>
      </c>
      <c r="G1127" t="s">
        <v>9</v>
      </c>
      <c r="H1127">
        <v>2154.0</v>
      </c>
      <c r="I1127" t="s">
        <v>31</v>
      </c>
      <c r="J1127" t="s">
        <v>81</v>
      </c>
      <c r="K1127" t="s">
        <v>123</v>
      </c>
      <c r="L1127" t="s">
        <v>124</v>
      </c>
      <c r="M1127">
        <v>40.230000000000004</v>
      </c>
    </row>
    <row r="1128">
      <c r="A1128" s="2">
        <v>45849</v>
      </c>
      <c r="B1128">
        <v>2026.0</v>
      </c>
      <c r="C1128" t="s">
        <v>321</v>
      </c>
      <c r="D1128" t="s">
        <v>316</v>
      </c>
      <c r="E1128" t="s">
        <v>51</v>
      </c>
      <c r="F1128" t="s">
        <v>310</v>
      </c>
      <c r="G1128" t="s">
        <v>15</v>
      </c>
      <c r="H1128">
        <v>7018.0</v>
      </c>
      <c r="I1128" t="s">
        <v>31</v>
      </c>
      <c r="J1128" t="s">
        <v>53</v>
      </c>
      <c r="K1128" t="s">
        <v>112</v>
      </c>
      <c r="L1128" t="s">
        <v>113</v>
      </c>
      <c r="M1128">
        <v>40.29</v>
      </c>
    </row>
    <row r="1129">
      <c r="A1129" s="2">
        <v>45860</v>
      </c>
      <c r="B1129">
        <v>2026.0</v>
      </c>
      <c r="C1129" t="s">
        <v>321</v>
      </c>
      <c r="D1129" t="s">
        <v>316</v>
      </c>
      <c r="E1129" t="s">
        <v>129</v>
      </c>
      <c r="F1129" t="s">
        <v>305</v>
      </c>
      <c r="G1129" t="s">
        <v>10</v>
      </c>
      <c r="H1129">
        <v>3066.0</v>
      </c>
      <c r="I1129" t="s">
        <v>31</v>
      </c>
      <c r="J1129" t="s">
        <v>120</v>
      </c>
      <c r="K1129" t="s">
        <v>95</v>
      </c>
      <c r="L1129" t="s">
        <v>96</v>
      </c>
      <c r="M1129">
        <v>40.39</v>
      </c>
    </row>
    <row r="1130">
      <c r="A1130" s="2">
        <v>45548</v>
      </c>
      <c r="B1130">
        <v>2025.0</v>
      </c>
      <c r="C1130" t="s">
        <v>315</v>
      </c>
      <c r="D1130" t="s">
        <v>316</v>
      </c>
      <c r="E1130" t="s">
        <v>152</v>
      </c>
      <c r="F1130" t="s">
        <v>306</v>
      </c>
      <c r="G1130" t="s">
        <v>11</v>
      </c>
      <c r="H1130">
        <v>4305.0</v>
      </c>
      <c r="I1130" t="s">
        <v>31</v>
      </c>
      <c r="J1130" t="s">
        <v>61</v>
      </c>
      <c r="K1130" t="s">
        <v>112</v>
      </c>
      <c r="L1130" t="s">
        <v>113</v>
      </c>
      <c r="M1130">
        <v>40.45</v>
      </c>
    </row>
    <row r="1131">
      <c r="A1131" s="2">
        <v>45565</v>
      </c>
      <c r="B1131">
        <v>2025.0</v>
      </c>
      <c r="C1131" t="s">
        <v>315</v>
      </c>
      <c r="D1131" t="s">
        <v>316</v>
      </c>
      <c r="E1131" t="s">
        <v>129</v>
      </c>
      <c r="F1131" t="s">
        <v>305</v>
      </c>
      <c r="G1131" t="s">
        <v>10</v>
      </c>
      <c r="H1131">
        <v>3066.0</v>
      </c>
      <c r="I1131" t="s">
        <v>31</v>
      </c>
      <c r="J1131" t="s">
        <v>120</v>
      </c>
      <c r="K1131" t="s">
        <v>38</v>
      </c>
      <c r="L1131" t="s">
        <v>39</v>
      </c>
      <c r="M1131">
        <v>40.73</v>
      </c>
    </row>
    <row r="1132">
      <c r="A1132" s="2">
        <v>45845</v>
      </c>
      <c r="B1132">
        <v>2026.0</v>
      </c>
      <c r="C1132" t="s">
        <v>321</v>
      </c>
      <c r="D1132" t="s">
        <v>316</v>
      </c>
      <c r="E1132" t="s">
        <v>179</v>
      </c>
      <c r="F1132" t="s">
        <v>304</v>
      </c>
      <c r="G1132" t="s">
        <v>9</v>
      </c>
      <c r="H1132">
        <v>2015.0</v>
      </c>
      <c r="I1132" t="s">
        <v>31</v>
      </c>
      <c r="J1132" t="s">
        <v>99</v>
      </c>
      <c r="K1132" t="s">
        <v>95</v>
      </c>
      <c r="L1132" t="s">
        <v>96</v>
      </c>
      <c r="M1132">
        <v>40.79</v>
      </c>
    </row>
    <row r="1133">
      <c r="A1133" s="2">
        <v>45926</v>
      </c>
      <c r="B1133">
        <v>2026.0</v>
      </c>
      <c r="C1133" t="s">
        <v>321</v>
      </c>
      <c r="D1133" t="s">
        <v>316</v>
      </c>
      <c r="E1133" t="s">
        <v>250</v>
      </c>
      <c r="F1133" t="s">
        <v>305</v>
      </c>
      <c r="G1133" t="s">
        <v>10</v>
      </c>
      <c r="H1133">
        <v>3550.0</v>
      </c>
      <c r="I1133" t="s">
        <v>31</v>
      </c>
      <c r="J1133" t="s">
        <v>37</v>
      </c>
      <c r="K1133" t="s">
        <v>95</v>
      </c>
      <c r="L1133" t="s">
        <v>96</v>
      </c>
      <c r="M1133">
        <v>40.95</v>
      </c>
    </row>
    <row r="1134">
      <c r="A1134" s="2">
        <v>45658</v>
      </c>
      <c r="B1134">
        <v>2025.0</v>
      </c>
      <c r="C1134" t="s">
        <v>315</v>
      </c>
      <c r="D1134" t="s">
        <v>316</v>
      </c>
      <c r="E1134" t="s">
        <v>131</v>
      </c>
      <c r="F1134" t="s">
        <v>306</v>
      </c>
      <c r="G1134" t="s">
        <v>11</v>
      </c>
      <c r="H1134">
        <v>4655.0</v>
      </c>
      <c r="I1134" t="s">
        <v>31</v>
      </c>
      <c r="J1134" t="s">
        <v>32</v>
      </c>
      <c r="K1134" t="s">
        <v>43</v>
      </c>
      <c r="L1134" t="s">
        <v>44</v>
      </c>
      <c r="M1134">
        <v>40.980000000000004</v>
      </c>
    </row>
    <row r="1135">
      <c r="A1135" s="2">
        <v>45984</v>
      </c>
      <c r="B1135">
        <v>2026.0</v>
      </c>
      <c r="C1135" t="s">
        <v>321</v>
      </c>
      <c r="D1135" t="s">
        <v>319</v>
      </c>
      <c r="E1135" t="s">
        <v>211</v>
      </c>
      <c r="F1135" t="s">
        <v>304</v>
      </c>
      <c r="G1135" t="s">
        <v>9</v>
      </c>
      <c r="H1135">
        <v>2650.0</v>
      </c>
      <c r="I1135" t="s">
        <v>31</v>
      </c>
      <c r="J1135" t="s">
        <v>75</v>
      </c>
      <c r="K1135" t="s">
        <v>71</v>
      </c>
      <c r="L1135" t="s">
        <v>72</v>
      </c>
      <c r="M1135">
        <v>41.48</v>
      </c>
    </row>
    <row r="1136">
      <c r="A1136" s="2">
        <v>45793</v>
      </c>
      <c r="B1136">
        <v>2025.0</v>
      </c>
      <c r="C1136" t="s">
        <v>315</v>
      </c>
      <c r="D1136" t="s">
        <v>319</v>
      </c>
      <c r="E1136" t="s">
        <v>87</v>
      </c>
      <c r="F1136" t="s">
        <v>305</v>
      </c>
      <c r="G1136" t="s">
        <v>10</v>
      </c>
      <c r="H1136">
        <v>3148.0</v>
      </c>
      <c r="I1136" t="s">
        <v>31</v>
      </c>
      <c r="J1136" t="s">
        <v>89</v>
      </c>
      <c r="K1136" t="s">
        <v>71</v>
      </c>
      <c r="L1136" t="s">
        <v>72</v>
      </c>
      <c r="M1136">
        <v>41.64</v>
      </c>
    </row>
    <row r="1137">
      <c r="A1137" s="2">
        <v>45861</v>
      </c>
      <c r="B1137">
        <v>2026.0</v>
      </c>
      <c r="C1137" t="s">
        <v>321</v>
      </c>
      <c r="D1137" t="s">
        <v>319</v>
      </c>
      <c r="E1137" t="s">
        <v>110</v>
      </c>
      <c r="F1137" t="s">
        <v>304</v>
      </c>
      <c r="G1137" t="s">
        <v>9</v>
      </c>
      <c r="H1137">
        <v>2101.0</v>
      </c>
      <c r="I1137" t="s">
        <v>31</v>
      </c>
      <c r="J1137" t="s">
        <v>81</v>
      </c>
      <c r="K1137" t="s">
        <v>95</v>
      </c>
      <c r="L1137" t="s">
        <v>96</v>
      </c>
      <c r="M1137">
        <v>41.64</v>
      </c>
    </row>
    <row r="1138">
      <c r="A1138" s="2">
        <v>45789</v>
      </c>
      <c r="B1138">
        <v>2025.0</v>
      </c>
      <c r="C1138" t="s">
        <v>315</v>
      </c>
      <c r="D1138" t="s">
        <v>319</v>
      </c>
      <c r="E1138" t="s">
        <v>230</v>
      </c>
      <c r="F1138" t="s">
        <v>308</v>
      </c>
      <c r="G1138" t="s">
        <v>13</v>
      </c>
      <c r="H1138">
        <v>5290.0</v>
      </c>
      <c r="I1138" t="s">
        <v>31</v>
      </c>
      <c r="J1138" t="s">
        <v>227</v>
      </c>
      <c r="K1138" t="s">
        <v>123</v>
      </c>
      <c r="L1138" t="s">
        <v>124</v>
      </c>
      <c r="M1138">
        <v>41.75</v>
      </c>
    </row>
    <row r="1139">
      <c r="A1139" s="2">
        <v>45857</v>
      </c>
      <c r="B1139">
        <v>2026.0</v>
      </c>
      <c r="C1139" t="s">
        <v>321</v>
      </c>
      <c r="D1139" t="s">
        <v>316</v>
      </c>
      <c r="E1139" t="s">
        <v>232</v>
      </c>
      <c r="F1139" t="s">
        <v>304</v>
      </c>
      <c r="G1139" t="s">
        <v>9</v>
      </c>
      <c r="H1139">
        <v>2800.0</v>
      </c>
      <c r="I1139" t="s">
        <v>31</v>
      </c>
      <c r="J1139" t="s">
        <v>75</v>
      </c>
      <c r="K1139" t="s">
        <v>43</v>
      </c>
      <c r="L1139" t="s">
        <v>44</v>
      </c>
      <c r="M1139">
        <v>41.870000000000005</v>
      </c>
    </row>
    <row r="1140">
      <c r="A1140" s="2">
        <v>45390</v>
      </c>
      <c r="B1140">
        <v>2024.0</v>
      </c>
      <c r="C1140" t="s">
        <v>318</v>
      </c>
      <c r="D1140" t="s">
        <v>319</v>
      </c>
      <c r="E1140" t="s">
        <v>125</v>
      </c>
      <c r="F1140" t="s">
        <v>305</v>
      </c>
      <c r="G1140" t="s">
        <v>10</v>
      </c>
      <c r="H1140">
        <v>3931.0</v>
      </c>
      <c r="I1140" t="s">
        <v>31</v>
      </c>
      <c r="J1140" t="s">
        <v>94</v>
      </c>
      <c r="K1140" t="s">
        <v>33</v>
      </c>
      <c r="L1140" t="s">
        <v>34</v>
      </c>
      <c r="M1140">
        <v>41.88</v>
      </c>
    </row>
    <row r="1141">
      <c r="A1141" s="2">
        <v>45375</v>
      </c>
      <c r="B1141">
        <v>2024.0</v>
      </c>
      <c r="C1141" t="s">
        <v>318</v>
      </c>
      <c r="D1141" t="s">
        <v>316</v>
      </c>
      <c r="E1141" t="s">
        <v>51</v>
      </c>
      <c r="F1141" t="s">
        <v>310</v>
      </c>
      <c r="G1141" t="s">
        <v>15</v>
      </c>
      <c r="H1141">
        <v>7018.0</v>
      </c>
      <c r="I1141" t="s">
        <v>31</v>
      </c>
      <c r="J1141" t="s">
        <v>53</v>
      </c>
      <c r="K1141" t="s">
        <v>71</v>
      </c>
      <c r="L1141" t="s">
        <v>72</v>
      </c>
      <c r="M1141">
        <v>41.92</v>
      </c>
    </row>
    <row r="1142">
      <c r="A1142" s="2">
        <v>45847</v>
      </c>
      <c r="B1142">
        <v>2026.0</v>
      </c>
      <c r="C1142" t="s">
        <v>321</v>
      </c>
      <c r="D1142" t="s">
        <v>316</v>
      </c>
      <c r="E1142" t="s">
        <v>165</v>
      </c>
      <c r="F1142" t="s">
        <v>304</v>
      </c>
      <c r="G1142" t="s">
        <v>9</v>
      </c>
      <c r="H1142">
        <v>2064.0</v>
      </c>
      <c r="I1142" t="s">
        <v>31</v>
      </c>
      <c r="J1142" t="s">
        <v>99</v>
      </c>
      <c r="K1142" t="s">
        <v>46</v>
      </c>
      <c r="L1142" t="s">
        <v>47</v>
      </c>
      <c r="M1142">
        <v>41.93</v>
      </c>
    </row>
    <row r="1143">
      <c r="A1143" s="2">
        <v>45933</v>
      </c>
      <c r="B1143">
        <v>2026.0</v>
      </c>
      <c r="C1143" t="s">
        <v>321</v>
      </c>
      <c r="D1143" t="s">
        <v>319</v>
      </c>
      <c r="E1143" t="s">
        <v>103</v>
      </c>
      <c r="F1143" t="s">
        <v>307</v>
      </c>
      <c r="G1143" t="s">
        <v>12</v>
      </c>
      <c r="H1143">
        <v>6021.0</v>
      </c>
      <c r="I1143" t="s">
        <v>31</v>
      </c>
      <c r="J1143" t="s">
        <v>102</v>
      </c>
      <c r="K1143" t="s">
        <v>46</v>
      </c>
      <c r="L1143" t="s">
        <v>47</v>
      </c>
      <c r="M1143">
        <v>41.93</v>
      </c>
    </row>
    <row r="1144">
      <c r="A1144" s="2">
        <v>45435</v>
      </c>
      <c r="B1144">
        <v>2024.0</v>
      </c>
      <c r="C1144" t="s">
        <v>318</v>
      </c>
      <c r="D1144" t="s">
        <v>316</v>
      </c>
      <c r="E1144" t="s">
        <v>90</v>
      </c>
      <c r="F1144" t="s">
        <v>305</v>
      </c>
      <c r="G1144" t="s">
        <v>10</v>
      </c>
      <c r="H1144">
        <v>3353.0</v>
      </c>
      <c r="I1144" t="s">
        <v>31</v>
      </c>
      <c r="J1144" t="s">
        <v>37</v>
      </c>
      <c r="K1144" t="s">
        <v>33</v>
      </c>
      <c r="L1144" t="s">
        <v>34</v>
      </c>
      <c r="M1144">
        <v>41.93</v>
      </c>
    </row>
    <row r="1145">
      <c r="A1145" s="2">
        <v>45768</v>
      </c>
      <c r="B1145">
        <v>2025.0</v>
      </c>
      <c r="C1145" t="s">
        <v>315</v>
      </c>
      <c r="D1145" t="s">
        <v>316</v>
      </c>
      <c r="E1145" t="s">
        <v>217</v>
      </c>
      <c r="F1145" t="s">
        <v>305</v>
      </c>
      <c r="G1145" t="s">
        <v>10</v>
      </c>
      <c r="H1145">
        <v>3136.0</v>
      </c>
      <c r="I1145" t="s">
        <v>31</v>
      </c>
      <c r="J1145" t="s">
        <v>89</v>
      </c>
      <c r="K1145" t="s">
        <v>95</v>
      </c>
      <c r="L1145" t="s">
        <v>96</v>
      </c>
      <c r="M1145">
        <v>41.93</v>
      </c>
    </row>
    <row r="1146">
      <c r="A1146" s="2">
        <v>45570</v>
      </c>
      <c r="B1146">
        <v>2025.0</v>
      </c>
      <c r="C1146" t="s">
        <v>315</v>
      </c>
      <c r="D1146" t="s">
        <v>316</v>
      </c>
      <c r="E1146" t="s">
        <v>143</v>
      </c>
      <c r="F1146" t="s">
        <v>309</v>
      </c>
      <c r="G1146" t="s">
        <v>14</v>
      </c>
      <c r="H1146">
        <v>800.0</v>
      </c>
      <c r="I1146" t="s">
        <v>31</v>
      </c>
      <c r="J1146" t="s">
        <v>145</v>
      </c>
      <c r="K1146" t="s">
        <v>38</v>
      </c>
      <c r="L1146" t="s">
        <v>39</v>
      </c>
      <c r="M1146">
        <v>41.93</v>
      </c>
    </row>
    <row r="1147">
      <c r="A1147" s="2">
        <v>45571</v>
      </c>
      <c r="B1147">
        <v>2025.0</v>
      </c>
      <c r="C1147" t="s">
        <v>315</v>
      </c>
      <c r="D1147" t="s">
        <v>316</v>
      </c>
      <c r="E1147" t="s">
        <v>139</v>
      </c>
      <c r="F1147" t="s">
        <v>305</v>
      </c>
      <c r="G1147" t="s">
        <v>10</v>
      </c>
      <c r="H1147">
        <v>3199.0</v>
      </c>
      <c r="I1147" t="s">
        <v>31</v>
      </c>
      <c r="J1147" t="s">
        <v>89</v>
      </c>
      <c r="K1147" t="s">
        <v>38</v>
      </c>
      <c r="L1147" t="s">
        <v>39</v>
      </c>
      <c r="M1147">
        <v>41.93</v>
      </c>
    </row>
    <row r="1148">
      <c r="A1148" s="2">
        <v>45395</v>
      </c>
      <c r="B1148">
        <v>2024.0</v>
      </c>
      <c r="C1148" t="s">
        <v>318</v>
      </c>
      <c r="D1148" t="s">
        <v>316</v>
      </c>
      <c r="E1148" t="s">
        <v>169</v>
      </c>
      <c r="F1148" t="s">
        <v>307</v>
      </c>
      <c r="G1148" t="s">
        <v>12</v>
      </c>
      <c r="H1148">
        <v>6027.0</v>
      </c>
      <c r="I1148" t="s">
        <v>31</v>
      </c>
      <c r="J1148" t="s">
        <v>102</v>
      </c>
      <c r="K1148" t="s">
        <v>112</v>
      </c>
      <c r="L1148" t="s">
        <v>113</v>
      </c>
      <c r="M1148">
        <v>41.93</v>
      </c>
    </row>
    <row r="1149">
      <c r="A1149" s="2">
        <v>45303</v>
      </c>
      <c r="B1149">
        <v>2024.0</v>
      </c>
      <c r="C1149" t="s">
        <v>318</v>
      </c>
      <c r="D1149" t="s">
        <v>319</v>
      </c>
      <c r="E1149" t="s">
        <v>167</v>
      </c>
      <c r="F1149" t="s">
        <v>307</v>
      </c>
      <c r="G1149" t="s">
        <v>12</v>
      </c>
      <c r="H1149">
        <v>6030.0</v>
      </c>
      <c r="I1149" t="s">
        <v>31</v>
      </c>
      <c r="J1149" t="s">
        <v>102</v>
      </c>
      <c r="K1149" t="s">
        <v>46</v>
      </c>
      <c r="L1149" t="s">
        <v>47</v>
      </c>
      <c r="M1149">
        <v>41.93</v>
      </c>
    </row>
    <row r="1150">
      <c r="A1150" s="2">
        <v>45668</v>
      </c>
      <c r="B1150">
        <v>2025.0</v>
      </c>
      <c r="C1150" t="s">
        <v>315</v>
      </c>
      <c r="D1150" t="s">
        <v>319</v>
      </c>
      <c r="E1150" t="s">
        <v>230</v>
      </c>
      <c r="F1150" t="s">
        <v>308</v>
      </c>
      <c r="G1150" t="s">
        <v>13</v>
      </c>
      <c r="H1150">
        <v>5290.0</v>
      </c>
      <c r="I1150" t="s">
        <v>31</v>
      </c>
      <c r="J1150" t="s">
        <v>227</v>
      </c>
      <c r="K1150" t="s">
        <v>112</v>
      </c>
      <c r="L1150" t="s">
        <v>113</v>
      </c>
      <c r="M1150">
        <v>41.93</v>
      </c>
    </row>
    <row r="1151">
      <c r="A1151" s="2">
        <v>45624</v>
      </c>
      <c r="B1151">
        <v>2025.0</v>
      </c>
      <c r="C1151" t="s">
        <v>315</v>
      </c>
      <c r="D1151" t="s">
        <v>316</v>
      </c>
      <c r="E1151" t="s">
        <v>203</v>
      </c>
      <c r="F1151" t="s">
        <v>305</v>
      </c>
      <c r="G1151" t="s">
        <v>10</v>
      </c>
      <c r="H1151">
        <v>3175.0</v>
      </c>
      <c r="I1151" t="s">
        <v>31</v>
      </c>
      <c r="J1151" t="s">
        <v>89</v>
      </c>
      <c r="K1151" t="s">
        <v>71</v>
      </c>
      <c r="L1151" t="s">
        <v>72</v>
      </c>
      <c r="M1151">
        <v>41.96</v>
      </c>
    </row>
    <row r="1152">
      <c r="A1152" s="2">
        <v>45502</v>
      </c>
      <c r="B1152">
        <v>2025.0</v>
      </c>
      <c r="C1152" t="s">
        <v>315</v>
      </c>
      <c r="D1152" t="s">
        <v>316</v>
      </c>
      <c r="E1152" t="s">
        <v>197</v>
      </c>
      <c r="F1152" t="s">
        <v>304</v>
      </c>
      <c r="G1152" t="s">
        <v>9</v>
      </c>
      <c r="H1152">
        <v>2560.0</v>
      </c>
      <c r="I1152" t="s">
        <v>31</v>
      </c>
      <c r="J1152" t="s">
        <v>107</v>
      </c>
      <c r="K1152" t="s">
        <v>123</v>
      </c>
      <c r="L1152" t="s">
        <v>124</v>
      </c>
      <c r="M1152">
        <v>41.97</v>
      </c>
    </row>
    <row r="1153">
      <c r="A1153" s="2">
        <v>45722</v>
      </c>
      <c r="B1153">
        <v>2025.0</v>
      </c>
      <c r="C1153" t="s">
        <v>315</v>
      </c>
      <c r="D1153" t="s">
        <v>316</v>
      </c>
      <c r="E1153" t="s">
        <v>248</v>
      </c>
      <c r="F1153" t="s">
        <v>307</v>
      </c>
      <c r="G1153" t="s">
        <v>12</v>
      </c>
      <c r="H1153">
        <v>6112.0</v>
      </c>
      <c r="I1153" t="s">
        <v>31</v>
      </c>
      <c r="J1153" t="s">
        <v>162</v>
      </c>
      <c r="K1153" t="s">
        <v>43</v>
      </c>
      <c r="L1153" t="s">
        <v>44</v>
      </c>
      <c r="M1153">
        <v>42.0</v>
      </c>
    </row>
    <row r="1154">
      <c r="A1154" s="2">
        <v>45780</v>
      </c>
      <c r="B1154">
        <v>2025.0</v>
      </c>
      <c r="C1154" t="s">
        <v>315</v>
      </c>
      <c r="D1154" t="s">
        <v>316</v>
      </c>
      <c r="E1154" t="s">
        <v>139</v>
      </c>
      <c r="F1154" t="s">
        <v>305</v>
      </c>
      <c r="G1154" t="s">
        <v>10</v>
      </c>
      <c r="H1154">
        <v>3199.0</v>
      </c>
      <c r="I1154" t="s">
        <v>31</v>
      </c>
      <c r="J1154" t="s">
        <v>89</v>
      </c>
      <c r="K1154" t="s">
        <v>95</v>
      </c>
      <c r="L1154" t="s">
        <v>96</v>
      </c>
      <c r="M1154">
        <v>42.17</v>
      </c>
    </row>
    <row r="1155">
      <c r="A1155" s="2">
        <v>45989</v>
      </c>
      <c r="B1155">
        <v>2026.0</v>
      </c>
      <c r="C1155" t="s">
        <v>321</v>
      </c>
      <c r="D1155" t="s">
        <v>316</v>
      </c>
      <c r="E1155" t="s">
        <v>146</v>
      </c>
      <c r="F1155" t="s">
        <v>304</v>
      </c>
      <c r="G1155" t="s">
        <v>9</v>
      </c>
      <c r="H1155">
        <v>2790.0</v>
      </c>
      <c r="I1155" t="s">
        <v>31</v>
      </c>
      <c r="J1155" t="s">
        <v>75</v>
      </c>
      <c r="K1155" t="s">
        <v>123</v>
      </c>
      <c r="L1155" t="s">
        <v>124</v>
      </c>
      <c r="M1155">
        <v>42.65</v>
      </c>
    </row>
    <row r="1156">
      <c r="A1156" s="2">
        <v>45747</v>
      </c>
      <c r="B1156">
        <v>2025.0</v>
      </c>
      <c r="C1156" t="s">
        <v>315</v>
      </c>
      <c r="D1156" t="s">
        <v>316</v>
      </c>
      <c r="E1156" t="s">
        <v>64</v>
      </c>
      <c r="F1156" t="s">
        <v>306</v>
      </c>
      <c r="G1156" t="s">
        <v>11</v>
      </c>
      <c r="H1156">
        <v>4215.0</v>
      </c>
      <c r="I1156" t="s">
        <v>31</v>
      </c>
      <c r="J1156" t="s">
        <v>61</v>
      </c>
      <c r="K1156" t="s">
        <v>66</v>
      </c>
      <c r="L1156" t="s">
        <v>67</v>
      </c>
      <c r="M1156">
        <v>42.79</v>
      </c>
    </row>
    <row r="1157">
      <c r="A1157" s="2">
        <v>45971</v>
      </c>
      <c r="B1157">
        <v>2026.0</v>
      </c>
      <c r="C1157" t="s">
        <v>321</v>
      </c>
      <c r="D1157" t="s">
        <v>316</v>
      </c>
      <c r="E1157" t="s">
        <v>217</v>
      </c>
      <c r="F1157" t="s">
        <v>305</v>
      </c>
      <c r="G1157" t="s">
        <v>10</v>
      </c>
      <c r="H1157">
        <v>3136.0</v>
      </c>
      <c r="I1157" t="s">
        <v>31</v>
      </c>
      <c r="J1157" t="s">
        <v>89</v>
      </c>
      <c r="K1157" t="s">
        <v>112</v>
      </c>
      <c r="L1157" t="s">
        <v>113</v>
      </c>
      <c r="M1157">
        <v>42.92</v>
      </c>
    </row>
    <row r="1158">
      <c r="A1158" s="2">
        <v>45372</v>
      </c>
      <c r="B1158">
        <v>2024.0</v>
      </c>
      <c r="C1158" t="s">
        <v>318</v>
      </c>
      <c r="D1158" t="s">
        <v>316</v>
      </c>
      <c r="E1158" t="s">
        <v>171</v>
      </c>
      <c r="F1158" t="s">
        <v>305</v>
      </c>
      <c r="G1158" t="s">
        <v>10</v>
      </c>
      <c r="H1158">
        <v>3500.0</v>
      </c>
      <c r="I1158" t="s">
        <v>31</v>
      </c>
      <c r="J1158" t="s">
        <v>37</v>
      </c>
      <c r="K1158" t="s">
        <v>33</v>
      </c>
      <c r="L1158" t="s">
        <v>34</v>
      </c>
      <c r="M1158">
        <v>42.92</v>
      </c>
    </row>
    <row r="1159">
      <c r="A1159" s="2">
        <v>45525</v>
      </c>
      <c r="B1159">
        <v>2025.0</v>
      </c>
      <c r="C1159" t="s">
        <v>315</v>
      </c>
      <c r="D1159" t="s">
        <v>316</v>
      </c>
      <c r="E1159" t="s">
        <v>148</v>
      </c>
      <c r="F1159" t="s">
        <v>307</v>
      </c>
      <c r="G1159" t="s">
        <v>12</v>
      </c>
      <c r="H1159">
        <v>6450.0</v>
      </c>
      <c r="I1159" t="s">
        <v>31</v>
      </c>
      <c r="J1159" t="s">
        <v>50</v>
      </c>
      <c r="K1159" t="s">
        <v>38</v>
      </c>
      <c r="L1159" t="s">
        <v>39</v>
      </c>
      <c r="M1159">
        <v>42.93</v>
      </c>
    </row>
    <row r="1160">
      <c r="A1160" s="2">
        <v>45808</v>
      </c>
      <c r="B1160">
        <v>2025.0</v>
      </c>
      <c r="C1160" t="s">
        <v>315</v>
      </c>
      <c r="D1160" t="s">
        <v>319</v>
      </c>
      <c r="E1160" t="s">
        <v>187</v>
      </c>
      <c r="F1160" t="s">
        <v>306</v>
      </c>
      <c r="G1160" t="s">
        <v>11</v>
      </c>
      <c r="H1160">
        <v>4870.0</v>
      </c>
      <c r="I1160" t="s">
        <v>31</v>
      </c>
      <c r="J1160" t="s">
        <v>78</v>
      </c>
      <c r="K1160" t="s">
        <v>43</v>
      </c>
      <c r="L1160" t="s">
        <v>44</v>
      </c>
      <c r="M1160">
        <v>42.96</v>
      </c>
    </row>
    <row r="1161">
      <c r="A1161" s="2">
        <v>45510</v>
      </c>
      <c r="B1161">
        <v>2025.0</v>
      </c>
      <c r="C1161" t="s">
        <v>315</v>
      </c>
      <c r="D1161" t="s">
        <v>316</v>
      </c>
      <c r="E1161" t="s">
        <v>189</v>
      </c>
      <c r="F1161" t="s">
        <v>304</v>
      </c>
      <c r="G1161" t="s">
        <v>9</v>
      </c>
      <c r="H1161">
        <v>2131.0</v>
      </c>
      <c r="I1161" t="s">
        <v>31</v>
      </c>
      <c r="J1161" t="s">
        <v>81</v>
      </c>
      <c r="K1161" t="s">
        <v>43</v>
      </c>
      <c r="L1161" t="s">
        <v>44</v>
      </c>
      <c r="M1161">
        <v>42.98</v>
      </c>
    </row>
    <row r="1162">
      <c r="A1162" s="2">
        <v>45380</v>
      </c>
      <c r="B1162">
        <v>2024.0</v>
      </c>
      <c r="C1162" t="s">
        <v>318</v>
      </c>
      <c r="D1162" t="s">
        <v>316</v>
      </c>
      <c r="E1162" t="s">
        <v>264</v>
      </c>
      <c r="F1162" t="s">
        <v>308</v>
      </c>
      <c r="G1162" t="s">
        <v>13</v>
      </c>
      <c r="H1162">
        <v>5043.0</v>
      </c>
      <c r="I1162" t="s">
        <v>31</v>
      </c>
      <c r="J1162" t="s">
        <v>42</v>
      </c>
      <c r="K1162" t="s">
        <v>43</v>
      </c>
      <c r="L1162" t="s">
        <v>44</v>
      </c>
      <c r="M1162">
        <v>43.0</v>
      </c>
    </row>
    <row r="1163">
      <c r="A1163" s="2">
        <v>45507</v>
      </c>
      <c r="B1163">
        <v>2025.0</v>
      </c>
      <c r="C1163" t="s">
        <v>315</v>
      </c>
      <c r="D1163" t="s">
        <v>316</v>
      </c>
      <c r="E1163" t="s">
        <v>183</v>
      </c>
      <c r="F1163" t="s">
        <v>304</v>
      </c>
      <c r="G1163" t="s">
        <v>9</v>
      </c>
      <c r="H1163">
        <v>2480.0</v>
      </c>
      <c r="I1163" t="s">
        <v>31</v>
      </c>
      <c r="J1163" t="s">
        <v>70</v>
      </c>
      <c r="K1163" t="s">
        <v>57</v>
      </c>
      <c r="L1163" t="s">
        <v>58</v>
      </c>
      <c r="M1163">
        <v>43.13</v>
      </c>
    </row>
    <row r="1164">
      <c r="A1164" s="2">
        <v>45991</v>
      </c>
      <c r="B1164">
        <v>2026.0</v>
      </c>
      <c r="C1164" t="s">
        <v>321</v>
      </c>
      <c r="D1164" t="s">
        <v>316</v>
      </c>
      <c r="E1164" t="s">
        <v>97</v>
      </c>
      <c r="F1164" t="s">
        <v>304</v>
      </c>
      <c r="G1164" t="s">
        <v>9</v>
      </c>
      <c r="H1164">
        <v>2067.0</v>
      </c>
      <c r="I1164" t="s">
        <v>31</v>
      </c>
      <c r="J1164" t="s">
        <v>99</v>
      </c>
      <c r="K1164" t="s">
        <v>66</v>
      </c>
      <c r="L1164" t="s">
        <v>67</v>
      </c>
      <c r="M1164">
        <v>43.28</v>
      </c>
    </row>
    <row r="1165">
      <c r="A1165" s="2">
        <v>45919</v>
      </c>
      <c r="B1165">
        <v>2026.0</v>
      </c>
      <c r="C1165" t="s">
        <v>321</v>
      </c>
      <c r="D1165" t="s">
        <v>316</v>
      </c>
      <c r="E1165" t="s">
        <v>205</v>
      </c>
      <c r="F1165" t="s">
        <v>305</v>
      </c>
      <c r="G1165" t="s">
        <v>10</v>
      </c>
      <c r="H1165">
        <v>3400.0</v>
      </c>
      <c r="I1165" t="s">
        <v>31</v>
      </c>
      <c r="J1165" t="s">
        <v>37</v>
      </c>
      <c r="K1165" t="s">
        <v>123</v>
      </c>
      <c r="L1165" t="s">
        <v>124</v>
      </c>
      <c r="M1165">
        <v>43.47</v>
      </c>
    </row>
    <row r="1166">
      <c r="A1166" s="2">
        <v>45388</v>
      </c>
      <c r="B1166">
        <v>2024.0</v>
      </c>
      <c r="C1166" t="s">
        <v>318</v>
      </c>
      <c r="D1166" t="s">
        <v>316</v>
      </c>
      <c r="E1166" t="s">
        <v>203</v>
      </c>
      <c r="F1166" t="s">
        <v>305</v>
      </c>
      <c r="G1166" t="s">
        <v>10</v>
      </c>
      <c r="H1166">
        <v>3175.0</v>
      </c>
      <c r="I1166" t="s">
        <v>31</v>
      </c>
      <c r="J1166" t="s">
        <v>89</v>
      </c>
      <c r="K1166" t="s">
        <v>66</v>
      </c>
      <c r="L1166" t="s">
        <v>67</v>
      </c>
      <c r="M1166">
        <v>43.56</v>
      </c>
    </row>
    <row r="1167">
      <c r="A1167" s="2">
        <v>45749</v>
      </c>
      <c r="B1167">
        <v>2025.0</v>
      </c>
      <c r="C1167" t="s">
        <v>315</v>
      </c>
      <c r="D1167" t="s">
        <v>316</v>
      </c>
      <c r="E1167" t="s">
        <v>217</v>
      </c>
      <c r="F1167" t="s">
        <v>305</v>
      </c>
      <c r="G1167" t="s">
        <v>10</v>
      </c>
      <c r="H1167">
        <v>3136.0</v>
      </c>
      <c r="I1167" t="s">
        <v>31</v>
      </c>
      <c r="J1167" t="s">
        <v>89</v>
      </c>
      <c r="K1167" t="s">
        <v>33</v>
      </c>
      <c r="L1167" t="s">
        <v>34</v>
      </c>
      <c r="M1167">
        <v>43.58</v>
      </c>
    </row>
    <row r="1168">
      <c r="A1168" s="2">
        <v>45636</v>
      </c>
      <c r="B1168">
        <v>2025.0</v>
      </c>
      <c r="C1168" t="s">
        <v>315</v>
      </c>
      <c r="D1168" t="s">
        <v>316</v>
      </c>
      <c r="E1168" t="s">
        <v>97</v>
      </c>
      <c r="F1168" t="s">
        <v>304</v>
      </c>
      <c r="G1168" t="s">
        <v>9</v>
      </c>
      <c r="H1168">
        <v>2067.0</v>
      </c>
      <c r="I1168" t="s">
        <v>31</v>
      </c>
      <c r="J1168" t="s">
        <v>99</v>
      </c>
      <c r="K1168" t="s">
        <v>38</v>
      </c>
      <c r="L1168" t="s">
        <v>39</v>
      </c>
      <c r="M1168">
        <v>43.64</v>
      </c>
    </row>
    <row r="1169">
      <c r="A1169" s="2">
        <v>45359</v>
      </c>
      <c r="B1169">
        <v>2024.0</v>
      </c>
      <c r="C1169" t="s">
        <v>318</v>
      </c>
      <c r="D1169" t="s">
        <v>319</v>
      </c>
      <c r="E1169" t="s">
        <v>183</v>
      </c>
      <c r="F1169" t="s">
        <v>304</v>
      </c>
      <c r="G1169" t="s">
        <v>9</v>
      </c>
      <c r="H1169">
        <v>2480.0</v>
      </c>
      <c r="I1169" t="s">
        <v>31</v>
      </c>
      <c r="J1169" t="s">
        <v>70</v>
      </c>
      <c r="K1169" t="s">
        <v>95</v>
      </c>
      <c r="L1169" t="s">
        <v>96</v>
      </c>
      <c r="M1169">
        <v>43.75</v>
      </c>
    </row>
    <row r="1170">
      <c r="A1170" s="2">
        <v>45955</v>
      </c>
      <c r="B1170">
        <v>2026.0</v>
      </c>
      <c r="C1170" t="s">
        <v>321</v>
      </c>
      <c r="D1170" t="s">
        <v>316</v>
      </c>
      <c r="E1170" t="s">
        <v>100</v>
      </c>
      <c r="F1170" t="s">
        <v>307</v>
      </c>
      <c r="G1170" t="s">
        <v>12</v>
      </c>
      <c r="H1170">
        <v>6010.0</v>
      </c>
      <c r="I1170" t="s">
        <v>31</v>
      </c>
      <c r="J1170" t="s">
        <v>102</v>
      </c>
      <c r="K1170" t="s">
        <v>33</v>
      </c>
      <c r="L1170" t="s">
        <v>34</v>
      </c>
      <c r="M1170">
        <v>43.89</v>
      </c>
    </row>
    <row r="1171">
      <c r="A1171" s="2">
        <v>45394</v>
      </c>
      <c r="B1171">
        <v>2024.0</v>
      </c>
      <c r="C1171" t="s">
        <v>318</v>
      </c>
      <c r="D1171" t="s">
        <v>316</v>
      </c>
      <c r="E1171" t="s">
        <v>146</v>
      </c>
      <c r="F1171" t="s">
        <v>304</v>
      </c>
      <c r="G1171" t="s">
        <v>9</v>
      </c>
      <c r="H1171">
        <v>2790.0</v>
      </c>
      <c r="I1171" t="s">
        <v>31</v>
      </c>
      <c r="J1171" t="s">
        <v>75</v>
      </c>
      <c r="K1171" t="s">
        <v>33</v>
      </c>
      <c r="L1171" t="s">
        <v>34</v>
      </c>
      <c r="M1171">
        <v>43.89</v>
      </c>
    </row>
    <row r="1172">
      <c r="A1172" s="2">
        <v>45433</v>
      </c>
      <c r="B1172">
        <v>2024.0</v>
      </c>
      <c r="C1172" t="s">
        <v>318</v>
      </c>
      <c r="D1172" t="s">
        <v>316</v>
      </c>
      <c r="E1172" t="s">
        <v>154</v>
      </c>
      <c r="F1172" t="s">
        <v>306</v>
      </c>
      <c r="G1172" t="s">
        <v>11</v>
      </c>
      <c r="H1172">
        <v>4551.0</v>
      </c>
      <c r="I1172" t="s">
        <v>31</v>
      </c>
      <c r="J1172" t="s">
        <v>84</v>
      </c>
      <c r="K1172" t="s">
        <v>112</v>
      </c>
      <c r="L1172" t="s">
        <v>113</v>
      </c>
      <c r="M1172">
        <v>43.900000000000006</v>
      </c>
    </row>
    <row r="1173">
      <c r="A1173" s="2">
        <v>45814</v>
      </c>
      <c r="B1173">
        <v>2025.0</v>
      </c>
      <c r="C1173" t="s">
        <v>315</v>
      </c>
      <c r="D1173" t="s">
        <v>319</v>
      </c>
      <c r="E1173" t="s">
        <v>118</v>
      </c>
      <c r="F1173" t="s">
        <v>305</v>
      </c>
      <c r="G1173" t="s">
        <v>10</v>
      </c>
      <c r="H1173">
        <v>3076.0</v>
      </c>
      <c r="I1173" t="s">
        <v>31</v>
      </c>
      <c r="J1173" t="s">
        <v>120</v>
      </c>
      <c r="K1173" t="s">
        <v>112</v>
      </c>
      <c r="L1173" t="s">
        <v>113</v>
      </c>
      <c r="M1173">
        <v>43.900000000000006</v>
      </c>
    </row>
    <row r="1174">
      <c r="A1174" s="2">
        <v>45479</v>
      </c>
      <c r="B1174">
        <v>2025.0</v>
      </c>
      <c r="C1174" t="s">
        <v>315</v>
      </c>
      <c r="D1174" t="s">
        <v>316</v>
      </c>
      <c r="E1174" t="s">
        <v>242</v>
      </c>
      <c r="F1174" t="s">
        <v>305</v>
      </c>
      <c r="G1174" t="s">
        <v>10</v>
      </c>
      <c r="H1174">
        <v>3977.0</v>
      </c>
      <c r="I1174" t="s">
        <v>31</v>
      </c>
      <c r="J1174" t="s">
        <v>94</v>
      </c>
      <c r="K1174" t="s">
        <v>112</v>
      </c>
      <c r="L1174" t="s">
        <v>113</v>
      </c>
      <c r="M1174">
        <v>43.92</v>
      </c>
    </row>
    <row r="1175">
      <c r="A1175" s="2">
        <v>46005</v>
      </c>
      <c r="B1175">
        <v>2026.0</v>
      </c>
      <c r="C1175" t="s">
        <v>321</v>
      </c>
      <c r="D1175" t="s">
        <v>316</v>
      </c>
      <c r="E1175" t="s">
        <v>250</v>
      </c>
      <c r="F1175" t="s">
        <v>305</v>
      </c>
      <c r="G1175" t="s">
        <v>10</v>
      </c>
      <c r="H1175">
        <v>3550.0</v>
      </c>
      <c r="I1175" t="s">
        <v>31</v>
      </c>
      <c r="J1175" t="s">
        <v>37</v>
      </c>
      <c r="K1175" t="s">
        <v>33</v>
      </c>
      <c r="L1175" t="s">
        <v>34</v>
      </c>
      <c r="M1175">
        <v>43.95</v>
      </c>
    </row>
    <row r="1176">
      <c r="A1176" s="2">
        <v>45715</v>
      </c>
      <c r="B1176">
        <v>2025.0</v>
      </c>
      <c r="C1176" t="s">
        <v>315</v>
      </c>
      <c r="D1176" t="s">
        <v>319</v>
      </c>
      <c r="E1176" t="s">
        <v>185</v>
      </c>
      <c r="F1176" t="s">
        <v>307</v>
      </c>
      <c r="G1176" t="s">
        <v>12</v>
      </c>
      <c r="H1176">
        <v>6109.0</v>
      </c>
      <c r="I1176" t="s">
        <v>31</v>
      </c>
      <c r="J1176" t="s">
        <v>162</v>
      </c>
      <c r="K1176" t="s">
        <v>43</v>
      </c>
      <c r="L1176" t="s">
        <v>44</v>
      </c>
      <c r="M1176">
        <v>43.96</v>
      </c>
    </row>
    <row r="1177">
      <c r="A1177" s="2">
        <v>45850</v>
      </c>
      <c r="B1177">
        <v>2026.0</v>
      </c>
      <c r="C1177" t="s">
        <v>321</v>
      </c>
      <c r="D1177" t="s">
        <v>316</v>
      </c>
      <c r="E1177" t="s">
        <v>189</v>
      </c>
      <c r="F1177" t="s">
        <v>304</v>
      </c>
      <c r="G1177" t="s">
        <v>9</v>
      </c>
      <c r="H1177">
        <v>2131.0</v>
      </c>
      <c r="I1177" t="s">
        <v>31</v>
      </c>
      <c r="J1177" t="s">
        <v>81</v>
      </c>
      <c r="K1177" t="s">
        <v>123</v>
      </c>
      <c r="L1177" t="s">
        <v>124</v>
      </c>
      <c r="M1177">
        <v>43.97</v>
      </c>
    </row>
    <row r="1178">
      <c r="A1178" s="2">
        <v>45672</v>
      </c>
      <c r="B1178">
        <v>2025.0</v>
      </c>
      <c r="C1178" t="s">
        <v>315</v>
      </c>
      <c r="D1178" t="s">
        <v>316</v>
      </c>
      <c r="E1178" t="s">
        <v>133</v>
      </c>
      <c r="F1178" t="s">
        <v>305</v>
      </c>
      <c r="G1178" t="s">
        <v>10</v>
      </c>
      <c r="H1178">
        <v>3429.0</v>
      </c>
      <c r="I1178" t="s">
        <v>31</v>
      </c>
      <c r="J1178" t="s">
        <v>37</v>
      </c>
      <c r="K1178" t="s">
        <v>123</v>
      </c>
      <c r="L1178" t="s">
        <v>124</v>
      </c>
      <c r="M1178">
        <v>43.97</v>
      </c>
    </row>
    <row r="1179">
      <c r="A1179" s="2">
        <v>45549</v>
      </c>
      <c r="B1179">
        <v>2025.0</v>
      </c>
      <c r="C1179" t="s">
        <v>315</v>
      </c>
      <c r="D1179" t="s">
        <v>316</v>
      </c>
      <c r="E1179" t="s">
        <v>230</v>
      </c>
      <c r="F1179" t="s">
        <v>308</v>
      </c>
      <c r="G1179" t="s">
        <v>13</v>
      </c>
      <c r="H1179">
        <v>5290.0</v>
      </c>
      <c r="I1179" t="s">
        <v>31</v>
      </c>
      <c r="J1179" t="s">
        <v>227</v>
      </c>
      <c r="K1179" t="s">
        <v>43</v>
      </c>
      <c r="L1179" t="s">
        <v>44</v>
      </c>
      <c r="M1179">
        <v>44.0</v>
      </c>
    </row>
    <row r="1180">
      <c r="A1180" s="2">
        <v>45570</v>
      </c>
      <c r="B1180">
        <v>2025.0</v>
      </c>
      <c r="C1180" t="s">
        <v>315</v>
      </c>
      <c r="D1180" t="s">
        <v>319</v>
      </c>
      <c r="E1180" t="s">
        <v>116</v>
      </c>
      <c r="F1180" t="s">
        <v>304</v>
      </c>
      <c r="G1180" t="s">
        <v>9</v>
      </c>
      <c r="H1180">
        <v>2485.0</v>
      </c>
      <c r="I1180" t="s">
        <v>31</v>
      </c>
      <c r="J1180" t="s">
        <v>70</v>
      </c>
      <c r="K1180" t="s">
        <v>38</v>
      </c>
      <c r="L1180" t="s">
        <v>39</v>
      </c>
      <c r="M1180">
        <v>44.33</v>
      </c>
    </row>
    <row r="1181">
      <c r="A1181" s="2">
        <v>45335</v>
      </c>
      <c r="B1181">
        <v>2024.0</v>
      </c>
      <c r="C1181" t="s">
        <v>318</v>
      </c>
      <c r="D1181" t="s">
        <v>319</v>
      </c>
      <c r="E1181" t="s">
        <v>221</v>
      </c>
      <c r="F1181" t="s">
        <v>306</v>
      </c>
      <c r="G1181" t="s">
        <v>11</v>
      </c>
      <c r="H1181">
        <v>4053.0</v>
      </c>
      <c r="I1181" t="s">
        <v>31</v>
      </c>
      <c r="J1181" t="s">
        <v>56</v>
      </c>
      <c r="K1181" t="s">
        <v>66</v>
      </c>
      <c r="L1181" t="s">
        <v>67</v>
      </c>
      <c r="M1181">
        <v>44.38</v>
      </c>
    </row>
    <row r="1182">
      <c r="A1182" s="2">
        <v>45886</v>
      </c>
      <c r="B1182">
        <v>2026.0</v>
      </c>
      <c r="C1182" t="s">
        <v>321</v>
      </c>
      <c r="D1182" t="s">
        <v>319</v>
      </c>
      <c r="E1182" t="s">
        <v>29</v>
      </c>
      <c r="F1182" t="s">
        <v>306</v>
      </c>
      <c r="G1182" t="s">
        <v>11</v>
      </c>
      <c r="H1182">
        <v>4703.0</v>
      </c>
      <c r="I1182" t="s">
        <v>31</v>
      </c>
      <c r="J1182" t="s">
        <v>32</v>
      </c>
      <c r="K1182" t="s">
        <v>71</v>
      </c>
      <c r="L1182" t="s">
        <v>72</v>
      </c>
      <c r="M1182">
        <v>44.42</v>
      </c>
    </row>
    <row r="1183">
      <c r="A1183" s="2">
        <v>45516</v>
      </c>
      <c r="B1183">
        <v>2025.0</v>
      </c>
      <c r="C1183" t="s">
        <v>315</v>
      </c>
      <c r="D1183" t="s">
        <v>316</v>
      </c>
      <c r="E1183" t="s">
        <v>76</v>
      </c>
      <c r="F1183" t="s">
        <v>306</v>
      </c>
      <c r="G1183" t="s">
        <v>11</v>
      </c>
      <c r="H1183">
        <v>4883.0</v>
      </c>
      <c r="I1183" t="s">
        <v>31</v>
      </c>
      <c r="J1183" t="s">
        <v>78</v>
      </c>
      <c r="K1183" t="s">
        <v>123</v>
      </c>
      <c r="L1183" t="s">
        <v>124</v>
      </c>
      <c r="M1183">
        <v>44.47</v>
      </c>
    </row>
    <row r="1184">
      <c r="A1184" s="2">
        <v>45755</v>
      </c>
      <c r="B1184">
        <v>2025.0</v>
      </c>
      <c r="C1184" t="s">
        <v>315</v>
      </c>
      <c r="D1184" t="s">
        <v>319</v>
      </c>
      <c r="E1184" t="s">
        <v>137</v>
      </c>
      <c r="F1184" t="s">
        <v>305</v>
      </c>
      <c r="G1184" t="s">
        <v>10</v>
      </c>
      <c r="H1184">
        <v>3134.0</v>
      </c>
      <c r="I1184" t="s">
        <v>31</v>
      </c>
      <c r="J1184" t="s">
        <v>89</v>
      </c>
      <c r="K1184" t="s">
        <v>43</v>
      </c>
      <c r="L1184" t="s">
        <v>44</v>
      </c>
      <c r="M1184">
        <v>44.47</v>
      </c>
    </row>
    <row r="1185">
      <c r="A1185" s="2">
        <v>45766</v>
      </c>
      <c r="B1185">
        <v>2025.0</v>
      </c>
      <c r="C1185" t="s">
        <v>315</v>
      </c>
      <c r="D1185" t="s">
        <v>316</v>
      </c>
      <c r="E1185" t="s">
        <v>250</v>
      </c>
      <c r="F1185" t="s">
        <v>305</v>
      </c>
      <c r="G1185" t="s">
        <v>10</v>
      </c>
      <c r="H1185">
        <v>3550.0</v>
      </c>
      <c r="I1185" t="s">
        <v>31</v>
      </c>
      <c r="J1185" t="s">
        <v>37</v>
      </c>
      <c r="K1185" t="s">
        <v>46</v>
      </c>
      <c r="L1185" t="s">
        <v>47</v>
      </c>
      <c r="M1185">
        <v>44.5</v>
      </c>
    </row>
    <row r="1186">
      <c r="A1186" s="2">
        <v>45480</v>
      </c>
      <c r="B1186">
        <v>2025.0</v>
      </c>
      <c r="C1186" t="s">
        <v>315</v>
      </c>
      <c r="D1186" t="s">
        <v>316</v>
      </c>
      <c r="E1186" t="s">
        <v>238</v>
      </c>
      <c r="F1186" t="s">
        <v>308</v>
      </c>
      <c r="G1186" t="s">
        <v>13</v>
      </c>
      <c r="H1186">
        <v>5082.0</v>
      </c>
      <c r="I1186" t="s">
        <v>31</v>
      </c>
      <c r="J1186" t="s">
        <v>42</v>
      </c>
      <c r="K1186" t="s">
        <v>71</v>
      </c>
      <c r="L1186" t="s">
        <v>72</v>
      </c>
      <c r="M1186">
        <v>44.5</v>
      </c>
    </row>
    <row r="1187">
      <c r="A1187" s="2">
        <v>45746</v>
      </c>
      <c r="B1187">
        <v>2025.0</v>
      </c>
      <c r="C1187" t="s">
        <v>315</v>
      </c>
      <c r="D1187" t="s">
        <v>316</v>
      </c>
      <c r="E1187" t="s">
        <v>64</v>
      </c>
      <c r="F1187" t="s">
        <v>306</v>
      </c>
      <c r="G1187" t="s">
        <v>11</v>
      </c>
      <c r="H1187">
        <v>4215.0</v>
      </c>
      <c r="I1187" t="s">
        <v>31</v>
      </c>
      <c r="J1187" t="s">
        <v>61</v>
      </c>
      <c r="K1187" t="s">
        <v>43</v>
      </c>
      <c r="L1187" t="s">
        <v>44</v>
      </c>
      <c r="M1187">
        <v>44.53</v>
      </c>
    </row>
    <row r="1188">
      <c r="A1188" s="2">
        <v>45828</v>
      </c>
      <c r="B1188">
        <v>2025.0</v>
      </c>
      <c r="C1188" t="s">
        <v>315</v>
      </c>
      <c r="D1188" t="s">
        <v>316</v>
      </c>
      <c r="E1188" t="s">
        <v>209</v>
      </c>
      <c r="F1188" t="s">
        <v>304</v>
      </c>
      <c r="G1188" t="s">
        <v>9</v>
      </c>
      <c r="H1188">
        <v>2116.0</v>
      </c>
      <c r="I1188" t="s">
        <v>31</v>
      </c>
      <c r="J1188" t="s">
        <v>81</v>
      </c>
      <c r="K1188" t="s">
        <v>66</v>
      </c>
      <c r="L1188" t="s">
        <v>67</v>
      </c>
      <c r="M1188">
        <v>44.599999999999994</v>
      </c>
    </row>
    <row r="1189">
      <c r="A1189" s="2">
        <v>45827</v>
      </c>
      <c r="B1189">
        <v>2025.0</v>
      </c>
      <c r="C1189" t="s">
        <v>315</v>
      </c>
      <c r="D1189" t="s">
        <v>316</v>
      </c>
      <c r="E1189" t="s">
        <v>148</v>
      </c>
      <c r="F1189" t="s">
        <v>307</v>
      </c>
      <c r="G1189" t="s">
        <v>12</v>
      </c>
      <c r="H1189">
        <v>6450.0</v>
      </c>
      <c r="I1189" t="s">
        <v>31</v>
      </c>
      <c r="J1189" t="s">
        <v>50</v>
      </c>
      <c r="K1189" t="s">
        <v>46</v>
      </c>
      <c r="L1189" t="s">
        <v>47</v>
      </c>
      <c r="M1189">
        <v>44.67</v>
      </c>
    </row>
    <row r="1190">
      <c r="A1190" s="2">
        <v>45382</v>
      </c>
      <c r="B1190">
        <v>2024.0</v>
      </c>
      <c r="C1190" t="s">
        <v>318</v>
      </c>
      <c r="D1190" t="s">
        <v>316</v>
      </c>
      <c r="E1190" t="s">
        <v>143</v>
      </c>
      <c r="F1190" t="s">
        <v>309</v>
      </c>
      <c r="G1190" t="s">
        <v>14</v>
      </c>
      <c r="H1190">
        <v>800.0</v>
      </c>
      <c r="I1190" t="s">
        <v>31</v>
      </c>
      <c r="J1190" t="s">
        <v>145</v>
      </c>
      <c r="K1190" t="s">
        <v>66</v>
      </c>
      <c r="L1190" t="s">
        <v>67</v>
      </c>
      <c r="M1190">
        <v>44.82000000000001</v>
      </c>
    </row>
    <row r="1191">
      <c r="A1191" s="2">
        <v>45319</v>
      </c>
      <c r="B1191">
        <v>2024.0</v>
      </c>
      <c r="C1191" t="s">
        <v>318</v>
      </c>
      <c r="D1191" t="s">
        <v>319</v>
      </c>
      <c r="E1191" t="s">
        <v>221</v>
      </c>
      <c r="F1191" t="s">
        <v>306</v>
      </c>
      <c r="G1191" t="s">
        <v>11</v>
      </c>
      <c r="H1191">
        <v>4053.0</v>
      </c>
      <c r="I1191" t="s">
        <v>31</v>
      </c>
      <c r="J1191" t="s">
        <v>56</v>
      </c>
      <c r="K1191" t="s">
        <v>33</v>
      </c>
      <c r="L1191" t="s">
        <v>34</v>
      </c>
      <c r="M1191">
        <v>44.84</v>
      </c>
    </row>
    <row r="1192">
      <c r="A1192" s="2">
        <v>45809</v>
      </c>
      <c r="B1192">
        <v>2025.0</v>
      </c>
      <c r="C1192" t="s">
        <v>315</v>
      </c>
      <c r="D1192" t="s">
        <v>316</v>
      </c>
      <c r="E1192" t="s">
        <v>207</v>
      </c>
      <c r="F1192" t="s">
        <v>306</v>
      </c>
      <c r="G1192" t="s">
        <v>11</v>
      </c>
      <c r="H1192">
        <v>4825.0</v>
      </c>
      <c r="I1192" t="s">
        <v>31</v>
      </c>
      <c r="J1192" t="s">
        <v>78</v>
      </c>
      <c r="K1192" t="s">
        <v>112</v>
      </c>
      <c r="L1192" t="s">
        <v>113</v>
      </c>
      <c r="M1192">
        <v>44.87</v>
      </c>
    </row>
    <row r="1193">
      <c r="A1193" s="2">
        <v>45884</v>
      </c>
      <c r="B1193">
        <v>2026.0</v>
      </c>
      <c r="C1193" t="s">
        <v>321</v>
      </c>
      <c r="D1193" t="s">
        <v>316</v>
      </c>
      <c r="E1193" t="s">
        <v>114</v>
      </c>
      <c r="F1193" t="s">
        <v>304</v>
      </c>
      <c r="G1193" t="s">
        <v>9</v>
      </c>
      <c r="H1193">
        <v>2031.0</v>
      </c>
      <c r="I1193" t="s">
        <v>31</v>
      </c>
      <c r="J1193" t="s">
        <v>99</v>
      </c>
      <c r="K1193" t="s">
        <v>43</v>
      </c>
      <c r="L1193" t="s">
        <v>44</v>
      </c>
      <c r="M1193">
        <v>44.9</v>
      </c>
    </row>
    <row r="1194">
      <c r="A1194" s="2">
        <v>45767</v>
      </c>
      <c r="B1194">
        <v>2025.0</v>
      </c>
      <c r="C1194" t="s">
        <v>315</v>
      </c>
      <c r="D1194" t="s">
        <v>316</v>
      </c>
      <c r="E1194" t="s">
        <v>127</v>
      </c>
      <c r="F1194" t="s">
        <v>306</v>
      </c>
      <c r="G1194" t="s">
        <v>11</v>
      </c>
      <c r="H1194">
        <v>4802.0</v>
      </c>
      <c r="I1194" t="s">
        <v>31</v>
      </c>
      <c r="J1194" t="s">
        <v>78</v>
      </c>
      <c r="K1194" t="s">
        <v>57</v>
      </c>
      <c r="L1194" t="s">
        <v>58</v>
      </c>
      <c r="M1194">
        <v>44.91</v>
      </c>
    </row>
    <row r="1195">
      <c r="A1195" s="2">
        <v>45306</v>
      </c>
      <c r="B1195">
        <v>2024.0</v>
      </c>
      <c r="C1195" t="s">
        <v>318</v>
      </c>
      <c r="D1195" t="s">
        <v>316</v>
      </c>
      <c r="E1195" t="s">
        <v>79</v>
      </c>
      <c r="F1195" t="s">
        <v>304</v>
      </c>
      <c r="G1195" t="s">
        <v>9</v>
      </c>
      <c r="H1195">
        <v>2141.0</v>
      </c>
      <c r="I1195" t="s">
        <v>31</v>
      </c>
      <c r="J1195" t="s">
        <v>81</v>
      </c>
      <c r="K1195" t="s">
        <v>112</v>
      </c>
      <c r="L1195" t="s">
        <v>113</v>
      </c>
      <c r="M1195">
        <v>44.91</v>
      </c>
    </row>
    <row r="1196">
      <c r="A1196" s="2">
        <v>45847</v>
      </c>
      <c r="B1196">
        <v>2026.0</v>
      </c>
      <c r="C1196" t="s">
        <v>321</v>
      </c>
      <c r="D1196" t="s">
        <v>316</v>
      </c>
      <c r="E1196" t="s">
        <v>193</v>
      </c>
      <c r="F1196" t="s">
        <v>304</v>
      </c>
      <c r="G1196" t="s">
        <v>9</v>
      </c>
      <c r="H1196">
        <v>2020.0</v>
      </c>
      <c r="I1196" t="s">
        <v>31</v>
      </c>
      <c r="J1196" t="s">
        <v>99</v>
      </c>
      <c r="K1196" t="s">
        <v>112</v>
      </c>
      <c r="L1196" t="s">
        <v>113</v>
      </c>
      <c r="M1196">
        <v>44.91</v>
      </c>
    </row>
    <row r="1197">
      <c r="A1197" s="2">
        <v>45621</v>
      </c>
      <c r="B1197">
        <v>2025.0</v>
      </c>
      <c r="C1197" t="s">
        <v>315</v>
      </c>
      <c r="D1197" t="s">
        <v>316</v>
      </c>
      <c r="E1197" t="s">
        <v>252</v>
      </c>
      <c r="F1197" t="s">
        <v>305</v>
      </c>
      <c r="G1197" t="s">
        <v>10</v>
      </c>
      <c r="H1197">
        <v>3630.0</v>
      </c>
      <c r="I1197" t="s">
        <v>31</v>
      </c>
      <c r="J1197" t="s">
        <v>94</v>
      </c>
      <c r="K1197" t="s">
        <v>38</v>
      </c>
      <c r="L1197" t="s">
        <v>39</v>
      </c>
      <c r="M1197">
        <v>44.91</v>
      </c>
    </row>
    <row r="1198">
      <c r="A1198" s="2">
        <v>45899</v>
      </c>
      <c r="B1198">
        <v>2026.0</v>
      </c>
      <c r="C1198" t="s">
        <v>321</v>
      </c>
      <c r="D1198" t="s">
        <v>319</v>
      </c>
      <c r="E1198" t="s">
        <v>254</v>
      </c>
      <c r="F1198" t="s">
        <v>308</v>
      </c>
      <c r="G1198" t="s">
        <v>13</v>
      </c>
      <c r="H1198">
        <v>5343.0</v>
      </c>
      <c r="I1198" t="s">
        <v>31</v>
      </c>
      <c r="J1198" t="s">
        <v>227</v>
      </c>
      <c r="K1198" t="s">
        <v>123</v>
      </c>
      <c r="L1198" t="s">
        <v>124</v>
      </c>
      <c r="M1198">
        <v>44.96</v>
      </c>
    </row>
    <row r="1199">
      <c r="A1199" s="2">
        <v>45412</v>
      </c>
      <c r="B1199">
        <v>2024.0</v>
      </c>
      <c r="C1199" t="s">
        <v>318</v>
      </c>
      <c r="D1199" t="s">
        <v>316</v>
      </c>
      <c r="E1199" t="s">
        <v>100</v>
      </c>
      <c r="F1199" t="s">
        <v>307</v>
      </c>
      <c r="G1199" t="s">
        <v>12</v>
      </c>
      <c r="H1199">
        <v>6010.0</v>
      </c>
      <c r="I1199" t="s">
        <v>31</v>
      </c>
      <c r="J1199" t="s">
        <v>102</v>
      </c>
      <c r="K1199" t="s">
        <v>43</v>
      </c>
      <c r="L1199" t="s">
        <v>44</v>
      </c>
      <c r="M1199">
        <v>44.97</v>
      </c>
    </row>
    <row r="1200">
      <c r="A1200" s="2">
        <v>45377</v>
      </c>
      <c r="B1200">
        <v>2024.0</v>
      </c>
      <c r="C1200" t="s">
        <v>318</v>
      </c>
      <c r="D1200" t="s">
        <v>319</v>
      </c>
      <c r="E1200" t="s">
        <v>167</v>
      </c>
      <c r="F1200" t="s">
        <v>307</v>
      </c>
      <c r="G1200" t="s">
        <v>12</v>
      </c>
      <c r="H1200">
        <v>6030.0</v>
      </c>
      <c r="I1200" t="s">
        <v>31</v>
      </c>
      <c r="J1200" t="s">
        <v>102</v>
      </c>
      <c r="K1200" t="s">
        <v>46</v>
      </c>
      <c r="L1200" t="s">
        <v>47</v>
      </c>
      <c r="M1200">
        <v>44.97</v>
      </c>
    </row>
    <row r="1201">
      <c r="A1201" s="2">
        <v>45312</v>
      </c>
      <c r="B1201">
        <v>2024.0</v>
      </c>
      <c r="C1201" t="s">
        <v>318</v>
      </c>
      <c r="D1201" t="s">
        <v>319</v>
      </c>
      <c r="E1201" t="s">
        <v>201</v>
      </c>
      <c r="F1201" t="s">
        <v>305</v>
      </c>
      <c r="G1201" t="s">
        <v>10</v>
      </c>
      <c r="H1201">
        <v>3131.0</v>
      </c>
      <c r="I1201" t="s">
        <v>31</v>
      </c>
      <c r="J1201" t="s">
        <v>89</v>
      </c>
      <c r="K1201" t="s">
        <v>123</v>
      </c>
      <c r="L1201" t="s">
        <v>124</v>
      </c>
      <c r="M1201">
        <v>44.97</v>
      </c>
    </row>
    <row r="1202">
      <c r="A1202" s="2">
        <v>45827</v>
      </c>
      <c r="B1202">
        <v>2025.0</v>
      </c>
      <c r="C1202" t="s">
        <v>315</v>
      </c>
      <c r="D1202" t="s">
        <v>316</v>
      </c>
      <c r="E1202" t="s">
        <v>35</v>
      </c>
      <c r="F1202" t="s">
        <v>305</v>
      </c>
      <c r="G1202" t="s">
        <v>10</v>
      </c>
      <c r="H1202">
        <v>3280.0</v>
      </c>
      <c r="I1202" t="s">
        <v>31</v>
      </c>
      <c r="J1202" t="s">
        <v>37</v>
      </c>
      <c r="K1202" t="s">
        <v>43</v>
      </c>
      <c r="L1202" t="s">
        <v>44</v>
      </c>
      <c r="M1202">
        <v>44.97</v>
      </c>
    </row>
    <row r="1203">
      <c r="A1203" s="2">
        <v>45544</v>
      </c>
      <c r="B1203">
        <v>2025.0</v>
      </c>
      <c r="C1203" t="s">
        <v>315</v>
      </c>
      <c r="D1203" t="s">
        <v>316</v>
      </c>
      <c r="E1203" t="s">
        <v>179</v>
      </c>
      <c r="F1203" t="s">
        <v>304</v>
      </c>
      <c r="G1203" t="s">
        <v>9</v>
      </c>
      <c r="H1203">
        <v>2015.0</v>
      </c>
      <c r="I1203" t="s">
        <v>31</v>
      </c>
      <c r="J1203" t="s">
        <v>99</v>
      </c>
      <c r="K1203" t="s">
        <v>43</v>
      </c>
      <c r="L1203" t="s">
        <v>44</v>
      </c>
      <c r="M1203">
        <v>45.0</v>
      </c>
    </row>
    <row r="1204">
      <c r="A1204" s="2">
        <v>45964</v>
      </c>
      <c r="B1204">
        <v>2026.0</v>
      </c>
      <c r="C1204" t="s">
        <v>321</v>
      </c>
      <c r="D1204" t="s">
        <v>316</v>
      </c>
      <c r="E1204" t="s">
        <v>125</v>
      </c>
      <c r="F1204" t="s">
        <v>305</v>
      </c>
      <c r="G1204" t="s">
        <v>10</v>
      </c>
      <c r="H1204">
        <v>3931.0</v>
      </c>
      <c r="I1204" t="s">
        <v>31</v>
      </c>
      <c r="J1204" t="s">
        <v>94</v>
      </c>
      <c r="K1204" t="s">
        <v>43</v>
      </c>
      <c r="L1204" t="s">
        <v>44</v>
      </c>
      <c r="M1204">
        <v>45.0</v>
      </c>
    </row>
    <row r="1205">
      <c r="A1205" s="2">
        <v>45919</v>
      </c>
      <c r="B1205">
        <v>2026.0</v>
      </c>
      <c r="C1205" t="s">
        <v>321</v>
      </c>
      <c r="D1205" t="s">
        <v>316</v>
      </c>
      <c r="E1205" t="s">
        <v>121</v>
      </c>
      <c r="F1205" t="s">
        <v>306</v>
      </c>
      <c r="G1205" t="s">
        <v>11</v>
      </c>
      <c r="H1205">
        <v>4566.0</v>
      </c>
      <c r="I1205" t="s">
        <v>31</v>
      </c>
      <c r="J1205" t="s">
        <v>84</v>
      </c>
      <c r="K1205" t="s">
        <v>57</v>
      </c>
      <c r="L1205" t="s">
        <v>58</v>
      </c>
      <c r="M1205">
        <v>45.0</v>
      </c>
    </row>
    <row r="1206">
      <c r="A1206" s="2">
        <v>45896</v>
      </c>
      <c r="B1206">
        <v>2026.0</v>
      </c>
      <c r="C1206" t="s">
        <v>321</v>
      </c>
      <c r="D1206" t="s">
        <v>319</v>
      </c>
      <c r="E1206" t="s">
        <v>48</v>
      </c>
      <c r="F1206" t="s">
        <v>307</v>
      </c>
      <c r="G1206" t="s">
        <v>12</v>
      </c>
      <c r="H1206">
        <v>6725.0</v>
      </c>
      <c r="I1206" t="s">
        <v>31</v>
      </c>
      <c r="J1206" t="s">
        <v>50</v>
      </c>
      <c r="K1206" t="s">
        <v>123</v>
      </c>
      <c r="L1206" t="s">
        <v>124</v>
      </c>
      <c r="M1206">
        <v>45.15</v>
      </c>
    </row>
    <row r="1207">
      <c r="A1207" s="2">
        <v>45581</v>
      </c>
      <c r="B1207">
        <v>2025.0</v>
      </c>
      <c r="C1207" t="s">
        <v>315</v>
      </c>
      <c r="D1207" t="s">
        <v>316</v>
      </c>
      <c r="E1207" t="s">
        <v>141</v>
      </c>
      <c r="F1207" t="s">
        <v>304</v>
      </c>
      <c r="G1207" t="s">
        <v>9</v>
      </c>
      <c r="H1207">
        <v>2539.0</v>
      </c>
      <c r="I1207" t="s">
        <v>31</v>
      </c>
      <c r="J1207" t="s">
        <v>107</v>
      </c>
      <c r="K1207" t="s">
        <v>123</v>
      </c>
      <c r="L1207" t="s">
        <v>124</v>
      </c>
      <c r="M1207">
        <v>45.15</v>
      </c>
    </row>
    <row r="1208">
      <c r="A1208" s="2">
        <v>45442</v>
      </c>
      <c r="B1208">
        <v>2024.0</v>
      </c>
      <c r="C1208" t="s">
        <v>318</v>
      </c>
      <c r="D1208" t="s">
        <v>316</v>
      </c>
      <c r="E1208" t="s">
        <v>179</v>
      </c>
      <c r="F1208" t="s">
        <v>304</v>
      </c>
      <c r="G1208" t="s">
        <v>9</v>
      </c>
      <c r="H1208">
        <v>2015.0</v>
      </c>
      <c r="I1208" t="s">
        <v>31</v>
      </c>
      <c r="J1208" t="s">
        <v>99</v>
      </c>
      <c r="K1208" t="s">
        <v>71</v>
      </c>
      <c r="L1208" t="s">
        <v>72</v>
      </c>
      <c r="M1208">
        <v>45.46</v>
      </c>
    </row>
    <row r="1209">
      <c r="A1209" s="2">
        <v>45528</v>
      </c>
      <c r="B1209">
        <v>2025.0</v>
      </c>
      <c r="C1209" t="s">
        <v>315</v>
      </c>
      <c r="D1209" t="s">
        <v>316</v>
      </c>
      <c r="E1209" t="s">
        <v>135</v>
      </c>
      <c r="F1209" t="s">
        <v>311</v>
      </c>
      <c r="G1209" t="s">
        <v>16</v>
      </c>
      <c r="H1209">
        <v>2609.0</v>
      </c>
      <c r="I1209" t="s">
        <v>31</v>
      </c>
      <c r="J1209" t="s">
        <v>107</v>
      </c>
      <c r="K1209" t="s">
        <v>43</v>
      </c>
      <c r="L1209" t="s">
        <v>44</v>
      </c>
      <c r="M1209">
        <v>45.46</v>
      </c>
    </row>
    <row r="1210">
      <c r="A1210" s="2">
        <v>45562</v>
      </c>
      <c r="B1210">
        <v>2025.0</v>
      </c>
      <c r="C1210" t="s">
        <v>315</v>
      </c>
      <c r="D1210" t="s">
        <v>316</v>
      </c>
      <c r="E1210" t="s">
        <v>35</v>
      </c>
      <c r="F1210" t="s">
        <v>305</v>
      </c>
      <c r="G1210" t="s">
        <v>10</v>
      </c>
      <c r="H1210">
        <v>3280.0</v>
      </c>
      <c r="I1210" t="s">
        <v>31</v>
      </c>
      <c r="J1210" t="s">
        <v>37</v>
      </c>
      <c r="K1210" t="s">
        <v>43</v>
      </c>
      <c r="L1210" t="s">
        <v>44</v>
      </c>
      <c r="M1210">
        <v>45.49</v>
      </c>
    </row>
    <row r="1211">
      <c r="A1211" s="2">
        <v>45349</v>
      </c>
      <c r="B1211">
        <v>2024.0</v>
      </c>
      <c r="C1211" t="s">
        <v>318</v>
      </c>
      <c r="D1211" t="s">
        <v>316</v>
      </c>
      <c r="E1211" t="s">
        <v>177</v>
      </c>
      <c r="F1211" t="s">
        <v>307</v>
      </c>
      <c r="G1211" t="s">
        <v>12</v>
      </c>
      <c r="H1211">
        <v>6330.0</v>
      </c>
      <c r="I1211" t="s">
        <v>31</v>
      </c>
      <c r="J1211" t="s">
        <v>162</v>
      </c>
      <c r="K1211" t="s">
        <v>112</v>
      </c>
      <c r="L1211" t="s">
        <v>113</v>
      </c>
      <c r="M1211">
        <v>45.54</v>
      </c>
    </row>
    <row r="1212">
      <c r="A1212" s="2">
        <v>45338</v>
      </c>
      <c r="B1212">
        <v>2024.0</v>
      </c>
      <c r="C1212" t="s">
        <v>318</v>
      </c>
      <c r="D1212" t="s">
        <v>319</v>
      </c>
      <c r="E1212" t="s">
        <v>230</v>
      </c>
      <c r="F1212" t="s">
        <v>308</v>
      </c>
      <c r="G1212" t="s">
        <v>13</v>
      </c>
      <c r="H1212">
        <v>5290.0</v>
      </c>
      <c r="I1212" t="s">
        <v>31</v>
      </c>
      <c r="J1212" t="s">
        <v>227</v>
      </c>
      <c r="K1212" t="s">
        <v>33</v>
      </c>
      <c r="L1212" t="s">
        <v>34</v>
      </c>
      <c r="M1212">
        <v>45.65</v>
      </c>
    </row>
    <row r="1213">
      <c r="A1213" s="2">
        <v>45731</v>
      </c>
      <c r="B1213">
        <v>2025.0</v>
      </c>
      <c r="C1213" t="s">
        <v>315</v>
      </c>
      <c r="D1213" t="s">
        <v>316</v>
      </c>
      <c r="E1213" t="s">
        <v>250</v>
      </c>
      <c r="F1213" t="s">
        <v>305</v>
      </c>
      <c r="G1213" t="s">
        <v>10</v>
      </c>
      <c r="H1213">
        <v>3550.0</v>
      </c>
      <c r="I1213" t="s">
        <v>31</v>
      </c>
      <c r="J1213" t="s">
        <v>37</v>
      </c>
      <c r="K1213" t="s">
        <v>43</v>
      </c>
      <c r="L1213" t="s">
        <v>44</v>
      </c>
      <c r="M1213">
        <v>45.89</v>
      </c>
    </row>
    <row r="1214">
      <c r="A1214" s="2">
        <v>45908</v>
      </c>
      <c r="B1214">
        <v>2026.0</v>
      </c>
      <c r="C1214" t="s">
        <v>321</v>
      </c>
      <c r="D1214" t="s">
        <v>319</v>
      </c>
      <c r="E1214" t="s">
        <v>244</v>
      </c>
      <c r="F1214" t="s">
        <v>308</v>
      </c>
      <c r="G1214" t="s">
        <v>13</v>
      </c>
      <c r="H1214">
        <v>5168.0</v>
      </c>
      <c r="I1214" t="s">
        <v>31</v>
      </c>
      <c r="J1214" t="s">
        <v>42</v>
      </c>
      <c r="K1214" t="s">
        <v>71</v>
      </c>
      <c r="L1214" t="s">
        <v>72</v>
      </c>
      <c r="M1214">
        <v>45.91</v>
      </c>
    </row>
    <row r="1215">
      <c r="A1215" s="2">
        <v>45646</v>
      </c>
      <c r="B1215">
        <v>2025.0</v>
      </c>
      <c r="C1215" t="s">
        <v>315</v>
      </c>
      <c r="D1215" t="s">
        <v>316</v>
      </c>
      <c r="E1215" t="s">
        <v>242</v>
      </c>
      <c r="F1215" t="s">
        <v>305</v>
      </c>
      <c r="G1215" t="s">
        <v>10</v>
      </c>
      <c r="H1215">
        <v>3977.0</v>
      </c>
      <c r="I1215" t="s">
        <v>31</v>
      </c>
      <c r="J1215" t="s">
        <v>94</v>
      </c>
      <c r="K1215" t="s">
        <v>33</v>
      </c>
      <c r="L1215" t="s">
        <v>34</v>
      </c>
      <c r="M1215">
        <v>45.92</v>
      </c>
    </row>
    <row r="1216">
      <c r="A1216" s="2">
        <v>45632</v>
      </c>
      <c r="B1216">
        <v>2025.0</v>
      </c>
      <c r="C1216" t="s">
        <v>315</v>
      </c>
      <c r="D1216" t="s">
        <v>319</v>
      </c>
      <c r="E1216" t="s">
        <v>236</v>
      </c>
      <c r="F1216" t="s">
        <v>307</v>
      </c>
      <c r="G1216" t="s">
        <v>12</v>
      </c>
      <c r="H1216">
        <v>6052.0</v>
      </c>
      <c r="I1216" t="s">
        <v>31</v>
      </c>
      <c r="J1216" t="s">
        <v>102</v>
      </c>
      <c r="K1216" t="s">
        <v>123</v>
      </c>
      <c r="L1216" t="s">
        <v>124</v>
      </c>
      <c r="M1216">
        <v>45.92</v>
      </c>
    </row>
    <row r="1217">
      <c r="A1217" s="2">
        <v>45681</v>
      </c>
      <c r="B1217">
        <v>2025.0</v>
      </c>
      <c r="C1217" t="s">
        <v>315</v>
      </c>
      <c r="D1217" t="s">
        <v>316</v>
      </c>
      <c r="E1217" t="s">
        <v>199</v>
      </c>
      <c r="F1217" t="s">
        <v>308</v>
      </c>
      <c r="G1217" t="s">
        <v>13</v>
      </c>
      <c r="H1217">
        <v>5169.0</v>
      </c>
      <c r="I1217" t="s">
        <v>31</v>
      </c>
      <c r="J1217" t="s">
        <v>42</v>
      </c>
      <c r="K1217" t="s">
        <v>43</v>
      </c>
      <c r="L1217" t="s">
        <v>44</v>
      </c>
      <c r="M1217">
        <v>46.0</v>
      </c>
    </row>
    <row r="1218">
      <c r="A1218" s="2">
        <v>45990</v>
      </c>
      <c r="B1218">
        <v>2026.0</v>
      </c>
      <c r="C1218" t="s">
        <v>321</v>
      </c>
      <c r="D1218" t="s">
        <v>316</v>
      </c>
      <c r="E1218" t="s">
        <v>250</v>
      </c>
      <c r="F1218" t="s">
        <v>305</v>
      </c>
      <c r="G1218" t="s">
        <v>10</v>
      </c>
      <c r="H1218">
        <v>3550.0</v>
      </c>
      <c r="I1218" t="s">
        <v>31</v>
      </c>
      <c r="J1218" t="s">
        <v>37</v>
      </c>
      <c r="K1218" t="s">
        <v>66</v>
      </c>
      <c r="L1218" t="s">
        <v>67</v>
      </c>
      <c r="M1218">
        <v>46.31</v>
      </c>
    </row>
    <row r="1219">
      <c r="A1219" s="2">
        <v>45628</v>
      </c>
      <c r="B1219">
        <v>2025.0</v>
      </c>
      <c r="C1219" t="s">
        <v>315</v>
      </c>
      <c r="D1219" t="s">
        <v>316</v>
      </c>
      <c r="E1219" t="s">
        <v>225</v>
      </c>
      <c r="F1219" t="s">
        <v>308</v>
      </c>
      <c r="G1219" t="s">
        <v>13</v>
      </c>
      <c r="H1219">
        <v>5607.0</v>
      </c>
      <c r="I1219" t="s">
        <v>31</v>
      </c>
      <c r="J1219" t="s">
        <v>227</v>
      </c>
      <c r="K1219" t="s">
        <v>43</v>
      </c>
      <c r="L1219" t="s">
        <v>44</v>
      </c>
      <c r="M1219">
        <v>46.5</v>
      </c>
    </row>
    <row r="1220">
      <c r="A1220" s="2">
        <v>45517</v>
      </c>
      <c r="B1220">
        <v>2025.0</v>
      </c>
      <c r="C1220" t="s">
        <v>315</v>
      </c>
      <c r="D1220" t="s">
        <v>319</v>
      </c>
      <c r="E1220" t="s">
        <v>254</v>
      </c>
      <c r="F1220" t="s">
        <v>308</v>
      </c>
      <c r="G1220" t="s">
        <v>13</v>
      </c>
      <c r="H1220">
        <v>5343.0</v>
      </c>
      <c r="I1220" t="s">
        <v>31</v>
      </c>
      <c r="J1220" t="s">
        <v>227</v>
      </c>
      <c r="K1220" t="s">
        <v>123</v>
      </c>
      <c r="L1220" t="s">
        <v>124</v>
      </c>
      <c r="M1220">
        <v>46.9</v>
      </c>
    </row>
    <row r="1221">
      <c r="A1221" s="2">
        <v>45691</v>
      </c>
      <c r="B1221">
        <v>2025.0</v>
      </c>
      <c r="C1221" t="s">
        <v>315</v>
      </c>
      <c r="D1221" t="s">
        <v>316</v>
      </c>
      <c r="E1221" t="s">
        <v>175</v>
      </c>
      <c r="F1221" t="s">
        <v>311</v>
      </c>
      <c r="G1221" t="s">
        <v>16</v>
      </c>
      <c r="H1221">
        <v>2617.0</v>
      </c>
      <c r="I1221" t="s">
        <v>31</v>
      </c>
      <c r="J1221" t="s">
        <v>107</v>
      </c>
      <c r="K1221" t="s">
        <v>71</v>
      </c>
      <c r="L1221" t="s">
        <v>72</v>
      </c>
      <c r="M1221">
        <v>46.91</v>
      </c>
    </row>
    <row r="1222">
      <c r="A1222" s="2">
        <v>45688</v>
      </c>
      <c r="B1222">
        <v>2025.0</v>
      </c>
      <c r="C1222" t="s">
        <v>315</v>
      </c>
      <c r="D1222" t="s">
        <v>319</v>
      </c>
      <c r="E1222" t="s">
        <v>264</v>
      </c>
      <c r="F1222" t="s">
        <v>308</v>
      </c>
      <c r="G1222" t="s">
        <v>13</v>
      </c>
      <c r="H1222">
        <v>5043.0</v>
      </c>
      <c r="I1222" t="s">
        <v>31</v>
      </c>
      <c r="J1222" t="s">
        <v>42</v>
      </c>
      <c r="K1222" t="s">
        <v>71</v>
      </c>
      <c r="L1222" t="s">
        <v>72</v>
      </c>
      <c r="M1222">
        <v>46.93</v>
      </c>
    </row>
    <row r="1223">
      <c r="A1223" s="2">
        <v>45636</v>
      </c>
      <c r="B1223">
        <v>2025.0</v>
      </c>
      <c r="C1223" t="s">
        <v>315</v>
      </c>
      <c r="D1223" t="s">
        <v>316</v>
      </c>
      <c r="E1223" t="s">
        <v>127</v>
      </c>
      <c r="F1223" t="s">
        <v>306</v>
      </c>
      <c r="G1223" t="s">
        <v>11</v>
      </c>
      <c r="H1223">
        <v>4802.0</v>
      </c>
      <c r="I1223" t="s">
        <v>31</v>
      </c>
      <c r="J1223" t="s">
        <v>78</v>
      </c>
      <c r="K1223" t="s">
        <v>46</v>
      </c>
      <c r="L1223" t="s">
        <v>47</v>
      </c>
      <c r="M1223">
        <v>46.96</v>
      </c>
    </row>
    <row r="1224">
      <c r="A1224" s="2">
        <v>45655</v>
      </c>
      <c r="B1224">
        <v>2025.0</v>
      </c>
      <c r="C1224" t="s">
        <v>315</v>
      </c>
      <c r="D1224" t="s">
        <v>316</v>
      </c>
      <c r="E1224" t="s">
        <v>254</v>
      </c>
      <c r="F1224" t="s">
        <v>308</v>
      </c>
      <c r="G1224" t="s">
        <v>13</v>
      </c>
      <c r="H1224">
        <v>5343.0</v>
      </c>
      <c r="I1224" t="s">
        <v>31</v>
      </c>
      <c r="J1224" t="s">
        <v>227</v>
      </c>
      <c r="K1224" t="s">
        <v>43</v>
      </c>
      <c r="L1224" t="s">
        <v>44</v>
      </c>
      <c r="M1224">
        <v>47.0</v>
      </c>
    </row>
    <row r="1225">
      <c r="A1225" s="2">
        <v>45996</v>
      </c>
      <c r="B1225">
        <v>2026.0</v>
      </c>
      <c r="C1225" t="s">
        <v>321</v>
      </c>
      <c r="D1225" t="s">
        <v>319</v>
      </c>
      <c r="E1225" t="s">
        <v>248</v>
      </c>
      <c r="F1225" t="s">
        <v>307</v>
      </c>
      <c r="G1225" t="s">
        <v>12</v>
      </c>
      <c r="H1225">
        <v>6112.0</v>
      </c>
      <c r="I1225" t="s">
        <v>31</v>
      </c>
      <c r="J1225" t="s">
        <v>162</v>
      </c>
      <c r="K1225" t="s">
        <v>38</v>
      </c>
      <c r="L1225" t="s">
        <v>39</v>
      </c>
      <c r="M1225">
        <v>47.440000000000005</v>
      </c>
    </row>
    <row r="1226">
      <c r="A1226" s="2">
        <v>45313</v>
      </c>
      <c r="B1226">
        <v>2024.0</v>
      </c>
      <c r="C1226" t="s">
        <v>318</v>
      </c>
      <c r="D1226" t="s">
        <v>316</v>
      </c>
      <c r="E1226" t="s">
        <v>62</v>
      </c>
      <c r="F1226" t="s">
        <v>307</v>
      </c>
      <c r="G1226" t="s">
        <v>12</v>
      </c>
      <c r="H1226">
        <v>6530.0</v>
      </c>
      <c r="I1226" t="s">
        <v>31</v>
      </c>
      <c r="J1226" t="s">
        <v>50</v>
      </c>
      <c r="K1226" t="s">
        <v>66</v>
      </c>
      <c r="L1226" t="s">
        <v>67</v>
      </c>
      <c r="M1226">
        <v>47.64</v>
      </c>
    </row>
    <row r="1227">
      <c r="A1227" s="2">
        <v>45318</v>
      </c>
      <c r="B1227">
        <v>2024.0</v>
      </c>
      <c r="C1227" t="s">
        <v>318</v>
      </c>
      <c r="D1227" t="s">
        <v>319</v>
      </c>
      <c r="E1227" t="s">
        <v>87</v>
      </c>
      <c r="F1227" t="s">
        <v>305</v>
      </c>
      <c r="G1227" t="s">
        <v>10</v>
      </c>
      <c r="H1227">
        <v>3148.0</v>
      </c>
      <c r="I1227" t="s">
        <v>31</v>
      </c>
      <c r="J1227" t="s">
        <v>89</v>
      </c>
      <c r="K1227" t="s">
        <v>112</v>
      </c>
      <c r="L1227" t="s">
        <v>113</v>
      </c>
      <c r="M1227">
        <v>47.84</v>
      </c>
    </row>
    <row r="1228">
      <c r="A1228" s="2">
        <v>45813</v>
      </c>
      <c r="B1228">
        <v>2025.0</v>
      </c>
      <c r="C1228" t="s">
        <v>315</v>
      </c>
      <c r="D1228" t="s">
        <v>319</v>
      </c>
      <c r="E1228" t="s">
        <v>150</v>
      </c>
      <c r="F1228" t="s">
        <v>310</v>
      </c>
      <c r="G1228" t="s">
        <v>15</v>
      </c>
      <c r="H1228">
        <v>7250.0</v>
      </c>
      <c r="I1228" t="s">
        <v>31</v>
      </c>
      <c r="J1228" t="s">
        <v>53</v>
      </c>
      <c r="K1228" t="s">
        <v>112</v>
      </c>
      <c r="L1228" t="s">
        <v>113</v>
      </c>
      <c r="M1228">
        <v>47.84</v>
      </c>
    </row>
    <row r="1229">
      <c r="A1229" s="2">
        <v>45903</v>
      </c>
      <c r="B1229">
        <v>2026.0</v>
      </c>
      <c r="C1229" t="s">
        <v>321</v>
      </c>
      <c r="D1229" t="s">
        <v>316</v>
      </c>
      <c r="E1229" t="s">
        <v>199</v>
      </c>
      <c r="F1229" t="s">
        <v>308</v>
      </c>
      <c r="G1229" t="s">
        <v>13</v>
      </c>
      <c r="H1229">
        <v>5169.0</v>
      </c>
      <c r="I1229" t="s">
        <v>31</v>
      </c>
      <c r="J1229" t="s">
        <v>42</v>
      </c>
      <c r="K1229" t="s">
        <v>112</v>
      </c>
      <c r="L1229" t="s">
        <v>113</v>
      </c>
      <c r="M1229">
        <v>47.84</v>
      </c>
    </row>
    <row r="1230">
      <c r="A1230" s="2">
        <v>45810</v>
      </c>
      <c r="B1230">
        <v>2025.0</v>
      </c>
      <c r="C1230" t="s">
        <v>315</v>
      </c>
      <c r="D1230" t="s">
        <v>316</v>
      </c>
      <c r="E1230" t="s">
        <v>189</v>
      </c>
      <c r="F1230" t="s">
        <v>304</v>
      </c>
      <c r="G1230" t="s">
        <v>9</v>
      </c>
      <c r="H1230">
        <v>2131.0</v>
      </c>
      <c r="I1230" t="s">
        <v>31</v>
      </c>
      <c r="J1230" t="s">
        <v>81</v>
      </c>
      <c r="K1230" t="s">
        <v>33</v>
      </c>
      <c r="L1230" t="s">
        <v>34</v>
      </c>
      <c r="M1230">
        <v>47.849999999999994</v>
      </c>
    </row>
    <row r="1231">
      <c r="A1231" s="2">
        <v>45995</v>
      </c>
      <c r="B1231">
        <v>2026.0</v>
      </c>
      <c r="C1231" t="s">
        <v>321</v>
      </c>
      <c r="D1231" t="s">
        <v>319</v>
      </c>
      <c r="E1231" t="s">
        <v>68</v>
      </c>
      <c r="F1231" t="s">
        <v>304</v>
      </c>
      <c r="G1231" t="s">
        <v>9</v>
      </c>
      <c r="H1231">
        <v>2478.0</v>
      </c>
      <c r="I1231" t="s">
        <v>31</v>
      </c>
      <c r="J1231" t="s">
        <v>70</v>
      </c>
      <c r="K1231" t="s">
        <v>123</v>
      </c>
      <c r="L1231" t="s">
        <v>124</v>
      </c>
      <c r="M1231">
        <v>47.86</v>
      </c>
    </row>
    <row r="1232">
      <c r="A1232" s="2">
        <v>45854</v>
      </c>
      <c r="B1232">
        <v>2026.0</v>
      </c>
      <c r="C1232" t="s">
        <v>321</v>
      </c>
      <c r="D1232" t="s">
        <v>316</v>
      </c>
      <c r="E1232" t="s">
        <v>256</v>
      </c>
      <c r="F1232" t="s">
        <v>304</v>
      </c>
      <c r="G1232" t="s">
        <v>9</v>
      </c>
      <c r="H1232">
        <v>2350.0</v>
      </c>
      <c r="I1232" t="s">
        <v>31</v>
      </c>
      <c r="J1232" t="s">
        <v>70</v>
      </c>
      <c r="K1232" t="s">
        <v>95</v>
      </c>
      <c r="L1232" t="s">
        <v>96</v>
      </c>
      <c r="M1232">
        <v>47.88</v>
      </c>
    </row>
    <row r="1233">
      <c r="A1233" s="2">
        <v>45893</v>
      </c>
      <c r="B1233">
        <v>2026.0</v>
      </c>
      <c r="C1233" t="s">
        <v>321</v>
      </c>
      <c r="D1233" t="s">
        <v>316</v>
      </c>
      <c r="E1233" t="s">
        <v>64</v>
      </c>
      <c r="F1233" t="s">
        <v>306</v>
      </c>
      <c r="G1233" t="s">
        <v>11</v>
      </c>
      <c r="H1233">
        <v>4215.0</v>
      </c>
      <c r="I1233" t="s">
        <v>31</v>
      </c>
      <c r="J1233" t="s">
        <v>61</v>
      </c>
      <c r="K1233" t="s">
        <v>112</v>
      </c>
      <c r="L1233" t="s">
        <v>113</v>
      </c>
      <c r="M1233">
        <v>47.88</v>
      </c>
    </row>
    <row r="1234">
      <c r="A1234" s="2">
        <v>45493</v>
      </c>
      <c r="B1234">
        <v>2025.0</v>
      </c>
      <c r="C1234" t="s">
        <v>315</v>
      </c>
      <c r="D1234" t="s">
        <v>316</v>
      </c>
      <c r="E1234" t="s">
        <v>54</v>
      </c>
      <c r="F1234" t="s">
        <v>306</v>
      </c>
      <c r="G1234" t="s">
        <v>11</v>
      </c>
      <c r="H1234">
        <v>4012.0</v>
      </c>
      <c r="I1234" t="s">
        <v>31</v>
      </c>
      <c r="J1234" t="s">
        <v>56</v>
      </c>
      <c r="K1234" t="s">
        <v>33</v>
      </c>
      <c r="L1234" t="s">
        <v>34</v>
      </c>
      <c r="M1234">
        <v>47.88</v>
      </c>
    </row>
    <row r="1235">
      <c r="A1235" s="2">
        <v>45568</v>
      </c>
      <c r="B1235">
        <v>2025.0</v>
      </c>
      <c r="C1235" t="s">
        <v>315</v>
      </c>
      <c r="D1235" t="s">
        <v>316</v>
      </c>
      <c r="E1235" t="s">
        <v>100</v>
      </c>
      <c r="F1235" t="s">
        <v>307</v>
      </c>
      <c r="G1235" t="s">
        <v>12</v>
      </c>
      <c r="H1235">
        <v>6010.0</v>
      </c>
      <c r="I1235" t="s">
        <v>31</v>
      </c>
      <c r="J1235" t="s">
        <v>102</v>
      </c>
      <c r="K1235" t="s">
        <v>38</v>
      </c>
      <c r="L1235" t="s">
        <v>39</v>
      </c>
      <c r="M1235">
        <v>47.92</v>
      </c>
    </row>
    <row r="1236">
      <c r="A1236" s="2">
        <v>45767</v>
      </c>
      <c r="B1236">
        <v>2025.0</v>
      </c>
      <c r="C1236" t="s">
        <v>315</v>
      </c>
      <c r="D1236" t="s">
        <v>316</v>
      </c>
      <c r="E1236" t="s">
        <v>135</v>
      </c>
      <c r="F1236" t="s">
        <v>311</v>
      </c>
      <c r="G1236" t="s">
        <v>16</v>
      </c>
      <c r="H1236">
        <v>2609.0</v>
      </c>
      <c r="I1236" t="s">
        <v>31</v>
      </c>
      <c r="J1236" t="s">
        <v>107</v>
      </c>
      <c r="K1236" t="s">
        <v>71</v>
      </c>
      <c r="L1236" t="s">
        <v>72</v>
      </c>
      <c r="M1236">
        <v>47.92</v>
      </c>
    </row>
    <row r="1237">
      <c r="A1237" s="2">
        <v>45345</v>
      </c>
      <c r="B1237">
        <v>2024.0</v>
      </c>
      <c r="C1237" t="s">
        <v>318</v>
      </c>
      <c r="D1237" t="s">
        <v>319</v>
      </c>
      <c r="E1237" t="s">
        <v>201</v>
      </c>
      <c r="F1237" t="s">
        <v>305</v>
      </c>
      <c r="G1237" t="s">
        <v>10</v>
      </c>
      <c r="H1237">
        <v>3131.0</v>
      </c>
      <c r="I1237" t="s">
        <v>31</v>
      </c>
      <c r="J1237" t="s">
        <v>89</v>
      </c>
      <c r="K1237" t="s">
        <v>57</v>
      </c>
      <c r="L1237" t="s">
        <v>58</v>
      </c>
      <c r="M1237">
        <v>47.92</v>
      </c>
    </row>
    <row r="1238">
      <c r="A1238" s="2">
        <v>45409</v>
      </c>
      <c r="B1238">
        <v>2024.0</v>
      </c>
      <c r="C1238" t="s">
        <v>318</v>
      </c>
      <c r="D1238" t="s">
        <v>316</v>
      </c>
      <c r="E1238" t="s">
        <v>54</v>
      </c>
      <c r="F1238" t="s">
        <v>306</v>
      </c>
      <c r="G1238" t="s">
        <v>11</v>
      </c>
      <c r="H1238">
        <v>4012.0</v>
      </c>
      <c r="I1238" t="s">
        <v>31</v>
      </c>
      <c r="J1238" t="s">
        <v>56</v>
      </c>
      <c r="K1238" t="s">
        <v>112</v>
      </c>
      <c r="L1238" t="s">
        <v>113</v>
      </c>
      <c r="M1238">
        <v>47.92</v>
      </c>
    </row>
    <row r="1239">
      <c r="A1239" s="2">
        <v>45771</v>
      </c>
      <c r="B1239">
        <v>2025.0</v>
      </c>
      <c r="C1239" t="s">
        <v>315</v>
      </c>
      <c r="D1239" t="s">
        <v>316</v>
      </c>
      <c r="E1239" t="s">
        <v>262</v>
      </c>
      <c r="F1239" t="s">
        <v>305</v>
      </c>
      <c r="G1239" t="s">
        <v>10</v>
      </c>
      <c r="H1239">
        <v>3018.0</v>
      </c>
      <c r="I1239" t="s">
        <v>31</v>
      </c>
      <c r="J1239" t="s">
        <v>120</v>
      </c>
      <c r="K1239" t="s">
        <v>95</v>
      </c>
      <c r="L1239" t="s">
        <v>96</v>
      </c>
      <c r="M1239">
        <v>47.94</v>
      </c>
    </row>
    <row r="1240">
      <c r="A1240" s="2">
        <v>45305</v>
      </c>
      <c r="B1240">
        <v>2024.0</v>
      </c>
      <c r="C1240" t="s">
        <v>318</v>
      </c>
      <c r="D1240" t="s">
        <v>316</v>
      </c>
      <c r="E1240" t="s">
        <v>175</v>
      </c>
      <c r="F1240" t="s">
        <v>311</v>
      </c>
      <c r="G1240" t="s">
        <v>16</v>
      </c>
      <c r="H1240">
        <v>2617.0</v>
      </c>
      <c r="I1240" t="s">
        <v>31</v>
      </c>
      <c r="J1240" t="s">
        <v>107</v>
      </c>
      <c r="K1240" t="s">
        <v>43</v>
      </c>
      <c r="L1240" t="s">
        <v>44</v>
      </c>
      <c r="M1240">
        <v>47.94</v>
      </c>
    </row>
    <row r="1241">
      <c r="A1241" s="2">
        <v>45823</v>
      </c>
      <c r="B1241">
        <v>2025.0</v>
      </c>
      <c r="C1241" t="s">
        <v>315</v>
      </c>
      <c r="D1241" t="s">
        <v>319</v>
      </c>
      <c r="E1241" t="s">
        <v>248</v>
      </c>
      <c r="F1241" t="s">
        <v>307</v>
      </c>
      <c r="G1241" t="s">
        <v>12</v>
      </c>
      <c r="H1241">
        <v>6112.0</v>
      </c>
      <c r="I1241" t="s">
        <v>31</v>
      </c>
      <c r="J1241" t="s">
        <v>162</v>
      </c>
      <c r="K1241" t="s">
        <v>38</v>
      </c>
      <c r="L1241" t="s">
        <v>39</v>
      </c>
      <c r="M1241">
        <v>47.94</v>
      </c>
    </row>
    <row r="1242">
      <c r="A1242" s="2">
        <v>45982</v>
      </c>
      <c r="B1242">
        <v>2026.0</v>
      </c>
      <c r="C1242" t="s">
        <v>321</v>
      </c>
      <c r="D1242" t="s">
        <v>319</v>
      </c>
      <c r="E1242" t="s">
        <v>150</v>
      </c>
      <c r="F1242" t="s">
        <v>310</v>
      </c>
      <c r="G1242" t="s">
        <v>15</v>
      </c>
      <c r="H1242">
        <v>7250.0</v>
      </c>
      <c r="I1242" t="s">
        <v>31</v>
      </c>
      <c r="J1242" t="s">
        <v>53</v>
      </c>
      <c r="K1242" t="s">
        <v>123</v>
      </c>
      <c r="L1242" t="s">
        <v>124</v>
      </c>
      <c r="M1242">
        <v>47.94</v>
      </c>
    </row>
    <row r="1243">
      <c r="A1243" s="2">
        <v>45932</v>
      </c>
      <c r="B1243">
        <v>2026.0</v>
      </c>
      <c r="C1243" t="s">
        <v>321</v>
      </c>
      <c r="D1243" t="s">
        <v>316</v>
      </c>
      <c r="E1243" t="s">
        <v>193</v>
      </c>
      <c r="F1243" t="s">
        <v>304</v>
      </c>
      <c r="G1243" t="s">
        <v>9</v>
      </c>
      <c r="H1243">
        <v>2020.0</v>
      </c>
      <c r="I1243" t="s">
        <v>31</v>
      </c>
      <c r="J1243" t="s">
        <v>99</v>
      </c>
      <c r="K1243" t="s">
        <v>95</v>
      </c>
      <c r="L1243" t="s">
        <v>96</v>
      </c>
      <c r="M1243">
        <v>47.94</v>
      </c>
    </row>
    <row r="1244">
      <c r="A1244" s="2">
        <v>45632</v>
      </c>
      <c r="B1244">
        <v>2025.0</v>
      </c>
      <c r="C1244" t="s">
        <v>315</v>
      </c>
      <c r="D1244" t="s">
        <v>319</v>
      </c>
      <c r="E1244" t="s">
        <v>221</v>
      </c>
      <c r="F1244" t="s">
        <v>306</v>
      </c>
      <c r="G1244" t="s">
        <v>11</v>
      </c>
      <c r="H1244">
        <v>4053.0</v>
      </c>
      <c r="I1244" t="s">
        <v>31</v>
      </c>
      <c r="J1244" t="s">
        <v>56</v>
      </c>
      <c r="K1244" t="s">
        <v>43</v>
      </c>
      <c r="L1244" t="s">
        <v>44</v>
      </c>
      <c r="M1244">
        <v>47.94</v>
      </c>
    </row>
    <row r="1245">
      <c r="A1245" s="2">
        <v>45510</v>
      </c>
      <c r="B1245">
        <v>2025.0</v>
      </c>
      <c r="C1245" t="s">
        <v>315</v>
      </c>
      <c r="D1245" t="s">
        <v>319</v>
      </c>
      <c r="E1245" t="s">
        <v>181</v>
      </c>
      <c r="F1245" t="s">
        <v>306</v>
      </c>
      <c r="G1245" t="s">
        <v>11</v>
      </c>
      <c r="H1245">
        <v>4119.0</v>
      </c>
      <c r="I1245" t="s">
        <v>31</v>
      </c>
      <c r="J1245" t="s">
        <v>56</v>
      </c>
      <c r="K1245" t="s">
        <v>46</v>
      </c>
      <c r="L1245" t="s">
        <v>47</v>
      </c>
      <c r="M1245">
        <v>47.94</v>
      </c>
    </row>
    <row r="1246">
      <c r="A1246" s="2">
        <v>45524</v>
      </c>
      <c r="B1246">
        <v>2025.0</v>
      </c>
      <c r="C1246" t="s">
        <v>315</v>
      </c>
      <c r="D1246" t="s">
        <v>316</v>
      </c>
      <c r="E1246" t="s">
        <v>165</v>
      </c>
      <c r="F1246" t="s">
        <v>304</v>
      </c>
      <c r="G1246" t="s">
        <v>9</v>
      </c>
      <c r="H1246">
        <v>2064.0</v>
      </c>
      <c r="I1246" t="s">
        <v>31</v>
      </c>
      <c r="J1246" t="s">
        <v>99</v>
      </c>
      <c r="K1246" t="s">
        <v>38</v>
      </c>
      <c r="L1246" t="s">
        <v>39</v>
      </c>
      <c r="M1246">
        <v>47.95</v>
      </c>
    </row>
    <row r="1247">
      <c r="A1247" s="2">
        <v>45813</v>
      </c>
      <c r="B1247">
        <v>2025.0</v>
      </c>
      <c r="C1247" t="s">
        <v>315</v>
      </c>
      <c r="D1247" t="s">
        <v>316</v>
      </c>
      <c r="E1247" t="s">
        <v>228</v>
      </c>
      <c r="F1247" t="s">
        <v>306</v>
      </c>
      <c r="G1247" t="s">
        <v>11</v>
      </c>
      <c r="H1247">
        <v>4680.0</v>
      </c>
      <c r="I1247" t="s">
        <v>31</v>
      </c>
      <c r="J1247" t="s">
        <v>32</v>
      </c>
      <c r="K1247" t="s">
        <v>43</v>
      </c>
      <c r="L1247" t="s">
        <v>44</v>
      </c>
      <c r="M1247">
        <v>47.97</v>
      </c>
    </row>
    <row r="1248">
      <c r="A1248" s="2">
        <v>45713</v>
      </c>
      <c r="B1248">
        <v>2025.0</v>
      </c>
      <c r="C1248" t="s">
        <v>315</v>
      </c>
      <c r="D1248" t="s">
        <v>319</v>
      </c>
      <c r="E1248" t="s">
        <v>121</v>
      </c>
      <c r="F1248" t="s">
        <v>306</v>
      </c>
      <c r="G1248" t="s">
        <v>11</v>
      </c>
      <c r="H1248">
        <v>4566.0</v>
      </c>
      <c r="I1248" t="s">
        <v>31</v>
      </c>
      <c r="J1248" t="s">
        <v>84</v>
      </c>
      <c r="K1248" t="s">
        <v>123</v>
      </c>
      <c r="L1248" t="s">
        <v>124</v>
      </c>
      <c r="M1248">
        <v>47.97</v>
      </c>
    </row>
    <row r="1249">
      <c r="A1249" s="2">
        <v>45496</v>
      </c>
      <c r="B1249">
        <v>2025.0</v>
      </c>
      <c r="C1249" t="s">
        <v>315</v>
      </c>
      <c r="D1249" t="s">
        <v>316</v>
      </c>
      <c r="E1249" t="s">
        <v>205</v>
      </c>
      <c r="F1249" t="s">
        <v>305</v>
      </c>
      <c r="G1249" t="s">
        <v>10</v>
      </c>
      <c r="H1249">
        <v>3400.0</v>
      </c>
      <c r="I1249" t="s">
        <v>31</v>
      </c>
      <c r="J1249" t="s">
        <v>37</v>
      </c>
      <c r="K1249" t="s">
        <v>43</v>
      </c>
      <c r="L1249" t="s">
        <v>44</v>
      </c>
      <c r="M1249">
        <v>47.980000000000004</v>
      </c>
    </row>
    <row r="1250">
      <c r="A1250" s="2">
        <v>45731</v>
      </c>
      <c r="B1250">
        <v>2025.0</v>
      </c>
      <c r="C1250" t="s">
        <v>315</v>
      </c>
      <c r="D1250" t="s">
        <v>316</v>
      </c>
      <c r="E1250" t="s">
        <v>248</v>
      </c>
      <c r="F1250" t="s">
        <v>307</v>
      </c>
      <c r="G1250" t="s">
        <v>12</v>
      </c>
      <c r="H1250">
        <v>6112.0</v>
      </c>
      <c r="I1250" t="s">
        <v>31</v>
      </c>
      <c r="J1250" t="s">
        <v>162</v>
      </c>
      <c r="K1250" t="s">
        <v>43</v>
      </c>
      <c r="L1250" t="s">
        <v>44</v>
      </c>
      <c r="M1250">
        <v>48.0</v>
      </c>
    </row>
    <row r="1251">
      <c r="A1251" s="2">
        <v>45802</v>
      </c>
      <c r="B1251">
        <v>2025.0</v>
      </c>
      <c r="C1251" t="s">
        <v>315</v>
      </c>
      <c r="D1251" t="s">
        <v>319</v>
      </c>
      <c r="E1251" t="s">
        <v>133</v>
      </c>
      <c r="F1251" t="s">
        <v>305</v>
      </c>
      <c r="G1251" t="s">
        <v>10</v>
      </c>
      <c r="H1251">
        <v>3429.0</v>
      </c>
      <c r="I1251" t="s">
        <v>31</v>
      </c>
      <c r="J1251" t="s">
        <v>37</v>
      </c>
      <c r="K1251" t="s">
        <v>43</v>
      </c>
      <c r="L1251" t="s">
        <v>44</v>
      </c>
      <c r="M1251">
        <v>48.0</v>
      </c>
    </row>
    <row r="1252">
      <c r="A1252" s="2">
        <v>45506</v>
      </c>
      <c r="B1252">
        <v>2025.0</v>
      </c>
      <c r="C1252" t="s">
        <v>315</v>
      </c>
      <c r="D1252" t="s">
        <v>316</v>
      </c>
      <c r="E1252" t="s">
        <v>85</v>
      </c>
      <c r="F1252" t="s">
        <v>304</v>
      </c>
      <c r="G1252" t="s">
        <v>9</v>
      </c>
      <c r="H1252">
        <v>2120.0</v>
      </c>
      <c r="I1252" t="s">
        <v>31</v>
      </c>
      <c r="J1252" t="s">
        <v>81</v>
      </c>
      <c r="K1252" t="s">
        <v>123</v>
      </c>
      <c r="L1252" t="s">
        <v>124</v>
      </c>
      <c r="M1252">
        <v>48.04</v>
      </c>
    </row>
    <row r="1253">
      <c r="A1253" s="2">
        <v>45735</v>
      </c>
      <c r="B1253">
        <v>2025.0</v>
      </c>
      <c r="C1253" t="s">
        <v>315</v>
      </c>
      <c r="D1253" t="s">
        <v>319</v>
      </c>
      <c r="E1253" t="s">
        <v>183</v>
      </c>
      <c r="F1253" t="s">
        <v>304</v>
      </c>
      <c r="G1253" t="s">
        <v>9</v>
      </c>
      <c r="H1253">
        <v>2480.0</v>
      </c>
      <c r="I1253" t="s">
        <v>31</v>
      </c>
      <c r="J1253" t="s">
        <v>70</v>
      </c>
      <c r="K1253" t="s">
        <v>66</v>
      </c>
      <c r="L1253" t="s">
        <v>67</v>
      </c>
      <c r="M1253">
        <v>48.09</v>
      </c>
    </row>
    <row r="1254">
      <c r="A1254" s="2">
        <v>45979</v>
      </c>
      <c r="B1254">
        <v>2026.0</v>
      </c>
      <c r="C1254" t="s">
        <v>321</v>
      </c>
      <c r="D1254" t="s">
        <v>316</v>
      </c>
      <c r="E1254" t="s">
        <v>256</v>
      </c>
      <c r="F1254" t="s">
        <v>304</v>
      </c>
      <c r="G1254" t="s">
        <v>9</v>
      </c>
      <c r="H1254">
        <v>2350.0</v>
      </c>
      <c r="I1254" t="s">
        <v>31</v>
      </c>
      <c r="J1254" t="s">
        <v>70</v>
      </c>
      <c r="K1254" t="s">
        <v>123</v>
      </c>
      <c r="L1254" t="s">
        <v>124</v>
      </c>
      <c r="M1254">
        <v>48.209999999999994</v>
      </c>
    </row>
    <row r="1255">
      <c r="A1255" s="2">
        <v>45965</v>
      </c>
      <c r="B1255">
        <v>2026.0</v>
      </c>
      <c r="C1255" t="s">
        <v>321</v>
      </c>
      <c r="D1255" t="s">
        <v>316</v>
      </c>
      <c r="E1255" t="s">
        <v>209</v>
      </c>
      <c r="F1255" t="s">
        <v>304</v>
      </c>
      <c r="G1255" t="s">
        <v>9</v>
      </c>
      <c r="H1255">
        <v>2116.0</v>
      </c>
      <c r="I1255" t="s">
        <v>31</v>
      </c>
      <c r="J1255" t="s">
        <v>81</v>
      </c>
      <c r="K1255" t="s">
        <v>43</v>
      </c>
      <c r="L1255" t="s">
        <v>44</v>
      </c>
      <c r="M1255">
        <v>48.83</v>
      </c>
    </row>
    <row r="1256">
      <c r="A1256" s="2">
        <v>45781</v>
      </c>
      <c r="B1256">
        <v>2025.0</v>
      </c>
      <c r="C1256" t="s">
        <v>315</v>
      </c>
      <c r="D1256" t="s">
        <v>319</v>
      </c>
      <c r="E1256" t="s">
        <v>167</v>
      </c>
      <c r="F1256" t="s">
        <v>307</v>
      </c>
      <c r="G1256" t="s">
        <v>12</v>
      </c>
      <c r="H1256">
        <v>6030.0</v>
      </c>
      <c r="I1256" t="s">
        <v>31</v>
      </c>
      <c r="J1256" t="s">
        <v>102</v>
      </c>
      <c r="K1256" t="s">
        <v>33</v>
      </c>
      <c r="L1256" t="s">
        <v>34</v>
      </c>
      <c r="M1256">
        <v>48.85</v>
      </c>
    </row>
    <row r="1257">
      <c r="A1257" s="2">
        <v>45908</v>
      </c>
      <c r="B1257">
        <v>2026.0</v>
      </c>
      <c r="C1257" t="s">
        <v>321</v>
      </c>
      <c r="D1257" t="s">
        <v>316</v>
      </c>
      <c r="E1257" t="s">
        <v>209</v>
      </c>
      <c r="F1257" t="s">
        <v>304</v>
      </c>
      <c r="G1257" t="s">
        <v>9</v>
      </c>
      <c r="H1257">
        <v>2116.0</v>
      </c>
      <c r="I1257" t="s">
        <v>31</v>
      </c>
      <c r="J1257" t="s">
        <v>81</v>
      </c>
      <c r="K1257" t="s">
        <v>38</v>
      </c>
      <c r="L1257" t="s">
        <v>39</v>
      </c>
      <c r="M1257">
        <v>48.910000000000004</v>
      </c>
    </row>
    <row r="1258">
      <c r="A1258" s="2">
        <v>45926</v>
      </c>
      <c r="B1258">
        <v>2026.0</v>
      </c>
      <c r="C1258" t="s">
        <v>321</v>
      </c>
      <c r="D1258" t="s">
        <v>319</v>
      </c>
      <c r="E1258" t="s">
        <v>211</v>
      </c>
      <c r="F1258" t="s">
        <v>304</v>
      </c>
      <c r="G1258" t="s">
        <v>9</v>
      </c>
      <c r="H1258">
        <v>2650.0</v>
      </c>
      <c r="I1258" t="s">
        <v>31</v>
      </c>
      <c r="J1258" t="s">
        <v>75</v>
      </c>
      <c r="K1258" t="s">
        <v>33</v>
      </c>
      <c r="L1258" t="s">
        <v>34</v>
      </c>
      <c r="M1258">
        <v>48.92</v>
      </c>
    </row>
    <row r="1259">
      <c r="A1259" s="2">
        <v>45414</v>
      </c>
      <c r="B1259">
        <v>2024.0</v>
      </c>
      <c r="C1259" t="s">
        <v>318</v>
      </c>
      <c r="D1259" t="s">
        <v>316</v>
      </c>
      <c r="E1259" t="s">
        <v>258</v>
      </c>
      <c r="F1259" t="s">
        <v>309</v>
      </c>
      <c r="G1259" t="s">
        <v>14</v>
      </c>
      <c r="H1259">
        <v>870.0</v>
      </c>
      <c r="I1259" t="s">
        <v>31</v>
      </c>
      <c r="J1259" t="s">
        <v>145</v>
      </c>
      <c r="K1259" t="s">
        <v>38</v>
      </c>
      <c r="L1259" t="s">
        <v>39</v>
      </c>
      <c r="M1259">
        <v>48.93</v>
      </c>
    </row>
    <row r="1260">
      <c r="A1260" s="2">
        <v>45299</v>
      </c>
      <c r="B1260">
        <v>2024.0</v>
      </c>
      <c r="C1260" t="s">
        <v>318</v>
      </c>
      <c r="D1260" t="s">
        <v>316</v>
      </c>
      <c r="E1260" t="s">
        <v>129</v>
      </c>
      <c r="F1260" t="s">
        <v>305</v>
      </c>
      <c r="G1260" t="s">
        <v>10</v>
      </c>
      <c r="H1260">
        <v>3066.0</v>
      </c>
      <c r="I1260" t="s">
        <v>31</v>
      </c>
      <c r="J1260" t="s">
        <v>120</v>
      </c>
      <c r="K1260" t="s">
        <v>95</v>
      </c>
      <c r="L1260" t="s">
        <v>96</v>
      </c>
      <c r="M1260">
        <v>48.93</v>
      </c>
    </row>
    <row r="1261">
      <c r="A1261" s="2">
        <v>45548</v>
      </c>
      <c r="B1261">
        <v>2025.0</v>
      </c>
      <c r="C1261" t="s">
        <v>315</v>
      </c>
      <c r="D1261" t="s">
        <v>319</v>
      </c>
      <c r="E1261" t="s">
        <v>187</v>
      </c>
      <c r="F1261" t="s">
        <v>306</v>
      </c>
      <c r="G1261" t="s">
        <v>11</v>
      </c>
      <c r="H1261">
        <v>4870.0</v>
      </c>
      <c r="I1261" t="s">
        <v>31</v>
      </c>
      <c r="J1261" t="s">
        <v>78</v>
      </c>
      <c r="K1261" t="s">
        <v>43</v>
      </c>
      <c r="L1261" t="s">
        <v>44</v>
      </c>
      <c r="M1261">
        <v>48.94</v>
      </c>
    </row>
    <row r="1262">
      <c r="A1262" s="2">
        <v>45883</v>
      </c>
      <c r="B1262">
        <v>2026.0</v>
      </c>
      <c r="C1262" t="s">
        <v>321</v>
      </c>
      <c r="D1262" t="s">
        <v>319</v>
      </c>
      <c r="E1262" t="s">
        <v>213</v>
      </c>
      <c r="F1262" t="s">
        <v>306</v>
      </c>
      <c r="G1262" t="s">
        <v>11</v>
      </c>
      <c r="H1262">
        <v>4740.0</v>
      </c>
      <c r="I1262" t="s">
        <v>31</v>
      </c>
      <c r="J1262" t="s">
        <v>32</v>
      </c>
      <c r="K1262" t="s">
        <v>43</v>
      </c>
      <c r="L1262" t="s">
        <v>44</v>
      </c>
      <c r="M1262">
        <v>48.97</v>
      </c>
    </row>
    <row r="1263">
      <c r="A1263" s="2">
        <v>45854</v>
      </c>
      <c r="B1263">
        <v>2026.0</v>
      </c>
      <c r="C1263" t="s">
        <v>321</v>
      </c>
      <c r="D1263" t="s">
        <v>319</v>
      </c>
      <c r="E1263" t="s">
        <v>252</v>
      </c>
      <c r="F1263" t="s">
        <v>305</v>
      </c>
      <c r="G1263" t="s">
        <v>10</v>
      </c>
      <c r="H1263">
        <v>3630.0</v>
      </c>
      <c r="I1263" t="s">
        <v>31</v>
      </c>
      <c r="J1263" t="s">
        <v>94</v>
      </c>
      <c r="K1263" t="s">
        <v>43</v>
      </c>
      <c r="L1263" t="s">
        <v>44</v>
      </c>
      <c r="M1263">
        <v>49.0</v>
      </c>
    </row>
    <row r="1264">
      <c r="A1264" s="2">
        <v>45951</v>
      </c>
      <c r="B1264">
        <v>2026.0</v>
      </c>
      <c r="C1264" t="s">
        <v>321</v>
      </c>
      <c r="D1264" t="s">
        <v>319</v>
      </c>
      <c r="E1264" t="s">
        <v>246</v>
      </c>
      <c r="F1264" t="s">
        <v>305</v>
      </c>
      <c r="G1264" t="s">
        <v>10</v>
      </c>
      <c r="H1264">
        <v>3551.0</v>
      </c>
      <c r="I1264" t="s">
        <v>31</v>
      </c>
      <c r="J1264" t="s">
        <v>37</v>
      </c>
      <c r="K1264" t="s">
        <v>123</v>
      </c>
      <c r="L1264" t="s">
        <v>124</v>
      </c>
      <c r="M1264">
        <v>49.25</v>
      </c>
    </row>
    <row r="1265">
      <c r="A1265" s="2">
        <v>45700</v>
      </c>
      <c r="B1265">
        <v>2025.0</v>
      </c>
      <c r="C1265" t="s">
        <v>315</v>
      </c>
      <c r="D1265" t="s">
        <v>316</v>
      </c>
      <c r="E1265" t="s">
        <v>189</v>
      </c>
      <c r="F1265" t="s">
        <v>304</v>
      </c>
      <c r="G1265" t="s">
        <v>9</v>
      </c>
      <c r="H1265">
        <v>2131.0</v>
      </c>
      <c r="I1265" t="s">
        <v>31</v>
      </c>
      <c r="J1265" t="s">
        <v>81</v>
      </c>
      <c r="K1265" t="s">
        <v>95</v>
      </c>
      <c r="L1265" t="s">
        <v>96</v>
      </c>
      <c r="M1265">
        <v>49.9</v>
      </c>
    </row>
    <row r="1266">
      <c r="A1266" s="2">
        <v>45364</v>
      </c>
      <c r="B1266">
        <v>2024.0</v>
      </c>
      <c r="C1266" t="s">
        <v>318</v>
      </c>
      <c r="D1266" t="s">
        <v>319</v>
      </c>
      <c r="E1266" t="s">
        <v>108</v>
      </c>
      <c r="F1266" t="s">
        <v>304</v>
      </c>
      <c r="G1266" t="s">
        <v>9</v>
      </c>
      <c r="H1266">
        <v>2795.0</v>
      </c>
      <c r="I1266" t="s">
        <v>31</v>
      </c>
      <c r="J1266" t="s">
        <v>75</v>
      </c>
      <c r="K1266" t="s">
        <v>95</v>
      </c>
      <c r="L1266" t="s">
        <v>96</v>
      </c>
      <c r="M1266">
        <v>49.9</v>
      </c>
    </row>
    <row r="1267">
      <c r="A1267" s="2">
        <v>45581</v>
      </c>
      <c r="B1267">
        <v>2025.0</v>
      </c>
      <c r="C1267" t="s">
        <v>315</v>
      </c>
      <c r="D1267" t="s">
        <v>316</v>
      </c>
      <c r="E1267" t="s">
        <v>100</v>
      </c>
      <c r="F1267" t="s">
        <v>307</v>
      </c>
      <c r="G1267" t="s">
        <v>12</v>
      </c>
      <c r="H1267">
        <v>6010.0</v>
      </c>
      <c r="I1267" t="s">
        <v>31</v>
      </c>
      <c r="J1267" t="s">
        <v>102</v>
      </c>
      <c r="K1267" t="s">
        <v>38</v>
      </c>
      <c r="L1267" t="s">
        <v>39</v>
      </c>
      <c r="M1267">
        <v>49.91</v>
      </c>
    </row>
    <row r="1268">
      <c r="A1268" s="2">
        <v>45880</v>
      </c>
      <c r="B1268">
        <v>2026.0</v>
      </c>
      <c r="C1268" t="s">
        <v>321</v>
      </c>
      <c r="D1268" t="s">
        <v>319</v>
      </c>
      <c r="E1268" t="s">
        <v>232</v>
      </c>
      <c r="F1268" t="s">
        <v>304</v>
      </c>
      <c r="G1268" t="s">
        <v>9</v>
      </c>
      <c r="H1268">
        <v>2800.0</v>
      </c>
      <c r="I1268" t="s">
        <v>31</v>
      </c>
      <c r="J1268" t="s">
        <v>75</v>
      </c>
      <c r="K1268" t="s">
        <v>57</v>
      </c>
      <c r="L1268" t="s">
        <v>58</v>
      </c>
      <c r="M1268">
        <v>49.93</v>
      </c>
    </row>
    <row r="1269">
      <c r="A1269" s="2">
        <v>45427</v>
      </c>
      <c r="B1269">
        <v>2024.0</v>
      </c>
      <c r="C1269" t="s">
        <v>318</v>
      </c>
      <c r="D1269" t="s">
        <v>319</v>
      </c>
      <c r="E1269" t="s">
        <v>246</v>
      </c>
      <c r="F1269" t="s">
        <v>305</v>
      </c>
      <c r="G1269" t="s">
        <v>10</v>
      </c>
      <c r="H1269">
        <v>3551.0</v>
      </c>
      <c r="I1269" t="s">
        <v>31</v>
      </c>
      <c r="J1269" t="s">
        <v>37</v>
      </c>
      <c r="K1269" t="s">
        <v>43</v>
      </c>
      <c r="L1269" t="s">
        <v>44</v>
      </c>
      <c r="M1269">
        <v>49.94</v>
      </c>
    </row>
    <row r="1270">
      <c r="A1270" s="2">
        <v>45337</v>
      </c>
      <c r="B1270">
        <v>2024.0</v>
      </c>
      <c r="C1270" t="s">
        <v>318</v>
      </c>
      <c r="D1270" t="s">
        <v>316</v>
      </c>
      <c r="E1270" t="s">
        <v>228</v>
      </c>
      <c r="F1270" t="s">
        <v>306</v>
      </c>
      <c r="G1270" t="s">
        <v>11</v>
      </c>
      <c r="H1270">
        <v>4680.0</v>
      </c>
      <c r="I1270" t="s">
        <v>31</v>
      </c>
      <c r="J1270" t="s">
        <v>32</v>
      </c>
      <c r="K1270" t="s">
        <v>46</v>
      </c>
      <c r="L1270" t="s">
        <v>47</v>
      </c>
      <c r="M1270">
        <v>49.94</v>
      </c>
    </row>
    <row r="1271">
      <c r="A1271" s="2">
        <v>45698</v>
      </c>
      <c r="B1271">
        <v>2025.0</v>
      </c>
      <c r="C1271" t="s">
        <v>315</v>
      </c>
      <c r="D1271" t="s">
        <v>316</v>
      </c>
      <c r="E1271" t="s">
        <v>131</v>
      </c>
      <c r="F1271" t="s">
        <v>306</v>
      </c>
      <c r="G1271" t="s">
        <v>11</v>
      </c>
      <c r="H1271">
        <v>4655.0</v>
      </c>
      <c r="I1271" t="s">
        <v>31</v>
      </c>
      <c r="J1271" t="s">
        <v>32</v>
      </c>
      <c r="K1271" t="s">
        <v>123</v>
      </c>
      <c r="L1271" t="s">
        <v>124</v>
      </c>
      <c r="M1271">
        <v>49.94</v>
      </c>
    </row>
    <row r="1272">
      <c r="A1272" s="2">
        <v>45564</v>
      </c>
      <c r="B1272">
        <v>2025.0</v>
      </c>
      <c r="C1272" t="s">
        <v>315</v>
      </c>
      <c r="D1272" t="s">
        <v>316</v>
      </c>
      <c r="E1272" t="s">
        <v>152</v>
      </c>
      <c r="F1272" t="s">
        <v>306</v>
      </c>
      <c r="G1272" t="s">
        <v>11</v>
      </c>
      <c r="H1272">
        <v>4305.0</v>
      </c>
      <c r="I1272" t="s">
        <v>31</v>
      </c>
      <c r="J1272" t="s">
        <v>61</v>
      </c>
      <c r="K1272" t="s">
        <v>43</v>
      </c>
      <c r="L1272" t="s">
        <v>44</v>
      </c>
      <c r="M1272">
        <v>49.94</v>
      </c>
    </row>
    <row r="1273">
      <c r="A1273" s="2">
        <v>45393</v>
      </c>
      <c r="B1273">
        <v>2024.0</v>
      </c>
      <c r="C1273" t="s">
        <v>318</v>
      </c>
      <c r="D1273" t="s">
        <v>316</v>
      </c>
      <c r="E1273" t="s">
        <v>238</v>
      </c>
      <c r="F1273" t="s">
        <v>308</v>
      </c>
      <c r="G1273" t="s">
        <v>13</v>
      </c>
      <c r="H1273">
        <v>5082.0</v>
      </c>
      <c r="I1273" t="s">
        <v>31</v>
      </c>
      <c r="J1273" t="s">
        <v>42</v>
      </c>
      <c r="K1273" t="s">
        <v>123</v>
      </c>
      <c r="L1273" t="s">
        <v>124</v>
      </c>
      <c r="M1273">
        <v>49.94</v>
      </c>
    </row>
    <row r="1274">
      <c r="A1274" s="2">
        <v>45921</v>
      </c>
      <c r="B1274">
        <v>2026.0</v>
      </c>
      <c r="C1274" t="s">
        <v>321</v>
      </c>
      <c r="D1274" t="s">
        <v>319</v>
      </c>
      <c r="E1274" t="s">
        <v>219</v>
      </c>
      <c r="F1274" t="s">
        <v>306</v>
      </c>
      <c r="G1274" t="s">
        <v>11</v>
      </c>
      <c r="H1274">
        <v>4068.0</v>
      </c>
      <c r="I1274" t="s">
        <v>31</v>
      </c>
      <c r="J1274" t="s">
        <v>56</v>
      </c>
      <c r="K1274" t="s">
        <v>43</v>
      </c>
      <c r="L1274" t="s">
        <v>44</v>
      </c>
      <c r="M1274">
        <v>49.95</v>
      </c>
    </row>
    <row r="1275">
      <c r="A1275" s="2">
        <v>45740</v>
      </c>
      <c r="B1275">
        <v>2025.0</v>
      </c>
      <c r="C1275" t="s">
        <v>315</v>
      </c>
      <c r="D1275" t="s">
        <v>319</v>
      </c>
      <c r="E1275" t="s">
        <v>260</v>
      </c>
      <c r="F1275" t="s">
        <v>305</v>
      </c>
      <c r="G1275" t="s">
        <v>10</v>
      </c>
      <c r="H1275">
        <v>3179.0</v>
      </c>
      <c r="I1275" t="s">
        <v>31</v>
      </c>
      <c r="J1275" t="s">
        <v>89</v>
      </c>
      <c r="K1275" t="s">
        <v>71</v>
      </c>
      <c r="L1275" t="s">
        <v>72</v>
      </c>
      <c r="M1275">
        <v>49.95</v>
      </c>
    </row>
    <row r="1276">
      <c r="A1276" s="2">
        <v>45326</v>
      </c>
      <c r="B1276">
        <v>2024.0</v>
      </c>
      <c r="C1276" t="s">
        <v>318</v>
      </c>
      <c r="D1276" t="s">
        <v>316</v>
      </c>
      <c r="E1276" t="s">
        <v>92</v>
      </c>
      <c r="F1276" t="s">
        <v>305</v>
      </c>
      <c r="G1276" t="s">
        <v>10</v>
      </c>
      <c r="H1276">
        <v>3690.0</v>
      </c>
      <c r="I1276" t="s">
        <v>31</v>
      </c>
      <c r="J1276" t="s">
        <v>94</v>
      </c>
      <c r="K1276" t="s">
        <v>123</v>
      </c>
      <c r="L1276" t="s">
        <v>124</v>
      </c>
      <c r="M1276">
        <v>49.97</v>
      </c>
    </row>
    <row r="1277">
      <c r="A1277" s="2">
        <v>45884</v>
      </c>
      <c r="B1277">
        <v>2026.0</v>
      </c>
      <c r="C1277" t="s">
        <v>321</v>
      </c>
      <c r="D1277" t="s">
        <v>316</v>
      </c>
      <c r="E1277" t="s">
        <v>234</v>
      </c>
      <c r="F1277" t="s">
        <v>304</v>
      </c>
      <c r="G1277" t="s">
        <v>9</v>
      </c>
      <c r="H1277">
        <v>2158.0</v>
      </c>
      <c r="I1277" t="s">
        <v>31</v>
      </c>
      <c r="J1277" t="s">
        <v>81</v>
      </c>
      <c r="K1277" t="s">
        <v>46</v>
      </c>
      <c r="L1277" t="s">
        <v>47</v>
      </c>
      <c r="M1277">
        <v>49.980000000000004</v>
      </c>
    </row>
    <row r="1278">
      <c r="A1278" s="2">
        <v>45580</v>
      </c>
      <c r="B1278">
        <v>2025.0</v>
      </c>
      <c r="C1278" t="s">
        <v>315</v>
      </c>
      <c r="D1278" t="s">
        <v>316</v>
      </c>
      <c r="E1278" t="s">
        <v>215</v>
      </c>
      <c r="F1278" t="s">
        <v>310</v>
      </c>
      <c r="G1278" t="s">
        <v>15</v>
      </c>
      <c r="H1278">
        <v>7320.0</v>
      </c>
      <c r="I1278" t="s">
        <v>31</v>
      </c>
      <c r="J1278" t="s">
        <v>53</v>
      </c>
      <c r="K1278" t="s">
        <v>43</v>
      </c>
      <c r="L1278" t="s">
        <v>44</v>
      </c>
      <c r="M1278">
        <v>50.0</v>
      </c>
    </row>
    <row r="1279">
      <c r="A1279" s="2">
        <v>45642</v>
      </c>
      <c r="B1279">
        <v>2025.0</v>
      </c>
      <c r="C1279" t="s">
        <v>315</v>
      </c>
      <c r="D1279" t="s">
        <v>316</v>
      </c>
      <c r="E1279" t="s">
        <v>141</v>
      </c>
      <c r="F1279" t="s">
        <v>304</v>
      </c>
      <c r="G1279" t="s">
        <v>9</v>
      </c>
      <c r="H1279">
        <v>2539.0</v>
      </c>
      <c r="I1279" t="s">
        <v>31</v>
      </c>
      <c r="J1279" t="s">
        <v>107</v>
      </c>
      <c r="K1279" t="s">
        <v>43</v>
      </c>
      <c r="L1279" t="s">
        <v>44</v>
      </c>
      <c r="M1279">
        <v>50.0</v>
      </c>
    </row>
    <row r="1280">
      <c r="A1280" s="2">
        <v>45973</v>
      </c>
      <c r="B1280">
        <v>2026.0</v>
      </c>
      <c r="C1280" t="s">
        <v>321</v>
      </c>
      <c r="D1280" t="s">
        <v>316</v>
      </c>
      <c r="E1280" t="s">
        <v>154</v>
      </c>
      <c r="F1280" t="s">
        <v>306</v>
      </c>
      <c r="G1280" t="s">
        <v>11</v>
      </c>
      <c r="H1280">
        <v>4551.0</v>
      </c>
      <c r="I1280" t="s">
        <v>31</v>
      </c>
      <c r="J1280" t="s">
        <v>84</v>
      </c>
      <c r="K1280" t="s">
        <v>95</v>
      </c>
      <c r="L1280" t="s">
        <v>96</v>
      </c>
      <c r="M1280">
        <v>50.22</v>
      </c>
    </row>
    <row r="1281">
      <c r="A1281" s="2">
        <v>45503</v>
      </c>
      <c r="B1281">
        <v>2025.0</v>
      </c>
      <c r="C1281" t="s">
        <v>315</v>
      </c>
      <c r="D1281" t="s">
        <v>319</v>
      </c>
      <c r="E1281" t="s">
        <v>246</v>
      </c>
      <c r="F1281" t="s">
        <v>305</v>
      </c>
      <c r="G1281" t="s">
        <v>10</v>
      </c>
      <c r="H1281">
        <v>3551.0</v>
      </c>
      <c r="I1281" t="s">
        <v>31</v>
      </c>
      <c r="J1281" t="s">
        <v>37</v>
      </c>
      <c r="K1281" t="s">
        <v>71</v>
      </c>
      <c r="L1281" t="s">
        <v>72</v>
      </c>
      <c r="M1281">
        <v>50.25</v>
      </c>
    </row>
    <row r="1282">
      <c r="A1282" s="2">
        <v>45644</v>
      </c>
      <c r="B1282">
        <v>2025.0</v>
      </c>
      <c r="C1282" t="s">
        <v>315</v>
      </c>
      <c r="D1282" t="s">
        <v>316</v>
      </c>
      <c r="E1282" t="s">
        <v>189</v>
      </c>
      <c r="F1282" t="s">
        <v>304</v>
      </c>
      <c r="G1282" t="s">
        <v>9</v>
      </c>
      <c r="H1282">
        <v>2131.0</v>
      </c>
      <c r="I1282" t="s">
        <v>31</v>
      </c>
      <c r="J1282" t="s">
        <v>81</v>
      </c>
      <c r="K1282" t="s">
        <v>123</v>
      </c>
      <c r="L1282" t="s">
        <v>124</v>
      </c>
      <c r="M1282">
        <v>50.36</v>
      </c>
    </row>
    <row r="1283">
      <c r="A1283" s="2">
        <v>45783</v>
      </c>
      <c r="B1283">
        <v>2025.0</v>
      </c>
      <c r="C1283" t="s">
        <v>315</v>
      </c>
      <c r="D1283" t="s">
        <v>316</v>
      </c>
      <c r="E1283" t="s">
        <v>179</v>
      </c>
      <c r="F1283" t="s">
        <v>304</v>
      </c>
      <c r="G1283" t="s">
        <v>9</v>
      </c>
      <c r="H1283">
        <v>2015.0</v>
      </c>
      <c r="I1283" t="s">
        <v>31</v>
      </c>
      <c r="J1283" t="s">
        <v>99</v>
      </c>
      <c r="K1283" t="s">
        <v>66</v>
      </c>
      <c r="L1283" t="s">
        <v>67</v>
      </c>
      <c r="M1283">
        <v>50.4</v>
      </c>
    </row>
    <row r="1284">
      <c r="A1284" s="2">
        <v>45606</v>
      </c>
      <c r="B1284">
        <v>2025.0</v>
      </c>
      <c r="C1284" t="s">
        <v>315</v>
      </c>
      <c r="D1284" t="s">
        <v>316</v>
      </c>
      <c r="E1284" t="s">
        <v>189</v>
      </c>
      <c r="F1284" t="s">
        <v>304</v>
      </c>
      <c r="G1284" t="s">
        <v>9</v>
      </c>
      <c r="H1284">
        <v>2131.0</v>
      </c>
      <c r="I1284" t="s">
        <v>31</v>
      </c>
      <c r="J1284" t="s">
        <v>81</v>
      </c>
      <c r="K1284" t="s">
        <v>112</v>
      </c>
      <c r="L1284" t="s">
        <v>113</v>
      </c>
      <c r="M1284">
        <v>50.400000000000006</v>
      </c>
    </row>
    <row r="1285">
      <c r="A1285" s="2">
        <v>45692</v>
      </c>
      <c r="B1285">
        <v>2025.0</v>
      </c>
      <c r="C1285" t="s">
        <v>315</v>
      </c>
      <c r="D1285" t="s">
        <v>316</v>
      </c>
      <c r="E1285" t="s">
        <v>165</v>
      </c>
      <c r="F1285" t="s">
        <v>304</v>
      </c>
      <c r="G1285" t="s">
        <v>9</v>
      </c>
      <c r="H1285">
        <v>2064.0</v>
      </c>
      <c r="I1285" t="s">
        <v>31</v>
      </c>
      <c r="J1285" t="s">
        <v>99</v>
      </c>
      <c r="K1285" t="s">
        <v>46</v>
      </c>
      <c r="L1285" t="s">
        <v>47</v>
      </c>
      <c r="M1285">
        <v>50.97</v>
      </c>
    </row>
    <row r="1286">
      <c r="A1286" s="2">
        <v>45337</v>
      </c>
      <c r="B1286">
        <v>2024.0</v>
      </c>
      <c r="C1286" t="s">
        <v>318</v>
      </c>
      <c r="D1286" t="s">
        <v>316</v>
      </c>
      <c r="E1286" t="s">
        <v>105</v>
      </c>
      <c r="F1286" t="s">
        <v>304</v>
      </c>
      <c r="G1286" t="s">
        <v>9</v>
      </c>
      <c r="H1286">
        <v>2541.0</v>
      </c>
      <c r="I1286" t="s">
        <v>31</v>
      </c>
      <c r="J1286" t="s">
        <v>107</v>
      </c>
      <c r="K1286" t="s">
        <v>112</v>
      </c>
      <c r="L1286" t="s">
        <v>113</v>
      </c>
      <c r="M1286">
        <v>51.0</v>
      </c>
    </row>
    <row r="1287">
      <c r="A1287" s="2">
        <v>45512</v>
      </c>
      <c r="B1287">
        <v>2025.0</v>
      </c>
      <c r="C1287" t="s">
        <v>315</v>
      </c>
      <c r="D1287" t="s">
        <v>319</v>
      </c>
      <c r="E1287" t="s">
        <v>97</v>
      </c>
      <c r="F1287" t="s">
        <v>304</v>
      </c>
      <c r="G1287" t="s">
        <v>9</v>
      </c>
      <c r="H1287">
        <v>2067.0</v>
      </c>
      <c r="I1287" t="s">
        <v>31</v>
      </c>
      <c r="J1287" t="s">
        <v>99</v>
      </c>
      <c r="K1287" t="s">
        <v>33</v>
      </c>
      <c r="L1287" t="s">
        <v>34</v>
      </c>
      <c r="M1287">
        <v>51.0</v>
      </c>
    </row>
    <row r="1288">
      <c r="A1288" s="2">
        <v>45321</v>
      </c>
      <c r="B1288">
        <v>2024.0</v>
      </c>
      <c r="C1288" t="s">
        <v>318</v>
      </c>
      <c r="D1288" t="s">
        <v>316</v>
      </c>
      <c r="E1288" t="s">
        <v>154</v>
      </c>
      <c r="F1288" t="s">
        <v>306</v>
      </c>
      <c r="G1288" t="s">
        <v>11</v>
      </c>
      <c r="H1288">
        <v>4551.0</v>
      </c>
      <c r="I1288" t="s">
        <v>31</v>
      </c>
      <c r="J1288" t="s">
        <v>84</v>
      </c>
      <c r="K1288" t="s">
        <v>43</v>
      </c>
      <c r="L1288" t="s">
        <v>44</v>
      </c>
      <c r="M1288">
        <v>51.0</v>
      </c>
    </row>
    <row r="1289">
      <c r="A1289" s="2">
        <v>45658</v>
      </c>
      <c r="B1289">
        <v>2025.0</v>
      </c>
      <c r="C1289" t="s">
        <v>315</v>
      </c>
      <c r="D1289" t="s">
        <v>319</v>
      </c>
      <c r="E1289" t="s">
        <v>203</v>
      </c>
      <c r="F1289" t="s">
        <v>305</v>
      </c>
      <c r="G1289" t="s">
        <v>10</v>
      </c>
      <c r="H1289">
        <v>3175.0</v>
      </c>
      <c r="I1289" t="s">
        <v>31</v>
      </c>
      <c r="J1289" t="s">
        <v>89</v>
      </c>
      <c r="K1289" t="s">
        <v>123</v>
      </c>
      <c r="L1289" t="s">
        <v>124</v>
      </c>
      <c r="M1289">
        <v>51.05</v>
      </c>
    </row>
    <row r="1290">
      <c r="A1290" s="2">
        <v>45356</v>
      </c>
      <c r="B1290">
        <v>2024.0</v>
      </c>
      <c r="C1290" t="s">
        <v>318</v>
      </c>
      <c r="D1290" t="s">
        <v>316</v>
      </c>
      <c r="E1290" t="s">
        <v>228</v>
      </c>
      <c r="F1290" t="s">
        <v>306</v>
      </c>
      <c r="G1290" t="s">
        <v>11</v>
      </c>
      <c r="H1290">
        <v>4680.0</v>
      </c>
      <c r="I1290" t="s">
        <v>31</v>
      </c>
      <c r="J1290" t="s">
        <v>32</v>
      </c>
      <c r="K1290" t="s">
        <v>38</v>
      </c>
      <c r="L1290" t="s">
        <v>39</v>
      </c>
      <c r="M1290">
        <v>51.5</v>
      </c>
    </row>
    <row r="1291">
      <c r="A1291" s="2">
        <v>45836</v>
      </c>
      <c r="B1291">
        <v>2025.0</v>
      </c>
      <c r="C1291" t="s">
        <v>315</v>
      </c>
      <c r="D1291" t="s">
        <v>316</v>
      </c>
      <c r="E1291" t="s">
        <v>97</v>
      </c>
      <c r="F1291" t="s">
        <v>304</v>
      </c>
      <c r="G1291" t="s">
        <v>9</v>
      </c>
      <c r="H1291">
        <v>2067.0</v>
      </c>
      <c r="I1291" t="s">
        <v>31</v>
      </c>
      <c r="J1291" t="s">
        <v>99</v>
      </c>
      <c r="K1291" t="s">
        <v>71</v>
      </c>
      <c r="L1291" t="s">
        <v>72</v>
      </c>
      <c r="M1291">
        <v>51.87</v>
      </c>
    </row>
    <row r="1292">
      <c r="A1292" s="2">
        <v>45324</v>
      </c>
      <c r="B1292">
        <v>2024.0</v>
      </c>
      <c r="C1292" t="s">
        <v>318</v>
      </c>
      <c r="D1292" t="s">
        <v>316</v>
      </c>
      <c r="E1292" t="s">
        <v>205</v>
      </c>
      <c r="F1292" t="s">
        <v>305</v>
      </c>
      <c r="G1292" t="s">
        <v>10</v>
      </c>
      <c r="H1292">
        <v>3400.0</v>
      </c>
      <c r="I1292" t="s">
        <v>31</v>
      </c>
      <c r="J1292" t="s">
        <v>37</v>
      </c>
      <c r="K1292" t="s">
        <v>71</v>
      </c>
      <c r="L1292" t="s">
        <v>72</v>
      </c>
      <c r="M1292">
        <v>51.87</v>
      </c>
    </row>
    <row r="1293">
      <c r="A1293" s="2">
        <v>45766</v>
      </c>
      <c r="B1293">
        <v>2025.0</v>
      </c>
      <c r="C1293" t="s">
        <v>315</v>
      </c>
      <c r="D1293" t="s">
        <v>316</v>
      </c>
      <c r="E1293" t="s">
        <v>165</v>
      </c>
      <c r="F1293" t="s">
        <v>304</v>
      </c>
      <c r="G1293" t="s">
        <v>9</v>
      </c>
      <c r="H1293">
        <v>2064.0</v>
      </c>
      <c r="I1293" t="s">
        <v>31</v>
      </c>
      <c r="J1293" t="s">
        <v>99</v>
      </c>
      <c r="K1293" t="s">
        <v>123</v>
      </c>
      <c r="L1293" t="s">
        <v>124</v>
      </c>
      <c r="M1293">
        <v>51.94</v>
      </c>
    </row>
    <row r="1294">
      <c r="A1294" s="2">
        <v>45727</v>
      </c>
      <c r="B1294">
        <v>2025.0</v>
      </c>
      <c r="C1294" t="s">
        <v>315</v>
      </c>
      <c r="D1294" t="s">
        <v>316</v>
      </c>
      <c r="E1294" t="s">
        <v>173</v>
      </c>
      <c r="F1294" t="s">
        <v>306</v>
      </c>
      <c r="G1294" t="s">
        <v>11</v>
      </c>
      <c r="H1294">
        <v>4220.0</v>
      </c>
      <c r="I1294" t="s">
        <v>31</v>
      </c>
      <c r="J1294" t="s">
        <v>61</v>
      </c>
      <c r="K1294" t="s">
        <v>46</v>
      </c>
      <c r="L1294" t="s">
        <v>47</v>
      </c>
      <c r="M1294">
        <v>51.96</v>
      </c>
    </row>
    <row r="1295">
      <c r="A1295" s="2">
        <v>45764</v>
      </c>
      <c r="B1295">
        <v>2025.0</v>
      </c>
      <c r="C1295" t="s">
        <v>315</v>
      </c>
      <c r="D1295" t="s">
        <v>319</v>
      </c>
      <c r="E1295" t="s">
        <v>160</v>
      </c>
      <c r="F1295" t="s">
        <v>307</v>
      </c>
      <c r="G1295" t="s">
        <v>12</v>
      </c>
      <c r="H1295">
        <v>6280.0</v>
      </c>
      <c r="I1295" t="s">
        <v>31</v>
      </c>
      <c r="J1295" t="s">
        <v>162</v>
      </c>
      <c r="K1295" t="s">
        <v>46</v>
      </c>
      <c r="L1295" t="s">
        <v>47</v>
      </c>
      <c r="M1295">
        <v>51.96</v>
      </c>
    </row>
    <row r="1296">
      <c r="A1296" s="2">
        <v>45542</v>
      </c>
      <c r="B1296">
        <v>2025.0</v>
      </c>
      <c r="C1296" t="s">
        <v>315</v>
      </c>
      <c r="D1296" t="s">
        <v>316</v>
      </c>
      <c r="E1296" t="s">
        <v>154</v>
      </c>
      <c r="F1296" t="s">
        <v>306</v>
      </c>
      <c r="G1296" t="s">
        <v>11</v>
      </c>
      <c r="H1296">
        <v>4551.0</v>
      </c>
      <c r="I1296" t="s">
        <v>31</v>
      </c>
      <c r="J1296" t="s">
        <v>84</v>
      </c>
      <c r="K1296" t="s">
        <v>46</v>
      </c>
      <c r="L1296" t="s">
        <v>47</v>
      </c>
      <c r="M1296">
        <v>51.96</v>
      </c>
    </row>
    <row r="1297">
      <c r="A1297" s="2">
        <v>45737</v>
      </c>
      <c r="B1297">
        <v>2025.0</v>
      </c>
      <c r="C1297" t="s">
        <v>315</v>
      </c>
      <c r="D1297" t="s">
        <v>316</v>
      </c>
      <c r="E1297" t="s">
        <v>234</v>
      </c>
      <c r="F1297" t="s">
        <v>304</v>
      </c>
      <c r="G1297" t="s">
        <v>9</v>
      </c>
      <c r="H1297">
        <v>2158.0</v>
      </c>
      <c r="I1297" t="s">
        <v>31</v>
      </c>
      <c r="J1297" t="s">
        <v>81</v>
      </c>
      <c r="K1297" t="s">
        <v>57</v>
      </c>
      <c r="L1297" t="s">
        <v>58</v>
      </c>
      <c r="M1297">
        <v>51.96</v>
      </c>
    </row>
    <row r="1298">
      <c r="A1298" s="2">
        <v>45874</v>
      </c>
      <c r="B1298">
        <v>2026.0</v>
      </c>
      <c r="C1298" t="s">
        <v>321</v>
      </c>
      <c r="D1298" t="s">
        <v>319</v>
      </c>
      <c r="E1298" t="s">
        <v>246</v>
      </c>
      <c r="F1298" t="s">
        <v>305</v>
      </c>
      <c r="G1298" t="s">
        <v>10</v>
      </c>
      <c r="H1298">
        <v>3551.0</v>
      </c>
      <c r="I1298" t="s">
        <v>31</v>
      </c>
      <c r="J1298" t="s">
        <v>37</v>
      </c>
      <c r="K1298" t="s">
        <v>46</v>
      </c>
      <c r="L1298" t="s">
        <v>47</v>
      </c>
      <c r="M1298">
        <v>51.96</v>
      </c>
    </row>
    <row r="1299">
      <c r="A1299" s="2">
        <v>46016</v>
      </c>
      <c r="B1299">
        <v>2026.0</v>
      </c>
      <c r="C1299" t="s">
        <v>321</v>
      </c>
      <c r="D1299" t="s">
        <v>316</v>
      </c>
      <c r="E1299" t="s">
        <v>139</v>
      </c>
      <c r="F1299" t="s">
        <v>305</v>
      </c>
      <c r="G1299" t="s">
        <v>10</v>
      </c>
      <c r="H1299">
        <v>3199.0</v>
      </c>
      <c r="I1299" t="s">
        <v>31</v>
      </c>
      <c r="J1299" t="s">
        <v>89</v>
      </c>
      <c r="K1299" t="s">
        <v>46</v>
      </c>
      <c r="L1299" t="s">
        <v>47</v>
      </c>
      <c r="M1299">
        <v>51.96</v>
      </c>
    </row>
    <row r="1300">
      <c r="A1300" s="2">
        <v>45746</v>
      </c>
      <c r="B1300">
        <v>2025.0</v>
      </c>
      <c r="C1300" t="s">
        <v>315</v>
      </c>
      <c r="D1300" t="s">
        <v>319</v>
      </c>
      <c r="E1300" t="s">
        <v>135</v>
      </c>
      <c r="F1300" t="s">
        <v>311</v>
      </c>
      <c r="G1300" t="s">
        <v>16</v>
      </c>
      <c r="H1300">
        <v>2609.0</v>
      </c>
      <c r="I1300" t="s">
        <v>31</v>
      </c>
      <c r="J1300" t="s">
        <v>107</v>
      </c>
      <c r="K1300" t="s">
        <v>46</v>
      </c>
      <c r="L1300" t="s">
        <v>47</v>
      </c>
      <c r="M1300">
        <v>51.96</v>
      </c>
    </row>
    <row r="1301">
      <c r="A1301" s="2">
        <v>45751</v>
      </c>
      <c r="B1301">
        <v>2025.0</v>
      </c>
      <c r="C1301" t="s">
        <v>315</v>
      </c>
      <c r="D1301" t="s">
        <v>316</v>
      </c>
      <c r="E1301" t="s">
        <v>228</v>
      </c>
      <c r="F1301" t="s">
        <v>306</v>
      </c>
      <c r="G1301" t="s">
        <v>11</v>
      </c>
      <c r="H1301">
        <v>4680.0</v>
      </c>
      <c r="I1301" t="s">
        <v>31</v>
      </c>
      <c r="J1301" t="s">
        <v>32</v>
      </c>
      <c r="K1301" t="s">
        <v>46</v>
      </c>
      <c r="L1301" t="s">
        <v>47</v>
      </c>
      <c r="M1301">
        <v>51.96</v>
      </c>
    </row>
    <row r="1302">
      <c r="A1302" s="2">
        <v>45844</v>
      </c>
      <c r="B1302">
        <v>2026.0</v>
      </c>
      <c r="C1302" t="s">
        <v>321</v>
      </c>
      <c r="D1302" t="s">
        <v>319</v>
      </c>
      <c r="E1302" t="s">
        <v>219</v>
      </c>
      <c r="F1302" t="s">
        <v>306</v>
      </c>
      <c r="G1302" t="s">
        <v>11</v>
      </c>
      <c r="H1302">
        <v>4068.0</v>
      </c>
      <c r="I1302" t="s">
        <v>31</v>
      </c>
      <c r="J1302" t="s">
        <v>56</v>
      </c>
      <c r="K1302" t="s">
        <v>46</v>
      </c>
      <c r="L1302" t="s">
        <v>47</v>
      </c>
      <c r="M1302">
        <v>51.96</v>
      </c>
    </row>
    <row r="1303">
      <c r="A1303" s="2">
        <v>45331</v>
      </c>
      <c r="B1303">
        <v>2024.0</v>
      </c>
      <c r="C1303" t="s">
        <v>318</v>
      </c>
      <c r="D1303" t="s">
        <v>316</v>
      </c>
      <c r="E1303" t="s">
        <v>152</v>
      </c>
      <c r="F1303" t="s">
        <v>306</v>
      </c>
      <c r="G1303" t="s">
        <v>11</v>
      </c>
      <c r="H1303">
        <v>4305.0</v>
      </c>
      <c r="I1303" t="s">
        <v>31</v>
      </c>
      <c r="J1303" t="s">
        <v>61</v>
      </c>
      <c r="K1303" t="s">
        <v>46</v>
      </c>
      <c r="L1303" t="s">
        <v>47</v>
      </c>
      <c r="M1303">
        <v>51.96</v>
      </c>
    </row>
    <row r="1304">
      <c r="A1304" s="2">
        <v>45938</v>
      </c>
      <c r="B1304">
        <v>2026.0</v>
      </c>
      <c r="C1304" t="s">
        <v>321</v>
      </c>
      <c r="D1304" t="s">
        <v>316</v>
      </c>
      <c r="E1304" t="s">
        <v>152</v>
      </c>
      <c r="F1304" t="s">
        <v>306</v>
      </c>
      <c r="G1304" t="s">
        <v>11</v>
      </c>
      <c r="H1304">
        <v>4305.0</v>
      </c>
      <c r="I1304" t="s">
        <v>31</v>
      </c>
      <c r="J1304" t="s">
        <v>61</v>
      </c>
      <c r="K1304" t="s">
        <v>71</v>
      </c>
      <c r="L1304" t="s">
        <v>72</v>
      </c>
      <c r="M1304">
        <v>51.96</v>
      </c>
    </row>
    <row r="1305">
      <c r="A1305" s="2">
        <v>45766</v>
      </c>
      <c r="B1305">
        <v>2025.0</v>
      </c>
      <c r="C1305" t="s">
        <v>315</v>
      </c>
      <c r="D1305" t="s">
        <v>319</v>
      </c>
      <c r="E1305" t="s">
        <v>213</v>
      </c>
      <c r="F1305" t="s">
        <v>306</v>
      </c>
      <c r="G1305" t="s">
        <v>11</v>
      </c>
      <c r="H1305">
        <v>4740.0</v>
      </c>
      <c r="I1305" t="s">
        <v>31</v>
      </c>
      <c r="J1305" t="s">
        <v>32</v>
      </c>
      <c r="K1305" t="s">
        <v>46</v>
      </c>
      <c r="L1305" t="s">
        <v>47</v>
      </c>
      <c r="M1305">
        <v>51.96</v>
      </c>
    </row>
    <row r="1306">
      <c r="A1306" s="2">
        <v>45510</v>
      </c>
      <c r="B1306">
        <v>2025.0</v>
      </c>
      <c r="C1306" t="s">
        <v>315</v>
      </c>
      <c r="D1306" t="s">
        <v>316</v>
      </c>
      <c r="E1306" t="s">
        <v>225</v>
      </c>
      <c r="F1306" t="s">
        <v>308</v>
      </c>
      <c r="G1306" t="s">
        <v>13</v>
      </c>
      <c r="H1306">
        <v>5607.0</v>
      </c>
      <c r="I1306" t="s">
        <v>31</v>
      </c>
      <c r="J1306" t="s">
        <v>227</v>
      </c>
      <c r="K1306" t="s">
        <v>46</v>
      </c>
      <c r="L1306" t="s">
        <v>47</v>
      </c>
      <c r="M1306">
        <v>51.96</v>
      </c>
    </row>
    <row r="1307">
      <c r="A1307" s="2">
        <v>45642</v>
      </c>
      <c r="B1307">
        <v>2025.0</v>
      </c>
      <c r="C1307" t="s">
        <v>315</v>
      </c>
      <c r="D1307" t="s">
        <v>319</v>
      </c>
      <c r="E1307" t="s">
        <v>133</v>
      </c>
      <c r="F1307" t="s">
        <v>305</v>
      </c>
      <c r="G1307" t="s">
        <v>10</v>
      </c>
      <c r="H1307">
        <v>3429.0</v>
      </c>
      <c r="I1307" t="s">
        <v>31</v>
      </c>
      <c r="J1307" t="s">
        <v>37</v>
      </c>
      <c r="K1307" t="s">
        <v>46</v>
      </c>
      <c r="L1307" t="s">
        <v>47</v>
      </c>
      <c r="M1307">
        <v>51.96</v>
      </c>
    </row>
    <row r="1308">
      <c r="A1308" s="2">
        <v>45547</v>
      </c>
      <c r="B1308">
        <v>2025.0</v>
      </c>
      <c r="C1308" t="s">
        <v>315</v>
      </c>
      <c r="D1308" t="s">
        <v>316</v>
      </c>
      <c r="E1308" t="s">
        <v>85</v>
      </c>
      <c r="F1308" t="s">
        <v>304</v>
      </c>
      <c r="G1308" t="s">
        <v>9</v>
      </c>
      <c r="H1308">
        <v>2120.0</v>
      </c>
      <c r="I1308" t="s">
        <v>31</v>
      </c>
      <c r="J1308" t="s">
        <v>81</v>
      </c>
      <c r="K1308" t="s">
        <v>46</v>
      </c>
      <c r="L1308" t="s">
        <v>47</v>
      </c>
      <c r="M1308">
        <v>51.96</v>
      </c>
    </row>
    <row r="1309">
      <c r="A1309" s="2">
        <v>45318</v>
      </c>
      <c r="B1309">
        <v>2024.0</v>
      </c>
      <c r="C1309" t="s">
        <v>318</v>
      </c>
      <c r="D1309" t="s">
        <v>316</v>
      </c>
      <c r="E1309" t="s">
        <v>141</v>
      </c>
      <c r="F1309" t="s">
        <v>304</v>
      </c>
      <c r="G1309" t="s">
        <v>9</v>
      </c>
      <c r="H1309">
        <v>2539.0</v>
      </c>
      <c r="I1309" t="s">
        <v>31</v>
      </c>
      <c r="J1309" t="s">
        <v>107</v>
      </c>
      <c r="K1309" t="s">
        <v>46</v>
      </c>
      <c r="L1309" t="s">
        <v>47</v>
      </c>
      <c r="M1309">
        <v>51.96</v>
      </c>
    </row>
    <row r="1310">
      <c r="A1310" s="2">
        <v>45437</v>
      </c>
      <c r="B1310">
        <v>2024.0</v>
      </c>
      <c r="C1310" t="s">
        <v>318</v>
      </c>
      <c r="D1310" t="s">
        <v>316</v>
      </c>
      <c r="E1310" t="s">
        <v>40</v>
      </c>
      <c r="F1310" t="s">
        <v>308</v>
      </c>
      <c r="G1310" t="s">
        <v>13</v>
      </c>
      <c r="H1310">
        <v>5011.0</v>
      </c>
      <c r="I1310" t="s">
        <v>31</v>
      </c>
      <c r="J1310" t="s">
        <v>42</v>
      </c>
      <c r="K1310" t="s">
        <v>112</v>
      </c>
      <c r="L1310" t="s">
        <v>113</v>
      </c>
      <c r="M1310">
        <v>51.96</v>
      </c>
    </row>
    <row r="1311">
      <c r="A1311" s="2">
        <v>45474</v>
      </c>
      <c r="B1311">
        <v>2025.0</v>
      </c>
      <c r="C1311" t="s">
        <v>315</v>
      </c>
      <c r="D1311" t="s">
        <v>316</v>
      </c>
      <c r="E1311" t="s">
        <v>40</v>
      </c>
      <c r="F1311" t="s">
        <v>308</v>
      </c>
      <c r="G1311" t="s">
        <v>13</v>
      </c>
      <c r="H1311">
        <v>5011.0</v>
      </c>
      <c r="I1311" t="s">
        <v>31</v>
      </c>
      <c r="J1311" t="s">
        <v>42</v>
      </c>
      <c r="K1311" t="s">
        <v>46</v>
      </c>
      <c r="L1311" t="s">
        <v>47</v>
      </c>
      <c r="M1311">
        <v>51.96</v>
      </c>
    </row>
    <row r="1312">
      <c r="A1312" s="2">
        <v>45674</v>
      </c>
      <c r="B1312">
        <v>2025.0</v>
      </c>
      <c r="C1312" t="s">
        <v>315</v>
      </c>
      <c r="D1312" t="s">
        <v>316</v>
      </c>
      <c r="E1312" t="s">
        <v>238</v>
      </c>
      <c r="F1312" t="s">
        <v>308</v>
      </c>
      <c r="G1312" t="s">
        <v>13</v>
      </c>
      <c r="H1312">
        <v>5082.0</v>
      </c>
      <c r="I1312" t="s">
        <v>31</v>
      </c>
      <c r="J1312" t="s">
        <v>42</v>
      </c>
      <c r="K1312" t="s">
        <v>43</v>
      </c>
      <c r="L1312" t="s">
        <v>44</v>
      </c>
      <c r="M1312">
        <v>51.980000000000004</v>
      </c>
    </row>
    <row r="1313">
      <c r="A1313" s="2">
        <v>45363</v>
      </c>
      <c r="B1313">
        <v>2024.0</v>
      </c>
      <c r="C1313" t="s">
        <v>318</v>
      </c>
      <c r="D1313" t="s">
        <v>316</v>
      </c>
      <c r="E1313" t="s">
        <v>252</v>
      </c>
      <c r="F1313" t="s">
        <v>305</v>
      </c>
      <c r="G1313" t="s">
        <v>10</v>
      </c>
      <c r="H1313">
        <v>3630.0</v>
      </c>
      <c r="I1313" t="s">
        <v>31</v>
      </c>
      <c r="J1313" t="s">
        <v>94</v>
      </c>
      <c r="K1313" t="s">
        <v>123</v>
      </c>
      <c r="L1313" t="s">
        <v>124</v>
      </c>
      <c r="M1313">
        <v>51.980000000000004</v>
      </c>
    </row>
    <row r="1314">
      <c r="A1314" s="2">
        <v>45537</v>
      </c>
      <c r="B1314">
        <v>2025.0</v>
      </c>
      <c r="C1314" t="s">
        <v>315</v>
      </c>
      <c r="D1314" t="s">
        <v>316</v>
      </c>
      <c r="E1314" t="s">
        <v>116</v>
      </c>
      <c r="F1314" t="s">
        <v>304</v>
      </c>
      <c r="G1314" t="s">
        <v>9</v>
      </c>
      <c r="H1314">
        <v>2485.0</v>
      </c>
      <c r="I1314" t="s">
        <v>31</v>
      </c>
      <c r="J1314" t="s">
        <v>70</v>
      </c>
      <c r="K1314" t="s">
        <v>123</v>
      </c>
      <c r="L1314" t="s">
        <v>124</v>
      </c>
      <c r="M1314">
        <v>52.15</v>
      </c>
    </row>
    <row r="1315">
      <c r="A1315" s="2">
        <v>46004</v>
      </c>
      <c r="B1315">
        <v>2026.0</v>
      </c>
      <c r="C1315" t="s">
        <v>321</v>
      </c>
      <c r="D1315" t="s">
        <v>319</v>
      </c>
      <c r="E1315" t="s">
        <v>195</v>
      </c>
      <c r="F1315" t="s">
        <v>306</v>
      </c>
      <c r="G1315" t="s">
        <v>11</v>
      </c>
      <c r="H1315">
        <v>4700.0</v>
      </c>
      <c r="I1315" t="s">
        <v>31</v>
      </c>
      <c r="J1315" t="s">
        <v>32</v>
      </c>
      <c r="K1315" t="s">
        <v>71</v>
      </c>
      <c r="L1315" t="s">
        <v>72</v>
      </c>
      <c r="M1315">
        <v>52.269999999999996</v>
      </c>
    </row>
    <row r="1316">
      <c r="A1316" s="2">
        <v>45801</v>
      </c>
      <c r="B1316">
        <v>2025.0</v>
      </c>
      <c r="C1316" t="s">
        <v>315</v>
      </c>
      <c r="D1316" t="s">
        <v>316</v>
      </c>
      <c r="E1316" t="s">
        <v>254</v>
      </c>
      <c r="F1316" t="s">
        <v>308</v>
      </c>
      <c r="G1316" t="s">
        <v>13</v>
      </c>
      <c r="H1316">
        <v>5343.0</v>
      </c>
      <c r="I1316" t="s">
        <v>31</v>
      </c>
      <c r="J1316" t="s">
        <v>227</v>
      </c>
      <c r="K1316" t="s">
        <v>43</v>
      </c>
      <c r="L1316" t="s">
        <v>44</v>
      </c>
      <c r="M1316">
        <v>52.3</v>
      </c>
    </row>
    <row r="1317">
      <c r="A1317" s="2">
        <v>45759</v>
      </c>
      <c r="B1317">
        <v>2025.0</v>
      </c>
      <c r="C1317" t="s">
        <v>315</v>
      </c>
      <c r="D1317" t="s">
        <v>319</v>
      </c>
      <c r="E1317" t="s">
        <v>48</v>
      </c>
      <c r="F1317" t="s">
        <v>307</v>
      </c>
      <c r="G1317" t="s">
        <v>12</v>
      </c>
      <c r="H1317">
        <v>6725.0</v>
      </c>
      <c r="I1317" t="s">
        <v>31</v>
      </c>
      <c r="J1317" t="s">
        <v>50</v>
      </c>
      <c r="K1317" t="s">
        <v>38</v>
      </c>
      <c r="L1317" t="s">
        <v>39</v>
      </c>
      <c r="M1317">
        <v>52.45</v>
      </c>
    </row>
    <row r="1318">
      <c r="A1318" s="2">
        <v>45787</v>
      </c>
      <c r="B1318">
        <v>2025.0</v>
      </c>
      <c r="C1318" t="s">
        <v>315</v>
      </c>
      <c r="D1318" t="s">
        <v>316</v>
      </c>
      <c r="E1318" t="s">
        <v>179</v>
      </c>
      <c r="F1318" t="s">
        <v>304</v>
      </c>
      <c r="G1318" t="s">
        <v>9</v>
      </c>
      <c r="H1318">
        <v>2015.0</v>
      </c>
      <c r="I1318" t="s">
        <v>31</v>
      </c>
      <c r="J1318" t="s">
        <v>99</v>
      </c>
      <c r="K1318" t="s">
        <v>38</v>
      </c>
      <c r="L1318" t="s">
        <v>39</v>
      </c>
      <c r="M1318">
        <v>52.519999999999996</v>
      </c>
    </row>
    <row r="1319">
      <c r="A1319" s="2">
        <v>45594</v>
      </c>
      <c r="B1319">
        <v>2025.0</v>
      </c>
      <c r="C1319" t="s">
        <v>315</v>
      </c>
      <c r="D1319" t="s">
        <v>316</v>
      </c>
      <c r="E1319" t="s">
        <v>62</v>
      </c>
      <c r="F1319" t="s">
        <v>307</v>
      </c>
      <c r="G1319" t="s">
        <v>12</v>
      </c>
      <c r="H1319">
        <v>6530.0</v>
      </c>
      <c r="I1319" t="s">
        <v>31</v>
      </c>
      <c r="J1319" t="s">
        <v>50</v>
      </c>
      <c r="K1319" t="s">
        <v>46</v>
      </c>
      <c r="L1319" t="s">
        <v>47</v>
      </c>
      <c r="M1319">
        <v>52.71</v>
      </c>
    </row>
    <row r="1320">
      <c r="A1320" s="2">
        <v>45793</v>
      </c>
      <c r="B1320">
        <v>2025.0</v>
      </c>
      <c r="C1320" t="s">
        <v>315</v>
      </c>
      <c r="D1320" t="s">
        <v>316</v>
      </c>
      <c r="E1320" t="s">
        <v>152</v>
      </c>
      <c r="F1320" t="s">
        <v>306</v>
      </c>
      <c r="G1320" t="s">
        <v>11</v>
      </c>
      <c r="H1320">
        <v>4305.0</v>
      </c>
      <c r="I1320" t="s">
        <v>31</v>
      </c>
      <c r="J1320" t="s">
        <v>61</v>
      </c>
      <c r="K1320" t="s">
        <v>95</v>
      </c>
      <c r="L1320" t="s">
        <v>96</v>
      </c>
      <c r="M1320">
        <v>52.9</v>
      </c>
    </row>
    <row r="1321">
      <c r="A1321" s="2">
        <v>46010</v>
      </c>
      <c r="B1321">
        <v>2026.0</v>
      </c>
      <c r="C1321" t="s">
        <v>321</v>
      </c>
      <c r="D1321" t="s">
        <v>319</v>
      </c>
      <c r="E1321" t="s">
        <v>68</v>
      </c>
      <c r="F1321" t="s">
        <v>304</v>
      </c>
      <c r="G1321" t="s">
        <v>9</v>
      </c>
      <c r="H1321">
        <v>2478.0</v>
      </c>
      <c r="I1321" t="s">
        <v>31</v>
      </c>
      <c r="J1321" t="s">
        <v>70</v>
      </c>
      <c r="K1321" t="s">
        <v>38</v>
      </c>
      <c r="L1321" t="s">
        <v>39</v>
      </c>
      <c r="M1321">
        <v>52.92</v>
      </c>
    </row>
    <row r="1322">
      <c r="A1322" s="2">
        <v>45319</v>
      </c>
      <c r="B1322">
        <v>2024.0</v>
      </c>
      <c r="C1322" t="s">
        <v>318</v>
      </c>
      <c r="D1322" t="s">
        <v>319</v>
      </c>
      <c r="E1322" t="s">
        <v>213</v>
      </c>
      <c r="F1322" t="s">
        <v>306</v>
      </c>
      <c r="G1322" t="s">
        <v>11</v>
      </c>
      <c r="H1322">
        <v>4740.0</v>
      </c>
      <c r="I1322" t="s">
        <v>31</v>
      </c>
      <c r="J1322" t="s">
        <v>32</v>
      </c>
      <c r="K1322" t="s">
        <v>38</v>
      </c>
      <c r="L1322" t="s">
        <v>39</v>
      </c>
      <c r="M1322">
        <v>52.92</v>
      </c>
    </row>
    <row r="1323">
      <c r="A1323" s="2">
        <v>45462</v>
      </c>
      <c r="B1323">
        <v>2024.0</v>
      </c>
      <c r="C1323" t="s">
        <v>318</v>
      </c>
      <c r="D1323" t="s">
        <v>319</v>
      </c>
      <c r="E1323" t="s">
        <v>103</v>
      </c>
      <c r="F1323" t="s">
        <v>307</v>
      </c>
      <c r="G1323" t="s">
        <v>12</v>
      </c>
      <c r="H1323">
        <v>6021.0</v>
      </c>
      <c r="I1323" t="s">
        <v>31</v>
      </c>
      <c r="J1323" t="s">
        <v>102</v>
      </c>
      <c r="K1323" t="s">
        <v>43</v>
      </c>
      <c r="L1323" t="s">
        <v>44</v>
      </c>
      <c r="M1323">
        <v>52.94</v>
      </c>
    </row>
    <row r="1324">
      <c r="A1324" s="2">
        <v>45647</v>
      </c>
      <c r="B1324">
        <v>2025.0</v>
      </c>
      <c r="C1324" t="s">
        <v>315</v>
      </c>
      <c r="D1324" t="s">
        <v>316</v>
      </c>
      <c r="E1324" t="s">
        <v>51</v>
      </c>
      <c r="F1324" t="s">
        <v>310</v>
      </c>
      <c r="G1324" t="s">
        <v>15</v>
      </c>
      <c r="H1324">
        <v>7018.0</v>
      </c>
      <c r="I1324" t="s">
        <v>31</v>
      </c>
      <c r="J1324" t="s">
        <v>53</v>
      </c>
      <c r="K1324" t="s">
        <v>38</v>
      </c>
      <c r="L1324" t="s">
        <v>39</v>
      </c>
      <c r="M1324">
        <v>52.95</v>
      </c>
    </row>
    <row r="1325">
      <c r="A1325" s="2">
        <v>45297</v>
      </c>
      <c r="B1325">
        <v>2024.0</v>
      </c>
      <c r="C1325" t="s">
        <v>318</v>
      </c>
      <c r="D1325" t="s">
        <v>316</v>
      </c>
      <c r="E1325" t="s">
        <v>100</v>
      </c>
      <c r="F1325" t="s">
        <v>307</v>
      </c>
      <c r="G1325" t="s">
        <v>12</v>
      </c>
      <c r="H1325">
        <v>6010.0</v>
      </c>
      <c r="I1325" t="s">
        <v>31</v>
      </c>
      <c r="J1325" t="s">
        <v>102</v>
      </c>
      <c r="K1325" t="s">
        <v>43</v>
      </c>
      <c r="L1325" t="s">
        <v>44</v>
      </c>
      <c r="M1325">
        <v>52.97</v>
      </c>
    </row>
    <row r="1326">
      <c r="A1326" s="2">
        <v>45731</v>
      </c>
      <c r="B1326">
        <v>2025.0</v>
      </c>
      <c r="C1326" t="s">
        <v>315</v>
      </c>
      <c r="D1326" t="s">
        <v>316</v>
      </c>
      <c r="E1326" t="s">
        <v>156</v>
      </c>
      <c r="F1326" t="s">
        <v>304</v>
      </c>
      <c r="G1326" t="s">
        <v>9</v>
      </c>
      <c r="H1326">
        <v>2830.0</v>
      </c>
      <c r="I1326" t="s">
        <v>31</v>
      </c>
      <c r="J1326" t="s">
        <v>75</v>
      </c>
      <c r="K1326" t="s">
        <v>46</v>
      </c>
      <c r="L1326" t="s">
        <v>47</v>
      </c>
      <c r="M1326">
        <v>53.0</v>
      </c>
    </row>
    <row r="1327">
      <c r="A1327" s="2">
        <v>45668</v>
      </c>
      <c r="B1327">
        <v>2025.0</v>
      </c>
      <c r="C1327" t="s">
        <v>315</v>
      </c>
      <c r="D1327" t="s">
        <v>316</v>
      </c>
      <c r="E1327" t="s">
        <v>223</v>
      </c>
      <c r="F1327" t="s">
        <v>305</v>
      </c>
      <c r="G1327" t="s">
        <v>10</v>
      </c>
      <c r="H1327">
        <v>3915.0</v>
      </c>
      <c r="I1327" t="s">
        <v>31</v>
      </c>
      <c r="J1327" t="s">
        <v>94</v>
      </c>
      <c r="K1327" t="s">
        <v>43</v>
      </c>
      <c r="L1327" t="s">
        <v>44</v>
      </c>
      <c r="M1327">
        <v>53.43000000000001</v>
      </c>
    </row>
    <row r="1328">
      <c r="A1328" s="2">
        <v>45854</v>
      </c>
      <c r="B1328">
        <v>2026.0</v>
      </c>
      <c r="C1328" t="s">
        <v>321</v>
      </c>
      <c r="D1328" t="s">
        <v>316</v>
      </c>
      <c r="E1328" t="s">
        <v>51</v>
      </c>
      <c r="F1328" t="s">
        <v>310</v>
      </c>
      <c r="G1328" t="s">
        <v>15</v>
      </c>
      <c r="H1328">
        <v>7018.0</v>
      </c>
      <c r="I1328" t="s">
        <v>31</v>
      </c>
      <c r="J1328" t="s">
        <v>53</v>
      </c>
      <c r="K1328" t="s">
        <v>57</v>
      </c>
      <c r="L1328" t="s">
        <v>58</v>
      </c>
      <c r="M1328">
        <v>53.46</v>
      </c>
    </row>
    <row r="1329">
      <c r="A1329" s="2">
        <v>45796</v>
      </c>
      <c r="B1329">
        <v>2025.0</v>
      </c>
      <c r="C1329" t="s">
        <v>315</v>
      </c>
      <c r="D1329" t="s">
        <v>319</v>
      </c>
      <c r="E1329" t="s">
        <v>97</v>
      </c>
      <c r="F1329" t="s">
        <v>304</v>
      </c>
      <c r="G1329" t="s">
        <v>9</v>
      </c>
      <c r="H1329">
        <v>2067.0</v>
      </c>
      <c r="I1329" t="s">
        <v>31</v>
      </c>
      <c r="J1329" t="s">
        <v>99</v>
      </c>
      <c r="K1329" t="s">
        <v>71</v>
      </c>
      <c r="L1329" t="s">
        <v>72</v>
      </c>
      <c r="M1329">
        <v>53.82</v>
      </c>
    </row>
    <row r="1330">
      <c r="A1330" s="2">
        <v>45472</v>
      </c>
      <c r="B1330">
        <v>2024.0</v>
      </c>
      <c r="C1330" t="s">
        <v>318</v>
      </c>
      <c r="D1330" t="s">
        <v>316</v>
      </c>
      <c r="E1330" t="s">
        <v>92</v>
      </c>
      <c r="F1330" t="s">
        <v>305</v>
      </c>
      <c r="G1330" t="s">
        <v>10</v>
      </c>
      <c r="H1330">
        <v>3690.0</v>
      </c>
      <c r="I1330" t="s">
        <v>31</v>
      </c>
      <c r="J1330" t="s">
        <v>94</v>
      </c>
      <c r="K1330" t="s">
        <v>38</v>
      </c>
      <c r="L1330" t="s">
        <v>39</v>
      </c>
      <c r="M1330">
        <v>53.82</v>
      </c>
    </row>
    <row r="1331">
      <c r="A1331" s="2">
        <v>45992</v>
      </c>
      <c r="B1331">
        <v>2026.0</v>
      </c>
      <c r="C1331" t="s">
        <v>321</v>
      </c>
      <c r="D1331" t="s">
        <v>319</v>
      </c>
      <c r="E1331" t="s">
        <v>187</v>
      </c>
      <c r="F1331" t="s">
        <v>306</v>
      </c>
      <c r="G1331" t="s">
        <v>11</v>
      </c>
      <c r="H1331">
        <v>4870.0</v>
      </c>
      <c r="I1331" t="s">
        <v>31</v>
      </c>
      <c r="J1331" t="s">
        <v>78</v>
      </c>
      <c r="K1331" t="s">
        <v>112</v>
      </c>
      <c r="L1331" t="s">
        <v>113</v>
      </c>
      <c r="M1331">
        <v>53.89</v>
      </c>
    </row>
    <row r="1332">
      <c r="A1332" s="2">
        <v>45469</v>
      </c>
      <c r="B1332">
        <v>2024.0</v>
      </c>
      <c r="C1332" t="s">
        <v>318</v>
      </c>
      <c r="D1332" t="s">
        <v>316</v>
      </c>
      <c r="E1332" t="s">
        <v>217</v>
      </c>
      <c r="F1332" t="s">
        <v>305</v>
      </c>
      <c r="G1332" t="s">
        <v>10</v>
      </c>
      <c r="H1332">
        <v>3136.0</v>
      </c>
      <c r="I1332" t="s">
        <v>31</v>
      </c>
      <c r="J1332" t="s">
        <v>89</v>
      </c>
      <c r="K1332" t="s">
        <v>38</v>
      </c>
      <c r="L1332" t="s">
        <v>39</v>
      </c>
      <c r="M1332">
        <v>53.900000000000006</v>
      </c>
    </row>
    <row r="1333">
      <c r="A1333" s="2">
        <v>45565</v>
      </c>
      <c r="B1333">
        <v>2025.0</v>
      </c>
      <c r="C1333" t="s">
        <v>315</v>
      </c>
      <c r="D1333" t="s">
        <v>316</v>
      </c>
      <c r="E1333" t="s">
        <v>90</v>
      </c>
      <c r="F1333" t="s">
        <v>305</v>
      </c>
      <c r="G1333" t="s">
        <v>10</v>
      </c>
      <c r="H1333">
        <v>3353.0</v>
      </c>
      <c r="I1333" t="s">
        <v>31</v>
      </c>
      <c r="J1333" t="s">
        <v>37</v>
      </c>
      <c r="K1333" t="s">
        <v>43</v>
      </c>
      <c r="L1333" t="s">
        <v>44</v>
      </c>
      <c r="M1333">
        <v>53.91</v>
      </c>
    </row>
    <row r="1334">
      <c r="A1334" s="2">
        <v>45689</v>
      </c>
      <c r="B1334">
        <v>2025.0</v>
      </c>
      <c r="C1334" t="s">
        <v>315</v>
      </c>
      <c r="D1334" t="s">
        <v>319</v>
      </c>
      <c r="E1334" t="s">
        <v>108</v>
      </c>
      <c r="F1334" t="s">
        <v>304</v>
      </c>
      <c r="G1334" t="s">
        <v>9</v>
      </c>
      <c r="H1334">
        <v>2795.0</v>
      </c>
      <c r="I1334" t="s">
        <v>31</v>
      </c>
      <c r="J1334" t="s">
        <v>75</v>
      </c>
      <c r="K1334" t="s">
        <v>112</v>
      </c>
      <c r="L1334" t="s">
        <v>113</v>
      </c>
      <c r="M1334">
        <v>53.91</v>
      </c>
    </row>
    <row r="1335">
      <c r="A1335" s="2">
        <v>45428</v>
      </c>
      <c r="B1335">
        <v>2024.0</v>
      </c>
      <c r="C1335" t="s">
        <v>318</v>
      </c>
      <c r="D1335" t="s">
        <v>316</v>
      </c>
      <c r="E1335" t="s">
        <v>240</v>
      </c>
      <c r="F1335" t="s">
        <v>310</v>
      </c>
      <c r="G1335" t="s">
        <v>15</v>
      </c>
      <c r="H1335">
        <v>7010.0</v>
      </c>
      <c r="I1335" t="s">
        <v>31</v>
      </c>
      <c r="J1335" t="s">
        <v>53</v>
      </c>
      <c r="K1335" t="s">
        <v>46</v>
      </c>
      <c r="L1335" t="s">
        <v>47</v>
      </c>
      <c r="M1335">
        <v>53.91</v>
      </c>
    </row>
    <row r="1336">
      <c r="A1336" s="2">
        <v>45498</v>
      </c>
      <c r="B1336">
        <v>2025.0</v>
      </c>
      <c r="C1336" t="s">
        <v>315</v>
      </c>
      <c r="D1336" t="s">
        <v>319</v>
      </c>
      <c r="E1336" t="s">
        <v>205</v>
      </c>
      <c r="F1336" t="s">
        <v>305</v>
      </c>
      <c r="G1336" t="s">
        <v>10</v>
      </c>
      <c r="H1336">
        <v>3400.0</v>
      </c>
      <c r="I1336" t="s">
        <v>31</v>
      </c>
      <c r="J1336" t="s">
        <v>37</v>
      </c>
      <c r="K1336" t="s">
        <v>43</v>
      </c>
      <c r="L1336" t="s">
        <v>44</v>
      </c>
      <c r="M1336">
        <v>53.91</v>
      </c>
    </row>
    <row r="1337">
      <c r="A1337" s="2">
        <v>45333</v>
      </c>
      <c r="B1337">
        <v>2024.0</v>
      </c>
      <c r="C1337" t="s">
        <v>318</v>
      </c>
      <c r="D1337" t="s">
        <v>316</v>
      </c>
      <c r="E1337" t="s">
        <v>199</v>
      </c>
      <c r="F1337" t="s">
        <v>308</v>
      </c>
      <c r="G1337" t="s">
        <v>13</v>
      </c>
      <c r="H1337">
        <v>5169.0</v>
      </c>
      <c r="I1337" t="s">
        <v>31</v>
      </c>
      <c r="J1337" t="s">
        <v>42</v>
      </c>
      <c r="K1337" t="s">
        <v>46</v>
      </c>
      <c r="L1337" t="s">
        <v>47</v>
      </c>
      <c r="M1337">
        <v>53.91</v>
      </c>
    </row>
    <row r="1338">
      <c r="A1338" s="2">
        <v>45901</v>
      </c>
      <c r="B1338">
        <v>2026.0</v>
      </c>
      <c r="C1338" t="s">
        <v>321</v>
      </c>
      <c r="D1338" t="s">
        <v>316</v>
      </c>
      <c r="E1338" t="s">
        <v>92</v>
      </c>
      <c r="F1338" t="s">
        <v>305</v>
      </c>
      <c r="G1338" t="s">
        <v>10</v>
      </c>
      <c r="H1338">
        <v>3690.0</v>
      </c>
      <c r="I1338" t="s">
        <v>31</v>
      </c>
      <c r="J1338" t="s">
        <v>94</v>
      </c>
      <c r="K1338" t="s">
        <v>46</v>
      </c>
      <c r="L1338" t="s">
        <v>47</v>
      </c>
      <c r="M1338">
        <v>53.91</v>
      </c>
    </row>
    <row r="1339">
      <c r="A1339" s="2">
        <v>45385</v>
      </c>
      <c r="B1339">
        <v>2024.0</v>
      </c>
      <c r="C1339" t="s">
        <v>318</v>
      </c>
      <c r="D1339" t="s">
        <v>316</v>
      </c>
      <c r="E1339" t="s">
        <v>40</v>
      </c>
      <c r="F1339" t="s">
        <v>308</v>
      </c>
      <c r="G1339" t="s">
        <v>13</v>
      </c>
      <c r="H1339">
        <v>5011.0</v>
      </c>
      <c r="I1339" t="s">
        <v>31</v>
      </c>
      <c r="J1339" t="s">
        <v>42</v>
      </c>
      <c r="K1339" t="s">
        <v>112</v>
      </c>
      <c r="L1339" t="s">
        <v>113</v>
      </c>
      <c r="M1339">
        <v>53.91</v>
      </c>
    </row>
    <row r="1340">
      <c r="A1340" s="2">
        <v>45953</v>
      </c>
      <c r="B1340">
        <v>2026.0</v>
      </c>
      <c r="C1340" t="s">
        <v>321</v>
      </c>
      <c r="D1340" t="s">
        <v>316</v>
      </c>
      <c r="E1340" t="s">
        <v>156</v>
      </c>
      <c r="F1340" t="s">
        <v>304</v>
      </c>
      <c r="G1340" t="s">
        <v>9</v>
      </c>
      <c r="H1340">
        <v>2830.0</v>
      </c>
      <c r="I1340" t="s">
        <v>31</v>
      </c>
      <c r="J1340" t="s">
        <v>75</v>
      </c>
      <c r="K1340" t="s">
        <v>123</v>
      </c>
      <c r="L1340" t="s">
        <v>124</v>
      </c>
      <c r="M1340">
        <v>53.94</v>
      </c>
    </row>
    <row r="1341">
      <c r="A1341" s="2">
        <v>45597</v>
      </c>
      <c r="B1341">
        <v>2025.0</v>
      </c>
      <c r="C1341" t="s">
        <v>315</v>
      </c>
      <c r="D1341" t="s">
        <v>316</v>
      </c>
      <c r="E1341" t="s">
        <v>258</v>
      </c>
      <c r="F1341" t="s">
        <v>309</v>
      </c>
      <c r="G1341" t="s">
        <v>14</v>
      </c>
      <c r="H1341">
        <v>870.0</v>
      </c>
      <c r="I1341" t="s">
        <v>31</v>
      </c>
      <c r="J1341" t="s">
        <v>145</v>
      </c>
      <c r="K1341" t="s">
        <v>43</v>
      </c>
      <c r="L1341" t="s">
        <v>44</v>
      </c>
      <c r="M1341">
        <v>53.95</v>
      </c>
    </row>
    <row r="1342">
      <c r="A1342" s="2">
        <v>45765</v>
      </c>
      <c r="B1342">
        <v>2025.0</v>
      </c>
      <c r="C1342" t="s">
        <v>315</v>
      </c>
      <c r="D1342" t="s">
        <v>319</v>
      </c>
      <c r="E1342" t="s">
        <v>230</v>
      </c>
      <c r="F1342" t="s">
        <v>308</v>
      </c>
      <c r="G1342" t="s">
        <v>13</v>
      </c>
      <c r="H1342">
        <v>5290.0</v>
      </c>
      <c r="I1342" t="s">
        <v>31</v>
      </c>
      <c r="J1342" t="s">
        <v>227</v>
      </c>
      <c r="K1342" t="s">
        <v>43</v>
      </c>
      <c r="L1342" t="s">
        <v>44</v>
      </c>
      <c r="M1342">
        <v>53.95</v>
      </c>
    </row>
    <row r="1343">
      <c r="A1343" s="2">
        <v>45884</v>
      </c>
      <c r="B1343">
        <v>2026.0</v>
      </c>
      <c r="C1343" t="s">
        <v>321</v>
      </c>
      <c r="D1343" t="s">
        <v>316</v>
      </c>
      <c r="E1343" t="s">
        <v>127</v>
      </c>
      <c r="F1343" t="s">
        <v>306</v>
      </c>
      <c r="G1343" t="s">
        <v>11</v>
      </c>
      <c r="H1343">
        <v>4802.0</v>
      </c>
      <c r="I1343" t="s">
        <v>31</v>
      </c>
      <c r="J1343" t="s">
        <v>78</v>
      </c>
      <c r="K1343" t="s">
        <v>43</v>
      </c>
      <c r="L1343" t="s">
        <v>44</v>
      </c>
      <c r="M1343">
        <v>53.96</v>
      </c>
    </row>
    <row r="1344">
      <c r="A1344" s="2">
        <v>45998</v>
      </c>
      <c r="B1344">
        <v>2026.0</v>
      </c>
      <c r="C1344" t="s">
        <v>321</v>
      </c>
      <c r="D1344" t="s">
        <v>316</v>
      </c>
      <c r="E1344" t="s">
        <v>219</v>
      </c>
      <c r="F1344" t="s">
        <v>306</v>
      </c>
      <c r="G1344" t="s">
        <v>11</v>
      </c>
      <c r="H1344">
        <v>4068.0</v>
      </c>
      <c r="I1344" t="s">
        <v>31</v>
      </c>
      <c r="J1344" t="s">
        <v>56</v>
      </c>
      <c r="K1344" t="s">
        <v>57</v>
      </c>
      <c r="L1344" t="s">
        <v>58</v>
      </c>
      <c r="M1344">
        <v>54.0</v>
      </c>
    </row>
    <row r="1345">
      <c r="A1345" s="2">
        <v>45316</v>
      </c>
      <c r="B1345">
        <v>2024.0</v>
      </c>
      <c r="C1345" t="s">
        <v>318</v>
      </c>
      <c r="D1345" t="s">
        <v>316</v>
      </c>
      <c r="E1345" t="s">
        <v>160</v>
      </c>
      <c r="F1345" t="s">
        <v>307</v>
      </c>
      <c r="G1345" t="s">
        <v>12</v>
      </c>
      <c r="H1345">
        <v>6280.0</v>
      </c>
      <c r="I1345" t="s">
        <v>31</v>
      </c>
      <c r="J1345" t="s">
        <v>162</v>
      </c>
      <c r="K1345" t="s">
        <v>33</v>
      </c>
      <c r="L1345" t="s">
        <v>34</v>
      </c>
      <c r="M1345">
        <v>54.129999999999995</v>
      </c>
    </row>
    <row r="1346">
      <c r="A1346" s="2">
        <v>45588</v>
      </c>
      <c r="B1346">
        <v>2025.0</v>
      </c>
      <c r="C1346" t="s">
        <v>315</v>
      </c>
      <c r="D1346" t="s">
        <v>319</v>
      </c>
      <c r="E1346" t="s">
        <v>154</v>
      </c>
      <c r="F1346" t="s">
        <v>306</v>
      </c>
      <c r="G1346" t="s">
        <v>11</v>
      </c>
      <c r="H1346">
        <v>4551.0</v>
      </c>
      <c r="I1346" t="s">
        <v>31</v>
      </c>
      <c r="J1346" t="s">
        <v>84</v>
      </c>
      <c r="K1346" t="s">
        <v>46</v>
      </c>
      <c r="L1346" t="s">
        <v>47</v>
      </c>
      <c r="M1346">
        <v>54.62</v>
      </c>
    </row>
    <row r="1347">
      <c r="A1347" s="2">
        <v>45528</v>
      </c>
      <c r="B1347">
        <v>2025.0</v>
      </c>
      <c r="C1347" t="s">
        <v>315</v>
      </c>
      <c r="D1347" t="s">
        <v>316</v>
      </c>
      <c r="E1347" t="s">
        <v>118</v>
      </c>
      <c r="F1347" t="s">
        <v>305</v>
      </c>
      <c r="G1347" t="s">
        <v>10</v>
      </c>
      <c r="H1347">
        <v>3076.0</v>
      </c>
      <c r="I1347" t="s">
        <v>31</v>
      </c>
      <c r="J1347" t="s">
        <v>120</v>
      </c>
      <c r="K1347" t="s">
        <v>43</v>
      </c>
      <c r="L1347" t="s">
        <v>44</v>
      </c>
      <c r="M1347">
        <v>54.66</v>
      </c>
    </row>
    <row r="1348">
      <c r="A1348" s="2">
        <v>45833</v>
      </c>
      <c r="B1348">
        <v>2025.0</v>
      </c>
      <c r="C1348" t="s">
        <v>315</v>
      </c>
      <c r="D1348" t="s">
        <v>319</v>
      </c>
      <c r="E1348" t="s">
        <v>82</v>
      </c>
      <c r="F1348" t="s">
        <v>306</v>
      </c>
      <c r="G1348" t="s">
        <v>11</v>
      </c>
      <c r="H1348">
        <v>4558.0</v>
      </c>
      <c r="I1348" t="s">
        <v>31</v>
      </c>
      <c r="J1348" t="s">
        <v>84</v>
      </c>
      <c r="K1348" t="s">
        <v>112</v>
      </c>
      <c r="L1348" t="s">
        <v>113</v>
      </c>
      <c r="M1348">
        <v>54.82</v>
      </c>
    </row>
    <row r="1349">
      <c r="A1349" s="2">
        <v>45558</v>
      </c>
      <c r="B1349">
        <v>2025.0</v>
      </c>
      <c r="C1349" t="s">
        <v>315</v>
      </c>
      <c r="D1349" t="s">
        <v>316</v>
      </c>
      <c r="E1349" t="s">
        <v>217</v>
      </c>
      <c r="F1349" t="s">
        <v>305</v>
      </c>
      <c r="G1349" t="s">
        <v>10</v>
      </c>
      <c r="H1349">
        <v>3136.0</v>
      </c>
      <c r="I1349" t="s">
        <v>31</v>
      </c>
      <c r="J1349" t="s">
        <v>89</v>
      </c>
      <c r="K1349" t="s">
        <v>71</v>
      </c>
      <c r="L1349" t="s">
        <v>72</v>
      </c>
      <c r="M1349">
        <v>54.88</v>
      </c>
    </row>
    <row r="1350">
      <c r="A1350" s="2">
        <v>45425</v>
      </c>
      <c r="B1350">
        <v>2024.0</v>
      </c>
      <c r="C1350" t="s">
        <v>318</v>
      </c>
      <c r="D1350" t="s">
        <v>316</v>
      </c>
      <c r="E1350" t="s">
        <v>238</v>
      </c>
      <c r="F1350" t="s">
        <v>308</v>
      </c>
      <c r="G1350" t="s">
        <v>13</v>
      </c>
      <c r="H1350">
        <v>5082.0</v>
      </c>
      <c r="I1350" t="s">
        <v>31</v>
      </c>
      <c r="J1350" t="s">
        <v>42</v>
      </c>
      <c r="K1350" t="s">
        <v>33</v>
      </c>
      <c r="L1350" t="s">
        <v>34</v>
      </c>
      <c r="M1350">
        <v>54.89</v>
      </c>
    </row>
    <row r="1351">
      <c r="A1351" s="2">
        <v>45589</v>
      </c>
      <c r="B1351">
        <v>2025.0</v>
      </c>
      <c r="C1351" t="s">
        <v>315</v>
      </c>
      <c r="D1351" t="s">
        <v>319</v>
      </c>
      <c r="E1351" t="s">
        <v>221</v>
      </c>
      <c r="F1351" t="s">
        <v>306</v>
      </c>
      <c r="G1351" t="s">
        <v>11</v>
      </c>
      <c r="H1351">
        <v>4053.0</v>
      </c>
      <c r="I1351" t="s">
        <v>31</v>
      </c>
      <c r="J1351" t="s">
        <v>56</v>
      </c>
      <c r="K1351" t="s">
        <v>112</v>
      </c>
      <c r="L1351" t="s">
        <v>113</v>
      </c>
      <c r="M1351">
        <v>54.89</v>
      </c>
    </row>
    <row r="1352">
      <c r="A1352" s="2">
        <v>45873</v>
      </c>
      <c r="B1352">
        <v>2026.0</v>
      </c>
      <c r="C1352" t="s">
        <v>321</v>
      </c>
      <c r="D1352" t="s">
        <v>316</v>
      </c>
      <c r="E1352" t="s">
        <v>141</v>
      </c>
      <c r="F1352" t="s">
        <v>304</v>
      </c>
      <c r="G1352" t="s">
        <v>9</v>
      </c>
      <c r="H1352">
        <v>2539.0</v>
      </c>
      <c r="I1352" t="s">
        <v>31</v>
      </c>
      <c r="J1352" t="s">
        <v>107</v>
      </c>
      <c r="K1352" t="s">
        <v>95</v>
      </c>
      <c r="L1352" t="s">
        <v>96</v>
      </c>
      <c r="M1352">
        <v>54.89</v>
      </c>
    </row>
    <row r="1353">
      <c r="A1353" s="2">
        <v>45714</v>
      </c>
      <c r="B1353">
        <v>2025.0</v>
      </c>
      <c r="C1353" t="s">
        <v>315</v>
      </c>
      <c r="D1353" t="s">
        <v>316</v>
      </c>
      <c r="E1353" t="s">
        <v>199</v>
      </c>
      <c r="F1353" t="s">
        <v>308</v>
      </c>
      <c r="G1353" t="s">
        <v>13</v>
      </c>
      <c r="H1353">
        <v>5169.0</v>
      </c>
      <c r="I1353" t="s">
        <v>31</v>
      </c>
      <c r="J1353" t="s">
        <v>42</v>
      </c>
      <c r="K1353" t="s">
        <v>112</v>
      </c>
      <c r="L1353" t="s">
        <v>113</v>
      </c>
      <c r="M1353">
        <v>54.92</v>
      </c>
    </row>
    <row r="1354">
      <c r="A1354" s="2">
        <v>45444</v>
      </c>
      <c r="B1354">
        <v>2024.0</v>
      </c>
      <c r="C1354" t="s">
        <v>318</v>
      </c>
      <c r="D1354" t="s">
        <v>319</v>
      </c>
      <c r="E1354" t="s">
        <v>236</v>
      </c>
      <c r="F1354" t="s">
        <v>307</v>
      </c>
      <c r="G1354" t="s">
        <v>12</v>
      </c>
      <c r="H1354">
        <v>6052.0</v>
      </c>
      <c r="I1354" t="s">
        <v>31</v>
      </c>
      <c r="J1354" t="s">
        <v>102</v>
      </c>
      <c r="K1354" t="s">
        <v>43</v>
      </c>
      <c r="L1354" t="s">
        <v>44</v>
      </c>
      <c r="M1354">
        <v>54.97</v>
      </c>
    </row>
    <row r="1355">
      <c r="A1355" s="2">
        <v>45895</v>
      </c>
      <c r="B1355">
        <v>2026.0</v>
      </c>
      <c r="C1355" t="s">
        <v>321</v>
      </c>
      <c r="D1355" t="s">
        <v>319</v>
      </c>
      <c r="E1355" t="s">
        <v>195</v>
      </c>
      <c r="F1355" t="s">
        <v>306</v>
      </c>
      <c r="G1355" t="s">
        <v>11</v>
      </c>
      <c r="H1355">
        <v>4700.0</v>
      </c>
      <c r="I1355" t="s">
        <v>31</v>
      </c>
      <c r="J1355" t="s">
        <v>32</v>
      </c>
      <c r="K1355" t="s">
        <v>57</v>
      </c>
      <c r="L1355" t="s">
        <v>58</v>
      </c>
      <c r="M1355">
        <v>54.99</v>
      </c>
    </row>
    <row r="1356">
      <c r="A1356" s="2">
        <v>45853</v>
      </c>
      <c r="B1356">
        <v>2026.0</v>
      </c>
      <c r="C1356" t="s">
        <v>321</v>
      </c>
      <c r="D1356" t="s">
        <v>316</v>
      </c>
      <c r="E1356" t="s">
        <v>197</v>
      </c>
      <c r="F1356" t="s">
        <v>304</v>
      </c>
      <c r="G1356" t="s">
        <v>9</v>
      </c>
      <c r="H1356">
        <v>2560.0</v>
      </c>
      <c r="I1356" t="s">
        <v>31</v>
      </c>
      <c r="J1356" t="s">
        <v>107</v>
      </c>
      <c r="K1356" t="s">
        <v>71</v>
      </c>
      <c r="L1356" t="s">
        <v>72</v>
      </c>
      <c r="M1356">
        <v>55.0</v>
      </c>
    </row>
    <row r="1357">
      <c r="A1357" s="2">
        <v>45374</v>
      </c>
      <c r="B1357">
        <v>2024.0</v>
      </c>
      <c r="C1357" t="s">
        <v>318</v>
      </c>
      <c r="D1357" t="s">
        <v>319</v>
      </c>
      <c r="E1357" t="s">
        <v>82</v>
      </c>
      <c r="F1357" t="s">
        <v>306</v>
      </c>
      <c r="G1357" t="s">
        <v>11</v>
      </c>
      <c r="H1357">
        <v>4558.0</v>
      </c>
      <c r="I1357" t="s">
        <v>31</v>
      </c>
      <c r="J1357" t="s">
        <v>84</v>
      </c>
      <c r="K1357" t="s">
        <v>95</v>
      </c>
      <c r="L1357" t="s">
        <v>96</v>
      </c>
      <c r="M1357">
        <v>55.13</v>
      </c>
    </row>
    <row r="1358">
      <c r="A1358" s="2">
        <v>45776</v>
      </c>
      <c r="B1358">
        <v>2025.0</v>
      </c>
      <c r="C1358" t="s">
        <v>315</v>
      </c>
      <c r="D1358" t="s">
        <v>316</v>
      </c>
      <c r="E1358" t="s">
        <v>152</v>
      </c>
      <c r="F1358" t="s">
        <v>306</v>
      </c>
      <c r="G1358" t="s">
        <v>11</v>
      </c>
      <c r="H1358">
        <v>4305.0</v>
      </c>
      <c r="I1358" t="s">
        <v>31</v>
      </c>
      <c r="J1358" t="s">
        <v>61</v>
      </c>
      <c r="K1358" t="s">
        <v>33</v>
      </c>
      <c r="L1358" t="s">
        <v>34</v>
      </c>
      <c r="M1358">
        <v>55.14</v>
      </c>
    </row>
    <row r="1359">
      <c r="A1359" s="2">
        <v>45926</v>
      </c>
      <c r="B1359">
        <v>2026.0</v>
      </c>
      <c r="C1359" t="s">
        <v>321</v>
      </c>
      <c r="D1359" t="s">
        <v>319</v>
      </c>
      <c r="E1359" t="s">
        <v>110</v>
      </c>
      <c r="F1359" t="s">
        <v>304</v>
      </c>
      <c r="G1359" t="s">
        <v>9</v>
      </c>
      <c r="H1359">
        <v>2101.0</v>
      </c>
      <c r="I1359" t="s">
        <v>31</v>
      </c>
      <c r="J1359" t="s">
        <v>81</v>
      </c>
      <c r="K1359" t="s">
        <v>95</v>
      </c>
      <c r="L1359" t="s">
        <v>96</v>
      </c>
      <c r="M1359">
        <v>55.47</v>
      </c>
    </row>
    <row r="1360">
      <c r="A1360" s="2">
        <v>45517</v>
      </c>
      <c r="B1360">
        <v>2025.0</v>
      </c>
      <c r="C1360" t="s">
        <v>315</v>
      </c>
      <c r="D1360" t="s">
        <v>316</v>
      </c>
      <c r="E1360" t="s">
        <v>242</v>
      </c>
      <c r="F1360" t="s">
        <v>305</v>
      </c>
      <c r="G1360" t="s">
        <v>10</v>
      </c>
      <c r="H1360">
        <v>3977.0</v>
      </c>
      <c r="I1360" t="s">
        <v>31</v>
      </c>
      <c r="J1360" t="s">
        <v>94</v>
      </c>
      <c r="K1360" t="s">
        <v>33</v>
      </c>
      <c r="L1360" t="s">
        <v>34</v>
      </c>
      <c r="M1360">
        <v>55.5</v>
      </c>
    </row>
    <row r="1361">
      <c r="A1361" s="2">
        <v>45598</v>
      </c>
      <c r="B1361">
        <v>2025.0</v>
      </c>
      <c r="C1361" t="s">
        <v>315</v>
      </c>
      <c r="D1361" t="s">
        <v>316</v>
      </c>
      <c r="E1361" t="s">
        <v>154</v>
      </c>
      <c r="F1361" t="s">
        <v>306</v>
      </c>
      <c r="G1361" t="s">
        <v>11</v>
      </c>
      <c r="H1361">
        <v>4551.0</v>
      </c>
      <c r="I1361" t="s">
        <v>31</v>
      </c>
      <c r="J1361" t="s">
        <v>84</v>
      </c>
      <c r="K1361" t="s">
        <v>123</v>
      </c>
      <c r="L1361" t="s">
        <v>124</v>
      </c>
      <c r="M1361">
        <v>55.57</v>
      </c>
    </row>
    <row r="1362">
      <c r="A1362" s="2">
        <v>45479</v>
      </c>
      <c r="B1362">
        <v>2025.0</v>
      </c>
      <c r="C1362" t="s">
        <v>315</v>
      </c>
      <c r="D1362" t="s">
        <v>316</v>
      </c>
      <c r="E1362" t="s">
        <v>158</v>
      </c>
      <c r="F1362" t="s">
        <v>306</v>
      </c>
      <c r="G1362" t="s">
        <v>11</v>
      </c>
      <c r="H1362">
        <v>4570.0</v>
      </c>
      <c r="I1362" t="s">
        <v>31</v>
      </c>
      <c r="J1362" t="s">
        <v>84</v>
      </c>
      <c r="K1362" t="s">
        <v>38</v>
      </c>
      <c r="L1362" t="s">
        <v>39</v>
      </c>
      <c r="M1362">
        <v>55.86</v>
      </c>
    </row>
    <row r="1363">
      <c r="A1363" s="2">
        <v>45888</v>
      </c>
      <c r="B1363">
        <v>2026.0</v>
      </c>
      <c r="C1363" t="s">
        <v>321</v>
      </c>
      <c r="D1363" t="s">
        <v>316</v>
      </c>
      <c r="E1363" t="s">
        <v>152</v>
      </c>
      <c r="F1363" t="s">
        <v>306</v>
      </c>
      <c r="G1363" t="s">
        <v>11</v>
      </c>
      <c r="H1363">
        <v>4305.0</v>
      </c>
      <c r="I1363" t="s">
        <v>31</v>
      </c>
      <c r="J1363" t="s">
        <v>61</v>
      </c>
      <c r="K1363" t="s">
        <v>71</v>
      </c>
      <c r="L1363" t="s">
        <v>72</v>
      </c>
      <c r="M1363">
        <v>55.86</v>
      </c>
    </row>
    <row r="1364">
      <c r="A1364" s="2">
        <v>45765</v>
      </c>
      <c r="B1364">
        <v>2025.0</v>
      </c>
      <c r="C1364" t="s">
        <v>315</v>
      </c>
      <c r="D1364" t="s">
        <v>319</v>
      </c>
      <c r="E1364" t="s">
        <v>114</v>
      </c>
      <c r="F1364" t="s">
        <v>304</v>
      </c>
      <c r="G1364" t="s">
        <v>9</v>
      </c>
      <c r="H1364">
        <v>2031.0</v>
      </c>
      <c r="I1364" t="s">
        <v>31</v>
      </c>
      <c r="J1364" t="s">
        <v>99</v>
      </c>
      <c r="K1364" t="s">
        <v>71</v>
      </c>
      <c r="L1364" t="s">
        <v>72</v>
      </c>
      <c r="M1364">
        <v>55.9</v>
      </c>
    </row>
    <row r="1365">
      <c r="A1365" s="2">
        <v>45323</v>
      </c>
      <c r="B1365">
        <v>2024.0</v>
      </c>
      <c r="C1365" t="s">
        <v>318</v>
      </c>
      <c r="D1365" t="s">
        <v>316</v>
      </c>
      <c r="E1365" t="s">
        <v>169</v>
      </c>
      <c r="F1365" t="s">
        <v>307</v>
      </c>
      <c r="G1365" t="s">
        <v>12</v>
      </c>
      <c r="H1365">
        <v>6027.0</v>
      </c>
      <c r="I1365" t="s">
        <v>31</v>
      </c>
      <c r="J1365" t="s">
        <v>102</v>
      </c>
      <c r="K1365" t="s">
        <v>71</v>
      </c>
      <c r="L1365" t="s">
        <v>72</v>
      </c>
      <c r="M1365">
        <v>55.92</v>
      </c>
    </row>
    <row r="1366">
      <c r="A1366" s="2">
        <v>45839</v>
      </c>
      <c r="B1366">
        <v>2026.0</v>
      </c>
      <c r="C1366" t="s">
        <v>321</v>
      </c>
      <c r="D1366" t="s">
        <v>316</v>
      </c>
      <c r="E1366" t="s">
        <v>179</v>
      </c>
      <c r="F1366" t="s">
        <v>304</v>
      </c>
      <c r="G1366" t="s">
        <v>9</v>
      </c>
      <c r="H1366">
        <v>2015.0</v>
      </c>
      <c r="I1366" t="s">
        <v>31</v>
      </c>
      <c r="J1366" t="s">
        <v>99</v>
      </c>
      <c r="K1366" t="s">
        <v>57</v>
      </c>
      <c r="L1366" t="s">
        <v>58</v>
      </c>
      <c r="M1366">
        <v>55.93</v>
      </c>
    </row>
    <row r="1367">
      <c r="A1367" s="2">
        <v>45462</v>
      </c>
      <c r="B1367">
        <v>2024.0</v>
      </c>
      <c r="C1367" t="s">
        <v>318</v>
      </c>
      <c r="D1367" t="s">
        <v>316</v>
      </c>
      <c r="E1367" t="s">
        <v>217</v>
      </c>
      <c r="F1367" t="s">
        <v>305</v>
      </c>
      <c r="G1367" t="s">
        <v>10</v>
      </c>
      <c r="H1367">
        <v>3136.0</v>
      </c>
      <c r="I1367" t="s">
        <v>31</v>
      </c>
      <c r="J1367" t="s">
        <v>89</v>
      </c>
      <c r="K1367" t="s">
        <v>71</v>
      </c>
      <c r="L1367" t="s">
        <v>72</v>
      </c>
      <c r="M1367">
        <v>55.93</v>
      </c>
    </row>
    <row r="1368">
      <c r="A1368" s="2">
        <v>45751</v>
      </c>
      <c r="B1368">
        <v>2025.0</v>
      </c>
      <c r="C1368" t="s">
        <v>315</v>
      </c>
      <c r="D1368" t="s">
        <v>319</v>
      </c>
      <c r="E1368" t="s">
        <v>118</v>
      </c>
      <c r="F1368" t="s">
        <v>305</v>
      </c>
      <c r="G1368" t="s">
        <v>10</v>
      </c>
      <c r="H1368">
        <v>3076.0</v>
      </c>
      <c r="I1368" t="s">
        <v>31</v>
      </c>
      <c r="J1368" t="s">
        <v>120</v>
      </c>
      <c r="K1368" t="s">
        <v>95</v>
      </c>
      <c r="L1368" t="s">
        <v>96</v>
      </c>
      <c r="M1368">
        <v>55.93</v>
      </c>
    </row>
    <row r="1369">
      <c r="A1369" s="2">
        <v>45814</v>
      </c>
      <c r="B1369">
        <v>2025.0</v>
      </c>
      <c r="C1369" t="s">
        <v>315</v>
      </c>
      <c r="D1369" t="s">
        <v>316</v>
      </c>
      <c r="E1369" t="s">
        <v>223</v>
      </c>
      <c r="F1369" t="s">
        <v>305</v>
      </c>
      <c r="G1369" t="s">
        <v>10</v>
      </c>
      <c r="H1369">
        <v>3915.0</v>
      </c>
      <c r="I1369" t="s">
        <v>31</v>
      </c>
      <c r="J1369" t="s">
        <v>94</v>
      </c>
      <c r="K1369" t="s">
        <v>43</v>
      </c>
      <c r="L1369" t="s">
        <v>44</v>
      </c>
      <c r="M1369">
        <v>55.93</v>
      </c>
    </row>
    <row r="1370">
      <c r="A1370" s="2">
        <v>45387</v>
      </c>
      <c r="B1370">
        <v>2024.0</v>
      </c>
      <c r="C1370" t="s">
        <v>318</v>
      </c>
      <c r="D1370" t="s">
        <v>319</v>
      </c>
      <c r="E1370" t="s">
        <v>181</v>
      </c>
      <c r="F1370" t="s">
        <v>306</v>
      </c>
      <c r="G1370" t="s">
        <v>11</v>
      </c>
      <c r="H1370">
        <v>4119.0</v>
      </c>
      <c r="I1370" t="s">
        <v>31</v>
      </c>
      <c r="J1370" t="s">
        <v>56</v>
      </c>
      <c r="K1370" t="s">
        <v>38</v>
      </c>
      <c r="L1370" t="s">
        <v>39</v>
      </c>
      <c r="M1370">
        <v>55.93</v>
      </c>
    </row>
    <row r="1371">
      <c r="A1371" s="2">
        <v>45548</v>
      </c>
      <c r="B1371">
        <v>2025.0</v>
      </c>
      <c r="C1371" t="s">
        <v>315</v>
      </c>
      <c r="D1371" t="s">
        <v>316</v>
      </c>
      <c r="E1371" t="s">
        <v>59</v>
      </c>
      <c r="F1371" t="s">
        <v>306</v>
      </c>
      <c r="G1371" t="s">
        <v>11</v>
      </c>
      <c r="H1371">
        <v>4509.0</v>
      </c>
      <c r="I1371" t="s">
        <v>31</v>
      </c>
      <c r="J1371" t="s">
        <v>61</v>
      </c>
      <c r="K1371" t="s">
        <v>71</v>
      </c>
      <c r="L1371" t="s">
        <v>72</v>
      </c>
      <c r="M1371">
        <v>55.95</v>
      </c>
    </row>
    <row r="1372">
      <c r="A1372" s="2">
        <v>45916</v>
      </c>
      <c r="B1372">
        <v>2026.0</v>
      </c>
      <c r="C1372" t="s">
        <v>321</v>
      </c>
      <c r="D1372" t="s">
        <v>316</v>
      </c>
      <c r="E1372" t="s">
        <v>97</v>
      </c>
      <c r="F1372" t="s">
        <v>304</v>
      </c>
      <c r="G1372" t="s">
        <v>9</v>
      </c>
      <c r="H1372">
        <v>2067.0</v>
      </c>
      <c r="I1372" t="s">
        <v>31</v>
      </c>
      <c r="J1372" t="s">
        <v>99</v>
      </c>
      <c r="K1372" t="s">
        <v>112</v>
      </c>
      <c r="L1372" t="s">
        <v>113</v>
      </c>
      <c r="M1372">
        <v>56.0</v>
      </c>
    </row>
    <row r="1373">
      <c r="A1373" s="2">
        <v>45385</v>
      </c>
      <c r="B1373">
        <v>2024.0</v>
      </c>
      <c r="C1373" t="s">
        <v>318</v>
      </c>
      <c r="D1373" t="s">
        <v>319</v>
      </c>
      <c r="E1373" t="s">
        <v>230</v>
      </c>
      <c r="F1373" t="s">
        <v>308</v>
      </c>
      <c r="G1373" t="s">
        <v>13</v>
      </c>
      <c r="H1373">
        <v>5290.0</v>
      </c>
      <c r="I1373" t="s">
        <v>31</v>
      </c>
      <c r="J1373" t="s">
        <v>227</v>
      </c>
      <c r="K1373" t="s">
        <v>38</v>
      </c>
      <c r="L1373" t="s">
        <v>39</v>
      </c>
      <c r="M1373">
        <v>56.46</v>
      </c>
    </row>
    <row r="1374">
      <c r="A1374" s="2">
        <v>45937</v>
      </c>
      <c r="B1374">
        <v>2026.0</v>
      </c>
      <c r="C1374" t="s">
        <v>321</v>
      </c>
      <c r="D1374" t="s">
        <v>316</v>
      </c>
      <c r="E1374" t="s">
        <v>59</v>
      </c>
      <c r="F1374" t="s">
        <v>306</v>
      </c>
      <c r="G1374" t="s">
        <v>11</v>
      </c>
      <c r="H1374">
        <v>4509.0</v>
      </c>
      <c r="I1374" t="s">
        <v>31</v>
      </c>
      <c r="J1374" t="s">
        <v>61</v>
      </c>
      <c r="K1374" t="s">
        <v>43</v>
      </c>
      <c r="L1374" t="s">
        <v>44</v>
      </c>
      <c r="M1374">
        <v>56.699999999999996</v>
      </c>
    </row>
    <row r="1375">
      <c r="A1375" s="2">
        <v>45509</v>
      </c>
      <c r="B1375">
        <v>2025.0</v>
      </c>
      <c r="C1375" t="s">
        <v>315</v>
      </c>
      <c r="D1375" t="s">
        <v>319</v>
      </c>
      <c r="E1375" t="s">
        <v>183</v>
      </c>
      <c r="F1375" t="s">
        <v>304</v>
      </c>
      <c r="G1375" t="s">
        <v>9</v>
      </c>
      <c r="H1375">
        <v>2480.0</v>
      </c>
      <c r="I1375" t="s">
        <v>31</v>
      </c>
      <c r="J1375" t="s">
        <v>70</v>
      </c>
      <c r="K1375" t="s">
        <v>33</v>
      </c>
      <c r="L1375" t="s">
        <v>34</v>
      </c>
      <c r="M1375">
        <v>56.81</v>
      </c>
    </row>
    <row r="1376">
      <c r="A1376" s="2">
        <v>45787</v>
      </c>
      <c r="B1376">
        <v>2025.0</v>
      </c>
      <c r="C1376" t="s">
        <v>315</v>
      </c>
      <c r="D1376" t="s">
        <v>319</v>
      </c>
      <c r="E1376" t="s">
        <v>191</v>
      </c>
      <c r="F1376" t="s">
        <v>305</v>
      </c>
      <c r="G1376" t="s">
        <v>10</v>
      </c>
      <c r="H1376">
        <v>3030.0</v>
      </c>
      <c r="I1376" t="s">
        <v>31</v>
      </c>
      <c r="J1376" t="s">
        <v>120</v>
      </c>
      <c r="K1376" t="s">
        <v>38</v>
      </c>
      <c r="L1376" t="s">
        <v>39</v>
      </c>
      <c r="M1376">
        <v>56.81</v>
      </c>
    </row>
    <row r="1377">
      <c r="A1377" s="2">
        <v>45810</v>
      </c>
      <c r="B1377">
        <v>2025.0</v>
      </c>
      <c r="C1377" t="s">
        <v>315</v>
      </c>
      <c r="D1377" t="s">
        <v>316</v>
      </c>
      <c r="E1377" t="s">
        <v>183</v>
      </c>
      <c r="F1377" t="s">
        <v>304</v>
      </c>
      <c r="G1377" t="s">
        <v>9</v>
      </c>
      <c r="H1377">
        <v>2480.0</v>
      </c>
      <c r="I1377" t="s">
        <v>31</v>
      </c>
      <c r="J1377" t="s">
        <v>70</v>
      </c>
      <c r="K1377" t="s">
        <v>95</v>
      </c>
      <c r="L1377" t="s">
        <v>96</v>
      </c>
      <c r="M1377">
        <v>57.0</v>
      </c>
    </row>
    <row r="1378">
      <c r="A1378" s="2">
        <v>45392</v>
      </c>
      <c r="B1378">
        <v>2024.0</v>
      </c>
      <c r="C1378" t="s">
        <v>318</v>
      </c>
      <c r="D1378" t="s">
        <v>316</v>
      </c>
      <c r="E1378" t="s">
        <v>246</v>
      </c>
      <c r="F1378" t="s">
        <v>305</v>
      </c>
      <c r="G1378" t="s">
        <v>10</v>
      </c>
      <c r="H1378">
        <v>3551.0</v>
      </c>
      <c r="I1378" t="s">
        <v>31</v>
      </c>
      <c r="J1378" t="s">
        <v>37</v>
      </c>
      <c r="K1378" t="s">
        <v>33</v>
      </c>
      <c r="L1378" t="s">
        <v>34</v>
      </c>
      <c r="M1378">
        <v>57.18</v>
      </c>
    </row>
    <row r="1379">
      <c r="A1379" s="2">
        <v>45451</v>
      </c>
      <c r="B1379">
        <v>2024.0</v>
      </c>
      <c r="C1379" t="s">
        <v>318</v>
      </c>
      <c r="D1379" t="s">
        <v>316</v>
      </c>
      <c r="E1379" t="s">
        <v>148</v>
      </c>
      <c r="F1379" t="s">
        <v>307</v>
      </c>
      <c r="G1379" t="s">
        <v>12</v>
      </c>
      <c r="H1379">
        <v>6450.0</v>
      </c>
      <c r="I1379" t="s">
        <v>31</v>
      </c>
      <c r="J1379" t="s">
        <v>50</v>
      </c>
      <c r="K1379" t="s">
        <v>43</v>
      </c>
      <c r="L1379" t="s">
        <v>44</v>
      </c>
      <c r="M1379">
        <v>57.2</v>
      </c>
    </row>
    <row r="1380">
      <c r="A1380" s="2">
        <v>45653</v>
      </c>
      <c r="B1380">
        <v>2025.0</v>
      </c>
      <c r="C1380" t="s">
        <v>315</v>
      </c>
      <c r="D1380" t="s">
        <v>316</v>
      </c>
      <c r="E1380" t="s">
        <v>169</v>
      </c>
      <c r="F1380" t="s">
        <v>307</v>
      </c>
      <c r="G1380" t="s">
        <v>12</v>
      </c>
      <c r="H1380">
        <v>6027.0</v>
      </c>
      <c r="I1380" t="s">
        <v>31</v>
      </c>
      <c r="J1380" t="s">
        <v>102</v>
      </c>
      <c r="K1380" t="s">
        <v>123</v>
      </c>
      <c r="L1380" t="s">
        <v>124</v>
      </c>
      <c r="M1380">
        <v>57.2</v>
      </c>
    </row>
    <row r="1381">
      <c r="A1381" s="2">
        <v>45960</v>
      </c>
      <c r="B1381">
        <v>2026.0</v>
      </c>
      <c r="C1381" t="s">
        <v>321</v>
      </c>
      <c r="D1381" t="s">
        <v>316</v>
      </c>
      <c r="E1381" t="s">
        <v>76</v>
      </c>
      <c r="F1381" t="s">
        <v>306</v>
      </c>
      <c r="G1381" t="s">
        <v>11</v>
      </c>
      <c r="H1381">
        <v>4883.0</v>
      </c>
      <c r="I1381" t="s">
        <v>31</v>
      </c>
      <c r="J1381" t="s">
        <v>78</v>
      </c>
      <c r="K1381" t="s">
        <v>43</v>
      </c>
      <c r="L1381" t="s">
        <v>44</v>
      </c>
      <c r="M1381">
        <v>57.44</v>
      </c>
    </row>
    <row r="1382">
      <c r="A1382" s="2">
        <v>45723</v>
      </c>
      <c r="B1382">
        <v>2025.0</v>
      </c>
      <c r="C1382" t="s">
        <v>315</v>
      </c>
      <c r="D1382" t="s">
        <v>319</v>
      </c>
      <c r="E1382" t="s">
        <v>207</v>
      </c>
      <c r="F1382" t="s">
        <v>306</v>
      </c>
      <c r="G1382" t="s">
        <v>11</v>
      </c>
      <c r="H1382">
        <v>4825.0</v>
      </c>
      <c r="I1382" t="s">
        <v>31</v>
      </c>
      <c r="J1382" t="s">
        <v>78</v>
      </c>
      <c r="K1382" t="s">
        <v>46</v>
      </c>
      <c r="L1382" t="s">
        <v>47</v>
      </c>
      <c r="M1382">
        <v>57.66</v>
      </c>
    </row>
    <row r="1383">
      <c r="A1383" s="2">
        <v>45978</v>
      </c>
      <c r="B1383">
        <v>2026.0</v>
      </c>
      <c r="C1383" t="s">
        <v>321</v>
      </c>
      <c r="D1383" t="s">
        <v>319</v>
      </c>
      <c r="E1383" t="s">
        <v>175</v>
      </c>
      <c r="F1383" t="s">
        <v>311</v>
      </c>
      <c r="G1383" t="s">
        <v>16</v>
      </c>
      <c r="H1383">
        <v>2617.0</v>
      </c>
      <c r="I1383" t="s">
        <v>31</v>
      </c>
      <c r="J1383" t="s">
        <v>107</v>
      </c>
      <c r="K1383" t="s">
        <v>33</v>
      </c>
      <c r="L1383" t="s">
        <v>34</v>
      </c>
      <c r="M1383">
        <v>57.8</v>
      </c>
    </row>
    <row r="1384">
      <c r="A1384" s="2">
        <v>45427</v>
      </c>
      <c r="B1384">
        <v>2024.0</v>
      </c>
      <c r="C1384" t="s">
        <v>318</v>
      </c>
      <c r="D1384" t="s">
        <v>319</v>
      </c>
      <c r="E1384" t="s">
        <v>48</v>
      </c>
      <c r="F1384" t="s">
        <v>307</v>
      </c>
      <c r="G1384" t="s">
        <v>12</v>
      </c>
      <c r="H1384">
        <v>6725.0</v>
      </c>
      <c r="I1384" t="s">
        <v>31</v>
      </c>
      <c r="J1384" t="s">
        <v>50</v>
      </c>
      <c r="K1384" t="s">
        <v>123</v>
      </c>
      <c r="L1384" t="s">
        <v>124</v>
      </c>
      <c r="M1384">
        <v>57.86</v>
      </c>
    </row>
    <row r="1385">
      <c r="A1385" s="2">
        <v>45468</v>
      </c>
      <c r="B1385">
        <v>2024.0</v>
      </c>
      <c r="C1385" t="s">
        <v>318</v>
      </c>
      <c r="D1385" t="s">
        <v>319</v>
      </c>
      <c r="E1385" t="s">
        <v>213</v>
      </c>
      <c r="F1385" t="s">
        <v>306</v>
      </c>
      <c r="G1385" t="s">
        <v>11</v>
      </c>
      <c r="H1385">
        <v>4740.0</v>
      </c>
      <c r="I1385" t="s">
        <v>31</v>
      </c>
      <c r="J1385" t="s">
        <v>32</v>
      </c>
      <c r="K1385" t="s">
        <v>112</v>
      </c>
      <c r="L1385" t="s">
        <v>113</v>
      </c>
      <c r="M1385">
        <v>57.88</v>
      </c>
    </row>
    <row r="1386">
      <c r="A1386" s="2">
        <v>45808</v>
      </c>
      <c r="B1386">
        <v>2025.0</v>
      </c>
      <c r="C1386" t="s">
        <v>315</v>
      </c>
      <c r="D1386" t="s">
        <v>316</v>
      </c>
      <c r="E1386" t="s">
        <v>129</v>
      </c>
      <c r="F1386" t="s">
        <v>305</v>
      </c>
      <c r="G1386" t="s">
        <v>10</v>
      </c>
      <c r="H1386">
        <v>3066.0</v>
      </c>
      <c r="I1386" t="s">
        <v>31</v>
      </c>
      <c r="J1386" t="s">
        <v>120</v>
      </c>
      <c r="K1386" t="s">
        <v>46</v>
      </c>
      <c r="L1386" t="s">
        <v>47</v>
      </c>
      <c r="M1386">
        <v>57.91</v>
      </c>
    </row>
    <row r="1387">
      <c r="A1387" s="2">
        <v>45506</v>
      </c>
      <c r="B1387">
        <v>2025.0</v>
      </c>
      <c r="C1387" t="s">
        <v>315</v>
      </c>
      <c r="D1387" t="s">
        <v>316</v>
      </c>
      <c r="E1387" t="s">
        <v>252</v>
      </c>
      <c r="F1387" t="s">
        <v>305</v>
      </c>
      <c r="G1387" t="s">
        <v>10</v>
      </c>
      <c r="H1387">
        <v>3630.0</v>
      </c>
      <c r="I1387" t="s">
        <v>31</v>
      </c>
      <c r="J1387" t="s">
        <v>94</v>
      </c>
      <c r="K1387" t="s">
        <v>123</v>
      </c>
      <c r="L1387" t="s">
        <v>124</v>
      </c>
      <c r="M1387">
        <v>57.94</v>
      </c>
    </row>
    <row r="1388">
      <c r="A1388" s="2">
        <v>45627</v>
      </c>
      <c r="B1388">
        <v>2025.0</v>
      </c>
      <c r="C1388" t="s">
        <v>315</v>
      </c>
      <c r="D1388" t="s">
        <v>319</v>
      </c>
      <c r="E1388" t="s">
        <v>207</v>
      </c>
      <c r="F1388" t="s">
        <v>306</v>
      </c>
      <c r="G1388" t="s">
        <v>11</v>
      </c>
      <c r="H1388">
        <v>4825.0</v>
      </c>
      <c r="I1388" t="s">
        <v>31</v>
      </c>
      <c r="J1388" t="s">
        <v>78</v>
      </c>
      <c r="K1388" t="s">
        <v>43</v>
      </c>
      <c r="L1388" t="s">
        <v>44</v>
      </c>
      <c r="M1388">
        <v>57.940000000000005</v>
      </c>
    </row>
    <row r="1389">
      <c r="A1389" s="2">
        <v>45752</v>
      </c>
      <c r="B1389">
        <v>2025.0</v>
      </c>
      <c r="C1389" t="s">
        <v>315</v>
      </c>
      <c r="D1389" t="s">
        <v>316</v>
      </c>
      <c r="E1389" t="s">
        <v>156</v>
      </c>
      <c r="F1389" t="s">
        <v>304</v>
      </c>
      <c r="G1389" t="s">
        <v>9</v>
      </c>
      <c r="H1389">
        <v>2830.0</v>
      </c>
      <c r="I1389" t="s">
        <v>31</v>
      </c>
      <c r="J1389" t="s">
        <v>75</v>
      </c>
      <c r="K1389" t="s">
        <v>43</v>
      </c>
      <c r="L1389" t="s">
        <v>44</v>
      </c>
      <c r="M1389">
        <v>57.96</v>
      </c>
    </row>
    <row r="1390">
      <c r="A1390" s="2">
        <v>46014</v>
      </c>
      <c r="B1390">
        <v>2026.0</v>
      </c>
      <c r="C1390" t="s">
        <v>321</v>
      </c>
      <c r="D1390" t="s">
        <v>319</v>
      </c>
      <c r="E1390" t="s">
        <v>82</v>
      </c>
      <c r="F1390" t="s">
        <v>306</v>
      </c>
      <c r="G1390" t="s">
        <v>11</v>
      </c>
      <c r="H1390">
        <v>4558.0</v>
      </c>
      <c r="I1390" t="s">
        <v>31</v>
      </c>
      <c r="J1390" t="s">
        <v>84</v>
      </c>
      <c r="K1390" t="s">
        <v>123</v>
      </c>
      <c r="L1390" t="s">
        <v>124</v>
      </c>
      <c r="M1390">
        <v>58.19</v>
      </c>
    </row>
    <row r="1391">
      <c r="A1391" s="2">
        <v>45634</v>
      </c>
      <c r="B1391">
        <v>2025.0</v>
      </c>
      <c r="C1391" t="s">
        <v>315</v>
      </c>
      <c r="D1391" t="s">
        <v>319</v>
      </c>
      <c r="E1391" t="s">
        <v>103</v>
      </c>
      <c r="F1391" t="s">
        <v>307</v>
      </c>
      <c r="G1391" t="s">
        <v>12</v>
      </c>
      <c r="H1391">
        <v>6021.0</v>
      </c>
      <c r="I1391" t="s">
        <v>31</v>
      </c>
      <c r="J1391" t="s">
        <v>102</v>
      </c>
      <c r="K1391" t="s">
        <v>123</v>
      </c>
      <c r="L1391" t="s">
        <v>124</v>
      </c>
      <c r="M1391">
        <v>58.459999999999994</v>
      </c>
    </row>
    <row r="1392">
      <c r="A1392" s="2">
        <v>45488</v>
      </c>
      <c r="B1392">
        <v>2025.0</v>
      </c>
      <c r="C1392" t="s">
        <v>315</v>
      </c>
      <c r="D1392" t="s">
        <v>316</v>
      </c>
      <c r="E1392" t="s">
        <v>79</v>
      </c>
      <c r="F1392" t="s">
        <v>304</v>
      </c>
      <c r="G1392" t="s">
        <v>9</v>
      </c>
      <c r="H1392">
        <v>2141.0</v>
      </c>
      <c r="I1392" t="s">
        <v>31</v>
      </c>
      <c r="J1392" t="s">
        <v>81</v>
      </c>
      <c r="K1392" t="s">
        <v>123</v>
      </c>
      <c r="L1392" t="s">
        <v>124</v>
      </c>
      <c r="M1392">
        <v>58.769999999999996</v>
      </c>
    </row>
    <row r="1393">
      <c r="A1393" s="2">
        <v>46003</v>
      </c>
      <c r="B1393">
        <v>2026.0</v>
      </c>
      <c r="C1393" t="s">
        <v>321</v>
      </c>
      <c r="D1393" t="s">
        <v>316</v>
      </c>
      <c r="E1393" t="s">
        <v>133</v>
      </c>
      <c r="F1393" t="s">
        <v>305</v>
      </c>
      <c r="G1393" t="s">
        <v>10</v>
      </c>
      <c r="H1393">
        <v>3429.0</v>
      </c>
      <c r="I1393" t="s">
        <v>31</v>
      </c>
      <c r="J1393" t="s">
        <v>37</v>
      </c>
      <c r="K1393" t="s">
        <v>38</v>
      </c>
      <c r="L1393" t="s">
        <v>39</v>
      </c>
      <c r="M1393">
        <v>58.82</v>
      </c>
    </row>
    <row r="1394">
      <c r="A1394" s="2">
        <v>45489</v>
      </c>
      <c r="B1394">
        <v>2025.0</v>
      </c>
      <c r="C1394" t="s">
        <v>315</v>
      </c>
      <c r="D1394" t="s">
        <v>319</v>
      </c>
      <c r="E1394" t="s">
        <v>236</v>
      </c>
      <c r="F1394" t="s">
        <v>307</v>
      </c>
      <c r="G1394" t="s">
        <v>12</v>
      </c>
      <c r="H1394">
        <v>6052.0</v>
      </c>
      <c r="I1394" t="s">
        <v>31</v>
      </c>
      <c r="J1394" t="s">
        <v>102</v>
      </c>
      <c r="K1394" t="s">
        <v>33</v>
      </c>
      <c r="L1394" t="s">
        <v>34</v>
      </c>
      <c r="M1394">
        <v>58.84</v>
      </c>
    </row>
    <row r="1395">
      <c r="A1395" s="2">
        <v>45838</v>
      </c>
      <c r="B1395">
        <v>2025.0</v>
      </c>
      <c r="C1395" t="s">
        <v>315</v>
      </c>
      <c r="D1395" t="s">
        <v>319</v>
      </c>
      <c r="E1395" t="s">
        <v>228</v>
      </c>
      <c r="F1395" t="s">
        <v>306</v>
      </c>
      <c r="G1395" t="s">
        <v>11</v>
      </c>
      <c r="H1395">
        <v>4680.0</v>
      </c>
      <c r="I1395" t="s">
        <v>31</v>
      </c>
      <c r="J1395" t="s">
        <v>32</v>
      </c>
      <c r="K1395" t="s">
        <v>33</v>
      </c>
      <c r="L1395" t="s">
        <v>34</v>
      </c>
      <c r="M1395">
        <v>58.88</v>
      </c>
    </row>
    <row r="1396">
      <c r="A1396" s="2">
        <v>45342</v>
      </c>
      <c r="B1396">
        <v>2024.0</v>
      </c>
      <c r="C1396" t="s">
        <v>318</v>
      </c>
      <c r="D1396" t="s">
        <v>319</v>
      </c>
      <c r="E1396" t="s">
        <v>187</v>
      </c>
      <c r="F1396" t="s">
        <v>306</v>
      </c>
      <c r="G1396" t="s">
        <v>11</v>
      </c>
      <c r="H1396">
        <v>4870.0</v>
      </c>
      <c r="I1396" t="s">
        <v>31</v>
      </c>
      <c r="J1396" t="s">
        <v>78</v>
      </c>
      <c r="K1396" t="s">
        <v>123</v>
      </c>
      <c r="L1396" t="s">
        <v>124</v>
      </c>
      <c r="M1396">
        <v>58.89</v>
      </c>
    </row>
    <row r="1397">
      <c r="A1397" s="2">
        <v>45803</v>
      </c>
      <c r="B1397">
        <v>2025.0</v>
      </c>
      <c r="C1397" t="s">
        <v>315</v>
      </c>
      <c r="D1397" t="s">
        <v>319</v>
      </c>
      <c r="E1397" t="s">
        <v>125</v>
      </c>
      <c r="F1397" t="s">
        <v>305</v>
      </c>
      <c r="G1397" t="s">
        <v>10</v>
      </c>
      <c r="H1397">
        <v>3931.0</v>
      </c>
      <c r="I1397" t="s">
        <v>31</v>
      </c>
      <c r="J1397" t="s">
        <v>94</v>
      </c>
      <c r="K1397" t="s">
        <v>112</v>
      </c>
      <c r="L1397" t="s">
        <v>113</v>
      </c>
      <c r="M1397">
        <v>58.9</v>
      </c>
    </row>
    <row r="1398">
      <c r="A1398" s="2">
        <v>45528</v>
      </c>
      <c r="B1398">
        <v>2025.0</v>
      </c>
      <c r="C1398" t="s">
        <v>315</v>
      </c>
      <c r="D1398" t="s">
        <v>319</v>
      </c>
      <c r="E1398" t="s">
        <v>211</v>
      </c>
      <c r="F1398" t="s">
        <v>304</v>
      </c>
      <c r="G1398" t="s">
        <v>9</v>
      </c>
      <c r="H1398">
        <v>2650.0</v>
      </c>
      <c r="I1398" t="s">
        <v>31</v>
      </c>
      <c r="J1398" t="s">
        <v>75</v>
      </c>
      <c r="K1398" t="s">
        <v>95</v>
      </c>
      <c r="L1398" t="s">
        <v>96</v>
      </c>
      <c r="M1398">
        <v>58.9</v>
      </c>
    </row>
    <row r="1399">
      <c r="A1399" s="2">
        <v>46010</v>
      </c>
      <c r="B1399">
        <v>2026.0</v>
      </c>
      <c r="C1399" t="s">
        <v>321</v>
      </c>
      <c r="D1399" t="s">
        <v>316</v>
      </c>
      <c r="E1399" t="s">
        <v>156</v>
      </c>
      <c r="F1399" t="s">
        <v>304</v>
      </c>
      <c r="G1399" t="s">
        <v>9</v>
      </c>
      <c r="H1399">
        <v>2830.0</v>
      </c>
      <c r="I1399" t="s">
        <v>31</v>
      </c>
      <c r="J1399" t="s">
        <v>75</v>
      </c>
      <c r="K1399" t="s">
        <v>46</v>
      </c>
      <c r="L1399" t="s">
        <v>47</v>
      </c>
      <c r="M1399">
        <v>58.96</v>
      </c>
    </row>
    <row r="1400">
      <c r="A1400" s="2">
        <v>45952</v>
      </c>
      <c r="B1400">
        <v>2026.0</v>
      </c>
      <c r="C1400" t="s">
        <v>321</v>
      </c>
      <c r="D1400" t="s">
        <v>319</v>
      </c>
      <c r="E1400" t="s">
        <v>185</v>
      </c>
      <c r="F1400" t="s">
        <v>307</v>
      </c>
      <c r="G1400" t="s">
        <v>12</v>
      </c>
      <c r="H1400">
        <v>6109.0</v>
      </c>
      <c r="I1400" t="s">
        <v>31</v>
      </c>
      <c r="J1400" t="s">
        <v>162</v>
      </c>
      <c r="K1400" t="s">
        <v>71</v>
      </c>
      <c r="L1400" t="s">
        <v>72</v>
      </c>
      <c r="M1400">
        <v>58.96</v>
      </c>
    </row>
    <row r="1401">
      <c r="A1401" s="2">
        <v>45326</v>
      </c>
      <c r="B1401">
        <v>2024.0</v>
      </c>
      <c r="C1401" t="s">
        <v>318</v>
      </c>
      <c r="D1401" t="s">
        <v>316</v>
      </c>
      <c r="E1401" t="s">
        <v>54</v>
      </c>
      <c r="F1401" t="s">
        <v>306</v>
      </c>
      <c r="G1401" t="s">
        <v>11</v>
      </c>
      <c r="H1401">
        <v>4012.0</v>
      </c>
      <c r="I1401" t="s">
        <v>31</v>
      </c>
      <c r="J1401" t="s">
        <v>56</v>
      </c>
      <c r="K1401" t="s">
        <v>123</v>
      </c>
      <c r="L1401" t="s">
        <v>124</v>
      </c>
      <c r="M1401">
        <v>58.96</v>
      </c>
    </row>
    <row r="1402">
      <c r="A1402" s="2">
        <v>45332</v>
      </c>
      <c r="B1402">
        <v>2024.0</v>
      </c>
      <c r="C1402" t="s">
        <v>318</v>
      </c>
      <c r="D1402" t="s">
        <v>316</v>
      </c>
      <c r="E1402" t="s">
        <v>79</v>
      </c>
      <c r="F1402" t="s">
        <v>304</v>
      </c>
      <c r="G1402" t="s">
        <v>9</v>
      </c>
      <c r="H1402">
        <v>2141.0</v>
      </c>
      <c r="I1402" t="s">
        <v>31</v>
      </c>
      <c r="J1402" t="s">
        <v>81</v>
      </c>
      <c r="K1402" t="s">
        <v>43</v>
      </c>
      <c r="L1402" t="s">
        <v>44</v>
      </c>
      <c r="M1402">
        <v>58.97</v>
      </c>
    </row>
    <row r="1403">
      <c r="A1403" s="2">
        <v>45346</v>
      </c>
      <c r="B1403">
        <v>2024.0</v>
      </c>
      <c r="C1403" t="s">
        <v>318</v>
      </c>
      <c r="D1403" t="s">
        <v>316</v>
      </c>
      <c r="E1403" t="s">
        <v>199</v>
      </c>
      <c r="F1403" t="s">
        <v>308</v>
      </c>
      <c r="G1403" t="s">
        <v>13</v>
      </c>
      <c r="H1403">
        <v>5169.0</v>
      </c>
      <c r="I1403" t="s">
        <v>31</v>
      </c>
      <c r="J1403" t="s">
        <v>42</v>
      </c>
      <c r="K1403" t="s">
        <v>43</v>
      </c>
      <c r="L1403" t="s">
        <v>44</v>
      </c>
      <c r="M1403">
        <v>59.0</v>
      </c>
    </row>
    <row r="1404">
      <c r="A1404" s="2">
        <v>45417</v>
      </c>
      <c r="B1404">
        <v>2024.0</v>
      </c>
      <c r="C1404" t="s">
        <v>318</v>
      </c>
      <c r="D1404" t="s">
        <v>319</v>
      </c>
      <c r="E1404" t="s">
        <v>211</v>
      </c>
      <c r="F1404" t="s">
        <v>304</v>
      </c>
      <c r="G1404" t="s">
        <v>9</v>
      </c>
      <c r="H1404">
        <v>2650.0</v>
      </c>
      <c r="I1404" t="s">
        <v>31</v>
      </c>
      <c r="J1404" t="s">
        <v>75</v>
      </c>
      <c r="K1404" t="s">
        <v>43</v>
      </c>
      <c r="L1404" t="s">
        <v>44</v>
      </c>
      <c r="M1404">
        <v>59.0</v>
      </c>
    </row>
    <row r="1405">
      <c r="A1405" s="2">
        <v>45608</v>
      </c>
      <c r="B1405">
        <v>2025.0</v>
      </c>
      <c r="C1405" t="s">
        <v>315</v>
      </c>
      <c r="D1405" t="s">
        <v>316</v>
      </c>
      <c r="E1405" t="s">
        <v>97</v>
      </c>
      <c r="F1405" t="s">
        <v>304</v>
      </c>
      <c r="G1405" t="s">
        <v>9</v>
      </c>
      <c r="H1405">
        <v>2067.0</v>
      </c>
      <c r="I1405" t="s">
        <v>31</v>
      </c>
      <c r="J1405" t="s">
        <v>99</v>
      </c>
      <c r="K1405" t="s">
        <v>46</v>
      </c>
      <c r="L1405" t="s">
        <v>47</v>
      </c>
      <c r="M1405">
        <v>59.3</v>
      </c>
    </row>
    <row r="1406">
      <c r="A1406" s="2">
        <v>45995</v>
      </c>
      <c r="B1406">
        <v>2026.0</v>
      </c>
      <c r="C1406" t="s">
        <v>321</v>
      </c>
      <c r="D1406" t="s">
        <v>319</v>
      </c>
      <c r="E1406" t="s">
        <v>141</v>
      </c>
      <c r="F1406" t="s">
        <v>304</v>
      </c>
      <c r="G1406" t="s">
        <v>9</v>
      </c>
      <c r="H1406">
        <v>2539.0</v>
      </c>
      <c r="I1406" t="s">
        <v>31</v>
      </c>
      <c r="J1406" t="s">
        <v>107</v>
      </c>
      <c r="K1406" t="s">
        <v>38</v>
      </c>
      <c r="L1406" t="s">
        <v>39</v>
      </c>
      <c r="M1406">
        <v>59.43</v>
      </c>
    </row>
    <row r="1407">
      <c r="A1407" s="2">
        <v>46021</v>
      </c>
      <c r="B1407">
        <v>2026.0</v>
      </c>
      <c r="C1407" t="s">
        <v>321</v>
      </c>
      <c r="D1407" t="s">
        <v>316</v>
      </c>
      <c r="E1407" t="s">
        <v>169</v>
      </c>
      <c r="F1407" t="s">
        <v>307</v>
      </c>
      <c r="G1407" t="s">
        <v>12</v>
      </c>
      <c r="H1407">
        <v>6027.0</v>
      </c>
      <c r="I1407" t="s">
        <v>31</v>
      </c>
      <c r="J1407" t="s">
        <v>102</v>
      </c>
      <c r="K1407" t="s">
        <v>33</v>
      </c>
      <c r="L1407" t="s">
        <v>34</v>
      </c>
      <c r="M1407">
        <v>59.45</v>
      </c>
    </row>
    <row r="1408">
      <c r="A1408" s="2">
        <v>45516</v>
      </c>
      <c r="B1408">
        <v>2025.0</v>
      </c>
      <c r="C1408" t="s">
        <v>315</v>
      </c>
      <c r="D1408" t="s">
        <v>319</v>
      </c>
      <c r="E1408" t="s">
        <v>264</v>
      </c>
      <c r="F1408" t="s">
        <v>308</v>
      </c>
      <c r="G1408" t="s">
        <v>13</v>
      </c>
      <c r="H1408">
        <v>5043.0</v>
      </c>
      <c r="I1408" t="s">
        <v>31</v>
      </c>
      <c r="J1408" t="s">
        <v>42</v>
      </c>
      <c r="K1408" t="s">
        <v>71</v>
      </c>
      <c r="L1408" t="s">
        <v>72</v>
      </c>
      <c r="M1408">
        <v>59.580000000000005</v>
      </c>
    </row>
    <row r="1409">
      <c r="A1409" s="2">
        <v>45954</v>
      </c>
      <c r="B1409">
        <v>2026.0</v>
      </c>
      <c r="C1409" t="s">
        <v>321</v>
      </c>
      <c r="D1409" t="s">
        <v>316</v>
      </c>
      <c r="E1409" t="s">
        <v>146</v>
      </c>
      <c r="F1409" t="s">
        <v>304</v>
      </c>
      <c r="G1409" t="s">
        <v>9</v>
      </c>
      <c r="H1409">
        <v>2790.0</v>
      </c>
      <c r="I1409" t="s">
        <v>31</v>
      </c>
      <c r="J1409" t="s">
        <v>75</v>
      </c>
      <c r="K1409" t="s">
        <v>95</v>
      </c>
      <c r="L1409" t="s">
        <v>96</v>
      </c>
      <c r="M1409">
        <v>59.85</v>
      </c>
    </row>
    <row r="1410">
      <c r="A1410" s="2">
        <v>45897</v>
      </c>
      <c r="B1410">
        <v>2026.0</v>
      </c>
      <c r="C1410" t="s">
        <v>321</v>
      </c>
      <c r="D1410" t="s">
        <v>319</v>
      </c>
      <c r="E1410" t="s">
        <v>187</v>
      </c>
      <c r="F1410" t="s">
        <v>306</v>
      </c>
      <c r="G1410" t="s">
        <v>11</v>
      </c>
      <c r="H1410">
        <v>4870.0</v>
      </c>
      <c r="I1410" t="s">
        <v>31</v>
      </c>
      <c r="J1410" t="s">
        <v>78</v>
      </c>
      <c r="K1410" t="s">
        <v>95</v>
      </c>
      <c r="L1410" t="s">
        <v>96</v>
      </c>
      <c r="M1410">
        <v>59.88</v>
      </c>
    </row>
    <row r="1411">
      <c r="A1411" s="2">
        <v>45989</v>
      </c>
      <c r="B1411">
        <v>2026.0</v>
      </c>
      <c r="C1411" t="s">
        <v>321</v>
      </c>
      <c r="D1411" t="s">
        <v>319</v>
      </c>
      <c r="E1411" t="s">
        <v>219</v>
      </c>
      <c r="F1411" t="s">
        <v>306</v>
      </c>
      <c r="G1411" t="s">
        <v>11</v>
      </c>
      <c r="H1411">
        <v>4068.0</v>
      </c>
      <c r="I1411" t="s">
        <v>31</v>
      </c>
      <c r="J1411" t="s">
        <v>56</v>
      </c>
      <c r="K1411" t="s">
        <v>95</v>
      </c>
      <c r="L1411" t="s">
        <v>96</v>
      </c>
      <c r="M1411">
        <v>59.88</v>
      </c>
    </row>
    <row r="1412">
      <c r="A1412" s="2">
        <v>45667</v>
      </c>
      <c r="B1412">
        <v>2025.0</v>
      </c>
      <c r="C1412" t="s">
        <v>315</v>
      </c>
      <c r="D1412" t="s">
        <v>316</v>
      </c>
      <c r="E1412" t="s">
        <v>256</v>
      </c>
      <c r="F1412" t="s">
        <v>304</v>
      </c>
      <c r="G1412" t="s">
        <v>9</v>
      </c>
      <c r="H1412">
        <v>2350.0</v>
      </c>
      <c r="I1412" t="s">
        <v>31</v>
      </c>
      <c r="J1412" t="s">
        <v>70</v>
      </c>
      <c r="K1412" t="s">
        <v>71</v>
      </c>
      <c r="L1412" t="s">
        <v>72</v>
      </c>
      <c r="M1412">
        <v>59.9</v>
      </c>
    </row>
    <row r="1413">
      <c r="A1413" s="2">
        <v>45831</v>
      </c>
      <c r="B1413">
        <v>2025.0</v>
      </c>
      <c r="C1413" t="s">
        <v>315</v>
      </c>
      <c r="D1413" t="s">
        <v>316</v>
      </c>
      <c r="E1413" t="s">
        <v>156</v>
      </c>
      <c r="F1413" t="s">
        <v>304</v>
      </c>
      <c r="G1413" t="s">
        <v>9</v>
      </c>
      <c r="H1413">
        <v>2830.0</v>
      </c>
      <c r="I1413" t="s">
        <v>31</v>
      </c>
      <c r="J1413" t="s">
        <v>75</v>
      </c>
      <c r="K1413" t="s">
        <v>46</v>
      </c>
      <c r="L1413" t="s">
        <v>47</v>
      </c>
      <c r="M1413">
        <v>59.9</v>
      </c>
    </row>
    <row r="1414">
      <c r="A1414" s="2">
        <v>45810</v>
      </c>
      <c r="B1414">
        <v>2025.0</v>
      </c>
      <c r="C1414" t="s">
        <v>315</v>
      </c>
      <c r="D1414" t="s">
        <v>319</v>
      </c>
      <c r="E1414" t="s">
        <v>135</v>
      </c>
      <c r="F1414" t="s">
        <v>311</v>
      </c>
      <c r="G1414" t="s">
        <v>16</v>
      </c>
      <c r="H1414">
        <v>2609.0</v>
      </c>
      <c r="I1414" t="s">
        <v>31</v>
      </c>
      <c r="J1414" t="s">
        <v>107</v>
      </c>
      <c r="K1414" t="s">
        <v>38</v>
      </c>
      <c r="L1414" t="s">
        <v>39</v>
      </c>
      <c r="M1414">
        <v>59.9</v>
      </c>
    </row>
    <row r="1415">
      <c r="A1415" s="2">
        <v>45831</v>
      </c>
      <c r="B1415">
        <v>2025.0</v>
      </c>
      <c r="C1415" t="s">
        <v>315</v>
      </c>
      <c r="D1415" t="s">
        <v>319</v>
      </c>
      <c r="E1415" t="s">
        <v>236</v>
      </c>
      <c r="F1415" t="s">
        <v>307</v>
      </c>
      <c r="G1415" t="s">
        <v>12</v>
      </c>
      <c r="H1415">
        <v>6052.0</v>
      </c>
      <c r="I1415" t="s">
        <v>31</v>
      </c>
      <c r="J1415" t="s">
        <v>102</v>
      </c>
      <c r="K1415" t="s">
        <v>112</v>
      </c>
      <c r="L1415" t="s">
        <v>113</v>
      </c>
      <c r="M1415">
        <v>59.9</v>
      </c>
    </row>
    <row r="1416">
      <c r="A1416" s="2">
        <v>45595</v>
      </c>
      <c r="B1416">
        <v>2025.0</v>
      </c>
      <c r="C1416" t="s">
        <v>315</v>
      </c>
      <c r="D1416" t="s">
        <v>319</v>
      </c>
      <c r="E1416" t="s">
        <v>207</v>
      </c>
      <c r="F1416" t="s">
        <v>306</v>
      </c>
      <c r="G1416" t="s">
        <v>11</v>
      </c>
      <c r="H1416">
        <v>4825.0</v>
      </c>
      <c r="I1416" t="s">
        <v>31</v>
      </c>
      <c r="J1416" t="s">
        <v>78</v>
      </c>
      <c r="K1416" t="s">
        <v>71</v>
      </c>
      <c r="L1416" t="s">
        <v>72</v>
      </c>
      <c r="M1416">
        <v>59.9</v>
      </c>
    </row>
    <row r="1417">
      <c r="A1417" s="2">
        <v>45317</v>
      </c>
      <c r="B1417">
        <v>2024.0</v>
      </c>
      <c r="C1417" t="s">
        <v>318</v>
      </c>
      <c r="D1417" t="s">
        <v>319</v>
      </c>
      <c r="E1417" t="s">
        <v>213</v>
      </c>
      <c r="F1417" t="s">
        <v>306</v>
      </c>
      <c r="G1417" t="s">
        <v>11</v>
      </c>
      <c r="H1417">
        <v>4740.0</v>
      </c>
      <c r="I1417" t="s">
        <v>31</v>
      </c>
      <c r="J1417" t="s">
        <v>32</v>
      </c>
      <c r="K1417" t="s">
        <v>38</v>
      </c>
      <c r="L1417" t="s">
        <v>39</v>
      </c>
      <c r="M1417">
        <v>59.900000000000006</v>
      </c>
    </row>
    <row r="1418">
      <c r="A1418" s="2">
        <v>45967</v>
      </c>
      <c r="B1418">
        <v>2026.0</v>
      </c>
      <c r="C1418" t="s">
        <v>321</v>
      </c>
      <c r="D1418" t="s">
        <v>319</v>
      </c>
      <c r="E1418" t="s">
        <v>118</v>
      </c>
      <c r="F1418" t="s">
        <v>305</v>
      </c>
      <c r="G1418" t="s">
        <v>10</v>
      </c>
      <c r="H1418">
        <v>3076.0</v>
      </c>
      <c r="I1418" t="s">
        <v>31</v>
      </c>
      <c r="J1418" t="s">
        <v>120</v>
      </c>
      <c r="K1418" t="s">
        <v>57</v>
      </c>
      <c r="L1418" t="s">
        <v>58</v>
      </c>
      <c r="M1418">
        <v>59.94</v>
      </c>
    </row>
    <row r="1419">
      <c r="A1419" s="2">
        <v>45372</v>
      </c>
      <c r="B1419">
        <v>2024.0</v>
      </c>
      <c r="C1419" t="s">
        <v>318</v>
      </c>
      <c r="D1419" t="s">
        <v>319</v>
      </c>
      <c r="E1419" t="s">
        <v>108</v>
      </c>
      <c r="F1419" t="s">
        <v>304</v>
      </c>
      <c r="G1419" t="s">
        <v>9</v>
      </c>
      <c r="H1419">
        <v>2795.0</v>
      </c>
      <c r="I1419" t="s">
        <v>31</v>
      </c>
      <c r="J1419" t="s">
        <v>75</v>
      </c>
      <c r="K1419" t="s">
        <v>43</v>
      </c>
      <c r="L1419" t="s">
        <v>44</v>
      </c>
      <c r="M1419">
        <v>59.96</v>
      </c>
    </row>
    <row r="1420">
      <c r="A1420" s="2">
        <v>45811</v>
      </c>
      <c r="B1420">
        <v>2025.0</v>
      </c>
      <c r="C1420" t="s">
        <v>315</v>
      </c>
      <c r="D1420" t="s">
        <v>316</v>
      </c>
      <c r="E1420" t="s">
        <v>195</v>
      </c>
      <c r="F1420" t="s">
        <v>306</v>
      </c>
      <c r="G1420" t="s">
        <v>11</v>
      </c>
      <c r="H1420">
        <v>4700.0</v>
      </c>
      <c r="I1420" t="s">
        <v>31</v>
      </c>
      <c r="J1420" t="s">
        <v>32</v>
      </c>
      <c r="K1420" t="s">
        <v>43</v>
      </c>
      <c r="L1420" t="s">
        <v>44</v>
      </c>
      <c r="M1420">
        <v>59.96</v>
      </c>
    </row>
    <row r="1421">
      <c r="A1421" s="2">
        <v>45928</v>
      </c>
      <c r="B1421">
        <v>2026.0</v>
      </c>
      <c r="C1421" t="s">
        <v>321</v>
      </c>
      <c r="D1421" t="s">
        <v>319</v>
      </c>
      <c r="E1421" t="s">
        <v>215</v>
      </c>
      <c r="F1421" t="s">
        <v>310</v>
      </c>
      <c r="G1421" t="s">
        <v>15</v>
      </c>
      <c r="H1421">
        <v>7320.0</v>
      </c>
      <c r="I1421" t="s">
        <v>31</v>
      </c>
      <c r="J1421" t="s">
        <v>53</v>
      </c>
      <c r="K1421" t="s">
        <v>43</v>
      </c>
      <c r="L1421" t="s">
        <v>44</v>
      </c>
      <c r="M1421">
        <v>59.97</v>
      </c>
    </row>
    <row r="1422">
      <c r="A1422" s="2">
        <v>45319</v>
      </c>
      <c r="B1422">
        <v>2024.0</v>
      </c>
      <c r="C1422" t="s">
        <v>318</v>
      </c>
      <c r="D1422" t="s">
        <v>316</v>
      </c>
      <c r="E1422" t="s">
        <v>203</v>
      </c>
      <c r="F1422" t="s">
        <v>305</v>
      </c>
      <c r="G1422" t="s">
        <v>10</v>
      </c>
      <c r="H1422">
        <v>3175.0</v>
      </c>
      <c r="I1422" t="s">
        <v>31</v>
      </c>
      <c r="J1422" t="s">
        <v>89</v>
      </c>
      <c r="K1422" t="s">
        <v>71</v>
      </c>
      <c r="L1422" t="s">
        <v>72</v>
      </c>
      <c r="M1422">
        <v>59.97</v>
      </c>
    </row>
    <row r="1423">
      <c r="A1423" s="2">
        <v>45956</v>
      </c>
      <c r="B1423">
        <v>2026.0</v>
      </c>
      <c r="C1423" t="s">
        <v>321</v>
      </c>
      <c r="D1423" t="s">
        <v>319</v>
      </c>
      <c r="E1423" t="s">
        <v>79</v>
      </c>
      <c r="F1423" t="s">
        <v>304</v>
      </c>
      <c r="G1423" t="s">
        <v>9</v>
      </c>
      <c r="H1423">
        <v>2141.0</v>
      </c>
      <c r="I1423" t="s">
        <v>31</v>
      </c>
      <c r="J1423" t="s">
        <v>81</v>
      </c>
      <c r="K1423" t="s">
        <v>43</v>
      </c>
      <c r="L1423" t="s">
        <v>44</v>
      </c>
      <c r="M1423">
        <v>59.97</v>
      </c>
    </row>
    <row r="1424">
      <c r="A1424" s="2">
        <v>45933</v>
      </c>
      <c r="B1424">
        <v>2026.0</v>
      </c>
      <c r="C1424" t="s">
        <v>321</v>
      </c>
      <c r="D1424" t="s">
        <v>319</v>
      </c>
      <c r="E1424" t="s">
        <v>114</v>
      </c>
      <c r="F1424" t="s">
        <v>304</v>
      </c>
      <c r="G1424" t="s">
        <v>9</v>
      </c>
      <c r="H1424">
        <v>2031.0</v>
      </c>
      <c r="I1424" t="s">
        <v>31</v>
      </c>
      <c r="J1424" t="s">
        <v>99</v>
      </c>
      <c r="K1424" t="s">
        <v>43</v>
      </c>
      <c r="L1424" t="s">
        <v>44</v>
      </c>
      <c r="M1424">
        <v>59.97</v>
      </c>
    </row>
    <row r="1425">
      <c r="A1425" s="2">
        <v>45400</v>
      </c>
      <c r="B1425">
        <v>2024.0</v>
      </c>
      <c r="C1425" t="s">
        <v>318</v>
      </c>
      <c r="D1425" t="s">
        <v>319</v>
      </c>
      <c r="E1425" t="s">
        <v>195</v>
      </c>
      <c r="F1425" t="s">
        <v>306</v>
      </c>
      <c r="G1425" t="s">
        <v>11</v>
      </c>
      <c r="H1425">
        <v>4700.0</v>
      </c>
      <c r="I1425" t="s">
        <v>31</v>
      </c>
      <c r="J1425" t="s">
        <v>32</v>
      </c>
      <c r="K1425" t="s">
        <v>57</v>
      </c>
      <c r="L1425" t="s">
        <v>58</v>
      </c>
      <c r="M1425">
        <v>59.97</v>
      </c>
    </row>
    <row r="1426">
      <c r="A1426" s="2">
        <v>45489</v>
      </c>
      <c r="B1426">
        <v>2025.0</v>
      </c>
      <c r="C1426" t="s">
        <v>315</v>
      </c>
      <c r="D1426" t="s">
        <v>316</v>
      </c>
      <c r="E1426" t="s">
        <v>217</v>
      </c>
      <c r="F1426" t="s">
        <v>305</v>
      </c>
      <c r="G1426" t="s">
        <v>10</v>
      </c>
      <c r="H1426">
        <v>3136.0</v>
      </c>
      <c r="I1426" t="s">
        <v>31</v>
      </c>
      <c r="J1426" t="s">
        <v>89</v>
      </c>
      <c r="K1426" t="s">
        <v>57</v>
      </c>
      <c r="L1426" t="s">
        <v>58</v>
      </c>
      <c r="M1426">
        <v>59.98</v>
      </c>
    </row>
    <row r="1427">
      <c r="A1427" s="2">
        <v>45569</v>
      </c>
      <c r="B1427">
        <v>2025.0</v>
      </c>
      <c r="C1427" t="s">
        <v>315</v>
      </c>
      <c r="D1427" t="s">
        <v>316</v>
      </c>
      <c r="E1427" t="s">
        <v>240</v>
      </c>
      <c r="F1427" t="s">
        <v>310</v>
      </c>
      <c r="G1427" t="s">
        <v>15</v>
      </c>
      <c r="H1427">
        <v>7010.0</v>
      </c>
      <c r="I1427" t="s">
        <v>31</v>
      </c>
      <c r="J1427" t="s">
        <v>53</v>
      </c>
      <c r="K1427" t="s">
        <v>43</v>
      </c>
      <c r="L1427" t="s">
        <v>44</v>
      </c>
      <c r="M1427">
        <v>60.0</v>
      </c>
    </row>
    <row r="1428">
      <c r="A1428" s="2">
        <v>45641</v>
      </c>
      <c r="B1428">
        <v>2025.0</v>
      </c>
      <c r="C1428" t="s">
        <v>315</v>
      </c>
      <c r="D1428" t="s">
        <v>316</v>
      </c>
      <c r="E1428" t="s">
        <v>183</v>
      </c>
      <c r="F1428" t="s">
        <v>304</v>
      </c>
      <c r="G1428" t="s">
        <v>9</v>
      </c>
      <c r="H1428">
        <v>2480.0</v>
      </c>
      <c r="I1428" t="s">
        <v>31</v>
      </c>
      <c r="J1428" t="s">
        <v>70</v>
      </c>
      <c r="K1428" t="s">
        <v>46</v>
      </c>
      <c r="L1428" t="s">
        <v>47</v>
      </c>
      <c r="M1428">
        <v>60.2</v>
      </c>
    </row>
    <row r="1429">
      <c r="A1429" s="2">
        <v>45687</v>
      </c>
      <c r="B1429">
        <v>2025.0</v>
      </c>
      <c r="C1429" t="s">
        <v>315</v>
      </c>
      <c r="D1429" t="s">
        <v>319</v>
      </c>
      <c r="E1429" t="s">
        <v>121</v>
      </c>
      <c r="F1429" t="s">
        <v>306</v>
      </c>
      <c r="G1429" t="s">
        <v>11</v>
      </c>
      <c r="H1429">
        <v>4566.0</v>
      </c>
      <c r="I1429" t="s">
        <v>31</v>
      </c>
      <c r="J1429" t="s">
        <v>84</v>
      </c>
      <c r="K1429" t="s">
        <v>43</v>
      </c>
      <c r="L1429" t="s">
        <v>44</v>
      </c>
      <c r="M1429">
        <v>60.440000000000005</v>
      </c>
    </row>
    <row r="1430">
      <c r="A1430" s="2">
        <v>45480</v>
      </c>
      <c r="B1430">
        <v>2025.0</v>
      </c>
      <c r="C1430" t="s">
        <v>315</v>
      </c>
      <c r="D1430" t="s">
        <v>319</v>
      </c>
      <c r="E1430" t="s">
        <v>181</v>
      </c>
      <c r="F1430" t="s">
        <v>306</v>
      </c>
      <c r="G1430" t="s">
        <v>11</v>
      </c>
      <c r="H1430">
        <v>4119.0</v>
      </c>
      <c r="I1430" t="s">
        <v>31</v>
      </c>
      <c r="J1430" t="s">
        <v>56</v>
      </c>
      <c r="K1430" t="s">
        <v>43</v>
      </c>
      <c r="L1430" t="s">
        <v>44</v>
      </c>
      <c r="M1430">
        <v>60.78</v>
      </c>
    </row>
    <row r="1431">
      <c r="A1431" s="2">
        <v>45684</v>
      </c>
      <c r="B1431">
        <v>2025.0</v>
      </c>
      <c r="C1431" t="s">
        <v>315</v>
      </c>
      <c r="D1431" t="s">
        <v>319</v>
      </c>
      <c r="E1431" t="s">
        <v>219</v>
      </c>
      <c r="F1431" t="s">
        <v>306</v>
      </c>
      <c r="G1431" t="s">
        <v>11</v>
      </c>
      <c r="H1431">
        <v>4068.0</v>
      </c>
      <c r="I1431" t="s">
        <v>31</v>
      </c>
      <c r="J1431" t="s">
        <v>56</v>
      </c>
      <c r="K1431" t="s">
        <v>112</v>
      </c>
      <c r="L1431" t="s">
        <v>113</v>
      </c>
      <c r="M1431">
        <v>60.879999999999995</v>
      </c>
    </row>
    <row r="1432">
      <c r="A1432" s="2">
        <v>45343</v>
      </c>
      <c r="B1432">
        <v>2024.0</v>
      </c>
      <c r="C1432" t="s">
        <v>318</v>
      </c>
      <c r="D1432" t="s">
        <v>316</v>
      </c>
      <c r="E1432" t="s">
        <v>143</v>
      </c>
      <c r="F1432" t="s">
        <v>309</v>
      </c>
      <c r="G1432" t="s">
        <v>14</v>
      </c>
      <c r="H1432">
        <v>800.0</v>
      </c>
      <c r="I1432" t="s">
        <v>31</v>
      </c>
      <c r="J1432" t="s">
        <v>145</v>
      </c>
      <c r="K1432" t="s">
        <v>57</v>
      </c>
      <c r="L1432" t="s">
        <v>58</v>
      </c>
      <c r="M1432">
        <v>61.0</v>
      </c>
    </row>
    <row r="1433">
      <c r="A1433" s="2">
        <v>45680</v>
      </c>
      <c r="B1433">
        <v>2025.0</v>
      </c>
      <c r="C1433" t="s">
        <v>315</v>
      </c>
      <c r="D1433" t="s">
        <v>316</v>
      </c>
      <c r="E1433" t="s">
        <v>160</v>
      </c>
      <c r="F1433" t="s">
        <v>307</v>
      </c>
      <c r="G1433" t="s">
        <v>12</v>
      </c>
      <c r="H1433">
        <v>6280.0</v>
      </c>
      <c r="I1433" t="s">
        <v>31</v>
      </c>
      <c r="J1433" t="s">
        <v>162</v>
      </c>
      <c r="K1433" t="s">
        <v>95</v>
      </c>
      <c r="L1433" t="s">
        <v>96</v>
      </c>
      <c r="M1433">
        <v>61.1</v>
      </c>
    </row>
    <row r="1434">
      <c r="A1434" s="2">
        <v>45473</v>
      </c>
      <c r="B1434">
        <v>2024.0</v>
      </c>
      <c r="C1434" t="s">
        <v>318</v>
      </c>
      <c r="D1434" t="s">
        <v>316</v>
      </c>
      <c r="E1434" t="s">
        <v>148</v>
      </c>
      <c r="F1434" t="s">
        <v>307</v>
      </c>
      <c r="G1434" t="s">
        <v>12</v>
      </c>
      <c r="H1434">
        <v>6450.0</v>
      </c>
      <c r="I1434" t="s">
        <v>31</v>
      </c>
      <c r="J1434" t="s">
        <v>50</v>
      </c>
      <c r="K1434" t="s">
        <v>46</v>
      </c>
      <c r="L1434" t="s">
        <v>47</v>
      </c>
      <c r="M1434">
        <v>61.13</v>
      </c>
    </row>
    <row r="1435">
      <c r="A1435" s="2">
        <v>45979</v>
      </c>
      <c r="B1435">
        <v>2026.0</v>
      </c>
      <c r="C1435" t="s">
        <v>321</v>
      </c>
      <c r="D1435" t="s">
        <v>319</v>
      </c>
      <c r="E1435" t="s">
        <v>48</v>
      </c>
      <c r="F1435" t="s">
        <v>307</v>
      </c>
      <c r="G1435" t="s">
        <v>12</v>
      </c>
      <c r="H1435">
        <v>6725.0</v>
      </c>
      <c r="I1435" t="s">
        <v>31</v>
      </c>
      <c r="J1435" t="s">
        <v>50</v>
      </c>
      <c r="K1435" t="s">
        <v>33</v>
      </c>
      <c r="L1435" t="s">
        <v>34</v>
      </c>
      <c r="M1435">
        <v>61.410000000000004</v>
      </c>
    </row>
    <row r="1436">
      <c r="A1436" s="2">
        <v>45815</v>
      </c>
      <c r="B1436">
        <v>2025.0</v>
      </c>
      <c r="C1436" t="s">
        <v>315</v>
      </c>
      <c r="D1436" t="s">
        <v>319</v>
      </c>
      <c r="E1436" t="s">
        <v>114</v>
      </c>
      <c r="F1436" t="s">
        <v>304</v>
      </c>
      <c r="G1436" t="s">
        <v>9</v>
      </c>
      <c r="H1436">
        <v>2031.0</v>
      </c>
      <c r="I1436" t="s">
        <v>31</v>
      </c>
      <c r="J1436" t="s">
        <v>99</v>
      </c>
      <c r="K1436" t="s">
        <v>123</v>
      </c>
      <c r="L1436" t="s">
        <v>124</v>
      </c>
      <c r="M1436">
        <v>61.449999999999996</v>
      </c>
    </row>
    <row r="1437">
      <c r="A1437" s="2">
        <v>45534</v>
      </c>
      <c r="B1437">
        <v>2025.0</v>
      </c>
      <c r="C1437" t="s">
        <v>315</v>
      </c>
      <c r="D1437" t="s">
        <v>316</v>
      </c>
      <c r="E1437" t="s">
        <v>129</v>
      </c>
      <c r="F1437" t="s">
        <v>305</v>
      </c>
      <c r="G1437" t="s">
        <v>10</v>
      </c>
      <c r="H1437">
        <v>3066.0</v>
      </c>
      <c r="I1437" t="s">
        <v>31</v>
      </c>
      <c r="J1437" t="s">
        <v>120</v>
      </c>
      <c r="K1437" t="s">
        <v>112</v>
      </c>
      <c r="L1437" t="s">
        <v>113</v>
      </c>
      <c r="M1437">
        <v>61.56999999999999</v>
      </c>
    </row>
    <row r="1438">
      <c r="A1438" s="2">
        <v>45927</v>
      </c>
      <c r="B1438">
        <v>2026.0</v>
      </c>
      <c r="C1438" t="s">
        <v>321</v>
      </c>
      <c r="D1438" t="s">
        <v>319</v>
      </c>
      <c r="E1438" t="s">
        <v>215</v>
      </c>
      <c r="F1438" t="s">
        <v>310</v>
      </c>
      <c r="G1438" t="s">
        <v>15</v>
      </c>
      <c r="H1438">
        <v>7320.0</v>
      </c>
      <c r="I1438" t="s">
        <v>31</v>
      </c>
      <c r="J1438" t="s">
        <v>53</v>
      </c>
      <c r="K1438" t="s">
        <v>33</v>
      </c>
      <c r="L1438" t="s">
        <v>34</v>
      </c>
      <c r="M1438">
        <v>61.8</v>
      </c>
    </row>
    <row r="1439">
      <c r="A1439" s="2">
        <v>45829</v>
      </c>
      <c r="B1439">
        <v>2025.0</v>
      </c>
      <c r="C1439" t="s">
        <v>315</v>
      </c>
      <c r="D1439" t="s">
        <v>319</v>
      </c>
      <c r="E1439" t="s">
        <v>48</v>
      </c>
      <c r="F1439" t="s">
        <v>307</v>
      </c>
      <c r="G1439" t="s">
        <v>12</v>
      </c>
      <c r="H1439">
        <v>6725.0</v>
      </c>
      <c r="I1439" t="s">
        <v>31</v>
      </c>
      <c r="J1439" t="s">
        <v>50</v>
      </c>
      <c r="K1439" t="s">
        <v>38</v>
      </c>
      <c r="L1439" t="s">
        <v>39</v>
      </c>
      <c r="M1439">
        <v>61.89</v>
      </c>
    </row>
    <row r="1440">
      <c r="A1440" s="2">
        <v>45463</v>
      </c>
      <c r="B1440">
        <v>2024.0</v>
      </c>
      <c r="C1440" t="s">
        <v>318</v>
      </c>
      <c r="D1440" t="s">
        <v>316</v>
      </c>
      <c r="E1440" t="s">
        <v>100</v>
      </c>
      <c r="F1440" t="s">
        <v>307</v>
      </c>
      <c r="G1440" t="s">
        <v>12</v>
      </c>
      <c r="H1440">
        <v>6010.0</v>
      </c>
      <c r="I1440" t="s">
        <v>31</v>
      </c>
      <c r="J1440" t="s">
        <v>102</v>
      </c>
      <c r="K1440" t="s">
        <v>112</v>
      </c>
      <c r="L1440" t="s">
        <v>113</v>
      </c>
      <c r="M1440">
        <v>61.91</v>
      </c>
    </row>
    <row r="1441">
      <c r="A1441" s="2">
        <v>45753</v>
      </c>
      <c r="B1441">
        <v>2025.0</v>
      </c>
      <c r="C1441" t="s">
        <v>315</v>
      </c>
      <c r="D1441" t="s">
        <v>319</v>
      </c>
      <c r="E1441" t="s">
        <v>215</v>
      </c>
      <c r="F1441" t="s">
        <v>310</v>
      </c>
      <c r="G1441" t="s">
        <v>15</v>
      </c>
      <c r="H1441">
        <v>7320.0</v>
      </c>
      <c r="I1441" t="s">
        <v>31</v>
      </c>
      <c r="J1441" t="s">
        <v>53</v>
      </c>
      <c r="K1441" t="s">
        <v>43</v>
      </c>
      <c r="L1441" t="s">
        <v>44</v>
      </c>
      <c r="M1441">
        <v>61.940000000000005</v>
      </c>
    </row>
    <row r="1442">
      <c r="A1442" s="2">
        <v>45435</v>
      </c>
      <c r="B1442">
        <v>2024.0</v>
      </c>
      <c r="C1442" t="s">
        <v>318</v>
      </c>
      <c r="D1442" t="s">
        <v>316</v>
      </c>
      <c r="E1442" t="s">
        <v>258</v>
      </c>
      <c r="F1442" t="s">
        <v>309</v>
      </c>
      <c r="G1442" t="s">
        <v>14</v>
      </c>
      <c r="H1442">
        <v>870.0</v>
      </c>
      <c r="I1442" t="s">
        <v>31</v>
      </c>
      <c r="J1442" t="s">
        <v>145</v>
      </c>
      <c r="K1442" t="s">
        <v>43</v>
      </c>
      <c r="L1442" t="s">
        <v>44</v>
      </c>
      <c r="M1442">
        <v>61.96</v>
      </c>
    </row>
    <row r="1443">
      <c r="A1443" s="2">
        <v>45712</v>
      </c>
      <c r="B1443">
        <v>2025.0</v>
      </c>
      <c r="C1443" t="s">
        <v>315</v>
      </c>
      <c r="D1443" t="s">
        <v>316</v>
      </c>
      <c r="E1443" t="s">
        <v>201</v>
      </c>
      <c r="F1443" t="s">
        <v>305</v>
      </c>
      <c r="G1443" t="s">
        <v>10</v>
      </c>
      <c r="H1443">
        <v>3131.0</v>
      </c>
      <c r="I1443" t="s">
        <v>31</v>
      </c>
      <c r="J1443" t="s">
        <v>89</v>
      </c>
      <c r="K1443" t="s">
        <v>38</v>
      </c>
      <c r="L1443" t="s">
        <v>39</v>
      </c>
      <c r="M1443">
        <v>62.15</v>
      </c>
    </row>
    <row r="1444">
      <c r="A1444" s="2">
        <v>45391</v>
      </c>
      <c r="B1444">
        <v>2024.0</v>
      </c>
      <c r="C1444" t="s">
        <v>318</v>
      </c>
      <c r="D1444" t="s">
        <v>316</v>
      </c>
      <c r="E1444" t="s">
        <v>62</v>
      </c>
      <c r="F1444" t="s">
        <v>307</v>
      </c>
      <c r="G1444" t="s">
        <v>12</v>
      </c>
      <c r="H1444">
        <v>6530.0</v>
      </c>
      <c r="I1444" t="s">
        <v>31</v>
      </c>
      <c r="J1444" t="s">
        <v>50</v>
      </c>
      <c r="K1444" t="s">
        <v>123</v>
      </c>
      <c r="L1444" t="s">
        <v>124</v>
      </c>
      <c r="M1444">
        <v>62.21</v>
      </c>
    </row>
    <row r="1445">
      <c r="A1445" s="2">
        <v>45566</v>
      </c>
      <c r="B1445">
        <v>2025.0</v>
      </c>
      <c r="C1445" t="s">
        <v>315</v>
      </c>
      <c r="D1445" t="s">
        <v>319</v>
      </c>
      <c r="E1445" t="s">
        <v>125</v>
      </c>
      <c r="F1445" t="s">
        <v>305</v>
      </c>
      <c r="G1445" t="s">
        <v>10</v>
      </c>
      <c r="H1445">
        <v>3931.0</v>
      </c>
      <c r="I1445" t="s">
        <v>31</v>
      </c>
      <c r="J1445" t="s">
        <v>94</v>
      </c>
      <c r="K1445" t="s">
        <v>43</v>
      </c>
      <c r="L1445" t="s">
        <v>44</v>
      </c>
      <c r="M1445">
        <v>62.35</v>
      </c>
    </row>
    <row r="1446">
      <c r="A1446" s="2">
        <v>45771</v>
      </c>
      <c r="B1446">
        <v>2025.0</v>
      </c>
      <c r="C1446" t="s">
        <v>315</v>
      </c>
      <c r="D1446" t="s">
        <v>316</v>
      </c>
      <c r="E1446" t="s">
        <v>171</v>
      </c>
      <c r="F1446" t="s">
        <v>305</v>
      </c>
      <c r="G1446" t="s">
        <v>10</v>
      </c>
      <c r="H1446">
        <v>3500.0</v>
      </c>
      <c r="I1446" t="s">
        <v>31</v>
      </c>
      <c r="J1446" t="s">
        <v>37</v>
      </c>
      <c r="K1446" t="s">
        <v>43</v>
      </c>
      <c r="L1446" t="s">
        <v>44</v>
      </c>
      <c r="M1446">
        <v>62.46</v>
      </c>
    </row>
    <row r="1447">
      <c r="A1447" s="2">
        <v>45648</v>
      </c>
      <c r="B1447">
        <v>2025.0</v>
      </c>
      <c r="C1447" t="s">
        <v>315</v>
      </c>
      <c r="D1447" t="s">
        <v>316</v>
      </c>
      <c r="E1447" t="s">
        <v>158</v>
      </c>
      <c r="F1447" t="s">
        <v>306</v>
      </c>
      <c r="G1447" t="s">
        <v>11</v>
      </c>
      <c r="H1447">
        <v>4570.0</v>
      </c>
      <c r="I1447" t="s">
        <v>31</v>
      </c>
      <c r="J1447" t="s">
        <v>84</v>
      </c>
      <c r="K1447" t="s">
        <v>46</v>
      </c>
      <c r="L1447" t="s">
        <v>47</v>
      </c>
      <c r="M1447">
        <v>62.480000000000004</v>
      </c>
    </row>
    <row r="1448">
      <c r="A1448" s="2">
        <v>45621</v>
      </c>
      <c r="B1448">
        <v>2025.0</v>
      </c>
      <c r="C1448" t="s">
        <v>315</v>
      </c>
      <c r="D1448" t="s">
        <v>316</v>
      </c>
      <c r="E1448" t="s">
        <v>187</v>
      </c>
      <c r="F1448" t="s">
        <v>306</v>
      </c>
      <c r="G1448" t="s">
        <v>11</v>
      </c>
      <c r="H1448">
        <v>4870.0</v>
      </c>
      <c r="I1448" t="s">
        <v>31</v>
      </c>
      <c r="J1448" t="s">
        <v>78</v>
      </c>
      <c r="K1448" t="s">
        <v>123</v>
      </c>
      <c r="L1448" t="s">
        <v>124</v>
      </c>
      <c r="M1448">
        <v>62.49</v>
      </c>
    </row>
    <row r="1449">
      <c r="A1449" s="2">
        <v>45445</v>
      </c>
      <c r="B1449">
        <v>2024.0</v>
      </c>
      <c r="C1449" t="s">
        <v>318</v>
      </c>
      <c r="D1449" t="s">
        <v>316</v>
      </c>
      <c r="E1449" t="s">
        <v>148</v>
      </c>
      <c r="F1449" t="s">
        <v>307</v>
      </c>
      <c r="G1449" t="s">
        <v>12</v>
      </c>
      <c r="H1449">
        <v>6450.0</v>
      </c>
      <c r="I1449" t="s">
        <v>31</v>
      </c>
      <c r="J1449" t="s">
        <v>50</v>
      </c>
      <c r="K1449" t="s">
        <v>38</v>
      </c>
      <c r="L1449" t="s">
        <v>39</v>
      </c>
      <c r="M1449">
        <v>62.620000000000005</v>
      </c>
    </row>
    <row r="1450">
      <c r="A1450" s="2">
        <v>45481</v>
      </c>
      <c r="B1450">
        <v>2025.0</v>
      </c>
      <c r="C1450" t="s">
        <v>315</v>
      </c>
      <c r="D1450" t="s">
        <v>316</v>
      </c>
      <c r="E1450" t="s">
        <v>246</v>
      </c>
      <c r="F1450" t="s">
        <v>305</v>
      </c>
      <c r="G1450" t="s">
        <v>10</v>
      </c>
      <c r="H1450">
        <v>3551.0</v>
      </c>
      <c r="I1450" t="s">
        <v>31</v>
      </c>
      <c r="J1450" t="s">
        <v>37</v>
      </c>
      <c r="K1450" t="s">
        <v>33</v>
      </c>
      <c r="L1450" t="s">
        <v>34</v>
      </c>
      <c r="M1450">
        <v>62.75</v>
      </c>
    </row>
    <row r="1451">
      <c r="A1451" s="2">
        <v>45658</v>
      </c>
      <c r="B1451">
        <v>2025.0</v>
      </c>
      <c r="C1451" t="s">
        <v>315</v>
      </c>
      <c r="D1451" t="s">
        <v>319</v>
      </c>
      <c r="E1451" t="s">
        <v>252</v>
      </c>
      <c r="F1451" t="s">
        <v>305</v>
      </c>
      <c r="G1451" t="s">
        <v>10</v>
      </c>
      <c r="H1451">
        <v>3630.0</v>
      </c>
      <c r="I1451" t="s">
        <v>31</v>
      </c>
      <c r="J1451" t="s">
        <v>94</v>
      </c>
      <c r="K1451" t="s">
        <v>112</v>
      </c>
      <c r="L1451" t="s">
        <v>113</v>
      </c>
      <c r="M1451">
        <v>62.839999999999996</v>
      </c>
    </row>
    <row r="1452">
      <c r="A1452" s="2">
        <v>45736</v>
      </c>
      <c r="B1452">
        <v>2025.0</v>
      </c>
      <c r="C1452" t="s">
        <v>315</v>
      </c>
      <c r="D1452" t="s">
        <v>316</v>
      </c>
      <c r="E1452" t="s">
        <v>35</v>
      </c>
      <c r="F1452" t="s">
        <v>305</v>
      </c>
      <c r="G1452" t="s">
        <v>10</v>
      </c>
      <c r="H1452">
        <v>3280.0</v>
      </c>
      <c r="I1452" t="s">
        <v>31</v>
      </c>
      <c r="J1452" t="s">
        <v>37</v>
      </c>
      <c r="K1452" t="s">
        <v>33</v>
      </c>
      <c r="L1452" t="s">
        <v>34</v>
      </c>
      <c r="M1452">
        <v>62.910000000000004</v>
      </c>
    </row>
    <row r="1453">
      <c r="A1453" s="2">
        <v>45955</v>
      </c>
      <c r="B1453">
        <v>2026.0</v>
      </c>
      <c r="C1453" t="s">
        <v>321</v>
      </c>
      <c r="D1453" t="s">
        <v>316</v>
      </c>
      <c r="E1453" t="s">
        <v>131</v>
      </c>
      <c r="F1453" t="s">
        <v>306</v>
      </c>
      <c r="G1453" t="s">
        <v>11</v>
      </c>
      <c r="H1453">
        <v>4655.0</v>
      </c>
      <c r="I1453" t="s">
        <v>31</v>
      </c>
      <c r="J1453" t="s">
        <v>32</v>
      </c>
      <c r="K1453" t="s">
        <v>46</v>
      </c>
      <c r="L1453" t="s">
        <v>47</v>
      </c>
      <c r="M1453">
        <v>63.0</v>
      </c>
    </row>
    <row r="1454">
      <c r="A1454" s="2">
        <v>45957</v>
      </c>
      <c r="B1454">
        <v>2026.0</v>
      </c>
      <c r="C1454" t="s">
        <v>321</v>
      </c>
      <c r="D1454" t="s">
        <v>316</v>
      </c>
      <c r="E1454" t="s">
        <v>183</v>
      </c>
      <c r="F1454" t="s">
        <v>304</v>
      </c>
      <c r="G1454" t="s">
        <v>9</v>
      </c>
      <c r="H1454">
        <v>2480.0</v>
      </c>
      <c r="I1454" t="s">
        <v>31</v>
      </c>
      <c r="J1454" t="s">
        <v>70</v>
      </c>
      <c r="K1454" t="s">
        <v>95</v>
      </c>
      <c r="L1454" t="s">
        <v>96</v>
      </c>
      <c r="M1454">
        <v>63.11</v>
      </c>
    </row>
    <row r="1455">
      <c r="A1455" s="2">
        <v>45652</v>
      </c>
      <c r="B1455">
        <v>2025.0</v>
      </c>
      <c r="C1455" t="s">
        <v>315</v>
      </c>
      <c r="D1455" t="s">
        <v>316</v>
      </c>
      <c r="E1455" t="s">
        <v>40</v>
      </c>
      <c r="F1455" t="s">
        <v>308</v>
      </c>
      <c r="G1455" t="s">
        <v>13</v>
      </c>
      <c r="H1455">
        <v>5011.0</v>
      </c>
      <c r="I1455" t="s">
        <v>31</v>
      </c>
      <c r="J1455" t="s">
        <v>42</v>
      </c>
      <c r="K1455" t="s">
        <v>38</v>
      </c>
      <c r="L1455" t="s">
        <v>39</v>
      </c>
      <c r="M1455">
        <v>63.46</v>
      </c>
    </row>
    <row r="1456">
      <c r="A1456" s="2">
        <v>45967</v>
      </c>
      <c r="B1456">
        <v>2026.0</v>
      </c>
      <c r="C1456" t="s">
        <v>321</v>
      </c>
      <c r="D1456" t="s">
        <v>316</v>
      </c>
      <c r="E1456" t="s">
        <v>51</v>
      </c>
      <c r="F1456" t="s">
        <v>310</v>
      </c>
      <c r="G1456" t="s">
        <v>15</v>
      </c>
      <c r="H1456">
        <v>7018.0</v>
      </c>
      <c r="I1456" t="s">
        <v>31</v>
      </c>
      <c r="J1456" t="s">
        <v>53</v>
      </c>
      <c r="K1456" t="s">
        <v>123</v>
      </c>
      <c r="L1456" t="s">
        <v>124</v>
      </c>
      <c r="M1456">
        <v>63.64</v>
      </c>
    </row>
    <row r="1457">
      <c r="A1457" s="2">
        <v>45334</v>
      </c>
      <c r="B1457">
        <v>2024.0</v>
      </c>
      <c r="C1457" t="s">
        <v>318</v>
      </c>
      <c r="D1457" t="s">
        <v>316</v>
      </c>
      <c r="E1457" t="s">
        <v>148</v>
      </c>
      <c r="F1457" t="s">
        <v>307</v>
      </c>
      <c r="G1457" t="s">
        <v>12</v>
      </c>
      <c r="H1457">
        <v>6450.0</v>
      </c>
      <c r="I1457" t="s">
        <v>31</v>
      </c>
      <c r="J1457" t="s">
        <v>50</v>
      </c>
      <c r="K1457" t="s">
        <v>112</v>
      </c>
      <c r="L1457" t="s">
        <v>113</v>
      </c>
      <c r="M1457">
        <v>63.89</v>
      </c>
    </row>
    <row r="1458">
      <c r="A1458" s="2">
        <v>45592</v>
      </c>
      <c r="B1458">
        <v>2025.0</v>
      </c>
      <c r="C1458" t="s">
        <v>315</v>
      </c>
      <c r="D1458" t="s">
        <v>316</v>
      </c>
      <c r="E1458" t="s">
        <v>127</v>
      </c>
      <c r="F1458" t="s">
        <v>306</v>
      </c>
      <c r="G1458" t="s">
        <v>11</v>
      </c>
      <c r="H1458">
        <v>4802.0</v>
      </c>
      <c r="I1458" t="s">
        <v>31</v>
      </c>
      <c r="J1458" t="s">
        <v>78</v>
      </c>
      <c r="K1458" t="s">
        <v>123</v>
      </c>
      <c r="L1458" t="s">
        <v>124</v>
      </c>
      <c r="M1458">
        <v>63.92</v>
      </c>
    </row>
    <row r="1459">
      <c r="A1459" s="2">
        <v>45757</v>
      </c>
      <c r="B1459">
        <v>2025.0</v>
      </c>
      <c r="C1459" t="s">
        <v>315</v>
      </c>
      <c r="D1459" t="s">
        <v>316</v>
      </c>
      <c r="E1459" t="s">
        <v>197</v>
      </c>
      <c r="F1459" t="s">
        <v>304</v>
      </c>
      <c r="G1459" t="s">
        <v>9</v>
      </c>
      <c r="H1459">
        <v>2560.0</v>
      </c>
      <c r="I1459" t="s">
        <v>31</v>
      </c>
      <c r="J1459" t="s">
        <v>107</v>
      </c>
      <c r="K1459" t="s">
        <v>46</v>
      </c>
      <c r="L1459" t="s">
        <v>47</v>
      </c>
      <c r="M1459">
        <v>63.92</v>
      </c>
    </row>
    <row r="1460">
      <c r="A1460" s="2">
        <v>45443</v>
      </c>
      <c r="B1460">
        <v>2024.0</v>
      </c>
      <c r="C1460" t="s">
        <v>318</v>
      </c>
      <c r="D1460" t="s">
        <v>319</v>
      </c>
      <c r="E1460" t="s">
        <v>236</v>
      </c>
      <c r="F1460" t="s">
        <v>307</v>
      </c>
      <c r="G1460" t="s">
        <v>12</v>
      </c>
      <c r="H1460">
        <v>6052.0</v>
      </c>
      <c r="I1460" t="s">
        <v>31</v>
      </c>
      <c r="J1460" t="s">
        <v>102</v>
      </c>
      <c r="K1460" t="s">
        <v>38</v>
      </c>
      <c r="L1460" t="s">
        <v>39</v>
      </c>
      <c r="M1460">
        <v>63.92</v>
      </c>
    </row>
    <row r="1461">
      <c r="A1461" s="2">
        <v>46004</v>
      </c>
      <c r="B1461">
        <v>2026.0</v>
      </c>
      <c r="C1461" t="s">
        <v>321</v>
      </c>
      <c r="D1461" t="s">
        <v>319</v>
      </c>
      <c r="E1461" t="s">
        <v>110</v>
      </c>
      <c r="F1461" t="s">
        <v>304</v>
      </c>
      <c r="G1461" t="s">
        <v>9</v>
      </c>
      <c r="H1461">
        <v>2101.0</v>
      </c>
      <c r="I1461" t="s">
        <v>31</v>
      </c>
      <c r="J1461" t="s">
        <v>81</v>
      </c>
      <c r="K1461" t="s">
        <v>57</v>
      </c>
      <c r="L1461" t="s">
        <v>58</v>
      </c>
      <c r="M1461">
        <v>63.92</v>
      </c>
    </row>
    <row r="1462">
      <c r="A1462" s="2">
        <v>45945</v>
      </c>
      <c r="B1462">
        <v>2026.0</v>
      </c>
      <c r="C1462" t="s">
        <v>321</v>
      </c>
      <c r="D1462" t="s">
        <v>316</v>
      </c>
      <c r="E1462" t="s">
        <v>160</v>
      </c>
      <c r="F1462" t="s">
        <v>307</v>
      </c>
      <c r="G1462" t="s">
        <v>12</v>
      </c>
      <c r="H1462">
        <v>6280.0</v>
      </c>
      <c r="I1462" t="s">
        <v>31</v>
      </c>
      <c r="J1462" t="s">
        <v>162</v>
      </c>
      <c r="K1462" t="s">
        <v>95</v>
      </c>
      <c r="L1462" t="s">
        <v>96</v>
      </c>
      <c r="M1462">
        <v>64.0</v>
      </c>
    </row>
    <row r="1463">
      <c r="A1463" s="2">
        <v>45556</v>
      </c>
      <c r="B1463">
        <v>2025.0</v>
      </c>
      <c r="C1463" t="s">
        <v>315</v>
      </c>
      <c r="D1463" t="s">
        <v>316</v>
      </c>
      <c r="E1463" t="s">
        <v>256</v>
      </c>
      <c r="F1463" t="s">
        <v>304</v>
      </c>
      <c r="G1463" t="s">
        <v>9</v>
      </c>
      <c r="H1463">
        <v>2350.0</v>
      </c>
      <c r="I1463" t="s">
        <v>31</v>
      </c>
      <c r="J1463" t="s">
        <v>70</v>
      </c>
      <c r="K1463" t="s">
        <v>95</v>
      </c>
      <c r="L1463" t="s">
        <v>96</v>
      </c>
      <c r="M1463">
        <v>64.87</v>
      </c>
    </row>
    <row r="1464">
      <c r="A1464" s="2">
        <v>45525</v>
      </c>
      <c r="B1464">
        <v>2025.0</v>
      </c>
      <c r="C1464" t="s">
        <v>315</v>
      </c>
      <c r="D1464" t="s">
        <v>319</v>
      </c>
      <c r="E1464" t="s">
        <v>103</v>
      </c>
      <c r="F1464" t="s">
        <v>307</v>
      </c>
      <c r="G1464" t="s">
        <v>12</v>
      </c>
      <c r="H1464">
        <v>6021.0</v>
      </c>
      <c r="I1464" t="s">
        <v>31</v>
      </c>
      <c r="J1464" t="s">
        <v>102</v>
      </c>
      <c r="K1464" t="s">
        <v>71</v>
      </c>
      <c r="L1464" t="s">
        <v>72</v>
      </c>
      <c r="M1464">
        <v>64.89</v>
      </c>
    </row>
    <row r="1465">
      <c r="A1465" s="2">
        <v>45607</v>
      </c>
      <c r="B1465">
        <v>2025.0</v>
      </c>
      <c r="C1465" t="s">
        <v>315</v>
      </c>
      <c r="D1465" t="s">
        <v>316</v>
      </c>
      <c r="E1465" t="s">
        <v>158</v>
      </c>
      <c r="F1465" t="s">
        <v>306</v>
      </c>
      <c r="G1465" t="s">
        <v>11</v>
      </c>
      <c r="H1465">
        <v>4570.0</v>
      </c>
      <c r="I1465" t="s">
        <v>31</v>
      </c>
      <c r="J1465" t="s">
        <v>84</v>
      </c>
      <c r="K1465" t="s">
        <v>123</v>
      </c>
      <c r="L1465" t="s">
        <v>124</v>
      </c>
      <c r="M1465">
        <v>64.9</v>
      </c>
    </row>
    <row r="1466">
      <c r="A1466" s="2">
        <v>45583</v>
      </c>
      <c r="B1466">
        <v>2025.0</v>
      </c>
      <c r="C1466" t="s">
        <v>315</v>
      </c>
      <c r="D1466" t="s">
        <v>316</v>
      </c>
      <c r="E1466" t="s">
        <v>179</v>
      </c>
      <c r="F1466" t="s">
        <v>304</v>
      </c>
      <c r="G1466" t="s">
        <v>9</v>
      </c>
      <c r="H1466">
        <v>2015.0</v>
      </c>
      <c r="I1466" t="s">
        <v>31</v>
      </c>
      <c r="J1466" t="s">
        <v>99</v>
      </c>
      <c r="K1466" t="s">
        <v>46</v>
      </c>
      <c r="L1466" t="s">
        <v>47</v>
      </c>
      <c r="M1466">
        <v>64.95</v>
      </c>
    </row>
    <row r="1467">
      <c r="A1467" s="2">
        <v>45500</v>
      </c>
      <c r="B1467">
        <v>2025.0</v>
      </c>
      <c r="C1467" t="s">
        <v>315</v>
      </c>
      <c r="D1467" t="s">
        <v>316</v>
      </c>
      <c r="E1467" t="s">
        <v>258</v>
      </c>
      <c r="F1467" t="s">
        <v>309</v>
      </c>
      <c r="G1467" t="s">
        <v>14</v>
      </c>
      <c r="H1467">
        <v>870.0</v>
      </c>
      <c r="I1467" t="s">
        <v>31</v>
      </c>
      <c r="J1467" t="s">
        <v>145</v>
      </c>
      <c r="K1467" t="s">
        <v>43</v>
      </c>
      <c r="L1467" t="s">
        <v>44</v>
      </c>
      <c r="M1467">
        <v>64.95</v>
      </c>
    </row>
    <row r="1468">
      <c r="A1468" s="2">
        <v>45518</v>
      </c>
      <c r="B1468">
        <v>2025.0</v>
      </c>
      <c r="C1468" t="s">
        <v>315</v>
      </c>
      <c r="D1468" t="s">
        <v>319</v>
      </c>
      <c r="E1468" t="s">
        <v>264</v>
      </c>
      <c r="F1468" t="s">
        <v>308</v>
      </c>
      <c r="G1468" t="s">
        <v>13</v>
      </c>
      <c r="H1468">
        <v>5043.0</v>
      </c>
      <c r="I1468" t="s">
        <v>31</v>
      </c>
      <c r="J1468" t="s">
        <v>42</v>
      </c>
      <c r="K1468" t="s">
        <v>43</v>
      </c>
      <c r="L1468" t="s">
        <v>44</v>
      </c>
      <c r="M1468">
        <v>64.95</v>
      </c>
    </row>
    <row r="1469">
      <c r="A1469" s="2">
        <v>45318</v>
      </c>
      <c r="B1469">
        <v>2024.0</v>
      </c>
      <c r="C1469" t="s">
        <v>318</v>
      </c>
      <c r="D1469" t="s">
        <v>316</v>
      </c>
      <c r="E1469" t="s">
        <v>193</v>
      </c>
      <c r="F1469" t="s">
        <v>304</v>
      </c>
      <c r="G1469" t="s">
        <v>9</v>
      </c>
      <c r="H1469">
        <v>2020.0</v>
      </c>
      <c r="I1469" t="s">
        <v>31</v>
      </c>
      <c r="J1469" t="s">
        <v>99</v>
      </c>
      <c r="K1469" t="s">
        <v>46</v>
      </c>
      <c r="L1469" t="s">
        <v>47</v>
      </c>
      <c r="M1469">
        <v>64.95</v>
      </c>
    </row>
    <row r="1470">
      <c r="A1470" s="2">
        <v>45832</v>
      </c>
      <c r="B1470">
        <v>2025.0</v>
      </c>
      <c r="C1470" t="s">
        <v>315</v>
      </c>
      <c r="D1470" t="s">
        <v>319</v>
      </c>
      <c r="E1470" t="s">
        <v>114</v>
      </c>
      <c r="F1470" t="s">
        <v>304</v>
      </c>
      <c r="G1470" t="s">
        <v>9</v>
      </c>
      <c r="H1470">
        <v>2031.0</v>
      </c>
      <c r="I1470" t="s">
        <v>31</v>
      </c>
      <c r="J1470" t="s">
        <v>99</v>
      </c>
      <c r="K1470" t="s">
        <v>46</v>
      </c>
      <c r="L1470" t="s">
        <v>47</v>
      </c>
      <c r="M1470">
        <v>64.95</v>
      </c>
    </row>
    <row r="1471">
      <c r="A1471" s="2">
        <v>45469</v>
      </c>
      <c r="B1471">
        <v>2024.0</v>
      </c>
      <c r="C1471" t="s">
        <v>318</v>
      </c>
      <c r="D1471" t="s">
        <v>316</v>
      </c>
      <c r="E1471" t="s">
        <v>199</v>
      </c>
      <c r="F1471" t="s">
        <v>308</v>
      </c>
      <c r="G1471" t="s">
        <v>13</v>
      </c>
      <c r="H1471">
        <v>5169.0</v>
      </c>
      <c r="I1471" t="s">
        <v>31</v>
      </c>
      <c r="J1471" t="s">
        <v>42</v>
      </c>
      <c r="K1471" t="s">
        <v>46</v>
      </c>
      <c r="L1471" t="s">
        <v>47</v>
      </c>
      <c r="M1471">
        <v>64.95</v>
      </c>
    </row>
    <row r="1472">
      <c r="A1472" s="2">
        <v>45528</v>
      </c>
      <c r="B1472">
        <v>2025.0</v>
      </c>
      <c r="C1472" t="s">
        <v>315</v>
      </c>
      <c r="D1472" t="s">
        <v>316</v>
      </c>
      <c r="E1472" t="s">
        <v>252</v>
      </c>
      <c r="F1472" t="s">
        <v>305</v>
      </c>
      <c r="G1472" t="s">
        <v>10</v>
      </c>
      <c r="H1472">
        <v>3630.0</v>
      </c>
      <c r="I1472" t="s">
        <v>31</v>
      </c>
      <c r="J1472" t="s">
        <v>94</v>
      </c>
      <c r="K1472" t="s">
        <v>71</v>
      </c>
      <c r="L1472" t="s">
        <v>72</v>
      </c>
      <c r="M1472">
        <v>64.95</v>
      </c>
    </row>
    <row r="1473">
      <c r="A1473" s="2">
        <v>45627</v>
      </c>
      <c r="B1473">
        <v>2025.0</v>
      </c>
      <c r="C1473" t="s">
        <v>315</v>
      </c>
      <c r="D1473" t="s">
        <v>319</v>
      </c>
      <c r="E1473" t="s">
        <v>29</v>
      </c>
      <c r="F1473" t="s">
        <v>306</v>
      </c>
      <c r="G1473" t="s">
        <v>11</v>
      </c>
      <c r="H1473">
        <v>4703.0</v>
      </c>
      <c r="I1473" t="s">
        <v>31</v>
      </c>
      <c r="J1473" t="s">
        <v>32</v>
      </c>
      <c r="K1473" t="s">
        <v>43</v>
      </c>
      <c r="L1473" t="s">
        <v>44</v>
      </c>
      <c r="M1473">
        <v>64.95</v>
      </c>
    </row>
    <row r="1474">
      <c r="A1474" s="2">
        <v>45345</v>
      </c>
      <c r="B1474">
        <v>2024.0</v>
      </c>
      <c r="C1474" t="s">
        <v>318</v>
      </c>
      <c r="D1474" t="s">
        <v>316</v>
      </c>
      <c r="E1474" t="s">
        <v>129</v>
      </c>
      <c r="F1474" t="s">
        <v>305</v>
      </c>
      <c r="G1474" t="s">
        <v>10</v>
      </c>
      <c r="H1474">
        <v>3066.0</v>
      </c>
      <c r="I1474" t="s">
        <v>31</v>
      </c>
      <c r="J1474" t="s">
        <v>120</v>
      </c>
      <c r="K1474" t="s">
        <v>66</v>
      </c>
      <c r="L1474" t="s">
        <v>67</v>
      </c>
      <c r="M1474">
        <v>64.96000000000001</v>
      </c>
    </row>
    <row r="1475">
      <c r="A1475" s="2">
        <v>45791</v>
      </c>
      <c r="B1475">
        <v>2025.0</v>
      </c>
      <c r="C1475" t="s">
        <v>315</v>
      </c>
      <c r="D1475" t="s">
        <v>316</v>
      </c>
      <c r="E1475" t="s">
        <v>97</v>
      </c>
      <c r="F1475" t="s">
        <v>304</v>
      </c>
      <c r="G1475" t="s">
        <v>9</v>
      </c>
      <c r="H1475">
        <v>2067.0</v>
      </c>
      <c r="I1475" t="s">
        <v>31</v>
      </c>
      <c r="J1475" t="s">
        <v>99</v>
      </c>
      <c r="K1475" t="s">
        <v>95</v>
      </c>
      <c r="L1475" t="s">
        <v>96</v>
      </c>
      <c r="M1475">
        <v>64.98</v>
      </c>
    </row>
    <row r="1476">
      <c r="A1476" s="2">
        <v>45899</v>
      </c>
      <c r="B1476">
        <v>2026.0</v>
      </c>
      <c r="C1476" t="s">
        <v>321</v>
      </c>
      <c r="D1476" t="s">
        <v>319</v>
      </c>
      <c r="E1476" t="s">
        <v>59</v>
      </c>
      <c r="F1476" t="s">
        <v>306</v>
      </c>
      <c r="G1476" t="s">
        <v>11</v>
      </c>
      <c r="H1476">
        <v>4509.0</v>
      </c>
      <c r="I1476" t="s">
        <v>31</v>
      </c>
      <c r="J1476" t="s">
        <v>61</v>
      </c>
      <c r="K1476" t="s">
        <v>95</v>
      </c>
      <c r="L1476" t="s">
        <v>96</v>
      </c>
      <c r="M1476">
        <v>65.21</v>
      </c>
    </row>
    <row r="1477">
      <c r="A1477" s="2">
        <v>45555</v>
      </c>
      <c r="B1477">
        <v>2025.0</v>
      </c>
      <c r="C1477" t="s">
        <v>315</v>
      </c>
      <c r="D1477" t="s">
        <v>316</v>
      </c>
      <c r="E1477" t="s">
        <v>51</v>
      </c>
      <c r="F1477" t="s">
        <v>310</v>
      </c>
      <c r="G1477" t="s">
        <v>15</v>
      </c>
      <c r="H1477">
        <v>7018.0</v>
      </c>
      <c r="I1477" t="s">
        <v>31</v>
      </c>
      <c r="J1477" t="s">
        <v>53</v>
      </c>
      <c r="K1477" t="s">
        <v>43</v>
      </c>
      <c r="L1477" t="s">
        <v>44</v>
      </c>
      <c r="M1477">
        <v>65.49000000000001</v>
      </c>
    </row>
    <row r="1478">
      <c r="A1478" s="2">
        <v>45463</v>
      </c>
      <c r="B1478">
        <v>2024.0</v>
      </c>
      <c r="C1478" t="s">
        <v>318</v>
      </c>
      <c r="D1478" t="s">
        <v>319</v>
      </c>
      <c r="E1478" t="s">
        <v>221</v>
      </c>
      <c r="F1478" t="s">
        <v>306</v>
      </c>
      <c r="G1478" t="s">
        <v>11</v>
      </c>
      <c r="H1478">
        <v>4053.0</v>
      </c>
      <c r="I1478" t="s">
        <v>31</v>
      </c>
      <c r="J1478" t="s">
        <v>56</v>
      </c>
      <c r="K1478" t="s">
        <v>43</v>
      </c>
      <c r="L1478" t="s">
        <v>44</v>
      </c>
      <c r="M1478">
        <v>65.49000000000001</v>
      </c>
    </row>
    <row r="1479">
      <c r="A1479" s="2">
        <v>45681</v>
      </c>
      <c r="B1479">
        <v>2025.0</v>
      </c>
      <c r="C1479" t="s">
        <v>315</v>
      </c>
      <c r="D1479" t="s">
        <v>319</v>
      </c>
      <c r="E1479" t="s">
        <v>87</v>
      </c>
      <c r="F1479" t="s">
        <v>305</v>
      </c>
      <c r="G1479" t="s">
        <v>10</v>
      </c>
      <c r="H1479">
        <v>3148.0</v>
      </c>
      <c r="I1479" t="s">
        <v>31</v>
      </c>
      <c r="J1479" t="s">
        <v>89</v>
      </c>
      <c r="K1479" t="s">
        <v>57</v>
      </c>
      <c r="L1479" t="s">
        <v>58</v>
      </c>
      <c r="M1479">
        <v>65.5</v>
      </c>
    </row>
    <row r="1480">
      <c r="A1480" s="2">
        <v>45967</v>
      </c>
      <c r="B1480">
        <v>2026.0</v>
      </c>
      <c r="C1480" t="s">
        <v>321</v>
      </c>
      <c r="D1480" t="s">
        <v>319</v>
      </c>
      <c r="E1480" t="s">
        <v>116</v>
      </c>
      <c r="F1480" t="s">
        <v>304</v>
      </c>
      <c r="G1480" t="s">
        <v>9</v>
      </c>
      <c r="H1480">
        <v>2485.0</v>
      </c>
      <c r="I1480" t="s">
        <v>31</v>
      </c>
      <c r="J1480" t="s">
        <v>70</v>
      </c>
      <c r="K1480" t="s">
        <v>38</v>
      </c>
      <c r="L1480" t="s">
        <v>39</v>
      </c>
      <c r="M1480">
        <v>65.56</v>
      </c>
    </row>
    <row r="1481">
      <c r="A1481" s="2">
        <v>45610</v>
      </c>
      <c r="B1481">
        <v>2025.0</v>
      </c>
      <c r="C1481" t="s">
        <v>315</v>
      </c>
      <c r="D1481" t="s">
        <v>316</v>
      </c>
      <c r="E1481" t="s">
        <v>169</v>
      </c>
      <c r="F1481" t="s">
        <v>307</v>
      </c>
      <c r="G1481" t="s">
        <v>12</v>
      </c>
      <c r="H1481">
        <v>6027.0</v>
      </c>
      <c r="I1481" t="s">
        <v>31</v>
      </c>
      <c r="J1481" t="s">
        <v>102</v>
      </c>
      <c r="K1481" t="s">
        <v>112</v>
      </c>
      <c r="L1481" t="s">
        <v>113</v>
      </c>
      <c r="M1481">
        <v>65.8</v>
      </c>
    </row>
    <row r="1482">
      <c r="A1482" s="2">
        <v>45785</v>
      </c>
      <c r="B1482">
        <v>2025.0</v>
      </c>
      <c r="C1482" t="s">
        <v>315</v>
      </c>
      <c r="D1482" t="s">
        <v>319</v>
      </c>
      <c r="E1482" t="s">
        <v>264</v>
      </c>
      <c r="F1482" t="s">
        <v>308</v>
      </c>
      <c r="G1482" t="s">
        <v>13</v>
      </c>
      <c r="H1482">
        <v>5043.0</v>
      </c>
      <c r="I1482" t="s">
        <v>31</v>
      </c>
      <c r="J1482" t="s">
        <v>42</v>
      </c>
      <c r="K1482" t="s">
        <v>38</v>
      </c>
      <c r="L1482" t="s">
        <v>39</v>
      </c>
      <c r="M1482">
        <v>65.88</v>
      </c>
    </row>
    <row r="1483">
      <c r="A1483" s="2">
        <v>45635</v>
      </c>
      <c r="B1483">
        <v>2025.0</v>
      </c>
      <c r="C1483" t="s">
        <v>315</v>
      </c>
      <c r="D1483" t="s">
        <v>319</v>
      </c>
      <c r="E1483" t="s">
        <v>201</v>
      </c>
      <c r="F1483" t="s">
        <v>305</v>
      </c>
      <c r="G1483" t="s">
        <v>10</v>
      </c>
      <c r="H1483">
        <v>3131.0</v>
      </c>
      <c r="I1483" t="s">
        <v>31</v>
      </c>
      <c r="J1483" t="s">
        <v>89</v>
      </c>
      <c r="K1483" t="s">
        <v>112</v>
      </c>
      <c r="L1483" t="s">
        <v>113</v>
      </c>
      <c r="M1483">
        <v>65.88</v>
      </c>
    </row>
    <row r="1484">
      <c r="A1484" s="2">
        <v>45786</v>
      </c>
      <c r="B1484">
        <v>2025.0</v>
      </c>
      <c r="C1484" t="s">
        <v>315</v>
      </c>
      <c r="D1484" t="s">
        <v>316</v>
      </c>
      <c r="E1484" t="s">
        <v>90</v>
      </c>
      <c r="F1484" t="s">
        <v>305</v>
      </c>
      <c r="G1484" t="s">
        <v>10</v>
      </c>
      <c r="H1484">
        <v>3353.0</v>
      </c>
      <c r="I1484" t="s">
        <v>31</v>
      </c>
      <c r="J1484" t="s">
        <v>37</v>
      </c>
      <c r="K1484" t="s">
        <v>95</v>
      </c>
      <c r="L1484" t="s">
        <v>96</v>
      </c>
      <c r="M1484">
        <v>65.89</v>
      </c>
    </row>
    <row r="1485">
      <c r="A1485" s="2">
        <v>45900</v>
      </c>
      <c r="B1485">
        <v>2026.0</v>
      </c>
      <c r="C1485" t="s">
        <v>321</v>
      </c>
      <c r="D1485" t="s">
        <v>319</v>
      </c>
      <c r="E1485" t="s">
        <v>197</v>
      </c>
      <c r="F1485" t="s">
        <v>304</v>
      </c>
      <c r="G1485" t="s">
        <v>9</v>
      </c>
      <c r="H1485">
        <v>2560.0</v>
      </c>
      <c r="I1485" t="s">
        <v>31</v>
      </c>
      <c r="J1485" t="s">
        <v>107</v>
      </c>
      <c r="K1485" t="s">
        <v>46</v>
      </c>
      <c r="L1485" t="s">
        <v>47</v>
      </c>
      <c r="M1485">
        <v>65.89</v>
      </c>
    </row>
    <row r="1486">
      <c r="A1486" s="2">
        <v>45481</v>
      </c>
      <c r="B1486">
        <v>2025.0</v>
      </c>
      <c r="C1486" t="s">
        <v>315</v>
      </c>
      <c r="D1486" t="s">
        <v>316</v>
      </c>
      <c r="E1486" t="s">
        <v>129</v>
      </c>
      <c r="F1486" t="s">
        <v>305</v>
      </c>
      <c r="G1486" t="s">
        <v>10</v>
      </c>
      <c r="H1486">
        <v>3066.0</v>
      </c>
      <c r="I1486" t="s">
        <v>31</v>
      </c>
      <c r="J1486" t="s">
        <v>120</v>
      </c>
      <c r="K1486" t="s">
        <v>38</v>
      </c>
      <c r="L1486" t="s">
        <v>39</v>
      </c>
      <c r="M1486">
        <v>65.89</v>
      </c>
    </row>
    <row r="1487">
      <c r="A1487" s="2">
        <v>45360</v>
      </c>
      <c r="B1487">
        <v>2024.0</v>
      </c>
      <c r="C1487" t="s">
        <v>318</v>
      </c>
      <c r="D1487" t="s">
        <v>319</v>
      </c>
      <c r="E1487" t="s">
        <v>131</v>
      </c>
      <c r="F1487" t="s">
        <v>306</v>
      </c>
      <c r="G1487" t="s">
        <v>11</v>
      </c>
      <c r="H1487">
        <v>4655.0</v>
      </c>
      <c r="I1487" t="s">
        <v>31</v>
      </c>
      <c r="J1487" t="s">
        <v>32</v>
      </c>
      <c r="K1487" t="s">
        <v>46</v>
      </c>
      <c r="L1487" t="s">
        <v>47</v>
      </c>
      <c r="M1487">
        <v>65.89</v>
      </c>
    </row>
    <row r="1488">
      <c r="A1488" s="2">
        <v>45672</v>
      </c>
      <c r="B1488">
        <v>2025.0</v>
      </c>
      <c r="C1488" t="s">
        <v>315</v>
      </c>
      <c r="D1488" t="s">
        <v>319</v>
      </c>
      <c r="E1488" t="s">
        <v>205</v>
      </c>
      <c r="F1488" t="s">
        <v>305</v>
      </c>
      <c r="G1488" t="s">
        <v>10</v>
      </c>
      <c r="H1488">
        <v>3400.0</v>
      </c>
      <c r="I1488" t="s">
        <v>31</v>
      </c>
      <c r="J1488" t="s">
        <v>37</v>
      </c>
      <c r="K1488" t="s">
        <v>46</v>
      </c>
      <c r="L1488" t="s">
        <v>47</v>
      </c>
      <c r="M1488">
        <v>65.89</v>
      </c>
    </row>
    <row r="1489">
      <c r="A1489" s="2">
        <v>45303</v>
      </c>
      <c r="B1489">
        <v>2024.0</v>
      </c>
      <c r="C1489" t="s">
        <v>318</v>
      </c>
      <c r="D1489" t="s">
        <v>316</v>
      </c>
      <c r="E1489" t="s">
        <v>169</v>
      </c>
      <c r="F1489" t="s">
        <v>307</v>
      </c>
      <c r="G1489" t="s">
        <v>12</v>
      </c>
      <c r="H1489">
        <v>6027.0</v>
      </c>
      <c r="I1489" t="s">
        <v>31</v>
      </c>
      <c r="J1489" t="s">
        <v>102</v>
      </c>
      <c r="K1489" t="s">
        <v>57</v>
      </c>
      <c r="L1489" t="s">
        <v>58</v>
      </c>
      <c r="M1489">
        <v>65.89</v>
      </c>
    </row>
    <row r="1490">
      <c r="A1490" s="2">
        <v>45685</v>
      </c>
      <c r="B1490">
        <v>2025.0</v>
      </c>
      <c r="C1490" t="s">
        <v>315</v>
      </c>
      <c r="D1490" t="s">
        <v>319</v>
      </c>
      <c r="E1490" t="s">
        <v>185</v>
      </c>
      <c r="F1490" t="s">
        <v>307</v>
      </c>
      <c r="G1490" t="s">
        <v>12</v>
      </c>
      <c r="H1490">
        <v>6109.0</v>
      </c>
      <c r="I1490" t="s">
        <v>31</v>
      </c>
      <c r="J1490" t="s">
        <v>162</v>
      </c>
      <c r="K1490" t="s">
        <v>57</v>
      </c>
      <c r="L1490" t="s">
        <v>58</v>
      </c>
      <c r="M1490">
        <v>65.89</v>
      </c>
    </row>
    <row r="1491">
      <c r="A1491" s="2">
        <v>45654</v>
      </c>
      <c r="B1491">
        <v>2025.0</v>
      </c>
      <c r="C1491" t="s">
        <v>315</v>
      </c>
      <c r="D1491" t="s">
        <v>316</v>
      </c>
      <c r="E1491" t="s">
        <v>193</v>
      </c>
      <c r="F1491" t="s">
        <v>304</v>
      </c>
      <c r="G1491" t="s">
        <v>9</v>
      </c>
      <c r="H1491">
        <v>2020.0</v>
      </c>
      <c r="I1491" t="s">
        <v>31</v>
      </c>
      <c r="J1491" t="s">
        <v>99</v>
      </c>
      <c r="K1491" t="s">
        <v>46</v>
      </c>
      <c r="L1491" t="s">
        <v>47</v>
      </c>
      <c r="M1491">
        <v>65.89</v>
      </c>
    </row>
    <row r="1492">
      <c r="A1492" s="2">
        <v>45525</v>
      </c>
      <c r="B1492">
        <v>2025.0</v>
      </c>
      <c r="C1492" t="s">
        <v>315</v>
      </c>
      <c r="D1492" t="s">
        <v>316</v>
      </c>
      <c r="E1492" t="s">
        <v>54</v>
      </c>
      <c r="F1492" t="s">
        <v>306</v>
      </c>
      <c r="G1492" t="s">
        <v>11</v>
      </c>
      <c r="H1492">
        <v>4012.0</v>
      </c>
      <c r="I1492" t="s">
        <v>31</v>
      </c>
      <c r="J1492" t="s">
        <v>56</v>
      </c>
      <c r="K1492" t="s">
        <v>46</v>
      </c>
      <c r="L1492" t="s">
        <v>47</v>
      </c>
      <c r="M1492">
        <v>65.89</v>
      </c>
    </row>
    <row r="1493">
      <c r="A1493" s="2">
        <v>45883</v>
      </c>
      <c r="B1493">
        <v>2026.0</v>
      </c>
      <c r="C1493" t="s">
        <v>321</v>
      </c>
      <c r="D1493" t="s">
        <v>319</v>
      </c>
      <c r="E1493" t="s">
        <v>215</v>
      </c>
      <c r="F1493" t="s">
        <v>310</v>
      </c>
      <c r="G1493" t="s">
        <v>15</v>
      </c>
      <c r="H1493">
        <v>7320.0</v>
      </c>
      <c r="I1493" t="s">
        <v>31</v>
      </c>
      <c r="J1493" t="s">
        <v>53</v>
      </c>
      <c r="K1493" t="s">
        <v>33</v>
      </c>
      <c r="L1493" t="s">
        <v>34</v>
      </c>
      <c r="M1493">
        <v>65.9</v>
      </c>
    </row>
    <row r="1494">
      <c r="A1494" s="2">
        <v>45937</v>
      </c>
      <c r="B1494">
        <v>2026.0</v>
      </c>
      <c r="C1494" t="s">
        <v>321</v>
      </c>
      <c r="D1494" t="s">
        <v>319</v>
      </c>
      <c r="E1494" t="s">
        <v>116</v>
      </c>
      <c r="F1494" t="s">
        <v>304</v>
      </c>
      <c r="G1494" t="s">
        <v>9</v>
      </c>
      <c r="H1494">
        <v>2485.0</v>
      </c>
      <c r="I1494" t="s">
        <v>31</v>
      </c>
      <c r="J1494" t="s">
        <v>70</v>
      </c>
      <c r="K1494" t="s">
        <v>71</v>
      </c>
      <c r="L1494" t="s">
        <v>72</v>
      </c>
      <c r="M1494">
        <v>65.92</v>
      </c>
    </row>
    <row r="1495">
      <c r="A1495" s="2">
        <v>45633</v>
      </c>
      <c r="B1495">
        <v>2025.0</v>
      </c>
      <c r="C1495" t="s">
        <v>315</v>
      </c>
      <c r="D1495" t="s">
        <v>319</v>
      </c>
      <c r="E1495" t="s">
        <v>197</v>
      </c>
      <c r="F1495" t="s">
        <v>304</v>
      </c>
      <c r="G1495" t="s">
        <v>9</v>
      </c>
      <c r="H1495">
        <v>2560.0</v>
      </c>
      <c r="I1495" t="s">
        <v>31</v>
      </c>
      <c r="J1495" t="s">
        <v>107</v>
      </c>
      <c r="K1495" t="s">
        <v>95</v>
      </c>
      <c r="L1495" t="s">
        <v>96</v>
      </c>
      <c r="M1495">
        <v>65.93</v>
      </c>
    </row>
    <row r="1496">
      <c r="A1496" s="2">
        <v>45750</v>
      </c>
      <c r="B1496">
        <v>2025.0</v>
      </c>
      <c r="C1496" t="s">
        <v>315</v>
      </c>
      <c r="D1496" t="s">
        <v>316</v>
      </c>
      <c r="E1496" t="s">
        <v>158</v>
      </c>
      <c r="F1496" t="s">
        <v>306</v>
      </c>
      <c r="G1496" t="s">
        <v>11</v>
      </c>
      <c r="H1496">
        <v>4570.0</v>
      </c>
      <c r="I1496" t="s">
        <v>31</v>
      </c>
      <c r="J1496" t="s">
        <v>84</v>
      </c>
      <c r="K1496" t="s">
        <v>71</v>
      </c>
      <c r="L1496" t="s">
        <v>72</v>
      </c>
      <c r="M1496">
        <v>65.93</v>
      </c>
    </row>
    <row r="1497">
      <c r="A1497" s="2">
        <v>45832</v>
      </c>
      <c r="B1497">
        <v>2025.0</v>
      </c>
      <c r="C1497" t="s">
        <v>315</v>
      </c>
      <c r="D1497" t="s">
        <v>316</v>
      </c>
      <c r="E1497" t="s">
        <v>143</v>
      </c>
      <c r="F1497" t="s">
        <v>309</v>
      </c>
      <c r="G1497" t="s">
        <v>14</v>
      </c>
      <c r="H1497">
        <v>800.0</v>
      </c>
      <c r="I1497" t="s">
        <v>31</v>
      </c>
      <c r="J1497" t="s">
        <v>145</v>
      </c>
      <c r="K1497" t="s">
        <v>43</v>
      </c>
      <c r="L1497" t="s">
        <v>44</v>
      </c>
      <c r="M1497">
        <v>65.96000000000001</v>
      </c>
    </row>
    <row r="1498">
      <c r="A1498" s="2">
        <v>45471</v>
      </c>
      <c r="B1498">
        <v>2024.0</v>
      </c>
      <c r="C1498" t="s">
        <v>318</v>
      </c>
      <c r="D1498" t="s">
        <v>319</v>
      </c>
      <c r="E1498" t="s">
        <v>48</v>
      </c>
      <c r="F1498" t="s">
        <v>307</v>
      </c>
      <c r="G1498" t="s">
        <v>12</v>
      </c>
      <c r="H1498">
        <v>6725.0</v>
      </c>
      <c r="I1498" t="s">
        <v>31</v>
      </c>
      <c r="J1498" t="s">
        <v>50</v>
      </c>
      <c r="K1498" t="s">
        <v>57</v>
      </c>
      <c r="L1498" t="s">
        <v>58</v>
      </c>
      <c r="M1498">
        <v>66.0</v>
      </c>
    </row>
    <row r="1499">
      <c r="A1499" s="2">
        <v>45857</v>
      </c>
      <c r="B1499">
        <v>2026.0</v>
      </c>
      <c r="C1499" t="s">
        <v>321</v>
      </c>
      <c r="D1499" t="s">
        <v>319</v>
      </c>
      <c r="E1499" t="s">
        <v>121</v>
      </c>
      <c r="F1499" t="s">
        <v>306</v>
      </c>
      <c r="G1499" t="s">
        <v>11</v>
      </c>
      <c r="H1499">
        <v>4566.0</v>
      </c>
      <c r="I1499" t="s">
        <v>31</v>
      </c>
      <c r="J1499" t="s">
        <v>84</v>
      </c>
      <c r="K1499" t="s">
        <v>38</v>
      </c>
      <c r="L1499" t="s">
        <v>39</v>
      </c>
      <c r="M1499">
        <v>66.11</v>
      </c>
    </row>
    <row r="1500">
      <c r="A1500" s="2">
        <v>45312</v>
      </c>
      <c r="B1500">
        <v>2024.0</v>
      </c>
      <c r="C1500" t="s">
        <v>318</v>
      </c>
      <c r="D1500" t="s">
        <v>316</v>
      </c>
      <c r="E1500" t="s">
        <v>73</v>
      </c>
      <c r="F1500" t="s">
        <v>304</v>
      </c>
      <c r="G1500" t="s">
        <v>9</v>
      </c>
      <c r="H1500">
        <v>2750.0</v>
      </c>
      <c r="I1500" t="s">
        <v>31</v>
      </c>
      <c r="J1500" t="s">
        <v>75</v>
      </c>
      <c r="K1500" t="s">
        <v>112</v>
      </c>
      <c r="L1500" t="s">
        <v>113</v>
      </c>
      <c r="M1500">
        <v>66.65</v>
      </c>
    </row>
    <row r="1501">
      <c r="A1501" s="2">
        <v>45776</v>
      </c>
      <c r="B1501">
        <v>2025.0</v>
      </c>
      <c r="C1501" t="s">
        <v>315</v>
      </c>
      <c r="D1501" t="s">
        <v>316</v>
      </c>
      <c r="E1501" t="s">
        <v>177</v>
      </c>
      <c r="F1501" t="s">
        <v>307</v>
      </c>
      <c r="G1501" t="s">
        <v>12</v>
      </c>
      <c r="H1501">
        <v>6330.0</v>
      </c>
      <c r="I1501" t="s">
        <v>31</v>
      </c>
      <c r="J1501" t="s">
        <v>162</v>
      </c>
      <c r="K1501" t="s">
        <v>66</v>
      </c>
      <c r="L1501" t="s">
        <v>67</v>
      </c>
      <c r="M1501">
        <v>66.87</v>
      </c>
    </row>
    <row r="1502">
      <c r="A1502" s="2">
        <v>45754</v>
      </c>
      <c r="B1502">
        <v>2025.0</v>
      </c>
      <c r="C1502" t="s">
        <v>315</v>
      </c>
      <c r="D1502" t="s">
        <v>316</v>
      </c>
      <c r="E1502" t="s">
        <v>137</v>
      </c>
      <c r="F1502" t="s">
        <v>305</v>
      </c>
      <c r="G1502" t="s">
        <v>10</v>
      </c>
      <c r="H1502">
        <v>3134.0</v>
      </c>
      <c r="I1502" t="s">
        <v>31</v>
      </c>
      <c r="J1502" t="s">
        <v>89</v>
      </c>
      <c r="K1502" t="s">
        <v>38</v>
      </c>
      <c r="L1502" t="s">
        <v>39</v>
      </c>
      <c r="M1502">
        <v>66.87</v>
      </c>
    </row>
    <row r="1503">
      <c r="A1503" s="2">
        <v>45589</v>
      </c>
      <c r="B1503">
        <v>2025.0</v>
      </c>
      <c r="C1503" t="s">
        <v>315</v>
      </c>
      <c r="D1503" t="s">
        <v>319</v>
      </c>
      <c r="E1503" t="s">
        <v>160</v>
      </c>
      <c r="F1503" t="s">
        <v>307</v>
      </c>
      <c r="G1503" t="s">
        <v>12</v>
      </c>
      <c r="H1503">
        <v>6280.0</v>
      </c>
      <c r="I1503" t="s">
        <v>31</v>
      </c>
      <c r="J1503" t="s">
        <v>162</v>
      </c>
      <c r="K1503" t="s">
        <v>66</v>
      </c>
      <c r="L1503" t="s">
        <v>67</v>
      </c>
      <c r="M1503">
        <v>66.92</v>
      </c>
    </row>
    <row r="1504">
      <c r="A1504" s="2">
        <v>45370</v>
      </c>
      <c r="B1504">
        <v>2024.0</v>
      </c>
      <c r="C1504" t="s">
        <v>318</v>
      </c>
      <c r="D1504" t="s">
        <v>316</v>
      </c>
      <c r="E1504" t="s">
        <v>156</v>
      </c>
      <c r="F1504" t="s">
        <v>304</v>
      </c>
      <c r="G1504" t="s">
        <v>9</v>
      </c>
      <c r="H1504">
        <v>2830.0</v>
      </c>
      <c r="I1504" t="s">
        <v>31</v>
      </c>
      <c r="J1504" t="s">
        <v>75</v>
      </c>
      <c r="K1504" t="s">
        <v>66</v>
      </c>
      <c r="L1504" t="s">
        <v>67</v>
      </c>
      <c r="M1504">
        <v>66.93</v>
      </c>
    </row>
    <row r="1505">
      <c r="A1505" s="2">
        <v>45801</v>
      </c>
      <c r="B1505">
        <v>2025.0</v>
      </c>
      <c r="C1505" t="s">
        <v>315</v>
      </c>
      <c r="D1505" t="s">
        <v>316</v>
      </c>
      <c r="E1505" t="s">
        <v>76</v>
      </c>
      <c r="F1505" t="s">
        <v>306</v>
      </c>
      <c r="G1505" t="s">
        <v>11</v>
      </c>
      <c r="H1505">
        <v>4883.0</v>
      </c>
      <c r="I1505" t="s">
        <v>31</v>
      </c>
      <c r="J1505" t="s">
        <v>78</v>
      </c>
      <c r="K1505" t="s">
        <v>43</v>
      </c>
      <c r="L1505" t="s">
        <v>44</v>
      </c>
      <c r="M1505">
        <v>66.94</v>
      </c>
    </row>
    <row r="1506">
      <c r="A1506" s="2">
        <v>45820</v>
      </c>
      <c r="B1506">
        <v>2025.0</v>
      </c>
      <c r="C1506" t="s">
        <v>315</v>
      </c>
      <c r="D1506" t="s">
        <v>316</v>
      </c>
      <c r="E1506" t="s">
        <v>169</v>
      </c>
      <c r="F1506" t="s">
        <v>307</v>
      </c>
      <c r="G1506" t="s">
        <v>12</v>
      </c>
      <c r="H1506">
        <v>6027.0</v>
      </c>
      <c r="I1506" t="s">
        <v>31</v>
      </c>
      <c r="J1506" t="s">
        <v>102</v>
      </c>
      <c r="K1506" t="s">
        <v>43</v>
      </c>
      <c r="L1506" t="s">
        <v>44</v>
      </c>
      <c r="M1506">
        <v>66.94</v>
      </c>
    </row>
    <row r="1507">
      <c r="A1507" s="2">
        <v>45814</v>
      </c>
      <c r="B1507">
        <v>2025.0</v>
      </c>
      <c r="C1507" t="s">
        <v>315</v>
      </c>
      <c r="D1507" t="s">
        <v>319</v>
      </c>
      <c r="E1507" t="s">
        <v>264</v>
      </c>
      <c r="F1507" t="s">
        <v>308</v>
      </c>
      <c r="G1507" t="s">
        <v>13</v>
      </c>
      <c r="H1507">
        <v>5043.0</v>
      </c>
      <c r="I1507" t="s">
        <v>31</v>
      </c>
      <c r="J1507" t="s">
        <v>42</v>
      </c>
      <c r="K1507" t="s">
        <v>43</v>
      </c>
      <c r="L1507" t="s">
        <v>44</v>
      </c>
      <c r="M1507">
        <v>66.95</v>
      </c>
    </row>
    <row r="1508">
      <c r="A1508" s="2">
        <v>45754</v>
      </c>
      <c r="B1508">
        <v>2025.0</v>
      </c>
      <c r="C1508" t="s">
        <v>315</v>
      </c>
      <c r="D1508" t="s">
        <v>319</v>
      </c>
      <c r="E1508" t="s">
        <v>51</v>
      </c>
      <c r="F1508" t="s">
        <v>310</v>
      </c>
      <c r="G1508" t="s">
        <v>15</v>
      </c>
      <c r="H1508">
        <v>7018.0</v>
      </c>
      <c r="I1508" t="s">
        <v>31</v>
      </c>
      <c r="J1508" t="s">
        <v>53</v>
      </c>
      <c r="K1508" t="s">
        <v>43</v>
      </c>
      <c r="L1508" t="s">
        <v>44</v>
      </c>
      <c r="M1508">
        <v>66.96000000000001</v>
      </c>
    </row>
    <row r="1509">
      <c r="A1509" s="2">
        <v>45800</v>
      </c>
      <c r="B1509">
        <v>2025.0</v>
      </c>
      <c r="C1509" t="s">
        <v>315</v>
      </c>
      <c r="D1509" t="s">
        <v>316</v>
      </c>
      <c r="E1509" t="s">
        <v>143</v>
      </c>
      <c r="F1509" t="s">
        <v>309</v>
      </c>
      <c r="G1509" t="s">
        <v>14</v>
      </c>
      <c r="H1509">
        <v>800.0</v>
      </c>
      <c r="I1509" t="s">
        <v>31</v>
      </c>
      <c r="J1509" t="s">
        <v>145</v>
      </c>
      <c r="K1509" t="s">
        <v>123</v>
      </c>
      <c r="L1509" t="s">
        <v>124</v>
      </c>
      <c r="M1509">
        <v>67.18</v>
      </c>
    </row>
    <row r="1510">
      <c r="A1510" s="2">
        <v>45756</v>
      </c>
      <c r="B1510">
        <v>2025.0</v>
      </c>
      <c r="C1510" t="s">
        <v>315</v>
      </c>
      <c r="D1510" t="s">
        <v>316</v>
      </c>
      <c r="E1510" t="s">
        <v>252</v>
      </c>
      <c r="F1510" t="s">
        <v>305</v>
      </c>
      <c r="G1510" t="s">
        <v>10</v>
      </c>
      <c r="H1510">
        <v>3630.0</v>
      </c>
      <c r="I1510" t="s">
        <v>31</v>
      </c>
      <c r="J1510" t="s">
        <v>94</v>
      </c>
      <c r="K1510" t="s">
        <v>33</v>
      </c>
      <c r="L1510" t="s">
        <v>34</v>
      </c>
      <c r="M1510">
        <v>67.43</v>
      </c>
    </row>
    <row r="1511">
      <c r="A1511" s="2">
        <v>45588</v>
      </c>
      <c r="B1511">
        <v>2025.0</v>
      </c>
      <c r="C1511" t="s">
        <v>315</v>
      </c>
      <c r="D1511" t="s">
        <v>319</v>
      </c>
      <c r="E1511" t="s">
        <v>105</v>
      </c>
      <c r="F1511" t="s">
        <v>304</v>
      </c>
      <c r="G1511" t="s">
        <v>9</v>
      </c>
      <c r="H1511">
        <v>2541.0</v>
      </c>
      <c r="I1511" t="s">
        <v>31</v>
      </c>
      <c r="J1511" t="s">
        <v>107</v>
      </c>
      <c r="K1511" t="s">
        <v>66</v>
      </c>
      <c r="L1511" t="s">
        <v>67</v>
      </c>
      <c r="M1511">
        <v>67.45</v>
      </c>
    </row>
    <row r="1512">
      <c r="A1512" s="2">
        <v>45327</v>
      </c>
      <c r="B1512">
        <v>2024.0</v>
      </c>
      <c r="C1512" t="s">
        <v>318</v>
      </c>
      <c r="D1512" t="s">
        <v>319</v>
      </c>
      <c r="E1512" t="s">
        <v>137</v>
      </c>
      <c r="F1512" t="s">
        <v>305</v>
      </c>
      <c r="G1512" t="s">
        <v>10</v>
      </c>
      <c r="H1512">
        <v>3134.0</v>
      </c>
      <c r="I1512" t="s">
        <v>31</v>
      </c>
      <c r="J1512" t="s">
        <v>89</v>
      </c>
      <c r="K1512" t="s">
        <v>43</v>
      </c>
      <c r="L1512" t="s">
        <v>44</v>
      </c>
      <c r="M1512">
        <v>67.47</v>
      </c>
    </row>
    <row r="1513">
      <c r="A1513" s="2">
        <v>45990</v>
      </c>
      <c r="B1513">
        <v>2026.0</v>
      </c>
      <c r="C1513" t="s">
        <v>321</v>
      </c>
      <c r="D1513" t="s">
        <v>316</v>
      </c>
      <c r="E1513" t="s">
        <v>262</v>
      </c>
      <c r="F1513" t="s">
        <v>305</v>
      </c>
      <c r="G1513" t="s">
        <v>10</v>
      </c>
      <c r="H1513">
        <v>3018.0</v>
      </c>
      <c r="I1513" t="s">
        <v>31</v>
      </c>
      <c r="J1513" t="s">
        <v>120</v>
      </c>
      <c r="K1513" t="s">
        <v>95</v>
      </c>
      <c r="L1513" t="s">
        <v>96</v>
      </c>
      <c r="M1513">
        <v>67.58</v>
      </c>
    </row>
    <row r="1514">
      <c r="A1514" s="2">
        <v>45500</v>
      </c>
      <c r="B1514">
        <v>2025.0</v>
      </c>
      <c r="C1514" t="s">
        <v>315</v>
      </c>
      <c r="D1514" t="s">
        <v>316</v>
      </c>
      <c r="E1514" t="s">
        <v>139</v>
      </c>
      <c r="F1514" t="s">
        <v>305</v>
      </c>
      <c r="G1514" t="s">
        <v>10</v>
      </c>
      <c r="H1514">
        <v>3199.0</v>
      </c>
      <c r="I1514" t="s">
        <v>31</v>
      </c>
      <c r="J1514" t="s">
        <v>89</v>
      </c>
      <c r="K1514" t="s">
        <v>43</v>
      </c>
      <c r="L1514" t="s">
        <v>44</v>
      </c>
      <c r="M1514">
        <v>67.66</v>
      </c>
    </row>
    <row r="1515">
      <c r="A1515" s="2">
        <v>45846</v>
      </c>
      <c r="B1515">
        <v>2026.0</v>
      </c>
      <c r="C1515" t="s">
        <v>321</v>
      </c>
      <c r="D1515" t="s">
        <v>316</v>
      </c>
      <c r="E1515" t="s">
        <v>156</v>
      </c>
      <c r="F1515" t="s">
        <v>304</v>
      </c>
      <c r="G1515" t="s">
        <v>9</v>
      </c>
      <c r="H1515">
        <v>2830.0</v>
      </c>
      <c r="I1515" t="s">
        <v>31</v>
      </c>
      <c r="J1515" t="s">
        <v>75</v>
      </c>
      <c r="K1515" t="s">
        <v>112</v>
      </c>
      <c r="L1515" t="s">
        <v>113</v>
      </c>
      <c r="M1515">
        <v>67.83</v>
      </c>
    </row>
    <row r="1516">
      <c r="A1516" s="2">
        <v>45319</v>
      </c>
      <c r="B1516">
        <v>2024.0</v>
      </c>
      <c r="C1516" t="s">
        <v>318</v>
      </c>
      <c r="D1516" t="s">
        <v>319</v>
      </c>
      <c r="E1516" t="s">
        <v>150</v>
      </c>
      <c r="F1516" t="s">
        <v>310</v>
      </c>
      <c r="G1516" t="s">
        <v>15</v>
      </c>
      <c r="H1516">
        <v>7250.0</v>
      </c>
      <c r="I1516" t="s">
        <v>31</v>
      </c>
      <c r="J1516" t="s">
        <v>53</v>
      </c>
      <c r="K1516" t="s">
        <v>71</v>
      </c>
      <c r="L1516" t="s">
        <v>72</v>
      </c>
      <c r="M1516">
        <v>67.83</v>
      </c>
    </row>
    <row r="1517">
      <c r="A1517" s="2">
        <v>45762</v>
      </c>
      <c r="B1517">
        <v>2025.0</v>
      </c>
      <c r="C1517" t="s">
        <v>315</v>
      </c>
      <c r="D1517" t="s">
        <v>316</v>
      </c>
      <c r="E1517" t="s">
        <v>191</v>
      </c>
      <c r="F1517" t="s">
        <v>305</v>
      </c>
      <c r="G1517" t="s">
        <v>10</v>
      </c>
      <c r="H1517">
        <v>3030.0</v>
      </c>
      <c r="I1517" t="s">
        <v>31</v>
      </c>
      <c r="J1517" t="s">
        <v>120</v>
      </c>
      <c r="K1517" t="s">
        <v>95</v>
      </c>
      <c r="L1517" t="s">
        <v>96</v>
      </c>
      <c r="M1517">
        <v>67.83</v>
      </c>
    </row>
    <row r="1518">
      <c r="A1518" s="2">
        <v>45490</v>
      </c>
      <c r="B1518">
        <v>2025.0</v>
      </c>
      <c r="C1518" t="s">
        <v>315</v>
      </c>
      <c r="D1518" t="s">
        <v>319</v>
      </c>
      <c r="E1518" t="s">
        <v>195</v>
      </c>
      <c r="F1518" t="s">
        <v>306</v>
      </c>
      <c r="G1518" t="s">
        <v>11</v>
      </c>
      <c r="H1518">
        <v>4700.0</v>
      </c>
      <c r="I1518" t="s">
        <v>31</v>
      </c>
      <c r="J1518" t="s">
        <v>32</v>
      </c>
      <c r="K1518" t="s">
        <v>33</v>
      </c>
      <c r="L1518" t="s">
        <v>34</v>
      </c>
      <c r="M1518">
        <v>67.85</v>
      </c>
    </row>
    <row r="1519">
      <c r="A1519" s="2">
        <v>45384</v>
      </c>
      <c r="B1519">
        <v>2024.0</v>
      </c>
      <c r="C1519" t="s">
        <v>318</v>
      </c>
      <c r="D1519" t="s">
        <v>319</v>
      </c>
      <c r="E1519" t="s">
        <v>219</v>
      </c>
      <c r="F1519" t="s">
        <v>306</v>
      </c>
      <c r="G1519" t="s">
        <v>11</v>
      </c>
      <c r="H1519">
        <v>4068.0</v>
      </c>
      <c r="I1519" t="s">
        <v>31</v>
      </c>
      <c r="J1519" t="s">
        <v>56</v>
      </c>
      <c r="K1519" t="s">
        <v>66</v>
      </c>
      <c r="L1519" t="s">
        <v>67</v>
      </c>
      <c r="M1519">
        <v>67.86</v>
      </c>
    </row>
    <row r="1520">
      <c r="A1520" s="2">
        <v>45913</v>
      </c>
      <c r="B1520">
        <v>2026.0</v>
      </c>
      <c r="C1520" t="s">
        <v>321</v>
      </c>
      <c r="D1520" t="s">
        <v>316</v>
      </c>
      <c r="E1520" t="s">
        <v>191</v>
      </c>
      <c r="F1520" t="s">
        <v>305</v>
      </c>
      <c r="G1520" t="s">
        <v>10</v>
      </c>
      <c r="H1520">
        <v>3030.0</v>
      </c>
      <c r="I1520" t="s">
        <v>31</v>
      </c>
      <c r="J1520" t="s">
        <v>120</v>
      </c>
      <c r="K1520" t="s">
        <v>38</v>
      </c>
      <c r="L1520" t="s">
        <v>39</v>
      </c>
      <c r="M1520">
        <v>67.89</v>
      </c>
    </row>
    <row r="1521">
      <c r="A1521" s="2">
        <v>45486</v>
      </c>
      <c r="B1521">
        <v>2025.0</v>
      </c>
      <c r="C1521" t="s">
        <v>315</v>
      </c>
      <c r="D1521" t="s">
        <v>319</v>
      </c>
      <c r="E1521" t="s">
        <v>191</v>
      </c>
      <c r="F1521" t="s">
        <v>305</v>
      </c>
      <c r="G1521" t="s">
        <v>10</v>
      </c>
      <c r="H1521">
        <v>3030.0</v>
      </c>
      <c r="I1521" t="s">
        <v>31</v>
      </c>
      <c r="J1521" t="s">
        <v>120</v>
      </c>
      <c r="K1521" t="s">
        <v>46</v>
      </c>
      <c r="L1521" t="s">
        <v>47</v>
      </c>
      <c r="M1521">
        <v>67.94</v>
      </c>
    </row>
    <row r="1522">
      <c r="A1522" s="2">
        <v>45338</v>
      </c>
      <c r="B1522">
        <v>2024.0</v>
      </c>
      <c r="C1522" t="s">
        <v>318</v>
      </c>
      <c r="D1522" t="s">
        <v>316</v>
      </c>
      <c r="E1522" t="s">
        <v>85</v>
      </c>
      <c r="F1522" t="s">
        <v>304</v>
      </c>
      <c r="G1522" t="s">
        <v>9</v>
      </c>
      <c r="H1522">
        <v>2120.0</v>
      </c>
      <c r="I1522" t="s">
        <v>31</v>
      </c>
      <c r="J1522" t="s">
        <v>81</v>
      </c>
      <c r="K1522" t="s">
        <v>43</v>
      </c>
      <c r="L1522" t="s">
        <v>44</v>
      </c>
      <c r="M1522">
        <v>68.0</v>
      </c>
    </row>
    <row r="1523">
      <c r="A1523" s="2">
        <v>46002</v>
      </c>
      <c r="B1523">
        <v>2026.0</v>
      </c>
      <c r="C1523" t="s">
        <v>321</v>
      </c>
      <c r="D1523" t="s">
        <v>316</v>
      </c>
      <c r="E1523" t="s">
        <v>154</v>
      </c>
      <c r="F1523" t="s">
        <v>306</v>
      </c>
      <c r="G1523" t="s">
        <v>11</v>
      </c>
      <c r="H1523">
        <v>4551.0</v>
      </c>
      <c r="I1523" t="s">
        <v>31</v>
      </c>
      <c r="J1523" t="s">
        <v>84</v>
      </c>
      <c r="K1523" t="s">
        <v>71</v>
      </c>
      <c r="L1523" t="s">
        <v>72</v>
      </c>
      <c r="M1523">
        <v>68.29</v>
      </c>
    </row>
    <row r="1524">
      <c r="A1524" s="2">
        <v>45760</v>
      </c>
      <c r="B1524">
        <v>2025.0</v>
      </c>
      <c r="C1524" t="s">
        <v>315</v>
      </c>
      <c r="D1524" t="s">
        <v>316</v>
      </c>
      <c r="E1524" t="s">
        <v>175</v>
      </c>
      <c r="F1524" t="s">
        <v>311</v>
      </c>
      <c r="G1524" t="s">
        <v>16</v>
      </c>
      <c r="H1524">
        <v>2617.0</v>
      </c>
      <c r="I1524" t="s">
        <v>31</v>
      </c>
      <c r="J1524" t="s">
        <v>107</v>
      </c>
      <c r="K1524" t="s">
        <v>66</v>
      </c>
      <c r="L1524" t="s">
        <v>67</v>
      </c>
      <c r="M1524">
        <v>68.41999999999999</v>
      </c>
    </row>
    <row r="1525">
      <c r="A1525" s="2">
        <v>45885</v>
      </c>
      <c r="B1525">
        <v>2026.0</v>
      </c>
      <c r="C1525" t="s">
        <v>321</v>
      </c>
      <c r="D1525" t="s">
        <v>316</v>
      </c>
      <c r="E1525" t="s">
        <v>85</v>
      </c>
      <c r="F1525" t="s">
        <v>304</v>
      </c>
      <c r="G1525" t="s">
        <v>9</v>
      </c>
      <c r="H1525">
        <v>2120.0</v>
      </c>
      <c r="I1525" t="s">
        <v>31</v>
      </c>
      <c r="J1525" t="s">
        <v>81</v>
      </c>
      <c r="K1525" t="s">
        <v>123</v>
      </c>
      <c r="L1525" t="s">
        <v>124</v>
      </c>
      <c r="M1525">
        <v>68.44</v>
      </c>
    </row>
    <row r="1526">
      <c r="A1526" s="2">
        <v>45416</v>
      </c>
      <c r="B1526">
        <v>2024.0</v>
      </c>
      <c r="C1526" t="s">
        <v>318</v>
      </c>
      <c r="D1526" t="s">
        <v>319</v>
      </c>
      <c r="E1526" t="s">
        <v>121</v>
      </c>
      <c r="F1526" t="s">
        <v>306</v>
      </c>
      <c r="G1526" t="s">
        <v>11</v>
      </c>
      <c r="H1526">
        <v>4566.0</v>
      </c>
      <c r="I1526" t="s">
        <v>31</v>
      </c>
      <c r="J1526" t="s">
        <v>84</v>
      </c>
      <c r="K1526" t="s">
        <v>123</v>
      </c>
      <c r="L1526" t="s">
        <v>124</v>
      </c>
      <c r="M1526">
        <v>69.11</v>
      </c>
    </row>
    <row r="1527">
      <c r="A1527" s="2">
        <v>45799</v>
      </c>
      <c r="B1527">
        <v>2025.0</v>
      </c>
      <c r="C1527" t="s">
        <v>315</v>
      </c>
      <c r="D1527" t="s">
        <v>319</v>
      </c>
      <c r="E1527" t="s">
        <v>163</v>
      </c>
      <c r="F1527" t="s">
        <v>304</v>
      </c>
      <c r="G1527" t="s">
        <v>9</v>
      </c>
      <c r="H1527">
        <v>2154.0</v>
      </c>
      <c r="I1527" t="s">
        <v>31</v>
      </c>
      <c r="J1527" t="s">
        <v>81</v>
      </c>
      <c r="K1527" t="s">
        <v>66</v>
      </c>
      <c r="L1527" t="s">
        <v>67</v>
      </c>
      <c r="M1527">
        <v>69.2</v>
      </c>
    </row>
    <row r="1528">
      <c r="A1528" s="2">
        <v>45375</v>
      </c>
      <c r="B1528">
        <v>2024.0</v>
      </c>
      <c r="C1528" t="s">
        <v>318</v>
      </c>
      <c r="D1528" t="s">
        <v>316</v>
      </c>
      <c r="E1528" t="s">
        <v>90</v>
      </c>
      <c r="F1528" t="s">
        <v>305</v>
      </c>
      <c r="G1528" t="s">
        <v>10</v>
      </c>
      <c r="H1528">
        <v>3353.0</v>
      </c>
      <c r="I1528" t="s">
        <v>31</v>
      </c>
      <c r="J1528" t="s">
        <v>37</v>
      </c>
      <c r="K1528" t="s">
        <v>123</v>
      </c>
      <c r="L1528" t="s">
        <v>124</v>
      </c>
      <c r="M1528">
        <v>69.27</v>
      </c>
    </row>
    <row r="1529">
      <c r="A1529" s="2">
        <v>45519</v>
      </c>
      <c r="B1529">
        <v>2025.0</v>
      </c>
      <c r="C1529" t="s">
        <v>315</v>
      </c>
      <c r="D1529" t="s">
        <v>319</v>
      </c>
      <c r="E1529" t="s">
        <v>219</v>
      </c>
      <c r="F1529" t="s">
        <v>306</v>
      </c>
      <c r="G1529" t="s">
        <v>11</v>
      </c>
      <c r="H1529">
        <v>4068.0</v>
      </c>
      <c r="I1529" t="s">
        <v>31</v>
      </c>
      <c r="J1529" t="s">
        <v>56</v>
      </c>
      <c r="K1529" t="s">
        <v>66</v>
      </c>
      <c r="L1529" t="s">
        <v>67</v>
      </c>
      <c r="M1529">
        <v>69.3</v>
      </c>
    </row>
    <row r="1530">
      <c r="A1530" s="2">
        <v>45388</v>
      </c>
      <c r="B1530">
        <v>2024.0</v>
      </c>
      <c r="C1530" t="s">
        <v>318</v>
      </c>
      <c r="D1530" t="s">
        <v>316</v>
      </c>
      <c r="E1530" t="s">
        <v>209</v>
      </c>
      <c r="F1530" t="s">
        <v>304</v>
      </c>
      <c r="G1530" t="s">
        <v>9</v>
      </c>
      <c r="H1530">
        <v>2116.0</v>
      </c>
      <c r="I1530" t="s">
        <v>31</v>
      </c>
      <c r="J1530" t="s">
        <v>81</v>
      </c>
      <c r="K1530" t="s">
        <v>95</v>
      </c>
      <c r="L1530" t="s">
        <v>96</v>
      </c>
      <c r="M1530">
        <v>69.4</v>
      </c>
    </row>
    <row r="1531">
      <c r="A1531" s="2">
        <v>45401</v>
      </c>
      <c r="B1531">
        <v>2024.0</v>
      </c>
      <c r="C1531" t="s">
        <v>318</v>
      </c>
      <c r="D1531" t="s">
        <v>316</v>
      </c>
      <c r="E1531" t="s">
        <v>183</v>
      </c>
      <c r="F1531" t="s">
        <v>304</v>
      </c>
      <c r="G1531" t="s">
        <v>9</v>
      </c>
      <c r="H1531">
        <v>2480.0</v>
      </c>
      <c r="I1531" t="s">
        <v>31</v>
      </c>
      <c r="J1531" t="s">
        <v>70</v>
      </c>
      <c r="K1531" t="s">
        <v>95</v>
      </c>
      <c r="L1531" t="s">
        <v>96</v>
      </c>
      <c r="M1531">
        <v>69.86</v>
      </c>
    </row>
    <row r="1532">
      <c r="A1532" s="2">
        <v>45827</v>
      </c>
      <c r="B1532">
        <v>2025.0</v>
      </c>
      <c r="C1532" t="s">
        <v>315</v>
      </c>
      <c r="D1532" t="s">
        <v>316</v>
      </c>
      <c r="E1532" t="s">
        <v>221</v>
      </c>
      <c r="F1532" t="s">
        <v>306</v>
      </c>
      <c r="G1532" t="s">
        <v>11</v>
      </c>
      <c r="H1532">
        <v>4053.0</v>
      </c>
      <c r="I1532" t="s">
        <v>31</v>
      </c>
      <c r="J1532" t="s">
        <v>56</v>
      </c>
      <c r="K1532" t="s">
        <v>46</v>
      </c>
      <c r="L1532" t="s">
        <v>47</v>
      </c>
      <c r="M1532">
        <v>70.0</v>
      </c>
    </row>
    <row r="1533">
      <c r="A1533" s="2">
        <v>45438</v>
      </c>
      <c r="B1533">
        <v>2024.0</v>
      </c>
      <c r="C1533" t="s">
        <v>318</v>
      </c>
      <c r="D1533" t="s">
        <v>319</v>
      </c>
      <c r="E1533" t="s">
        <v>116</v>
      </c>
      <c r="F1533" t="s">
        <v>304</v>
      </c>
      <c r="G1533" t="s">
        <v>9</v>
      </c>
      <c r="H1533">
        <v>2485.0</v>
      </c>
      <c r="I1533" t="s">
        <v>31</v>
      </c>
      <c r="J1533" t="s">
        <v>70</v>
      </c>
      <c r="K1533" t="s">
        <v>43</v>
      </c>
      <c r="L1533" t="s">
        <v>44</v>
      </c>
      <c r="M1533">
        <v>70.25</v>
      </c>
    </row>
    <row r="1534">
      <c r="A1534" s="2">
        <v>45838</v>
      </c>
      <c r="B1534">
        <v>2025.0</v>
      </c>
      <c r="C1534" t="s">
        <v>315</v>
      </c>
      <c r="D1534" t="s">
        <v>316</v>
      </c>
      <c r="E1534" t="s">
        <v>90</v>
      </c>
      <c r="F1534" t="s">
        <v>305</v>
      </c>
      <c r="G1534" t="s">
        <v>10</v>
      </c>
      <c r="H1534">
        <v>3353.0</v>
      </c>
      <c r="I1534" t="s">
        <v>31</v>
      </c>
      <c r="J1534" t="s">
        <v>37</v>
      </c>
      <c r="K1534" t="s">
        <v>38</v>
      </c>
      <c r="L1534" t="s">
        <v>39</v>
      </c>
      <c r="M1534">
        <v>70.34</v>
      </c>
    </row>
    <row r="1535">
      <c r="A1535" s="2">
        <v>45550</v>
      </c>
      <c r="B1535">
        <v>2025.0</v>
      </c>
      <c r="C1535" t="s">
        <v>315</v>
      </c>
      <c r="D1535" t="s">
        <v>319</v>
      </c>
      <c r="E1535" t="s">
        <v>51</v>
      </c>
      <c r="F1535" t="s">
        <v>310</v>
      </c>
      <c r="G1535" t="s">
        <v>15</v>
      </c>
      <c r="H1535">
        <v>7018.0</v>
      </c>
      <c r="I1535" t="s">
        <v>31</v>
      </c>
      <c r="J1535" t="s">
        <v>53</v>
      </c>
      <c r="K1535" t="s">
        <v>43</v>
      </c>
      <c r="L1535" t="s">
        <v>44</v>
      </c>
      <c r="M1535">
        <v>70.45</v>
      </c>
    </row>
    <row r="1536">
      <c r="A1536" s="2">
        <v>45420</v>
      </c>
      <c r="B1536">
        <v>2024.0</v>
      </c>
      <c r="C1536" t="s">
        <v>318</v>
      </c>
      <c r="D1536" t="s">
        <v>316</v>
      </c>
      <c r="E1536" t="s">
        <v>225</v>
      </c>
      <c r="F1536" t="s">
        <v>308</v>
      </c>
      <c r="G1536" t="s">
        <v>13</v>
      </c>
      <c r="H1536">
        <v>5607.0</v>
      </c>
      <c r="I1536" t="s">
        <v>31</v>
      </c>
      <c r="J1536" t="s">
        <v>227</v>
      </c>
      <c r="K1536" t="s">
        <v>43</v>
      </c>
      <c r="L1536" t="s">
        <v>44</v>
      </c>
      <c r="M1536">
        <v>70.5</v>
      </c>
    </row>
    <row r="1537">
      <c r="A1537" s="2">
        <v>45644</v>
      </c>
      <c r="B1537">
        <v>2025.0</v>
      </c>
      <c r="C1537" t="s">
        <v>315</v>
      </c>
      <c r="D1537" t="s">
        <v>319</v>
      </c>
      <c r="E1537" t="s">
        <v>108</v>
      </c>
      <c r="F1537" t="s">
        <v>304</v>
      </c>
      <c r="G1537" t="s">
        <v>9</v>
      </c>
      <c r="H1537">
        <v>2795.0</v>
      </c>
      <c r="I1537" t="s">
        <v>31</v>
      </c>
      <c r="J1537" t="s">
        <v>75</v>
      </c>
      <c r="K1537" t="s">
        <v>66</v>
      </c>
      <c r="L1537" t="s">
        <v>67</v>
      </c>
      <c r="M1537">
        <v>70.6</v>
      </c>
    </row>
    <row r="1538">
      <c r="A1538" s="2">
        <v>45553</v>
      </c>
      <c r="B1538">
        <v>2025.0</v>
      </c>
      <c r="C1538" t="s">
        <v>315</v>
      </c>
      <c r="D1538" t="s">
        <v>319</v>
      </c>
      <c r="E1538" t="s">
        <v>133</v>
      </c>
      <c r="F1538" t="s">
        <v>305</v>
      </c>
      <c r="G1538" t="s">
        <v>10</v>
      </c>
      <c r="H1538">
        <v>3429.0</v>
      </c>
      <c r="I1538" t="s">
        <v>31</v>
      </c>
      <c r="J1538" t="s">
        <v>37</v>
      </c>
      <c r="K1538" t="s">
        <v>38</v>
      </c>
      <c r="L1538" t="s">
        <v>39</v>
      </c>
      <c r="M1538">
        <v>70.68</v>
      </c>
    </row>
    <row r="1539">
      <c r="A1539" s="2">
        <v>45296</v>
      </c>
      <c r="B1539">
        <v>2024.0</v>
      </c>
      <c r="C1539" t="s">
        <v>318</v>
      </c>
      <c r="D1539" t="s">
        <v>316</v>
      </c>
      <c r="E1539" t="s">
        <v>90</v>
      </c>
      <c r="F1539" t="s">
        <v>305</v>
      </c>
      <c r="G1539" t="s">
        <v>10</v>
      </c>
      <c r="H1539">
        <v>3353.0</v>
      </c>
      <c r="I1539" t="s">
        <v>31</v>
      </c>
      <c r="J1539" t="s">
        <v>37</v>
      </c>
      <c r="K1539" t="s">
        <v>33</v>
      </c>
      <c r="L1539" t="s">
        <v>34</v>
      </c>
      <c r="M1539">
        <v>70.83</v>
      </c>
    </row>
    <row r="1540">
      <c r="A1540" s="2">
        <v>45461</v>
      </c>
      <c r="B1540">
        <v>2024.0</v>
      </c>
      <c r="C1540" t="s">
        <v>318</v>
      </c>
      <c r="D1540" t="s">
        <v>319</v>
      </c>
      <c r="E1540" t="s">
        <v>193</v>
      </c>
      <c r="F1540" t="s">
        <v>304</v>
      </c>
      <c r="G1540" t="s">
        <v>9</v>
      </c>
      <c r="H1540">
        <v>2020.0</v>
      </c>
      <c r="I1540" t="s">
        <v>31</v>
      </c>
      <c r="J1540" t="s">
        <v>99</v>
      </c>
      <c r="K1540" t="s">
        <v>66</v>
      </c>
      <c r="L1540" t="s">
        <v>67</v>
      </c>
      <c r="M1540">
        <v>70.93</v>
      </c>
    </row>
    <row r="1541">
      <c r="A1541" s="2">
        <v>45872</v>
      </c>
      <c r="B1541">
        <v>2026.0</v>
      </c>
      <c r="C1541" t="s">
        <v>321</v>
      </c>
      <c r="D1541" t="s">
        <v>316</v>
      </c>
      <c r="E1541" t="s">
        <v>173</v>
      </c>
      <c r="F1541" t="s">
        <v>306</v>
      </c>
      <c r="G1541" t="s">
        <v>11</v>
      </c>
      <c r="H1541">
        <v>4220.0</v>
      </c>
      <c r="I1541" t="s">
        <v>31</v>
      </c>
      <c r="J1541" t="s">
        <v>61</v>
      </c>
      <c r="K1541" t="s">
        <v>43</v>
      </c>
      <c r="L1541" t="s">
        <v>44</v>
      </c>
      <c r="M1541">
        <v>71.14</v>
      </c>
    </row>
    <row r="1542">
      <c r="A1542" s="2">
        <v>45729</v>
      </c>
      <c r="B1542">
        <v>2025.0</v>
      </c>
      <c r="C1542" t="s">
        <v>315</v>
      </c>
      <c r="D1542" t="s">
        <v>316</v>
      </c>
      <c r="E1542" t="s">
        <v>238</v>
      </c>
      <c r="F1542" t="s">
        <v>308</v>
      </c>
      <c r="G1542" t="s">
        <v>13</v>
      </c>
      <c r="H1542">
        <v>5082.0</v>
      </c>
      <c r="I1542" t="s">
        <v>31</v>
      </c>
      <c r="J1542" t="s">
        <v>42</v>
      </c>
      <c r="K1542" t="s">
        <v>112</v>
      </c>
      <c r="L1542" t="s">
        <v>113</v>
      </c>
      <c r="M1542">
        <v>71.39</v>
      </c>
    </row>
    <row r="1543">
      <c r="A1543" s="2">
        <v>45847</v>
      </c>
      <c r="B1543">
        <v>2026.0</v>
      </c>
      <c r="C1543" t="s">
        <v>321</v>
      </c>
      <c r="D1543" t="s">
        <v>316</v>
      </c>
      <c r="E1543" t="s">
        <v>169</v>
      </c>
      <c r="F1543" t="s">
        <v>307</v>
      </c>
      <c r="G1543" t="s">
        <v>12</v>
      </c>
      <c r="H1543">
        <v>6027.0</v>
      </c>
      <c r="I1543" t="s">
        <v>31</v>
      </c>
      <c r="J1543" t="s">
        <v>102</v>
      </c>
      <c r="K1543" t="s">
        <v>38</v>
      </c>
      <c r="L1543" t="s">
        <v>39</v>
      </c>
      <c r="M1543">
        <v>71.49000000000001</v>
      </c>
    </row>
    <row r="1544">
      <c r="A1544" s="2">
        <v>45466</v>
      </c>
      <c r="B1544">
        <v>2024.0</v>
      </c>
      <c r="C1544" t="s">
        <v>318</v>
      </c>
      <c r="D1544" t="s">
        <v>316</v>
      </c>
      <c r="E1544" t="s">
        <v>209</v>
      </c>
      <c r="F1544" t="s">
        <v>304</v>
      </c>
      <c r="G1544" t="s">
        <v>9</v>
      </c>
      <c r="H1544">
        <v>2116.0</v>
      </c>
      <c r="I1544" t="s">
        <v>31</v>
      </c>
      <c r="J1544" t="s">
        <v>81</v>
      </c>
      <c r="K1544" t="s">
        <v>57</v>
      </c>
      <c r="L1544" t="s">
        <v>58</v>
      </c>
      <c r="M1544">
        <v>71.5</v>
      </c>
    </row>
    <row r="1545">
      <c r="A1545" s="2">
        <v>45870</v>
      </c>
      <c r="B1545">
        <v>2026.0</v>
      </c>
      <c r="C1545" t="s">
        <v>321</v>
      </c>
      <c r="D1545" t="s">
        <v>316</v>
      </c>
      <c r="E1545" t="s">
        <v>179</v>
      </c>
      <c r="F1545" t="s">
        <v>304</v>
      </c>
      <c r="G1545" t="s">
        <v>9</v>
      </c>
      <c r="H1545">
        <v>2015.0</v>
      </c>
      <c r="I1545" t="s">
        <v>31</v>
      </c>
      <c r="J1545" t="s">
        <v>99</v>
      </c>
      <c r="K1545" t="s">
        <v>123</v>
      </c>
      <c r="L1545" t="s">
        <v>124</v>
      </c>
      <c r="M1545">
        <v>71.71</v>
      </c>
    </row>
    <row r="1546">
      <c r="A1546" s="2">
        <v>45923</v>
      </c>
      <c r="B1546">
        <v>2026.0</v>
      </c>
      <c r="C1546" t="s">
        <v>321</v>
      </c>
      <c r="D1546" t="s">
        <v>316</v>
      </c>
      <c r="E1546" t="s">
        <v>129</v>
      </c>
      <c r="F1546" t="s">
        <v>305</v>
      </c>
      <c r="G1546" t="s">
        <v>10</v>
      </c>
      <c r="H1546">
        <v>3066.0</v>
      </c>
      <c r="I1546" t="s">
        <v>31</v>
      </c>
      <c r="J1546" t="s">
        <v>120</v>
      </c>
      <c r="K1546" t="s">
        <v>43</v>
      </c>
      <c r="L1546" t="s">
        <v>44</v>
      </c>
      <c r="M1546">
        <v>71.76</v>
      </c>
    </row>
    <row r="1547">
      <c r="A1547" s="2">
        <v>45863</v>
      </c>
      <c r="B1547">
        <v>2026.0</v>
      </c>
      <c r="C1547" t="s">
        <v>321</v>
      </c>
      <c r="D1547" t="s">
        <v>319</v>
      </c>
      <c r="E1547" t="s">
        <v>173</v>
      </c>
      <c r="F1547" t="s">
        <v>306</v>
      </c>
      <c r="G1547" t="s">
        <v>11</v>
      </c>
      <c r="H1547">
        <v>4220.0</v>
      </c>
      <c r="I1547" t="s">
        <v>31</v>
      </c>
      <c r="J1547" t="s">
        <v>61</v>
      </c>
      <c r="K1547" t="s">
        <v>95</v>
      </c>
      <c r="L1547" t="s">
        <v>96</v>
      </c>
      <c r="M1547">
        <v>71.82</v>
      </c>
    </row>
    <row r="1548">
      <c r="A1548" s="2">
        <v>45530</v>
      </c>
      <c r="B1548">
        <v>2025.0</v>
      </c>
      <c r="C1548" t="s">
        <v>315</v>
      </c>
      <c r="D1548" t="s">
        <v>316</v>
      </c>
      <c r="E1548" t="s">
        <v>246</v>
      </c>
      <c r="F1548" t="s">
        <v>305</v>
      </c>
      <c r="G1548" t="s">
        <v>10</v>
      </c>
      <c r="H1548">
        <v>3551.0</v>
      </c>
      <c r="I1548" t="s">
        <v>31</v>
      </c>
      <c r="J1548" t="s">
        <v>37</v>
      </c>
      <c r="K1548" t="s">
        <v>95</v>
      </c>
      <c r="L1548" t="s">
        <v>96</v>
      </c>
      <c r="M1548">
        <v>71.86</v>
      </c>
    </row>
    <row r="1549">
      <c r="A1549" s="2">
        <v>45616</v>
      </c>
      <c r="B1549">
        <v>2025.0</v>
      </c>
      <c r="C1549" t="s">
        <v>315</v>
      </c>
      <c r="D1549" t="s">
        <v>319</v>
      </c>
      <c r="E1549" t="s">
        <v>79</v>
      </c>
      <c r="F1549" t="s">
        <v>304</v>
      </c>
      <c r="G1549" t="s">
        <v>9</v>
      </c>
      <c r="H1549">
        <v>2141.0</v>
      </c>
      <c r="I1549" t="s">
        <v>31</v>
      </c>
      <c r="J1549" t="s">
        <v>81</v>
      </c>
      <c r="K1549" t="s">
        <v>38</v>
      </c>
      <c r="L1549" t="s">
        <v>39</v>
      </c>
      <c r="M1549">
        <v>71.88</v>
      </c>
    </row>
    <row r="1550">
      <c r="A1550" s="2">
        <v>45894</v>
      </c>
      <c r="B1550">
        <v>2026.0</v>
      </c>
      <c r="C1550" t="s">
        <v>321</v>
      </c>
      <c r="D1550" t="s">
        <v>319</v>
      </c>
      <c r="E1550" t="s">
        <v>211</v>
      </c>
      <c r="F1550" t="s">
        <v>304</v>
      </c>
      <c r="G1550" t="s">
        <v>9</v>
      </c>
      <c r="H1550">
        <v>2650.0</v>
      </c>
      <c r="I1550" t="s">
        <v>31</v>
      </c>
      <c r="J1550" t="s">
        <v>75</v>
      </c>
      <c r="K1550" t="s">
        <v>33</v>
      </c>
      <c r="L1550" t="s">
        <v>34</v>
      </c>
      <c r="M1550">
        <v>71.88</v>
      </c>
    </row>
    <row r="1551">
      <c r="A1551" s="2">
        <v>45806</v>
      </c>
      <c r="B1551">
        <v>2025.0</v>
      </c>
      <c r="C1551" t="s">
        <v>315</v>
      </c>
      <c r="D1551" t="s">
        <v>316</v>
      </c>
      <c r="E1551" t="s">
        <v>59</v>
      </c>
      <c r="F1551" t="s">
        <v>306</v>
      </c>
      <c r="G1551" t="s">
        <v>11</v>
      </c>
      <c r="H1551">
        <v>4509.0</v>
      </c>
      <c r="I1551" t="s">
        <v>31</v>
      </c>
      <c r="J1551" t="s">
        <v>61</v>
      </c>
      <c r="K1551" t="s">
        <v>57</v>
      </c>
      <c r="L1551" t="s">
        <v>58</v>
      </c>
      <c r="M1551">
        <v>71.91</v>
      </c>
    </row>
    <row r="1552">
      <c r="A1552" s="2">
        <v>45323</v>
      </c>
      <c r="B1552">
        <v>2024.0</v>
      </c>
      <c r="C1552" t="s">
        <v>318</v>
      </c>
      <c r="D1552" t="s">
        <v>316</v>
      </c>
      <c r="E1552" t="s">
        <v>35</v>
      </c>
      <c r="F1552" t="s">
        <v>305</v>
      </c>
      <c r="G1552" t="s">
        <v>10</v>
      </c>
      <c r="H1552">
        <v>3280.0</v>
      </c>
      <c r="I1552" t="s">
        <v>31</v>
      </c>
      <c r="J1552" t="s">
        <v>37</v>
      </c>
      <c r="K1552" t="s">
        <v>71</v>
      </c>
      <c r="L1552" t="s">
        <v>72</v>
      </c>
      <c r="M1552">
        <v>72.84</v>
      </c>
    </row>
    <row r="1553">
      <c r="A1553" s="2">
        <v>45488</v>
      </c>
      <c r="B1553">
        <v>2025.0</v>
      </c>
      <c r="C1553" t="s">
        <v>315</v>
      </c>
      <c r="D1553" t="s">
        <v>319</v>
      </c>
      <c r="E1553" t="s">
        <v>103</v>
      </c>
      <c r="F1553" t="s">
        <v>307</v>
      </c>
      <c r="G1553" t="s">
        <v>12</v>
      </c>
      <c r="H1553">
        <v>6021.0</v>
      </c>
      <c r="I1553" t="s">
        <v>31</v>
      </c>
      <c r="J1553" t="s">
        <v>102</v>
      </c>
      <c r="K1553" t="s">
        <v>71</v>
      </c>
      <c r="L1553" t="s">
        <v>72</v>
      </c>
      <c r="M1553">
        <v>72.9</v>
      </c>
    </row>
    <row r="1554">
      <c r="A1554" s="2">
        <v>45790</v>
      </c>
      <c r="B1554">
        <v>2025.0</v>
      </c>
      <c r="C1554" t="s">
        <v>315</v>
      </c>
      <c r="D1554" t="s">
        <v>319</v>
      </c>
      <c r="E1554" t="s">
        <v>133</v>
      </c>
      <c r="F1554" t="s">
        <v>305</v>
      </c>
      <c r="G1554" t="s">
        <v>10</v>
      </c>
      <c r="H1554">
        <v>3429.0</v>
      </c>
      <c r="I1554" t="s">
        <v>31</v>
      </c>
      <c r="J1554" t="s">
        <v>37</v>
      </c>
      <c r="K1554" t="s">
        <v>43</v>
      </c>
      <c r="L1554" t="s">
        <v>44</v>
      </c>
      <c r="M1554">
        <v>72.94</v>
      </c>
    </row>
    <row r="1555">
      <c r="A1555" s="2">
        <v>45854</v>
      </c>
      <c r="B1555">
        <v>2026.0</v>
      </c>
      <c r="C1555" t="s">
        <v>321</v>
      </c>
      <c r="D1555" t="s">
        <v>316</v>
      </c>
      <c r="E1555" t="s">
        <v>143</v>
      </c>
      <c r="F1555" t="s">
        <v>309</v>
      </c>
      <c r="G1555" t="s">
        <v>14</v>
      </c>
      <c r="H1555">
        <v>800.0</v>
      </c>
      <c r="I1555" t="s">
        <v>31</v>
      </c>
      <c r="J1555" t="s">
        <v>145</v>
      </c>
      <c r="K1555" t="s">
        <v>43</v>
      </c>
      <c r="L1555" t="s">
        <v>44</v>
      </c>
      <c r="M1555">
        <v>73.12</v>
      </c>
    </row>
    <row r="1556">
      <c r="A1556" s="2">
        <v>45422</v>
      </c>
      <c r="B1556">
        <v>2024.0</v>
      </c>
      <c r="C1556" t="s">
        <v>318</v>
      </c>
      <c r="D1556" t="s">
        <v>316</v>
      </c>
      <c r="E1556" t="s">
        <v>219</v>
      </c>
      <c r="F1556" t="s">
        <v>306</v>
      </c>
      <c r="G1556" t="s">
        <v>11</v>
      </c>
      <c r="H1556">
        <v>4068.0</v>
      </c>
      <c r="I1556" t="s">
        <v>31</v>
      </c>
      <c r="J1556" t="s">
        <v>56</v>
      </c>
      <c r="K1556" t="s">
        <v>38</v>
      </c>
      <c r="L1556" t="s">
        <v>39</v>
      </c>
      <c r="M1556">
        <v>73.22</v>
      </c>
    </row>
    <row r="1557">
      <c r="A1557" s="2">
        <v>45407</v>
      </c>
      <c r="B1557">
        <v>2024.0</v>
      </c>
      <c r="C1557" t="s">
        <v>318</v>
      </c>
      <c r="D1557" t="s">
        <v>316</v>
      </c>
      <c r="E1557" t="s">
        <v>177</v>
      </c>
      <c r="F1557" t="s">
        <v>307</v>
      </c>
      <c r="G1557" t="s">
        <v>12</v>
      </c>
      <c r="H1557">
        <v>6330.0</v>
      </c>
      <c r="I1557" t="s">
        <v>31</v>
      </c>
      <c r="J1557" t="s">
        <v>162</v>
      </c>
      <c r="K1557" t="s">
        <v>43</v>
      </c>
      <c r="L1557" t="s">
        <v>44</v>
      </c>
      <c r="M1557">
        <v>73.49000000000001</v>
      </c>
    </row>
    <row r="1558">
      <c r="A1558" s="2">
        <v>45507</v>
      </c>
      <c r="B1558">
        <v>2025.0</v>
      </c>
      <c r="C1558" t="s">
        <v>315</v>
      </c>
      <c r="D1558" t="s">
        <v>316</v>
      </c>
      <c r="E1558" t="s">
        <v>244</v>
      </c>
      <c r="F1558" t="s">
        <v>308</v>
      </c>
      <c r="G1558" t="s">
        <v>13</v>
      </c>
      <c r="H1558">
        <v>5168.0</v>
      </c>
      <c r="I1558" t="s">
        <v>31</v>
      </c>
      <c r="J1558" t="s">
        <v>42</v>
      </c>
      <c r="K1558" t="s">
        <v>43</v>
      </c>
      <c r="L1558" t="s">
        <v>44</v>
      </c>
      <c r="M1558">
        <v>73.5</v>
      </c>
    </row>
    <row r="1559">
      <c r="A1559" s="2">
        <v>45563</v>
      </c>
      <c r="B1559">
        <v>2025.0</v>
      </c>
      <c r="C1559" t="s">
        <v>315</v>
      </c>
      <c r="D1559" t="s">
        <v>319</v>
      </c>
      <c r="E1559" t="s">
        <v>201</v>
      </c>
      <c r="F1559" t="s">
        <v>305</v>
      </c>
      <c r="G1559" t="s">
        <v>10</v>
      </c>
      <c r="H1559">
        <v>3131.0</v>
      </c>
      <c r="I1559" t="s">
        <v>31</v>
      </c>
      <c r="J1559" t="s">
        <v>89</v>
      </c>
      <c r="K1559" t="s">
        <v>123</v>
      </c>
      <c r="L1559" t="s">
        <v>124</v>
      </c>
      <c r="M1559">
        <v>73.59</v>
      </c>
    </row>
    <row r="1560">
      <c r="A1560" s="2">
        <v>45770</v>
      </c>
      <c r="B1560">
        <v>2025.0</v>
      </c>
      <c r="C1560" t="s">
        <v>315</v>
      </c>
      <c r="D1560" t="s">
        <v>319</v>
      </c>
      <c r="E1560" t="s">
        <v>79</v>
      </c>
      <c r="F1560" t="s">
        <v>304</v>
      </c>
      <c r="G1560" t="s">
        <v>9</v>
      </c>
      <c r="H1560">
        <v>2141.0</v>
      </c>
      <c r="I1560" t="s">
        <v>31</v>
      </c>
      <c r="J1560" t="s">
        <v>81</v>
      </c>
      <c r="K1560" t="s">
        <v>112</v>
      </c>
      <c r="L1560" t="s">
        <v>113</v>
      </c>
      <c r="M1560">
        <v>73.83000000000001</v>
      </c>
    </row>
    <row r="1561">
      <c r="A1561" s="2">
        <v>45397</v>
      </c>
      <c r="B1561">
        <v>2024.0</v>
      </c>
      <c r="C1561" t="s">
        <v>318</v>
      </c>
      <c r="D1561" t="s">
        <v>319</v>
      </c>
      <c r="E1561" t="s">
        <v>82</v>
      </c>
      <c r="F1561" t="s">
        <v>306</v>
      </c>
      <c r="G1561" t="s">
        <v>11</v>
      </c>
      <c r="H1561">
        <v>4558.0</v>
      </c>
      <c r="I1561" t="s">
        <v>31</v>
      </c>
      <c r="J1561" t="s">
        <v>84</v>
      </c>
      <c r="K1561" t="s">
        <v>66</v>
      </c>
      <c r="L1561" t="s">
        <v>67</v>
      </c>
      <c r="M1561">
        <v>73.89</v>
      </c>
    </row>
    <row r="1562">
      <c r="A1562" s="2">
        <v>45962</v>
      </c>
      <c r="B1562">
        <v>2026.0</v>
      </c>
      <c r="C1562" t="s">
        <v>321</v>
      </c>
      <c r="D1562" t="s">
        <v>316</v>
      </c>
      <c r="E1562" t="s">
        <v>165</v>
      </c>
      <c r="F1562" t="s">
        <v>304</v>
      </c>
      <c r="G1562" t="s">
        <v>9</v>
      </c>
      <c r="H1562">
        <v>2064.0</v>
      </c>
      <c r="I1562" t="s">
        <v>31</v>
      </c>
      <c r="J1562" t="s">
        <v>99</v>
      </c>
      <c r="K1562" t="s">
        <v>71</v>
      </c>
      <c r="L1562" t="s">
        <v>72</v>
      </c>
      <c r="M1562">
        <v>73.93</v>
      </c>
    </row>
    <row r="1563">
      <c r="A1563" s="2">
        <v>45989</v>
      </c>
      <c r="B1563">
        <v>2026.0</v>
      </c>
      <c r="C1563" t="s">
        <v>321</v>
      </c>
      <c r="D1563" t="s">
        <v>319</v>
      </c>
      <c r="E1563" t="s">
        <v>244</v>
      </c>
      <c r="F1563" t="s">
        <v>308</v>
      </c>
      <c r="G1563" t="s">
        <v>13</v>
      </c>
      <c r="H1563">
        <v>5168.0</v>
      </c>
      <c r="I1563" t="s">
        <v>31</v>
      </c>
      <c r="J1563" t="s">
        <v>42</v>
      </c>
      <c r="K1563" t="s">
        <v>43</v>
      </c>
      <c r="L1563" t="s">
        <v>44</v>
      </c>
      <c r="M1563">
        <v>74.0</v>
      </c>
    </row>
    <row r="1564">
      <c r="A1564" s="2">
        <v>45973</v>
      </c>
      <c r="B1564">
        <v>2026.0</v>
      </c>
      <c r="C1564" t="s">
        <v>321</v>
      </c>
      <c r="D1564" t="s">
        <v>316</v>
      </c>
      <c r="E1564" t="s">
        <v>64</v>
      </c>
      <c r="F1564" t="s">
        <v>306</v>
      </c>
      <c r="G1564" t="s">
        <v>11</v>
      </c>
      <c r="H1564">
        <v>4215.0</v>
      </c>
      <c r="I1564" t="s">
        <v>31</v>
      </c>
      <c r="J1564" t="s">
        <v>61</v>
      </c>
      <c r="K1564" t="s">
        <v>123</v>
      </c>
      <c r="L1564" t="s">
        <v>124</v>
      </c>
      <c r="M1564">
        <v>74.16</v>
      </c>
    </row>
    <row r="1565">
      <c r="A1565" s="2">
        <v>45660</v>
      </c>
      <c r="B1565">
        <v>2025.0</v>
      </c>
      <c r="C1565" t="s">
        <v>315</v>
      </c>
      <c r="D1565" t="s">
        <v>319</v>
      </c>
      <c r="E1565" t="s">
        <v>82</v>
      </c>
      <c r="F1565" t="s">
        <v>306</v>
      </c>
      <c r="G1565" t="s">
        <v>11</v>
      </c>
      <c r="H1565">
        <v>4558.0</v>
      </c>
      <c r="I1565" t="s">
        <v>31</v>
      </c>
      <c r="J1565" t="s">
        <v>84</v>
      </c>
      <c r="K1565" t="s">
        <v>66</v>
      </c>
      <c r="L1565" t="s">
        <v>67</v>
      </c>
      <c r="M1565">
        <v>74.16999999999999</v>
      </c>
    </row>
    <row r="1566">
      <c r="A1566" s="2">
        <v>45376</v>
      </c>
      <c r="B1566">
        <v>2024.0</v>
      </c>
      <c r="C1566" t="s">
        <v>318</v>
      </c>
      <c r="D1566" t="s">
        <v>316</v>
      </c>
      <c r="E1566" t="s">
        <v>195</v>
      </c>
      <c r="F1566" t="s">
        <v>306</v>
      </c>
      <c r="G1566" t="s">
        <v>11</v>
      </c>
      <c r="H1566">
        <v>4700.0</v>
      </c>
      <c r="I1566" t="s">
        <v>31</v>
      </c>
      <c r="J1566" t="s">
        <v>32</v>
      </c>
      <c r="K1566" t="s">
        <v>112</v>
      </c>
      <c r="L1566" t="s">
        <v>113</v>
      </c>
      <c r="M1566">
        <v>74.34</v>
      </c>
    </row>
    <row r="1567">
      <c r="A1567" s="2">
        <v>45804</v>
      </c>
      <c r="B1567">
        <v>2025.0</v>
      </c>
      <c r="C1567" t="s">
        <v>315</v>
      </c>
      <c r="D1567" t="s">
        <v>319</v>
      </c>
      <c r="E1567" t="s">
        <v>150</v>
      </c>
      <c r="F1567" t="s">
        <v>310</v>
      </c>
      <c r="G1567" t="s">
        <v>15</v>
      </c>
      <c r="H1567">
        <v>7250.0</v>
      </c>
      <c r="I1567" t="s">
        <v>31</v>
      </c>
      <c r="J1567" t="s">
        <v>53</v>
      </c>
      <c r="K1567" t="s">
        <v>38</v>
      </c>
      <c r="L1567" t="s">
        <v>39</v>
      </c>
      <c r="M1567">
        <v>74.5</v>
      </c>
    </row>
    <row r="1568">
      <c r="A1568" s="2">
        <v>45919</v>
      </c>
      <c r="B1568">
        <v>2026.0</v>
      </c>
      <c r="C1568" t="s">
        <v>321</v>
      </c>
      <c r="D1568" t="s">
        <v>316</v>
      </c>
      <c r="E1568" t="s">
        <v>64</v>
      </c>
      <c r="F1568" t="s">
        <v>306</v>
      </c>
      <c r="G1568" t="s">
        <v>11</v>
      </c>
      <c r="H1568">
        <v>4215.0</v>
      </c>
      <c r="I1568" t="s">
        <v>31</v>
      </c>
      <c r="J1568" t="s">
        <v>61</v>
      </c>
      <c r="K1568" t="s">
        <v>112</v>
      </c>
      <c r="L1568" t="s">
        <v>113</v>
      </c>
      <c r="M1568">
        <v>74.75</v>
      </c>
    </row>
    <row r="1569">
      <c r="A1569" s="2">
        <v>45563</v>
      </c>
      <c r="B1569">
        <v>2025.0</v>
      </c>
      <c r="C1569" t="s">
        <v>315</v>
      </c>
      <c r="D1569" t="s">
        <v>316</v>
      </c>
      <c r="E1569" t="s">
        <v>199</v>
      </c>
      <c r="F1569" t="s">
        <v>308</v>
      </c>
      <c r="G1569" t="s">
        <v>13</v>
      </c>
      <c r="H1569">
        <v>5169.0</v>
      </c>
      <c r="I1569" t="s">
        <v>31</v>
      </c>
      <c r="J1569" t="s">
        <v>42</v>
      </c>
      <c r="K1569" t="s">
        <v>38</v>
      </c>
      <c r="L1569" t="s">
        <v>39</v>
      </c>
      <c r="M1569">
        <v>74.78999999999999</v>
      </c>
    </row>
    <row r="1570">
      <c r="A1570" s="2">
        <v>45914</v>
      </c>
      <c r="B1570">
        <v>2026.0</v>
      </c>
      <c r="C1570" t="s">
        <v>321</v>
      </c>
      <c r="D1570" t="s">
        <v>316</v>
      </c>
      <c r="E1570" t="s">
        <v>250</v>
      </c>
      <c r="F1570" t="s">
        <v>305</v>
      </c>
      <c r="G1570" t="s">
        <v>10</v>
      </c>
      <c r="H1570">
        <v>3550.0</v>
      </c>
      <c r="I1570" t="s">
        <v>31</v>
      </c>
      <c r="J1570" t="s">
        <v>37</v>
      </c>
      <c r="K1570" t="s">
        <v>112</v>
      </c>
      <c r="L1570" t="s">
        <v>113</v>
      </c>
      <c r="M1570">
        <v>74.86</v>
      </c>
    </row>
    <row r="1571">
      <c r="A1571" s="2">
        <v>45313</v>
      </c>
      <c r="B1571">
        <v>2024.0</v>
      </c>
      <c r="C1571" t="s">
        <v>318</v>
      </c>
      <c r="D1571" t="s">
        <v>316</v>
      </c>
      <c r="E1571" t="s">
        <v>154</v>
      </c>
      <c r="F1571" t="s">
        <v>306</v>
      </c>
      <c r="G1571" t="s">
        <v>11</v>
      </c>
      <c r="H1571">
        <v>4551.0</v>
      </c>
      <c r="I1571" t="s">
        <v>31</v>
      </c>
      <c r="J1571" t="s">
        <v>84</v>
      </c>
      <c r="K1571" t="s">
        <v>95</v>
      </c>
      <c r="L1571" t="s">
        <v>96</v>
      </c>
      <c r="M1571">
        <v>74.88</v>
      </c>
    </row>
    <row r="1572">
      <c r="A1572" s="2">
        <v>45605</v>
      </c>
      <c r="B1572">
        <v>2025.0</v>
      </c>
      <c r="C1572" t="s">
        <v>315</v>
      </c>
      <c r="D1572" t="s">
        <v>316</v>
      </c>
      <c r="E1572" t="s">
        <v>203</v>
      </c>
      <c r="F1572" t="s">
        <v>305</v>
      </c>
      <c r="G1572" t="s">
        <v>10</v>
      </c>
      <c r="H1572">
        <v>3175.0</v>
      </c>
      <c r="I1572" t="s">
        <v>31</v>
      </c>
      <c r="J1572" t="s">
        <v>89</v>
      </c>
      <c r="K1572" t="s">
        <v>43</v>
      </c>
      <c r="L1572" t="s">
        <v>44</v>
      </c>
      <c r="M1572">
        <v>74.91</v>
      </c>
    </row>
    <row r="1573">
      <c r="A1573" s="2">
        <v>45879</v>
      </c>
      <c r="B1573">
        <v>2026.0</v>
      </c>
      <c r="C1573" t="s">
        <v>321</v>
      </c>
      <c r="D1573" t="s">
        <v>316</v>
      </c>
      <c r="E1573" t="s">
        <v>59</v>
      </c>
      <c r="F1573" t="s">
        <v>306</v>
      </c>
      <c r="G1573" t="s">
        <v>11</v>
      </c>
      <c r="H1573">
        <v>4509.0</v>
      </c>
      <c r="I1573" t="s">
        <v>31</v>
      </c>
      <c r="J1573" t="s">
        <v>61</v>
      </c>
      <c r="K1573" t="s">
        <v>43</v>
      </c>
      <c r="L1573" t="s">
        <v>44</v>
      </c>
      <c r="M1573">
        <v>74.91000000000001</v>
      </c>
    </row>
    <row r="1574">
      <c r="A1574" s="2">
        <v>45904</v>
      </c>
      <c r="B1574">
        <v>2026.0</v>
      </c>
      <c r="C1574" t="s">
        <v>321</v>
      </c>
      <c r="D1574" t="s">
        <v>316</v>
      </c>
      <c r="E1574" t="s">
        <v>199</v>
      </c>
      <c r="F1574" t="s">
        <v>308</v>
      </c>
      <c r="G1574" t="s">
        <v>13</v>
      </c>
      <c r="H1574">
        <v>5169.0</v>
      </c>
      <c r="I1574" t="s">
        <v>31</v>
      </c>
      <c r="J1574" t="s">
        <v>42</v>
      </c>
      <c r="K1574" t="s">
        <v>43</v>
      </c>
      <c r="L1574" t="s">
        <v>44</v>
      </c>
      <c r="M1574">
        <v>74.93</v>
      </c>
    </row>
    <row r="1575">
      <c r="A1575" s="2">
        <v>45915</v>
      </c>
      <c r="B1575">
        <v>2026.0</v>
      </c>
      <c r="C1575" t="s">
        <v>321</v>
      </c>
      <c r="D1575" t="s">
        <v>316</v>
      </c>
      <c r="E1575" t="s">
        <v>127</v>
      </c>
      <c r="F1575" t="s">
        <v>306</v>
      </c>
      <c r="G1575" t="s">
        <v>11</v>
      </c>
      <c r="H1575">
        <v>4802.0</v>
      </c>
      <c r="I1575" t="s">
        <v>31</v>
      </c>
      <c r="J1575" t="s">
        <v>78</v>
      </c>
      <c r="K1575" t="s">
        <v>71</v>
      </c>
      <c r="L1575" t="s">
        <v>72</v>
      </c>
      <c r="M1575">
        <v>74.95</v>
      </c>
    </row>
    <row r="1576">
      <c r="A1576" s="2">
        <v>45674</v>
      </c>
      <c r="B1576">
        <v>2025.0</v>
      </c>
      <c r="C1576" t="s">
        <v>315</v>
      </c>
      <c r="D1576" t="s">
        <v>319</v>
      </c>
      <c r="E1576" t="s">
        <v>68</v>
      </c>
      <c r="F1576" t="s">
        <v>304</v>
      </c>
      <c r="G1576" t="s">
        <v>9</v>
      </c>
      <c r="H1576">
        <v>2478.0</v>
      </c>
      <c r="I1576" t="s">
        <v>31</v>
      </c>
      <c r="J1576" t="s">
        <v>70</v>
      </c>
      <c r="K1576" t="s">
        <v>123</v>
      </c>
      <c r="L1576" t="s">
        <v>124</v>
      </c>
      <c r="M1576">
        <v>74.95</v>
      </c>
    </row>
    <row r="1577">
      <c r="A1577" s="2">
        <v>45318</v>
      </c>
      <c r="B1577">
        <v>2024.0</v>
      </c>
      <c r="C1577" t="s">
        <v>318</v>
      </c>
      <c r="D1577" t="s">
        <v>316</v>
      </c>
      <c r="E1577" t="s">
        <v>217</v>
      </c>
      <c r="F1577" t="s">
        <v>305</v>
      </c>
      <c r="G1577" t="s">
        <v>10</v>
      </c>
      <c r="H1577">
        <v>3136.0</v>
      </c>
      <c r="I1577" t="s">
        <v>31</v>
      </c>
      <c r="J1577" t="s">
        <v>89</v>
      </c>
      <c r="K1577" t="s">
        <v>43</v>
      </c>
      <c r="L1577" t="s">
        <v>44</v>
      </c>
      <c r="M1577">
        <v>74.95</v>
      </c>
    </row>
    <row r="1578">
      <c r="A1578" s="2">
        <v>45710</v>
      </c>
      <c r="B1578">
        <v>2025.0</v>
      </c>
      <c r="C1578" t="s">
        <v>315</v>
      </c>
      <c r="D1578" t="s">
        <v>316</v>
      </c>
      <c r="E1578" t="s">
        <v>254</v>
      </c>
      <c r="F1578" t="s">
        <v>308</v>
      </c>
      <c r="G1578" t="s">
        <v>13</v>
      </c>
      <c r="H1578">
        <v>5343.0</v>
      </c>
      <c r="I1578" t="s">
        <v>31</v>
      </c>
      <c r="J1578" t="s">
        <v>227</v>
      </c>
      <c r="K1578" t="s">
        <v>38</v>
      </c>
      <c r="L1578" t="s">
        <v>39</v>
      </c>
      <c r="M1578">
        <v>75.05</v>
      </c>
    </row>
    <row r="1579">
      <c r="A1579" s="2">
        <v>45426</v>
      </c>
      <c r="B1579">
        <v>2024.0</v>
      </c>
      <c r="C1579" t="s">
        <v>318</v>
      </c>
      <c r="D1579" t="s">
        <v>319</v>
      </c>
      <c r="E1579" t="s">
        <v>158</v>
      </c>
      <c r="F1579" t="s">
        <v>306</v>
      </c>
      <c r="G1579" t="s">
        <v>11</v>
      </c>
      <c r="H1579">
        <v>4570.0</v>
      </c>
      <c r="I1579" t="s">
        <v>31</v>
      </c>
      <c r="J1579" t="s">
        <v>84</v>
      </c>
      <c r="K1579" t="s">
        <v>71</v>
      </c>
      <c r="L1579" t="s">
        <v>72</v>
      </c>
      <c r="M1579">
        <v>75.41</v>
      </c>
    </row>
    <row r="1580">
      <c r="A1580" s="2">
        <v>45515</v>
      </c>
      <c r="B1580">
        <v>2025.0</v>
      </c>
      <c r="C1580" t="s">
        <v>315</v>
      </c>
      <c r="D1580" t="s">
        <v>316</v>
      </c>
      <c r="E1580" t="s">
        <v>90</v>
      </c>
      <c r="F1580" t="s">
        <v>305</v>
      </c>
      <c r="G1580" t="s">
        <v>10</v>
      </c>
      <c r="H1580">
        <v>3353.0</v>
      </c>
      <c r="I1580" t="s">
        <v>31</v>
      </c>
      <c r="J1580" t="s">
        <v>37</v>
      </c>
      <c r="K1580" t="s">
        <v>46</v>
      </c>
      <c r="L1580" t="s">
        <v>47</v>
      </c>
      <c r="M1580">
        <v>75.5</v>
      </c>
    </row>
    <row r="1581">
      <c r="A1581" s="2">
        <v>45769</v>
      </c>
      <c r="B1581">
        <v>2025.0</v>
      </c>
      <c r="C1581" t="s">
        <v>315</v>
      </c>
      <c r="D1581" t="s">
        <v>319</v>
      </c>
      <c r="E1581" t="s">
        <v>248</v>
      </c>
      <c r="F1581" t="s">
        <v>307</v>
      </c>
      <c r="G1581" t="s">
        <v>12</v>
      </c>
      <c r="H1581">
        <v>6112.0</v>
      </c>
      <c r="I1581" t="s">
        <v>31</v>
      </c>
      <c r="J1581" t="s">
        <v>162</v>
      </c>
      <c r="K1581" t="s">
        <v>71</v>
      </c>
      <c r="L1581" t="s">
        <v>72</v>
      </c>
      <c r="M1581">
        <v>75.89</v>
      </c>
    </row>
    <row r="1582">
      <c r="A1582" s="2">
        <v>45773</v>
      </c>
      <c r="B1582">
        <v>2025.0</v>
      </c>
      <c r="C1582" t="s">
        <v>315</v>
      </c>
      <c r="D1582" t="s">
        <v>316</v>
      </c>
      <c r="E1582" t="s">
        <v>242</v>
      </c>
      <c r="F1582" t="s">
        <v>305</v>
      </c>
      <c r="G1582" t="s">
        <v>10</v>
      </c>
      <c r="H1582">
        <v>3977.0</v>
      </c>
      <c r="I1582" t="s">
        <v>31</v>
      </c>
      <c r="J1582" t="s">
        <v>94</v>
      </c>
      <c r="K1582" t="s">
        <v>71</v>
      </c>
      <c r="L1582" t="s">
        <v>72</v>
      </c>
      <c r="M1582">
        <v>75.96</v>
      </c>
    </row>
    <row r="1583">
      <c r="A1583" s="2">
        <v>45798</v>
      </c>
      <c r="B1583">
        <v>2025.0</v>
      </c>
      <c r="C1583" t="s">
        <v>315</v>
      </c>
      <c r="D1583" t="s">
        <v>319</v>
      </c>
      <c r="E1583" t="s">
        <v>110</v>
      </c>
      <c r="F1583" t="s">
        <v>304</v>
      </c>
      <c r="G1583" t="s">
        <v>9</v>
      </c>
      <c r="H1583">
        <v>2101.0</v>
      </c>
      <c r="I1583" t="s">
        <v>31</v>
      </c>
      <c r="J1583" t="s">
        <v>81</v>
      </c>
      <c r="K1583" t="s">
        <v>95</v>
      </c>
      <c r="L1583" t="s">
        <v>96</v>
      </c>
      <c r="M1583">
        <v>75.96000000000001</v>
      </c>
    </row>
    <row r="1584">
      <c r="A1584" s="2">
        <v>45942</v>
      </c>
      <c r="B1584">
        <v>2026.0</v>
      </c>
      <c r="C1584" t="s">
        <v>321</v>
      </c>
      <c r="D1584" t="s">
        <v>319</v>
      </c>
      <c r="E1584" t="s">
        <v>260</v>
      </c>
      <c r="F1584" t="s">
        <v>305</v>
      </c>
      <c r="G1584" t="s">
        <v>10</v>
      </c>
      <c r="H1584">
        <v>3179.0</v>
      </c>
      <c r="I1584" t="s">
        <v>31</v>
      </c>
      <c r="J1584" t="s">
        <v>89</v>
      </c>
      <c r="K1584" t="s">
        <v>38</v>
      </c>
      <c r="L1584" t="s">
        <v>39</v>
      </c>
      <c r="M1584">
        <v>76.21000000000001</v>
      </c>
    </row>
    <row r="1585">
      <c r="A1585" s="2">
        <v>45502</v>
      </c>
      <c r="B1585">
        <v>2025.0</v>
      </c>
      <c r="C1585" t="s">
        <v>315</v>
      </c>
      <c r="D1585" t="s">
        <v>316</v>
      </c>
      <c r="E1585" t="s">
        <v>195</v>
      </c>
      <c r="F1585" t="s">
        <v>306</v>
      </c>
      <c r="G1585" t="s">
        <v>11</v>
      </c>
      <c r="H1585">
        <v>4700.0</v>
      </c>
      <c r="I1585" t="s">
        <v>31</v>
      </c>
      <c r="J1585" t="s">
        <v>32</v>
      </c>
      <c r="K1585" t="s">
        <v>123</v>
      </c>
      <c r="L1585" t="s">
        <v>124</v>
      </c>
      <c r="M1585">
        <v>76.66</v>
      </c>
    </row>
    <row r="1586">
      <c r="A1586" s="2">
        <v>45932</v>
      </c>
      <c r="B1586">
        <v>2026.0</v>
      </c>
      <c r="C1586" t="s">
        <v>321</v>
      </c>
      <c r="D1586" t="s">
        <v>316</v>
      </c>
      <c r="E1586" t="s">
        <v>148</v>
      </c>
      <c r="F1586" t="s">
        <v>307</v>
      </c>
      <c r="G1586" t="s">
        <v>12</v>
      </c>
      <c r="H1586">
        <v>6450.0</v>
      </c>
      <c r="I1586" t="s">
        <v>31</v>
      </c>
      <c r="J1586" t="s">
        <v>50</v>
      </c>
      <c r="K1586" t="s">
        <v>112</v>
      </c>
      <c r="L1586" t="s">
        <v>113</v>
      </c>
      <c r="M1586">
        <v>76.86999999999999</v>
      </c>
    </row>
    <row r="1587">
      <c r="A1587" s="2">
        <v>45744</v>
      </c>
      <c r="B1587">
        <v>2025.0</v>
      </c>
      <c r="C1587" t="s">
        <v>315</v>
      </c>
      <c r="D1587" t="s">
        <v>319</v>
      </c>
      <c r="E1587" t="s">
        <v>197</v>
      </c>
      <c r="F1587" t="s">
        <v>304</v>
      </c>
      <c r="G1587" t="s">
        <v>9</v>
      </c>
      <c r="H1587">
        <v>2560.0</v>
      </c>
      <c r="I1587" t="s">
        <v>31</v>
      </c>
      <c r="J1587" t="s">
        <v>107</v>
      </c>
      <c r="K1587" t="s">
        <v>38</v>
      </c>
      <c r="L1587" t="s">
        <v>39</v>
      </c>
      <c r="M1587">
        <v>76.88</v>
      </c>
    </row>
    <row r="1588">
      <c r="A1588" s="2">
        <v>45705</v>
      </c>
      <c r="B1588">
        <v>2025.0</v>
      </c>
      <c r="C1588" t="s">
        <v>315</v>
      </c>
      <c r="D1588" t="s">
        <v>316</v>
      </c>
      <c r="E1588" t="s">
        <v>73</v>
      </c>
      <c r="F1588" t="s">
        <v>304</v>
      </c>
      <c r="G1588" t="s">
        <v>9</v>
      </c>
      <c r="H1588">
        <v>2750.0</v>
      </c>
      <c r="I1588" t="s">
        <v>31</v>
      </c>
      <c r="J1588" t="s">
        <v>75</v>
      </c>
      <c r="K1588" t="s">
        <v>123</v>
      </c>
      <c r="L1588" t="s">
        <v>124</v>
      </c>
      <c r="M1588">
        <v>76.89999999999999</v>
      </c>
    </row>
    <row r="1589">
      <c r="A1589" s="2">
        <v>45328</v>
      </c>
      <c r="B1589">
        <v>2024.0</v>
      </c>
      <c r="C1589" t="s">
        <v>318</v>
      </c>
      <c r="D1589" t="s">
        <v>319</v>
      </c>
      <c r="E1589" t="s">
        <v>236</v>
      </c>
      <c r="F1589" t="s">
        <v>307</v>
      </c>
      <c r="G1589" t="s">
        <v>12</v>
      </c>
      <c r="H1589">
        <v>6052.0</v>
      </c>
      <c r="I1589" t="s">
        <v>31</v>
      </c>
      <c r="J1589" t="s">
        <v>102</v>
      </c>
      <c r="K1589" t="s">
        <v>43</v>
      </c>
      <c r="L1589" t="s">
        <v>44</v>
      </c>
      <c r="M1589">
        <v>76.92</v>
      </c>
    </row>
    <row r="1590">
      <c r="A1590" s="2">
        <v>45438</v>
      </c>
      <c r="B1590">
        <v>2024.0</v>
      </c>
      <c r="C1590" t="s">
        <v>318</v>
      </c>
      <c r="D1590" t="s">
        <v>319</v>
      </c>
      <c r="E1590" t="s">
        <v>110</v>
      </c>
      <c r="F1590" t="s">
        <v>304</v>
      </c>
      <c r="G1590" t="s">
        <v>9</v>
      </c>
      <c r="H1590">
        <v>2101.0</v>
      </c>
      <c r="I1590" t="s">
        <v>31</v>
      </c>
      <c r="J1590" t="s">
        <v>81</v>
      </c>
      <c r="K1590" t="s">
        <v>57</v>
      </c>
      <c r="L1590" t="s">
        <v>58</v>
      </c>
      <c r="M1590">
        <v>76.95</v>
      </c>
    </row>
    <row r="1591">
      <c r="A1591" s="2">
        <v>45606</v>
      </c>
      <c r="B1591">
        <v>2025.0</v>
      </c>
      <c r="C1591" t="s">
        <v>315</v>
      </c>
      <c r="D1591" t="s">
        <v>316</v>
      </c>
      <c r="E1591" t="s">
        <v>148</v>
      </c>
      <c r="F1591" t="s">
        <v>307</v>
      </c>
      <c r="G1591" t="s">
        <v>12</v>
      </c>
      <c r="H1591">
        <v>6450.0</v>
      </c>
      <c r="I1591" t="s">
        <v>31</v>
      </c>
      <c r="J1591" t="s">
        <v>50</v>
      </c>
      <c r="K1591" t="s">
        <v>43</v>
      </c>
      <c r="L1591" t="s">
        <v>44</v>
      </c>
      <c r="M1591">
        <v>77.0</v>
      </c>
    </row>
    <row r="1592">
      <c r="A1592" s="2">
        <v>45886</v>
      </c>
      <c r="B1592">
        <v>2026.0</v>
      </c>
      <c r="C1592" t="s">
        <v>321</v>
      </c>
      <c r="D1592" t="s">
        <v>316</v>
      </c>
      <c r="E1592" t="s">
        <v>154</v>
      </c>
      <c r="F1592" t="s">
        <v>306</v>
      </c>
      <c r="G1592" t="s">
        <v>11</v>
      </c>
      <c r="H1592">
        <v>4551.0</v>
      </c>
      <c r="I1592" t="s">
        <v>31</v>
      </c>
      <c r="J1592" t="s">
        <v>84</v>
      </c>
      <c r="K1592" t="s">
        <v>43</v>
      </c>
      <c r="L1592" t="s">
        <v>44</v>
      </c>
      <c r="M1592">
        <v>77.12</v>
      </c>
    </row>
    <row r="1593">
      <c r="A1593" s="2">
        <v>45801</v>
      </c>
      <c r="B1593">
        <v>2025.0</v>
      </c>
      <c r="C1593" t="s">
        <v>315</v>
      </c>
      <c r="D1593" t="s">
        <v>319</v>
      </c>
      <c r="E1593" t="s">
        <v>260</v>
      </c>
      <c r="F1593" t="s">
        <v>305</v>
      </c>
      <c r="G1593" t="s">
        <v>10</v>
      </c>
      <c r="H1593">
        <v>3179.0</v>
      </c>
      <c r="I1593" t="s">
        <v>31</v>
      </c>
      <c r="J1593" t="s">
        <v>89</v>
      </c>
      <c r="K1593" t="s">
        <v>112</v>
      </c>
      <c r="L1593" t="s">
        <v>113</v>
      </c>
      <c r="M1593">
        <v>77.14</v>
      </c>
    </row>
    <row r="1594">
      <c r="A1594" s="2">
        <v>45632</v>
      </c>
      <c r="B1594">
        <v>2025.0</v>
      </c>
      <c r="C1594" t="s">
        <v>315</v>
      </c>
      <c r="D1594" t="s">
        <v>316</v>
      </c>
      <c r="E1594" t="s">
        <v>54</v>
      </c>
      <c r="F1594" t="s">
        <v>306</v>
      </c>
      <c r="G1594" t="s">
        <v>11</v>
      </c>
      <c r="H1594">
        <v>4012.0</v>
      </c>
      <c r="I1594" t="s">
        <v>31</v>
      </c>
      <c r="J1594" t="s">
        <v>56</v>
      </c>
      <c r="K1594" t="s">
        <v>112</v>
      </c>
      <c r="L1594" t="s">
        <v>113</v>
      </c>
      <c r="M1594">
        <v>77.35000000000001</v>
      </c>
    </row>
    <row r="1595">
      <c r="A1595" s="2">
        <v>45913</v>
      </c>
      <c r="B1595">
        <v>2026.0</v>
      </c>
      <c r="C1595" t="s">
        <v>321</v>
      </c>
      <c r="D1595" t="s">
        <v>316</v>
      </c>
      <c r="E1595" t="s">
        <v>183</v>
      </c>
      <c r="F1595" t="s">
        <v>304</v>
      </c>
      <c r="G1595" t="s">
        <v>9</v>
      </c>
      <c r="H1595">
        <v>2480.0</v>
      </c>
      <c r="I1595" t="s">
        <v>31</v>
      </c>
      <c r="J1595" t="s">
        <v>70</v>
      </c>
      <c r="K1595" t="s">
        <v>38</v>
      </c>
      <c r="L1595" t="s">
        <v>39</v>
      </c>
      <c r="M1595">
        <v>77.87</v>
      </c>
    </row>
    <row r="1596">
      <c r="A1596" s="2">
        <v>45649</v>
      </c>
      <c r="B1596">
        <v>2025.0</v>
      </c>
      <c r="C1596" t="s">
        <v>315</v>
      </c>
      <c r="D1596" t="s">
        <v>319</v>
      </c>
      <c r="E1596" t="s">
        <v>146</v>
      </c>
      <c r="F1596" t="s">
        <v>304</v>
      </c>
      <c r="G1596" t="s">
        <v>9</v>
      </c>
      <c r="H1596">
        <v>2790.0</v>
      </c>
      <c r="I1596" t="s">
        <v>31</v>
      </c>
      <c r="J1596" t="s">
        <v>75</v>
      </c>
      <c r="K1596" t="s">
        <v>38</v>
      </c>
      <c r="L1596" t="s">
        <v>39</v>
      </c>
      <c r="M1596">
        <v>77.87</v>
      </c>
    </row>
    <row r="1597">
      <c r="A1597" s="2">
        <v>45832</v>
      </c>
      <c r="B1597">
        <v>2025.0</v>
      </c>
      <c r="C1597" t="s">
        <v>315</v>
      </c>
      <c r="D1597" t="s">
        <v>319</v>
      </c>
      <c r="E1597" t="s">
        <v>230</v>
      </c>
      <c r="F1597" t="s">
        <v>308</v>
      </c>
      <c r="G1597" t="s">
        <v>13</v>
      </c>
      <c r="H1597">
        <v>5290.0</v>
      </c>
      <c r="I1597" t="s">
        <v>31</v>
      </c>
      <c r="J1597" t="s">
        <v>227</v>
      </c>
      <c r="K1597" t="s">
        <v>57</v>
      </c>
      <c r="L1597" t="s">
        <v>58</v>
      </c>
      <c r="M1597">
        <v>77.87</v>
      </c>
    </row>
    <row r="1598">
      <c r="A1598" s="2">
        <v>45744</v>
      </c>
      <c r="B1598">
        <v>2025.0</v>
      </c>
      <c r="C1598" t="s">
        <v>315</v>
      </c>
      <c r="D1598" t="s">
        <v>319</v>
      </c>
      <c r="E1598" t="s">
        <v>201</v>
      </c>
      <c r="F1598" t="s">
        <v>305</v>
      </c>
      <c r="G1598" t="s">
        <v>10</v>
      </c>
      <c r="H1598">
        <v>3131.0</v>
      </c>
      <c r="I1598" t="s">
        <v>31</v>
      </c>
      <c r="J1598" t="s">
        <v>89</v>
      </c>
      <c r="K1598" t="s">
        <v>46</v>
      </c>
      <c r="L1598" t="s">
        <v>47</v>
      </c>
      <c r="M1598">
        <v>77.87</v>
      </c>
    </row>
    <row r="1599">
      <c r="A1599" s="2">
        <v>45517</v>
      </c>
      <c r="B1599">
        <v>2025.0</v>
      </c>
      <c r="C1599" t="s">
        <v>315</v>
      </c>
      <c r="D1599" t="s">
        <v>319</v>
      </c>
      <c r="E1599" t="s">
        <v>211</v>
      </c>
      <c r="F1599" t="s">
        <v>304</v>
      </c>
      <c r="G1599" t="s">
        <v>9</v>
      </c>
      <c r="H1599">
        <v>2650.0</v>
      </c>
      <c r="I1599" t="s">
        <v>31</v>
      </c>
      <c r="J1599" t="s">
        <v>75</v>
      </c>
      <c r="K1599" t="s">
        <v>46</v>
      </c>
      <c r="L1599" t="s">
        <v>47</v>
      </c>
      <c r="M1599">
        <v>77.87</v>
      </c>
    </row>
    <row r="1600">
      <c r="A1600" s="2">
        <v>45753</v>
      </c>
      <c r="B1600">
        <v>2025.0</v>
      </c>
      <c r="C1600" t="s">
        <v>315</v>
      </c>
      <c r="D1600" t="s">
        <v>316</v>
      </c>
      <c r="E1600" t="s">
        <v>137</v>
      </c>
      <c r="F1600" t="s">
        <v>305</v>
      </c>
      <c r="G1600" t="s">
        <v>10</v>
      </c>
      <c r="H1600">
        <v>3134.0</v>
      </c>
      <c r="I1600" t="s">
        <v>31</v>
      </c>
      <c r="J1600" t="s">
        <v>89</v>
      </c>
      <c r="K1600" t="s">
        <v>43</v>
      </c>
      <c r="L1600" t="s">
        <v>44</v>
      </c>
      <c r="M1600">
        <v>77.92</v>
      </c>
    </row>
    <row r="1601">
      <c r="A1601" s="2">
        <v>45533</v>
      </c>
      <c r="B1601">
        <v>2025.0</v>
      </c>
      <c r="C1601" t="s">
        <v>315</v>
      </c>
      <c r="D1601" t="s">
        <v>316</v>
      </c>
      <c r="E1601" t="s">
        <v>254</v>
      </c>
      <c r="F1601" t="s">
        <v>308</v>
      </c>
      <c r="G1601" t="s">
        <v>13</v>
      </c>
      <c r="H1601">
        <v>5343.0</v>
      </c>
      <c r="I1601" t="s">
        <v>31</v>
      </c>
      <c r="J1601" t="s">
        <v>227</v>
      </c>
      <c r="K1601" t="s">
        <v>46</v>
      </c>
      <c r="L1601" t="s">
        <v>47</v>
      </c>
      <c r="M1601">
        <v>77.94</v>
      </c>
    </row>
    <row r="1602">
      <c r="A1602" s="2">
        <v>45669</v>
      </c>
      <c r="B1602">
        <v>2025.0</v>
      </c>
      <c r="C1602" t="s">
        <v>315</v>
      </c>
      <c r="D1602" t="s">
        <v>319</v>
      </c>
      <c r="E1602" t="s">
        <v>197</v>
      </c>
      <c r="F1602" t="s">
        <v>304</v>
      </c>
      <c r="G1602" t="s">
        <v>9</v>
      </c>
      <c r="H1602">
        <v>2560.0</v>
      </c>
      <c r="I1602" t="s">
        <v>31</v>
      </c>
      <c r="J1602" t="s">
        <v>107</v>
      </c>
      <c r="K1602" t="s">
        <v>57</v>
      </c>
      <c r="L1602" t="s">
        <v>58</v>
      </c>
      <c r="M1602">
        <v>77.94</v>
      </c>
    </row>
    <row r="1603">
      <c r="A1603" s="2">
        <v>45855</v>
      </c>
      <c r="B1603">
        <v>2026.0</v>
      </c>
      <c r="C1603" t="s">
        <v>321</v>
      </c>
      <c r="D1603" t="s">
        <v>319</v>
      </c>
      <c r="E1603" t="s">
        <v>163</v>
      </c>
      <c r="F1603" t="s">
        <v>304</v>
      </c>
      <c r="G1603" t="s">
        <v>9</v>
      </c>
      <c r="H1603">
        <v>2154.0</v>
      </c>
      <c r="I1603" t="s">
        <v>31</v>
      </c>
      <c r="J1603" t="s">
        <v>81</v>
      </c>
      <c r="K1603" t="s">
        <v>57</v>
      </c>
      <c r="L1603" t="s">
        <v>58</v>
      </c>
      <c r="M1603">
        <v>77.94</v>
      </c>
    </row>
    <row r="1604">
      <c r="A1604" s="2">
        <v>45736</v>
      </c>
      <c r="B1604">
        <v>2025.0</v>
      </c>
      <c r="C1604" t="s">
        <v>315</v>
      </c>
      <c r="D1604" t="s">
        <v>316</v>
      </c>
      <c r="E1604" t="s">
        <v>240</v>
      </c>
      <c r="F1604" t="s">
        <v>310</v>
      </c>
      <c r="G1604" t="s">
        <v>15</v>
      </c>
      <c r="H1604">
        <v>7010.0</v>
      </c>
      <c r="I1604" t="s">
        <v>31</v>
      </c>
      <c r="J1604" t="s">
        <v>53</v>
      </c>
      <c r="K1604" t="s">
        <v>46</v>
      </c>
      <c r="L1604" t="s">
        <v>47</v>
      </c>
      <c r="M1604">
        <v>77.94</v>
      </c>
    </row>
    <row r="1605">
      <c r="A1605" s="2">
        <v>45566</v>
      </c>
      <c r="B1605">
        <v>2025.0</v>
      </c>
      <c r="C1605" t="s">
        <v>315</v>
      </c>
      <c r="D1605" t="s">
        <v>319</v>
      </c>
      <c r="E1605" t="s">
        <v>131</v>
      </c>
      <c r="F1605" t="s">
        <v>306</v>
      </c>
      <c r="G1605" t="s">
        <v>11</v>
      </c>
      <c r="H1605">
        <v>4655.0</v>
      </c>
      <c r="I1605" t="s">
        <v>31</v>
      </c>
      <c r="J1605" t="s">
        <v>32</v>
      </c>
      <c r="K1605" t="s">
        <v>46</v>
      </c>
      <c r="L1605" t="s">
        <v>47</v>
      </c>
      <c r="M1605">
        <v>77.94</v>
      </c>
    </row>
    <row r="1606">
      <c r="A1606" s="2">
        <v>45545</v>
      </c>
      <c r="B1606">
        <v>2025.0</v>
      </c>
      <c r="C1606" t="s">
        <v>315</v>
      </c>
      <c r="D1606" t="s">
        <v>319</v>
      </c>
      <c r="E1606" t="s">
        <v>133</v>
      </c>
      <c r="F1606" t="s">
        <v>305</v>
      </c>
      <c r="G1606" t="s">
        <v>10</v>
      </c>
      <c r="H1606">
        <v>3429.0</v>
      </c>
      <c r="I1606" t="s">
        <v>31</v>
      </c>
      <c r="J1606" t="s">
        <v>37</v>
      </c>
      <c r="K1606" t="s">
        <v>43</v>
      </c>
      <c r="L1606" t="s">
        <v>44</v>
      </c>
      <c r="M1606">
        <v>77.94</v>
      </c>
    </row>
    <row r="1607">
      <c r="A1607" s="2">
        <v>45834</v>
      </c>
      <c r="B1607">
        <v>2025.0</v>
      </c>
      <c r="C1607" t="s">
        <v>315</v>
      </c>
      <c r="D1607" t="s">
        <v>316</v>
      </c>
      <c r="E1607" t="s">
        <v>54</v>
      </c>
      <c r="F1607" t="s">
        <v>306</v>
      </c>
      <c r="G1607" t="s">
        <v>11</v>
      </c>
      <c r="H1607">
        <v>4012.0</v>
      </c>
      <c r="I1607" t="s">
        <v>31</v>
      </c>
      <c r="J1607" t="s">
        <v>56</v>
      </c>
      <c r="K1607" t="s">
        <v>46</v>
      </c>
      <c r="L1607" t="s">
        <v>47</v>
      </c>
      <c r="M1607">
        <v>77.94</v>
      </c>
    </row>
    <row r="1608">
      <c r="A1608" s="2">
        <v>45422</v>
      </c>
      <c r="B1608">
        <v>2024.0</v>
      </c>
      <c r="C1608" t="s">
        <v>318</v>
      </c>
      <c r="D1608" t="s">
        <v>316</v>
      </c>
      <c r="E1608" t="s">
        <v>92</v>
      </c>
      <c r="F1608" t="s">
        <v>305</v>
      </c>
      <c r="G1608" t="s">
        <v>10</v>
      </c>
      <c r="H1608">
        <v>3690.0</v>
      </c>
      <c r="I1608" t="s">
        <v>31</v>
      </c>
      <c r="J1608" t="s">
        <v>94</v>
      </c>
      <c r="K1608" t="s">
        <v>46</v>
      </c>
      <c r="L1608" t="s">
        <v>47</v>
      </c>
      <c r="M1608">
        <v>77.94</v>
      </c>
    </row>
    <row r="1609">
      <c r="A1609" s="2">
        <v>45375</v>
      </c>
      <c r="B1609">
        <v>2024.0</v>
      </c>
      <c r="C1609" t="s">
        <v>318</v>
      </c>
      <c r="D1609" t="s">
        <v>316</v>
      </c>
      <c r="E1609" t="s">
        <v>250</v>
      </c>
      <c r="F1609" t="s">
        <v>305</v>
      </c>
      <c r="G1609" t="s">
        <v>10</v>
      </c>
      <c r="H1609">
        <v>3550.0</v>
      </c>
      <c r="I1609" t="s">
        <v>31</v>
      </c>
      <c r="J1609" t="s">
        <v>37</v>
      </c>
      <c r="K1609" t="s">
        <v>123</v>
      </c>
      <c r="L1609" t="s">
        <v>124</v>
      </c>
      <c r="M1609">
        <v>78.62</v>
      </c>
    </row>
    <row r="1610">
      <c r="A1610" s="2">
        <v>45902</v>
      </c>
      <c r="B1610">
        <v>2026.0</v>
      </c>
      <c r="C1610" t="s">
        <v>321</v>
      </c>
      <c r="D1610" t="s">
        <v>319</v>
      </c>
      <c r="E1610" t="s">
        <v>207</v>
      </c>
      <c r="F1610" t="s">
        <v>306</v>
      </c>
      <c r="G1610" t="s">
        <v>11</v>
      </c>
      <c r="H1610">
        <v>4825.0</v>
      </c>
      <c r="I1610" t="s">
        <v>31</v>
      </c>
      <c r="J1610" t="s">
        <v>78</v>
      </c>
      <c r="K1610" t="s">
        <v>95</v>
      </c>
      <c r="L1610" t="s">
        <v>96</v>
      </c>
      <c r="M1610">
        <v>78.89</v>
      </c>
    </row>
    <row r="1611">
      <c r="A1611" s="2">
        <v>45614</v>
      </c>
      <c r="B1611">
        <v>2025.0</v>
      </c>
      <c r="C1611" t="s">
        <v>315</v>
      </c>
      <c r="D1611" t="s">
        <v>316</v>
      </c>
      <c r="E1611" t="s">
        <v>207</v>
      </c>
      <c r="F1611" t="s">
        <v>306</v>
      </c>
      <c r="G1611" t="s">
        <v>11</v>
      </c>
      <c r="H1611">
        <v>4825.0</v>
      </c>
      <c r="I1611" t="s">
        <v>31</v>
      </c>
      <c r="J1611" t="s">
        <v>78</v>
      </c>
      <c r="K1611" t="s">
        <v>43</v>
      </c>
      <c r="L1611" t="s">
        <v>44</v>
      </c>
      <c r="M1611">
        <v>78.97</v>
      </c>
    </row>
    <row r="1612">
      <c r="A1612" s="2">
        <v>45694</v>
      </c>
      <c r="B1612">
        <v>2025.0</v>
      </c>
      <c r="C1612" t="s">
        <v>315</v>
      </c>
      <c r="D1612" t="s">
        <v>319</v>
      </c>
      <c r="E1612" t="s">
        <v>252</v>
      </c>
      <c r="F1612" t="s">
        <v>305</v>
      </c>
      <c r="G1612" t="s">
        <v>10</v>
      </c>
      <c r="H1612">
        <v>3630.0</v>
      </c>
      <c r="I1612" t="s">
        <v>31</v>
      </c>
      <c r="J1612" t="s">
        <v>94</v>
      </c>
      <c r="K1612" t="s">
        <v>43</v>
      </c>
      <c r="L1612" t="s">
        <v>44</v>
      </c>
      <c r="M1612">
        <v>78.97</v>
      </c>
    </row>
    <row r="1613">
      <c r="A1613" s="2">
        <v>45881</v>
      </c>
      <c r="B1613">
        <v>2026.0</v>
      </c>
      <c r="C1613" t="s">
        <v>321</v>
      </c>
      <c r="D1613" t="s">
        <v>316</v>
      </c>
      <c r="E1613" t="s">
        <v>173</v>
      </c>
      <c r="F1613" t="s">
        <v>306</v>
      </c>
      <c r="G1613" t="s">
        <v>11</v>
      </c>
      <c r="H1613">
        <v>4220.0</v>
      </c>
      <c r="I1613" t="s">
        <v>31</v>
      </c>
      <c r="J1613" t="s">
        <v>61</v>
      </c>
      <c r="K1613" t="s">
        <v>46</v>
      </c>
      <c r="L1613" t="s">
        <v>47</v>
      </c>
      <c r="M1613">
        <v>79.0</v>
      </c>
    </row>
    <row r="1614">
      <c r="A1614" s="2">
        <v>45911</v>
      </c>
      <c r="B1614">
        <v>2026.0</v>
      </c>
      <c r="C1614" t="s">
        <v>321</v>
      </c>
      <c r="D1614" t="s">
        <v>316</v>
      </c>
      <c r="E1614" t="s">
        <v>177</v>
      </c>
      <c r="F1614" t="s">
        <v>307</v>
      </c>
      <c r="G1614" t="s">
        <v>12</v>
      </c>
      <c r="H1614">
        <v>6330.0</v>
      </c>
      <c r="I1614" t="s">
        <v>31</v>
      </c>
      <c r="J1614" t="s">
        <v>162</v>
      </c>
      <c r="K1614" t="s">
        <v>95</v>
      </c>
      <c r="L1614" t="s">
        <v>96</v>
      </c>
      <c r="M1614">
        <v>79.1</v>
      </c>
    </row>
    <row r="1615">
      <c r="A1615" s="2">
        <v>45388</v>
      </c>
      <c r="B1615">
        <v>2024.0</v>
      </c>
      <c r="C1615" t="s">
        <v>318</v>
      </c>
      <c r="D1615" t="s">
        <v>319</v>
      </c>
      <c r="E1615" t="s">
        <v>260</v>
      </c>
      <c r="F1615" t="s">
        <v>305</v>
      </c>
      <c r="G1615" t="s">
        <v>10</v>
      </c>
      <c r="H1615">
        <v>3179.0</v>
      </c>
      <c r="I1615" t="s">
        <v>31</v>
      </c>
      <c r="J1615" t="s">
        <v>89</v>
      </c>
      <c r="K1615" t="s">
        <v>46</v>
      </c>
      <c r="L1615" t="s">
        <v>47</v>
      </c>
      <c r="M1615">
        <v>79.28999999999999</v>
      </c>
    </row>
    <row r="1616">
      <c r="A1616" s="2">
        <v>45317</v>
      </c>
      <c r="B1616">
        <v>2024.0</v>
      </c>
      <c r="C1616" t="s">
        <v>318</v>
      </c>
      <c r="D1616" t="s">
        <v>319</v>
      </c>
      <c r="E1616" t="s">
        <v>187</v>
      </c>
      <c r="F1616" t="s">
        <v>306</v>
      </c>
      <c r="G1616" t="s">
        <v>11</v>
      </c>
      <c r="H1616">
        <v>4870.0</v>
      </c>
      <c r="I1616" t="s">
        <v>31</v>
      </c>
      <c r="J1616" t="s">
        <v>78</v>
      </c>
      <c r="K1616" t="s">
        <v>112</v>
      </c>
      <c r="L1616" t="s">
        <v>113</v>
      </c>
      <c r="M1616">
        <v>79.62</v>
      </c>
    </row>
    <row r="1617">
      <c r="A1617" s="2">
        <v>45342</v>
      </c>
      <c r="B1617">
        <v>2024.0</v>
      </c>
      <c r="C1617" t="s">
        <v>318</v>
      </c>
      <c r="D1617" t="s">
        <v>316</v>
      </c>
      <c r="E1617" t="s">
        <v>90</v>
      </c>
      <c r="F1617" t="s">
        <v>305</v>
      </c>
      <c r="G1617" t="s">
        <v>10</v>
      </c>
      <c r="H1617">
        <v>3353.0</v>
      </c>
      <c r="I1617" t="s">
        <v>31</v>
      </c>
      <c r="J1617" t="s">
        <v>37</v>
      </c>
      <c r="K1617" t="s">
        <v>112</v>
      </c>
      <c r="L1617" t="s">
        <v>113</v>
      </c>
      <c r="M1617">
        <v>79.72</v>
      </c>
    </row>
    <row r="1618">
      <c r="A1618" s="2">
        <v>45585</v>
      </c>
      <c r="B1618">
        <v>2025.0</v>
      </c>
      <c r="C1618" t="s">
        <v>315</v>
      </c>
      <c r="D1618" t="s">
        <v>319</v>
      </c>
      <c r="E1618" t="s">
        <v>232</v>
      </c>
      <c r="F1618" t="s">
        <v>304</v>
      </c>
      <c r="G1618" t="s">
        <v>9</v>
      </c>
      <c r="H1618">
        <v>2800.0</v>
      </c>
      <c r="I1618" t="s">
        <v>31</v>
      </c>
      <c r="J1618" t="s">
        <v>75</v>
      </c>
      <c r="K1618" t="s">
        <v>71</v>
      </c>
      <c r="L1618" t="s">
        <v>72</v>
      </c>
      <c r="M1618">
        <v>79.9</v>
      </c>
    </row>
    <row r="1619">
      <c r="A1619" s="2">
        <v>45826</v>
      </c>
      <c r="B1619">
        <v>2025.0</v>
      </c>
      <c r="C1619" t="s">
        <v>315</v>
      </c>
      <c r="D1619" t="s">
        <v>319</v>
      </c>
      <c r="E1619" t="s">
        <v>228</v>
      </c>
      <c r="F1619" t="s">
        <v>306</v>
      </c>
      <c r="G1619" t="s">
        <v>11</v>
      </c>
      <c r="H1619">
        <v>4680.0</v>
      </c>
      <c r="I1619" t="s">
        <v>31</v>
      </c>
      <c r="J1619" t="s">
        <v>32</v>
      </c>
      <c r="K1619" t="s">
        <v>123</v>
      </c>
      <c r="L1619" t="s">
        <v>124</v>
      </c>
      <c r="M1619">
        <v>79.91000000000001</v>
      </c>
    </row>
    <row r="1620">
      <c r="A1620" s="2">
        <v>45591</v>
      </c>
      <c r="B1620">
        <v>2025.0</v>
      </c>
      <c r="C1620" t="s">
        <v>315</v>
      </c>
      <c r="D1620" t="s">
        <v>319</v>
      </c>
      <c r="E1620" t="s">
        <v>173</v>
      </c>
      <c r="F1620" t="s">
        <v>306</v>
      </c>
      <c r="G1620" t="s">
        <v>11</v>
      </c>
      <c r="H1620">
        <v>4220.0</v>
      </c>
      <c r="I1620" t="s">
        <v>31</v>
      </c>
      <c r="J1620" t="s">
        <v>61</v>
      </c>
      <c r="K1620" t="s">
        <v>71</v>
      </c>
      <c r="L1620" t="s">
        <v>72</v>
      </c>
      <c r="M1620">
        <v>79.92</v>
      </c>
    </row>
    <row r="1621">
      <c r="A1621" s="2">
        <v>45992</v>
      </c>
      <c r="B1621">
        <v>2026.0</v>
      </c>
      <c r="C1621" t="s">
        <v>321</v>
      </c>
      <c r="D1621" t="s">
        <v>316</v>
      </c>
      <c r="E1621" t="s">
        <v>143</v>
      </c>
      <c r="F1621" t="s">
        <v>309</v>
      </c>
      <c r="G1621" t="s">
        <v>14</v>
      </c>
      <c r="H1621">
        <v>800.0</v>
      </c>
      <c r="I1621" t="s">
        <v>31</v>
      </c>
      <c r="J1621" t="s">
        <v>145</v>
      </c>
      <c r="K1621" t="s">
        <v>66</v>
      </c>
      <c r="L1621" t="s">
        <v>67</v>
      </c>
      <c r="M1621">
        <v>79.94</v>
      </c>
    </row>
    <row r="1622">
      <c r="A1622" s="2">
        <v>45519</v>
      </c>
      <c r="B1622">
        <v>2025.0</v>
      </c>
      <c r="C1622" t="s">
        <v>315</v>
      </c>
      <c r="D1622" t="s">
        <v>319</v>
      </c>
      <c r="E1622" t="s">
        <v>236</v>
      </c>
      <c r="F1622" t="s">
        <v>307</v>
      </c>
      <c r="G1622" t="s">
        <v>12</v>
      </c>
      <c r="H1622">
        <v>6052.0</v>
      </c>
      <c r="I1622" t="s">
        <v>31</v>
      </c>
      <c r="J1622" t="s">
        <v>102</v>
      </c>
      <c r="K1622" t="s">
        <v>38</v>
      </c>
      <c r="L1622" t="s">
        <v>39</v>
      </c>
      <c r="M1622">
        <v>79.94</v>
      </c>
    </row>
    <row r="1623">
      <c r="A1623" s="2">
        <v>45998</v>
      </c>
      <c r="B1623">
        <v>2026.0</v>
      </c>
      <c r="C1623" t="s">
        <v>321</v>
      </c>
      <c r="D1623" t="s">
        <v>319</v>
      </c>
      <c r="E1623" t="s">
        <v>213</v>
      </c>
      <c r="F1623" t="s">
        <v>306</v>
      </c>
      <c r="G1623" t="s">
        <v>11</v>
      </c>
      <c r="H1623">
        <v>4740.0</v>
      </c>
      <c r="I1623" t="s">
        <v>31</v>
      </c>
      <c r="J1623" t="s">
        <v>32</v>
      </c>
      <c r="K1623" t="s">
        <v>123</v>
      </c>
      <c r="L1623" t="s">
        <v>124</v>
      </c>
      <c r="M1623">
        <v>79.94</v>
      </c>
    </row>
    <row r="1624">
      <c r="A1624" s="2">
        <v>45706</v>
      </c>
      <c r="B1624">
        <v>2025.0</v>
      </c>
      <c r="C1624" t="s">
        <v>315</v>
      </c>
      <c r="D1624" t="s">
        <v>319</v>
      </c>
      <c r="E1624" t="s">
        <v>203</v>
      </c>
      <c r="F1624" t="s">
        <v>305</v>
      </c>
      <c r="G1624" t="s">
        <v>10</v>
      </c>
      <c r="H1624">
        <v>3175.0</v>
      </c>
      <c r="I1624" t="s">
        <v>31</v>
      </c>
      <c r="J1624" t="s">
        <v>89</v>
      </c>
      <c r="K1624" t="s">
        <v>123</v>
      </c>
      <c r="L1624" t="s">
        <v>124</v>
      </c>
      <c r="M1624">
        <v>79.95</v>
      </c>
    </row>
    <row r="1625">
      <c r="A1625" s="2">
        <v>45404</v>
      </c>
      <c r="B1625">
        <v>2024.0</v>
      </c>
      <c r="C1625" t="s">
        <v>318</v>
      </c>
      <c r="D1625" t="s">
        <v>319</v>
      </c>
      <c r="E1625" t="s">
        <v>125</v>
      </c>
      <c r="F1625" t="s">
        <v>305</v>
      </c>
      <c r="G1625" t="s">
        <v>10</v>
      </c>
      <c r="H1625">
        <v>3931.0</v>
      </c>
      <c r="I1625" t="s">
        <v>31</v>
      </c>
      <c r="J1625" t="s">
        <v>94</v>
      </c>
      <c r="K1625" t="s">
        <v>43</v>
      </c>
      <c r="L1625" t="s">
        <v>44</v>
      </c>
      <c r="M1625">
        <v>79.95</v>
      </c>
    </row>
    <row r="1626">
      <c r="A1626" s="2">
        <v>45306</v>
      </c>
      <c r="B1626">
        <v>2024.0</v>
      </c>
      <c r="C1626" t="s">
        <v>318</v>
      </c>
      <c r="D1626" t="s">
        <v>319</v>
      </c>
      <c r="E1626" t="s">
        <v>131</v>
      </c>
      <c r="F1626" t="s">
        <v>306</v>
      </c>
      <c r="G1626" t="s">
        <v>11</v>
      </c>
      <c r="H1626">
        <v>4655.0</v>
      </c>
      <c r="I1626" t="s">
        <v>31</v>
      </c>
      <c r="J1626" t="s">
        <v>32</v>
      </c>
      <c r="K1626" t="s">
        <v>57</v>
      </c>
      <c r="L1626" t="s">
        <v>58</v>
      </c>
      <c r="M1626">
        <v>79.98</v>
      </c>
    </row>
    <row r="1627">
      <c r="A1627" s="2">
        <v>45912</v>
      </c>
      <c r="B1627">
        <v>2026.0</v>
      </c>
      <c r="C1627" t="s">
        <v>321</v>
      </c>
      <c r="D1627" t="s">
        <v>319</v>
      </c>
      <c r="E1627" t="s">
        <v>146</v>
      </c>
      <c r="F1627" t="s">
        <v>304</v>
      </c>
      <c r="G1627" t="s">
        <v>9</v>
      </c>
      <c r="H1627">
        <v>2790.0</v>
      </c>
      <c r="I1627" t="s">
        <v>31</v>
      </c>
      <c r="J1627" t="s">
        <v>75</v>
      </c>
      <c r="K1627" t="s">
        <v>57</v>
      </c>
      <c r="L1627" t="s">
        <v>58</v>
      </c>
      <c r="M1627">
        <v>79.98</v>
      </c>
    </row>
    <row r="1628">
      <c r="A1628" s="2">
        <v>45373</v>
      </c>
      <c r="B1628">
        <v>2024.0</v>
      </c>
      <c r="C1628" t="s">
        <v>318</v>
      </c>
      <c r="D1628" t="s">
        <v>319</v>
      </c>
      <c r="E1628" t="s">
        <v>187</v>
      </c>
      <c r="F1628" t="s">
        <v>306</v>
      </c>
      <c r="G1628" t="s">
        <v>11</v>
      </c>
      <c r="H1628">
        <v>4870.0</v>
      </c>
      <c r="I1628" t="s">
        <v>31</v>
      </c>
      <c r="J1628" t="s">
        <v>78</v>
      </c>
      <c r="K1628" t="s">
        <v>43</v>
      </c>
      <c r="L1628" t="s">
        <v>44</v>
      </c>
      <c r="M1628">
        <v>80.45</v>
      </c>
    </row>
    <row r="1629">
      <c r="A1629" s="2">
        <v>45457</v>
      </c>
      <c r="B1629">
        <v>2024.0</v>
      </c>
      <c r="C1629" t="s">
        <v>318</v>
      </c>
      <c r="D1629" t="s">
        <v>319</v>
      </c>
      <c r="E1629" t="s">
        <v>211</v>
      </c>
      <c r="F1629" t="s">
        <v>304</v>
      </c>
      <c r="G1629" t="s">
        <v>9</v>
      </c>
      <c r="H1629">
        <v>2650.0</v>
      </c>
      <c r="I1629" t="s">
        <v>31</v>
      </c>
      <c r="J1629" t="s">
        <v>75</v>
      </c>
      <c r="K1629" t="s">
        <v>38</v>
      </c>
      <c r="L1629" t="s">
        <v>39</v>
      </c>
      <c r="M1629">
        <v>80.45</v>
      </c>
    </row>
    <row r="1630">
      <c r="A1630" s="2">
        <v>45482</v>
      </c>
      <c r="B1630">
        <v>2025.0</v>
      </c>
      <c r="C1630" t="s">
        <v>315</v>
      </c>
      <c r="D1630" t="s">
        <v>319</v>
      </c>
      <c r="E1630" t="s">
        <v>103</v>
      </c>
      <c r="F1630" t="s">
        <v>307</v>
      </c>
      <c r="G1630" t="s">
        <v>12</v>
      </c>
      <c r="H1630">
        <v>6021.0</v>
      </c>
      <c r="I1630" t="s">
        <v>31</v>
      </c>
      <c r="J1630" t="s">
        <v>102</v>
      </c>
      <c r="K1630" t="s">
        <v>38</v>
      </c>
      <c r="L1630" t="s">
        <v>39</v>
      </c>
      <c r="M1630">
        <v>80.46000000000001</v>
      </c>
    </row>
    <row r="1631">
      <c r="A1631" s="2">
        <v>45369</v>
      </c>
      <c r="B1631">
        <v>2024.0</v>
      </c>
      <c r="C1631" t="s">
        <v>318</v>
      </c>
      <c r="D1631" t="s">
        <v>316</v>
      </c>
      <c r="E1631" t="s">
        <v>201</v>
      </c>
      <c r="F1631" t="s">
        <v>305</v>
      </c>
      <c r="G1631" t="s">
        <v>10</v>
      </c>
      <c r="H1631">
        <v>3131.0</v>
      </c>
      <c r="I1631" t="s">
        <v>31</v>
      </c>
      <c r="J1631" t="s">
        <v>89</v>
      </c>
      <c r="K1631" t="s">
        <v>43</v>
      </c>
      <c r="L1631" t="s">
        <v>44</v>
      </c>
      <c r="M1631">
        <v>80.5</v>
      </c>
    </row>
    <row r="1632">
      <c r="A1632" s="2">
        <v>45513</v>
      </c>
      <c r="B1632">
        <v>2025.0</v>
      </c>
      <c r="C1632" t="s">
        <v>315</v>
      </c>
      <c r="D1632" t="s">
        <v>319</v>
      </c>
      <c r="E1632" t="s">
        <v>185</v>
      </c>
      <c r="F1632" t="s">
        <v>307</v>
      </c>
      <c r="G1632" t="s">
        <v>12</v>
      </c>
      <c r="H1632">
        <v>6109.0</v>
      </c>
      <c r="I1632" t="s">
        <v>31</v>
      </c>
      <c r="J1632" t="s">
        <v>162</v>
      </c>
      <c r="K1632" t="s">
        <v>33</v>
      </c>
      <c r="L1632" t="s">
        <v>34</v>
      </c>
      <c r="M1632">
        <v>80.92</v>
      </c>
    </row>
    <row r="1633">
      <c r="A1633" s="2">
        <v>45548</v>
      </c>
      <c r="B1633">
        <v>2025.0</v>
      </c>
      <c r="C1633" t="s">
        <v>315</v>
      </c>
      <c r="D1633" t="s">
        <v>319</v>
      </c>
      <c r="E1633" t="s">
        <v>260</v>
      </c>
      <c r="F1633" t="s">
        <v>305</v>
      </c>
      <c r="G1633" t="s">
        <v>10</v>
      </c>
      <c r="H1633">
        <v>3179.0</v>
      </c>
      <c r="I1633" t="s">
        <v>31</v>
      </c>
      <c r="J1633" t="s">
        <v>89</v>
      </c>
      <c r="K1633" t="s">
        <v>112</v>
      </c>
      <c r="L1633" t="s">
        <v>113</v>
      </c>
      <c r="M1633">
        <v>80.92</v>
      </c>
    </row>
    <row r="1634">
      <c r="A1634" s="2">
        <v>45406</v>
      </c>
      <c r="B1634">
        <v>2024.0</v>
      </c>
      <c r="C1634" t="s">
        <v>318</v>
      </c>
      <c r="D1634" t="s">
        <v>319</v>
      </c>
      <c r="E1634" t="s">
        <v>29</v>
      </c>
      <c r="F1634" t="s">
        <v>306</v>
      </c>
      <c r="G1634" t="s">
        <v>11</v>
      </c>
      <c r="H1634">
        <v>4703.0</v>
      </c>
      <c r="I1634" t="s">
        <v>31</v>
      </c>
      <c r="J1634" t="s">
        <v>32</v>
      </c>
      <c r="K1634" t="s">
        <v>71</v>
      </c>
      <c r="L1634" t="s">
        <v>72</v>
      </c>
      <c r="M1634">
        <v>80.94</v>
      </c>
    </row>
    <row r="1635">
      <c r="A1635" s="2">
        <v>45713</v>
      </c>
      <c r="B1635">
        <v>2025.0</v>
      </c>
      <c r="C1635" t="s">
        <v>315</v>
      </c>
      <c r="D1635" t="s">
        <v>316</v>
      </c>
      <c r="E1635" t="s">
        <v>240</v>
      </c>
      <c r="F1635" t="s">
        <v>310</v>
      </c>
      <c r="G1635" t="s">
        <v>15</v>
      </c>
      <c r="H1635">
        <v>7010.0</v>
      </c>
      <c r="I1635" t="s">
        <v>31</v>
      </c>
      <c r="J1635" t="s">
        <v>53</v>
      </c>
      <c r="K1635" t="s">
        <v>38</v>
      </c>
      <c r="L1635" t="s">
        <v>39</v>
      </c>
      <c r="M1635">
        <v>80.95</v>
      </c>
    </row>
    <row r="1636">
      <c r="A1636" s="2">
        <v>45892</v>
      </c>
      <c r="B1636">
        <v>2026.0</v>
      </c>
      <c r="C1636" t="s">
        <v>321</v>
      </c>
      <c r="D1636" t="s">
        <v>319</v>
      </c>
      <c r="E1636" t="s">
        <v>137</v>
      </c>
      <c r="F1636" t="s">
        <v>305</v>
      </c>
      <c r="G1636" t="s">
        <v>10</v>
      </c>
      <c r="H1636">
        <v>3134.0</v>
      </c>
      <c r="I1636" t="s">
        <v>31</v>
      </c>
      <c r="J1636" t="s">
        <v>89</v>
      </c>
      <c r="K1636" t="s">
        <v>112</v>
      </c>
      <c r="L1636" t="s">
        <v>113</v>
      </c>
      <c r="M1636">
        <v>80.95</v>
      </c>
    </row>
    <row r="1637">
      <c r="A1637" s="2">
        <v>45911</v>
      </c>
      <c r="B1637">
        <v>2026.0</v>
      </c>
      <c r="C1637" t="s">
        <v>321</v>
      </c>
      <c r="D1637" t="s">
        <v>319</v>
      </c>
      <c r="E1637" t="s">
        <v>211</v>
      </c>
      <c r="F1637" t="s">
        <v>304</v>
      </c>
      <c r="G1637" t="s">
        <v>9</v>
      </c>
      <c r="H1637">
        <v>2650.0</v>
      </c>
      <c r="I1637" t="s">
        <v>31</v>
      </c>
      <c r="J1637" t="s">
        <v>75</v>
      </c>
      <c r="K1637" t="s">
        <v>43</v>
      </c>
      <c r="L1637" t="s">
        <v>44</v>
      </c>
      <c r="M1637">
        <v>81.25</v>
      </c>
    </row>
    <row r="1638">
      <c r="A1638" s="2">
        <v>45979</v>
      </c>
      <c r="B1638">
        <v>2026.0</v>
      </c>
      <c r="C1638" t="s">
        <v>321</v>
      </c>
      <c r="D1638" t="s">
        <v>319</v>
      </c>
      <c r="E1638" t="s">
        <v>87</v>
      </c>
      <c r="F1638" t="s">
        <v>305</v>
      </c>
      <c r="G1638" t="s">
        <v>10</v>
      </c>
      <c r="H1638">
        <v>3148.0</v>
      </c>
      <c r="I1638" t="s">
        <v>31</v>
      </c>
      <c r="J1638" t="s">
        <v>89</v>
      </c>
      <c r="K1638" t="s">
        <v>57</v>
      </c>
      <c r="L1638" t="s">
        <v>58</v>
      </c>
      <c r="M1638">
        <v>81.51</v>
      </c>
    </row>
    <row r="1639">
      <c r="A1639" s="2">
        <v>45493</v>
      </c>
      <c r="B1639">
        <v>2025.0</v>
      </c>
      <c r="C1639" t="s">
        <v>315</v>
      </c>
      <c r="D1639" t="s">
        <v>316</v>
      </c>
      <c r="E1639" t="s">
        <v>258</v>
      </c>
      <c r="F1639" t="s">
        <v>309</v>
      </c>
      <c r="G1639" t="s">
        <v>14</v>
      </c>
      <c r="H1639">
        <v>870.0</v>
      </c>
      <c r="I1639" t="s">
        <v>31</v>
      </c>
      <c r="J1639" t="s">
        <v>145</v>
      </c>
      <c r="K1639" t="s">
        <v>112</v>
      </c>
      <c r="L1639" t="s">
        <v>113</v>
      </c>
      <c r="M1639">
        <v>81.54</v>
      </c>
    </row>
    <row r="1640">
      <c r="A1640" s="2">
        <v>45603</v>
      </c>
      <c r="B1640">
        <v>2025.0</v>
      </c>
      <c r="C1640" t="s">
        <v>315</v>
      </c>
      <c r="D1640" t="s">
        <v>319</v>
      </c>
      <c r="E1640" t="s">
        <v>108</v>
      </c>
      <c r="F1640" t="s">
        <v>304</v>
      </c>
      <c r="G1640" t="s">
        <v>9</v>
      </c>
      <c r="H1640">
        <v>2795.0</v>
      </c>
      <c r="I1640" t="s">
        <v>31</v>
      </c>
      <c r="J1640" t="s">
        <v>75</v>
      </c>
      <c r="K1640" t="s">
        <v>112</v>
      </c>
      <c r="L1640" t="s">
        <v>113</v>
      </c>
      <c r="M1640">
        <v>81.59</v>
      </c>
    </row>
    <row r="1641">
      <c r="A1641" s="2">
        <v>45887</v>
      </c>
      <c r="B1641">
        <v>2026.0</v>
      </c>
      <c r="C1641" t="s">
        <v>321</v>
      </c>
      <c r="D1641" t="s">
        <v>319</v>
      </c>
      <c r="E1641" t="s">
        <v>181</v>
      </c>
      <c r="F1641" t="s">
        <v>306</v>
      </c>
      <c r="G1641" t="s">
        <v>11</v>
      </c>
      <c r="H1641">
        <v>4119.0</v>
      </c>
      <c r="I1641" t="s">
        <v>31</v>
      </c>
      <c r="J1641" t="s">
        <v>56</v>
      </c>
      <c r="K1641" t="s">
        <v>66</v>
      </c>
      <c r="L1641" t="s">
        <v>67</v>
      </c>
      <c r="M1641">
        <v>81.73</v>
      </c>
    </row>
    <row r="1642">
      <c r="A1642" s="2">
        <v>45684</v>
      </c>
      <c r="B1642">
        <v>2025.0</v>
      </c>
      <c r="C1642" t="s">
        <v>315</v>
      </c>
      <c r="D1642" t="s">
        <v>316</v>
      </c>
      <c r="E1642" t="s">
        <v>135</v>
      </c>
      <c r="F1642" t="s">
        <v>311</v>
      </c>
      <c r="G1642" t="s">
        <v>16</v>
      </c>
      <c r="H1642">
        <v>2609.0</v>
      </c>
      <c r="I1642" t="s">
        <v>31</v>
      </c>
      <c r="J1642" t="s">
        <v>107</v>
      </c>
      <c r="K1642" t="s">
        <v>123</v>
      </c>
      <c r="L1642" t="s">
        <v>124</v>
      </c>
      <c r="M1642">
        <v>81.80000000000001</v>
      </c>
    </row>
    <row r="1643">
      <c r="A1643" s="2">
        <v>45315</v>
      </c>
      <c r="B1643">
        <v>2024.0</v>
      </c>
      <c r="C1643" t="s">
        <v>318</v>
      </c>
      <c r="D1643" t="s">
        <v>319</v>
      </c>
      <c r="E1643" t="s">
        <v>203</v>
      </c>
      <c r="F1643" t="s">
        <v>305</v>
      </c>
      <c r="G1643" t="s">
        <v>10</v>
      </c>
      <c r="H1643">
        <v>3175.0</v>
      </c>
      <c r="I1643" t="s">
        <v>31</v>
      </c>
      <c r="J1643" t="s">
        <v>89</v>
      </c>
      <c r="K1643" t="s">
        <v>33</v>
      </c>
      <c r="L1643" t="s">
        <v>34</v>
      </c>
      <c r="M1643">
        <v>81.81</v>
      </c>
    </row>
    <row r="1644">
      <c r="A1644" s="2">
        <v>45474</v>
      </c>
      <c r="B1644">
        <v>2025.0</v>
      </c>
      <c r="C1644" t="s">
        <v>315</v>
      </c>
      <c r="D1644" t="s">
        <v>316</v>
      </c>
      <c r="E1644" t="s">
        <v>234</v>
      </c>
      <c r="F1644" t="s">
        <v>304</v>
      </c>
      <c r="G1644" t="s">
        <v>9</v>
      </c>
      <c r="H1644">
        <v>2158.0</v>
      </c>
      <c r="I1644" t="s">
        <v>31</v>
      </c>
      <c r="J1644" t="s">
        <v>81</v>
      </c>
      <c r="K1644" t="s">
        <v>38</v>
      </c>
      <c r="L1644" t="s">
        <v>39</v>
      </c>
      <c r="M1644">
        <v>81.86</v>
      </c>
    </row>
    <row r="1645">
      <c r="A1645" s="2">
        <v>45333</v>
      </c>
      <c r="B1645">
        <v>2024.0</v>
      </c>
      <c r="C1645" t="s">
        <v>318</v>
      </c>
      <c r="D1645" t="s">
        <v>319</v>
      </c>
      <c r="E1645" t="s">
        <v>213</v>
      </c>
      <c r="F1645" t="s">
        <v>306</v>
      </c>
      <c r="G1645" t="s">
        <v>11</v>
      </c>
      <c r="H1645">
        <v>4740.0</v>
      </c>
      <c r="I1645" t="s">
        <v>31</v>
      </c>
      <c r="J1645" t="s">
        <v>32</v>
      </c>
      <c r="K1645" t="s">
        <v>71</v>
      </c>
      <c r="L1645" t="s">
        <v>72</v>
      </c>
      <c r="M1645">
        <v>81.95</v>
      </c>
    </row>
    <row r="1646">
      <c r="A1646" s="2">
        <v>45943</v>
      </c>
      <c r="B1646">
        <v>2026.0</v>
      </c>
      <c r="C1646" t="s">
        <v>321</v>
      </c>
      <c r="D1646" t="s">
        <v>316</v>
      </c>
      <c r="E1646" t="s">
        <v>105</v>
      </c>
      <c r="F1646" t="s">
        <v>304</v>
      </c>
      <c r="G1646" t="s">
        <v>9</v>
      </c>
      <c r="H1646">
        <v>2541.0</v>
      </c>
      <c r="I1646" t="s">
        <v>31</v>
      </c>
      <c r="J1646" t="s">
        <v>107</v>
      </c>
      <c r="K1646" t="s">
        <v>95</v>
      </c>
      <c r="L1646" t="s">
        <v>96</v>
      </c>
      <c r="M1646">
        <v>82.16</v>
      </c>
    </row>
    <row r="1647">
      <c r="A1647" s="2">
        <v>45952</v>
      </c>
      <c r="B1647">
        <v>2026.0</v>
      </c>
      <c r="C1647" t="s">
        <v>321</v>
      </c>
      <c r="D1647" t="s">
        <v>316</v>
      </c>
      <c r="E1647" t="s">
        <v>129</v>
      </c>
      <c r="F1647" t="s">
        <v>305</v>
      </c>
      <c r="G1647" t="s">
        <v>10</v>
      </c>
      <c r="H1647">
        <v>3066.0</v>
      </c>
      <c r="I1647" t="s">
        <v>31</v>
      </c>
      <c r="J1647" t="s">
        <v>120</v>
      </c>
      <c r="K1647" t="s">
        <v>123</v>
      </c>
      <c r="L1647" t="s">
        <v>124</v>
      </c>
      <c r="M1647">
        <v>82.16999999999999</v>
      </c>
    </row>
    <row r="1648">
      <c r="A1648" s="2">
        <v>45792</v>
      </c>
      <c r="B1648">
        <v>2025.0</v>
      </c>
      <c r="C1648" t="s">
        <v>315</v>
      </c>
      <c r="D1648" t="s">
        <v>316</v>
      </c>
      <c r="E1648" t="s">
        <v>64</v>
      </c>
      <c r="F1648" t="s">
        <v>306</v>
      </c>
      <c r="G1648" t="s">
        <v>11</v>
      </c>
      <c r="H1648">
        <v>4215.0</v>
      </c>
      <c r="I1648" t="s">
        <v>31</v>
      </c>
      <c r="J1648" t="s">
        <v>61</v>
      </c>
      <c r="K1648" t="s">
        <v>43</v>
      </c>
      <c r="L1648" t="s">
        <v>44</v>
      </c>
      <c r="M1648">
        <v>82.21</v>
      </c>
    </row>
    <row r="1649">
      <c r="A1649" s="2">
        <v>45906</v>
      </c>
      <c r="B1649">
        <v>2026.0</v>
      </c>
      <c r="C1649" t="s">
        <v>321</v>
      </c>
      <c r="D1649" t="s">
        <v>319</v>
      </c>
      <c r="E1649" t="s">
        <v>181</v>
      </c>
      <c r="F1649" t="s">
        <v>306</v>
      </c>
      <c r="G1649" t="s">
        <v>11</v>
      </c>
      <c r="H1649">
        <v>4119.0</v>
      </c>
      <c r="I1649" t="s">
        <v>31</v>
      </c>
      <c r="J1649" t="s">
        <v>56</v>
      </c>
      <c r="K1649" t="s">
        <v>43</v>
      </c>
      <c r="L1649" t="s">
        <v>44</v>
      </c>
      <c r="M1649">
        <v>82.3</v>
      </c>
    </row>
    <row r="1650">
      <c r="A1650" s="2">
        <v>45471</v>
      </c>
      <c r="B1650">
        <v>2024.0</v>
      </c>
      <c r="C1650" t="s">
        <v>318</v>
      </c>
      <c r="D1650" t="s">
        <v>316</v>
      </c>
      <c r="E1650" t="s">
        <v>242</v>
      </c>
      <c r="F1650" t="s">
        <v>305</v>
      </c>
      <c r="G1650" t="s">
        <v>10</v>
      </c>
      <c r="H1650">
        <v>3977.0</v>
      </c>
      <c r="I1650" t="s">
        <v>31</v>
      </c>
      <c r="J1650" t="s">
        <v>94</v>
      </c>
      <c r="K1650" t="s">
        <v>112</v>
      </c>
      <c r="L1650" t="s">
        <v>113</v>
      </c>
      <c r="M1650">
        <v>82.7</v>
      </c>
    </row>
    <row r="1651">
      <c r="A1651" s="2">
        <v>45961</v>
      </c>
      <c r="B1651">
        <v>2026.0</v>
      </c>
      <c r="C1651" t="s">
        <v>321</v>
      </c>
      <c r="D1651" t="s">
        <v>316</v>
      </c>
      <c r="E1651" t="s">
        <v>73</v>
      </c>
      <c r="F1651" t="s">
        <v>304</v>
      </c>
      <c r="G1651" t="s">
        <v>9</v>
      </c>
      <c r="H1651">
        <v>2750.0</v>
      </c>
      <c r="I1651" t="s">
        <v>31</v>
      </c>
      <c r="J1651" t="s">
        <v>75</v>
      </c>
      <c r="K1651" t="s">
        <v>43</v>
      </c>
      <c r="L1651" t="s">
        <v>44</v>
      </c>
      <c r="M1651">
        <v>82.92</v>
      </c>
    </row>
    <row r="1652">
      <c r="A1652" s="2">
        <v>45387</v>
      </c>
      <c r="B1652">
        <v>2024.0</v>
      </c>
      <c r="C1652" t="s">
        <v>318</v>
      </c>
      <c r="D1652" t="s">
        <v>316</v>
      </c>
      <c r="E1652" t="s">
        <v>209</v>
      </c>
      <c r="F1652" t="s">
        <v>304</v>
      </c>
      <c r="G1652" t="s">
        <v>9</v>
      </c>
      <c r="H1652">
        <v>2116.0</v>
      </c>
      <c r="I1652" t="s">
        <v>31</v>
      </c>
      <c r="J1652" t="s">
        <v>81</v>
      </c>
      <c r="K1652" t="s">
        <v>66</v>
      </c>
      <c r="L1652" t="s">
        <v>67</v>
      </c>
      <c r="M1652">
        <v>83.02</v>
      </c>
    </row>
    <row r="1653">
      <c r="A1653" s="2">
        <v>45716</v>
      </c>
      <c r="B1653">
        <v>2025.0</v>
      </c>
      <c r="C1653" t="s">
        <v>315</v>
      </c>
      <c r="D1653" t="s">
        <v>316</v>
      </c>
      <c r="E1653" t="s">
        <v>197</v>
      </c>
      <c r="F1653" t="s">
        <v>304</v>
      </c>
      <c r="G1653" t="s">
        <v>9</v>
      </c>
      <c r="H1653">
        <v>2560.0</v>
      </c>
      <c r="I1653" t="s">
        <v>31</v>
      </c>
      <c r="J1653" t="s">
        <v>107</v>
      </c>
      <c r="K1653" t="s">
        <v>112</v>
      </c>
      <c r="L1653" t="s">
        <v>113</v>
      </c>
      <c r="M1653">
        <v>83.18</v>
      </c>
    </row>
    <row r="1654">
      <c r="A1654" s="2">
        <v>45882</v>
      </c>
      <c r="B1654">
        <v>2026.0</v>
      </c>
      <c r="C1654" t="s">
        <v>321</v>
      </c>
      <c r="D1654" t="s">
        <v>319</v>
      </c>
      <c r="E1654" t="s">
        <v>87</v>
      </c>
      <c r="F1654" t="s">
        <v>305</v>
      </c>
      <c r="G1654" t="s">
        <v>10</v>
      </c>
      <c r="H1654">
        <v>3148.0</v>
      </c>
      <c r="I1654" t="s">
        <v>31</v>
      </c>
      <c r="J1654" t="s">
        <v>89</v>
      </c>
      <c r="K1654" t="s">
        <v>112</v>
      </c>
      <c r="L1654" t="s">
        <v>113</v>
      </c>
      <c r="M1654">
        <v>83.39</v>
      </c>
    </row>
    <row r="1655">
      <c r="A1655" s="2">
        <v>45594</v>
      </c>
      <c r="B1655">
        <v>2025.0</v>
      </c>
      <c r="C1655" t="s">
        <v>315</v>
      </c>
      <c r="D1655" t="s">
        <v>319</v>
      </c>
      <c r="E1655" t="s">
        <v>264</v>
      </c>
      <c r="F1655" t="s">
        <v>308</v>
      </c>
      <c r="G1655" t="s">
        <v>13</v>
      </c>
      <c r="H1655">
        <v>5043.0</v>
      </c>
      <c r="I1655" t="s">
        <v>31</v>
      </c>
      <c r="J1655" t="s">
        <v>42</v>
      </c>
      <c r="K1655" t="s">
        <v>57</v>
      </c>
      <c r="L1655" t="s">
        <v>58</v>
      </c>
      <c r="M1655">
        <v>83.47999999999999</v>
      </c>
    </row>
    <row r="1656">
      <c r="A1656" s="2">
        <v>45953</v>
      </c>
      <c r="B1656">
        <v>2026.0</v>
      </c>
      <c r="C1656" t="s">
        <v>321</v>
      </c>
      <c r="D1656" t="s">
        <v>316</v>
      </c>
      <c r="E1656" t="s">
        <v>129</v>
      </c>
      <c r="F1656" t="s">
        <v>305</v>
      </c>
      <c r="G1656" t="s">
        <v>10</v>
      </c>
      <c r="H1656">
        <v>3066.0</v>
      </c>
      <c r="I1656" t="s">
        <v>31</v>
      </c>
      <c r="J1656" t="s">
        <v>120</v>
      </c>
      <c r="K1656" t="s">
        <v>112</v>
      </c>
      <c r="L1656" t="s">
        <v>113</v>
      </c>
      <c r="M1656">
        <v>83.78999999999999</v>
      </c>
    </row>
    <row r="1657">
      <c r="A1657" s="2">
        <v>45906</v>
      </c>
      <c r="B1657">
        <v>2026.0</v>
      </c>
      <c r="C1657" t="s">
        <v>321</v>
      </c>
      <c r="D1657" t="s">
        <v>316</v>
      </c>
      <c r="E1657" t="s">
        <v>262</v>
      </c>
      <c r="F1657" t="s">
        <v>305</v>
      </c>
      <c r="G1657" t="s">
        <v>10</v>
      </c>
      <c r="H1657">
        <v>3018.0</v>
      </c>
      <c r="I1657" t="s">
        <v>31</v>
      </c>
      <c r="J1657" t="s">
        <v>120</v>
      </c>
      <c r="K1657" t="s">
        <v>43</v>
      </c>
      <c r="L1657" t="s">
        <v>44</v>
      </c>
      <c r="M1657">
        <v>83.86</v>
      </c>
    </row>
    <row r="1658">
      <c r="A1658" s="2">
        <v>45461</v>
      </c>
      <c r="B1658">
        <v>2024.0</v>
      </c>
      <c r="C1658" t="s">
        <v>318</v>
      </c>
      <c r="D1658" t="s">
        <v>319</v>
      </c>
      <c r="E1658" t="s">
        <v>185</v>
      </c>
      <c r="F1658" t="s">
        <v>307</v>
      </c>
      <c r="G1658" t="s">
        <v>12</v>
      </c>
      <c r="H1658">
        <v>6109.0</v>
      </c>
      <c r="I1658" t="s">
        <v>31</v>
      </c>
      <c r="J1658" t="s">
        <v>162</v>
      </c>
      <c r="K1658" t="s">
        <v>112</v>
      </c>
      <c r="L1658" t="s">
        <v>113</v>
      </c>
      <c r="M1658">
        <v>83.86</v>
      </c>
    </row>
    <row r="1659">
      <c r="A1659" s="2">
        <v>45816</v>
      </c>
      <c r="B1659">
        <v>2025.0</v>
      </c>
      <c r="C1659" t="s">
        <v>315</v>
      </c>
      <c r="D1659" t="s">
        <v>316</v>
      </c>
      <c r="E1659" t="s">
        <v>152</v>
      </c>
      <c r="F1659" t="s">
        <v>306</v>
      </c>
      <c r="G1659" t="s">
        <v>11</v>
      </c>
      <c r="H1659">
        <v>4305.0</v>
      </c>
      <c r="I1659" t="s">
        <v>31</v>
      </c>
      <c r="J1659" t="s">
        <v>61</v>
      </c>
      <c r="K1659" t="s">
        <v>43</v>
      </c>
      <c r="L1659" t="s">
        <v>44</v>
      </c>
      <c r="M1659">
        <v>83.89</v>
      </c>
    </row>
    <row r="1660">
      <c r="A1660" s="2">
        <v>45316</v>
      </c>
      <c r="B1660">
        <v>2024.0</v>
      </c>
      <c r="C1660" t="s">
        <v>318</v>
      </c>
      <c r="D1660" t="s">
        <v>316</v>
      </c>
      <c r="E1660" t="s">
        <v>100</v>
      </c>
      <c r="F1660" t="s">
        <v>307</v>
      </c>
      <c r="G1660" t="s">
        <v>12</v>
      </c>
      <c r="H1660">
        <v>6010.0</v>
      </c>
      <c r="I1660" t="s">
        <v>31</v>
      </c>
      <c r="J1660" t="s">
        <v>102</v>
      </c>
      <c r="K1660" t="s">
        <v>71</v>
      </c>
      <c r="L1660" t="s">
        <v>72</v>
      </c>
      <c r="M1660">
        <v>83.93</v>
      </c>
    </row>
    <row r="1661">
      <c r="A1661" s="2">
        <v>45768</v>
      </c>
      <c r="B1661">
        <v>2025.0</v>
      </c>
      <c r="C1661" t="s">
        <v>315</v>
      </c>
      <c r="D1661" t="s">
        <v>319</v>
      </c>
      <c r="E1661" t="s">
        <v>51</v>
      </c>
      <c r="F1661" t="s">
        <v>310</v>
      </c>
      <c r="G1661" t="s">
        <v>15</v>
      </c>
      <c r="H1661">
        <v>7018.0</v>
      </c>
      <c r="I1661" t="s">
        <v>31</v>
      </c>
      <c r="J1661" t="s">
        <v>53</v>
      </c>
      <c r="K1661" t="s">
        <v>71</v>
      </c>
      <c r="L1661" t="s">
        <v>72</v>
      </c>
      <c r="M1661">
        <v>83.94999999999999</v>
      </c>
    </row>
    <row r="1662">
      <c r="A1662" s="2">
        <v>45625</v>
      </c>
      <c r="B1662">
        <v>2025.0</v>
      </c>
      <c r="C1662" t="s">
        <v>315</v>
      </c>
      <c r="D1662" t="s">
        <v>316</v>
      </c>
      <c r="E1662" t="s">
        <v>217</v>
      </c>
      <c r="F1662" t="s">
        <v>305</v>
      </c>
      <c r="G1662" t="s">
        <v>10</v>
      </c>
      <c r="H1662">
        <v>3136.0</v>
      </c>
      <c r="I1662" t="s">
        <v>31</v>
      </c>
      <c r="J1662" t="s">
        <v>89</v>
      </c>
      <c r="K1662" t="s">
        <v>123</v>
      </c>
      <c r="L1662" t="s">
        <v>124</v>
      </c>
      <c r="M1662">
        <v>84.16</v>
      </c>
    </row>
    <row r="1663">
      <c r="A1663" s="2">
        <v>46011</v>
      </c>
      <c r="B1663">
        <v>2026.0</v>
      </c>
      <c r="C1663" t="s">
        <v>321</v>
      </c>
      <c r="D1663" t="s">
        <v>316</v>
      </c>
      <c r="E1663" t="s">
        <v>141</v>
      </c>
      <c r="F1663" t="s">
        <v>304</v>
      </c>
      <c r="G1663" t="s">
        <v>9</v>
      </c>
      <c r="H1663">
        <v>2539.0</v>
      </c>
      <c r="I1663" t="s">
        <v>31</v>
      </c>
      <c r="J1663" t="s">
        <v>107</v>
      </c>
      <c r="K1663" t="s">
        <v>43</v>
      </c>
      <c r="L1663" t="s">
        <v>44</v>
      </c>
      <c r="M1663">
        <v>84.44</v>
      </c>
    </row>
    <row r="1664">
      <c r="A1664" s="2">
        <v>45982</v>
      </c>
      <c r="B1664">
        <v>2026.0</v>
      </c>
      <c r="C1664" t="s">
        <v>321</v>
      </c>
      <c r="D1664" t="s">
        <v>319</v>
      </c>
      <c r="E1664" t="s">
        <v>141</v>
      </c>
      <c r="F1664" t="s">
        <v>304</v>
      </c>
      <c r="G1664" t="s">
        <v>9</v>
      </c>
      <c r="H1664">
        <v>2539.0</v>
      </c>
      <c r="I1664" t="s">
        <v>31</v>
      </c>
      <c r="J1664" t="s">
        <v>107</v>
      </c>
      <c r="K1664" t="s">
        <v>43</v>
      </c>
      <c r="L1664" t="s">
        <v>44</v>
      </c>
      <c r="M1664">
        <v>84.93</v>
      </c>
    </row>
    <row r="1665">
      <c r="A1665" s="2">
        <v>45301</v>
      </c>
      <c r="B1665">
        <v>2024.0</v>
      </c>
      <c r="C1665" t="s">
        <v>318</v>
      </c>
      <c r="D1665" t="s">
        <v>316</v>
      </c>
      <c r="E1665" t="s">
        <v>40</v>
      </c>
      <c r="F1665" t="s">
        <v>308</v>
      </c>
      <c r="G1665" t="s">
        <v>13</v>
      </c>
      <c r="H1665">
        <v>5011.0</v>
      </c>
      <c r="I1665" t="s">
        <v>31</v>
      </c>
      <c r="J1665" t="s">
        <v>42</v>
      </c>
      <c r="K1665" t="s">
        <v>71</v>
      </c>
      <c r="L1665" t="s">
        <v>72</v>
      </c>
      <c r="M1665">
        <v>84.94</v>
      </c>
    </row>
    <row r="1666">
      <c r="A1666" s="2">
        <v>45490</v>
      </c>
      <c r="B1666">
        <v>2025.0</v>
      </c>
      <c r="C1666" t="s">
        <v>315</v>
      </c>
      <c r="D1666" t="s">
        <v>319</v>
      </c>
      <c r="E1666" t="s">
        <v>211</v>
      </c>
      <c r="F1666" t="s">
        <v>304</v>
      </c>
      <c r="G1666" t="s">
        <v>9</v>
      </c>
      <c r="H1666">
        <v>2650.0</v>
      </c>
      <c r="I1666" t="s">
        <v>31</v>
      </c>
      <c r="J1666" t="s">
        <v>75</v>
      </c>
      <c r="K1666" t="s">
        <v>71</v>
      </c>
      <c r="L1666" t="s">
        <v>72</v>
      </c>
      <c r="M1666">
        <v>84.95</v>
      </c>
    </row>
    <row r="1667">
      <c r="A1667" s="2">
        <v>45962</v>
      </c>
      <c r="B1667">
        <v>2026.0</v>
      </c>
      <c r="C1667" t="s">
        <v>321</v>
      </c>
      <c r="D1667" t="s">
        <v>319</v>
      </c>
      <c r="E1667" t="s">
        <v>114</v>
      </c>
      <c r="F1667" t="s">
        <v>304</v>
      </c>
      <c r="G1667" t="s">
        <v>9</v>
      </c>
      <c r="H1667">
        <v>2031.0</v>
      </c>
      <c r="I1667" t="s">
        <v>31</v>
      </c>
      <c r="J1667" t="s">
        <v>99</v>
      </c>
      <c r="K1667" t="s">
        <v>66</v>
      </c>
      <c r="L1667" t="s">
        <v>67</v>
      </c>
      <c r="M1667">
        <v>85.65</v>
      </c>
    </row>
    <row r="1668">
      <c r="A1668" s="2">
        <v>45416</v>
      </c>
      <c r="B1668">
        <v>2024.0</v>
      </c>
      <c r="C1668" t="s">
        <v>318</v>
      </c>
      <c r="D1668" t="s">
        <v>319</v>
      </c>
      <c r="E1668" t="s">
        <v>236</v>
      </c>
      <c r="F1668" t="s">
        <v>307</v>
      </c>
      <c r="G1668" t="s">
        <v>12</v>
      </c>
      <c r="H1668">
        <v>6052.0</v>
      </c>
      <c r="I1668" t="s">
        <v>31</v>
      </c>
      <c r="J1668" t="s">
        <v>102</v>
      </c>
      <c r="K1668" t="s">
        <v>112</v>
      </c>
      <c r="L1668" t="s">
        <v>113</v>
      </c>
      <c r="M1668">
        <v>85.82</v>
      </c>
    </row>
    <row r="1669">
      <c r="A1669" s="2">
        <v>45411</v>
      </c>
      <c r="B1669">
        <v>2024.0</v>
      </c>
      <c r="C1669" t="s">
        <v>318</v>
      </c>
      <c r="D1669" t="s">
        <v>319</v>
      </c>
      <c r="E1669" t="s">
        <v>260</v>
      </c>
      <c r="F1669" t="s">
        <v>305</v>
      </c>
      <c r="G1669" t="s">
        <v>10</v>
      </c>
      <c r="H1669">
        <v>3179.0</v>
      </c>
      <c r="I1669" t="s">
        <v>31</v>
      </c>
      <c r="J1669" t="s">
        <v>89</v>
      </c>
      <c r="K1669" t="s">
        <v>123</v>
      </c>
      <c r="L1669" t="s">
        <v>124</v>
      </c>
      <c r="M1669">
        <v>85.84</v>
      </c>
    </row>
    <row r="1670">
      <c r="A1670" s="2">
        <v>45638</v>
      </c>
      <c r="B1670">
        <v>2025.0</v>
      </c>
      <c r="C1670" t="s">
        <v>315</v>
      </c>
      <c r="D1670" t="s">
        <v>316</v>
      </c>
      <c r="E1670" t="s">
        <v>40</v>
      </c>
      <c r="F1670" t="s">
        <v>308</v>
      </c>
      <c r="G1670" t="s">
        <v>13</v>
      </c>
      <c r="H1670">
        <v>5011.0</v>
      </c>
      <c r="I1670" t="s">
        <v>31</v>
      </c>
      <c r="J1670" t="s">
        <v>42</v>
      </c>
      <c r="K1670" t="s">
        <v>123</v>
      </c>
      <c r="L1670" t="s">
        <v>124</v>
      </c>
      <c r="M1670">
        <v>85.86</v>
      </c>
    </row>
    <row r="1671">
      <c r="A1671" s="2">
        <v>45482</v>
      </c>
      <c r="B1671">
        <v>2025.0</v>
      </c>
      <c r="C1671" t="s">
        <v>315</v>
      </c>
      <c r="D1671" t="s">
        <v>319</v>
      </c>
      <c r="E1671" t="s">
        <v>244</v>
      </c>
      <c r="F1671" t="s">
        <v>308</v>
      </c>
      <c r="G1671" t="s">
        <v>13</v>
      </c>
      <c r="H1671">
        <v>5168.0</v>
      </c>
      <c r="I1671" t="s">
        <v>31</v>
      </c>
      <c r="J1671" t="s">
        <v>42</v>
      </c>
      <c r="K1671" t="s">
        <v>112</v>
      </c>
      <c r="L1671" t="s">
        <v>113</v>
      </c>
      <c r="M1671">
        <v>85.88</v>
      </c>
    </row>
    <row r="1672">
      <c r="A1672" s="2">
        <v>45933</v>
      </c>
      <c r="B1672">
        <v>2026.0</v>
      </c>
      <c r="C1672" t="s">
        <v>321</v>
      </c>
      <c r="D1672" t="s">
        <v>316</v>
      </c>
      <c r="E1672" t="s">
        <v>258</v>
      </c>
      <c r="F1672" t="s">
        <v>309</v>
      </c>
      <c r="G1672" t="s">
        <v>14</v>
      </c>
      <c r="H1672">
        <v>870.0</v>
      </c>
      <c r="I1672" t="s">
        <v>31</v>
      </c>
      <c r="J1672" t="s">
        <v>145</v>
      </c>
      <c r="K1672" t="s">
        <v>43</v>
      </c>
      <c r="L1672" t="s">
        <v>44</v>
      </c>
      <c r="M1672">
        <v>85.92</v>
      </c>
    </row>
    <row r="1673">
      <c r="A1673" s="2">
        <v>45833</v>
      </c>
      <c r="B1673">
        <v>2025.0</v>
      </c>
      <c r="C1673" t="s">
        <v>315</v>
      </c>
      <c r="D1673" t="s">
        <v>316</v>
      </c>
      <c r="E1673" t="s">
        <v>183</v>
      </c>
      <c r="F1673" t="s">
        <v>304</v>
      </c>
      <c r="G1673" t="s">
        <v>9</v>
      </c>
      <c r="H1673">
        <v>2480.0</v>
      </c>
      <c r="I1673" t="s">
        <v>31</v>
      </c>
      <c r="J1673" t="s">
        <v>70</v>
      </c>
      <c r="K1673" t="s">
        <v>43</v>
      </c>
      <c r="L1673" t="s">
        <v>44</v>
      </c>
      <c r="M1673">
        <v>85.94999999999999</v>
      </c>
    </row>
    <row r="1674">
      <c r="A1674" s="2">
        <v>45982</v>
      </c>
      <c r="B1674">
        <v>2026.0</v>
      </c>
      <c r="C1674" t="s">
        <v>321</v>
      </c>
      <c r="D1674" t="s">
        <v>316</v>
      </c>
      <c r="E1674" t="s">
        <v>97</v>
      </c>
      <c r="F1674" t="s">
        <v>304</v>
      </c>
      <c r="G1674" t="s">
        <v>9</v>
      </c>
      <c r="H1674">
        <v>2067.0</v>
      </c>
      <c r="I1674" t="s">
        <v>31</v>
      </c>
      <c r="J1674" t="s">
        <v>99</v>
      </c>
      <c r="K1674" t="s">
        <v>95</v>
      </c>
      <c r="L1674" t="s">
        <v>96</v>
      </c>
      <c r="M1674">
        <v>86.29</v>
      </c>
    </row>
    <row r="1675">
      <c r="A1675" s="2">
        <v>45438</v>
      </c>
      <c r="B1675">
        <v>2024.0</v>
      </c>
      <c r="C1675" t="s">
        <v>318</v>
      </c>
      <c r="D1675" t="s">
        <v>316</v>
      </c>
      <c r="E1675" t="s">
        <v>148</v>
      </c>
      <c r="F1675" t="s">
        <v>307</v>
      </c>
      <c r="G1675" t="s">
        <v>12</v>
      </c>
      <c r="H1675">
        <v>6450.0</v>
      </c>
      <c r="I1675" t="s">
        <v>31</v>
      </c>
      <c r="J1675" t="s">
        <v>50</v>
      </c>
      <c r="K1675" t="s">
        <v>57</v>
      </c>
      <c r="L1675" t="s">
        <v>58</v>
      </c>
      <c r="M1675">
        <v>86.43</v>
      </c>
    </row>
    <row r="1676">
      <c r="A1676" s="2">
        <v>45697</v>
      </c>
      <c r="B1676">
        <v>2025.0</v>
      </c>
      <c r="C1676" t="s">
        <v>315</v>
      </c>
      <c r="D1676" t="s">
        <v>316</v>
      </c>
      <c r="E1676" t="s">
        <v>264</v>
      </c>
      <c r="F1676" t="s">
        <v>308</v>
      </c>
      <c r="G1676" t="s">
        <v>13</v>
      </c>
      <c r="H1676">
        <v>5043.0</v>
      </c>
      <c r="I1676" t="s">
        <v>31</v>
      </c>
      <c r="J1676" t="s">
        <v>42</v>
      </c>
      <c r="K1676" t="s">
        <v>123</v>
      </c>
      <c r="L1676" t="s">
        <v>124</v>
      </c>
      <c r="M1676">
        <v>86.48</v>
      </c>
    </row>
    <row r="1677">
      <c r="A1677" s="2">
        <v>45387</v>
      </c>
      <c r="B1677">
        <v>2024.0</v>
      </c>
      <c r="C1677" t="s">
        <v>318</v>
      </c>
      <c r="D1677" t="s">
        <v>316</v>
      </c>
      <c r="E1677" t="s">
        <v>219</v>
      </c>
      <c r="F1677" t="s">
        <v>306</v>
      </c>
      <c r="G1677" t="s">
        <v>11</v>
      </c>
      <c r="H1677">
        <v>4068.0</v>
      </c>
      <c r="I1677" t="s">
        <v>31</v>
      </c>
      <c r="J1677" t="s">
        <v>56</v>
      </c>
      <c r="K1677" t="s">
        <v>112</v>
      </c>
      <c r="L1677" t="s">
        <v>113</v>
      </c>
      <c r="M1677">
        <v>86.77</v>
      </c>
    </row>
    <row r="1678">
      <c r="A1678" s="2">
        <v>46000</v>
      </c>
      <c r="B1678">
        <v>2026.0</v>
      </c>
      <c r="C1678" t="s">
        <v>321</v>
      </c>
      <c r="D1678" t="s">
        <v>319</v>
      </c>
      <c r="E1678" t="s">
        <v>230</v>
      </c>
      <c r="F1678" t="s">
        <v>308</v>
      </c>
      <c r="G1678" t="s">
        <v>13</v>
      </c>
      <c r="H1678">
        <v>5290.0</v>
      </c>
      <c r="I1678" t="s">
        <v>31</v>
      </c>
      <c r="J1678" t="s">
        <v>227</v>
      </c>
      <c r="K1678" t="s">
        <v>43</v>
      </c>
      <c r="L1678" t="s">
        <v>44</v>
      </c>
      <c r="M1678">
        <v>86.78999999999999</v>
      </c>
    </row>
    <row r="1679">
      <c r="A1679" s="2">
        <v>45436</v>
      </c>
      <c r="B1679">
        <v>2024.0</v>
      </c>
      <c r="C1679" t="s">
        <v>318</v>
      </c>
      <c r="D1679" t="s">
        <v>319</v>
      </c>
      <c r="E1679" t="s">
        <v>195</v>
      </c>
      <c r="F1679" t="s">
        <v>306</v>
      </c>
      <c r="G1679" t="s">
        <v>11</v>
      </c>
      <c r="H1679">
        <v>4700.0</v>
      </c>
      <c r="I1679" t="s">
        <v>31</v>
      </c>
      <c r="J1679" t="s">
        <v>32</v>
      </c>
      <c r="K1679" t="s">
        <v>38</v>
      </c>
      <c r="L1679" t="s">
        <v>39</v>
      </c>
      <c r="M1679">
        <v>86.88000000000001</v>
      </c>
    </row>
    <row r="1680">
      <c r="A1680" s="2">
        <v>45538</v>
      </c>
      <c r="B1680">
        <v>2025.0</v>
      </c>
      <c r="C1680" t="s">
        <v>315</v>
      </c>
      <c r="D1680" t="s">
        <v>319</v>
      </c>
      <c r="E1680" t="s">
        <v>230</v>
      </c>
      <c r="F1680" t="s">
        <v>308</v>
      </c>
      <c r="G1680" t="s">
        <v>13</v>
      </c>
      <c r="H1680">
        <v>5290.0</v>
      </c>
      <c r="I1680" t="s">
        <v>31</v>
      </c>
      <c r="J1680" t="s">
        <v>227</v>
      </c>
      <c r="K1680" t="s">
        <v>71</v>
      </c>
      <c r="L1680" t="s">
        <v>72</v>
      </c>
      <c r="M1680">
        <v>86.91</v>
      </c>
    </row>
    <row r="1681">
      <c r="A1681" s="2">
        <v>45421</v>
      </c>
      <c r="B1681">
        <v>2024.0</v>
      </c>
      <c r="C1681" t="s">
        <v>318</v>
      </c>
      <c r="D1681" t="s">
        <v>319</v>
      </c>
      <c r="E1681" t="s">
        <v>108</v>
      </c>
      <c r="F1681" t="s">
        <v>304</v>
      </c>
      <c r="G1681" t="s">
        <v>9</v>
      </c>
      <c r="H1681">
        <v>2795.0</v>
      </c>
      <c r="I1681" t="s">
        <v>31</v>
      </c>
      <c r="J1681" t="s">
        <v>75</v>
      </c>
      <c r="K1681" t="s">
        <v>46</v>
      </c>
      <c r="L1681" t="s">
        <v>47</v>
      </c>
      <c r="M1681">
        <v>86.94000000000001</v>
      </c>
    </row>
    <row r="1682">
      <c r="A1682" s="2">
        <v>45849</v>
      </c>
      <c r="B1682">
        <v>2026.0</v>
      </c>
      <c r="C1682" t="s">
        <v>321</v>
      </c>
      <c r="D1682" t="s">
        <v>319</v>
      </c>
      <c r="E1682" t="s">
        <v>160</v>
      </c>
      <c r="F1682" t="s">
        <v>307</v>
      </c>
      <c r="G1682" t="s">
        <v>12</v>
      </c>
      <c r="H1682">
        <v>6280.0</v>
      </c>
      <c r="I1682" t="s">
        <v>31</v>
      </c>
      <c r="J1682" t="s">
        <v>162</v>
      </c>
      <c r="K1682" t="s">
        <v>43</v>
      </c>
      <c r="L1682" t="s">
        <v>44</v>
      </c>
      <c r="M1682">
        <v>87.41000000000001</v>
      </c>
    </row>
    <row r="1683">
      <c r="A1683" s="2">
        <v>45726</v>
      </c>
      <c r="B1683">
        <v>2025.0</v>
      </c>
      <c r="C1683" t="s">
        <v>315</v>
      </c>
      <c r="D1683" t="s">
        <v>316</v>
      </c>
      <c r="E1683" t="s">
        <v>105</v>
      </c>
      <c r="F1683" t="s">
        <v>304</v>
      </c>
      <c r="G1683" t="s">
        <v>9</v>
      </c>
      <c r="H1683">
        <v>2541.0</v>
      </c>
      <c r="I1683" t="s">
        <v>31</v>
      </c>
      <c r="J1683" t="s">
        <v>107</v>
      </c>
      <c r="K1683" t="s">
        <v>33</v>
      </c>
      <c r="L1683" t="s">
        <v>34</v>
      </c>
      <c r="M1683">
        <v>87.63000000000001</v>
      </c>
    </row>
    <row r="1684">
      <c r="A1684" s="2">
        <v>45412</v>
      </c>
      <c r="B1684">
        <v>2024.0</v>
      </c>
      <c r="C1684" t="s">
        <v>318</v>
      </c>
      <c r="D1684" t="s">
        <v>319</v>
      </c>
      <c r="E1684" t="s">
        <v>221</v>
      </c>
      <c r="F1684" t="s">
        <v>306</v>
      </c>
      <c r="G1684" t="s">
        <v>11</v>
      </c>
      <c r="H1684">
        <v>4053.0</v>
      </c>
      <c r="I1684" t="s">
        <v>31</v>
      </c>
      <c r="J1684" t="s">
        <v>56</v>
      </c>
      <c r="K1684" t="s">
        <v>123</v>
      </c>
      <c r="L1684" t="s">
        <v>124</v>
      </c>
      <c r="M1684">
        <v>87.67999999999999</v>
      </c>
    </row>
    <row r="1685">
      <c r="A1685" s="2">
        <v>46016</v>
      </c>
      <c r="B1685">
        <v>2026.0</v>
      </c>
      <c r="C1685" t="s">
        <v>321</v>
      </c>
      <c r="D1685" t="s">
        <v>319</v>
      </c>
      <c r="E1685" t="s">
        <v>185</v>
      </c>
      <c r="F1685" t="s">
        <v>307</v>
      </c>
      <c r="G1685" t="s">
        <v>12</v>
      </c>
      <c r="H1685">
        <v>6109.0</v>
      </c>
      <c r="I1685" t="s">
        <v>31</v>
      </c>
      <c r="J1685" t="s">
        <v>162</v>
      </c>
      <c r="K1685" t="s">
        <v>95</v>
      </c>
      <c r="L1685" t="s">
        <v>96</v>
      </c>
      <c r="M1685">
        <v>87.78</v>
      </c>
    </row>
    <row r="1686">
      <c r="A1686" s="2">
        <v>45312</v>
      </c>
      <c r="B1686">
        <v>2024.0</v>
      </c>
      <c r="C1686" t="s">
        <v>318</v>
      </c>
      <c r="D1686" t="s">
        <v>316</v>
      </c>
      <c r="E1686" t="s">
        <v>82</v>
      </c>
      <c r="F1686" t="s">
        <v>306</v>
      </c>
      <c r="G1686" t="s">
        <v>11</v>
      </c>
      <c r="H1686">
        <v>4558.0</v>
      </c>
      <c r="I1686" t="s">
        <v>31</v>
      </c>
      <c r="J1686" t="s">
        <v>84</v>
      </c>
      <c r="K1686" t="s">
        <v>95</v>
      </c>
      <c r="L1686" t="s">
        <v>96</v>
      </c>
      <c r="M1686">
        <v>87.78</v>
      </c>
    </row>
    <row r="1687">
      <c r="A1687" s="2">
        <v>45782</v>
      </c>
      <c r="B1687">
        <v>2025.0</v>
      </c>
      <c r="C1687" t="s">
        <v>315</v>
      </c>
      <c r="D1687" t="s">
        <v>316</v>
      </c>
      <c r="E1687" t="s">
        <v>195</v>
      </c>
      <c r="F1687" t="s">
        <v>306</v>
      </c>
      <c r="G1687" t="s">
        <v>11</v>
      </c>
      <c r="H1687">
        <v>4700.0</v>
      </c>
      <c r="I1687" t="s">
        <v>31</v>
      </c>
      <c r="J1687" t="s">
        <v>32</v>
      </c>
      <c r="K1687" t="s">
        <v>71</v>
      </c>
      <c r="L1687" t="s">
        <v>72</v>
      </c>
      <c r="M1687">
        <v>87.83</v>
      </c>
    </row>
    <row r="1688">
      <c r="A1688" s="2">
        <v>45349</v>
      </c>
      <c r="B1688">
        <v>2024.0</v>
      </c>
      <c r="C1688" t="s">
        <v>318</v>
      </c>
      <c r="D1688" t="s">
        <v>316</v>
      </c>
      <c r="E1688" t="s">
        <v>179</v>
      </c>
      <c r="F1688" t="s">
        <v>304</v>
      </c>
      <c r="G1688" t="s">
        <v>9</v>
      </c>
      <c r="H1688">
        <v>2015.0</v>
      </c>
      <c r="I1688" t="s">
        <v>31</v>
      </c>
      <c r="J1688" t="s">
        <v>99</v>
      </c>
      <c r="K1688" t="s">
        <v>46</v>
      </c>
      <c r="L1688" t="s">
        <v>47</v>
      </c>
      <c r="M1688">
        <v>87.85</v>
      </c>
    </row>
    <row r="1689">
      <c r="A1689" s="2">
        <v>45809</v>
      </c>
      <c r="B1689">
        <v>2025.0</v>
      </c>
      <c r="C1689" t="s">
        <v>315</v>
      </c>
      <c r="D1689" t="s">
        <v>319</v>
      </c>
      <c r="E1689" t="s">
        <v>51</v>
      </c>
      <c r="F1689" t="s">
        <v>310</v>
      </c>
      <c r="G1689" t="s">
        <v>15</v>
      </c>
      <c r="H1689">
        <v>7018.0</v>
      </c>
      <c r="I1689" t="s">
        <v>31</v>
      </c>
      <c r="J1689" t="s">
        <v>53</v>
      </c>
      <c r="K1689" t="s">
        <v>43</v>
      </c>
      <c r="L1689" t="s">
        <v>44</v>
      </c>
      <c r="M1689">
        <v>87.96</v>
      </c>
    </row>
    <row r="1690">
      <c r="A1690" s="2">
        <v>45546</v>
      </c>
      <c r="B1690">
        <v>2025.0</v>
      </c>
      <c r="C1690" t="s">
        <v>315</v>
      </c>
      <c r="D1690" t="s">
        <v>316</v>
      </c>
      <c r="E1690" t="s">
        <v>40</v>
      </c>
      <c r="F1690" t="s">
        <v>308</v>
      </c>
      <c r="G1690" t="s">
        <v>13</v>
      </c>
      <c r="H1690">
        <v>5011.0</v>
      </c>
      <c r="I1690" t="s">
        <v>31</v>
      </c>
      <c r="J1690" t="s">
        <v>42</v>
      </c>
      <c r="K1690" t="s">
        <v>43</v>
      </c>
      <c r="L1690" t="s">
        <v>44</v>
      </c>
      <c r="M1690">
        <v>88.42</v>
      </c>
    </row>
    <row r="1691">
      <c r="A1691" s="2">
        <v>45647</v>
      </c>
      <c r="B1691">
        <v>2025.0</v>
      </c>
      <c r="C1691" t="s">
        <v>315</v>
      </c>
      <c r="D1691" t="s">
        <v>319</v>
      </c>
      <c r="E1691" t="s">
        <v>125</v>
      </c>
      <c r="F1691" t="s">
        <v>305</v>
      </c>
      <c r="G1691" t="s">
        <v>10</v>
      </c>
      <c r="H1691">
        <v>3931.0</v>
      </c>
      <c r="I1691" t="s">
        <v>31</v>
      </c>
      <c r="J1691" t="s">
        <v>94</v>
      </c>
      <c r="K1691" t="s">
        <v>123</v>
      </c>
      <c r="L1691" t="s">
        <v>124</v>
      </c>
      <c r="M1691">
        <v>88.46000000000001</v>
      </c>
    </row>
    <row r="1692">
      <c r="A1692" s="2">
        <v>45665</v>
      </c>
      <c r="B1692">
        <v>2025.0</v>
      </c>
      <c r="C1692" t="s">
        <v>315</v>
      </c>
      <c r="D1692" t="s">
        <v>316</v>
      </c>
      <c r="E1692" t="s">
        <v>141</v>
      </c>
      <c r="F1692" t="s">
        <v>304</v>
      </c>
      <c r="G1692" t="s">
        <v>9</v>
      </c>
      <c r="H1692">
        <v>2539.0</v>
      </c>
      <c r="I1692" t="s">
        <v>31</v>
      </c>
      <c r="J1692" t="s">
        <v>107</v>
      </c>
      <c r="K1692" t="s">
        <v>43</v>
      </c>
      <c r="L1692" t="s">
        <v>44</v>
      </c>
      <c r="M1692">
        <v>88.5</v>
      </c>
    </row>
    <row r="1693">
      <c r="A1693" s="2">
        <v>45376</v>
      </c>
      <c r="B1693">
        <v>2024.0</v>
      </c>
      <c r="C1693" t="s">
        <v>318</v>
      </c>
      <c r="D1693" t="s">
        <v>316</v>
      </c>
      <c r="E1693" t="s">
        <v>234</v>
      </c>
      <c r="F1693" t="s">
        <v>304</v>
      </c>
      <c r="G1693" t="s">
        <v>9</v>
      </c>
      <c r="H1693">
        <v>2158.0</v>
      </c>
      <c r="I1693" t="s">
        <v>31</v>
      </c>
      <c r="J1693" t="s">
        <v>81</v>
      </c>
      <c r="K1693" t="s">
        <v>123</v>
      </c>
      <c r="L1693" t="s">
        <v>124</v>
      </c>
      <c r="M1693">
        <v>88.85999999999999</v>
      </c>
    </row>
    <row r="1694">
      <c r="A1694" s="2">
        <v>45989</v>
      </c>
      <c r="B1694">
        <v>2026.0</v>
      </c>
      <c r="C1694" t="s">
        <v>321</v>
      </c>
      <c r="D1694" t="s">
        <v>319</v>
      </c>
      <c r="E1694" t="s">
        <v>238</v>
      </c>
      <c r="F1694" t="s">
        <v>308</v>
      </c>
      <c r="G1694" t="s">
        <v>13</v>
      </c>
      <c r="H1694">
        <v>5082.0</v>
      </c>
      <c r="I1694" t="s">
        <v>31</v>
      </c>
      <c r="J1694" t="s">
        <v>42</v>
      </c>
      <c r="K1694" t="s">
        <v>95</v>
      </c>
      <c r="L1694" t="s">
        <v>96</v>
      </c>
      <c r="M1694">
        <v>88.88</v>
      </c>
    </row>
    <row r="1695">
      <c r="A1695" s="2">
        <v>45313</v>
      </c>
      <c r="B1695">
        <v>2024.0</v>
      </c>
      <c r="C1695" t="s">
        <v>318</v>
      </c>
      <c r="D1695" t="s">
        <v>316</v>
      </c>
      <c r="E1695" t="s">
        <v>203</v>
      </c>
      <c r="F1695" t="s">
        <v>305</v>
      </c>
      <c r="G1695" t="s">
        <v>10</v>
      </c>
      <c r="H1695">
        <v>3175.0</v>
      </c>
      <c r="I1695" t="s">
        <v>31</v>
      </c>
      <c r="J1695" t="s">
        <v>89</v>
      </c>
      <c r="K1695" t="s">
        <v>95</v>
      </c>
      <c r="L1695" t="s">
        <v>96</v>
      </c>
      <c r="M1695">
        <v>88.92</v>
      </c>
    </row>
    <row r="1696">
      <c r="A1696" s="2">
        <v>45769</v>
      </c>
      <c r="B1696">
        <v>2025.0</v>
      </c>
      <c r="C1696" t="s">
        <v>315</v>
      </c>
      <c r="D1696" t="s">
        <v>319</v>
      </c>
      <c r="E1696" t="s">
        <v>236</v>
      </c>
      <c r="F1696" t="s">
        <v>307</v>
      </c>
      <c r="G1696" t="s">
        <v>12</v>
      </c>
      <c r="H1696">
        <v>6052.0</v>
      </c>
      <c r="I1696" t="s">
        <v>31</v>
      </c>
      <c r="J1696" t="s">
        <v>102</v>
      </c>
      <c r="K1696" t="s">
        <v>123</v>
      </c>
      <c r="L1696" t="s">
        <v>124</v>
      </c>
      <c r="M1696">
        <v>88.95</v>
      </c>
    </row>
    <row r="1697">
      <c r="A1697" s="2">
        <v>45751</v>
      </c>
      <c r="B1697">
        <v>2025.0</v>
      </c>
      <c r="C1697" t="s">
        <v>315</v>
      </c>
      <c r="D1697" t="s">
        <v>319</v>
      </c>
      <c r="E1697" t="s">
        <v>260</v>
      </c>
      <c r="F1697" t="s">
        <v>305</v>
      </c>
      <c r="G1697" t="s">
        <v>10</v>
      </c>
      <c r="H1697">
        <v>3179.0</v>
      </c>
      <c r="I1697" t="s">
        <v>31</v>
      </c>
      <c r="J1697" t="s">
        <v>89</v>
      </c>
      <c r="K1697" t="s">
        <v>33</v>
      </c>
      <c r="L1697" t="s">
        <v>34</v>
      </c>
      <c r="M1697">
        <v>89.19</v>
      </c>
    </row>
    <row r="1698">
      <c r="A1698" s="2">
        <v>45662</v>
      </c>
      <c r="B1698">
        <v>2025.0</v>
      </c>
      <c r="C1698" t="s">
        <v>315</v>
      </c>
      <c r="D1698" t="s">
        <v>319</v>
      </c>
      <c r="E1698" t="s">
        <v>163</v>
      </c>
      <c r="F1698" t="s">
        <v>304</v>
      </c>
      <c r="G1698" t="s">
        <v>9</v>
      </c>
      <c r="H1698">
        <v>2154.0</v>
      </c>
      <c r="I1698" t="s">
        <v>31</v>
      </c>
      <c r="J1698" t="s">
        <v>81</v>
      </c>
      <c r="K1698" t="s">
        <v>95</v>
      </c>
      <c r="L1698" t="s">
        <v>96</v>
      </c>
      <c r="M1698">
        <v>89.32</v>
      </c>
    </row>
    <row r="1699">
      <c r="A1699" s="2">
        <v>45838</v>
      </c>
      <c r="B1699">
        <v>2025.0</v>
      </c>
      <c r="C1699" t="s">
        <v>315</v>
      </c>
      <c r="D1699" t="s">
        <v>316</v>
      </c>
      <c r="E1699" t="s">
        <v>97</v>
      </c>
      <c r="F1699" t="s">
        <v>304</v>
      </c>
      <c r="G1699" t="s">
        <v>9</v>
      </c>
      <c r="H1699">
        <v>2067.0</v>
      </c>
      <c r="I1699" t="s">
        <v>31</v>
      </c>
      <c r="J1699" t="s">
        <v>99</v>
      </c>
      <c r="K1699" t="s">
        <v>38</v>
      </c>
      <c r="L1699" t="s">
        <v>39</v>
      </c>
      <c r="M1699">
        <v>89.36</v>
      </c>
    </row>
    <row r="1700">
      <c r="A1700" s="2">
        <v>46016</v>
      </c>
      <c r="B1700">
        <v>2026.0</v>
      </c>
      <c r="C1700" t="s">
        <v>321</v>
      </c>
      <c r="D1700" t="s">
        <v>316</v>
      </c>
      <c r="E1700" t="s">
        <v>97</v>
      </c>
      <c r="F1700" t="s">
        <v>304</v>
      </c>
      <c r="G1700" t="s">
        <v>9</v>
      </c>
      <c r="H1700">
        <v>2067.0</v>
      </c>
      <c r="I1700" t="s">
        <v>31</v>
      </c>
      <c r="J1700" t="s">
        <v>99</v>
      </c>
      <c r="K1700" t="s">
        <v>43</v>
      </c>
      <c r="L1700" t="s">
        <v>44</v>
      </c>
      <c r="M1700">
        <v>89.41</v>
      </c>
    </row>
    <row r="1701">
      <c r="A1701" s="2">
        <v>45958</v>
      </c>
      <c r="B1701">
        <v>2026.0</v>
      </c>
      <c r="C1701" t="s">
        <v>321</v>
      </c>
      <c r="D1701" t="s">
        <v>316</v>
      </c>
      <c r="E1701" t="s">
        <v>154</v>
      </c>
      <c r="F1701" t="s">
        <v>306</v>
      </c>
      <c r="G1701" t="s">
        <v>11</v>
      </c>
      <c r="H1701">
        <v>4551.0</v>
      </c>
      <c r="I1701" t="s">
        <v>31</v>
      </c>
      <c r="J1701" t="s">
        <v>84</v>
      </c>
      <c r="K1701" t="s">
        <v>43</v>
      </c>
      <c r="L1701" t="s">
        <v>44</v>
      </c>
      <c r="M1701">
        <v>89.53999999999999</v>
      </c>
    </row>
    <row r="1702">
      <c r="A1702" s="2">
        <v>45502</v>
      </c>
      <c r="B1702">
        <v>2025.0</v>
      </c>
      <c r="C1702" t="s">
        <v>315</v>
      </c>
      <c r="D1702" t="s">
        <v>316</v>
      </c>
      <c r="E1702" t="s">
        <v>234</v>
      </c>
      <c r="F1702" t="s">
        <v>304</v>
      </c>
      <c r="G1702" t="s">
        <v>9</v>
      </c>
      <c r="H1702">
        <v>2158.0</v>
      </c>
      <c r="I1702" t="s">
        <v>31</v>
      </c>
      <c r="J1702" t="s">
        <v>81</v>
      </c>
      <c r="K1702" t="s">
        <v>95</v>
      </c>
      <c r="L1702" t="s">
        <v>96</v>
      </c>
      <c r="M1702">
        <v>89.82</v>
      </c>
    </row>
    <row r="1703">
      <c r="A1703" s="2">
        <v>45801</v>
      </c>
      <c r="B1703">
        <v>2025.0</v>
      </c>
      <c r="C1703" t="s">
        <v>315</v>
      </c>
      <c r="D1703" t="s">
        <v>316</v>
      </c>
      <c r="E1703" t="s">
        <v>59</v>
      </c>
      <c r="F1703" t="s">
        <v>306</v>
      </c>
      <c r="G1703" t="s">
        <v>11</v>
      </c>
      <c r="H1703">
        <v>4509.0</v>
      </c>
      <c r="I1703" t="s">
        <v>31</v>
      </c>
      <c r="J1703" t="s">
        <v>61</v>
      </c>
      <c r="K1703" t="s">
        <v>95</v>
      </c>
      <c r="L1703" t="s">
        <v>96</v>
      </c>
      <c r="M1703">
        <v>89.82</v>
      </c>
    </row>
    <row r="1704">
      <c r="A1704" s="2">
        <v>45430</v>
      </c>
      <c r="B1704">
        <v>2024.0</v>
      </c>
      <c r="C1704" t="s">
        <v>318</v>
      </c>
      <c r="D1704" t="s">
        <v>319</v>
      </c>
      <c r="E1704" t="s">
        <v>35</v>
      </c>
      <c r="F1704" t="s">
        <v>305</v>
      </c>
      <c r="G1704" t="s">
        <v>10</v>
      </c>
      <c r="H1704">
        <v>3280.0</v>
      </c>
      <c r="I1704" t="s">
        <v>31</v>
      </c>
      <c r="J1704" t="s">
        <v>37</v>
      </c>
      <c r="K1704" t="s">
        <v>57</v>
      </c>
      <c r="L1704" t="s">
        <v>58</v>
      </c>
      <c r="M1704">
        <v>89.82</v>
      </c>
    </row>
    <row r="1705">
      <c r="A1705" s="2">
        <v>45853</v>
      </c>
      <c r="B1705">
        <v>2026.0</v>
      </c>
      <c r="C1705" t="s">
        <v>321</v>
      </c>
      <c r="D1705" t="s">
        <v>319</v>
      </c>
      <c r="E1705" t="s">
        <v>244</v>
      </c>
      <c r="F1705" t="s">
        <v>308</v>
      </c>
      <c r="G1705" t="s">
        <v>13</v>
      </c>
      <c r="H1705">
        <v>5168.0</v>
      </c>
      <c r="I1705" t="s">
        <v>31</v>
      </c>
      <c r="J1705" t="s">
        <v>42</v>
      </c>
      <c r="K1705" t="s">
        <v>71</v>
      </c>
      <c r="L1705" t="s">
        <v>72</v>
      </c>
      <c r="M1705">
        <v>89.9</v>
      </c>
    </row>
    <row r="1706">
      <c r="A1706" s="2">
        <v>45404</v>
      </c>
      <c r="B1706">
        <v>2024.0</v>
      </c>
      <c r="C1706" t="s">
        <v>318</v>
      </c>
      <c r="D1706" t="s">
        <v>319</v>
      </c>
      <c r="E1706" t="s">
        <v>187</v>
      </c>
      <c r="F1706" t="s">
        <v>306</v>
      </c>
      <c r="G1706" t="s">
        <v>11</v>
      </c>
      <c r="H1706">
        <v>4870.0</v>
      </c>
      <c r="I1706" t="s">
        <v>31</v>
      </c>
      <c r="J1706" t="s">
        <v>78</v>
      </c>
      <c r="K1706" t="s">
        <v>71</v>
      </c>
      <c r="L1706" t="s">
        <v>72</v>
      </c>
      <c r="M1706">
        <v>89.91</v>
      </c>
    </row>
    <row r="1707">
      <c r="A1707" s="2">
        <v>45608</v>
      </c>
      <c r="B1707">
        <v>2025.0</v>
      </c>
      <c r="C1707" t="s">
        <v>315</v>
      </c>
      <c r="D1707" t="s">
        <v>319</v>
      </c>
      <c r="E1707" t="s">
        <v>201</v>
      </c>
      <c r="F1707" t="s">
        <v>305</v>
      </c>
      <c r="G1707" t="s">
        <v>10</v>
      </c>
      <c r="H1707">
        <v>3131.0</v>
      </c>
      <c r="I1707" t="s">
        <v>31</v>
      </c>
      <c r="J1707" t="s">
        <v>89</v>
      </c>
      <c r="K1707" t="s">
        <v>71</v>
      </c>
      <c r="L1707" t="s">
        <v>72</v>
      </c>
      <c r="M1707">
        <v>89.91</v>
      </c>
    </row>
    <row r="1708">
      <c r="A1708" s="2">
        <v>45493</v>
      </c>
      <c r="B1708">
        <v>2025.0</v>
      </c>
      <c r="C1708" t="s">
        <v>315</v>
      </c>
      <c r="D1708" t="s">
        <v>316</v>
      </c>
      <c r="E1708" t="s">
        <v>171</v>
      </c>
      <c r="F1708" t="s">
        <v>305</v>
      </c>
      <c r="G1708" t="s">
        <v>10</v>
      </c>
      <c r="H1708">
        <v>3500.0</v>
      </c>
      <c r="I1708" t="s">
        <v>31</v>
      </c>
      <c r="J1708" t="s">
        <v>37</v>
      </c>
      <c r="K1708" t="s">
        <v>123</v>
      </c>
      <c r="L1708" t="s">
        <v>124</v>
      </c>
      <c r="M1708">
        <v>89.91999999999999</v>
      </c>
    </row>
    <row r="1709">
      <c r="A1709" s="2">
        <v>45374</v>
      </c>
      <c r="B1709">
        <v>2024.0</v>
      </c>
      <c r="C1709" t="s">
        <v>318</v>
      </c>
      <c r="D1709" t="s">
        <v>319</v>
      </c>
      <c r="E1709" t="s">
        <v>171</v>
      </c>
      <c r="F1709" t="s">
        <v>305</v>
      </c>
      <c r="G1709" t="s">
        <v>10</v>
      </c>
      <c r="H1709">
        <v>3500.0</v>
      </c>
      <c r="I1709" t="s">
        <v>31</v>
      </c>
      <c r="J1709" t="s">
        <v>37</v>
      </c>
      <c r="K1709" t="s">
        <v>38</v>
      </c>
      <c r="L1709" t="s">
        <v>39</v>
      </c>
      <c r="M1709">
        <v>89.93</v>
      </c>
    </row>
    <row r="1710">
      <c r="A1710" s="2">
        <v>45807</v>
      </c>
      <c r="B1710">
        <v>2025.0</v>
      </c>
      <c r="C1710" t="s">
        <v>315</v>
      </c>
      <c r="D1710" t="s">
        <v>316</v>
      </c>
      <c r="E1710" t="s">
        <v>73</v>
      </c>
      <c r="F1710" t="s">
        <v>304</v>
      </c>
      <c r="G1710" t="s">
        <v>9</v>
      </c>
      <c r="H1710">
        <v>2750.0</v>
      </c>
      <c r="I1710" t="s">
        <v>31</v>
      </c>
      <c r="J1710" t="s">
        <v>75</v>
      </c>
      <c r="K1710" t="s">
        <v>43</v>
      </c>
      <c r="L1710" t="s">
        <v>44</v>
      </c>
      <c r="M1710">
        <v>89.94</v>
      </c>
    </row>
    <row r="1711">
      <c r="A1711" s="2">
        <v>45605</v>
      </c>
      <c r="B1711">
        <v>2025.0</v>
      </c>
      <c r="C1711" t="s">
        <v>315</v>
      </c>
      <c r="D1711" t="s">
        <v>319</v>
      </c>
      <c r="E1711" t="s">
        <v>133</v>
      </c>
      <c r="F1711" t="s">
        <v>305</v>
      </c>
      <c r="G1711" t="s">
        <v>10</v>
      </c>
      <c r="H1711">
        <v>3429.0</v>
      </c>
      <c r="I1711" t="s">
        <v>31</v>
      </c>
      <c r="J1711" t="s">
        <v>37</v>
      </c>
      <c r="K1711" t="s">
        <v>43</v>
      </c>
      <c r="L1711" t="s">
        <v>44</v>
      </c>
      <c r="M1711">
        <v>89.95</v>
      </c>
    </row>
    <row r="1712">
      <c r="A1712" s="2">
        <v>45980</v>
      </c>
      <c r="B1712">
        <v>2026.0</v>
      </c>
      <c r="C1712" t="s">
        <v>321</v>
      </c>
      <c r="D1712" t="s">
        <v>316</v>
      </c>
      <c r="E1712" t="s">
        <v>154</v>
      </c>
      <c r="F1712" t="s">
        <v>306</v>
      </c>
      <c r="G1712" t="s">
        <v>11</v>
      </c>
      <c r="H1712">
        <v>4551.0</v>
      </c>
      <c r="I1712" t="s">
        <v>31</v>
      </c>
      <c r="J1712" t="s">
        <v>84</v>
      </c>
      <c r="K1712" t="s">
        <v>57</v>
      </c>
      <c r="L1712" t="s">
        <v>58</v>
      </c>
      <c r="M1712">
        <v>89.97</v>
      </c>
    </row>
    <row r="1713">
      <c r="A1713" s="2">
        <v>45561</v>
      </c>
      <c r="B1713">
        <v>2025.0</v>
      </c>
      <c r="C1713" t="s">
        <v>315</v>
      </c>
      <c r="D1713" t="s">
        <v>316</v>
      </c>
      <c r="E1713" t="s">
        <v>148</v>
      </c>
      <c r="F1713" t="s">
        <v>307</v>
      </c>
      <c r="G1713" t="s">
        <v>12</v>
      </c>
      <c r="H1713">
        <v>6450.0</v>
      </c>
      <c r="I1713" t="s">
        <v>31</v>
      </c>
      <c r="J1713" t="s">
        <v>50</v>
      </c>
      <c r="K1713" t="s">
        <v>57</v>
      </c>
      <c r="L1713" t="s">
        <v>58</v>
      </c>
      <c r="M1713">
        <v>89.97</v>
      </c>
    </row>
    <row r="1714">
      <c r="A1714" s="2">
        <v>45484</v>
      </c>
      <c r="B1714">
        <v>2025.0</v>
      </c>
      <c r="C1714" t="s">
        <v>315</v>
      </c>
      <c r="D1714" t="s">
        <v>316</v>
      </c>
      <c r="E1714" t="s">
        <v>209</v>
      </c>
      <c r="F1714" t="s">
        <v>304</v>
      </c>
      <c r="G1714" t="s">
        <v>9</v>
      </c>
      <c r="H1714">
        <v>2116.0</v>
      </c>
      <c r="I1714" t="s">
        <v>31</v>
      </c>
      <c r="J1714" t="s">
        <v>81</v>
      </c>
      <c r="K1714" t="s">
        <v>95</v>
      </c>
      <c r="L1714" t="s">
        <v>96</v>
      </c>
      <c r="M1714">
        <v>90.22</v>
      </c>
    </row>
    <row r="1715">
      <c r="A1715" s="2">
        <v>45939</v>
      </c>
      <c r="B1715">
        <v>2026.0</v>
      </c>
      <c r="C1715" t="s">
        <v>321</v>
      </c>
      <c r="D1715" t="s">
        <v>319</v>
      </c>
      <c r="E1715" t="s">
        <v>85</v>
      </c>
      <c r="F1715" t="s">
        <v>304</v>
      </c>
      <c r="G1715" t="s">
        <v>9</v>
      </c>
      <c r="H1715">
        <v>2120.0</v>
      </c>
      <c r="I1715" t="s">
        <v>31</v>
      </c>
      <c r="J1715" t="s">
        <v>81</v>
      </c>
      <c r="K1715" t="s">
        <v>43</v>
      </c>
      <c r="L1715" t="s">
        <v>44</v>
      </c>
      <c r="M1715">
        <v>90.43</v>
      </c>
    </row>
    <row r="1716">
      <c r="A1716" s="2">
        <v>45731</v>
      </c>
      <c r="B1716">
        <v>2025.0</v>
      </c>
      <c r="C1716" t="s">
        <v>315</v>
      </c>
      <c r="D1716" t="s">
        <v>316</v>
      </c>
      <c r="E1716" t="s">
        <v>217</v>
      </c>
      <c r="F1716" t="s">
        <v>305</v>
      </c>
      <c r="G1716" t="s">
        <v>10</v>
      </c>
      <c r="H1716">
        <v>3136.0</v>
      </c>
      <c r="I1716" t="s">
        <v>31</v>
      </c>
      <c r="J1716" t="s">
        <v>89</v>
      </c>
      <c r="K1716" t="s">
        <v>43</v>
      </c>
      <c r="L1716" t="s">
        <v>44</v>
      </c>
      <c r="M1716">
        <v>90.44</v>
      </c>
    </row>
    <row r="1717">
      <c r="A1717" s="2">
        <v>45987</v>
      </c>
      <c r="B1717">
        <v>2026.0</v>
      </c>
      <c r="C1717" t="s">
        <v>321</v>
      </c>
      <c r="D1717" t="s">
        <v>319</v>
      </c>
      <c r="E1717" t="s">
        <v>213</v>
      </c>
      <c r="F1717" t="s">
        <v>306</v>
      </c>
      <c r="G1717" t="s">
        <v>11</v>
      </c>
      <c r="H1717">
        <v>4740.0</v>
      </c>
      <c r="I1717" t="s">
        <v>31</v>
      </c>
      <c r="J1717" t="s">
        <v>32</v>
      </c>
      <c r="K1717" t="s">
        <v>71</v>
      </c>
      <c r="L1717" t="s">
        <v>72</v>
      </c>
      <c r="M1717">
        <v>90.85000000000001</v>
      </c>
    </row>
    <row r="1718">
      <c r="A1718" s="2">
        <v>45939</v>
      </c>
      <c r="B1718">
        <v>2026.0</v>
      </c>
      <c r="C1718" t="s">
        <v>321</v>
      </c>
      <c r="D1718" t="s">
        <v>316</v>
      </c>
      <c r="E1718" t="s">
        <v>97</v>
      </c>
      <c r="F1718" t="s">
        <v>304</v>
      </c>
      <c r="G1718" t="s">
        <v>9</v>
      </c>
      <c r="H1718">
        <v>2067.0</v>
      </c>
      <c r="I1718" t="s">
        <v>31</v>
      </c>
      <c r="J1718" t="s">
        <v>99</v>
      </c>
      <c r="K1718" t="s">
        <v>38</v>
      </c>
      <c r="L1718" t="s">
        <v>39</v>
      </c>
      <c r="M1718">
        <v>90.87</v>
      </c>
    </row>
    <row r="1719">
      <c r="A1719" s="2">
        <v>45783</v>
      </c>
      <c r="B1719">
        <v>2025.0</v>
      </c>
      <c r="C1719" t="s">
        <v>315</v>
      </c>
      <c r="D1719" t="s">
        <v>316</v>
      </c>
      <c r="E1719" t="s">
        <v>262</v>
      </c>
      <c r="F1719" t="s">
        <v>305</v>
      </c>
      <c r="G1719" t="s">
        <v>10</v>
      </c>
      <c r="H1719">
        <v>3018.0</v>
      </c>
      <c r="I1719" t="s">
        <v>31</v>
      </c>
      <c r="J1719" t="s">
        <v>120</v>
      </c>
      <c r="K1719" t="s">
        <v>46</v>
      </c>
      <c r="L1719" t="s">
        <v>47</v>
      </c>
      <c r="M1719">
        <v>90.93</v>
      </c>
    </row>
    <row r="1720">
      <c r="A1720" s="2">
        <v>45507</v>
      </c>
      <c r="B1720">
        <v>2025.0</v>
      </c>
      <c r="C1720" t="s">
        <v>315</v>
      </c>
      <c r="D1720" t="s">
        <v>316</v>
      </c>
      <c r="E1720" t="s">
        <v>100</v>
      </c>
      <c r="F1720" t="s">
        <v>307</v>
      </c>
      <c r="G1720" t="s">
        <v>12</v>
      </c>
      <c r="H1720">
        <v>6010.0</v>
      </c>
      <c r="I1720" t="s">
        <v>31</v>
      </c>
      <c r="J1720" t="s">
        <v>102</v>
      </c>
      <c r="K1720" t="s">
        <v>46</v>
      </c>
      <c r="L1720" t="s">
        <v>47</v>
      </c>
      <c r="M1720">
        <v>90.93</v>
      </c>
    </row>
    <row r="1721">
      <c r="A1721" s="2">
        <v>45940</v>
      </c>
      <c r="B1721">
        <v>2026.0</v>
      </c>
      <c r="C1721" t="s">
        <v>321</v>
      </c>
      <c r="D1721" t="s">
        <v>319</v>
      </c>
      <c r="E1721" t="s">
        <v>223</v>
      </c>
      <c r="F1721" t="s">
        <v>305</v>
      </c>
      <c r="G1721" t="s">
        <v>10</v>
      </c>
      <c r="H1721">
        <v>3915.0</v>
      </c>
      <c r="I1721" t="s">
        <v>31</v>
      </c>
      <c r="J1721" t="s">
        <v>94</v>
      </c>
      <c r="K1721" t="s">
        <v>71</v>
      </c>
      <c r="L1721" t="s">
        <v>72</v>
      </c>
      <c r="M1721">
        <v>90.93</v>
      </c>
    </row>
    <row r="1722">
      <c r="A1722" s="2">
        <v>45777</v>
      </c>
      <c r="B1722">
        <v>2025.0</v>
      </c>
      <c r="C1722" t="s">
        <v>315</v>
      </c>
      <c r="D1722" t="s">
        <v>316</v>
      </c>
      <c r="E1722" t="s">
        <v>169</v>
      </c>
      <c r="F1722" t="s">
        <v>307</v>
      </c>
      <c r="G1722" t="s">
        <v>12</v>
      </c>
      <c r="H1722">
        <v>6027.0</v>
      </c>
      <c r="I1722" t="s">
        <v>31</v>
      </c>
      <c r="J1722" t="s">
        <v>102</v>
      </c>
      <c r="K1722" t="s">
        <v>46</v>
      </c>
      <c r="L1722" t="s">
        <v>47</v>
      </c>
      <c r="M1722">
        <v>90.93</v>
      </c>
    </row>
    <row r="1723">
      <c r="A1723" s="2">
        <v>45527</v>
      </c>
      <c r="B1723">
        <v>2025.0</v>
      </c>
      <c r="C1723" t="s">
        <v>315</v>
      </c>
      <c r="D1723" t="s">
        <v>319</v>
      </c>
      <c r="E1723" t="s">
        <v>105</v>
      </c>
      <c r="F1723" t="s">
        <v>304</v>
      </c>
      <c r="G1723" t="s">
        <v>9</v>
      </c>
      <c r="H1723">
        <v>2541.0</v>
      </c>
      <c r="I1723" t="s">
        <v>31</v>
      </c>
      <c r="J1723" t="s">
        <v>107</v>
      </c>
      <c r="K1723" t="s">
        <v>46</v>
      </c>
      <c r="L1723" t="s">
        <v>47</v>
      </c>
      <c r="M1723">
        <v>90.93</v>
      </c>
    </row>
    <row r="1724">
      <c r="A1724" s="2">
        <v>45988</v>
      </c>
      <c r="B1724">
        <v>2026.0</v>
      </c>
      <c r="C1724" t="s">
        <v>321</v>
      </c>
      <c r="D1724" t="s">
        <v>319</v>
      </c>
      <c r="E1724" t="s">
        <v>85</v>
      </c>
      <c r="F1724" t="s">
        <v>304</v>
      </c>
      <c r="G1724" t="s">
        <v>9</v>
      </c>
      <c r="H1724">
        <v>2120.0</v>
      </c>
      <c r="I1724" t="s">
        <v>31</v>
      </c>
      <c r="J1724" t="s">
        <v>81</v>
      </c>
      <c r="K1724" t="s">
        <v>43</v>
      </c>
      <c r="L1724" t="s">
        <v>44</v>
      </c>
      <c r="M1724">
        <v>90.93</v>
      </c>
    </row>
    <row r="1725">
      <c r="A1725" s="2">
        <v>45760</v>
      </c>
      <c r="B1725">
        <v>2025.0</v>
      </c>
      <c r="C1725" t="s">
        <v>315</v>
      </c>
      <c r="D1725" t="s">
        <v>319</v>
      </c>
      <c r="E1725" t="s">
        <v>29</v>
      </c>
      <c r="F1725" t="s">
        <v>306</v>
      </c>
      <c r="G1725" t="s">
        <v>11</v>
      </c>
      <c r="H1725">
        <v>4703.0</v>
      </c>
      <c r="I1725" t="s">
        <v>31</v>
      </c>
      <c r="J1725" t="s">
        <v>32</v>
      </c>
      <c r="K1725" t="s">
        <v>46</v>
      </c>
      <c r="L1725" t="s">
        <v>47</v>
      </c>
      <c r="M1725">
        <v>90.93</v>
      </c>
    </row>
    <row r="1726">
      <c r="A1726" s="2">
        <v>45715</v>
      </c>
      <c r="B1726">
        <v>2025.0</v>
      </c>
      <c r="C1726" t="s">
        <v>315</v>
      </c>
      <c r="D1726" t="s">
        <v>319</v>
      </c>
      <c r="E1726" t="s">
        <v>207</v>
      </c>
      <c r="F1726" t="s">
        <v>306</v>
      </c>
      <c r="G1726" t="s">
        <v>11</v>
      </c>
      <c r="H1726">
        <v>4825.0</v>
      </c>
      <c r="I1726" t="s">
        <v>31</v>
      </c>
      <c r="J1726" t="s">
        <v>78</v>
      </c>
      <c r="K1726" t="s">
        <v>123</v>
      </c>
      <c r="L1726" t="s">
        <v>124</v>
      </c>
      <c r="M1726">
        <v>90.95</v>
      </c>
    </row>
    <row r="1727">
      <c r="A1727" s="2">
        <v>45932</v>
      </c>
      <c r="B1727">
        <v>2026.0</v>
      </c>
      <c r="C1727" t="s">
        <v>321</v>
      </c>
      <c r="D1727" t="s">
        <v>319</v>
      </c>
      <c r="E1727" t="s">
        <v>118</v>
      </c>
      <c r="F1727" t="s">
        <v>305</v>
      </c>
      <c r="G1727" t="s">
        <v>10</v>
      </c>
      <c r="H1727">
        <v>3076.0</v>
      </c>
      <c r="I1727" t="s">
        <v>31</v>
      </c>
      <c r="J1727" t="s">
        <v>120</v>
      </c>
      <c r="K1727" t="s">
        <v>43</v>
      </c>
      <c r="L1727" t="s">
        <v>44</v>
      </c>
      <c r="M1727">
        <v>90.97</v>
      </c>
    </row>
    <row r="1728">
      <c r="A1728" s="2">
        <v>45463</v>
      </c>
      <c r="B1728">
        <v>2024.0</v>
      </c>
      <c r="C1728" t="s">
        <v>318</v>
      </c>
      <c r="D1728" t="s">
        <v>319</v>
      </c>
      <c r="E1728" t="s">
        <v>264</v>
      </c>
      <c r="F1728" t="s">
        <v>308</v>
      </c>
      <c r="G1728" t="s">
        <v>13</v>
      </c>
      <c r="H1728">
        <v>5043.0</v>
      </c>
      <c r="I1728" t="s">
        <v>31</v>
      </c>
      <c r="J1728" t="s">
        <v>42</v>
      </c>
      <c r="K1728" t="s">
        <v>95</v>
      </c>
      <c r="L1728" t="s">
        <v>96</v>
      </c>
      <c r="M1728">
        <v>91.00999999999999</v>
      </c>
    </row>
    <row r="1729">
      <c r="A1729" s="2">
        <v>45499</v>
      </c>
      <c r="B1729">
        <v>2025.0</v>
      </c>
      <c r="C1729" t="s">
        <v>315</v>
      </c>
      <c r="D1729" t="s">
        <v>316</v>
      </c>
      <c r="E1729" t="s">
        <v>129</v>
      </c>
      <c r="F1729" t="s">
        <v>305</v>
      </c>
      <c r="G1729" t="s">
        <v>10</v>
      </c>
      <c r="H1729">
        <v>3066.0</v>
      </c>
      <c r="I1729" t="s">
        <v>31</v>
      </c>
      <c r="J1729" t="s">
        <v>120</v>
      </c>
      <c r="K1729" t="s">
        <v>43</v>
      </c>
      <c r="L1729" t="s">
        <v>44</v>
      </c>
      <c r="M1729">
        <v>91.1</v>
      </c>
    </row>
    <row r="1730">
      <c r="A1730" s="2">
        <v>45696</v>
      </c>
      <c r="B1730">
        <v>2025.0</v>
      </c>
      <c r="C1730" t="s">
        <v>315</v>
      </c>
      <c r="D1730" t="s">
        <v>319</v>
      </c>
      <c r="E1730" t="s">
        <v>221</v>
      </c>
      <c r="F1730" t="s">
        <v>306</v>
      </c>
      <c r="G1730" t="s">
        <v>11</v>
      </c>
      <c r="H1730">
        <v>4053.0</v>
      </c>
      <c r="I1730" t="s">
        <v>31</v>
      </c>
      <c r="J1730" t="s">
        <v>56</v>
      </c>
      <c r="K1730" t="s">
        <v>43</v>
      </c>
      <c r="L1730" t="s">
        <v>44</v>
      </c>
      <c r="M1730">
        <v>91.33999999999999</v>
      </c>
    </row>
    <row r="1731">
      <c r="A1731" s="2">
        <v>45415</v>
      </c>
      <c r="B1731">
        <v>2024.0</v>
      </c>
      <c r="C1731" t="s">
        <v>318</v>
      </c>
      <c r="D1731" t="s">
        <v>319</v>
      </c>
      <c r="E1731" t="s">
        <v>48</v>
      </c>
      <c r="F1731" t="s">
        <v>307</v>
      </c>
      <c r="G1731" t="s">
        <v>12</v>
      </c>
      <c r="H1731">
        <v>6725.0</v>
      </c>
      <c r="I1731" t="s">
        <v>31</v>
      </c>
      <c r="J1731" t="s">
        <v>50</v>
      </c>
      <c r="K1731" t="s">
        <v>95</v>
      </c>
      <c r="L1731" t="s">
        <v>96</v>
      </c>
      <c r="M1731">
        <v>91.37</v>
      </c>
    </row>
    <row r="1732">
      <c r="A1732" s="2">
        <v>45430</v>
      </c>
      <c r="B1732">
        <v>2024.0</v>
      </c>
      <c r="C1732" t="s">
        <v>318</v>
      </c>
      <c r="D1732" t="s">
        <v>316</v>
      </c>
      <c r="E1732" t="s">
        <v>143</v>
      </c>
      <c r="F1732" t="s">
        <v>309</v>
      </c>
      <c r="G1732" t="s">
        <v>14</v>
      </c>
      <c r="H1732">
        <v>800.0</v>
      </c>
      <c r="I1732" t="s">
        <v>31</v>
      </c>
      <c r="J1732" t="s">
        <v>145</v>
      </c>
      <c r="K1732" t="s">
        <v>43</v>
      </c>
      <c r="L1732" t="s">
        <v>44</v>
      </c>
      <c r="M1732">
        <v>91.7</v>
      </c>
    </row>
    <row r="1733">
      <c r="A1733" s="2">
        <v>45806</v>
      </c>
      <c r="B1733">
        <v>2025.0</v>
      </c>
      <c r="C1733" t="s">
        <v>315</v>
      </c>
      <c r="D1733" t="s">
        <v>319</v>
      </c>
      <c r="E1733" t="s">
        <v>79</v>
      </c>
      <c r="F1733" t="s">
        <v>304</v>
      </c>
      <c r="G1733" t="s">
        <v>9</v>
      </c>
      <c r="H1733">
        <v>2141.0</v>
      </c>
      <c r="I1733" t="s">
        <v>31</v>
      </c>
      <c r="J1733" t="s">
        <v>81</v>
      </c>
      <c r="K1733" t="s">
        <v>33</v>
      </c>
      <c r="L1733" t="s">
        <v>34</v>
      </c>
      <c r="M1733">
        <v>91.77</v>
      </c>
    </row>
    <row r="1734">
      <c r="A1734" s="2">
        <v>45394</v>
      </c>
      <c r="B1734">
        <v>2024.0</v>
      </c>
      <c r="C1734" t="s">
        <v>318</v>
      </c>
      <c r="D1734" t="s">
        <v>316</v>
      </c>
      <c r="E1734" t="s">
        <v>40</v>
      </c>
      <c r="F1734" t="s">
        <v>308</v>
      </c>
      <c r="G1734" t="s">
        <v>13</v>
      </c>
      <c r="H1734">
        <v>5011.0</v>
      </c>
      <c r="I1734" t="s">
        <v>31</v>
      </c>
      <c r="J1734" t="s">
        <v>42</v>
      </c>
      <c r="K1734" t="s">
        <v>95</v>
      </c>
      <c r="L1734" t="s">
        <v>96</v>
      </c>
      <c r="M1734">
        <v>91.77</v>
      </c>
    </row>
    <row r="1735">
      <c r="A1735" s="2">
        <v>45738</v>
      </c>
      <c r="B1735">
        <v>2025.0</v>
      </c>
      <c r="C1735" t="s">
        <v>315</v>
      </c>
      <c r="D1735" t="s">
        <v>319</v>
      </c>
      <c r="E1735" t="s">
        <v>141</v>
      </c>
      <c r="F1735" t="s">
        <v>304</v>
      </c>
      <c r="G1735" t="s">
        <v>9</v>
      </c>
      <c r="H1735">
        <v>2539.0</v>
      </c>
      <c r="I1735" t="s">
        <v>31</v>
      </c>
      <c r="J1735" t="s">
        <v>107</v>
      </c>
      <c r="K1735" t="s">
        <v>71</v>
      </c>
      <c r="L1735" t="s">
        <v>72</v>
      </c>
      <c r="M1735">
        <v>91.83</v>
      </c>
    </row>
    <row r="1736">
      <c r="A1736" s="2">
        <v>45841</v>
      </c>
      <c r="B1736">
        <v>2026.0</v>
      </c>
      <c r="C1736" t="s">
        <v>321</v>
      </c>
      <c r="D1736" t="s">
        <v>319</v>
      </c>
      <c r="E1736" t="s">
        <v>87</v>
      </c>
      <c r="F1736" t="s">
        <v>305</v>
      </c>
      <c r="G1736" t="s">
        <v>10</v>
      </c>
      <c r="H1736">
        <v>3148.0</v>
      </c>
      <c r="I1736" t="s">
        <v>31</v>
      </c>
      <c r="J1736" t="s">
        <v>89</v>
      </c>
      <c r="K1736" t="s">
        <v>66</v>
      </c>
      <c r="L1736" t="s">
        <v>67</v>
      </c>
      <c r="M1736">
        <v>91.87</v>
      </c>
    </row>
    <row r="1737">
      <c r="A1737" s="2">
        <v>45872</v>
      </c>
      <c r="B1737">
        <v>2026.0</v>
      </c>
      <c r="C1737" t="s">
        <v>321</v>
      </c>
      <c r="D1737" t="s">
        <v>319</v>
      </c>
      <c r="E1737" t="s">
        <v>35</v>
      </c>
      <c r="F1737" t="s">
        <v>305</v>
      </c>
      <c r="G1737" t="s">
        <v>10</v>
      </c>
      <c r="H1737">
        <v>3280.0</v>
      </c>
      <c r="I1737" t="s">
        <v>31</v>
      </c>
      <c r="J1737" t="s">
        <v>37</v>
      </c>
      <c r="K1737" t="s">
        <v>71</v>
      </c>
      <c r="L1737" t="s">
        <v>72</v>
      </c>
      <c r="M1737">
        <v>91.91</v>
      </c>
    </row>
    <row r="1738">
      <c r="A1738" s="2">
        <v>45335</v>
      </c>
      <c r="B1738">
        <v>2024.0</v>
      </c>
      <c r="C1738" t="s">
        <v>318</v>
      </c>
      <c r="D1738" t="s">
        <v>316</v>
      </c>
      <c r="E1738" t="s">
        <v>246</v>
      </c>
      <c r="F1738" t="s">
        <v>305</v>
      </c>
      <c r="G1738" t="s">
        <v>10</v>
      </c>
      <c r="H1738">
        <v>3551.0</v>
      </c>
      <c r="I1738" t="s">
        <v>31</v>
      </c>
      <c r="J1738" t="s">
        <v>37</v>
      </c>
      <c r="K1738" t="s">
        <v>43</v>
      </c>
      <c r="L1738" t="s">
        <v>44</v>
      </c>
      <c r="M1738">
        <v>91.95000000000002</v>
      </c>
    </row>
    <row r="1739">
      <c r="A1739" s="2">
        <v>45636</v>
      </c>
      <c r="B1739">
        <v>2025.0</v>
      </c>
      <c r="C1739" t="s">
        <v>315</v>
      </c>
      <c r="D1739" t="s">
        <v>316</v>
      </c>
      <c r="E1739" t="s">
        <v>189</v>
      </c>
      <c r="F1739" t="s">
        <v>304</v>
      </c>
      <c r="G1739" t="s">
        <v>9</v>
      </c>
      <c r="H1739">
        <v>2131.0</v>
      </c>
      <c r="I1739" t="s">
        <v>31</v>
      </c>
      <c r="J1739" t="s">
        <v>81</v>
      </c>
      <c r="K1739" t="s">
        <v>38</v>
      </c>
      <c r="L1739" t="s">
        <v>39</v>
      </c>
      <c r="M1739">
        <v>92.39</v>
      </c>
    </row>
    <row r="1740">
      <c r="A1740" s="2">
        <v>45935</v>
      </c>
      <c r="B1740">
        <v>2026.0</v>
      </c>
      <c r="C1740" t="s">
        <v>321</v>
      </c>
      <c r="D1740" t="s">
        <v>316</v>
      </c>
      <c r="E1740" t="s">
        <v>262</v>
      </c>
      <c r="F1740" t="s">
        <v>305</v>
      </c>
      <c r="G1740" t="s">
        <v>10</v>
      </c>
      <c r="H1740">
        <v>3018.0</v>
      </c>
      <c r="I1740" t="s">
        <v>31</v>
      </c>
      <c r="J1740" t="s">
        <v>120</v>
      </c>
      <c r="K1740" t="s">
        <v>66</v>
      </c>
      <c r="L1740" t="s">
        <v>67</v>
      </c>
      <c r="M1740">
        <v>92.61</v>
      </c>
    </row>
    <row r="1741">
      <c r="A1741" s="2">
        <v>45359</v>
      </c>
      <c r="B1741">
        <v>2024.0</v>
      </c>
      <c r="C1741" t="s">
        <v>318</v>
      </c>
      <c r="D1741" t="s">
        <v>319</v>
      </c>
      <c r="E1741" t="s">
        <v>230</v>
      </c>
      <c r="F1741" t="s">
        <v>308</v>
      </c>
      <c r="G1741" t="s">
        <v>13</v>
      </c>
      <c r="H1741">
        <v>5290.0</v>
      </c>
      <c r="I1741" t="s">
        <v>31</v>
      </c>
      <c r="J1741" t="s">
        <v>227</v>
      </c>
      <c r="K1741" t="s">
        <v>38</v>
      </c>
      <c r="L1741" t="s">
        <v>39</v>
      </c>
      <c r="M1741">
        <v>92.82</v>
      </c>
    </row>
    <row r="1742">
      <c r="A1742" s="2">
        <v>45558</v>
      </c>
      <c r="B1742">
        <v>2025.0</v>
      </c>
      <c r="C1742" t="s">
        <v>315</v>
      </c>
      <c r="D1742" t="s">
        <v>316</v>
      </c>
      <c r="E1742" t="s">
        <v>252</v>
      </c>
      <c r="F1742" t="s">
        <v>305</v>
      </c>
      <c r="G1742" t="s">
        <v>10</v>
      </c>
      <c r="H1742">
        <v>3630.0</v>
      </c>
      <c r="I1742" t="s">
        <v>31</v>
      </c>
      <c r="J1742" t="s">
        <v>94</v>
      </c>
      <c r="K1742" t="s">
        <v>71</v>
      </c>
      <c r="L1742" t="s">
        <v>72</v>
      </c>
      <c r="M1742">
        <v>92.88</v>
      </c>
    </row>
    <row r="1743">
      <c r="A1743" s="2">
        <v>45739</v>
      </c>
      <c r="B1743">
        <v>2025.0</v>
      </c>
      <c r="C1743" t="s">
        <v>315</v>
      </c>
      <c r="D1743" t="s">
        <v>316</v>
      </c>
      <c r="E1743" t="s">
        <v>97</v>
      </c>
      <c r="F1743" t="s">
        <v>304</v>
      </c>
      <c r="G1743" t="s">
        <v>9</v>
      </c>
      <c r="H1743">
        <v>2067.0</v>
      </c>
      <c r="I1743" t="s">
        <v>31</v>
      </c>
      <c r="J1743" t="s">
        <v>99</v>
      </c>
      <c r="K1743" t="s">
        <v>43</v>
      </c>
      <c r="L1743" t="s">
        <v>44</v>
      </c>
      <c r="M1743">
        <v>92.89</v>
      </c>
    </row>
    <row r="1744">
      <c r="A1744" s="2">
        <v>45769</v>
      </c>
      <c r="B1744">
        <v>2025.0</v>
      </c>
      <c r="C1744" t="s">
        <v>315</v>
      </c>
      <c r="D1744" t="s">
        <v>316</v>
      </c>
      <c r="E1744" t="s">
        <v>175</v>
      </c>
      <c r="F1744" t="s">
        <v>311</v>
      </c>
      <c r="G1744" t="s">
        <v>16</v>
      </c>
      <c r="H1744">
        <v>2617.0</v>
      </c>
      <c r="I1744" t="s">
        <v>31</v>
      </c>
      <c r="J1744" t="s">
        <v>107</v>
      </c>
      <c r="K1744" t="s">
        <v>46</v>
      </c>
      <c r="L1744" t="s">
        <v>47</v>
      </c>
      <c r="M1744">
        <v>93.0</v>
      </c>
    </row>
    <row r="1745">
      <c r="A1745" s="2">
        <v>45598</v>
      </c>
      <c r="B1745">
        <v>2025.0</v>
      </c>
      <c r="C1745" t="s">
        <v>315</v>
      </c>
      <c r="D1745" t="s">
        <v>319</v>
      </c>
      <c r="E1745" t="s">
        <v>260</v>
      </c>
      <c r="F1745" t="s">
        <v>305</v>
      </c>
      <c r="G1745" t="s">
        <v>10</v>
      </c>
      <c r="H1745">
        <v>3179.0</v>
      </c>
      <c r="I1745" t="s">
        <v>31</v>
      </c>
      <c r="J1745" t="s">
        <v>89</v>
      </c>
      <c r="K1745" t="s">
        <v>71</v>
      </c>
      <c r="L1745" t="s">
        <v>72</v>
      </c>
      <c r="M1745">
        <v>93.31</v>
      </c>
    </row>
    <row r="1746">
      <c r="A1746" s="2">
        <v>45473</v>
      </c>
      <c r="B1746">
        <v>2024.0</v>
      </c>
      <c r="C1746" t="s">
        <v>318</v>
      </c>
      <c r="D1746" t="s">
        <v>316</v>
      </c>
      <c r="E1746" t="s">
        <v>175</v>
      </c>
      <c r="F1746" t="s">
        <v>311</v>
      </c>
      <c r="G1746" t="s">
        <v>16</v>
      </c>
      <c r="H1746">
        <v>2617.0</v>
      </c>
      <c r="I1746" t="s">
        <v>31</v>
      </c>
      <c r="J1746" t="s">
        <v>107</v>
      </c>
      <c r="K1746" t="s">
        <v>71</v>
      </c>
      <c r="L1746" t="s">
        <v>72</v>
      </c>
      <c r="M1746">
        <v>93.81</v>
      </c>
    </row>
    <row r="1747">
      <c r="A1747" s="2">
        <v>45566</v>
      </c>
      <c r="B1747">
        <v>2025.0</v>
      </c>
      <c r="C1747" t="s">
        <v>315</v>
      </c>
      <c r="D1747" t="s">
        <v>319</v>
      </c>
      <c r="E1747" t="s">
        <v>131</v>
      </c>
      <c r="F1747" t="s">
        <v>306</v>
      </c>
      <c r="G1747" t="s">
        <v>11</v>
      </c>
      <c r="H1747">
        <v>4655.0</v>
      </c>
      <c r="I1747" t="s">
        <v>31</v>
      </c>
      <c r="J1747" t="s">
        <v>32</v>
      </c>
      <c r="K1747" t="s">
        <v>123</v>
      </c>
      <c r="L1747" t="s">
        <v>124</v>
      </c>
      <c r="M1747">
        <v>93.81000000000002</v>
      </c>
    </row>
    <row r="1748">
      <c r="A1748" s="2">
        <v>45641</v>
      </c>
      <c r="B1748">
        <v>2025.0</v>
      </c>
      <c r="C1748" t="s">
        <v>315</v>
      </c>
      <c r="D1748" t="s">
        <v>316</v>
      </c>
      <c r="E1748" t="s">
        <v>173</v>
      </c>
      <c r="F1748" t="s">
        <v>306</v>
      </c>
      <c r="G1748" t="s">
        <v>11</v>
      </c>
      <c r="H1748">
        <v>4220.0</v>
      </c>
      <c r="I1748" t="s">
        <v>31</v>
      </c>
      <c r="J1748" t="s">
        <v>61</v>
      </c>
      <c r="K1748" t="s">
        <v>123</v>
      </c>
      <c r="L1748" t="s">
        <v>124</v>
      </c>
      <c r="M1748">
        <v>93.85</v>
      </c>
    </row>
    <row r="1749">
      <c r="A1749" s="2">
        <v>45514</v>
      </c>
      <c r="B1749">
        <v>2025.0</v>
      </c>
      <c r="C1749" t="s">
        <v>315</v>
      </c>
      <c r="D1749" t="s">
        <v>319</v>
      </c>
      <c r="E1749" t="s">
        <v>201</v>
      </c>
      <c r="F1749" t="s">
        <v>305</v>
      </c>
      <c r="G1749" t="s">
        <v>10</v>
      </c>
      <c r="H1749">
        <v>3131.0</v>
      </c>
      <c r="I1749" t="s">
        <v>31</v>
      </c>
      <c r="J1749" t="s">
        <v>89</v>
      </c>
      <c r="K1749" t="s">
        <v>123</v>
      </c>
      <c r="L1749" t="s">
        <v>124</v>
      </c>
      <c r="M1749">
        <v>93.85000000000001</v>
      </c>
    </row>
    <row r="1750">
      <c r="A1750" s="2">
        <v>45986</v>
      </c>
      <c r="B1750">
        <v>2026.0</v>
      </c>
      <c r="C1750" t="s">
        <v>321</v>
      </c>
      <c r="D1750" t="s">
        <v>316</v>
      </c>
      <c r="E1750" t="s">
        <v>195</v>
      </c>
      <c r="F1750" t="s">
        <v>306</v>
      </c>
      <c r="G1750" t="s">
        <v>11</v>
      </c>
      <c r="H1750">
        <v>4700.0</v>
      </c>
      <c r="I1750" t="s">
        <v>31</v>
      </c>
      <c r="J1750" t="s">
        <v>32</v>
      </c>
      <c r="K1750" t="s">
        <v>43</v>
      </c>
      <c r="L1750" t="s">
        <v>44</v>
      </c>
      <c r="M1750">
        <v>93.95</v>
      </c>
    </row>
    <row r="1751">
      <c r="A1751" s="2">
        <v>45870</v>
      </c>
      <c r="B1751">
        <v>2026.0</v>
      </c>
      <c r="C1751" t="s">
        <v>321</v>
      </c>
      <c r="D1751" t="s">
        <v>316</v>
      </c>
      <c r="E1751" t="s">
        <v>156</v>
      </c>
      <c r="F1751" t="s">
        <v>304</v>
      </c>
      <c r="G1751" t="s">
        <v>9</v>
      </c>
      <c r="H1751">
        <v>2830.0</v>
      </c>
      <c r="I1751" t="s">
        <v>31</v>
      </c>
      <c r="J1751" t="s">
        <v>75</v>
      </c>
      <c r="K1751" t="s">
        <v>33</v>
      </c>
      <c r="L1751" t="s">
        <v>34</v>
      </c>
      <c r="M1751">
        <v>94.0</v>
      </c>
    </row>
    <row r="1752">
      <c r="A1752" s="2">
        <v>45619</v>
      </c>
      <c r="B1752">
        <v>2025.0</v>
      </c>
      <c r="C1752" t="s">
        <v>315</v>
      </c>
      <c r="D1752" t="s">
        <v>316</v>
      </c>
      <c r="E1752" t="s">
        <v>139</v>
      </c>
      <c r="F1752" t="s">
        <v>305</v>
      </c>
      <c r="G1752" t="s">
        <v>10</v>
      </c>
      <c r="H1752">
        <v>3199.0</v>
      </c>
      <c r="I1752" t="s">
        <v>31</v>
      </c>
      <c r="J1752" t="s">
        <v>89</v>
      </c>
      <c r="K1752" t="s">
        <v>33</v>
      </c>
      <c r="L1752" t="s">
        <v>34</v>
      </c>
      <c r="M1752">
        <v>94.23</v>
      </c>
    </row>
    <row r="1753">
      <c r="A1753" s="2">
        <v>45799</v>
      </c>
      <c r="B1753">
        <v>2025.0</v>
      </c>
      <c r="C1753" t="s">
        <v>315</v>
      </c>
      <c r="D1753" t="s">
        <v>319</v>
      </c>
      <c r="E1753" t="s">
        <v>29</v>
      </c>
      <c r="F1753" t="s">
        <v>306</v>
      </c>
      <c r="G1753" t="s">
        <v>11</v>
      </c>
      <c r="H1753">
        <v>4703.0</v>
      </c>
      <c r="I1753" t="s">
        <v>31</v>
      </c>
      <c r="J1753" t="s">
        <v>32</v>
      </c>
      <c r="K1753" t="s">
        <v>43</v>
      </c>
      <c r="L1753" t="s">
        <v>44</v>
      </c>
      <c r="M1753">
        <v>94.44</v>
      </c>
    </row>
    <row r="1754">
      <c r="A1754" s="2">
        <v>45933</v>
      </c>
      <c r="B1754">
        <v>2026.0</v>
      </c>
      <c r="C1754" t="s">
        <v>321</v>
      </c>
      <c r="D1754" t="s">
        <v>319</v>
      </c>
      <c r="E1754" t="s">
        <v>242</v>
      </c>
      <c r="F1754" t="s">
        <v>305</v>
      </c>
      <c r="G1754" t="s">
        <v>10</v>
      </c>
      <c r="H1754">
        <v>3977.0</v>
      </c>
      <c r="I1754" t="s">
        <v>31</v>
      </c>
      <c r="J1754" t="s">
        <v>94</v>
      </c>
      <c r="K1754" t="s">
        <v>43</v>
      </c>
      <c r="L1754" t="s">
        <v>44</v>
      </c>
      <c r="M1754">
        <v>94.5</v>
      </c>
    </row>
    <row r="1755">
      <c r="A1755" s="2">
        <v>45491</v>
      </c>
      <c r="B1755">
        <v>2025.0</v>
      </c>
      <c r="C1755" t="s">
        <v>315</v>
      </c>
      <c r="D1755" t="s">
        <v>316</v>
      </c>
      <c r="E1755" t="s">
        <v>254</v>
      </c>
      <c r="F1755" t="s">
        <v>308</v>
      </c>
      <c r="G1755" t="s">
        <v>13</v>
      </c>
      <c r="H1755">
        <v>5343.0</v>
      </c>
      <c r="I1755" t="s">
        <v>31</v>
      </c>
      <c r="J1755" t="s">
        <v>227</v>
      </c>
      <c r="K1755" t="s">
        <v>33</v>
      </c>
      <c r="L1755" t="s">
        <v>34</v>
      </c>
      <c r="M1755">
        <v>94.74000000000001</v>
      </c>
    </row>
    <row r="1756">
      <c r="A1756" s="2">
        <v>45707</v>
      </c>
      <c r="B1756">
        <v>2025.0</v>
      </c>
      <c r="C1756" t="s">
        <v>315</v>
      </c>
      <c r="D1756" t="s">
        <v>319</v>
      </c>
      <c r="E1756" t="s">
        <v>133</v>
      </c>
      <c r="F1756" t="s">
        <v>305</v>
      </c>
      <c r="G1756" t="s">
        <v>10</v>
      </c>
      <c r="H1756">
        <v>3429.0</v>
      </c>
      <c r="I1756" t="s">
        <v>31</v>
      </c>
      <c r="J1756" t="s">
        <v>37</v>
      </c>
      <c r="K1756" t="s">
        <v>95</v>
      </c>
      <c r="L1756" t="s">
        <v>96</v>
      </c>
      <c r="M1756">
        <v>94.81</v>
      </c>
    </row>
    <row r="1757">
      <c r="A1757" s="2">
        <v>45416</v>
      </c>
      <c r="B1757">
        <v>2024.0</v>
      </c>
      <c r="C1757" t="s">
        <v>318</v>
      </c>
      <c r="D1757" t="s">
        <v>319</v>
      </c>
      <c r="E1757" t="s">
        <v>207</v>
      </c>
      <c r="F1757" t="s">
        <v>306</v>
      </c>
      <c r="G1757" t="s">
        <v>11</v>
      </c>
      <c r="H1757">
        <v>4825.0</v>
      </c>
      <c r="I1757" t="s">
        <v>31</v>
      </c>
      <c r="J1757" t="s">
        <v>78</v>
      </c>
      <c r="K1757" t="s">
        <v>46</v>
      </c>
      <c r="L1757" t="s">
        <v>47</v>
      </c>
      <c r="M1757">
        <v>94.91</v>
      </c>
    </row>
    <row r="1758">
      <c r="A1758" s="2">
        <v>45785</v>
      </c>
      <c r="B1758">
        <v>2025.0</v>
      </c>
      <c r="C1758" t="s">
        <v>315</v>
      </c>
      <c r="D1758" t="s">
        <v>319</v>
      </c>
      <c r="E1758" t="s">
        <v>103</v>
      </c>
      <c r="F1758" t="s">
        <v>307</v>
      </c>
      <c r="G1758" t="s">
        <v>12</v>
      </c>
      <c r="H1758">
        <v>6021.0</v>
      </c>
      <c r="I1758" t="s">
        <v>31</v>
      </c>
      <c r="J1758" t="s">
        <v>102</v>
      </c>
      <c r="K1758" t="s">
        <v>123</v>
      </c>
      <c r="L1758" t="s">
        <v>124</v>
      </c>
      <c r="M1758">
        <v>94.93</v>
      </c>
    </row>
    <row r="1759">
      <c r="A1759" s="2">
        <v>45567</v>
      </c>
      <c r="B1759">
        <v>2025.0</v>
      </c>
      <c r="C1759" t="s">
        <v>315</v>
      </c>
      <c r="D1759" t="s">
        <v>319</v>
      </c>
      <c r="E1759" t="s">
        <v>244</v>
      </c>
      <c r="F1759" t="s">
        <v>308</v>
      </c>
      <c r="G1759" t="s">
        <v>13</v>
      </c>
      <c r="H1759">
        <v>5168.0</v>
      </c>
      <c r="I1759" t="s">
        <v>31</v>
      </c>
      <c r="J1759" t="s">
        <v>42</v>
      </c>
      <c r="K1759" t="s">
        <v>38</v>
      </c>
      <c r="L1759" t="s">
        <v>39</v>
      </c>
      <c r="M1759">
        <v>95.04</v>
      </c>
    </row>
    <row r="1760">
      <c r="A1760" s="2">
        <v>45664</v>
      </c>
      <c r="B1760">
        <v>2025.0</v>
      </c>
      <c r="C1760" t="s">
        <v>315</v>
      </c>
      <c r="D1760" t="s">
        <v>319</v>
      </c>
      <c r="E1760" t="s">
        <v>181</v>
      </c>
      <c r="F1760" t="s">
        <v>306</v>
      </c>
      <c r="G1760" t="s">
        <v>11</v>
      </c>
      <c r="H1760">
        <v>4119.0</v>
      </c>
      <c r="I1760" t="s">
        <v>31</v>
      </c>
      <c r="J1760" t="s">
        <v>56</v>
      </c>
      <c r="K1760" t="s">
        <v>71</v>
      </c>
      <c r="L1760" t="s">
        <v>72</v>
      </c>
      <c r="M1760">
        <v>95.27</v>
      </c>
    </row>
    <row r="1761">
      <c r="A1761" s="2">
        <v>45757</v>
      </c>
      <c r="B1761">
        <v>2025.0</v>
      </c>
      <c r="C1761" t="s">
        <v>315</v>
      </c>
      <c r="D1761" t="s">
        <v>319</v>
      </c>
      <c r="E1761" t="s">
        <v>173</v>
      </c>
      <c r="F1761" t="s">
        <v>306</v>
      </c>
      <c r="G1761" t="s">
        <v>11</v>
      </c>
      <c r="H1761">
        <v>4220.0</v>
      </c>
      <c r="I1761" t="s">
        <v>31</v>
      </c>
      <c r="J1761" t="s">
        <v>61</v>
      </c>
      <c r="K1761" t="s">
        <v>57</v>
      </c>
      <c r="L1761" t="s">
        <v>58</v>
      </c>
      <c r="M1761">
        <v>95.32</v>
      </c>
    </row>
    <row r="1762">
      <c r="A1762" s="2">
        <v>46020</v>
      </c>
      <c r="B1762">
        <v>2026.0</v>
      </c>
      <c r="C1762" t="s">
        <v>321</v>
      </c>
      <c r="D1762" t="s">
        <v>319</v>
      </c>
      <c r="E1762" t="s">
        <v>181</v>
      </c>
      <c r="F1762" t="s">
        <v>306</v>
      </c>
      <c r="G1762" t="s">
        <v>11</v>
      </c>
      <c r="H1762">
        <v>4119.0</v>
      </c>
      <c r="I1762" t="s">
        <v>31</v>
      </c>
      <c r="J1762" t="s">
        <v>56</v>
      </c>
      <c r="K1762" t="s">
        <v>66</v>
      </c>
      <c r="L1762" t="s">
        <v>67</v>
      </c>
      <c r="M1762">
        <v>95.32</v>
      </c>
    </row>
    <row r="1763">
      <c r="A1763" s="2">
        <v>45497</v>
      </c>
      <c r="B1763">
        <v>2025.0</v>
      </c>
      <c r="C1763" t="s">
        <v>315</v>
      </c>
      <c r="D1763" t="s">
        <v>319</v>
      </c>
      <c r="E1763" t="s">
        <v>191</v>
      </c>
      <c r="F1763" t="s">
        <v>305</v>
      </c>
      <c r="G1763" t="s">
        <v>10</v>
      </c>
      <c r="H1763">
        <v>3030.0</v>
      </c>
      <c r="I1763" t="s">
        <v>31</v>
      </c>
      <c r="J1763" t="s">
        <v>120</v>
      </c>
      <c r="K1763" t="s">
        <v>123</v>
      </c>
      <c r="L1763" t="s">
        <v>124</v>
      </c>
      <c r="M1763">
        <v>95.38000000000001</v>
      </c>
    </row>
    <row r="1764">
      <c r="A1764" s="2">
        <v>45437</v>
      </c>
      <c r="B1764">
        <v>2024.0</v>
      </c>
      <c r="C1764" t="s">
        <v>318</v>
      </c>
      <c r="D1764" t="s">
        <v>319</v>
      </c>
      <c r="E1764" t="s">
        <v>82</v>
      </c>
      <c r="F1764" t="s">
        <v>306</v>
      </c>
      <c r="G1764" t="s">
        <v>11</v>
      </c>
      <c r="H1764">
        <v>4558.0</v>
      </c>
      <c r="I1764" t="s">
        <v>31</v>
      </c>
      <c r="J1764" t="s">
        <v>84</v>
      </c>
      <c r="K1764" t="s">
        <v>43</v>
      </c>
      <c r="L1764" t="s">
        <v>44</v>
      </c>
      <c r="M1764">
        <v>95.55999999999999</v>
      </c>
    </row>
    <row r="1765">
      <c r="A1765" s="2">
        <v>45725</v>
      </c>
      <c r="B1765">
        <v>2025.0</v>
      </c>
      <c r="C1765" t="s">
        <v>315</v>
      </c>
      <c r="D1765" t="s">
        <v>316</v>
      </c>
      <c r="E1765" t="s">
        <v>189</v>
      </c>
      <c r="F1765" t="s">
        <v>304</v>
      </c>
      <c r="G1765" t="s">
        <v>9</v>
      </c>
      <c r="H1765">
        <v>2131.0</v>
      </c>
      <c r="I1765" t="s">
        <v>31</v>
      </c>
      <c r="J1765" t="s">
        <v>81</v>
      </c>
      <c r="K1765" t="s">
        <v>38</v>
      </c>
      <c r="L1765" t="s">
        <v>39</v>
      </c>
      <c r="M1765">
        <v>95.72999999999999</v>
      </c>
    </row>
    <row r="1766">
      <c r="A1766" s="2">
        <v>45727</v>
      </c>
      <c r="B1766">
        <v>2025.0</v>
      </c>
      <c r="C1766" t="s">
        <v>315</v>
      </c>
      <c r="D1766" t="s">
        <v>319</v>
      </c>
      <c r="E1766" t="s">
        <v>85</v>
      </c>
      <c r="F1766" t="s">
        <v>304</v>
      </c>
      <c r="G1766" t="s">
        <v>9</v>
      </c>
      <c r="H1766">
        <v>2120.0</v>
      </c>
      <c r="I1766" t="s">
        <v>31</v>
      </c>
      <c r="J1766" t="s">
        <v>81</v>
      </c>
      <c r="K1766" t="s">
        <v>33</v>
      </c>
      <c r="L1766" t="s">
        <v>34</v>
      </c>
      <c r="M1766">
        <v>95.75999999999999</v>
      </c>
    </row>
    <row r="1767">
      <c r="A1767" s="2">
        <v>45493</v>
      </c>
      <c r="B1767">
        <v>2025.0</v>
      </c>
      <c r="C1767" t="s">
        <v>315</v>
      </c>
      <c r="D1767" t="s">
        <v>316</v>
      </c>
      <c r="E1767" t="s">
        <v>129</v>
      </c>
      <c r="F1767" t="s">
        <v>305</v>
      </c>
      <c r="G1767" t="s">
        <v>10</v>
      </c>
      <c r="H1767">
        <v>3066.0</v>
      </c>
      <c r="I1767" t="s">
        <v>31</v>
      </c>
      <c r="J1767" t="s">
        <v>120</v>
      </c>
      <c r="K1767" t="s">
        <v>112</v>
      </c>
      <c r="L1767" t="s">
        <v>113</v>
      </c>
      <c r="M1767">
        <v>95.8</v>
      </c>
    </row>
    <row r="1768">
      <c r="A1768" s="2">
        <v>45421</v>
      </c>
      <c r="B1768">
        <v>2024.0</v>
      </c>
      <c r="C1768" t="s">
        <v>318</v>
      </c>
      <c r="D1768" t="s">
        <v>319</v>
      </c>
      <c r="E1768" t="s">
        <v>146</v>
      </c>
      <c r="F1768" t="s">
        <v>304</v>
      </c>
      <c r="G1768" t="s">
        <v>9</v>
      </c>
      <c r="H1768">
        <v>2790.0</v>
      </c>
      <c r="I1768" t="s">
        <v>31</v>
      </c>
      <c r="J1768" t="s">
        <v>75</v>
      </c>
      <c r="K1768" t="s">
        <v>112</v>
      </c>
      <c r="L1768" t="s">
        <v>113</v>
      </c>
      <c r="M1768">
        <v>95.84</v>
      </c>
    </row>
    <row r="1769">
      <c r="A1769" s="2">
        <v>45366</v>
      </c>
      <c r="B1769">
        <v>2024.0</v>
      </c>
      <c r="C1769" t="s">
        <v>318</v>
      </c>
      <c r="D1769" t="s">
        <v>319</v>
      </c>
      <c r="E1769" t="s">
        <v>82</v>
      </c>
      <c r="F1769" t="s">
        <v>306</v>
      </c>
      <c r="G1769" t="s">
        <v>11</v>
      </c>
      <c r="H1769">
        <v>4558.0</v>
      </c>
      <c r="I1769" t="s">
        <v>31</v>
      </c>
      <c r="J1769" t="s">
        <v>84</v>
      </c>
      <c r="K1769" t="s">
        <v>112</v>
      </c>
      <c r="L1769" t="s">
        <v>113</v>
      </c>
      <c r="M1769">
        <v>95.84</v>
      </c>
    </row>
    <row r="1770">
      <c r="A1770" s="2">
        <v>45674</v>
      </c>
      <c r="B1770">
        <v>2025.0</v>
      </c>
      <c r="C1770" t="s">
        <v>315</v>
      </c>
      <c r="D1770" t="s">
        <v>316</v>
      </c>
      <c r="E1770" t="s">
        <v>137</v>
      </c>
      <c r="F1770" t="s">
        <v>305</v>
      </c>
      <c r="G1770" t="s">
        <v>10</v>
      </c>
      <c r="H1770">
        <v>3134.0</v>
      </c>
      <c r="I1770" t="s">
        <v>31</v>
      </c>
      <c r="J1770" t="s">
        <v>89</v>
      </c>
      <c r="K1770" t="s">
        <v>33</v>
      </c>
      <c r="L1770" t="s">
        <v>34</v>
      </c>
      <c r="M1770">
        <v>95.85</v>
      </c>
    </row>
    <row r="1771">
      <c r="A1771" s="2">
        <v>45774</v>
      </c>
      <c r="B1771">
        <v>2025.0</v>
      </c>
      <c r="C1771" t="s">
        <v>315</v>
      </c>
      <c r="D1771" t="s">
        <v>319</v>
      </c>
      <c r="E1771" t="s">
        <v>191</v>
      </c>
      <c r="F1771" t="s">
        <v>305</v>
      </c>
      <c r="G1771" t="s">
        <v>10</v>
      </c>
      <c r="H1771">
        <v>3030.0</v>
      </c>
      <c r="I1771" t="s">
        <v>31</v>
      </c>
      <c r="J1771" t="s">
        <v>120</v>
      </c>
      <c r="K1771" t="s">
        <v>71</v>
      </c>
      <c r="L1771" t="s">
        <v>72</v>
      </c>
      <c r="M1771">
        <v>95.85</v>
      </c>
    </row>
    <row r="1772">
      <c r="A1772" s="2">
        <v>45845</v>
      </c>
      <c r="B1772">
        <v>2026.0</v>
      </c>
      <c r="C1772" t="s">
        <v>321</v>
      </c>
      <c r="D1772" t="s">
        <v>319</v>
      </c>
      <c r="E1772" t="s">
        <v>158</v>
      </c>
      <c r="F1772" t="s">
        <v>306</v>
      </c>
      <c r="G1772" t="s">
        <v>11</v>
      </c>
      <c r="H1772">
        <v>4570.0</v>
      </c>
      <c r="I1772" t="s">
        <v>31</v>
      </c>
      <c r="J1772" t="s">
        <v>84</v>
      </c>
      <c r="K1772" t="s">
        <v>95</v>
      </c>
      <c r="L1772" t="s">
        <v>96</v>
      </c>
      <c r="M1772">
        <v>95.87</v>
      </c>
    </row>
    <row r="1773">
      <c r="A1773" s="2">
        <v>45753</v>
      </c>
      <c r="B1773">
        <v>2025.0</v>
      </c>
      <c r="C1773" t="s">
        <v>315</v>
      </c>
      <c r="D1773" t="s">
        <v>319</v>
      </c>
      <c r="E1773" t="s">
        <v>250</v>
      </c>
      <c r="F1773" t="s">
        <v>305</v>
      </c>
      <c r="G1773" t="s">
        <v>10</v>
      </c>
      <c r="H1773">
        <v>3550.0</v>
      </c>
      <c r="I1773" t="s">
        <v>31</v>
      </c>
      <c r="J1773" t="s">
        <v>37</v>
      </c>
      <c r="K1773" t="s">
        <v>95</v>
      </c>
      <c r="L1773" t="s">
        <v>96</v>
      </c>
      <c r="M1773">
        <v>95.88</v>
      </c>
    </row>
    <row r="1774">
      <c r="A1774" s="2">
        <v>45491</v>
      </c>
      <c r="B1774">
        <v>2025.0</v>
      </c>
      <c r="C1774" t="s">
        <v>315</v>
      </c>
      <c r="D1774" t="s">
        <v>316</v>
      </c>
      <c r="E1774" t="s">
        <v>114</v>
      </c>
      <c r="F1774" t="s">
        <v>304</v>
      </c>
      <c r="G1774" t="s">
        <v>9</v>
      </c>
      <c r="H1774">
        <v>2031.0</v>
      </c>
      <c r="I1774" t="s">
        <v>31</v>
      </c>
      <c r="J1774" t="s">
        <v>99</v>
      </c>
      <c r="K1774" t="s">
        <v>95</v>
      </c>
      <c r="L1774" t="s">
        <v>96</v>
      </c>
      <c r="M1774">
        <v>95.88</v>
      </c>
    </row>
    <row r="1775">
      <c r="A1775" s="2">
        <v>45918</v>
      </c>
      <c r="B1775">
        <v>2026.0</v>
      </c>
      <c r="C1775" t="s">
        <v>321</v>
      </c>
      <c r="D1775" t="s">
        <v>319</v>
      </c>
      <c r="E1775" t="s">
        <v>158</v>
      </c>
      <c r="F1775" t="s">
        <v>306</v>
      </c>
      <c r="G1775" t="s">
        <v>11</v>
      </c>
      <c r="H1775">
        <v>4570.0</v>
      </c>
      <c r="I1775" t="s">
        <v>31</v>
      </c>
      <c r="J1775" t="s">
        <v>84</v>
      </c>
      <c r="K1775" t="s">
        <v>43</v>
      </c>
      <c r="L1775" t="s">
        <v>44</v>
      </c>
      <c r="M1775">
        <v>95.94</v>
      </c>
    </row>
    <row r="1776">
      <c r="A1776" s="2">
        <v>45306</v>
      </c>
      <c r="B1776">
        <v>2024.0</v>
      </c>
      <c r="C1776" t="s">
        <v>318</v>
      </c>
      <c r="D1776" t="s">
        <v>316</v>
      </c>
      <c r="E1776" t="s">
        <v>158</v>
      </c>
      <c r="F1776" t="s">
        <v>306</v>
      </c>
      <c r="G1776" t="s">
        <v>11</v>
      </c>
      <c r="H1776">
        <v>4570.0</v>
      </c>
      <c r="I1776" t="s">
        <v>31</v>
      </c>
      <c r="J1776" t="s">
        <v>84</v>
      </c>
      <c r="K1776" t="s">
        <v>43</v>
      </c>
      <c r="L1776" t="s">
        <v>44</v>
      </c>
      <c r="M1776">
        <v>96.53</v>
      </c>
    </row>
    <row r="1777">
      <c r="A1777" s="2">
        <v>45708</v>
      </c>
      <c r="B1777">
        <v>2025.0</v>
      </c>
      <c r="C1777" t="s">
        <v>315</v>
      </c>
      <c r="D1777" t="s">
        <v>319</v>
      </c>
      <c r="E1777" t="s">
        <v>79</v>
      </c>
      <c r="F1777" t="s">
        <v>304</v>
      </c>
      <c r="G1777" t="s">
        <v>9</v>
      </c>
      <c r="H1777">
        <v>2141.0</v>
      </c>
      <c r="I1777" t="s">
        <v>31</v>
      </c>
      <c r="J1777" t="s">
        <v>81</v>
      </c>
      <c r="K1777" t="s">
        <v>123</v>
      </c>
      <c r="L1777" t="s">
        <v>124</v>
      </c>
      <c r="M1777">
        <v>96.81</v>
      </c>
    </row>
    <row r="1778">
      <c r="A1778" s="2">
        <v>45296</v>
      </c>
      <c r="B1778">
        <v>2024.0</v>
      </c>
      <c r="C1778" t="s">
        <v>318</v>
      </c>
      <c r="D1778" t="s">
        <v>319</v>
      </c>
      <c r="E1778" t="s">
        <v>51</v>
      </c>
      <c r="F1778" t="s">
        <v>310</v>
      </c>
      <c r="G1778" t="s">
        <v>15</v>
      </c>
      <c r="H1778">
        <v>7018.0</v>
      </c>
      <c r="I1778" t="s">
        <v>31</v>
      </c>
      <c r="J1778" t="s">
        <v>53</v>
      </c>
      <c r="K1778" t="s">
        <v>33</v>
      </c>
      <c r="L1778" t="s">
        <v>34</v>
      </c>
      <c r="M1778">
        <v>96.82000000000001</v>
      </c>
    </row>
    <row r="1779">
      <c r="A1779" s="2">
        <v>45738</v>
      </c>
      <c r="B1779">
        <v>2025.0</v>
      </c>
      <c r="C1779" t="s">
        <v>315</v>
      </c>
      <c r="D1779" t="s">
        <v>319</v>
      </c>
      <c r="E1779" t="s">
        <v>125</v>
      </c>
      <c r="F1779" t="s">
        <v>305</v>
      </c>
      <c r="G1779" t="s">
        <v>10</v>
      </c>
      <c r="H1779">
        <v>3931.0</v>
      </c>
      <c r="I1779" t="s">
        <v>31</v>
      </c>
      <c r="J1779" t="s">
        <v>94</v>
      </c>
      <c r="K1779" t="s">
        <v>71</v>
      </c>
      <c r="L1779" t="s">
        <v>72</v>
      </c>
      <c r="M1779">
        <v>96.83000000000001</v>
      </c>
    </row>
    <row r="1780">
      <c r="A1780" s="2">
        <v>45593</v>
      </c>
      <c r="B1780">
        <v>2025.0</v>
      </c>
      <c r="C1780" t="s">
        <v>315</v>
      </c>
      <c r="D1780" t="s">
        <v>319</v>
      </c>
      <c r="E1780" t="s">
        <v>163</v>
      </c>
      <c r="F1780" t="s">
        <v>304</v>
      </c>
      <c r="G1780" t="s">
        <v>9</v>
      </c>
      <c r="H1780">
        <v>2154.0</v>
      </c>
      <c r="I1780" t="s">
        <v>31</v>
      </c>
      <c r="J1780" t="s">
        <v>81</v>
      </c>
      <c r="K1780" t="s">
        <v>43</v>
      </c>
      <c r="L1780" t="s">
        <v>44</v>
      </c>
      <c r="M1780">
        <v>96.91</v>
      </c>
    </row>
    <row r="1781">
      <c r="A1781" s="2">
        <v>45903</v>
      </c>
      <c r="B1781">
        <v>2026.0</v>
      </c>
      <c r="C1781" t="s">
        <v>321</v>
      </c>
      <c r="D1781" t="s">
        <v>319</v>
      </c>
      <c r="E1781" t="s">
        <v>116</v>
      </c>
      <c r="F1781" t="s">
        <v>304</v>
      </c>
      <c r="G1781" t="s">
        <v>9</v>
      </c>
      <c r="H1781">
        <v>2485.0</v>
      </c>
      <c r="I1781" t="s">
        <v>31</v>
      </c>
      <c r="J1781" t="s">
        <v>70</v>
      </c>
      <c r="K1781" t="s">
        <v>71</v>
      </c>
      <c r="L1781" t="s">
        <v>72</v>
      </c>
      <c r="M1781">
        <v>96.93</v>
      </c>
    </row>
    <row r="1782">
      <c r="A1782" s="2">
        <v>45809</v>
      </c>
      <c r="B1782">
        <v>2025.0</v>
      </c>
      <c r="C1782" t="s">
        <v>315</v>
      </c>
      <c r="D1782" t="s">
        <v>319</v>
      </c>
      <c r="E1782" t="s">
        <v>167</v>
      </c>
      <c r="F1782" t="s">
        <v>307</v>
      </c>
      <c r="G1782" t="s">
        <v>12</v>
      </c>
      <c r="H1782">
        <v>6030.0</v>
      </c>
      <c r="I1782" t="s">
        <v>31</v>
      </c>
      <c r="J1782" t="s">
        <v>102</v>
      </c>
      <c r="K1782" t="s">
        <v>43</v>
      </c>
      <c r="L1782" t="s">
        <v>44</v>
      </c>
      <c r="M1782">
        <v>96.97</v>
      </c>
    </row>
    <row r="1783">
      <c r="A1783" s="2">
        <v>45370</v>
      </c>
      <c r="B1783">
        <v>2024.0</v>
      </c>
      <c r="C1783" t="s">
        <v>318</v>
      </c>
      <c r="D1783" t="s">
        <v>316</v>
      </c>
      <c r="E1783" t="s">
        <v>221</v>
      </c>
      <c r="F1783" t="s">
        <v>306</v>
      </c>
      <c r="G1783" t="s">
        <v>11</v>
      </c>
      <c r="H1783">
        <v>4053.0</v>
      </c>
      <c r="I1783" t="s">
        <v>31</v>
      </c>
      <c r="J1783" t="s">
        <v>56</v>
      </c>
      <c r="K1783" t="s">
        <v>46</v>
      </c>
      <c r="L1783" t="s">
        <v>47</v>
      </c>
      <c r="M1783">
        <v>97.0</v>
      </c>
    </row>
    <row r="1784">
      <c r="A1784" s="2">
        <v>45746</v>
      </c>
      <c r="B1784">
        <v>2025.0</v>
      </c>
      <c r="C1784" t="s">
        <v>315</v>
      </c>
      <c r="D1784" t="s">
        <v>316</v>
      </c>
      <c r="E1784" t="s">
        <v>82</v>
      </c>
      <c r="F1784" t="s">
        <v>306</v>
      </c>
      <c r="G1784" t="s">
        <v>11</v>
      </c>
      <c r="H1784">
        <v>4558.0</v>
      </c>
      <c r="I1784" t="s">
        <v>31</v>
      </c>
      <c r="J1784" t="s">
        <v>84</v>
      </c>
      <c r="K1784" t="s">
        <v>46</v>
      </c>
      <c r="L1784" t="s">
        <v>47</v>
      </c>
      <c r="M1784">
        <v>97.0</v>
      </c>
    </row>
    <row r="1785">
      <c r="A1785" s="2">
        <v>45925</v>
      </c>
      <c r="B1785">
        <v>2026.0</v>
      </c>
      <c r="C1785" t="s">
        <v>321</v>
      </c>
      <c r="D1785" t="s">
        <v>319</v>
      </c>
      <c r="E1785" t="s">
        <v>244</v>
      </c>
      <c r="F1785" t="s">
        <v>308</v>
      </c>
      <c r="G1785" t="s">
        <v>13</v>
      </c>
      <c r="H1785">
        <v>5168.0</v>
      </c>
      <c r="I1785" t="s">
        <v>31</v>
      </c>
      <c r="J1785" t="s">
        <v>42</v>
      </c>
      <c r="K1785" t="s">
        <v>43</v>
      </c>
      <c r="L1785" t="s">
        <v>44</v>
      </c>
      <c r="M1785">
        <v>97.41</v>
      </c>
    </row>
    <row r="1786">
      <c r="A1786" s="2">
        <v>45979</v>
      </c>
      <c r="B1786">
        <v>2026.0</v>
      </c>
      <c r="C1786" t="s">
        <v>321</v>
      </c>
      <c r="D1786" t="s">
        <v>319</v>
      </c>
      <c r="E1786" t="s">
        <v>193</v>
      </c>
      <c r="F1786" t="s">
        <v>304</v>
      </c>
      <c r="G1786" t="s">
        <v>9</v>
      </c>
      <c r="H1786">
        <v>2020.0</v>
      </c>
      <c r="I1786" t="s">
        <v>31</v>
      </c>
      <c r="J1786" t="s">
        <v>99</v>
      </c>
      <c r="K1786" t="s">
        <v>112</v>
      </c>
      <c r="L1786" t="s">
        <v>113</v>
      </c>
      <c r="M1786">
        <v>97.51</v>
      </c>
    </row>
    <row r="1787">
      <c r="A1787" s="2">
        <v>45367</v>
      </c>
      <c r="B1787">
        <v>2024.0</v>
      </c>
      <c r="C1787" t="s">
        <v>318</v>
      </c>
      <c r="D1787" t="s">
        <v>316</v>
      </c>
      <c r="E1787" t="s">
        <v>118</v>
      </c>
      <c r="F1787" t="s">
        <v>305</v>
      </c>
      <c r="G1787" t="s">
        <v>10</v>
      </c>
      <c r="H1787">
        <v>3076.0</v>
      </c>
      <c r="I1787" t="s">
        <v>31</v>
      </c>
      <c r="J1787" t="s">
        <v>120</v>
      </c>
      <c r="K1787" t="s">
        <v>57</v>
      </c>
      <c r="L1787" t="s">
        <v>58</v>
      </c>
      <c r="M1787">
        <v>97.74</v>
      </c>
    </row>
    <row r="1788">
      <c r="A1788" s="2">
        <v>45628</v>
      </c>
      <c r="B1788">
        <v>2025.0</v>
      </c>
      <c r="C1788" t="s">
        <v>315</v>
      </c>
      <c r="D1788" t="s">
        <v>316</v>
      </c>
      <c r="E1788" t="s">
        <v>129</v>
      </c>
      <c r="F1788" t="s">
        <v>305</v>
      </c>
      <c r="G1788" t="s">
        <v>10</v>
      </c>
      <c r="H1788">
        <v>3066.0</v>
      </c>
      <c r="I1788" t="s">
        <v>31</v>
      </c>
      <c r="J1788" t="s">
        <v>120</v>
      </c>
      <c r="K1788" t="s">
        <v>38</v>
      </c>
      <c r="L1788" t="s">
        <v>39</v>
      </c>
      <c r="M1788">
        <v>97.81</v>
      </c>
    </row>
    <row r="1789">
      <c r="A1789" s="2">
        <v>45477</v>
      </c>
      <c r="B1789">
        <v>2025.0</v>
      </c>
      <c r="C1789" t="s">
        <v>315</v>
      </c>
      <c r="D1789" t="s">
        <v>319</v>
      </c>
      <c r="E1789" t="s">
        <v>125</v>
      </c>
      <c r="F1789" t="s">
        <v>305</v>
      </c>
      <c r="G1789" t="s">
        <v>10</v>
      </c>
      <c r="H1789">
        <v>3931.0</v>
      </c>
      <c r="I1789" t="s">
        <v>31</v>
      </c>
      <c r="J1789" t="s">
        <v>94</v>
      </c>
      <c r="K1789" t="s">
        <v>38</v>
      </c>
      <c r="L1789" t="s">
        <v>39</v>
      </c>
      <c r="M1789">
        <v>97.83</v>
      </c>
    </row>
    <row r="1790">
      <c r="A1790" s="2">
        <v>45599</v>
      </c>
      <c r="B1790">
        <v>2025.0</v>
      </c>
      <c r="C1790" t="s">
        <v>315</v>
      </c>
      <c r="D1790" t="s">
        <v>316</v>
      </c>
      <c r="E1790" t="s">
        <v>90</v>
      </c>
      <c r="F1790" t="s">
        <v>305</v>
      </c>
      <c r="G1790" t="s">
        <v>10</v>
      </c>
      <c r="H1790">
        <v>3353.0</v>
      </c>
      <c r="I1790" t="s">
        <v>31</v>
      </c>
      <c r="J1790" t="s">
        <v>37</v>
      </c>
      <c r="K1790" t="s">
        <v>112</v>
      </c>
      <c r="L1790" t="s">
        <v>113</v>
      </c>
      <c r="M1790">
        <v>97.84</v>
      </c>
    </row>
    <row r="1791">
      <c r="A1791" s="2">
        <v>45926</v>
      </c>
      <c r="B1791">
        <v>2026.0</v>
      </c>
      <c r="C1791" t="s">
        <v>321</v>
      </c>
      <c r="D1791" t="s">
        <v>319</v>
      </c>
      <c r="E1791" t="s">
        <v>238</v>
      </c>
      <c r="F1791" t="s">
        <v>308</v>
      </c>
      <c r="G1791" t="s">
        <v>13</v>
      </c>
      <c r="H1791">
        <v>5082.0</v>
      </c>
      <c r="I1791" t="s">
        <v>31</v>
      </c>
      <c r="J1791" t="s">
        <v>42</v>
      </c>
      <c r="K1791" t="s">
        <v>38</v>
      </c>
      <c r="L1791" t="s">
        <v>39</v>
      </c>
      <c r="M1791">
        <v>97.86</v>
      </c>
    </row>
    <row r="1792">
      <c r="A1792" s="2">
        <v>45385</v>
      </c>
      <c r="B1792">
        <v>2024.0</v>
      </c>
      <c r="C1792" t="s">
        <v>318</v>
      </c>
      <c r="D1792" t="s">
        <v>316</v>
      </c>
      <c r="E1792" t="s">
        <v>64</v>
      </c>
      <c r="F1792" t="s">
        <v>306</v>
      </c>
      <c r="G1792" t="s">
        <v>11</v>
      </c>
      <c r="H1792">
        <v>4215.0</v>
      </c>
      <c r="I1792" t="s">
        <v>31</v>
      </c>
      <c r="J1792" t="s">
        <v>61</v>
      </c>
      <c r="K1792" t="s">
        <v>95</v>
      </c>
      <c r="L1792" t="s">
        <v>96</v>
      </c>
      <c r="M1792">
        <v>97.86</v>
      </c>
    </row>
    <row r="1793">
      <c r="A1793" s="2">
        <v>45372</v>
      </c>
      <c r="B1793">
        <v>2024.0</v>
      </c>
      <c r="C1793" t="s">
        <v>318</v>
      </c>
      <c r="D1793" t="s">
        <v>319</v>
      </c>
      <c r="E1793" t="s">
        <v>260</v>
      </c>
      <c r="F1793" t="s">
        <v>305</v>
      </c>
      <c r="G1793" t="s">
        <v>10</v>
      </c>
      <c r="H1793">
        <v>3179.0</v>
      </c>
      <c r="I1793" t="s">
        <v>31</v>
      </c>
      <c r="J1793" t="s">
        <v>89</v>
      </c>
      <c r="K1793" t="s">
        <v>43</v>
      </c>
      <c r="L1793" t="s">
        <v>44</v>
      </c>
      <c r="M1793">
        <v>97.92</v>
      </c>
    </row>
    <row r="1794">
      <c r="A1794" s="2">
        <v>45778</v>
      </c>
      <c r="B1794">
        <v>2025.0</v>
      </c>
      <c r="C1794" t="s">
        <v>315</v>
      </c>
      <c r="D1794" t="s">
        <v>319</v>
      </c>
      <c r="E1794" t="s">
        <v>207</v>
      </c>
      <c r="F1794" t="s">
        <v>306</v>
      </c>
      <c r="G1794" t="s">
        <v>11</v>
      </c>
      <c r="H1794">
        <v>4825.0</v>
      </c>
      <c r="I1794" t="s">
        <v>31</v>
      </c>
      <c r="J1794" t="s">
        <v>78</v>
      </c>
      <c r="K1794" t="s">
        <v>38</v>
      </c>
      <c r="L1794" t="s">
        <v>39</v>
      </c>
      <c r="M1794">
        <v>97.93</v>
      </c>
    </row>
    <row r="1795">
      <c r="A1795" s="2">
        <v>45634</v>
      </c>
      <c r="B1795">
        <v>2025.0</v>
      </c>
      <c r="C1795" t="s">
        <v>315</v>
      </c>
      <c r="D1795" t="s">
        <v>319</v>
      </c>
      <c r="E1795" t="s">
        <v>125</v>
      </c>
      <c r="F1795" t="s">
        <v>305</v>
      </c>
      <c r="G1795" t="s">
        <v>10</v>
      </c>
      <c r="H1795">
        <v>3931.0</v>
      </c>
      <c r="I1795" t="s">
        <v>31</v>
      </c>
      <c r="J1795" t="s">
        <v>94</v>
      </c>
      <c r="K1795" t="s">
        <v>123</v>
      </c>
      <c r="L1795" t="s">
        <v>124</v>
      </c>
      <c r="M1795">
        <v>98.13</v>
      </c>
    </row>
    <row r="1796">
      <c r="A1796" s="2">
        <v>45811</v>
      </c>
      <c r="B1796">
        <v>2025.0</v>
      </c>
      <c r="C1796" t="s">
        <v>315</v>
      </c>
      <c r="D1796" t="s">
        <v>319</v>
      </c>
      <c r="E1796" t="s">
        <v>92</v>
      </c>
      <c r="F1796" t="s">
        <v>305</v>
      </c>
      <c r="G1796" t="s">
        <v>10</v>
      </c>
      <c r="H1796">
        <v>3690.0</v>
      </c>
      <c r="I1796" t="s">
        <v>31</v>
      </c>
      <c r="J1796" t="s">
        <v>94</v>
      </c>
      <c r="K1796" t="s">
        <v>43</v>
      </c>
      <c r="L1796" t="s">
        <v>44</v>
      </c>
      <c r="M1796">
        <v>98.14</v>
      </c>
    </row>
    <row r="1797">
      <c r="A1797" s="2">
        <v>45965</v>
      </c>
      <c r="B1797">
        <v>2026.0</v>
      </c>
      <c r="C1797" t="s">
        <v>321</v>
      </c>
      <c r="D1797" t="s">
        <v>316</v>
      </c>
      <c r="E1797" t="s">
        <v>139</v>
      </c>
      <c r="F1797" t="s">
        <v>305</v>
      </c>
      <c r="G1797" t="s">
        <v>10</v>
      </c>
      <c r="H1797">
        <v>3199.0</v>
      </c>
      <c r="I1797" t="s">
        <v>31</v>
      </c>
      <c r="J1797" t="s">
        <v>89</v>
      </c>
      <c r="K1797" t="s">
        <v>71</v>
      </c>
      <c r="L1797" t="s">
        <v>72</v>
      </c>
      <c r="M1797">
        <v>98.41</v>
      </c>
    </row>
    <row r="1798">
      <c r="A1798" s="2">
        <v>45544</v>
      </c>
      <c r="B1798">
        <v>2025.0</v>
      </c>
      <c r="C1798" t="s">
        <v>315</v>
      </c>
      <c r="D1798" t="s">
        <v>316</v>
      </c>
      <c r="E1798" t="s">
        <v>177</v>
      </c>
      <c r="F1798" t="s">
        <v>307</v>
      </c>
      <c r="G1798" t="s">
        <v>12</v>
      </c>
      <c r="H1798">
        <v>6330.0</v>
      </c>
      <c r="I1798" t="s">
        <v>31</v>
      </c>
      <c r="J1798" t="s">
        <v>162</v>
      </c>
      <c r="K1798" t="s">
        <v>95</v>
      </c>
      <c r="L1798" t="s">
        <v>96</v>
      </c>
      <c r="M1798">
        <v>98.74000000000001</v>
      </c>
    </row>
    <row r="1799">
      <c r="A1799" s="2">
        <v>45633</v>
      </c>
      <c r="B1799">
        <v>2025.0</v>
      </c>
      <c r="C1799" t="s">
        <v>315</v>
      </c>
      <c r="D1799" t="s">
        <v>319</v>
      </c>
      <c r="E1799" t="s">
        <v>223</v>
      </c>
      <c r="F1799" t="s">
        <v>305</v>
      </c>
      <c r="G1799" t="s">
        <v>10</v>
      </c>
      <c r="H1799">
        <v>3915.0</v>
      </c>
      <c r="I1799" t="s">
        <v>31</v>
      </c>
      <c r="J1799" t="s">
        <v>94</v>
      </c>
      <c r="K1799" t="s">
        <v>46</v>
      </c>
      <c r="L1799" t="s">
        <v>47</v>
      </c>
      <c r="M1799">
        <v>98.9</v>
      </c>
    </row>
    <row r="1800">
      <c r="A1800" s="2">
        <v>45917</v>
      </c>
      <c r="B1800">
        <v>2026.0</v>
      </c>
      <c r="C1800" t="s">
        <v>321</v>
      </c>
      <c r="D1800" t="s">
        <v>319</v>
      </c>
      <c r="E1800" t="s">
        <v>125</v>
      </c>
      <c r="F1800" t="s">
        <v>305</v>
      </c>
      <c r="G1800" t="s">
        <v>10</v>
      </c>
      <c r="H1800">
        <v>3931.0</v>
      </c>
      <c r="I1800" t="s">
        <v>31</v>
      </c>
      <c r="J1800" t="s">
        <v>94</v>
      </c>
      <c r="K1800" t="s">
        <v>38</v>
      </c>
      <c r="L1800" t="s">
        <v>39</v>
      </c>
      <c r="M1800">
        <v>98.93</v>
      </c>
    </row>
    <row r="1801">
      <c r="A1801" s="2">
        <v>45695</v>
      </c>
      <c r="B1801">
        <v>2025.0</v>
      </c>
      <c r="C1801" t="s">
        <v>315</v>
      </c>
      <c r="D1801" t="s">
        <v>319</v>
      </c>
      <c r="E1801" t="s">
        <v>205</v>
      </c>
      <c r="F1801" t="s">
        <v>305</v>
      </c>
      <c r="G1801" t="s">
        <v>10</v>
      </c>
      <c r="H1801">
        <v>3400.0</v>
      </c>
      <c r="I1801" t="s">
        <v>31</v>
      </c>
      <c r="J1801" t="s">
        <v>37</v>
      </c>
      <c r="K1801" t="s">
        <v>33</v>
      </c>
      <c r="L1801" t="s">
        <v>34</v>
      </c>
      <c r="M1801">
        <v>98.95</v>
      </c>
    </row>
    <row r="1802">
      <c r="A1802" s="2">
        <v>45412</v>
      </c>
      <c r="B1802">
        <v>2024.0</v>
      </c>
      <c r="C1802" t="s">
        <v>318</v>
      </c>
      <c r="D1802" t="s">
        <v>316</v>
      </c>
      <c r="E1802" t="s">
        <v>92</v>
      </c>
      <c r="F1802" t="s">
        <v>305</v>
      </c>
      <c r="G1802" t="s">
        <v>10</v>
      </c>
      <c r="H1802">
        <v>3690.0</v>
      </c>
      <c r="I1802" t="s">
        <v>31</v>
      </c>
      <c r="J1802" t="s">
        <v>94</v>
      </c>
      <c r="K1802" t="s">
        <v>43</v>
      </c>
      <c r="L1802" t="s">
        <v>44</v>
      </c>
      <c r="M1802">
        <v>98.99000000000001</v>
      </c>
    </row>
    <row r="1803">
      <c r="A1803" s="2">
        <v>45353</v>
      </c>
      <c r="B1803">
        <v>2024.0</v>
      </c>
      <c r="C1803" t="s">
        <v>318</v>
      </c>
      <c r="D1803" t="s">
        <v>316</v>
      </c>
      <c r="E1803" t="s">
        <v>48</v>
      </c>
      <c r="F1803" t="s">
        <v>307</v>
      </c>
      <c r="G1803" t="s">
        <v>12</v>
      </c>
      <c r="H1803">
        <v>6725.0</v>
      </c>
      <c r="I1803" t="s">
        <v>31</v>
      </c>
      <c r="J1803" t="s">
        <v>50</v>
      </c>
      <c r="K1803" t="s">
        <v>43</v>
      </c>
      <c r="L1803" t="s">
        <v>44</v>
      </c>
      <c r="M1803">
        <v>99.39</v>
      </c>
    </row>
    <row r="1804">
      <c r="A1804" s="2">
        <v>45677</v>
      </c>
      <c r="B1804">
        <v>2025.0</v>
      </c>
      <c r="C1804" t="s">
        <v>315</v>
      </c>
      <c r="D1804" t="s">
        <v>319</v>
      </c>
      <c r="E1804" t="s">
        <v>108</v>
      </c>
      <c r="F1804" t="s">
        <v>304</v>
      </c>
      <c r="G1804" t="s">
        <v>9</v>
      </c>
      <c r="H1804">
        <v>2795.0</v>
      </c>
      <c r="I1804" t="s">
        <v>31</v>
      </c>
      <c r="J1804" t="s">
        <v>75</v>
      </c>
      <c r="K1804" t="s">
        <v>112</v>
      </c>
      <c r="L1804" t="s">
        <v>113</v>
      </c>
      <c r="M1804">
        <v>99.44000000000001</v>
      </c>
    </row>
    <row r="1805">
      <c r="A1805" s="2">
        <v>45938</v>
      </c>
      <c r="B1805">
        <v>2026.0</v>
      </c>
      <c r="C1805" t="s">
        <v>321</v>
      </c>
      <c r="D1805" t="s">
        <v>316</v>
      </c>
      <c r="E1805" t="s">
        <v>189</v>
      </c>
      <c r="F1805" t="s">
        <v>304</v>
      </c>
      <c r="G1805" t="s">
        <v>9</v>
      </c>
      <c r="H1805">
        <v>2131.0</v>
      </c>
      <c r="I1805" t="s">
        <v>31</v>
      </c>
      <c r="J1805" t="s">
        <v>81</v>
      </c>
      <c r="K1805" t="s">
        <v>71</v>
      </c>
      <c r="L1805" t="s">
        <v>72</v>
      </c>
      <c r="M1805">
        <v>99.48</v>
      </c>
    </row>
    <row r="1806">
      <c r="A1806" s="2">
        <v>45514</v>
      </c>
      <c r="B1806">
        <v>2025.0</v>
      </c>
      <c r="C1806" t="s">
        <v>315</v>
      </c>
      <c r="D1806" t="s">
        <v>316</v>
      </c>
      <c r="E1806" t="s">
        <v>114</v>
      </c>
      <c r="F1806" t="s">
        <v>304</v>
      </c>
      <c r="G1806" t="s">
        <v>9</v>
      </c>
      <c r="H1806">
        <v>2031.0</v>
      </c>
      <c r="I1806" t="s">
        <v>31</v>
      </c>
      <c r="J1806" t="s">
        <v>99</v>
      </c>
      <c r="K1806" t="s">
        <v>33</v>
      </c>
      <c r="L1806" t="s">
        <v>34</v>
      </c>
      <c r="M1806">
        <v>99.77000000000001</v>
      </c>
    </row>
    <row r="1807">
      <c r="A1807" s="2">
        <v>45468</v>
      </c>
      <c r="B1807">
        <v>2024.0</v>
      </c>
      <c r="C1807" t="s">
        <v>318</v>
      </c>
      <c r="D1807" t="s">
        <v>316</v>
      </c>
      <c r="E1807" t="s">
        <v>97</v>
      </c>
      <c r="F1807" t="s">
        <v>304</v>
      </c>
      <c r="G1807" t="s">
        <v>9</v>
      </c>
      <c r="H1807">
        <v>2067.0</v>
      </c>
      <c r="I1807" t="s">
        <v>31</v>
      </c>
      <c r="J1807" t="s">
        <v>99</v>
      </c>
      <c r="K1807" t="s">
        <v>95</v>
      </c>
      <c r="L1807" t="s">
        <v>96</v>
      </c>
      <c r="M1807">
        <v>99.8</v>
      </c>
    </row>
    <row r="1808">
      <c r="A1808" s="2">
        <v>45820</v>
      </c>
      <c r="B1808">
        <v>2025.0</v>
      </c>
      <c r="C1808" t="s">
        <v>315</v>
      </c>
      <c r="D1808" t="s">
        <v>319</v>
      </c>
      <c r="E1808" t="s">
        <v>110</v>
      </c>
      <c r="F1808" t="s">
        <v>304</v>
      </c>
      <c r="G1808" t="s">
        <v>9</v>
      </c>
      <c r="H1808">
        <v>2101.0</v>
      </c>
      <c r="I1808" t="s">
        <v>31</v>
      </c>
      <c r="J1808" t="s">
        <v>81</v>
      </c>
      <c r="K1808" t="s">
        <v>95</v>
      </c>
      <c r="L1808" t="s">
        <v>96</v>
      </c>
      <c r="M1808">
        <v>99.8</v>
      </c>
    </row>
    <row r="1809">
      <c r="A1809" s="2">
        <v>45603</v>
      </c>
      <c r="B1809">
        <v>2025.0</v>
      </c>
      <c r="C1809" t="s">
        <v>315</v>
      </c>
      <c r="D1809" t="s">
        <v>316</v>
      </c>
      <c r="E1809" t="s">
        <v>90</v>
      </c>
      <c r="F1809" t="s">
        <v>305</v>
      </c>
      <c r="G1809" t="s">
        <v>10</v>
      </c>
      <c r="H1809">
        <v>3353.0</v>
      </c>
      <c r="I1809" t="s">
        <v>31</v>
      </c>
      <c r="J1809" t="s">
        <v>37</v>
      </c>
      <c r="K1809" t="s">
        <v>71</v>
      </c>
      <c r="L1809" t="s">
        <v>72</v>
      </c>
      <c r="M1809">
        <v>99.95</v>
      </c>
    </row>
    <row r="1810">
      <c r="A1810" s="2">
        <v>45530</v>
      </c>
      <c r="B1810">
        <v>2025.0</v>
      </c>
      <c r="C1810" t="s">
        <v>315</v>
      </c>
      <c r="D1810" t="s">
        <v>316</v>
      </c>
      <c r="E1810" t="s">
        <v>121</v>
      </c>
      <c r="F1810" t="s">
        <v>306</v>
      </c>
      <c r="G1810" t="s">
        <v>11</v>
      </c>
      <c r="H1810">
        <v>4566.0</v>
      </c>
      <c r="I1810" t="s">
        <v>31</v>
      </c>
      <c r="J1810" t="s">
        <v>84</v>
      </c>
      <c r="K1810" t="s">
        <v>95</v>
      </c>
      <c r="L1810" t="s">
        <v>96</v>
      </c>
      <c r="M1810">
        <v>100.0</v>
      </c>
    </row>
    <row r="1811">
      <c r="A1811" s="2">
        <v>45715</v>
      </c>
      <c r="B1811">
        <v>2025.0</v>
      </c>
      <c r="C1811" t="s">
        <v>315</v>
      </c>
      <c r="D1811" t="s">
        <v>316</v>
      </c>
      <c r="E1811" t="s">
        <v>256</v>
      </c>
      <c r="F1811" t="s">
        <v>304</v>
      </c>
      <c r="G1811" t="s">
        <v>9</v>
      </c>
      <c r="H1811">
        <v>2350.0</v>
      </c>
      <c r="I1811" t="s">
        <v>31</v>
      </c>
      <c r="J1811" t="s">
        <v>70</v>
      </c>
      <c r="K1811" t="s">
        <v>66</v>
      </c>
      <c r="L1811" t="s">
        <v>67</v>
      </c>
      <c r="M1811">
        <v>100.38</v>
      </c>
    </row>
    <row r="1812">
      <c r="A1812" s="2">
        <v>45932</v>
      </c>
      <c r="B1812">
        <v>2026.0</v>
      </c>
      <c r="C1812" t="s">
        <v>321</v>
      </c>
      <c r="D1812" t="s">
        <v>316</v>
      </c>
      <c r="E1812" t="s">
        <v>254</v>
      </c>
      <c r="F1812" t="s">
        <v>308</v>
      </c>
      <c r="G1812" t="s">
        <v>13</v>
      </c>
      <c r="H1812">
        <v>5343.0</v>
      </c>
      <c r="I1812" t="s">
        <v>31</v>
      </c>
      <c r="J1812" t="s">
        <v>227</v>
      </c>
      <c r="K1812" t="s">
        <v>43</v>
      </c>
      <c r="L1812" t="s">
        <v>44</v>
      </c>
      <c r="M1812">
        <v>100.6</v>
      </c>
    </row>
    <row r="1813">
      <c r="A1813" s="2">
        <v>45415</v>
      </c>
      <c r="B1813">
        <v>2024.0</v>
      </c>
      <c r="C1813" t="s">
        <v>318</v>
      </c>
      <c r="D1813" t="s">
        <v>316</v>
      </c>
      <c r="E1813" t="s">
        <v>139</v>
      </c>
      <c r="F1813" t="s">
        <v>305</v>
      </c>
      <c r="G1813" t="s">
        <v>10</v>
      </c>
      <c r="H1813">
        <v>3199.0</v>
      </c>
      <c r="I1813" t="s">
        <v>31</v>
      </c>
      <c r="J1813" t="s">
        <v>89</v>
      </c>
      <c r="K1813" t="s">
        <v>66</v>
      </c>
      <c r="L1813" t="s">
        <v>67</v>
      </c>
      <c r="M1813">
        <v>100.77</v>
      </c>
    </row>
    <row r="1814">
      <c r="A1814" s="2">
        <v>45687</v>
      </c>
      <c r="B1814">
        <v>2025.0</v>
      </c>
      <c r="C1814" t="s">
        <v>315</v>
      </c>
      <c r="D1814" t="s">
        <v>316</v>
      </c>
      <c r="E1814" t="s">
        <v>160</v>
      </c>
      <c r="F1814" t="s">
        <v>307</v>
      </c>
      <c r="G1814" t="s">
        <v>12</v>
      </c>
      <c r="H1814">
        <v>6280.0</v>
      </c>
      <c r="I1814" t="s">
        <v>31</v>
      </c>
      <c r="J1814" t="s">
        <v>162</v>
      </c>
      <c r="K1814" t="s">
        <v>123</v>
      </c>
      <c r="L1814" t="s">
        <v>124</v>
      </c>
      <c r="M1814">
        <v>100.83000000000001</v>
      </c>
    </row>
    <row r="1815">
      <c r="A1815" s="2">
        <v>45954</v>
      </c>
      <c r="B1815">
        <v>2026.0</v>
      </c>
      <c r="C1815" t="s">
        <v>321</v>
      </c>
      <c r="D1815" t="s">
        <v>319</v>
      </c>
      <c r="E1815" t="s">
        <v>193</v>
      </c>
      <c r="F1815" t="s">
        <v>304</v>
      </c>
      <c r="G1815" t="s">
        <v>9</v>
      </c>
      <c r="H1815">
        <v>2020.0</v>
      </c>
      <c r="I1815" t="s">
        <v>31</v>
      </c>
      <c r="J1815" t="s">
        <v>99</v>
      </c>
      <c r="K1815" t="s">
        <v>71</v>
      </c>
      <c r="L1815" t="s">
        <v>72</v>
      </c>
      <c r="M1815">
        <v>101.5</v>
      </c>
    </row>
    <row r="1816">
      <c r="A1816" s="2">
        <v>45950</v>
      </c>
      <c r="B1816">
        <v>2026.0</v>
      </c>
      <c r="C1816" t="s">
        <v>321</v>
      </c>
      <c r="D1816" t="s">
        <v>319</v>
      </c>
      <c r="E1816" t="s">
        <v>221</v>
      </c>
      <c r="F1816" t="s">
        <v>306</v>
      </c>
      <c r="G1816" t="s">
        <v>11</v>
      </c>
      <c r="H1816">
        <v>4053.0</v>
      </c>
      <c r="I1816" t="s">
        <v>31</v>
      </c>
      <c r="J1816" t="s">
        <v>56</v>
      </c>
      <c r="K1816" t="s">
        <v>95</v>
      </c>
      <c r="L1816" t="s">
        <v>96</v>
      </c>
      <c r="M1816">
        <v>101.55</v>
      </c>
    </row>
    <row r="1817">
      <c r="A1817" s="2">
        <v>45998</v>
      </c>
      <c r="B1817">
        <v>2026.0</v>
      </c>
      <c r="C1817" t="s">
        <v>321</v>
      </c>
      <c r="D1817" t="s">
        <v>316</v>
      </c>
      <c r="E1817" t="s">
        <v>238</v>
      </c>
      <c r="F1817" t="s">
        <v>308</v>
      </c>
      <c r="G1817" t="s">
        <v>13</v>
      </c>
      <c r="H1817">
        <v>5082.0</v>
      </c>
      <c r="I1817" t="s">
        <v>31</v>
      </c>
      <c r="J1817" t="s">
        <v>42</v>
      </c>
      <c r="K1817" t="s">
        <v>112</v>
      </c>
      <c r="L1817" t="s">
        <v>113</v>
      </c>
      <c r="M1817">
        <v>101.66</v>
      </c>
    </row>
    <row r="1818">
      <c r="A1818" s="2">
        <v>45977</v>
      </c>
      <c r="B1818">
        <v>2026.0</v>
      </c>
      <c r="C1818" t="s">
        <v>321</v>
      </c>
      <c r="D1818" t="s">
        <v>316</v>
      </c>
      <c r="E1818" t="s">
        <v>54</v>
      </c>
      <c r="F1818" t="s">
        <v>306</v>
      </c>
      <c r="G1818" t="s">
        <v>11</v>
      </c>
      <c r="H1818">
        <v>4012.0</v>
      </c>
      <c r="I1818" t="s">
        <v>31</v>
      </c>
      <c r="J1818" t="s">
        <v>56</v>
      </c>
      <c r="K1818" t="s">
        <v>38</v>
      </c>
      <c r="L1818" t="s">
        <v>39</v>
      </c>
      <c r="M1818">
        <v>101.87</v>
      </c>
    </row>
    <row r="1819">
      <c r="A1819" s="2">
        <v>45892</v>
      </c>
      <c r="B1819">
        <v>2026.0</v>
      </c>
      <c r="C1819" t="s">
        <v>321</v>
      </c>
      <c r="D1819" t="s">
        <v>319</v>
      </c>
      <c r="E1819" t="s">
        <v>82</v>
      </c>
      <c r="F1819" t="s">
        <v>306</v>
      </c>
      <c r="G1819" t="s">
        <v>11</v>
      </c>
      <c r="H1819">
        <v>4558.0</v>
      </c>
      <c r="I1819" t="s">
        <v>31</v>
      </c>
      <c r="J1819" t="s">
        <v>84</v>
      </c>
      <c r="K1819" t="s">
        <v>57</v>
      </c>
      <c r="L1819" t="s">
        <v>58</v>
      </c>
      <c r="M1819">
        <v>101.88</v>
      </c>
    </row>
    <row r="1820">
      <c r="A1820" s="2">
        <v>45547</v>
      </c>
      <c r="B1820">
        <v>2025.0</v>
      </c>
      <c r="C1820" t="s">
        <v>315</v>
      </c>
      <c r="D1820" t="s">
        <v>316</v>
      </c>
      <c r="E1820" t="s">
        <v>217</v>
      </c>
      <c r="F1820" t="s">
        <v>305</v>
      </c>
      <c r="G1820" t="s">
        <v>10</v>
      </c>
      <c r="H1820">
        <v>3136.0</v>
      </c>
      <c r="I1820" t="s">
        <v>31</v>
      </c>
      <c r="J1820" t="s">
        <v>89</v>
      </c>
      <c r="K1820" t="s">
        <v>43</v>
      </c>
      <c r="L1820" t="s">
        <v>44</v>
      </c>
      <c r="M1820">
        <v>101.89000000000001</v>
      </c>
    </row>
    <row r="1821">
      <c r="A1821" s="2">
        <v>45510</v>
      </c>
      <c r="B1821">
        <v>2025.0</v>
      </c>
      <c r="C1821" t="s">
        <v>315</v>
      </c>
      <c r="D1821" t="s">
        <v>319</v>
      </c>
      <c r="E1821" t="s">
        <v>85</v>
      </c>
      <c r="F1821" t="s">
        <v>304</v>
      </c>
      <c r="G1821" t="s">
        <v>9</v>
      </c>
      <c r="H1821">
        <v>2120.0</v>
      </c>
      <c r="I1821" t="s">
        <v>31</v>
      </c>
      <c r="J1821" t="s">
        <v>81</v>
      </c>
      <c r="K1821" t="s">
        <v>112</v>
      </c>
      <c r="L1821" t="s">
        <v>113</v>
      </c>
      <c r="M1821">
        <v>102.33000000000001</v>
      </c>
    </row>
    <row r="1822">
      <c r="A1822" s="2">
        <v>45322</v>
      </c>
      <c r="B1822">
        <v>2024.0</v>
      </c>
      <c r="C1822" t="s">
        <v>318</v>
      </c>
      <c r="D1822" t="s">
        <v>316</v>
      </c>
      <c r="E1822" t="s">
        <v>85</v>
      </c>
      <c r="F1822" t="s">
        <v>304</v>
      </c>
      <c r="G1822" t="s">
        <v>9</v>
      </c>
      <c r="H1822">
        <v>2120.0</v>
      </c>
      <c r="I1822" t="s">
        <v>31</v>
      </c>
      <c r="J1822" t="s">
        <v>81</v>
      </c>
      <c r="K1822" t="s">
        <v>38</v>
      </c>
      <c r="L1822" t="s">
        <v>39</v>
      </c>
      <c r="M1822">
        <v>102.43</v>
      </c>
    </row>
    <row r="1823">
      <c r="A1823" s="2">
        <v>45890</v>
      </c>
      <c r="B1823">
        <v>2026.0</v>
      </c>
      <c r="C1823" t="s">
        <v>321</v>
      </c>
      <c r="D1823" t="s">
        <v>319</v>
      </c>
      <c r="E1823" t="s">
        <v>185</v>
      </c>
      <c r="F1823" t="s">
        <v>307</v>
      </c>
      <c r="G1823" t="s">
        <v>12</v>
      </c>
      <c r="H1823">
        <v>6109.0</v>
      </c>
      <c r="I1823" t="s">
        <v>31</v>
      </c>
      <c r="J1823" t="s">
        <v>162</v>
      </c>
      <c r="K1823" t="s">
        <v>46</v>
      </c>
      <c r="L1823" t="s">
        <v>47</v>
      </c>
      <c r="M1823">
        <v>102.62</v>
      </c>
    </row>
    <row r="1824">
      <c r="A1824" s="2">
        <v>45454</v>
      </c>
      <c r="B1824">
        <v>2024.0</v>
      </c>
      <c r="C1824" t="s">
        <v>318</v>
      </c>
      <c r="D1824" t="s">
        <v>316</v>
      </c>
      <c r="E1824" t="s">
        <v>150</v>
      </c>
      <c r="F1824" t="s">
        <v>310</v>
      </c>
      <c r="G1824" t="s">
        <v>15</v>
      </c>
      <c r="H1824">
        <v>7250.0</v>
      </c>
      <c r="I1824" t="s">
        <v>31</v>
      </c>
      <c r="J1824" t="s">
        <v>53</v>
      </c>
      <c r="K1824" t="s">
        <v>38</v>
      </c>
      <c r="L1824" t="s">
        <v>39</v>
      </c>
      <c r="M1824">
        <v>102.77</v>
      </c>
    </row>
    <row r="1825">
      <c r="A1825" s="2">
        <v>45435</v>
      </c>
      <c r="B1825">
        <v>2024.0</v>
      </c>
      <c r="C1825" t="s">
        <v>318</v>
      </c>
      <c r="D1825" t="s">
        <v>316</v>
      </c>
      <c r="E1825" t="s">
        <v>240</v>
      </c>
      <c r="F1825" t="s">
        <v>310</v>
      </c>
      <c r="G1825" t="s">
        <v>15</v>
      </c>
      <c r="H1825">
        <v>7010.0</v>
      </c>
      <c r="I1825" t="s">
        <v>31</v>
      </c>
      <c r="J1825" t="s">
        <v>53</v>
      </c>
      <c r="K1825" t="s">
        <v>71</v>
      </c>
      <c r="L1825" t="s">
        <v>72</v>
      </c>
      <c r="M1825">
        <v>102.81</v>
      </c>
    </row>
    <row r="1826">
      <c r="A1826" s="2">
        <v>45372</v>
      </c>
      <c r="B1826">
        <v>2024.0</v>
      </c>
      <c r="C1826" t="s">
        <v>318</v>
      </c>
      <c r="D1826" t="s">
        <v>316</v>
      </c>
      <c r="E1826" t="s">
        <v>238</v>
      </c>
      <c r="F1826" t="s">
        <v>308</v>
      </c>
      <c r="G1826" t="s">
        <v>13</v>
      </c>
      <c r="H1826">
        <v>5082.0</v>
      </c>
      <c r="I1826" t="s">
        <v>31</v>
      </c>
      <c r="J1826" t="s">
        <v>42</v>
      </c>
      <c r="K1826" t="s">
        <v>43</v>
      </c>
      <c r="L1826" t="s">
        <v>44</v>
      </c>
      <c r="M1826">
        <v>102.89999999999999</v>
      </c>
    </row>
    <row r="1827">
      <c r="A1827" s="2">
        <v>46000</v>
      </c>
      <c r="B1827">
        <v>2026.0</v>
      </c>
      <c r="C1827" t="s">
        <v>321</v>
      </c>
      <c r="D1827" t="s">
        <v>316</v>
      </c>
      <c r="E1827" t="s">
        <v>54</v>
      </c>
      <c r="F1827" t="s">
        <v>306</v>
      </c>
      <c r="G1827" t="s">
        <v>11</v>
      </c>
      <c r="H1827">
        <v>4012.0</v>
      </c>
      <c r="I1827" t="s">
        <v>31</v>
      </c>
      <c r="J1827" t="s">
        <v>56</v>
      </c>
      <c r="K1827" t="s">
        <v>46</v>
      </c>
      <c r="L1827" t="s">
        <v>47</v>
      </c>
      <c r="M1827">
        <v>102.93</v>
      </c>
    </row>
    <row r="1828">
      <c r="A1828" s="2">
        <v>45336</v>
      </c>
      <c r="B1828">
        <v>2024.0</v>
      </c>
      <c r="C1828" t="s">
        <v>318</v>
      </c>
      <c r="D1828" t="s">
        <v>316</v>
      </c>
      <c r="E1828" t="s">
        <v>59</v>
      </c>
      <c r="F1828" t="s">
        <v>306</v>
      </c>
      <c r="G1828" t="s">
        <v>11</v>
      </c>
      <c r="H1828">
        <v>4509.0</v>
      </c>
      <c r="I1828" t="s">
        <v>31</v>
      </c>
      <c r="J1828" t="s">
        <v>61</v>
      </c>
      <c r="K1828" t="s">
        <v>95</v>
      </c>
      <c r="L1828" t="s">
        <v>96</v>
      </c>
      <c r="M1828">
        <v>103.0</v>
      </c>
    </row>
    <row r="1829">
      <c r="A1829" s="2">
        <v>45753</v>
      </c>
      <c r="B1829">
        <v>2025.0</v>
      </c>
      <c r="C1829" t="s">
        <v>315</v>
      </c>
      <c r="D1829" t="s">
        <v>316</v>
      </c>
      <c r="E1829" t="s">
        <v>209</v>
      </c>
      <c r="F1829" t="s">
        <v>304</v>
      </c>
      <c r="G1829" t="s">
        <v>9</v>
      </c>
      <c r="H1829">
        <v>2116.0</v>
      </c>
      <c r="I1829" t="s">
        <v>31</v>
      </c>
      <c r="J1829" t="s">
        <v>81</v>
      </c>
      <c r="K1829" t="s">
        <v>46</v>
      </c>
      <c r="L1829" t="s">
        <v>47</v>
      </c>
      <c r="M1829">
        <v>103.07</v>
      </c>
    </row>
    <row r="1830">
      <c r="A1830" s="2">
        <v>45340</v>
      </c>
      <c r="B1830">
        <v>2024.0</v>
      </c>
      <c r="C1830" t="s">
        <v>318</v>
      </c>
      <c r="D1830" t="s">
        <v>319</v>
      </c>
      <c r="E1830" t="s">
        <v>121</v>
      </c>
      <c r="F1830" t="s">
        <v>306</v>
      </c>
      <c r="G1830" t="s">
        <v>11</v>
      </c>
      <c r="H1830">
        <v>4566.0</v>
      </c>
      <c r="I1830" t="s">
        <v>31</v>
      </c>
      <c r="J1830" t="s">
        <v>84</v>
      </c>
      <c r="K1830" t="s">
        <v>112</v>
      </c>
      <c r="L1830" t="s">
        <v>113</v>
      </c>
      <c r="M1830">
        <v>103.77</v>
      </c>
    </row>
    <row r="1831">
      <c r="A1831" s="2">
        <v>45871</v>
      </c>
      <c r="B1831">
        <v>2026.0</v>
      </c>
      <c r="C1831" t="s">
        <v>321</v>
      </c>
      <c r="D1831" t="s">
        <v>319</v>
      </c>
      <c r="E1831" t="s">
        <v>205</v>
      </c>
      <c r="F1831" t="s">
        <v>305</v>
      </c>
      <c r="G1831" t="s">
        <v>10</v>
      </c>
      <c r="H1831">
        <v>3400.0</v>
      </c>
      <c r="I1831" t="s">
        <v>31</v>
      </c>
      <c r="J1831" t="s">
        <v>37</v>
      </c>
      <c r="K1831" t="s">
        <v>123</v>
      </c>
      <c r="L1831" t="s">
        <v>124</v>
      </c>
      <c r="M1831">
        <v>103.87</v>
      </c>
    </row>
    <row r="1832">
      <c r="A1832" s="2">
        <v>45707</v>
      </c>
      <c r="B1832">
        <v>2025.0</v>
      </c>
      <c r="C1832" t="s">
        <v>315</v>
      </c>
      <c r="D1832" t="s">
        <v>319</v>
      </c>
      <c r="E1832" t="s">
        <v>223</v>
      </c>
      <c r="F1832" t="s">
        <v>305</v>
      </c>
      <c r="G1832" t="s">
        <v>10</v>
      </c>
      <c r="H1832">
        <v>3915.0</v>
      </c>
      <c r="I1832" t="s">
        <v>31</v>
      </c>
      <c r="J1832" t="s">
        <v>94</v>
      </c>
      <c r="K1832" t="s">
        <v>43</v>
      </c>
      <c r="L1832" t="s">
        <v>44</v>
      </c>
      <c r="M1832">
        <v>103.92</v>
      </c>
    </row>
    <row r="1833">
      <c r="A1833" s="2">
        <v>45830</v>
      </c>
      <c r="B1833">
        <v>2025.0</v>
      </c>
      <c r="C1833" t="s">
        <v>315</v>
      </c>
      <c r="D1833" t="s">
        <v>316</v>
      </c>
      <c r="E1833" t="s">
        <v>244</v>
      </c>
      <c r="F1833" t="s">
        <v>308</v>
      </c>
      <c r="G1833" t="s">
        <v>13</v>
      </c>
      <c r="H1833">
        <v>5168.0</v>
      </c>
      <c r="I1833" t="s">
        <v>31</v>
      </c>
      <c r="J1833" t="s">
        <v>42</v>
      </c>
      <c r="K1833" t="s">
        <v>46</v>
      </c>
      <c r="L1833" t="s">
        <v>47</v>
      </c>
      <c r="M1833">
        <v>103.92</v>
      </c>
    </row>
    <row r="1834">
      <c r="A1834" s="2">
        <v>45748</v>
      </c>
      <c r="B1834">
        <v>2025.0</v>
      </c>
      <c r="C1834" t="s">
        <v>315</v>
      </c>
      <c r="D1834" t="s">
        <v>319</v>
      </c>
      <c r="E1834" t="s">
        <v>260</v>
      </c>
      <c r="F1834" t="s">
        <v>305</v>
      </c>
      <c r="G1834" t="s">
        <v>10</v>
      </c>
      <c r="H1834">
        <v>3179.0</v>
      </c>
      <c r="I1834" t="s">
        <v>31</v>
      </c>
      <c r="J1834" t="s">
        <v>89</v>
      </c>
      <c r="K1834" t="s">
        <v>43</v>
      </c>
      <c r="L1834" t="s">
        <v>44</v>
      </c>
      <c r="M1834">
        <v>103.92</v>
      </c>
    </row>
    <row r="1835">
      <c r="A1835" s="2">
        <v>45432</v>
      </c>
      <c r="B1835">
        <v>2024.0</v>
      </c>
      <c r="C1835" t="s">
        <v>318</v>
      </c>
      <c r="D1835" t="s">
        <v>319</v>
      </c>
      <c r="E1835" t="s">
        <v>181</v>
      </c>
      <c r="F1835" t="s">
        <v>306</v>
      </c>
      <c r="G1835" t="s">
        <v>11</v>
      </c>
      <c r="H1835">
        <v>4119.0</v>
      </c>
      <c r="I1835" t="s">
        <v>31</v>
      </c>
      <c r="J1835" t="s">
        <v>56</v>
      </c>
      <c r="K1835" t="s">
        <v>46</v>
      </c>
      <c r="L1835" t="s">
        <v>47</v>
      </c>
      <c r="M1835">
        <v>103.92</v>
      </c>
    </row>
    <row r="1836">
      <c r="A1836" s="2">
        <v>45622</v>
      </c>
      <c r="B1836">
        <v>2025.0</v>
      </c>
      <c r="C1836" t="s">
        <v>315</v>
      </c>
      <c r="D1836" t="s">
        <v>319</v>
      </c>
      <c r="E1836" t="s">
        <v>244</v>
      </c>
      <c r="F1836" t="s">
        <v>308</v>
      </c>
      <c r="G1836" t="s">
        <v>13</v>
      </c>
      <c r="H1836">
        <v>5168.0</v>
      </c>
      <c r="I1836" t="s">
        <v>31</v>
      </c>
      <c r="J1836" t="s">
        <v>42</v>
      </c>
      <c r="K1836" t="s">
        <v>43</v>
      </c>
      <c r="L1836" t="s">
        <v>44</v>
      </c>
      <c r="M1836">
        <v>104.47</v>
      </c>
    </row>
    <row r="1837">
      <c r="A1837" s="2">
        <v>45681</v>
      </c>
      <c r="B1837">
        <v>2025.0</v>
      </c>
      <c r="C1837" t="s">
        <v>315</v>
      </c>
      <c r="D1837" t="s">
        <v>319</v>
      </c>
      <c r="E1837" t="s">
        <v>260</v>
      </c>
      <c r="F1837" t="s">
        <v>305</v>
      </c>
      <c r="G1837" t="s">
        <v>10</v>
      </c>
      <c r="H1837">
        <v>3179.0</v>
      </c>
      <c r="I1837" t="s">
        <v>31</v>
      </c>
      <c r="J1837" t="s">
        <v>89</v>
      </c>
      <c r="K1837" t="s">
        <v>123</v>
      </c>
      <c r="L1837" t="s">
        <v>124</v>
      </c>
      <c r="M1837">
        <v>104.5</v>
      </c>
    </row>
    <row r="1838">
      <c r="A1838" s="2">
        <v>45629</v>
      </c>
      <c r="B1838">
        <v>2025.0</v>
      </c>
      <c r="C1838" t="s">
        <v>315</v>
      </c>
      <c r="D1838" t="s">
        <v>316</v>
      </c>
      <c r="E1838" t="s">
        <v>183</v>
      </c>
      <c r="F1838" t="s">
        <v>304</v>
      </c>
      <c r="G1838" t="s">
        <v>9</v>
      </c>
      <c r="H1838">
        <v>2480.0</v>
      </c>
      <c r="I1838" t="s">
        <v>31</v>
      </c>
      <c r="J1838" t="s">
        <v>70</v>
      </c>
      <c r="K1838" t="s">
        <v>71</v>
      </c>
      <c r="L1838" t="s">
        <v>72</v>
      </c>
      <c r="M1838">
        <v>104.73</v>
      </c>
    </row>
    <row r="1839">
      <c r="A1839" s="2">
        <v>45758</v>
      </c>
      <c r="B1839">
        <v>2025.0</v>
      </c>
      <c r="C1839" t="s">
        <v>315</v>
      </c>
      <c r="D1839" t="s">
        <v>316</v>
      </c>
      <c r="E1839" t="s">
        <v>154</v>
      </c>
      <c r="F1839" t="s">
        <v>306</v>
      </c>
      <c r="G1839" t="s">
        <v>11</v>
      </c>
      <c r="H1839">
        <v>4551.0</v>
      </c>
      <c r="I1839" t="s">
        <v>31</v>
      </c>
      <c r="J1839" t="s">
        <v>84</v>
      </c>
      <c r="K1839" t="s">
        <v>66</v>
      </c>
      <c r="L1839" t="s">
        <v>67</v>
      </c>
      <c r="M1839">
        <v>104.77</v>
      </c>
    </row>
    <row r="1840">
      <c r="A1840" s="2">
        <v>45975</v>
      </c>
      <c r="B1840">
        <v>2026.0</v>
      </c>
      <c r="C1840" t="s">
        <v>321</v>
      </c>
      <c r="D1840" t="s">
        <v>319</v>
      </c>
      <c r="E1840" t="s">
        <v>185</v>
      </c>
      <c r="F1840" t="s">
        <v>307</v>
      </c>
      <c r="G1840" t="s">
        <v>12</v>
      </c>
      <c r="H1840">
        <v>6109.0</v>
      </c>
      <c r="I1840" t="s">
        <v>31</v>
      </c>
      <c r="J1840" t="s">
        <v>162</v>
      </c>
      <c r="K1840" t="s">
        <v>95</v>
      </c>
      <c r="L1840" t="s">
        <v>96</v>
      </c>
      <c r="M1840">
        <v>104.79</v>
      </c>
    </row>
    <row r="1841">
      <c r="A1841" s="2">
        <v>45401</v>
      </c>
      <c r="B1841">
        <v>2024.0</v>
      </c>
      <c r="C1841" t="s">
        <v>318</v>
      </c>
      <c r="D1841" t="s">
        <v>316</v>
      </c>
      <c r="E1841" t="s">
        <v>193</v>
      </c>
      <c r="F1841" t="s">
        <v>304</v>
      </c>
      <c r="G1841" t="s">
        <v>9</v>
      </c>
      <c r="H1841">
        <v>2020.0</v>
      </c>
      <c r="I1841" t="s">
        <v>31</v>
      </c>
      <c r="J1841" t="s">
        <v>99</v>
      </c>
      <c r="K1841" t="s">
        <v>95</v>
      </c>
      <c r="L1841" t="s">
        <v>96</v>
      </c>
      <c r="M1841">
        <v>104.79</v>
      </c>
    </row>
    <row r="1842">
      <c r="A1842" s="2">
        <v>45296</v>
      </c>
      <c r="B1842">
        <v>2024.0</v>
      </c>
      <c r="C1842" t="s">
        <v>318</v>
      </c>
      <c r="D1842" t="s">
        <v>316</v>
      </c>
      <c r="E1842" t="s">
        <v>92</v>
      </c>
      <c r="F1842" t="s">
        <v>305</v>
      </c>
      <c r="G1842" t="s">
        <v>10</v>
      </c>
      <c r="H1842">
        <v>3690.0</v>
      </c>
      <c r="I1842" t="s">
        <v>31</v>
      </c>
      <c r="J1842" t="s">
        <v>94</v>
      </c>
      <c r="K1842" t="s">
        <v>95</v>
      </c>
      <c r="L1842" t="s">
        <v>96</v>
      </c>
      <c r="M1842">
        <v>104.79</v>
      </c>
    </row>
    <row r="1843">
      <c r="A1843" s="2">
        <v>45791</v>
      </c>
      <c r="B1843">
        <v>2025.0</v>
      </c>
      <c r="C1843" t="s">
        <v>315</v>
      </c>
      <c r="D1843" t="s">
        <v>316</v>
      </c>
      <c r="E1843" t="s">
        <v>254</v>
      </c>
      <c r="F1843" t="s">
        <v>308</v>
      </c>
      <c r="G1843" t="s">
        <v>13</v>
      </c>
      <c r="H1843">
        <v>5343.0</v>
      </c>
      <c r="I1843" t="s">
        <v>31</v>
      </c>
      <c r="J1843" t="s">
        <v>227</v>
      </c>
      <c r="K1843" t="s">
        <v>38</v>
      </c>
      <c r="L1843" t="s">
        <v>39</v>
      </c>
      <c r="M1843">
        <v>104.84</v>
      </c>
    </row>
    <row r="1844">
      <c r="A1844" s="2">
        <v>45542</v>
      </c>
      <c r="B1844">
        <v>2025.0</v>
      </c>
      <c r="C1844" t="s">
        <v>315</v>
      </c>
      <c r="D1844" t="s">
        <v>316</v>
      </c>
      <c r="E1844" t="s">
        <v>167</v>
      </c>
      <c r="F1844" t="s">
        <v>307</v>
      </c>
      <c r="G1844" t="s">
        <v>12</v>
      </c>
      <c r="H1844">
        <v>6030.0</v>
      </c>
      <c r="I1844" t="s">
        <v>31</v>
      </c>
      <c r="J1844" t="s">
        <v>102</v>
      </c>
      <c r="K1844" t="s">
        <v>71</v>
      </c>
      <c r="L1844" t="s">
        <v>72</v>
      </c>
      <c r="M1844">
        <v>104.89000000000001</v>
      </c>
    </row>
    <row r="1845">
      <c r="A1845" s="2">
        <v>45652</v>
      </c>
      <c r="B1845">
        <v>2025.0</v>
      </c>
      <c r="C1845" t="s">
        <v>315</v>
      </c>
      <c r="D1845" t="s">
        <v>319</v>
      </c>
      <c r="E1845" t="s">
        <v>167</v>
      </c>
      <c r="F1845" t="s">
        <v>307</v>
      </c>
      <c r="G1845" t="s">
        <v>12</v>
      </c>
      <c r="H1845">
        <v>6030.0</v>
      </c>
      <c r="I1845" t="s">
        <v>31</v>
      </c>
      <c r="J1845" t="s">
        <v>102</v>
      </c>
      <c r="K1845" t="s">
        <v>71</v>
      </c>
      <c r="L1845" t="s">
        <v>72</v>
      </c>
      <c r="M1845">
        <v>104.9</v>
      </c>
    </row>
    <row r="1846">
      <c r="A1846" s="2">
        <v>45804</v>
      </c>
      <c r="B1846">
        <v>2025.0</v>
      </c>
      <c r="C1846" t="s">
        <v>315</v>
      </c>
      <c r="D1846" t="s">
        <v>316</v>
      </c>
      <c r="E1846" t="s">
        <v>256</v>
      </c>
      <c r="F1846" t="s">
        <v>304</v>
      </c>
      <c r="G1846" t="s">
        <v>9</v>
      </c>
      <c r="H1846">
        <v>2350.0</v>
      </c>
      <c r="I1846" t="s">
        <v>31</v>
      </c>
      <c r="J1846" t="s">
        <v>70</v>
      </c>
      <c r="K1846" t="s">
        <v>43</v>
      </c>
      <c r="L1846" t="s">
        <v>44</v>
      </c>
      <c r="M1846">
        <v>104.93</v>
      </c>
    </row>
    <row r="1847">
      <c r="A1847" s="2">
        <v>45307</v>
      </c>
      <c r="B1847">
        <v>2024.0</v>
      </c>
      <c r="C1847" t="s">
        <v>318</v>
      </c>
      <c r="D1847" t="s">
        <v>319</v>
      </c>
      <c r="E1847" t="s">
        <v>185</v>
      </c>
      <c r="F1847" t="s">
        <v>307</v>
      </c>
      <c r="G1847" t="s">
        <v>12</v>
      </c>
      <c r="H1847">
        <v>6109.0</v>
      </c>
      <c r="I1847" t="s">
        <v>31</v>
      </c>
      <c r="J1847" t="s">
        <v>162</v>
      </c>
      <c r="K1847" t="s">
        <v>46</v>
      </c>
      <c r="L1847" t="s">
        <v>47</v>
      </c>
      <c r="M1847">
        <v>104.93</v>
      </c>
    </row>
    <row r="1848">
      <c r="A1848" s="2">
        <v>45651</v>
      </c>
      <c r="B1848">
        <v>2025.0</v>
      </c>
      <c r="C1848" t="s">
        <v>315</v>
      </c>
      <c r="D1848" t="s">
        <v>319</v>
      </c>
      <c r="E1848" t="s">
        <v>133</v>
      </c>
      <c r="F1848" t="s">
        <v>305</v>
      </c>
      <c r="G1848" t="s">
        <v>10</v>
      </c>
      <c r="H1848">
        <v>3429.0</v>
      </c>
      <c r="I1848" t="s">
        <v>31</v>
      </c>
      <c r="J1848" t="s">
        <v>37</v>
      </c>
      <c r="K1848" t="s">
        <v>57</v>
      </c>
      <c r="L1848" t="s">
        <v>58</v>
      </c>
      <c r="M1848">
        <v>104.93</v>
      </c>
    </row>
    <row r="1849">
      <c r="A1849" s="2">
        <v>45377</v>
      </c>
      <c r="B1849">
        <v>2024.0</v>
      </c>
      <c r="C1849" t="s">
        <v>318</v>
      </c>
      <c r="D1849" t="s">
        <v>319</v>
      </c>
      <c r="E1849" t="s">
        <v>167</v>
      </c>
      <c r="F1849" t="s">
        <v>307</v>
      </c>
      <c r="G1849" t="s">
        <v>12</v>
      </c>
      <c r="H1849">
        <v>6030.0</v>
      </c>
      <c r="I1849" t="s">
        <v>31</v>
      </c>
      <c r="J1849" t="s">
        <v>102</v>
      </c>
      <c r="K1849" t="s">
        <v>38</v>
      </c>
      <c r="L1849" t="s">
        <v>39</v>
      </c>
      <c r="M1849">
        <v>104.98</v>
      </c>
    </row>
    <row r="1850">
      <c r="A1850" s="2">
        <v>45327</v>
      </c>
      <c r="B1850">
        <v>2024.0</v>
      </c>
      <c r="C1850" t="s">
        <v>318</v>
      </c>
      <c r="D1850" t="s">
        <v>319</v>
      </c>
      <c r="E1850" t="s">
        <v>158</v>
      </c>
      <c r="F1850" t="s">
        <v>306</v>
      </c>
      <c r="G1850" t="s">
        <v>11</v>
      </c>
      <c r="H1850">
        <v>4570.0</v>
      </c>
      <c r="I1850" t="s">
        <v>31</v>
      </c>
      <c r="J1850" t="s">
        <v>84</v>
      </c>
      <c r="K1850" t="s">
        <v>95</v>
      </c>
      <c r="L1850" t="s">
        <v>96</v>
      </c>
      <c r="M1850">
        <v>105.37</v>
      </c>
    </row>
    <row r="1851">
      <c r="A1851" s="2">
        <v>45471</v>
      </c>
      <c r="B1851">
        <v>2024.0</v>
      </c>
      <c r="C1851" t="s">
        <v>318</v>
      </c>
      <c r="D1851" t="s">
        <v>316</v>
      </c>
      <c r="E1851" t="s">
        <v>54</v>
      </c>
      <c r="F1851" t="s">
        <v>306</v>
      </c>
      <c r="G1851" t="s">
        <v>11</v>
      </c>
      <c r="H1851">
        <v>4012.0</v>
      </c>
      <c r="I1851" t="s">
        <v>31</v>
      </c>
      <c r="J1851" t="s">
        <v>56</v>
      </c>
      <c r="K1851" t="s">
        <v>43</v>
      </c>
      <c r="L1851" t="s">
        <v>44</v>
      </c>
      <c r="M1851">
        <v>105.4</v>
      </c>
    </row>
    <row r="1852">
      <c r="A1852" s="2">
        <v>45712</v>
      </c>
      <c r="B1852">
        <v>2025.0</v>
      </c>
      <c r="C1852" t="s">
        <v>315</v>
      </c>
      <c r="D1852" t="s">
        <v>319</v>
      </c>
      <c r="E1852" t="s">
        <v>108</v>
      </c>
      <c r="F1852" t="s">
        <v>304</v>
      </c>
      <c r="G1852" t="s">
        <v>9</v>
      </c>
      <c r="H1852">
        <v>2795.0</v>
      </c>
      <c r="I1852" t="s">
        <v>31</v>
      </c>
      <c r="J1852" t="s">
        <v>75</v>
      </c>
      <c r="K1852" t="s">
        <v>38</v>
      </c>
      <c r="L1852" t="s">
        <v>39</v>
      </c>
      <c r="M1852">
        <v>105.47</v>
      </c>
    </row>
    <row r="1853">
      <c r="A1853" s="2">
        <v>45936</v>
      </c>
      <c r="B1853">
        <v>2026.0</v>
      </c>
      <c r="C1853" t="s">
        <v>321</v>
      </c>
      <c r="D1853" t="s">
        <v>316</v>
      </c>
      <c r="E1853" t="s">
        <v>165</v>
      </c>
      <c r="F1853" t="s">
        <v>304</v>
      </c>
      <c r="G1853" t="s">
        <v>9</v>
      </c>
      <c r="H1853">
        <v>2064.0</v>
      </c>
      <c r="I1853" t="s">
        <v>31</v>
      </c>
      <c r="J1853" t="s">
        <v>99</v>
      </c>
      <c r="K1853" t="s">
        <v>38</v>
      </c>
      <c r="L1853" t="s">
        <v>39</v>
      </c>
      <c r="M1853">
        <v>105.76</v>
      </c>
    </row>
    <row r="1854">
      <c r="A1854" s="2">
        <v>45740</v>
      </c>
      <c r="B1854">
        <v>2025.0</v>
      </c>
      <c r="C1854" t="s">
        <v>315</v>
      </c>
      <c r="D1854" t="s">
        <v>319</v>
      </c>
      <c r="E1854" t="s">
        <v>116</v>
      </c>
      <c r="F1854" t="s">
        <v>304</v>
      </c>
      <c r="G1854" t="s">
        <v>9</v>
      </c>
      <c r="H1854">
        <v>2485.0</v>
      </c>
      <c r="I1854" t="s">
        <v>31</v>
      </c>
      <c r="J1854" t="s">
        <v>70</v>
      </c>
      <c r="K1854" t="s">
        <v>123</v>
      </c>
      <c r="L1854" t="s">
        <v>124</v>
      </c>
      <c r="M1854">
        <v>105.82</v>
      </c>
    </row>
    <row r="1855">
      <c r="A1855" s="2">
        <v>45997</v>
      </c>
      <c r="B1855">
        <v>2026.0</v>
      </c>
      <c r="C1855" t="s">
        <v>321</v>
      </c>
      <c r="D1855" t="s">
        <v>316</v>
      </c>
      <c r="E1855" t="s">
        <v>262</v>
      </c>
      <c r="F1855" t="s">
        <v>305</v>
      </c>
      <c r="G1855" t="s">
        <v>10</v>
      </c>
      <c r="H1855">
        <v>3018.0</v>
      </c>
      <c r="I1855" t="s">
        <v>31</v>
      </c>
      <c r="J1855" t="s">
        <v>120</v>
      </c>
      <c r="K1855" t="s">
        <v>112</v>
      </c>
      <c r="L1855" t="s">
        <v>113</v>
      </c>
      <c r="M1855">
        <v>105.84</v>
      </c>
    </row>
    <row r="1856">
      <c r="A1856" s="2">
        <v>45977</v>
      </c>
      <c r="B1856">
        <v>2026.0</v>
      </c>
      <c r="C1856" t="s">
        <v>321</v>
      </c>
      <c r="D1856" t="s">
        <v>319</v>
      </c>
      <c r="E1856" t="s">
        <v>48</v>
      </c>
      <c r="F1856" t="s">
        <v>307</v>
      </c>
      <c r="G1856" t="s">
        <v>12</v>
      </c>
      <c r="H1856">
        <v>6725.0</v>
      </c>
      <c r="I1856" t="s">
        <v>31</v>
      </c>
      <c r="J1856" t="s">
        <v>50</v>
      </c>
      <c r="K1856" t="s">
        <v>112</v>
      </c>
      <c r="L1856" t="s">
        <v>113</v>
      </c>
      <c r="M1856">
        <v>105.88</v>
      </c>
    </row>
    <row r="1857">
      <c r="A1857" s="2">
        <v>45299</v>
      </c>
      <c r="B1857">
        <v>2024.0</v>
      </c>
      <c r="C1857" t="s">
        <v>318</v>
      </c>
      <c r="D1857" t="s">
        <v>319</v>
      </c>
      <c r="E1857" t="s">
        <v>131</v>
      </c>
      <c r="F1857" t="s">
        <v>306</v>
      </c>
      <c r="G1857" t="s">
        <v>11</v>
      </c>
      <c r="H1857">
        <v>4655.0</v>
      </c>
      <c r="I1857" t="s">
        <v>31</v>
      </c>
      <c r="J1857" t="s">
        <v>32</v>
      </c>
      <c r="K1857" t="s">
        <v>112</v>
      </c>
      <c r="L1857" t="s">
        <v>113</v>
      </c>
      <c r="M1857">
        <v>105.88</v>
      </c>
    </row>
    <row r="1858">
      <c r="A1858" s="2">
        <v>45330</v>
      </c>
      <c r="B1858">
        <v>2024.0</v>
      </c>
      <c r="C1858" t="s">
        <v>318</v>
      </c>
      <c r="D1858" t="s">
        <v>316</v>
      </c>
      <c r="E1858" t="s">
        <v>244</v>
      </c>
      <c r="F1858" t="s">
        <v>308</v>
      </c>
      <c r="G1858" t="s">
        <v>13</v>
      </c>
      <c r="H1858">
        <v>5168.0</v>
      </c>
      <c r="I1858" t="s">
        <v>31</v>
      </c>
      <c r="J1858" t="s">
        <v>42</v>
      </c>
      <c r="K1858" t="s">
        <v>57</v>
      </c>
      <c r="L1858" t="s">
        <v>58</v>
      </c>
      <c r="M1858">
        <v>105.91000000000001</v>
      </c>
    </row>
    <row r="1859">
      <c r="A1859" s="2">
        <v>45928</v>
      </c>
      <c r="B1859">
        <v>2026.0</v>
      </c>
      <c r="C1859" t="s">
        <v>321</v>
      </c>
      <c r="D1859" t="s">
        <v>319</v>
      </c>
      <c r="E1859" t="s">
        <v>215</v>
      </c>
      <c r="F1859" t="s">
        <v>310</v>
      </c>
      <c r="G1859" t="s">
        <v>15</v>
      </c>
      <c r="H1859">
        <v>7320.0</v>
      </c>
      <c r="I1859" t="s">
        <v>31</v>
      </c>
      <c r="J1859" t="s">
        <v>53</v>
      </c>
      <c r="K1859" t="s">
        <v>123</v>
      </c>
      <c r="L1859" t="s">
        <v>124</v>
      </c>
      <c r="M1859">
        <v>105.92</v>
      </c>
    </row>
    <row r="1860">
      <c r="A1860" s="2">
        <v>45997</v>
      </c>
      <c r="B1860">
        <v>2026.0</v>
      </c>
      <c r="C1860" t="s">
        <v>321</v>
      </c>
      <c r="D1860" t="s">
        <v>319</v>
      </c>
      <c r="E1860" t="s">
        <v>29</v>
      </c>
      <c r="F1860" t="s">
        <v>306</v>
      </c>
      <c r="G1860" t="s">
        <v>11</v>
      </c>
      <c r="H1860">
        <v>4703.0</v>
      </c>
      <c r="I1860" t="s">
        <v>31</v>
      </c>
      <c r="J1860" t="s">
        <v>32</v>
      </c>
      <c r="K1860" t="s">
        <v>43</v>
      </c>
      <c r="L1860" t="s">
        <v>44</v>
      </c>
      <c r="M1860">
        <v>106.35</v>
      </c>
    </row>
    <row r="1861">
      <c r="A1861" s="2">
        <v>45908</v>
      </c>
      <c r="B1861">
        <v>2026.0</v>
      </c>
      <c r="C1861" t="s">
        <v>321</v>
      </c>
      <c r="D1861" t="s">
        <v>316</v>
      </c>
      <c r="E1861" t="s">
        <v>234</v>
      </c>
      <c r="F1861" t="s">
        <v>304</v>
      </c>
      <c r="G1861" t="s">
        <v>9</v>
      </c>
      <c r="H1861">
        <v>2158.0</v>
      </c>
      <c r="I1861" t="s">
        <v>31</v>
      </c>
      <c r="J1861" t="s">
        <v>81</v>
      </c>
      <c r="K1861" t="s">
        <v>43</v>
      </c>
      <c r="L1861" t="s">
        <v>44</v>
      </c>
      <c r="M1861">
        <v>106.94</v>
      </c>
    </row>
    <row r="1862">
      <c r="A1862" s="2">
        <v>45514</v>
      </c>
      <c r="B1862">
        <v>2025.0</v>
      </c>
      <c r="C1862" t="s">
        <v>315</v>
      </c>
      <c r="D1862" t="s">
        <v>316</v>
      </c>
      <c r="E1862" t="s">
        <v>173</v>
      </c>
      <c r="F1862" t="s">
        <v>306</v>
      </c>
      <c r="G1862" t="s">
        <v>11</v>
      </c>
      <c r="H1862">
        <v>4220.0</v>
      </c>
      <c r="I1862" t="s">
        <v>31</v>
      </c>
      <c r="J1862" t="s">
        <v>61</v>
      </c>
      <c r="K1862" t="s">
        <v>95</v>
      </c>
      <c r="L1862" t="s">
        <v>96</v>
      </c>
      <c r="M1862">
        <v>106.99000000000001</v>
      </c>
    </row>
    <row r="1863">
      <c r="A1863" s="2">
        <v>45443</v>
      </c>
      <c r="B1863">
        <v>2024.0</v>
      </c>
      <c r="C1863" t="s">
        <v>318</v>
      </c>
      <c r="D1863" t="s">
        <v>316</v>
      </c>
      <c r="E1863" t="s">
        <v>242</v>
      </c>
      <c r="F1863" t="s">
        <v>305</v>
      </c>
      <c r="G1863" t="s">
        <v>10</v>
      </c>
      <c r="H1863">
        <v>3977.0</v>
      </c>
      <c r="I1863" t="s">
        <v>31</v>
      </c>
      <c r="J1863" t="s">
        <v>94</v>
      </c>
      <c r="K1863" t="s">
        <v>38</v>
      </c>
      <c r="L1863" t="s">
        <v>39</v>
      </c>
      <c r="M1863">
        <v>107.78</v>
      </c>
    </row>
    <row r="1864">
      <c r="A1864" s="2">
        <v>45550</v>
      </c>
      <c r="B1864">
        <v>2025.0</v>
      </c>
      <c r="C1864" t="s">
        <v>315</v>
      </c>
      <c r="D1864" t="s">
        <v>319</v>
      </c>
      <c r="E1864" t="s">
        <v>187</v>
      </c>
      <c r="F1864" t="s">
        <v>306</v>
      </c>
      <c r="G1864" t="s">
        <v>11</v>
      </c>
      <c r="H1864">
        <v>4870.0</v>
      </c>
      <c r="I1864" t="s">
        <v>31</v>
      </c>
      <c r="J1864" t="s">
        <v>78</v>
      </c>
      <c r="K1864" t="s">
        <v>38</v>
      </c>
      <c r="L1864" t="s">
        <v>39</v>
      </c>
      <c r="M1864">
        <v>107.9</v>
      </c>
    </row>
    <row r="1865">
      <c r="A1865" s="2">
        <v>45491</v>
      </c>
      <c r="B1865">
        <v>2025.0</v>
      </c>
      <c r="C1865" t="s">
        <v>315</v>
      </c>
      <c r="D1865" t="s">
        <v>316</v>
      </c>
      <c r="E1865" t="s">
        <v>193</v>
      </c>
      <c r="F1865" t="s">
        <v>304</v>
      </c>
      <c r="G1865" t="s">
        <v>9</v>
      </c>
      <c r="H1865">
        <v>2020.0</v>
      </c>
      <c r="I1865" t="s">
        <v>31</v>
      </c>
      <c r="J1865" t="s">
        <v>99</v>
      </c>
      <c r="K1865" t="s">
        <v>38</v>
      </c>
      <c r="L1865" t="s">
        <v>39</v>
      </c>
      <c r="M1865">
        <v>107.9</v>
      </c>
    </row>
    <row r="1866">
      <c r="A1866" s="2">
        <v>45801</v>
      </c>
      <c r="B1866">
        <v>2025.0</v>
      </c>
      <c r="C1866" t="s">
        <v>315</v>
      </c>
      <c r="D1866" t="s">
        <v>319</v>
      </c>
      <c r="E1866" t="s">
        <v>116</v>
      </c>
      <c r="F1866" t="s">
        <v>304</v>
      </c>
      <c r="G1866" t="s">
        <v>9</v>
      </c>
      <c r="H1866">
        <v>2485.0</v>
      </c>
      <c r="I1866" t="s">
        <v>31</v>
      </c>
      <c r="J1866" t="s">
        <v>70</v>
      </c>
      <c r="K1866" t="s">
        <v>43</v>
      </c>
      <c r="L1866" t="s">
        <v>44</v>
      </c>
      <c r="M1866">
        <v>108.44</v>
      </c>
    </row>
    <row r="1867">
      <c r="A1867" s="2">
        <v>45451</v>
      </c>
      <c r="B1867">
        <v>2024.0</v>
      </c>
      <c r="C1867" t="s">
        <v>318</v>
      </c>
      <c r="D1867" t="s">
        <v>316</v>
      </c>
      <c r="E1867" t="s">
        <v>244</v>
      </c>
      <c r="F1867" t="s">
        <v>308</v>
      </c>
      <c r="G1867" t="s">
        <v>13</v>
      </c>
      <c r="H1867">
        <v>5168.0</v>
      </c>
      <c r="I1867" t="s">
        <v>31</v>
      </c>
      <c r="J1867" t="s">
        <v>42</v>
      </c>
      <c r="K1867" t="s">
        <v>71</v>
      </c>
      <c r="L1867" t="s">
        <v>72</v>
      </c>
      <c r="M1867">
        <v>108.46000000000001</v>
      </c>
    </row>
    <row r="1868">
      <c r="A1868" s="2">
        <v>45764</v>
      </c>
      <c r="B1868">
        <v>2025.0</v>
      </c>
      <c r="C1868" t="s">
        <v>315</v>
      </c>
      <c r="D1868" t="s">
        <v>316</v>
      </c>
      <c r="E1868" t="s">
        <v>252</v>
      </c>
      <c r="F1868" t="s">
        <v>305</v>
      </c>
      <c r="G1868" t="s">
        <v>10</v>
      </c>
      <c r="H1868">
        <v>3630.0</v>
      </c>
      <c r="I1868" t="s">
        <v>31</v>
      </c>
      <c r="J1868" t="s">
        <v>94</v>
      </c>
      <c r="K1868" t="s">
        <v>71</v>
      </c>
      <c r="L1868" t="s">
        <v>72</v>
      </c>
      <c r="M1868">
        <v>108.76</v>
      </c>
    </row>
    <row r="1869">
      <c r="A1869" s="2">
        <v>45318</v>
      </c>
      <c r="B1869">
        <v>2024.0</v>
      </c>
      <c r="C1869" t="s">
        <v>318</v>
      </c>
      <c r="D1869" t="s">
        <v>319</v>
      </c>
      <c r="E1869" t="s">
        <v>116</v>
      </c>
      <c r="F1869" t="s">
        <v>304</v>
      </c>
      <c r="G1869" t="s">
        <v>9</v>
      </c>
      <c r="H1869">
        <v>2485.0</v>
      </c>
      <c r="I1869" t="s">
        <v>31</v>
      </c>
      <c r="J1869" t="s">
        <v>70</v>
      </c>
      <c r="K1869" t="s">
        <v>95</v>
      </c>
      <c r="L1869" t="s">
        <v>96</v>
      </c>
      <c r="M1869">
        <v>108.78</v>
      </c>
    </row>
    <row r="1870">
      <c r="A1870" s="2">
        <v>45426</v>
      </c>
      <c r="B1870">
        <v>2024.0</v>
      </c>
      <c r="C1870" t="s">
        <v>318</v>
      </c>
      <c r="D1870" t="s">
        <v>316</v>
      </c>
      <c r="E1870" t="s">
        <v>177</v>
      </c>
      <c r="F1870" t="s">
        <v>307</v>
      </c>
      <c r="G1870" t="s">
        <v>12</v>
      </c>
      <c r="H1870">
        <v>6330.0</v>
      </c>
      <c r="I1870" t="s">
        <v>31</v>
      </c>
      <c r="J1870" t="s">
        <v>162</v>
      </c>
      <c r="K1870" t="s">
        <v>57</v>
      </c>
      <c r="L1870" t="s">
        <v>58</v>
      </c>
      <c r="M1870">
        <v>108.87</v>
      </c>
    </row>
    <row r="1871">
      <c r="A1871" s="2">
        <v>45444</v>
      </c>
      <c r="B1871">
        <v>2024.0</v>
      </c>
      <c r="C1871" t="s">
        <v>318</v>
      </c>
      <c r="D1871" t="s">
        <v>319</v>
      </c>
      <c r="E1871" t="s">
        <v>118</v>
      </c>
      <c r="F1871" t="s">
        <v>305</v>
      </c>
      <c r="G1871" t="s">
        <v>10</v>
      </c>
      <c r="H1871">
        <v>3076.0</v>
      </c>
      <c r="I1871" t="s">
        <v>31</v>
      </c>
      <c r="J1871" t="s">
        <v>120</v>
      </c>
      <c r="K1871" t="s">
        <v>46</v>
      </c>
      <c r="L1871" t="s">
        <v>47</v>
      </c>
      <c r="M1871">
        <v>108.91</v>
      </c>
    </row>
    <row r="1872">
      <c r="A1872" s="2">
        <v>45983</v>
      </c>
      <c r="B1872">
        <v>2026.0</v>
      </c>
      <c r="C1872" t="s">
        <v>321</v>
      </c>
      <c r="D1872" t="s">
        <v>319</v>
      </c>
      <c r="E1872" t="s">
        <v>116</v>
      </c>
      <c r="F1872" t="s">
        <v>304</v>
      </c>
      <c r="G1872" t="s">
        <v>9</v>
      </c>
      <c r="H1872">
        <v>2485.0</v>
      </c>
      <c r="I1872" t="s">
        <v>31</v>
      </c>
      <c r="J1872" t="s">
        <v>70</v>
      </c>
      <c r="K1872" t="s">
        <v>95</v>
      </c>
      <c r="L1872" t="s">
        <v>96</v>
      </c>
      <c r="M1872">
        <v>109.04</v>
      </c>
    </row>
    <row r="1873">
      <c r="A1873" s="2">
        <v>45453</v>
      </c>
      <c r="B1873">
        <v>2024.0</v>
      </c>
      <c r="C1873" t="s">
        <v>318</v>
      </c>
      <c r="D1873" t="s">
        <v>316</v>
      </c>
      <c r="E1873" t="s">
        <v>246</v>
      </c>
      <c r="F1873" t="s">
        <v>305</v>
      </c>
      <c r="G1873" t="s">
        <v>10</v>
      </c>
      <c r="H1873">
        <v>3551.0</v>
      </c>
      <c r="I1873" t="s">
        <v>31</v>
      </c>
      <c r="J1873" t="s">
        <v>37</v>
      </c>
      <c r="K1873" t="s">
        <v>112</v>
      </c>
      <c r="L1873" t="s">
        <v>113</v>
      </c>
      <c r="M1873">
        <v>109.08</v>
      </c>
    </row>
    <row r="1874">
      <c r="A1874" s="2">
        <v>45752</v>
      </c>
      <c r="B1874">
        <v>2025.0</v>
      </c>
      <c r="C1874" t="s">
        <v>315</v>
      </c>
      <c r="D1874" t="s">
        <v>316</v>
      </c>
      <c r="E1874" t="s">
        <v>256</v>
      </c>
      <c r="F1874" t="s">
        <v>304</v>
      </c>
      <c r="G1874" t="s">
        <v>9</v>
      </c>
      <c r="H1874">
        <v>2350.0</v>
      </c>
      <c r="I1874" t="s">
        <v>31</v>
      </c>
      <c r="J1874" t="s">
        <v>70</v>
      </c>
      <c r="K1874" t="s">
        <v>112</v>
      </c>
      <c r="L1874" t="s">
        <v>113</v>
      </c>
      <c r="M1874">
        <v>109.69999999999999</v>
      </c>
    </row>
    <row r="1875">
      <c r="A1875" s="2">
        <v>45407</v>
      </c>
      <c r="B1875">
        <v>2024.0</v>
      </c>
      <c r="C1875" t="s">
        <v>318</v>
      </c>
      <c r="D1875" t="s">
        <v>319</v>
      </c>
      <c r="E1875" t="s">
        <v>163</v>
      </c>
      <c r="F1875" t="s">
        <v>304</v>
      </c>
      <c r="G1875" t="s">
        <v>9</v>
      </c>
      <c r="H1875">
        <v>2154.0</v>
      </c>
      <c r="I1875" t="s">
        <v>31</v>
      </c>
      <c r="J1875" t="s">
        <v>81</v>
      </c>
      <c r="K1875" t="s">
        <v>112</v>
      </c>
      <c r="L1875" t="s">
        <v>113</v>
      </c>
      <c r="M1875">
        <v>109.69999999999999</v>
      </c>
    </row>
    <row r="1876">
      <c r="A1876" s="2">
        <v>45550</v>
      </c>
      <c r="B1876">
        <v>2025.0</v>
      </c>
      <c r="C1876" t="s">
        <v>315</v>
      </c>
      <c r="D1876" t="s">
        <v>319</v>
      </c>
      <c r="E1876" t="s">
        <v>156</v>
      </c>
      <c r="F1876" t="s">
        <v>304</v>
      </c>
      <c r="G1876" t="s">
        <v>9</v>
      </c>
      <c r="H1876">
        <v>2830.0</v>
      </c>
      <c r="I1876" t="s">
        <v>31</v>
      </c>
      <c r="J1876" t="s">
        <v>75</v>
      </c>
      <c r="K1876" t="s">
        <v>43</v>
      </c>
      <c r="L1876" t="s">
        <v>44</v>
      </c>
      <c r="M1876">
        <v>109.78999999999999</v>
      </c>
    </row>
    <row r="1877">
      <c r="A1877" s="2">
        <v>45982</v>
      </c>
      <c r="B1877">
        <v>2026.0</v>
      </c>
      <c r="C1877" t="s">
        <v>321</v>
      </c>
      <c r="D1877" t="s">
        <v>319</v>
      </c>
      <c r="E1877" t="s">
        <v>105</v>
      </c>
      <c r="F1877" t="s">
        <v>304</v>
      </c>
      <c r="G1877" t="s">
        <v>9</v>
      </c>
      <c r="H1877">
        <v>2541.0</v>
      </c>
      <c r="I1877" t="s">
        <v>31</v>
      </c>
      <c r="J1877" t="s">
        <v>107</v>
      </c>
      <c r="K1877" t="s">
        <v>43</v>
      </c>
      <c r="L1877" t="s">
        <v>44</v>
      </c>
      <c r="M1877">
        <v>109.83</v>
      </c>
    </row>
    <row r="1878">
      <c r="A1878" s="2">
        <v>45738</v>
      </c>
      <c r="B1878">
        <v>2025.0</v>
      </c>
      <c r="C1878" t="s">
        <v>315</v>
      </c>
      <c r="D1878" t="s">
        <v>319</v>
      </c>
      <c r="E1878" t="s">
        <v>197</v>
      </c>
      <c r="F1878" t="s">
        <v>304</v>
      </c>
      <c r="G1878" t="s">
        <v>9</v>
      </c>
      <c r="H1878">
        <v>2560.0</v>
      </c>
      <c r="I1878" t="s">
        <v>31</v>
      </c>
      <c r="J1878" t="s">
        <v>107</v>
      </c>
      <c r="K1878" t="s">
        <v>71</v>
      </c>
      <c r="L1878" t="s">
        <v>72</v>
      </c>
      <c r="M1878">
        <v>109.89</v>
      </c>
    </row>
    <row r="1879">
      <c r="A1879" s="2">
        <v>45733</v>
      </c>
      <c r="B1879">
        <v>2025.0</v>
      </c>
      <c r="C1879" t="s">
        <v>315</v>
      </c>
      <c r="D1879" t="s">
        <v>316</v>
      </c>
      <c r="E1879" t="s">
        <v>248</v>
      </c>
      <c r="F1879" t="s">
        <v>307</v>
      </c>
      <c r="G1879" t="s">
        <v>12</v>
      </c>
      <c r="H1879">
        <v>6112.0</v>
      </c>
      <c r="I1879" t="s">
        <v>31</v>
      </c>
      <c r="J1879" t="s">
        <v>162</v>
      </c>
      <c r="K1879" t="s">
        <v>43</v>
      </c>
      <c r="L1879" t="s">
        <v>44</v>
      </c>
      <c r="M1879">
        <v>109.91</v>
      </c>
    </row>
    <row r="1880">
      <c r="A1880" s="2">
        <v>45707</v>
      </c>
      <c r="B1880">
        <v>2025.0</v>
      </c>
      <c r="C1880" t="s">
        <v>315</v>
      </c>
      <c r="D1880" t="s">
        <v>319</v>
      </c>
      <c r="E1880" t="s">
        <v>173</v>
      </c>
      <c r="F1880" t="s">
        <v>306</v>
      </c>
      <c r="G1880" t="s">
        <v>11</v>
      </c>
      <c r="H1880">
        <v>4220.0</v>
      </c>
      <c r="I1880" t="s">
        <v>31</v>
      </c>
      <c r="J1880" t="s">
        <v>61</v>
      </c>
      <c r="K1880" t="s">
        <v>43</v>
      </c>
      <c r="L1880" t="s">
        <v>44</v>
      </c>
      <c r="M1880">
        <v>109.95</v>
      </c>
    </row>
    <row r="1881">
      <c r="A1881" s="2">
        <v>45561</v>
      </c>
      <c r="B1881">
        <v>2025.0</v>
      </c>
      <c r="C1881" t="s">
        <v>315</v>
      </c>
      <c r="D1881" t="s">
        <v>316</v>
      </c>
      <c r="E1881" t="s">
        <v>150</v>
      </c>
      <c r="F1881" t="s">
        <v>310</v>
      </c>
      <c r="G1881" t="s">
        <v>15</v>
      </c>
      <c r="H1881">
        <v>7250.0</v>
      </c>
      <c r="I1881" t="s">
        <v>31</v>
      </c>
      <c r="J1881" t="s">
        <v>53</v>
      </c>
      <c r="K1881" t="s">
        <v>43</v>
      </c>
      <c r="L1881" t="s">
        <v>44</v>
      </c>
      <c r="M1881">
        <v>110.22</v>
      </c>
    </row>
    <row r="1882">
      <c r="A1882" s="2">
        <v>45350</v>
      </c>
      <c r="B1882">
        <v>2024.0</v>
      </c>
      <c r="C1882" t="s">
        <v>318</v>
      </c>
      <c r="D1882" t="s">
        <v>319</v>
      </c>
      <c r="E1882" t="s">
        <v>211</v>
      </c>
      <c r="F1882" t="s">
        <v>304</v>
      </c>
      <c r="G1882" t="s">
        <v>9</v>
      </c>
      <c r="H1882">
        <v>2650.0</v>
      </c>
      <c r="I1882" t="s">
        <v>31</v>
      </c>
      <c r="J1882" t="s">
        <v>75</v>
      </c>
      <c r="K1882" t="s">
        <v>95</v>
      </c>
      <c r="L1882" t="s">
        <v>96</v>
      </c>
      <c r="M1882">
        <v>110.41</v>
      </c>
    </row>
    <row r="1883">
      <c r="A1883" s="2">
        <v>45854</v>
      </c>
      <c r="B1883">
        <v>2026.0</v>
      </c>
      <c r="C1883" t="s">
        <v>321</v>
      </c>
      <c r="D1883" t="s">
        <v>316</v>
      </c>
      <c r="E1883" t="s">
        <v>209</v>
      </c>
      <c r="F1883" t="s">
        <v>304</v>
      </c>
      <c r="G1883" t="s">
        <v>9</v>
      </c>
      <c r="H1883">
        <v>2116.0</v>
      </c>
      <c r="I1883" t="s">
        <v>31</v>
      </c>
      <c r="J1883" t="s">
        <v>81</v>
      </c>
      <c r="K1883" t="s">
        <v>112</v>
      </c>
      <c r="L1883" t="s">
        <v>113</v>
      </c>
      <c r="M1883">
        <v>110.62</v>
      </c>
    </row>
    <row r="1884">
      <c r="A1884" s="2">
        <v>45814</v>
      </c>
      <c r="B1884">
        <v>2025.0</v>
      </c>
      <c r="C1884" t="s">
        <v>315</v>
      </c>
      <c r="D1884" t="s">
        <v>319</v>
      </c>
      <c r="E1884" t="s">
        <v>121</v>
      </c>
      <c r="F1884" t="s">
        <v>306</v>
      </c>
      <c r="G1884" t="s">
        <v>11</v>
      </c>
      <c r="H1884">
        <v>4566.0</v>
      </c>
      <c r="I1884" t="s">
        <v>31</v>
      </c>
      <c r="J1884" t="s">
        <v>84</v>
      </c>
      <c r="K1884" t="s">
        <v>38</v>
      </c>
      <c r="L1884" t="s">
        <v>39</v>
      </c>
      <c r="M1884">
        <v>110.63000000000001</v>
      </c>
    </row>
    <row r="1885">
      <c r="A1885" s="2">
        <v>45930</v>
      </c>
      <c r="B1885">
        <v>2026.0</v>
      </c>
      <c r="C1885" t="s">
        <v>321</v>
      </c>
      <c r="D1885" t="s">
        <v>316</v>
      </c>
      <c r="E1885" t="s">
        <v>252</v>
      </c>
      <c r="F1885" t="s">
        <v>305</v>
      </c>
      <c r="G1885" t="s">
        <v>10</v>
      </c>
      <c r="H1885">
        <v>3630.0</v>
      </c>
      <c r="I1885" t="s">
        <v>31</v>
      </c>
      <c r="J1885" t="s">
        <v>94</v>
      </c>
      <c r="K1885" t="s">
        <v>123</v>
      </c>
      <c r="L1885" t="s">
        <v>124</v>
      </c>
      <c r="M1885">
        <v>111.25</v>
      </c>
    </row>
    <row r="1886">
      <c r="A1886" s="2">
        <v>45600</v>
      </c>
      <c r="B1886">
        <v>2025.0</v>
      </c>
      <c r="C1886" t="s">
        <v>315</v>
      </c>
      <c r="D1886" t="s">
        <v>319</v>
      </c>
      <c r="E1886" t="s">
        <v>230</v>
      </c>
      <c r="F1886" t="s">
        <v>308</v>
      </c>
      <c r="G1886" t="s">
        <v>13</v>
      </c>
      <c r="H1886">
        <v>5290.0</v>
      </c>
      <c r="I1886" t="s">
        <v>31</v>
      </c>
      <c r="J1886" t="s">
        <v>227</v>
      </c>
      <c r="K1886" t="s">
        <v>46</v>
      </c>
      <c r="L1886" t="s">
        <v>47</v>
      </c>
      <c r="M1886">
        <v>111.27000000000001</v>
      </c>
    </row>
    <row r="1887">
      <c r="A1887" s="2">
        <v>45610</v>
      </c>
      <c r="B1887">
        <v>2025.0</v>
      </c>
      <c r="C1887" t="s">
        <v>315</v>
      </c>
      <c r="D1887" t="s">
        <v>319</v>
      </c>
      <c r="E1887" t="s">
        <v>205</v>
      </c>
      <c r="F1887" t="s">
        <v>305</v>
      </c>
      <c r="G1887" t="s">
        <v>10</v>
      </c>
      <c r="H1887">
        <v>3400.0</v>
      </c>
      <c r="I1887" t="s">
        <v>31</v>
      </c>
      <c r="J1887" t="s">
        <v>37</v>
      </c>
      <c r="K1887" t="s">
        <v>38</v>
      </c>
      <c r="L1887" t="s">
        <v>39</v>
      </c>
      <c r="M1887">
        <v>111.39</v>
      </c>
    </row>
    <row r="1888">
      <c r="A1888" s="2">
        <v>45416</v>
      </c>
      <c r="B1888">
        <v>2024.0</v>
      </c>
      <c r="C1888" t="s">
        <v>318</v>
      </c>
      <c r="D1888" t="s">
        <v>319</v>
      </c>
      <c r="E1888" t="s">
        <v>135</v>
      </c>
      <c r="F1888" t="s">
        <v>311</v>
      </c>
      <c r="G1888" t="s">
        <v>16</v>
      </c>
      <c r="H1888">
        <v>2609.0</v>
      </c>
      <c r="I1888" t="s">
        <v>31</v>
      </c>
      <c r="J1888" t="s">
        <v>107</v>
      </c>
      <c r="K1888" t="s">
        <v>38</v>
      </c>
      <c r="L1888" t="s">
        <v>39</v>
      </c>
      <c r="M1888">
        <v>111.7</v>
      </c>
    </row>
    <row r="1889">
      <c r="A1889" s="2">
        <v>45570</v>
      </c>
      <c r="B1889">
        <v>2025.0</v>
      </c>
      <c r="C1889" t="s">
        <v>315</v>
      </c>
      <c r="D1889" t="s">
        <v>316</v>
      </c>
      <c r="E1889" t="s">
        <v>240</v>
      </c>
      <c r="F1889" t="s">
        <v>310</v>
      </c>
      <c r="G1889" t="s">
        <v>15</v>
      </c>
      <c r="H1889">
        <v>7010.0</v>
      </c>
      <c r="I1889" t="s">
        <v>31</v>
      </c>
      <c r="J1889" t="s">
        <v>53</v>
      </c>
      <c r="K1889" t="s">
        <v>95</v>
      </c>
      <c r="L1889" t="s">
        <v>96</v>
      </c>
      <c r="M1889">
        <v>111.72</v>
      </c>
    </row>
    <row r="1890">
      <c r="A1890" s="2">
        <v>45548</v>
      </c>
      <c r="B1890">
        <v>2025.0</v>
      </c>
      <c r="C1890" t="s">
        <v>315</v>
      </c>
      <c r="D1890" t="s">
        <v>316</v>
      </c>
      <c r="E1890" t="s">
        <v>183</v>
      </c>
      <c r="F1890" t="s">
        <v>304</v>
      </c>
      <c r="G1890" t="s">
        <v>9</v>
      </c>
      <c r="H1890">
        <v>2480.0</v>
      </c>
      <c r="I1890" t="s">
        <v>31</v>
      </c>
      <c r="J1890" t="s">
        <v>70</v>
      </c>
      <c r="K1890" t="s">
        <v>71</v>
      </c>
      <c r="L1890" t="s">
        <v>72</v>
      </c>
      <c r="M1890">
        <v>111.75</v>
      </c>
    </row>
    <row r="1891">
      <c r="A1891" s="2">
        <v>45458</v>
      </c>
      <c r="B1891">
        <v>2024.0</v>
      </c>
      <c r="C1891" t="s">
        <v>318</v>
      </c>
      <c r="D1891" t="s">
        <v>316</v>
      </c>
      <c r="E1891" t="s">
        <v>51</v>
      </c>
      <c r="F1891" t="s">
        <v>310</v>
      </c>
      <c r="G1891" t="s">
        <v>15</v>
      </c>
      <c r="H1891">
        <v>7018.0</v>
      </c>
      <c r="I1891" t="s">
        <v>31</v>
      </c>
      <c r="J1891" t="s">
        <v>53</v>
      </c>
      <c r="K1891" t="s">
        <v>38</v>
      </c>
      <c r="L1891" t="s">
        <v>39</v>
      </c>
      <c r="M1891">
        <v>111.79</v>
      </c>
    </row>
    <row r="1892">
      <c r="A1892" s="2">
        <v>45769</v>
      </c>
      <c r="B1892">
        <v>2025.0</v>
      </c>
      <c r="C1892" t="s">
        <v>315</v>
      </c>
      <c r="D1892" t="s">
        <v>316</v>
      </c>
      <c r="E1892" t="s">
        <v>54</v>
      </c>
      <c r="F1892" t="s">
        <v>306</v>
      </c>
      <c r="G1892" t="s">
        <v>11</v>
      </c>
      <c r="H1892">
        <v>4012.0</v>
      </c>
      <c r="I1892" t="s">
        <v>31</v>
      </c>
      <c r="J1892" t="s">
        <v>56</v>
      </c>
      <c r="K1892" t="s">
        <v>71</v>
      </c>
      <c r="L1892" t="s">
        <v>72</v>
      </c>
      <c r="M1892">
        <v>111.83</v>
      </c>
    </row>
    <row r="1893">
      <c r="A1893" s="2">
        <v>45688</v>
      </c>
      <c r="B1893">
        <v>2025.0</v>
      </c>
      <c r="C1893" t="s">
        <v>315</v>
      </c>
      <c r="D1893" t="s">
        <v>319</v>
      </c>
      <c r="E1893" t="s">
        <v>163</v>
      </c>
      <c r="F1893" t="s">
        <v>304</v>
      </c>
      <c r="G1893" t="s">
        <v>9</v>
      </c>
      <c r="H1893">
        <v>2154.0</v>
      </c>
      <c r="I1893" t="s">
        <v>31</v>
      </c>
      <c r="J1893" t="s">
        <v>81</v>
      </c>
      <c r="K1893" t="s">
        <v>38</v>
      </c>
      <c r="L1893" t="s">
        <v>39</v>
      </c>
      <c r="M1893">
        <v>111.86</v>
      </c>
    </row>
    <row r="1894">
      <c r="A1894" s="2">
        <v>45731</v>
      </c>
      <c r="B1894">
        <v>2025.0</v>
      </c>
      <c r="C1894" t="s">
        <v>315</v>
      </c>
      <c r="D1894" t="s">
        <v>316</v>
      </c>
      <c r="E1894" t="s">
        <v>232</v>
      </c>
      <c r="F1894" t="s">
        <v>304</v>
      </c>
      <c r="G1894" t="s">
        <v>9</v>
      </c>
      <c r="H1894">
        <v>2800.0</v>
      </c>
      <c r="I1894" t="s">
        <v>31</v>
      </c>
      <c r="J1894" t="s">
        <v>75</v>
      </c>
      <c r="K1894" t="s">
        <v>95</v>
      </c>
      <c r="L1894" t="s">
        <v>96</v>
      </c>
      <c r="M1894">
        <v>112.0</v>
      </c>
    </row>
    <row r="1895">
      <c r="A1895" s="2">
        <v>45515</v>
      </c>
      <c r="B1895">
        <v>2025.0</v>
      </c>
      <c r="C1895" t="s">
        <v>315</v>
      </c>
      <c r="D1895" t="s">
        <v>316</v>
      </c>
      <c r="E1895" t="s">
        <v>175</v>
      </c>
      <c r="F1895" t="s">
        <v>311</v>
      </c>
      <c r="G1895" t="s">
        <v>16</v>
      </c>
      <c r="H1895">
        <v>2617.0</v>
      </c>
      <c r="I1895" t="s">
        <v>31</v>
      </c>
      <c r="J1895" t="s">
        <v>107</v>
      </c>
      <c r="K1895" t="s">
        <v>38</v>
      </c>
      <c r="L1895" t="s">
        <v>39</v>
      </c>
      <c r="M1895">
        <v>112.14</v>
      </c>
    </row>
    <row r="1896">
      <c r="A1896" s="2">
        <v>45499</v>
      </c>
      <c r="B1896">
        <v>2025.0</v>
      </c>
      <c r="C1896" t="s">
        <v>315</v>
      </c>
      <c r="D1896" t="s">
        <v>316</v>
      </c>
      <c r="E1896" t="s">
        <v>152</v>
      </c>
      <c r="F1896" t="s">
        <v>306</v>
      </c>
      <c r="G1896" t="s">
        <v>11</v>
      </c>
      <c r="H1896">
        <v>4305.0</v>
      </c>
      <c r="I1896" t="s">
        <v>31</v>
      </c>
      <c r="J1896" t="s">
        <v>61</v>
      </c>
      <c r="K1896" t="s">
        <v>123</v>
      </c>
      <c r="L1896" t="s">
        <v>124</v>
      </c>
      <c r="M1896">
        <v>112.37</v>
      </c>
    </row>
    <row r="1897">
      <c r="A1897" s="2">
        <v>45866</v>
      </c>
      <c r="B1897">
        <v>2026.0</v>
      </c>
      <c r="C1897" t="s">
        <v>321</v>
      </c>
      <c r="D1897" t="s">
        <v>319</v>
      </c>
      <c r="E1897" t="s">
        <v>152</v>
      </c>
      <c r="F1897" t="s">
        <v>306</v>
      </c>
      <c r="G1897" t="s">
        <v>11</v>
      </c>
      <c r="H1897">
        <v>4305.0</v>
      </c>
      <c r="I1897" t="s">
        <v>31</v>
      </c>
      <c r="J1897" t="s">
        <v>61</v>
      </c>
      <c r="K1897" t="s">
        <v>38</v>
      </c>
      <c r="L1897" t="s">
        <v>39</v>
      </c>
      <c r="M1897">
        <v>112.64</v>
      </c>
    </row>
    <row r="1898">
      <c r="A1898" s="2">
        <v>45384</v>
      </c>
      <c r="B1898">
        <v>2024.0</v>
      </c>
      <c r="C1898" t="s">
        <v>318</v>
      </c>
      <c r="D1898" t="s">
        <v>316</v>
      </c>
      <c r="E1898" t="s">
        <v>73</v>
      </c>
      <c r="F1898" t="s">
        <v>304</v>
      </c>
      <c r="G1898" t="s">
        <v>9</v>
      </c>
      <c r="H1898">
        <v>2750.0</v>
      </c>
      <c r="I1898" t="s">
        <v>31</v>
      </c>
      <c r="J1898" t="s">
        <v>75</v>
      </c>
      <c r="K1898" t="s">
        <v>38</v>
      </c>
      <c r="L1898" t="s">
        <v>39</v>
      </c>
      <c r="M1898">
        <v>112.78</v>
      </c>
    </row>
    <row r="1899">
      <c r="A1899" s="2">
        <v>45484</v>
      </c>
      <c r="B1899">
        <v>2025.0</v>
      </c>
      <c r="C1899" t="s">
        <v>315</v>
      </c>
      <c r="D1899" t="s">
        <v>319</v>
      </c>
      <c r="E1899" t="s">
        <v>205</v>
      </c>
      <c r="F1899" t="s">
        <v>305</v>
      </c>
      <c r="G1899" t="s">
        <v>10</v>
      </c>
      <c r="H1899">
        <v>3400.0</v>
      </c>
      <c r="I1899" t="s">
        <v>31</v>
      </c>
      <c r="J1899" t="s">
        <v>37</v>
      </c>
      <c r="K1899" t="s">
        <v>43</v>
      </c>
      <c r="L1899" t="s">
        <v>44</v>
      </c>
      <c r="M1899">
        <v>112.92</v>
      </c>
    </row>
    <row r="1900">
      <c r="A1900" s="2">
        <v>45955</v>
      </c>
      <c r="B1900">
        <v>2026.0</v>
      </c>
      <c r="C1900" t="s">
        <v>321</v>
      </c>
      <c r="D1900" t="s">
        <v>316</v>
      </c>
      <c r="E1900" t="s">
        <v>29</v>
      </c>
      <c r="F1900" t="s">
        <v>306</v>
      </c>
      <c r="G1900" t="s">
        <v>11</v>
      </c>
      <c r="H1900">
        <v>4703.0</v>
      </c>
      <c r="I1900" t="s">
        <v>31</v>
      </c>
      <c r="J1900" t="s">
        <v>32</v>
      </c>
      <c r="K1900" t="s">
        <v>123</v>
      </c>
      <c r="L1900" t="s">
        <v>124</v>
      </c>
      <c r="M1900">
        <v>113.67999999999999</v>
      </c>
    </row>
    <row r="1901">
      <c r="A1901" s="2">
        <v>45822</v>
      </c>
      <c r="B1901">
        <v>2025.0</v>
      </c>
      <c r="C1901" t="s">
        <v>315</v>
      </c>
      <c r="D1901" t="s">
        <v>319</v>
      </c>
      <c r="E1901" t="s">
        <v>197</v>
      </c>
      <c r="F1901" t="s">
        <v>304</v>
      </c>
      <c r="G1901" t="s">
        <v>9</v>
      </c>
      <c r="H1901">
        <v>2560.0</v>
      </c>
      <c r="I1901" t="s">
        <v>31</v>
      </c>
      <c r="J1901" t="s">
        <v>107</v>
      </c>
      <c r="K1901" t="s">
        <v>95</v>
      </c>
      <c r="L1901" t="s">
        <v>96</v>
      </c>
      <c r="M1901">
        <v>113.75999999999999</v>
      </c>
    </row>
    <row r="1902">
      <c r="A1902" s="2">
        <v>45893</v>
      </c>
      <c r="B1902">
        <v>2026.0</v>
      </c>
      <c r="C1902" t="s">
        <v>321</v>
      </c>
      <c r="D1902" t="s">
        <v>319</v>
      </c>
      <c r="E1902" t="s">
        <v>163</v>
      </c>
      <c r="F1902" t="s">
        <v>304</v>
      </c>
      <c r="G1902" t="s">
        <v>9</v>
      </c>
      <c r="H1902">
        <v>2154.0</v>
      </c>
      <c r="I1902" t="s">
        <v>31</v>
      </c>
      <c r="J1902" t="s">
        <v>81</v>
      </c>
      <c r="K1902" t="s">
        <v>46</v>
      </c>
      <c r="L1902" t="s">
        <v>47</v>
      </c>
      <c r="M1902">
        <v>113.81</v>
      </c>
    </row>
    <row r="1903">
      <c r="A1903" s="2">
        <v>45625</v>
      </c>
      <c r="B1903">
        <v>2025.0</v>
      </c>
      <c r="C1903" t="s">
        <v>315</v>
      </c>
      <c r="D1903" t="s">
        <v>319</v>
      </c>
      <c r="E1903" t="s">
        <v>125</v>
      </c>
      <c r="F1903" t="s">
        <v>305</v>
      </c>
      <c r="G1903" t="s">
        <v>10</v>
      </c>
      <c r="H1903">
        <v>3931.0</v>
      </c>
      <c r="I1903" t="s">
        <v>31</v>
      </c>
      <c r="J1903" t="s">
        <v>94</v>
      </c>
      <c r="K1903" t="s">
        <v>33</v>
      </c>
      <c r="L1903" t="s">
        <v>34</v>
      </c>
      <c r="M1903">
        <v>113.89</v>
      </c>
    </row>
    <row r="1904">
      <c r="A1904" s="2">
        <v>45842</v>
      </c>
      <c r="B1904">
        <v>2026.0</v>
      </c>
      <c r="C1904" t="s">
        <v>321</v>
      </c>
      <c r="D1904" t="s">
        <v>319</v>
      </c>
      <c r="E1904" t="s">
        <v>125</v>
      </c>
      <c r="F1904" t="s">
        <v>305</v>
      </c>
      <c r="G1904" t="s">
        <v>10</v>
      </c>
      <c r="H1904">
        <v>3931.0</v>
      </c>
      <c r="I1904" t="s">
        <v>31</v>
      </c>
      <c r="J1904" t="s">
        <v>94</v>
      </c>
      <c r="K1904" t="s">
        <v>43</v>
      </c>
      <c r="L1904" t="s">
        <v>44</v>
      </c>
      <c r="M1904">
        <v>113.91</v>
      </c>
    </row>
    <row r="1905">
      <c r="A1905" s="2">
        <v>45643</v>
      </c>
      <c r="B1905">
        <v>2025.0</v>
      </c>
      <c r="C1905" t="s">
        <v>315</v>
      </c>
      <c r="D1905" t="s">
        <v>316</v>
      </c>
      <c r="E1905" t="s">
        <v>205</v>
      </c>
      <c r="F1905" t="s">
        <v>305</v>
      </c>
      <c r="G1905" t="s">
        <v>10</v>
      </c>
      <c r="H1905">
        <v>3400.0</v>
      </c>
      <c r="I1905" t="s">
        <v>31</v>
      </c>
      <c r="J1905" t="s">
        <v>37</v>
      </c>
      <c r="K1905" t="s">
        <v>123</v>
      </c>
      <c r="L1905" t="s">
        <v>124</v>
      </c>
      <c r="M1905">
        <v>114.42999999999999</v>
      </c>
    </row>
    <row r="1906">
      <c r="A1906" s="2">
        <v>45335</v>
      </c>
      <c r="B1906">
        <v>2024.0</v>
      </c>
      <c r="C1906" t="s">
        <v>318</v>
      </c>
      <c r="D1906" t="s">
        <v>319</v>
      </c>
      <c r="E1906" t="s">
        <v>163</v>
      </c>
      <c r="F1906" t="s">
        <v>304</v>
      </c>
      <c r="G1906" t="s">
        <v>9</v>
      </c>
      <c r="H1906">
        <v>2154.0</v>
      </c>
      <c r="I1906" t="s">
        <v>31</v>
      </c>
      <c r="J1906" t="s">
        <v>81</v>
      </c>
      <c r="K1906" t="s">
        <v>38</v>
      </c>
      <c r="L1906" t="s">
        <v>39</v>
      </c>
      <c r="M1906">
        <v>114.78</v>
      </c>
    </row>
    <row r="1907">
      <c r="A1907" s="2">
        <v>45965</v>
      </c>
      <c r="B1907">
        <v>2026.0</v>
      </c>
      <c r="C1907" t="s">
        <v>321</v>
      </c>
      <c r="D1907" t="s">
        <v>319</v>
      </c>
      <c r="E1907" t="s">
        <v>232</v>
      </c>
      <c r="F1907" t="s">
        <v>304</v>
      </c>
      <c r="G1907" t="s">
        <v>9</v>
      </c>
      <c r="H1907">
        <v>2800.0</v>
      </c>
      <c r="I1907" t="s">
        <v>31</v>
      </c>
      <c r="J1907" t="s">
        <v>75</v>
      </c>
      <c r="K1907" t="s">
        <v>66</v>
      </c>
      <c r="L1907" t="s">
        <v>67</v>
      </c>
      <c r="M1907">
        <v>114.82000000000001</v>
      </c>
    </row>
    <row r="1908">
      <c r="A1908" s="2">
        <v>45794</v>
      </c>
      <c r="B1908">
        <v>2025.0</v>
      </c>
      <c r="C1908" t="s">
        <v>315</v>
      </c>
      <c r="D1908" t="s">
        <v>316</v>
      </c>
      <c r="E1908" t="s">
        <v>62</v>
      </c>
      <c r="F1908" t="s">
        <v>307</v>
      </c>
      <c r="G1908" t="s">
        <v>12</v>
      </c>
      <c r="H1908">
        <v>6530.0</v>
      </c>
      <c r="I1908" t="s">
        <v>31</v>
      </c>
      <c r="J1908" t="s">
        <v>50</v>
      </c>
      <c r="K1908" t="s">
        <v>43</v>
      </c>
      <c r="L1908" t="s">
        <v>44</v>
      </c>
      <c r="M1908">
        <v>115.41</v>
      </c>
    </row>
    <row r="1909">
      <c r="A1909" s="2">
        <v>45439</v>
      </c>
      <c r="B1909">
        <v>2024.0</v>
      </c>
      <c r="C1909" t="s">
        <v>318</v>
      </c>
      <c r="D1909" t="s">
        <v>319</v>
      </c>
      <c r="E1909" t="s">
        <v>201</v>
      </c>
      <c r="F1909" t="s">
        <v>305</v>
      </c>
      <c r="G1909" t="s">
        <v>10</v>
      </c>
      <c r="H1909">
        <v>3131.0</v>
      </c>
      <c r="I1909" t="s">
        <v>31</v>
      </c>
      <c r="J1909" t="s">
        <v>89</v>
      </c>
      <c r="K1909" t="s">
        <v>46</v>
      </c>
      <c r="L1909" t="s">
        <v>47</v>
      </c>
      <c r="M1909">
        <v>115.62</v>
      </c>
    </row>
    <row r="1910">
      <c r="A1910" s="2">
        <v>45794</v>
      </c>
      <c r="B1910">
        <v>2025.0</v>
      </c>
      <c r="C1910" t="s">
        <v>315</v>
      </c>
      <c r="D1910" t="s">
        <v>316</v>
      </c>
      <c r="E1910" t="s">
        <v>76</v>
      </c>
      <c r="F1910" t="s">
        <v>306</v>
      </c>
      <c r="G1910" t="s">
        <v>11</v>
      </c>
      <c r="H1910">
        <v>4883.0</v>
      </c>
      <c r="I1910" t="s">
        <v>31</v>
      </c>
      <c r="J1910" t="s">
        <v>78</v>
      </c>
      <c r="K1910" t="s">
        <v>112</v>
      </c>
      <c r="L1910" t="s">
        <v>113</v>
      </c>
      <c r="M1910">
        <v>115.67</v>
      </c>
    </row>
    <row r="1911">
      <c r="A1911" s="2">
        <v>45824</v>
      </c>
      <c r="B1911">
        <v>2025.0</v>
      </c>
      <c r="C1911" t="s">
        <v>315</v>
      </c>
      <c r="D1911" t="s">
        <v>319</v>
      </c>
      <c r="E1911" t="s">
        <v>221</v>
      </c>
      <c r="F1911" t="s">
        <v>306</v>
      </c>
      <c r="G1911" t="s">
        <v>11</v>
      </c>
      <c r="H1911">
        <v>4053.0</v>
      </c>
      <c r="I1911" t="s">
        <v>31</v>
      </c>
      <c r="J1911" t="s">
        <v>56</v>
      </c>
      <c r="K1911" t="s">
        <v>71</v>
      </c>
      <c r="L1911" t="s">
        <v>72</v>
      </c>
      <c r="M1911">
        <v>115.7</v>
      </c>
    </row>
    <row r="1912">
      <c r="A1912" s="2">
        <v>45704</v>
      </c>
      <c r="B1912">
        <v>2025.0</v>
      </c>
      <c r="C1912" t="s">
        <v>315</v>
      </c>
      <c r="D1912" t="s">
        <v>316</v>
      </c>
      <c r="E1912" t="s">
        <v>68</v>
      </c>
      <c r="F1912" t="s">
        <v>304</v>
      </c>
      <c r="G1912" t="s">
        <v>9</v>
      </c>
      <c r="H1912">
        <v>2478.0</v>
      </c>
      <c r="I1912" t="s">
        <v>31</v>
      </c>
      <c r="J1912" t="s">
        <v>70</v>
      </c>
      <c r="K1912" t="s">
        <v>33</v>
      </c>
      <c r="L1912" t="s">
        <v>34</v>
      </c>
      <c r="M1912">
        <v>115.71</v>
      </c>
    </row>
    <row r="1913">
      <c r="A1913" s="2">
        <v>45834</v>
      </c>
      <c r="B1913">
        <v>2025.0</v>
      </c>
      <c r="C1913" t="s">
        <v>315</v>
      </c>
      <c r="D1913" t="s">
        <v>316</v>
      </c>
      <c r="E1913" t="s">
        <v>262</v>
      </c>
      <c r="F1913" t="s">
        <v>305</v>
      </c>
      <c r="G1913" t="s">
        <v>10</v>
      </c>
      <c r="H1913">
        <v>3018.0</v>
      </c>
      <c r="I1913" t="s">
        <v>31</v>
      </c>
      <c r="J1913" t="s">
        <v>120</v>
      </c>
      <c r="K1913" t="s">
        <v>43</v>
      </c>
      <c r="L1913" t="s">
        <v>44</v>
      </c>
      <c r="M1913">
        <v>115.85</v>
      </c>
    </row>
    <row r="1914">
      <c r="A1914" s="2">
        <v>45642</v>
      </c>
      <c r="B1914">
        <v>2025.0</v>
      </c>
      <c r="C1914" t="s">
        <v>315</v>
      </c>
      <c r="D1914" t="s">
        <v>319</v>
      </c>
      <c r="E1914" t="s">
        <v>146</v>
      </c>
      <c r="F1914" t="s">
        <v>304</v>
      </c>
      <c r="G1914" t="s">
        <v>9</v>
      </c>
      <c r="H1914">
        <v>2790.0</v>
      </c>
      <c r="I1914" t="s">
        <v>31</v>
      </c>
      <c r="J1914" t="s">
        <v>75</v>
      </c>
      <c r="K1914" t="s">
        <v>46</v>
      </c>
      <c r="L1914" t="s">
        <v>47</v>
      </c>
      <c r="M1914">
        <v>115.92</v>
      </c>
    </row>
    <row r="1915">
      <c r="A1915" s="2">
        <v>45339</v>
      </c>
      <c r="B1915">
        <v>2024.0</v>
      </c>
      <c r="C1915" t="s">
        <v>318</v>
      </c>
      <c r="D1915" t="s">
        <v>319</v>
      </c>
      <c r="E1915" t="s">
        <v>141</v>
      </c>
      <c r="F1915" t="s">
        <v>304</v>
      </c>
      <c r="G1915" t="s">
        <v>9</v>
      </c>
      <c r="H1915">
        <v>2539.0</v>
      </c>
      <c r="I1915" t="s">
        <v>31</v>
      </c>
      <c r="J1915" t="s">
        <v>107</v>
      </c>
      <c r="K1915" t="s">
        <v>43</v>
      </c>
      <c r="L1915" t="s">
        <v>44</v>
      </c>
      <c r="M1915">
        <v>115.93</v>
      </c>
    </row>
    <row r="1916">
      <c r="A1916" s="2">
        <v>45428</v>
      </c>
      <c r="B1916">
        <v>2024.0</v>
      </c>
      <c r="C1916" t="s">
        <v>318</v>
      </c>
      <c r="D1916" t="s">
        <v>319</v>
      </c>
      <c r="E1916" t="s">
        <v>211</v>
      </c>
      <c r="F1916" t="s">
        <v>304</v>
      </c>
      <c r="G1916" t="s">
        <v>9</v>
      </c>
      <c r="H1916">
        <v>2650.0</v>
      </c>
      <c r="I1916" t="s">
        <v>31</v>
      </c>
      <c r="J1916" t="s">
        <v>75</v>
      </c>
      <c r="K1916" t="s">
        <v>123</v>
      </c>
      <c r="L1916" t="s">
        <v>124</v>
      </c>
      <c r="M1916">
        <v>116.57</v>
      </c>
    </row>
    <row r="1917">
      <c r="A1917" s="2">
        <v>45298</v>
      </c>
      <c r="B1917">
        <v>2024.0</v>
      </c>
      <c r="C1917" t="s">
        <v>318</v>
      </c>
      <c r="D1917" t="s">
        <v>319</v>
      </c>
      <c r="E1917" t="s">
        <v>110</v>
      </c>
      <c r="F1917" t="s">
        <v>304</v>
      </c>
      <c r="G1917" t="s">
        <v>9</v>
      </c>
      <c r="H1917">
        <v>2101.0</v>
      </c>
      <c r="I1917" t="s">
        <v>31</v>
      </c>
      <c r="J1917" t="s">
        <v>81</v>
      </c>
      <c r="K1917" t="s">
        <v>112</v>
      </c>
      <c r="L1917" t="s">
        <v>113</v>
      </c>
      <c r="M1917">
        <v>116.71000000000001</v>
      </c>
    </row>
    <row r="1918">
      <c r="A1918" s="2">
        <v>45607</v>
      </c>
      <c r="B1918">
        <v>2025.0</v>
      </c>
      <c r="C1918" t="s">
        <v>315</v>
      </c>
      <c r="D1918" t="s">
        <v>316</v>
      </c>
      <c r="E1918" t="s">
        <v>221</v>
      </c>
      <c r="F1918" t="s">
        <v>306</v>
      </c>
      <c r="G1918" t="s">
        <v>11</v>
      </c>
      <c r="H1918">
        <v>4053.0</v>
      </c>
      <c r="I1918" t="s">
        <v>31</v>
      </c>
      <c r="J1918" t="s">
        <v>56</v>
      </c>
      <c r="K1918" t="s">
        <v>95</v>
      </c>
      <c r="L1918" t="s">
        <v>96</v>
      </c>
      <c r="M1918">
        <v>116.71000000000001</v>
      </c>
    </row>
    <row r="1919">
      <c r="A1919" s="2">
        <v>45891</v>
      </c>
      <c r="B1919">
        <v>2026.0</v>
      </c>
      <c r="C1919" t="s">
        <v>321</v>
      </c>
      <c r="D1919" t="s">
        <v>316</v>
      </c>
      <c r="E1919" t="s">
        <v>252</v>
      </c>
      <c r="F1919" t="s">
        <v>305</v>
      </c>
      <c r="G1919" t="s">
        <v>10</v>
      </c>
      <c r="H1919">
        <v>3630.0</v>
      </c>
      <c r="I1919" t="s">
        <v>31</v>
      </c>
      <c r="J1919" t="s">
        <v>94</v>
      </c>
      <c r="K1919" t="s">
        <v>112</v>
      </c>
      <c r="L1919" t="s">
        <v>113</v>
      </c>
      <c r="M1919">
        <v>116.8</v>
      </c>
    </row>
    <row r="1920">
      <c r="A1920" s="2">
        <v>45683</v>
      </c>
      <c r="B1920">
        <v>2025.0</v>
      </c>
      <c r="C1920" t="s">
        <v>315</v>
      </c>
      <c r="D1920" t="s">
        <v>316</v>
      </c>
      <c r="E1920" t="s">
        <v>154</v>
      </c>
      <c r="F1920" t="s">
        <v>306</v>
      </c>
      <c r="G1920" t="s">
        <v>11</v>
      </c>
      <c r="H1920">
        <v>4551.0</v>
      </c>
      <c r="I1920" t="s">
        <v>31</v>
      </c>
      <c r="J1920" t="s">
        <v>84</v>
      </c>
      <c r="K1920" t="s">
        <v>57</v>
      </c>
      <c r="L1920" t="s">
        <v>58</v>
      </c>
      <c r="M1920">
        <v>116.86</v>
      </c>
    </row>
    <row r="1921">
      <c r="A1921" s="2">
        <v>45853</v>
      </c>
      <c r="B1921">
        <v>2026.0</v>
      </c>
      <c r="C1921" t="s">
        <v>321</v>
      </c>
      <c r="D1921" t="s">
        <v>316</v>
      </c>
      <c r="E1921" t="s">
        <v>250</v>
      </c>
      <c r="F1921" t="s">
        <v>305</v>
      </c>
      <c r="G1921" t="s">
        <v>10</v>
      </c>
      <c r="H1921">
        <v>3550.0</v>
      </c>
      <c r="I1921" t="s">
        <v>31</v>
      </c>
      <c r="J1921" t="s">
        <v>37</v>
      </c>
      <c r="K1921" t="s">
        <v>46</v>
      </c>
      <c r="L1921" t="s">
        <v>47</v>
      </c>
      <c r="M1921">
        <v>116.91</v>
      </c>
    </row>
    <row r="1922">
      <c r="A1922" s="2">
        <v>45582</v>
      </c>
      <c r="B1922">
        <v>2025.0</v>
      </c>
      <c r="C1922" t="s">
        <v>315</v>
      </c>
      <c r="D1922" t="s">
        <v>319</v>
      </c>
      <c r="E1922" t="s">
        <v>205</v>
      </c>
      <c r="F1922" t="s">
        <v>305</v>
      </c>
      <c r="G1922" t="s">
        <v>10</v>
      </c>
      <c r="H1922">
        <v>3400.0</v>
      </c>
      <c r="I1922" t="s">
        <v>31</v>
      </c>
      <c r="J1922" t="s">
        <v>37</v>
      </c>
      <c r="K1922" t="s">
        <v>71</v>
      </c>
      <c r="L1922" t="s">
        <v>72</v>
      </c>
      <c r="M1922">
        <v>116.91</v>
      </c>
    </row>
    <row r="1923">
      <c r="A1923" s="2">
        <v>45471</v>
      </c>
      <c r="B1923">
        <v>2024.0</v>
      </c>
      <c r="C1923" t="s">
        <v>318</v>
      </c>
      <c r="D1923" t="s">
        <v>316</v>
      </c>
      <c r="E1923" t="s">
        <v>203</v>
      </c>
      <c r="F1923" t="s">
        <v>305</v>
      </c>
      <c r="G1923" t="s">
        <v>10</v>
      </c>
      <c r="H1923">
        <v>3175.0</v>
      </c>
      <c r="I1923" t="s">
        <v>31</v>
      </c>
      <c r="J1923" t="s">
        <v>89</v>
      </c>
      <c r="K1923" t="s">
        <v>57</v>
      </c>
      <c r="L1923" t="s">
        <v>58</v>
      </c>
      <c r="M1923">
        <v>117.41</v>
      </c>
    </row>
    <row r="1924">
      <c r="A1924" s="2">
        <v>45475</v>
      </c>
      <c r="B1924">
        <v>2025.0</v>
      </c>
      <c r="C1924" t="s">
        <v>315</v>
      </c>
      <c r="D1924" t="s">
        <v>316</v>
      </c>
      <c r="E1924" t="s">
        <v>35</v>
      </c>
      <c r="F1924" t="s">
        <v>305</v>
      </c>
      <c r="G1924" t="s">
        <v>10</v>
      </c>
      <c r="H1924">
        <v>3280.0</v>
      </c>
      <c r="I1924" t="s">
        <v>31</v>
      </c>
      <c r="J1924" t="s">
        <v>37</v>
      </c>
      <c r="K1924" t="s">
        <v>43</v>
      </c>
      <c r="L1924" t="s">
        <v>44</v>
      </c>
      <c r="M1924">
        <v>117.44</v>
      </c>
    </row>
    <row r="1925">
      <c r="A1925" s="2">
        <v>45592</v>
      </c>
      <c r="B1925">
        <v>2025.0</v>
      </c>
      <c r="C1925" t="s">
        <v>315</v>
      </c>
      <c r="D1925" t="s">
        <v>316</v>
      </c>
      <c r="E1925" t="s">
        <v>129</v>
      </c>
      <c r="F1925" t="s">
        <v>305</v>
      </c>
      <c r="G1925" t="s">
        <v>10</v>
      </c>
      <c r="H1925">
        <v>3066.0</v>
      </c>
      <c r="I1925" t="s">
        <v>31</v>
      </c>
      <c r="J1925" t="s">
        <v>120</v>
      </c>
      <c r="K1925" t="s">
        <v>71</v>
      </c>
      <c r="L1925" t="s">
        <v>72</v>
      </c>
      <c r="M1925">
        <v>117.63</v>
      </c>
    </row>
    <row r="1926">
      <c r="A1926" s="2">
        <v>45455</v>
      </c>
      <c r="B1926">
        <v>2024.0</v>
      </c>
      <c r="C1926" t="s">
        <v>318</v>
      </c>
      <c r="D1926" t="s">
        <v>316</v>
      </c>
      <c r="E1926" t="s">
        <v>256</v>
      </c>
      <c r="F1926" t="s">
        <v>304</v>
      </c>
      <c r="G1926" t="s">
        <v>9</v>
      </c>
      <c r="H1926">
        <v>2350.0</v>
      </c>
      <c r="I1926" t="s">
        <v>31</v>
      </c>
      <c r="J1926" t="s">
        <v>70</v>
      </c>
      <c r="K1926" t="s">
        <v>43</v>
      </c>
      <c r="L1926" t="s">
        <v>44</v>
      </c>
      <c r="M1926">
        <v>117.72</v>
      </c>
    </row>
    <row r="1927">
      <c r="A1927" s="2">
        <v>45885</v>
      </c>
      <c r="B1927">
        <v>2026.0</v>
      </c>
      <c r="C1927" t="s">
        <v>321</v>
      </c>
      <c r="D1927" t="s">
        <v>316</v>
      </c>
      <c r="E1927" t="s">
        <v>160</v>
      </c>
      <c r="F1927" t="s">
        <v>307</v>
      </c>
      <c r="G1927" t="s">
        <v>12</v>
      </c>
      <c r="H1927">
        <v>6280.0</v>
      </c>
      <c r="I1927" t="s">
        <v>31</v>
      </c>
      <c r="J1927" t="s">
        <v>162</v>
      </c>
      <c r="K1927" t="s">
        <v>43</v>
      </c>
      <c r="L1927" t="s">
        <v>44</v>
      </c>
      <c r="M1927">
        <v>117.99</v>
      </c>
    </row>
    <row r="1928">
      <c r="A1928" s="2">
        <v>45422</v>
      </c>
      <c r="B1928">
        <v>2024.0</v>
      </c>
      <c r="C1928" t="s">
        <v>318</v>
      </c>
      <c r="D1928" t="s">
        <v>316</v>
      </c>
      <c r="E1928" t="s">
        <v>242</v>
      </c>
      <c r="F1928" t="s">
        <v>305</v>
      </c>
      <c r="G1928" t="s">
        <v>10</v>
      </c>
      <c r="H1928">
        <v>3977.0</v>
      </c>
      <c r="I1928" t="s">
        <v>31</v>
      </c>
      <c r="J1928" t="s">
        <v>94</v>
      </c>
      <c r="K1928" t="s">
        <v>43</v>
      </c>
      <c r="L1928" t="s">
        <v>44</v>
      </c>
      <c r="M1928">
        <v>118.5</v>
      </c>
    </row>
    <row r="1929">
      <c r="A1929" s="2">
        <v>45418</v>
      </c>
      <c r="B1929">
        <v>2024.0</v>
      </c>
      <c r="C1929" t="s">
        <v>318</v>
      </c>
      <c r="D1929" t="s">
        <v>316</v>
      </c>
      <c r="E1929" t="s">
        <v>64</v>
      </c>
      <c r="F1929" t="s">
        <v>306</v>
      </c>
      <c r="G1929" t="s">
        <v>11</v>
      </c>
      <c r="H1929">
        <v>4215.0</v>
      </c>
      <c r="I1929" t="s">
        <v>31</v>
      </c>
      <c r="J1929" t="s">
        <v>61</v>
      </c>
      <c r="K1929" t="s">
        <v>95</v>
      </c>
      <c r="L1929" t="s">
        <v>96</v>
      </c>
      <c r="M1929">
        <v>118.5</v>
      </c>
    </row>
    <row r="1930">
      <c r="A1930" s="2">
        <v>45950</v>
      </c>
      <c r="B1930">
        <v>2026.0</v>
      </c>
      <c r="C1930" t="s">
        <v>321</v>
      </c>
      <c r="D1930" t="s">
        <v>319</v>
      </c>
      <c r="E1930" t="s">
        <v>215</v>
      </c>
      <c r="F1930" t="s">
        <v>310</v>
      </c>
      <c r="G1930" t="s">
        <v>15</v>
      </c>
      <c r="H1930">
        <v>7320.0</v>
      </c>
      <c r="I1930" t="s">
        <v>31</v>
      </c>
      <c r="J1930" t="s">
        <v>53</v>
      </c>
      <c r="K1930" t="s">
        <v>112</v>
      </c>
      <c r="L1930" t="s">
        <v>113</v>
      </c>
      <c r="M1930">
        <v>118.75</v>
      </c>
    </row>
    <row r="1931">
      <c r="A1931" s="2">
        <v>45306</v>
      </c>
      <c r="B1931">
        <v>2024.0</v>
      </c>
      <c r="C1931" t="s">
        <v>318</v>
      </c>
      <c r="D1931" t="s">
        <v>319</v>
      </c>
      <c r="E1931" t="s">
        <v>167</v>
      </c>
      <c r="F1931" t="s">
        <v>307</v>
      </c>
      <c r="G1931" t="s">
        <v>12</v>
      </c>
      <c r="H1931">
        <v>6030.0</v>
      </c>
      <c r="I1931" t="s">
        <v>31</v>
      </c>
      <c r="J1931" t="s">
        <v>102</v>
      </c>
      <c r="K1931" t="s">
        <v>57</v>
      </c>
      <c r="L1931" t="s">
        <v>58</v>
      </c>
      <c r="M1931">
        <v>118.8</v>
      </c>
    </row>
    <row r="1932">
      <c r="A1932" s="2">
        <v>45529</v>
      </c>
      <c r="B1932">
        <v>2025.0</v>
      </c>
      <c r="C1932" t="s">
        <v>315</v>
      </c>
      <c r="D1932" t="s">
        <v>316</v>
      </c>
      <c r="E1932" t="s">
        <v>225</v>
      </c>
      <c r="F1932" t="s">
        <v>308</v>
      </c>
      <c r="G1932" t="s">
        <v>13</v>
      </c>
      <c r="H1932">
        <v>5607.0</v>
      </c>
      <c r="I1932" t="s">
        <v>31</v>
      </c>
      <c r="J1932" t="s">
        <v>227</v>
      </c>
      <c r="K1932" t="s">
        <v>43</v>
      </c>
      <c r="L1932" t="s">
        <v>44</v>
      </c>
      <c r="M1932">
        <v>118.82</v>
      </c>
    </row>
    <row r="1933">
      <c r="A1933" s="2">
        <v>45552</v>
      </c>
      <c r="B1933">
        <v>2025.0</v>
      </c>
      <c r="C1933" t="s">
        <v>315</v>
      </c>
      <c r="D1933" t="s">
        <v>319</v>
      </c>
      <c r="E1933" t="s">
        <v>51</v>
      </c>
      <c r="F1933" t="s">
        <v>310</v>
      </c>
      <c r="G1933" t="s">
        <v>15</v>
      </c>
      <c r="H1933">
        <v>7018.0</v>
      </c>
      <c r="I1933" t="s">
        <v>31</v>
      </c>
      <c r="J1933" t="s">
        <v>53</v>
      </c>
      <c r="K1933" t="s">
        <v>112</v>
      </c>
      <c r="L1933" t="s">
        <v>113</v>
      </c>
      <c r="M1933">
        <v>119.19</v>
      </c>
    </row>
    <row r="1934">
      <c r="A1934" s="2">
        <v>45921</v>
      </c>
      <c r="B1934">
        <v>2026.0</v>
      </c>
      <c r="C1934" t="s">
        <v>321</v>
      </c>
      <c r="D1934" t="s">
        <v>319</v>
      </c>
      <c r="E1934" t="s">
        <v>135</v>
      </c>
      <c r="F1934" t="s">
        <v>311</v>
      </c>
      <c r="G1934" t="s">
        <v>16</v>
      </c>
      <c r="H1934">
        <v>2609.0</v>
      </c>
      <c r="I1934" t="s">
        <v>31</v>
      </c>
      <c r="J1934" t="s">
        <v>107</v>
      </c>
      <c r="K1934" t="s">
        <v>33</v>
      </c>
      <c r="L1934" t="s">
        <v>34</v>
      </c>
      <c r="M1934">
        <v>119.22</v>
      </c>
    </row>
    <row r="1935">
      <c r="A1935" s="2">
        <v>45306</v>
      </c>
      <c r="B1935">
        <v>2024.0</v>
      </c>
      <c r="C1935" t="s">
        <v>318</v>
      </c>
      <c r="D1935" t="s">
        <v>316</v>
      </c>
      <c r="E1935" t="s">
        <v>62</v>
      </c>
      <c r="F1935" t="s">
        <v>307</v>
      </c>
      <c r="G1935" t="s">
        <v>12</v>
      </c>
      <c r="H1935">
        <v>6530.0</v>
      </c>
      <c r="I1935" t="s">
        <v>31</v>
      </c>
      <c r="J1935" t="s">
        <v>50</v>
      </c>
      <c r="K1935" t="s">
        <v>57</v>
      </c>
      <c r="L1935" t="s">
        <v>58</v>
      </c>
      <c r="M1935">
        <v>119.36</v>
      </c>
    </row>
    <row r="1936">
      <c r="A1936" s="2">
        <v>45498</v>
      </c>
      <c r="B1936">
        <v>2025.0</v>
      </c>
      <c r="C1936" t="s">
        <v>315</v>
      </c>
      <c r="D1936" t="s">
        <v>316</v>
      </c>
      <c r="E1936" t="s">
        <v>35</v>
      </c>
      <c r="F1936" t="s">
        <v>305</v>
      </c>
      <c r="G1936" t="s">
        <v>10</v>
      </c>
      <c r="H1936">
        <v>3280.0</v>
      </c>
      <c r="I1936" t="s">
        <v>31</v>
      </c>
      <c r="J1936" t="s">
        <v>37</v>
      </c>
      <c r="K1936" t="s">
        <v>38</v>
      </c>
      <c r="L1936" t="s">
        <v>39</v>
      </c>
      <c r="M1936">
        <v>119.41</v>
      </c>
    </row>
    <row r="1937">
      <c r="A1937" s="2">
        <v>45807</v>
      </c>
      <c r="B1937">
        <v>2025.0</v>
      </c>
      <c r="C1937" t="s">
        <v>315</v>
      </c>
      <c r="D1937" t="s">
        <v>319</v>
      </c>
      <c r="E1937" t="s">
        <v>110</v>
      </c>
      <c r="F1937" t="s">
        <v>304</v>
      </c>
      <c r="G1937" t="s">
        <v>9</v>
      </c>
      <c r="H1937">
        <v>2101.0</v>
      </c>
      <c r="I1937" t="s">
        <v>31</v>
      </c>
      <c r="J1937" t="s">
        <v>81</v>
      </c>
      <c r="K1937" t="s">
        <v>71</v>
      </c>
      <c r="L1937" t="s">
        <v>72</v>
      </c>
      <c r="M1937">
        <v>119.7</v>
      </c>
    </row>
    <row r="1938">
      <c r="A1938" s="2">
        <v>45989</v>
      </c>
      <c r="B1938">
        <v>2026.0</v>
      </c>
      <c r="C1938" t="s">
        <v>321</v>
      </c>
      <c r="D1938" t="s">
        <v>319</v>
      </c>
      <c r="E1938" t="s">
        <v>35</v>
      </c>
      <c r="F1938" t="s">
        <v>305</v>
      </c>
      <c r="G1938" t="s">
        <v>10</v>
      </c>
      <c r="H1938">
        <v>3280.0</v>
      </c>
      <c r="I1938" t="s">
        <v>31</v>
      </c>
      <c r="J1938" t="s">
        <v>37</v>
      </c>
      <c r="K1938" t="s">
        <v>95</v>
      </c>
      <c r="L1938" t="s">
        <v>96</v>
      </c>
      <c r="M1938">
        <v>119.76</v>
      </c>
    </row>
    <row r="1939">
      <c r="A1939" s="2">
        <v>45431</v>
      </c>
      <c r="B1939">
        <v>2024.0</v>
      </c>
      <c r="C1939" t="s">
        <v>318</v>
      </c>
      <c r="D1939" t="s">
        <v>319</v>
      </c>
      <c r="E1939" t="s">
        <v>87</v>
      </c>
      <c r="F1939" t="s">
        <v>305</v>
      </c>
      <c r="G1939" t="s">
        <v>10</v>
      </c>
      <c r="H1939">
        <v>3148.0</v>
      </c>
      <c r="I1939" t="s">
        <v>31</v>
      </c>
      <c r="J1939" t="s">
        <v>89</v>
      </c>
      <c r="K1939" t="s">
        <v>95</v>
      </c>
      <c r="L1939" t="s">
        <v>96</v>
      </c>
      <c r="M1939">
        <v>119.8</v>
      </c>
    </row>
    <row r="1940">
      <c r="A1940" s="2">
        <v>45578</v>
      </c>
      <c r="B1940">
        <v>2025.0</v>
      </c>
      <c r="C1940" t="s">
        <v>315</v>
      </c>
      <c r="D1940" t="s">
        <v>319</v>
      </c>
      <c r="E1940" t="s">
        <v>223</v>
      </c>
      <c r="F1940" t="s">
        <v>305</v>
      </c>
      <c r="G1940" t="s">
        <v>10</v>
      </c>
      <c r="H1940">
        <v>3915.0</v>
      </c>
      <c r="I1940" t="s">
        <v>31</v>
      </c>
      <c r="J1940" t="s">
        <v>94</v>
      </c>
      <c r="K1940" t="s">
        <v>95</v>
      </c>
      <c r="L1940" t="s">
        <v>96</v>
      </c>
      <c r="M1940">
        <v>119.8</v>
      </c>
    </row>
    <row r="1941">
      <c r="A1941" s="2">
        <v>45632</v>
      </c>
      <c r="B1941">
        <v>2025.0</v>
      </c>
      <c r="C1941" t="s">
        <v>315</v>
      </c>
      <c r="D1941" t="s">
        <v>319</v>
      </c>
      <c r="E1941" t="s">
        <v>35</v>
      </c>
      <c r="F1941" t="s">
        <v>305</v>
      </c>
      <c r="G1941" t="s">
        <v>10</v>
      </c>
      <c r="H1941">
        <v>3280.0</v>
      </c>
      <c r="I1941" t="s">
        <v>31</v>
      </c>
      <c r="J1941" t="s">
        <v>37</v>
      </c>
      <c r="K1941" t="s">
        <v>46</v>
      </c>
      <c r="L1941" t="s">
        <v>47</v>
      </c>
      <c r="M1941">
        <v>119.80000000000001</v>
      </c>
    </row>
    <row r="1942">
      <c r="A1942" s="2">
        <v>45888</v>
      </c>
      <c r="B1942">
        <v>2026.0</v>
      </c>
      <c r="C1942" t="s">
        <v>321</v>
      </c>
      <c r="D1942" t="s">
        <v>319</v>
      </c>
      <c r="E1942" t="s">
        <v>125</v>
      </c>
      <c r="F1942" t="s">
        <v>305</v>
      </c>
      <c r="G1942" t="s">
        <v>10</v>
      </c>
      <c r="H1942">
        <v>3931.0</v>
      </c>
      <c r="I1942" t="s">
        <v>31</v>
      </c>
      <c r="J1942" t="s">
        <v>94</v>
      </c>
      <c r="K1942" t="s">
        <v>46</v>
      </c>
      <c r="L1942" t="s">
        <v>47</v>
      </c>
      <c r="M1942">
        <v>119.88</v>
      </c>
    </row>
    <row r="1943">
      <c r="A1943" s="2">
        <v>45717</v>
      </c>
      <c r="B1943">
        <v>2025.0</v>
      </c>
      <c r="C1943" t="s">
        <v>315</v>
      </c>
      <c r="D1943" t="s">
        <v>316</v>
      </c>
      <c r="E1943" t="s">
        <v>100</v>
      </c>
      <c r="F1943" t="s">
        <v>307</v>
      </c>
      <c r="G1943" t="s">
        <v>12</v>
      </c>
      <c r="H1943">
        <v>6010.0</v>
      </c>
      <c r="I1943" t="s">
        <v>31</v>
      </c>
      <c r="J1943" t="s">
        <v>102</v>
      </c>
      <c r="K1943" t="s">
        <v>43</v>
      </c>
      <c r="L1943" t="s">
        <v>44</v>
      </c>
      <c r="M1943">
        <v>119.91000000000001</v>
      </c>
    </row>
    <row r="1944">
      <c r="A1944" s="2">
        <v>45682</v>
      </c>
      <c r="B1944">
        <v>2025.0</v>
      </c>
      <c r="C1944" t="s">
        <v>315</v>
      </c>
      <c r="D1944" t="s">
        <v>316</v>
      </c>
      <c r="E1944" t="s">
        <v>254</v>
      </c>
      <c r="F1944" t="s">
        <v>308</v>
      </c>
      <c r="G1944" t="s">
        <v>13</v>
      </c>
      <c r="H1944">
        <v>5343.0</v>
      </c>
      <c r="I1944" t="s">
        <v>31</v>
      </c>
      <c r="J1944" t="s">
        <v>227</v>
      </c>
      <c r="K1944" t="s">
        <v>43</v>
      </c>
      <c r="L1944" t="s">
        <v>44</v>
      </c>
      <c r="M1944">
        <v>119.92</v>
      </c>
    </row>
    <row r="1945">
      <c r="A1945" s="2">
        <v>45418</v>
      </c>
      <c r="B1945">
        <v>2024.0</v>
      </c>
      <c r="C1945" t="s">
        <v>318</v>
      </c>
      <c r="D1945" t="s">
        <v>316</v>
      </c>
      <c r="E1945" t="s">
        <v>169</v>
      </c>
      <c r="F1945" t="s">
        <v>307</v>
      </c>
      <c r="G1945" t="s">
        <v>12</v>
      </c>
      <c r="H1945">
        <v>6027.0</v>
      </c>
      <c r="I1945" t="s">
        <v>31</v>
      </c>
      <c r="J1945" t="s">
        <v>102</v>
      </c>
      <c r="K1945" t="s">
        <v>43</v>
      </c>
      <c r="L1945" t="s">
        <v>44</v>
      </c>
      <c r="M1945">
        <v>119.92</v>
      </c>
    </row>
    <row r="1946">
      <c r="A1946" s="2">
        <v>45919</v>
      </c>
      <c r="B1946">
        <v>2026.0</v>
      </c>
      <c r="C1946" t="s">
        <v>321</v>
      </c>
      <c r="D1946" t="s">
        <v>316</v>
      </c>
      <c r="E1946" t="s">
        <v>262</v>
      </c>
      <c r="F1946" t="s">
        <v>305</v>
      </c>
      <c r="G1946" t="s">
        <v>10</v>
      </c>
      <c r="H1946">
        <v>3018.0</v>
      </c>
      <c r="I1946" t="s">
        <v>31</v>
      </c>
      <c r="J1946" t="s">
        <v>120</v>
      </c>
      <c r="K1946" t="s">
        <v>57</v>
      </c>
      <c r="L1946" t="s">
        <v>58</v>
      </c>
      <c r="M1946">
        <v>119.96</v>
      </c>
    </row>
    <row r="1947">
      <c r="A1947" s="2">
        <v>45754</v>
      </c>
      <c r="B1947">
        <v>2025.0</v>
      </c>
      <c r="C1947" t="s">
        <v>315</v>
      </c>
      <c r="D1947" t="s">
        <v>316</v>
      </c>
      <c r="E1947" t="s">
        <v>209</v>
      </c>
      <c r="F1947" t="s">
        <v>304</v>
      </c>
      <c r="G1947" t="s">
        <v>9</v>
      </c>
      <c r="H1947">
        <v>2116.0</v>
      </c>
      <c r="I1947" t="s">
        <v>31</v>
      </c>
      <c r="J1947" t="s">
        <v>81</v>
      </c>
      <c r="K1947" t="s">
        <v>57</v>
      </c>
      <c r="L1947" t="s">
        <v>58</v>
      </c>
      <c r="M1947">
        <v>119.96</v>
      </c>
    </row>
    <row r="1948">
      <c r="A1948" s="2">
        <v>45777</v>
      </c>
      <c r="B1948">
        <v>2025.0</v>
      </c>
      <c r="C1948" t="s">
        <v>315</v>
      </c>
      <c r="D1948" t="s">
        <v>316</v>
      </c>
      <c r="E1948" t="s">
        <v>209</v>
      </c>
      <c r="F1948" t="s">
        <v>304</v>
      </c>
      <c r="G1948" t="s">
        <v>9</v>
      </c>
      <c r="H1948">
        <v>2116.0</v>
      </c>
      <c r="I1948" t="s">
        <v>31</v>
      </c>
      <c r="J1948" t="s">
        <v>81</v>
      </c>
      <c r="K1948" t="s">
        <v>43</v>
      </c>
      <c r="L1948" t="s">
        <v>44</v>
      </c>
      <c r="M1948">
        <v>120.13</v>
      </c>
    </row>
    <row r="1949">
      <c r="A1949" s="2">
        <v>45411</v>
      </c>
      <c r="B1949">
        <v>2024.0</v>
      </c>
      <c r="C1949" t="s">
        <v>318</v>
      </c>
      <c r="D1949" t="s">
        <v>316</v>
      </c>
      <c r="E1949" t="s">
        <v>129</v>
      </c>
      <c r="F1949" t="s">
        <v>305</v>
      </c>
      <c r="G1949" t="s">
        <v>10</v>
      </c>
      <c r="H1949">
        <v>3066.0</v>
      </c>
      <c r="I1949" t="s">
        <v>31</v>
      </c>
      <c r="J1949" t="s">
        <v>120</v>
      </c>
      <c r="K1949" t="s">
        <v>95</v>
      </c>
      <c r="L1949" t="s">
        <v>96</v>
      </c>
      <c r="M1949">
        <v>120.49000000000001</v>
      </c>
    </row>
    <row r="1950">
      <c r="A1950" s="2">
        <v>45487</v>
      </c>
      <c r="B1950">
        <v>2025.0</v>
      </c>
      <c r="C1950" t="s">
        <v>315</v>
      </c>
      <c r="D1950" t="s">
        <v>319</v>
      </c>
      <c r="E1950" t="s">
        <v>181</v>
      </c>
      <c r="F1950" t="s">
        <v>306</v>
      </c>
      <c r="G1950" t="s">
        <v>11</v>
      </c>
      <c r="H1950">
        <v>4119.0</v>
      </c>
      <c r="I1950" t="s">
        <v>31</v>
      </c>
      <c r="J1950" t="s">
        <v>56</v>
      </c>
      <c r="K1950" t="s">
        <v>38</v>
      </c>
      <c r="L1950" t="s">
        <v>39</v>
      </c>
      <c r="M1950">
        <v>120.55999999999999</v>
      </c>
    </row>
    <row r="1951">
      <c r="A1951" s="2">
        <v>45322</v>
      </c>
      <c r="B1951">
        <v>2024.0</v>
      </c>
      <c r="C1951" t="s">
        <v>318</v>
      </c>
      <c r="D1951" t="s">
        <v>316</v>
      </c>
      <c r="E1951" t="s">
        <v>137</v>
      </c>
      <c r="F1951" t="s">
        <v>305</v>
      </c>
      <c r="G1951" t="s">
        <v>10</v>
      </c>
      <c r="H1951">
        <v>3134.0</v>
      </c>
      <c r="I1951" t="s">
        <v>31</v>
      </c>
      <c r="J1951" t="s">
        <v>89</v>
      </c>
      <c r="K1951" t="s">
        <v>123</v>
      </c>
      <c r="L1951" t="s">
        <v>124</v>
      </c>
      <c r="M1951">
        <v>120.78</v>
      </c>
    </row>
    <row r="1952">
      <c r="A1952" s="2">
        <v>45436</v>
      </c>
      <c r="B1952">
        <v>2024.0</v>
      </c>
      <c r="C1952" t="s">
        <v>318</v>
      </c>
      <c r="D1952" t="s">
        <v>316</v>
      </c>
      <c r="E1952" t="s">
        <v>97</v>
      </c>
      <c r="F1952" t="s">
        <v>304</v>
      </c>
      <c r="G1952" t="s">
        <v>9</v>
      </c>
      <c r="H1952">
        <v>2067.0</v>
      </c>
      <c r="I1952" t="s">
        <v>31</v>
      </c>
      <c r="J1952" t="s">
        <v>99</v>
      </c>
      <c r="K1952" t="s">
        <v>38</v>
      </c>
      <c r="L1952" t="s">
        <v>39</v>
      </c>
      <c r="M1952">
        <v>120.78999999999999</v>
      </c>
    </row>
    <row r="1953">
      <c r="A1953" s="2">
        <v>45352</v>
      </c>
      <c r="B1953">
        <v>2024.0</v>
      </c>
      <c r="C1953" t="s">
        <v>318</v>
      </c>
      <c r="D1953" t="s">
        <v>319</v>
      </c>
      <c r="E1953" t="s">
        <v>163</v>
      </c>
      <c r="F1953" t="s">
        <v>304</v>
      </c>
      <c r="G1953" t="s">
        <v>9</v>
      </c>
      <c r="H1953">
        <v>2154.0</v>
      </c>
      <c r="I1953" t="s">
        <v>31</v>
      </c>
      <c r="J1953" t="s">
        <v>81</v>
      </c>
      <c r="K1953" t="s">
        <v>38</v>
      </c>
      <c r="L1953" t="s">
        <v>39</v>
      </c>
      <c r="M1953">
        <v>121.32000000000001</v>
      </c>
    </row>
    <row r="1954">
      <c r="A1954" s="2">
        <v>45489</v>
      </c>
      <c r="B1954">
        <v>2025.0</v>
      </c>
      <c r="C1954" t="s">
        <v>315</v>
      </c>
      <c r="D1954" t="s">
        <v>316</v>
      </c>
      <c r="E1954" t="s">
        <v>160</v>
      </c>
      <c r="F1954" t="s">
        <v>307</v>
      </c>
      <c r="G1954" t="s">
        <v>12</v>
      </c>
      <c r="H1954">
        <v>6280.0</v>
      </c>
      <c r="I1954" t="s">
        <v>31</v>
      </c>
      <c r="J1954" t="s">
        <v>162</v>
      </c>
      <c r="K1954" t="s">
        <v>112</v>
      </c>
      <c r="L1954" t="s">
        <v>113</v>
      </c>
      <c r="M1954">
        <v>121.57</v>
      </c>
    </row>
    <row r="1955">
      <c r="A1955" s="2">
        <v>45703</v>
      </c>
      <c r="B1955">
        <v>2025.0</v>
      </c>
      <c r="C1955" t="s">
        <v>315</v>
      </c>
      <c r="D1955" t="s">
        <v>316</v>
      </c>
      <c r="E1955" t="s">
        <v>92</v>
      </c>
      <c r="F1955" t="s">
        <v>305</v>
      </c>
      <c r="G1955" t="s">
        <v>10</v>
      </c>
      <c r="H1955">
        <v>3690.0</v>
      </c>
      <c r="I1955" t="s">
        <v>31</v>
      </c>
      <c r="J1955" t="s">
        <v>94</v>
      </c>
      <c r="K1955" t="s">
        <v>123</v>
      </c>
      <c r="L1955" t="s">
        <v>124</v>
      </c>
      <c r="M1955">
        <v>121.76</v>
      </c>
    </row>
    <row r="1956">
      <c r="A1956" s="2">
        <v>45413</v>
      </c>
      <c r="B1956">
        <v>2024.0</v>
      </c>
      <c r="C1956" t="s">
        <v>318</v>
      </c>
      <c r="D1956" t="s">
        <v>319</v>
      </c>
      <c r="E1956" t="s">
        <v>213</v>
      </c>
      <c r="F1956" t="s">
        <v>306</v>
      </c>
      <c r="G1956" t="s">
        <v>11</v>
      </c>
      <c r="H1956">
        <v>4740.0</v>
      </c>
      <c r="I1956" t="s">
        <v>31</v>
      </c>
      <c r="J1956" t="s">
        <v>32</v>
      </c>
      <c r="K1956" t="s">
        <v>38</v>
      </c>
      <c r="L1956" t="s">
        <v>39</v>
      </c>
      <c r="M1956">
        <v>121.78</v>
      </c>
    </row>
    <row r="1957">
      <c r="A1957" s="2">
        <v>45400</v>
      </c>
      <c r="B1957">
        <v>2024.0</v>
      </c>
      <c r="C1957" t="s">
        <v>318</v>
      </c>
      <c r="D1957" t="s">
        <v>319</v>
      </c>
      <c r="E1957" t="s">
        <v>173</v>
      </c>
      <c r="F1957" t="s">
        <v>306</v>
      </c>
      <c r="G1957" t="s">
        <v>11</v>
      </c>
      <c r="H1957">
        <v>4220.0</v>
      </c>
      <c r="I1957" t="s">
        <v>31</v>
      </c>
      <c r="J1957" t="s">
        <v>61</v>
      </c>
      <c r="K1957" t="s">
        <v>123</v>
      </c>
      <c r="L1957" t="s">
        <v>124</v>
      </c>
      <c r="M1957">
        <v>121.8</v>
      </c>
    </row>
    <row r="1958">
      <c r="A1958" s="2">
        <v>45493</v>
      </c>
      <c r="B1958">
        <v>2025.0</v>
      </c>
      <c r="C1958" t="s">
        <v>315</v>
      </c>
      <c r="D1958" t="s">
        <v>316</v>
      </c>
      <c r="E1958" t="s">
        <v>121</v>
      </c>
      <c r="F1958" t="s">
        <v>306</v>
      </c>
      <c r="G1958" t="s">
        <v>11</v>
      </c>
      <c r="H1958">
        <v>4566.0</v>
      </c>
      <c r="I1958" t="s">
        <v>31</v>
      </c>
      <c r="J1958" t="s">
        <v>84</v>
      </c>
      <c r="K1958" t="s">
        <v>38</v>
      </c>
      <c r="L1958" t="s">
        <v>39</v>
      </c>
      <c r="M1958">
        <v>121.85</v>
      </c>
    </row>
    <row r="1959">
      <c r="A1959" s="2">
        <v>45401</v>
      </c>
      <c r="B1959">
        <v>2024.0</v>
      </c>
      <c r="C1959" t="s">
        <v>318</v>
      </c>
      <c r="D1959" t="s">
        <v>316</v>
      </c>
      <c r="E1959" t="s">
        <v>234</v>
      </c>
      <c r="F1959" t="s">
        <v>304</v>
      </c>
      <c r="G1959" t="s">
        <v>9</v>
      </c>
      <c r="H1959">
        <v>2158.0</v>
      </c>
      <c r="I1959" t="s">
        <v>31</v>
      </c>
      <c r="J1959" t="s">
        <v>81</v>
      </c>
      <c r="K1959" t="s">
        <v>43</v>
      </c>
      <c r="L1959" t="s">
        <v>44</v>
      </c>
      <c r="M1959">
        <v>121.92</v>
      </c>
    </row>
    <row r="1960">
      <c r="A1960" s="2">
        <v>45417</v>
      </c>
      <c r="B1960">
        <v>2024.0</v>
      </c>
      <c r="C1960" t="s">
        <v>318</v>
      </c>
      <c r="D1960" t="s">
        <v>319</v>
      </c>
      <c r="E1960" t="s">
        <v>121</v>
      </c>
      <c r="F1960" t="s">
        <v>306</v>
      </c>
      <c r="G1960" t="s">
        <v>11</v>
      </c>
      <c r="H1960">
        <v>4566.0</v>
      </c>
      <c r="I1960" t="s">
        <v>31</v>
      </c>
      <c r="J1960" t="s">
        <v>84</v>
      </c>
      <c r="K1960" t="s">
        <v>43</v>
      </c>
      <c r="L1960" t="s">
        <v>44</v>
      </c>
      <c r="M1960">
        <v>121.92</v>
      </c>
    </row>
    <row r="1961">
      <c r="A1961" s="2">
        <v>46018</v>
      </c>
      <c r="B1961">
        <v>2026.0</v>
      </c>
      <c r="C1961" t="s">
        <v>321</v>
      </c>
      <c r="D1961" t="s">
        <v>319</v>
      </c>
      <c r="E1961" t="s">
        <v>114</v>
      </c>
      <c r="F1961" t="s">
        <v>304</v>
      </c>
      <c r="G1961" t="s">
        <v>9</v>
      </c>
      <c r="H1961">
        <v>2031.0</v>
      </c>
      <c r="I1961" t="s">
        <v>31</v>
      </c>
      <c r="J1961" t="s">
        <v>99</v>
      </c>
      <c r="K1961" t="s">
        <v>66</v>
      </c>
      <c r="L1961" t="s">
        <v>67</v>
      </c>
      <c r="M1961">
        <v>122.03999999999999</v>
      </c>
    </row>
    <row r="1962">
      <c r="A1962" s="2">
        <v>45803</v>
      </c>
      <c r="B1962">
        <v>2025.0</v>
      </c>
      <c r="C1962" t="s">
        <v>315</v>
      </c>
      <c r="D1962" t="s">
        <v>319</v>
      </c>
      <c r="E1962" t="s">
        <v>108</v>
      </c>
      <c r="F1962" t="s">
        <v>304</v>
      </c>
      <c r="G1962" t="s">
        <v>9</v>
      </c>
      <c r="H1962">
        <v>2795.0</v>
      </c>
      <c r="I1962" t="s">
        <v>31</v>
      </c>
      <c r="J1962" t="s">
        <v>75</v>
      </c>
      <c r="K1962" t="s">
        <v>33</v>
      </c>
      <c r="L1962" t="s">
        <v>34</v>
      </c>
      <c r="M1962">
        <v>122.41</v>
      </c>
    </row>
    <row r="1963">
      <c r="A1963" s="2">
        <v>45314</v>
      </c>
      <c r="B1963">
        <v>2024.0</v>
      </c>
      <c r="C1963" t="s">
        <v>318</v>
      </c>
      <c r="D1963" t="s">
        <v>319</v>
      </c>
      <c r="E1963" t="s">
        <v>133</v>
      </c>
      <c r="F1963" t="s">
        <v>305</v>
      </c>
      <c r="G1963" t="s">
        <v>10</v>
      </c>
      <c r="H1963">
        <v>3429.0</v>
      </c>
      <c r="I1963" t="s">
        <v>31</v>
      </c>
      <c r="J1963" t="s">
        <v>37</v>
      </c>
      <c r="K1963" t="s">
        <v>123</v>
      </c>
      <c r="L1963" t="s">
        <v>124</v>
      </c>
      <c r="M1963">
        <v>122.63</v>
      </c>
    </row>
    <row r="1964">
      <c r="A1964" s="2">
        <v>45822</v>
      </c>
      <c r="B1964">
        <v>2025.0</v>
      </c>
      <c r="C1964" t="s">
        <v>315</v>
      </c>
      <c r="D1964" t="s">
        <v>316</v>
      </c>
      <c r="E1964" t="s">
        <v>127</v>
      </c>
      <c r="F1964" t="s">
        <v>306</v>
      </c>
      <c r="G1964" t="s">
        <v>11</v>
      </c>
      <c r="H1964">
        <v>4802.0</v>
      </c>
      <c r="I1964" t="s">
        <v>31</v>
      </c>
      <c r="J1964" t="s">
        <v>78</v>
      </c>
      <c r="K1964" t="s">
        <v>33</v>
      </c>
      <c r="L1964" t="s">
        <v>34</v>
      </c>
      <c r="M1964">
        <v>122.69</v>
      </c>
    </row>
    <row r="1965">
      <c r="A1965" s="2">
        <v>45990</v>
      </c>
      <c r="B1965">
        <v>2026.0</v>
      </c>
      <c r="C1965" t="s">
        <v>321</v>
      </c>
      <c r="D1965" t="s">
        <v>319</v>
      </c>
      <c r="E1965" t="s">
        <v>197</v>
      </c>
      <c r="F1965" t="s">
        <v>304</v>
      </c>
      <c r="G1965" t="s">
        <v>9</v>
      </c>
      <c r="H1965">
        <v>2560.0</v>
      </c>
      <c r="I1965" t="s">
        <v>31</v>
      </c>
      <c r="J1965" t="s">
        <v>107</v>
      </c>
      <c r="K1965" t="s">
        <v>123</v>
      </c>
      <c r="L1965" t="s">
        <v>124</v>
      </c>
      <c r="M1965">
        <v>122.72999999999999</v>
      </c>
    </row>
    <row r="1966">
      <c r="A1966" s="2">
        <v>45785</v>
      </c>
      <c r="B1966">
        <v>2025.0</v>
      </c>
      <c r="C1966" t="s">
        <v>315</v>
      </c>
      <c r="D1966" t="s">
        <v>319</v>
      </c>
      <c r="E1966" t="s">
        <v>211</v>
      </c>
      <c r="F1966" t="s">
        <v>304</v>
      </c>
      <c r="G1966" t="s">
        <v>9</v>
      </c>
      <c r="H1966">
        <v>2650.0</v>
      </c>
      <c r="I1966" t="s">
        <v>31</v>
      </c>
      <c r="J1966" t="s">
        <v>75</v>
      </c>
      <c r="K1966" t="s">
        <v>112</v>
      </c>
      <c r="L1966" t="s">
        <v>113</v>
      </c>
      <c r="M1966">
        <v>122.77000000000001</v>
      </c>
    </row>
    <row r="1967">
      <c r="A1967" s="2">
        <v>45595</v>
      </c>
      <c r="B1967">
        <v>2025.0</v>
      </c>
      <c r="C1967" t="s">
        <v>315</v>
      </c>
      <c r="D1967" t="s">
        <v>316</v>
      </c>
      <c r="E1967" t="s">
        <v>193</v>
      </c>
      <c r="F1967" t="s">
        <v>304</v>
      </c>
      <c r="G1967" t="s">
        <v>9</v>
      </c>
      <c r="H1967">
        <v>2020.0</v>
      </c>
      <c r="I1967" t="s">
        <v>31</v>
      </c>
      <c r="J1967" t="s">
        <v>99</v>
      </c>
      <c r="K1967" t="s">
        <v>57</v>
      </c>
      <c r="L1967" t="s">
        <v>58</v>
      </c>
      <c r="M1967">
        <v>122.86999999999999</v>
      </c>
    </row>
    <row r="1968">
      <c r="A1968" s="2">
        <v>45840</v>
      </c>
      <c r="B1968">
        <v>2026.0</v>
      </c>
      <c r="C1968" t="s">
        <v>321</v>
      </c>
      <c r="D1968" t="s">
        <v>316</v>
      </c>
      <c r="E1968" t="s">
        <v>141</v>
      </c>
      <c r="F1968" t="s">
        <v>304</v>
      </c>
      <c r="G1968" t="s">
        <v>9</v>
      </c>
      <c r="H1968">
        <v>2539.0</v>
      </c>
      <c r="I1968" t="s">
        <v>31</v>
      </c>
      <c r="J1968" t="s">
        <v>107</v>
      </c>
      <c r="K1968" t="s">
        <v>112</v>
      </c>
      <c r="L1968" t="s">
        <v>113</v>
      </c>
      <c r="M1968">
        <v>122.89</v>
      </c>
    </row>
    <row r="1969">
      <c r="A1969" s="2">
        <v>45861</v>
      </c>
      <c r="B1969">
        <v>2026.0</v>
      </c>
      <c r="C1969" t="s">
        <v>321</v>
      </c>
      <c r="D1969" t="s">
        <v>319</v>
      </c>
      <c r="E1969" t="s">
        <v>152</v>
      </c>
      <c r="F1969" t="s">
        <v>306</v>
      </c>
      <c r="G1969" t="s">
        <v>11</v>
      </c>
      <c r="H1969">
        <v>4305.0</v>
      </c>
      <c r="I1969" t="s">
        <v>31</v>
      </c>
      <c r="J1969" t="s">
        <v>61</v>
      </c>
      <c r="K1969" t="s">
        <v>43</v>
      </c>
      <c r="L1969" t="s">
        <v>44</v>
      </c>
      <c r="M1969">
        <v>122.91</v>
      </c>
    </row>
    <row r="1970">
      <c r="A1970" s="2">
        <v>45891</v>
      </c>
      <c r="B1970">
        <v>2026.0</v>
      </c>
      <c r="C1970" t="s">
        <v>321</v>
      </c>
      <c r="D1970" t="s">
        <v>316</v>
      </c>
      <c r="E1970" t="s">
        <v>127</v>
      </c>
      <c r="F1970" t="s">
        <v>306</v>
      </c>
      <c r="G1970" t="s">
        <v>11</v>
      </c>
      <c r="H1970">
        <v>4802.0</v>
      </c>
      <c r="I1970" t="s">
        <v>31</v>
      </c>
      <c r="J1970" t="s">
        <v>78</v>
      </c>
      <c r="K1970" t="s">
        <v>43</v>
      </c>
      <c r="L1970" t="s">
        <v>44</v>
      </c>
      <c r="M1970">
        <v>123.16</v>
      </c>
    </row>
    <row r="1971">
      <c r="A1971" s="2">
        <v>45509</v>
      </c>
      <c r="B1971">
        <v>2025.0</v>
      </c>
      <c r="C1971" t="s">
        <v>315</v>
      </c>
      <c r="D1971" t="s">
        <v>316</v>
      </c>
      <c r="E1971" t="s">
        <v>127</v>
      </c>
      <c r="F1971" t="s">
        <v>306</v>
      </c>
      <c r="G1971" t="s">
        <v>11</v>
      </c>
      <c r="H1971">
        <v>4802.0</v>
      </c>
      <c r="I1971" t="s">
        <v>31</v>
      </c>
      <c r="J1971" t="s">
        <v>78</v>
      </c>
      <c r="K1971" t="s">
        <v>38</v>
      </c>
      <c r="L1971" t="s">
        <v>39</v>
      </c>
      <c r="M1971">
        <v>123.31</v>
      </c>
    </row>
    <row r="1972">
      <c r="A1972" s="2">
        <v>45904</v>
      </c>
      <c r="B1972">
        <v>2026.0</v>
      </c>
      <c r="C1972" t="s">
        <v>321</v>
      </c>
      <c r="D1972" t="s">
        <v>319</v>
      </c>
      <c r="E1972" t="s">
        <v>215</v>
      </c>
      <c r="F1972" t="s">
        <v>310</v>
      </c>
      <c r="G1972" t="s">
        <v>15</v>
      </c>
      <c r="H1972">
        <v>7320.0</v>
      </c>
      <c r="I1972" t="s">
        <v>31</v>
      </c>
      <c r="J1972" t="s">
        <v>53</v>
      </c>
      <c r="K1972" t="s">
        <v>43</v>
      </c>
      <c r="L1972" t="s">
        <v>44</v>
      </c>
      <c r="M1972">
        <v>123.42</v>
      </c>
    </row>
    <row r="1973">
      <c r="A1973" s="2">
        <v>45571</v>
      </c>
      <c r="B1973">
        <v>2025.0</v>
      </c>
      <c r="C1973" t="s">
        <v>315</v>
      </c>
      <c r="D1973" t="s">
        <v>319</v>
      </c>
      <c r="E1973" t="s">
        <v>223</v>
      </c>
      <c r="F1973" t="s">
        <v>305</v>
      </c>
      <c r="G1973" t="s">
        <v>10</v>
      </c>
      <c r="H1973">
        <v>3915.0</v>
      </c>
      <c r="I1973" t="s">
        <v>31</v>
      </c>
      <c r="J1973" t="s">
        <v>94</v>
      </c>
      <c r="K1973" t="s">
        <v>43</v>
      </c>
      <c r="L1973" t="s">
        <v>44</v>
      </c>
      <c r="M1973">
        <v>123.86</v>
      </c>
    </row>
    <row r="1974">
      <c r="A1974" s="2">
        <v>45713</v>
      </c>
      <c r="B1974">
        <v>2025.0</v>
      </c>
      <c r="C1974" t="s">
        <v>315</v>
      </c>
      <c r="D1974" t="s">
        <v>319</v>
      </c>
      <c r="E1974" t="s">
        <v>79</v>
      </c>
      <c r="F1974" t="s">
        <v>304</v>
      </c>
      <c r="G1974" t="s">
        <v>9</v>
      </c>
      <c r="H1974">
        <v>2141.0</v>
      </c>
      <c r="I1974" t="s">
        <v>31</v>
      </c>
      <c r="J1974" t="s">
        <v>81</v>
      </c>
      <c r="K1974" t="s">
        <v>46</v>
      </c>
      <c r="L1974" t="s">
        <v>47</v>
      </c>
      <c r="M1974">
        <v>123.91</v>
      </c>
    </row>
    <row r="1975">
      <c r="A1975" s="2">
        <v>45373</v>
      </c>
      <c r="B1975">
        <v>2024.0</v>
      </c>
      <c r="C1975" t="s">
        <v>318</v>
      </c>
      <c r="D1975" t="s">
        <v>316</v>
      </c>
      <c r="E1975" t="s">
        <v>250</v>
      </c>
      <c r="F1975" t="s">
        <v>305</v>
      </c>
      <c r="G1975" t="s">
        <v>10</v>
      </c>
      <c r="H1975">
        <v>3550.0</v>
      </c>
      <c r="I1975" t="s">
        <v>31</v>
      </c>
      <c r="J1975" t="s">
        <v>37</v>
      </c>
      <c r="K1975" t="s">
        <v>43</v>
      </c>
      <c r="L1975" t="s">
        <v>44</v>
      </c>
      <c r="M1975">
        <v>124.08000000000001</v>
      </c>
    </row>
    <row r="1976">
      <c r="A1976" s="2">
        <v>45979</v>
      </c>
      <c r="B1976">
        <v>2026.0</v>
      </c>
      <c r="C1976" t="s">
        <v>321</v>
      </c>
      <c r="D1976" t="s">
        <v>319</v>
      </c>
      <c r="E1976" t="s">
        <v>223</v>
      </c>
      <c r="F1976" t="s">
        <v>305</v>
      </c>
      <c r="G1976" t="s">
        <v>10</v>
      </c>
      <c r="H1976">
        <v>3915.0</v>
      </c>
      <c r="I1976" t="s">
        <v>31</v>
      </c>
      <c r="J1976" t="s">
        <v>94</v>
      </c>
      <c r="K1976" t="s">
        <v>33</v>
      </c>
      <c r="L1976" t="s">
        <v>34</v>
      </c>
      <c r="M1976">
        <v>124.22</v>
      </c>
    </row>
    <row r="1977">
      <c r="A1977" s="2">
        <v>45844</v>
      </c>
      <c r="B1977">
        <v>2026.0</v>
      </c>
      <c r="C1977" t="s">
        <v>321</v>
      </c>
      <c r="D1977" t="s">
        <v>316</v>
      </c>
      <c r="E1977" t="s">
        <v>139</v>
      </c>
      <c r="F1977" t="s">
        <v>305</v>
      </c>
      <c r="G1977" t="s">
        <v>10</v>
      </c>
      <c r="H1977">
        <v>3199.0</v>
      </c>
      <c r="I1977" t="s">
        <v>31</v>
      </c>
      <c r="J1977" t="s">
        <v>89</v>
      </c>
      <c r="K1977" t="s">
        <v>95</v>
      </c>
      <c r="L1977" t="s">
        <v>96</v>
      </c>
      <c r="M1977">
        <v>124.75</v>
      </c>
    </row>
    <row r="1978">
      <c r="A1978" s="2">
        <v>45693</v>
      </c>
      <c r="B1978">
        <v>2025.0</v>
      </c>
      <c r="C1978" t="s">
        <v>315</v>
      </c>
      <c r="D1978" t="s">
        <v>319</v>
      </c>
      <c r="E1978" t="s">
        <v>207</v>
      </c>
      <c r="F1978" t="s">
        <v>306</v>
      </c>
      <c r="G1978" t="s">
        <v>11</v>
      </c>
      <c r="H1978">
        <v>4825.0</v>
      </c>
      <c r="I1978" t="s">
        <v>31</v>
      </c>
      <c r="J1978" t="s">
        <v>78</v>
      </c>
      <c r="K1978" t="s">
        <v>95</v>
      </c>
      <c r="L1978" t="s">
        <v>96</v>
      </c>
      <c r="M1978">
        <v>124.75</v>
      </c>
    </row>
    <row r="1979">
      <c r="A1979" s="2">
        <v>45696</v>
      </c>
      <c r="B1979">
        <v>2025.0</v>
      </c>
      <c r="C1979" t="s">
        <v>315</v>
      </c>
      <c r="D1979" t="s">
        <v>316</v>
      </c>
      <c r="E1979" t="s">
        <v>213</v>
      </c>
      <c r="F1979" t="s">
        <v>306</v>
      </c>
      <c r="G1979" t="s">
        <v>11</v>
      </c>
      <c r="H1979">
        <v>4740.0</v>
      </c>
      <c r="I1979" t="s">
        <v>31</v>
      </c>
      <c r="J1979" t="s">
        <v>32</v>
      </c>
      <c r="K1979" t="s">
        <v>95</v>
      </c>
      <c r="L1979" t="s">
        <v>96</v>
      </c>
      <c r="M1979">
        <v>124.8</v>
      </c>
    </row>
    <row r="1980">
      <c r="A1980" s="2">
        <v>45669</v>
      </c>
      <c r="B1980">
        <v>2025.0</v>
      </c>
      <c r="C1980" t="s">
        <v>315</v>
      </c>
      <c r="D1980" t="s">
        <v>319</v>
      </c>
      <c r="E1980" t="s">
        <v>197</v>
      </c>
      <c r="F1980" t="s">
        <v>304</v>
      </c>
      <c r="G1980" t="s">
        <v>9</v>
      </c>
      <c r="H1980">
        <v>2560.0</v>
      </c>
      <c r="I1980" t="s">
        <v>31</v>
      </c>
      <c r="J1980" t="s">
        <v>107</v>
      </c>
      <c r="K1980" t="s">
        <v>71</v>
      </c>
      <c r="L1980" t="s">
        <v>72</v>
      </c>
      <c r="M1980">
        <v>124.89000000000001</v>
      </c>
    </row>
    <row r="1981">
      <c r="A1981" s="2">
        <v>45741</v>
      </c>
      <c r="B1981">
        <v>2025.0</v>
      </c>
      <c r="C1981" t="s">
        <v>315</v>
      </c>
      <c r="D1981" t="s">
        <v>319</v>
      </c>
      <c r="E1981" t="s">
        <v>87</v>
      </c>
      <c r="F1981" t="s">
        <v>305</v>
      </c>
      <c r="G1981" t="s">
        <v>10</v>
      </c>
      <c r="H1981">
        <v>3148.0</v>
      </c>
      <c r="I1981" t="s">
        <v>31</v>
      </c>
      <c r="J1981" t="s">
        <v>89</v>
      </c>
      <c r="K1981" t="s">
        <v>66</v>
      </c>
      <c r="L1981" t="s">
        <v>67</v>
      </c>
      <c r="M1981">
        <v>125.13</v>
      </c>
    </row>
    <row r="1982">
      <c r="A1982" s="2">
        <v>46000</v>
      </c>
      <c r="B1982">
        <v>2026.0</v>
      </c>
      <c r="C1982" t="s">
        <v>321</v>
      </c>
      <c r="D1982" t="s">
        <v>316</v>
      </c>
      <c r="E1982" t="s">
        <v>193</v>
      </c>
      <c r="F1982" t="s">
        <v>304</v>
      </c>
      <c r="G1982" t="s">
        <v>9</v>
      </c>
      <c r="H1982">
        <v>2020.0</v>
      </c>
      <c r="I1982" t="s">
        <v>31</v>
      </c>
      <c r="J1982" t="s">
        <v>99</v>
      </c>
      <c r="K1982" t="s">
        <v>112</v>
      </c>
      <c r="L1982" t="s">
        <v>113</v>
      </c>
      <c r="M1982">
        <v>125.28</v>
      </c>
    </row>
    <row r="1983">
      <c r="A1983" s="2">
        <v>45876</v>
      </c>
      <c r="B1983">
        <v>2026.0</v>
      </c>
      <c r="C1983" t="s">
        <v>321</v>
      </c>
      <c r="D1983" t="s">
        <v>316</v>
      </c>
      <c r="E1983" t="s">
        <v>129</v>
      </c>
      <c r="F1983" t="s">
        <v>305</v>
      </c>
      <c r="G1983" t="s">
        <v>10</v>
      </c>
      <c r="H1983">
        <v>3066.0</v>
      </c>
      <c r="I1983" t="s">
        <v>31</v>
      </c>
      <c r="J1983" t="s">
        <v>120</v>
      </c>
      <c r="K1983" t="s">
        <v>123</v>
      </c>
      <c r="L1983" t="s">
        <v>124</v>
      </c>
      <c r="M1983">
        <v>126.35</v>
      </c>
    </row>
    <row r="1984">
      <c r="A1984" s="2">
        <v>45656</v>
      </c>
      <c r="B1984">
        <v>2025.0</v>
      </c>
      <c r="C1984" t="s">
        <v>315</v>
      </c>
      <c r="D1984" t="s">
        <v>316</v>
      </c>
      <c r="E1984" t="s">
        <v>73</v>
      </c>
      <c r="F1984" t="s">
        <v>304</v>
      </c>
      <c r="G1984" t="s">
        <v>9</v>
      </c>
      <c r="H1984">
        <v>2750.0</v>
      </c>
      <c r="I1984" t="s">
        <v>31</v>
      </c>
      <c r="J1984" t="s">
        <v>75</v>
      </c>
      <c r="K1984" t="s">
        <v>123</v>
      </c>
      <c r="L1984" t="s">
        <v>124</v>
      </c>
      <c r="M1984">
        <v>126.67</v>
      </c>
    </row>
    <row r="1985">
      <c r="A1985" s="2">
        <v>45890</v>
      </c>
      <c r="B1985">
        <v>2026.0</v>
      </c>
      <c r="C1985" t="s">
        <v>321</v>
      </c>
      <c r="D1985" t="s">
        <v>316</v>
      </c>
      <c r="E1985" t="s">
        <v>59</v>
      </c>
      <c r="F1985" t="s">
        <v>306</v>
      </c>
      <c r="G1985" t="s">
        <v>11</v>
      </c>
      <c r="H1985">
        <v>4509.0</v>
      </c>
      <c r="I1985" t="s">
        <v>31</v>
      </c>
      <c r="J1985" t="s">
        <v>61</v>
      </c>
      <c r="K1985" t="s">
        <v>38</v>
      </c>
      <c r="L1985" t="s">
        <v>39</v>
      </c>
      <c r="M1985">
        <v>127.25</v>
      </c>
    </row>
    <row r="1986">
      <c r="A1986" s="2">
        <v>45308</v>
      </c>
      <c r="B1986">
        <v>2024.0</v>
      </c>
      <c r="C1986" t="s">
        <v>318</v>
      </c>
      <c r="D1986" t="s">
        <v>316</v>
      </c>
      <c r="E1986" t="s">
        <v>100</v>
      </c>
      <c r="F1986" t="s">
        <v>307</v>
      </c>
      <c r="G1986" t="s">
        <v>12</v>
      </c>
      <c r="H1986">
        <v>6010.0</v>
      </c>
      <c r="I1986" t="s">
        <v>31</v>
      </c>
      <c r="J1986" t="s">
        <v>102</v>
      </c>
      <c r="K1986" t="s">
        <v>95</v>
      </c>
      <c r="L1986" t="s">
        <v>96</v>
      </c>
      <c r="M1986">
        <v>127.28</v>
      </c>
    </row>
    <row r="1987">
      <c r="A1987" s="2">
        <v>45347</v>
      </c>
      <c r="B1987">
        <v>2024.0</v>
      </c>
      <c r="C1987" t="s">
        <v>318</v>
      </c>
      <c r="D1987" t="s">
        <v>319</v>
      </c>
      <c r="E1987" t="s">
        <v>197</v>
      </c>
      <c r="F1987" t="s">
        <v>304</v>
      </c>
      <c r="G1987" t="s">
        <v>9</v>
      </c>
      <c r="H1987">
        <v>2560.0</v>
      </c>
      <c r="I1987" t="s">
        <v>31</v>
      </c>
      <c r="J1987" t="s">
        <v>107</v>
      </c>
      <c r="K1987" t="s">
        <v>66</v>
      </c>
      <c r="L1987" t="s">
        <v>67</v>
      </c>
      <c r="M1987">
        <v>127.72999999999999</v>
      </c>
    </row>
    <row r="1988">
      <c r="A1988" s="2">
        <v>45730</v>
      </c>
      <c r="B1988">
        <v>2025.0</v>
      </c>
      <c r="C1988" t="s">
        <v>315</v>
      </c>
      <c r="D1988" t="s">
        <v>319</v>
      </c>
      <c r="E1988" t="s">
        <v>197</v>
      </c>
      <c r="F1988" t="s">
        <v>304</v>
      </c>
      <c r="G1988" t="s">
        <v>9</v>
      </c>
      <c r="H1988">
        <v>2560.0</v>
      </c>
      <c r="I1988" t="s">
        <v>31</v>
      </c>
      <c r="J1988" t="s">
        <v>107</v>
      </c>
      <c r="K1988" t="s">
        <v>95</v>
      </c>
      <c r="L1988" t="s">
        <v>96</v>
      </c>
      <c r="M1988">
        <v>127.82</v>
      </c>
    </row>
    <row r="1989">
      <c r="A1989" s="2">
        <v>45710</v>
      </c>
      <c r="B1989">
        <v>2025.0</v>
      </c>
      <c r="C1989" t="s">
        <v>315</v>
      </c>
      <c r="D1989" t="s">
        <v>316</v>
      </c>
      <c r="E1989" t="s">
        <v>29</v>
      </c>
      <c r="F1989" t="s">
        <v>306</v>
      </c>
      <c r="G1989" t="s">
        <v>11</v>
      </c>
      <c r="H1989">
        <v>4703.0</v>
      </c>
      <c r="I1989" t="s">
        <v>31</v>
      </c>
      <c r="J1989" t="s">
        <v>32</v>
      </c>
      <c r="K1989" t="s">
        <v>71</v>
      </c>
      <c r="L1989" t="s">
        <v>72</v>
      </c>
      <c r="M1989">
        <v>127.86999999999999</v>
      </c>
    </row>
    <row r="1990">
      <c r="A1990" s="2">
        <v>45963</v>
      </c>
      <c r="B1990">
        <v>2026.0</v>
      </c>
      <c r="C1990" t="s">
        <v>321</v>
      </c>
      <c r="D1990" t="s">
        <v>316</v>
      </c>
      <c r="E1990" t="s">
        <v>114</v>
      </c>
      <c r="F1990" t="s">
        <v>304</v>
      </c>
      <c r="G1990" t="s">
        <v>9</v>
      </c>
      <c r="H1990">
        <v>2031.0</v>
      </c>
      <c r="I1990" t="s">
        <v>31</v>
      </c>
      <c r="J1990" t="s">
        <v>99</v>
      </c>
      <c r="K1990" t="s">
        <v>57</v>
      </c>
      <c r="L1990" t="s">
        <v>58</v>
      </c>
      <c r="M1990">
        <v>128.09</v>
      </c>
    </row>
    <row r="1991">
      <c r="A1991" s="2">
        <v>45987</v>
      </c>
      <c r="B1991">
        <v>2026.0</v>
      </c>
      <c r="C1991" t="s">
        <v>321</v>
      </c>
      <c r="D1991" t="s">
        <v>316</v>
      </c>
      <c r="E1991" t="s">
        <v>258</v>
      </c>
      <c r="F1991" t="s">
        <v>309</v>
      </c>
      <c r="G1991" t="s">
        <v>14</v>
      </c>
      <c r="H1991">
        <v>870.0</v>
      </c>
      <c r="I1991" t="s">
        <v>31</v>
      </c>
      <c r="J1991" t="s">
        <v>145</v>
      </c>
      <c r="K1991" t="s">
        <v>123</v>
      </c>
      <c r="L1991" t="s">
        <v>124</v>
      </c>
      <c r="M1991">
        <v>128.81</v>
      </c>
    </row>
    <row r="1992">
      <c r="A1992" s="2">
        <v>45583</v>
      </c>
      <c r="B1992">
        <v>2025.0</v>
      </c>
      <c r="C1992" t="s">
        <v>315</v>
      </c>
      <c r="D1992" t="s">
        <v>316</v>
      </c>
      <c r="E1992" t="s">
        <v>193</v>
      </c>
      <c r="F1992" t="s">
        <v>304</v>
      </c>
      <c r="G1992" t="s">
        <v>9</v>
      </c>
      <c r="H1992">
        <v>2020.0</v>
      </c>
      <c r="I1992" t="s">
        <v>31</v>
      </c>
      <c r="J1992" t="s">
        <v>99</v>
      </c>
      <c r="K1992" t="s">
        <v>57</v>
      </c>
      <c r="L1992" t="s">
        <v>58</v>
      </c>
      <c r="M1992">
        <v>128.94</v>
      </c>
    </row>
    <row r="1993">
      <c r="A1993" s="2">
        <v>45755</v>
      </c>
      <c r="B1993">
        <v>2025.0</v>
      </c>
      <c r="C1993" t="s">
        <v>315</v>
      </c>
      <c r="D1993" t="s">
        <v>316</v>
      </c>
      <c r="E1993" t="s">
        <v>183</v>
      </c>
      <c r="F1993" t="s">
        <v>304</v>
      </c>
      <c r="G1993" t="s">
        <v>9</v>
      </c>
      <c r="H1993">
        <v>2480.0</v>
      </c>
      <c r="I1993" t="s">
        <v>31</v>
      </c>
      <c r="J1993" t="s">
        <v>70</v>
      </c>
      <c r="K1993" t="s">
        <v>33</v>
      </c>
      <c r="L1993" t="s">
        <v>34</v>
      </c>
      <c r="M1993">
        <v>129.06</v>
      </c>
    </row>
    <row r="1994">
      <c r="A1994" s="2">
        <v>45523</v>
      </c>
      <c r="B1994">
        <v>2025.0</v>
      </c>
      <c r="C1994" t="s">
        <v>315</v>
      </c>
      <c r="D1994" t="s">
        <v>316</v>
      </c>
      <c r="E1994" t="s">
        <v>137</v>
      </c>
      <c r="F1994" t="s">
        <v>305</v>
      </c>
      <c r="G1994" t="s">
        <v>10</v>
      </c>
      <c r="H1994">
        <v>3134.0</v>
      </c>
      <c r="I1994" t="s">
        <v>31</v>
      </c>
      <c r="J1994" t="s">
        <v>89</v>
      </c>
      <c r="K1994" t="s">
        <v>123</v>
      </c>
      <c r="L1994" t="s">
        <v>124</v>
      </c>
      <c r="M1994">
        <v>129.56</v>
      </c>
    </row>
    <row r="1995">
      <c r="A1995" s="2">
        <v>45949</v>
      </c>
      <c r="B1995">
        <v>2026.0</v>
      </c>
      <c r="C1995" t="s">
        <v>321</v>
      </c>
      <c r="D1995" t="s">
        <v>316</v>
      </c>
      <c r="E1995" t="s">
        <v>165</v>
      </c>
      <c r="F1995" t="s">
        <v>304</v>
      </c>
      <c r="G1995" t="s">
        <v>9</v>
      </c>
      <c r="H1995">
        <v>2064.0</v>
      </c>
      <c r="I1995" t="s">
        <v>31</v>
      </c>
      <c r="J1995" t="s">
        <v>99</v>
      </c>
      <c r="K1995" t="s">
        <v>33</v>
      </c>
      <c r="L1995" t="s">
        <v>34</v>
      </c>
      <c r="M1995">
        <v>129.68</v>
      </c>
    </row>
    <row r="1996">
      <c r="A1996" s="2">
        <v>45304</v>
      </c>
      <c r="B1996">
        <v>2024.0</v>
      </c>
      <c r="C1996" t="s">
        <v>318</v>
      </c>
      <c r="D1996" t="s">
        <v>319</v>
      </c>
      <c r="E1996" t="s">
        <v>68</v>
      </c>
      <c r="F1996" t="s">
        <v>304</v>
      </c>
      <c r="G1996" t="s">
        <v>9</v>
      </c>
      <c r="H1996">
        <v>2478.0</v>
      </c>
      <c r="I1996" t="s">
        <v>31</v>
      </c>
      <c r="J1996" t="s">
        <v>70</v>
      </c>
      <c r="K1996" t="s">
        <v>112</v>
      </c>
      <c r="L1996" t="s">
        <v>113</v>
      </c>
      <c r="M1996">
        <v>129.74</v>
      </c>
    </row>
    <row r="1997">
      <c r="A1997" s="2">
        <v>45830</v>
      </c>
      <c r="B1997">
        <v>2025.0</v>
      </c>
      <c r="C1997" t="s">
        <v>315</v>
      </c>
      <c r="D1997" t="s">
        <v>316</v>
      </c>
      <c r="E1997" t="s">
        <v>219</v>
      </c>
      <c r="F1997" t="s">
        <v>306</v>
      </c>
      <c r="G1997" t="s">
        <v>11</v>
      </c>
      <c r="H1997">
        <v>4068.0</v>
      </c>
      <c r="I1997" t="s">
        <v>31</v>
      </c>
      <c r="J1997" t="s">
        <v>56</v>
      </c>
      <c r="K1997" t="s">
        <v>43</v>
      </c>
      <c r="L1997" t="s">
        <v>44</v>
      </c>
      <c r="M1997">
        <v>129.82</v>
      </c>
    </row>
    <row r="1998">
      <c r="A1998" s="2">
        <v>45514</v>
      </c>
      <c r="B1998">
        <v>2025.0</v>
      </c>
      <c r="C1998" t="s">
        <v>315</v>
      </c>
      <c r="D1998" t="s">
        <v>319</v>
      </c>
      <c r="E1998" t="s">
        <v>82</v>
      </c>
      <c r="F1998" t="s">
        <v>306</v>
      </c>
      <c r="G1998" t="s">
        <v>11</v>
      </c>
      <c r="H1998">
        <v>4558.0</v>
      </c>
      <c r="I1998" t="s">
        <v>31</v>
      </c>
      <c r="J1998" t="s">
        <v>84</v>
      </c>
      <c r="K1998" t="s">
        <v>43</v>
      </c>
      <c r="L1998" t="s">
        <v>44</v>
      </c>
      <c r="M1998">
        <v>129.87</v>
      </c>
    </row>
    <row r="1999">
      <c r="A1999" s="2">
        <v>45983</v>
      </c>
      <c r="B1999">
        <v>2026.0</v>
      </c>
      <c r="C1999" t="s">
        <v>321</v>
      </c>
      <c r="D1999" t="s">
        <v>319</v>
      </c>
      <c r="E1999" t="s">
        <v>207</v>
      </c>
      <c r="F1999" t="s">
        <v>306</v>
      </c>
      <c r="G1999" t="s">
        <v>11</v>
      </c>
      <c r="H1999">
        <v>4825.0</v>
      </c>
      <c r="I1999" t="s">
        <v>31</v>
      </c>
      <c r="J1999" t="s">
        <v>78</v>
      </c>
      <c r="K1999" t="s">
        <v>43</v>
      </c>
      <c r="L1999" t="s">
        <v>44</v>
      </c>
      <c r="M1999">
        <v>129.9</v>
      </c>
    </row>
    <row r="2000">
      <c r="A2000" s="2">
        <v>45996</v>
      </c>
      <c r="B2000">
        <v>2026.0</v>
      </c>
      <c r="C2000" t="s">
        <v>321</v>
      </c>
      <c r="D2000" t="s">
        <v>319</v>
      </c>
      <c r="E2000" t="s">
        <v>141</v>
      </c>
      <c r="F2000" t="s">
        <v>304</v>
      </c>
      <c r="G2000" t="s">
        <v>9</v>
      </c>
      <c r="H2000">
        <v>2539.0</v>
      </c>
      <c r="I2000" t="s">
        <v>31</v>
      </c>
      <c r="J2000" t="s">
        <v>107</v>
      </c>
      <c r="K2000" t="s">
        <v>46</v>
      </c>
      <c r="L2000" t="s">
        <v>47</v>
      </c>
      <c r="M2000">
        <v>129.91</v>
      </c>
    </row>
    <row r="2001">
      <c r="A2001" s="2">
        <v>45467</v>
      </c>
      <c r="B2001">
        <v>2024.0</v>
      </c>
      <c r="C2001" t="s">
        <v>318</v>
      </c>
      <c r="D2001" t="s">
        <v>316</v>
      </c>
      <c r="E2001" t="s">
        <v>256</v>
      </c>
      <c r="F2001" t="s">
        <v>304</v>
      </c>
      <c r="G2001" t="s">
        <v>9</v>
      </c>
      <c r="H2001">
        <v>2350.0</v>
      </c>
      <c r="I2001" t="s">
        <v>31</v>
      </c>
      <c r="J2001" t="s">
        <v>70</v>
      </c>
      <c r="K2001" t="s">
        <v>43</v>
      </c>
      <c r="L2001" t="s">
        <v>44</v>
      </c>
      <c r="M2001">
        <v>130.26</v>
      </c>
    </row>
    <row r="2002">
      <c r="A2002" s="2">
        <v>45917</v>
      </c>
      <c r="B2002">
        <v>2026.0</v>
      </c>
      <c r="C2002" t="s">
        <v>321</v>
      </c>
      <c r="D2002" t="s">
        <v>316</v>
      </c>
      <c r="E2002" t="s">
        <v>143</v>
      </c>
      <c r="F2002" t="s">
        <v>309</v>
      </c>
      <c r="G2002" t="s">
        <v>14</v>
      </c>
      <c r="H2002">
        <v>800.0</v>
      </c>
      <c r="I2002" t="s">
        <v>31</v>
      </c>
      <c r="J2002" t="s">
        <v>145</v>
      </c>
      <c r="K2002" t="s">
        <v>57</v>
      </c>
      <c r="L2002" t="s">
        <v>58</v>
      </c>
      <c r="M2002">
        <v>130.86</v>
      </c>
    </row>
    <row r="2003">
      <c r="A2003" s="2">
        <v>45912</v>
      </c>
      <c r="B2003">
        <v>2026.0</v>
      </c>
      <c r="C2003" t="s">
        <v>321</v>
      </c>
      <c r="D2003" t="s">
        <v>316</v>
      </c>
      <c r="E2003" t="s">
        <v>248</v>
      </c>
      <c r="F2003" t="s">
        <v>307</v>
      </c>
      <c r="G2003" t="s">
        <v>12</v>
      </c>
      <c r="H2003">
        <v>6112.0</v>
      </c>
      <c r="I2003" t="s">
        <v>31</v>
      </c>
      <c r="J2003" t="s">
        <v>162</v>
      </c>
      <c r="K2003" t="s">
        <v>43</v>
      </c>
      <c r="L2003" t="s">
        <v>44</v>
      </c>
      <c r="M2003">
        <v>130.93</v>
      </c>
    </row>
    <row r="2004">
      <c r="A2004" s="2">
        <v>45740</v>
      </c>
      <c r="B2004">
        <v>2025.0</v>
      </c>
      <c r="C2004" t="s">
        <v>315</v>
      </c>
      <c r="D2004" t="s">
        <v>316</v>
      </c>
      <c r="E2004" t="s">
        <v>232</v>
      </c>
      <c r="F2004" t="s">
        <v>304</v>
      </c>
      <c r="G2004" t="s">
        <v>9</v>
      </c>
      <c r="H2004">
        <v>2800.0</v>
      </c>
      <c r="I2004" t="s">
        <v>31</v>
      </c>
      <c r="J2004" t="s">
        <v>75</v>
      </c>
      <c r="K2004" t="s">
        <v>38</v>
      </c>
      <c r="L2004" t="s">
        <v>39</v>
      </c>
      <c r="M2004">
        <v>130.99</v>
      </c>
    </row>
    <row r="2005">
      <c r="A2005" s="2">
        <v>45445</v>
      </c>
      <c r="B2005">
        <v>2024.0</v>
      </c>
      <c r="C2005" t="s">
        <v>318</v>
      </c>
      <c r="D2005" t="s">
        <v>316</v>
      </c>
      <c r="E2005" t="s">
        <v>129</v>
      </c>
      <c r="F2005" t="s">
        <v>305</v>
      </c>
      <c r="G2005" t="s">
        <v>10</v>
      </c>
      <c r="H2005">
        <v>3066.0</v>
      </c>
      <c r="I2005" t="s">
        <v>31</v>
      </c>
      <c r="J2005" t="s">
        <v>120</v>
      </c>
      <c r="K2005" t="s">
        <v>43</v>
      </c>
      <c r="L2005" t="s">
        <v>44</v>
      </c>
      <c r="M2005">
        <v>131.18</v>
      </c>
    </row>
    <row r="2006">
      <c r="A2006" s="2">
        <v>45908</v>
      </c>
      <c r="B2006">
        <v>2026.0</v>
      </c>
      <c r="C2006" t="s">
        <v>321</v>
      </c>
      <c r="D2006" t="s">
        <v>316</v>
      </c>
      <c r="E2006" t="s">
        <v>143</v>
      </c>
      <c r="F2006" t="s">
        <v>309</v>
      </c>
      <c r="G2006" t="s">
        <v>14</v>
      </c>
      <c r="H2006">
        <v>800.0</v>
      </c>
      <c r="I2006" t="s">
        <v>31</v>
      </c>
      <c r="J2006" t="s">
        <v>145</v>
      </c>
      <c r="K2006" t="s">
        <v>71</v>
      </c>
      <c r="L2006" t="s">
        <v>72</v>
      </c>
      <c r="M2006">
        <v>131.26999999999998</v>
      </c>
    </row>
    <row r="2007">
      <c r="A2007" s="2">
        <v>45838</v>
      </c>
      <c r="B2007">
        <v>2025.0</v>
      </c>
      <c r="C2007" t="s">
        <v>315</v>
      </c>
      <c r="D2007" t="s">
        <v>316</v>
      </c>
      <c r="E2007" t="s">
        <v>143</v>
      </c>
      <c r="F2007" t="s">
        <v>309</v>
      </c>
      <c r="G2007" t="s">
        <v>14</v>
      </c>
      <c r="H2007">
        <v>800.0</v>
      </c>
      <c r="I2007" t="s">
        <v>31</v>
      </c>
      <c r="J2007" t="s">
        <v>145</v>
      </c>
      <c r="K2007" t="s">
        <v>33</v>
      </c>
      <c r="L2007" t="s">
        <v>34</v>
      </c>
      <c r="M2007">
        <v>131.47</v>
      </c>
    </row>
    <row r="2008">
      <c r="A2008" s="2">
        <v>45457</v>
      </c>
      <c r="B2008">
        <v>2024.0</v>
      </c>
      <c r="C2008" t="s">
        <v>318</v>
      </c>
      <c r="D2008" t="s">
        <v>316</v>
      </c>
      <c r="E2008" t="s">
        <v>160</v>
      </c>
      <c r="F2008" t="s">
        <v>307</v>
      </c>
      <c r="G2008" t="s">
        <v>12</v>
      </c>
      <c r="H2008">
        <v>6280.0</v>
      </c>
      <c r="I2008" t="s">
        <v>31</v>
      </c>
      <c r="J2008" t="s">
        <v>162</v>
      </c>
      <c r="K2008" t="s">
        <v>112</v>
      </c>
      <c r="L2008" t="s">
        <v>113</v>
      </c>
      <c r="M2008">
        <v>131.78</v>
      </c>
    </row>
    <row r="2009">
      <c r="A2009" s="2">
        <v>45643</v>
      </c>
      <c r="B2009">
        <v>2025.0</v>
      </c>
      <c r="C2009" t="s">
        <v>315</v>
      </c>
      <c r="D2009" t="s">
        <v>316</v>
      </c>
      <c r="E2009" t="s">
        <v>252</v>
      </c>
      <c r="F2009" t="s">
        <v>305</v>
      </c>
      <c r="G2009" t="s">
        <v>10</v>
      </c>
      <c r="H2009">
        <v>3630.0</v>
      </c>
      <c r="I2009" t="s">
        <v>31</v>
      </c>
      <c r="J2009" t="s">
        <v>94</v>
      </c>
      <c r="K2009" t="s">
        <v>112</v>
      </c>
      <c r="L2009" t="s">
        <v>113</v>
      </c>
      <c r="M2009">
        <v>131.82999999999998</v>
      </c>
    </row>
    <row r="2010">
      <c r="A2010" s="2">
        <v>45477</v>
      </c>
      <c r="B2010">
        <v>2025.0</v>
      </c>
      <c r="C2010" t="s">
        <v>315</v>
      </c>
      <c r="D2010" t="s">
        <v>319</v>
      </c>
      <c r="E2010" t="s">
        <v>146</v>
      </c>
      <c r="F2010" t="s">
        <v>304</v>
      </c>
      <c r="G2010" t="s">
        <v>9</v>
      </c>
      <c r="H2010">
        <v>2790.0</v>
      </c>
      <c r="I2010" t="s">
        <v>31</v>
      </c>
      <c r="J2010" t="s">
        <v>75</v>
      </c>
      <c r="K2010" t="s">
        <v>57</v>
      </c>
      <c r="L2010" t="s">
        <v>58</v>
      </c>
      <c r="M2010">
        <v>131.9</v>
      </c>
    </row>
    <row r="2011">
      <c r="A2011" s="2">
        <v>45818</v>
      </c>
      <c r="B2011">
        <v>2025.0</v>
      </c>
      <c r="C2011" t="s">
        <v>315</v>
      </c>
      <c r="D2011" t="s">
        <v>319</v>
      </c>
      <c r="E2011" t="s">
        <v>110</v>
      </c>
      <c r="F2011" t="s">
        <v>304</v>
      </c>
      <c r="G2011" t="s">
        <v>9</v>
      </c>
      <c r="H2011">
        <v>2101.0</v>
      </c>
      <c r="I2011" t="s">
        <v>31</v>
      </c>
      <c r="J2011" t="s">
        <v>81</v>
      </c>
      <c r="K2011" t="s">
        <v>66</v>
      </c>
      <c r="L2011" t="s">
        <v>67</v>
      </c>
      <c r="M2011">
        <v>131.98</v>
      </c>
    </row>
    <row r="2012">
      <c r="A2012" s="2">
        <v>45662</v>
      </c>
      <c r="B2012">
        <v>2025.0</v>
      </c>
      <c r="C2012" t="s">
        <v>315</v>
      </c>
      <c r="D2012" t="s">
        <v>316</v>
      </c>
      <c r="E2012" t="s">
        <v>262</v>
      </c>
      <c r="F2012" t="s">
        <v>305</v>
      </c>
      <c r="G2012" t="s">
        <v>10</v>
      </c>
      <c r="H2012">
        <v>3018.0</v>
      </c>
      <c r="I2012" t="s">
        <v>31</v>
      </c>
      <c r="J2012" t="s">
        <v>120</v>
      </c>
      <c r="K2012" t="s">
        <v>33</v>
      </c>
      <c r="L2012" t="s">
        <v>34</v>
      </c>
      <c r="M2012">
        <v>132.66</v>
      </c>
    </row>
    <row r="2013">
      <c r="A2013" s="2">
        <v>45766</v>
      </c>
      <c r="B2013">
        <v>2025.0</v>
      </c>
      <c r="C2013" t="s">
        <v>315</v>
      </c>
      <c r="D2013" t="s">
        <v>316</v>
      </c>
      <c r="E2013" t="s">
        <v>252</v>
      </c>
      <c r="F2013" t="s">
        <v>305</v>
      </c>
      <c r="G2013" t="s">
        <v>10</v>
      </c>
      <c r="H2013">
        <v>3630.0</v>
      </c>
      <c r="I2013" t="s">
        <v>31</v>
      </c>
      <c r="J2013" t="s">
        <v>94</v>
      </c>
      <c r="K2013" t="s">
        <v>95</v>
      </c>
      <c r="L2013" t="s">
        <v>96</v>
      </c>
      <c r="M2013">
        <v>132.75</v>
      </c>
    </row>
    <row r="2014">
      <c r="A2014" s="2">
        <v>45590</v>
      </c>
      <c r="B2014">
        <v>2025.0</v>
      </c>
      <c r="C2014" t="s">
        <v>315</v>
      </c>
      <c r="D2014" t="s">
        <v>319</v>
      </c>
      <c r="E2014" t="s">
        <v>103</v>
      </c>
      <c r="F2014" t="s">
        <v>307</v>
      </c>
      <c r="G2014" t="s">
        <v>12</v>
      </c>
      <c r="H2014">
        <v>6021.0</v>
      </c>
      <c r="I2014" t="s">
        <v>31</v>
      </c>
      <c r="J2014" t="s">
        <v>102</v>
      </c>
      <c r="K2014" t="s">
        <v>112</v>
      </c>
      <c r="L2014" t="s">
        <v>113</v>
      </c>
      <c r="M2014">
        <v>133.67000000000002</v>
      </c>
    </row>
    <row r="2015">
      <c r="A2015" s="2">
        <v>45676</v>
      </c>
      <c r="B2015">
        <v>2025.0</v>
      </c>
      <c r="C2015" t="s">
        <v>315</v>
      </c>
      <c r="D2015" t="s">
        <v>316</v>
      </c>
      <c r="E2015" t="s">
        <v>244</v>
      </c>
      <c r="F2015" t="s">
        <v>308</v>
      </c>
      <c r="G2015" t="s">
        <v>13</v>
      </c>
      <c r="H2015">
        <v>5168.0</v>
      </c>
      <c r="I2015" t="s">
        <v>31</v>
      </c>
      <c r="J2015" t="s">
        <v>42</v>
      </c>
      <c r="K2015" t="s">
        <v>123</v>
      </c>
      <c r="L2015" t="s">
        <v>124</v>
      </c>
      <c r="M2015">
        <v>133.76999999999998</v>
      </c>
    </row>
    <row r="2016">
      <c r="A2016" s="2">
        <v>45678</v>
      </c>
      <c r="B2016">
        <v>2025.0</v>
      </c>
      <c r="C2016" t="s">
        <v>315</v>
      </c>
      <c r="D2016" t="s">
        <v>316</v>
      </c>
      <c r="E2016" t="s">
        <v>234</v>
      </c>
      <c r="F2016" t="s">
        <v>304</v>
      </c>
      <c r="G2016" t="s">
        <v>9</v>
      </c>
      <c r="H2016">
        <v>2158.0</v>
      </c>
      <c r="I2016" t="s">
        <v>31</v>
      </c>
      <c r="J2016" t="s">
        <v>81</v>
      </c>
      <c r="K2016" t="s">
        <v>112</v>
      </c>
      <c r="L2016" t="s">
        <v>113</v>
      </c>
      <c r="M2016">
        <v>133.77</v>
      </c>
    </row>
    <row r="2017">
      <c r="A2017" s="2">
        <v>45541</v>
      </c>
      <c r="B2017">
        <v>2025.0</v>
      </c>
      <c r="C2017" t="s">
        <v>315</v>
      </c>
      <c r="D2017" t="s">
        <v>319</v>
      </c>
      <c r="E2017" t="s">
        <v>146</v>
      </c>
      <c r="F2017" t="s">
        <v>304</v>
      </c>
      <c r="G2017" t="s">
        <v>9</v>
      </c>
      <c r="H2017">
        <v>2790.0</v>
      </c>
      <c r="I2017" t="s">
        <v>31</v>
      </c>
      <c r="J2017" t="s">
        <v>75</v>
      </c>
      <c r="K2017" t="s">
        <v>95</v>
      </c>
      <c r="L2017" t="s">
        <v>96</v>
      </c>
      <c r="M2017">
        <v>133.82</v>
      </c>
    </row>
    <row r="2018">
      <c r="A2018" s="2">
        <v>45352</v>
      </c>
      <c r="B2018">
        <v>2024.0</v>
      </c>
      <c r="C2018" t="s">
        <v>318</v>
      </c>
      <c r="D2018" t="s">
        <v>319</v>
      </c>
      <c r="E2018" t="s">
        <v>197</v>
      </c>
      <c r="F2018" t="s">
        <v>304</v>
      </c>
      <c r="G2018" t="s">
        <v>9</v>
      </c>
      <c r="H2018">
        <v>2560.0</v>
      </c>
      <c r="I2018" t="s">
        <v>31</v>
      </c>
      <c r="J2018" t="s">
        <v>107</v>
      </c>
      <c r="K2018" t="s">
        <v>112</v>
      </c>
      <c r="L2018" t="s">
        <v>113</v>
      </c>
      <c r="M2018">
        <v>134.18</v>
      </c>
    </row>
    <row r="2019">
      <c r="A2019" s="2">
        <v>46011</v>
      </c>
      <c r="B2019">
        <v>2026.0</v>
      </c>
      <c r="C2019" t="s">
        <v>321</v>
      </c>
      <c r="D2019" t="s">
        <v>316</v>
      </c>
      <c r="E2019" t="s">
        <v>137</v>
      </c>
      <c r="F2019" t="s">
        <v>305</v>
      </c>
      <c r="G2019" t="s">
        <v>10</v>
      </c>
      <c r="H2019">
        <v>3134.0</v>
      </c>
      <c r="I2019" t="s">
        <v>31</v>
      </c>
      <c r="J2019" t="s">
        <v>89</v>
      </c>
      <c r="K2019" t="s">
        <v>95</v>
      </c>
      <c r="L2019" t="s">
        <v>96</v>
      </c>
      <c r="M2019">
        <v>134.73</v>
      </c>
    </row>
    <row r="2020">
      <c r="A2020" s="2">
        <v>45523</v>
      </c>
      <c r="B2020">
        <v>2025.0</v>
      </c>
      <c r="C2020" t="s">
        <v>315</v>
      </c>
      <c r="D2020" t="s">
        <v>319</v>
      </c>
      <c r="E2020" t="s">
        <v>146</v>
      </c>
      <c r="F2020" t="s">
        <v>304</v>
      </c>
      <c r="G2020" t="s">
        <v>9</v>
      </c>
      <c r="H2020">
        <v>2790.0</v>
      </c>
      <c r="I2020" t="s">
        <v>31</v>
      </c>
      <c r="J2020" t="s">
        <v>75</v>
      </c>
      <c r="K2020" t="s">
        <v>43</v>
      </c>
      <c r="L2020" t="s">
        <v>44</v>
      </c>
      <c r="M2020">
        <v>134.9</v>
      </c>
    </row>
    <row r="2021">
      <c r="A2021" s="2">
        <v>45455</v>
      </c>
      <c r="B2021">
        <v>2024.0</v>
      </c>
      <c r="C2021" t="s">
        <v>318</v>
      </c>
      <c r="D2021" t="s">
        <v>319</v>
      </c>
      <c r="E2021" t="s">
        <v>135</v>
      </c>
      <c r="F2021" t="s">
        <v>311</v>
      </c>
      <c r="G2021" t="s">
        <v>16</v>
      </c>
      <c r="H2021">
        <v>2609.0</v>
      </c>
      <c r="I2021" t="s">
        <v>31</v>
      </c>
      <c r="J2021" t="s">
        <v>107</v>
      </c>
      <c r="K2021" t="s">
        <v>57</v>
      </c>
      <c r="L2021" t="s">
        <v>58</v>
      </c>
      <c r="M2021">
        <v>134.91</v>
      </c>
    </row>
    <row r="2022">
      <c r="A2022" s="2">
        <v>45702</v>
      </c>
      <c r="B2022">
        <v>2025.0</v>
      </c>
      <c r="C2022" t="s">
        <v>315</v>
      </c>
      <c r="D2022" t="s">
        <v>316</v>
      </c>
      <c r="E2022" t="s">
        <v>240</v>
      </c>
      <c r="F2022" t="s">
        <v>310</v>
      </c>
      <c r="G2022" t="s">
        <v>15</v>
      </c>
      <c r="H2022">
        <v>7010.0</v>
      </c>
      <c r="I2022" t="s">
        <v>31</v>
      </c>
      <c r="J2022" t="s">
        <v>53</v>
      </c>
      <c r="K2022" t="s">
        <v>38</v>
      </c>
      <c r="L2022" t="s">
        <v>39</v>
      </c>
      <c r="M2022">
        <v>135.84</v>
      </c>
    </row>
    <row r="2023">
      <c r="A2023" s="2">
        <v>45428</v>
      </c>
      <c r="B2023">
        <v>2024.0</v>
      </c>
      <c r="C2023" t="s">
        <v>318</v>
      </c>
      <c r="D2023" t="s">
        <v>319</v>
      </c>
      <c r="E2023" t="s">
        <v>79</v>
      </c>
      <c r="F2023" t="s">
        <v>304</v>
      </c>
      <c r="G2023" t="s">
        <v>9</v>
      </c>
      <c r="H2023">
        <v>2141.0</v>
      </c>
      <c r="I2023" t="s">
        <v>31</v>
      </c>
      <c r="J2023" t="s">
        <v>81</v>
      </c>
      <c r="K2023" t="s">
        <v>43</v>
      </c>
      <c r="L2023" t="s">
        <v>44</v>
      </c>
      <c r="M2023">
        <v>135.92000000000002</v>
      </c>
    </row>
    <row r="2024">
      <c r="A2024" s="2">
        <v>45860</v>
      </c>
      <c r="B2024">
        <v>2026.0</v>
      </c>
      <c r="C2024" t="s">
        <v>321</v>
      </c>
      <c r="D2024" t="s">
        <v>319</v>
      </c>
      <c r="E2024" t="s">
        <v>181</v>
      </c>
      <c r="F2024" t="s">
        <v>306</v>
      </c>
      <c r="G2024" t="s">
        <v>11</v>
      </c>
      <c r="H2024">
        <v>4119.0</v>
      </c>
      <c r="I2024" t="s">
        <v>31</v>
      </c>
      <c r="J2024" t="s">
        <v>56</v>
      </c>
      <c r="K2024" t="s">
        <v>66</v>
      </c>
      <c r="L2024" t="s">
        <v>67</v>
      </c>
      <c r="M2024">
        <v>136.17</v>
      </c>
    </row>
    <row r="2025">
      <c r="A2025" s="2">
        <v>45906</v>
      </c>
      <c r="B2025">
        <v>2026.0</v>
      </c>
      <c r="C2025" t="s">
        <v>321</v>
      </c>
      <c r="D2025" t="s">
        <v>316</v>
      </c>
      <c r="E2025" t="s">
        <v>232</v>
      </c>
      <c r="F2025" t="s">
        <v>304</v>
      </c>
      <c r="G2025" t="s">
        <v>9</v>
      </c>
      <c r="H2025">
        <v>2800.0</v>
      </c>
      <c r="I2025" t="s">
        <v>31</v>
      </c>
      <c r="J2025" t="s">
        <v>75</v>
      </c>
      <c r="K2025" t="s">
        <v>95</v>
      </c>
      <c r="L2025" t="s">
        <v>96</v>
      </c>
      <c r="M2025">
        <v>136.28</v>
      </c>
    </row>
    <row r="2026">
      <c r="A2026" s="2">
        <v>45303</v>
      </c>
      <c r="B2026">
        <v>2024.0</v>
      </c>
      <c r="C2026" t="s">
        <v>318</v>
      </c>
      <c r="D2026" t="s">
        <v>319</v>
      </c>
      <c r="E2026" t="s">
        <v>171</v>
      </c>
      <c r="F2026" t="s">
        <v>305</v>
      </c>
      <c r="G2026" t="s">
        <v>10</v>
      </c>
      <c r="H2026">
        <v>3500.0</v>
      </c>
      <c r="I2026" t="s">
        <v>31</v>
      </c>
      <c r="J2026" t="s">
        <v>37</v>
      </c>
      <c r="K2026" t="s">
        <v>38</v>
      </c>
      <c r="L2026" t="s">
        <v>39</v>
      </c>
      <c r="M2026">
        <v>136.41</v>
      </c>
    </row>
    <row r="2027">
      <c r="A2027" s="2">
        <v>45383</v>
      </c>
      <c r="B2027">
        <v>2024.0</v>
      </c>
      <c r="C2027" t="s">
        <v>318</v>
      </c>
      <c r="D2027" t="s">
        <v>316</v>
      </c>
      <c r="E2027" t="s">
        <v>248</v>
      </c>
      <c r="F2027" t="s">
        <v>307</v>
      </c>
      <c r="G2027" t="s">
        <v>12</v>
      </c>
      <c r="H2027">
        <v>6112.0</v>
      </c>
      <c r="I2027" t="s">
        <v>31</v>
      </c>
      <c r="J2027" t="s">
        <v>162</v>
      </c>
      <c r="K2027" t="s">
        <v>43</v>
      </c>
      <c r="L2027" t="s">
        <v>44</v>
      </c>
      <c r="M2027">
        <v>136.47</v>
      </c>
    </row>
    <row r="2028">
      <c r="A2028" s="2">
        <v>45503</v>
      </c>
      <c r="B2028">
        <v>2025.0</v>
      </c>
      <c r="C2028" t="s">
        <v>315</v>
      </c>
      <c r="D2028" t="s">
        <v>316</v>
      </c>
      <c r="E2028" t="s">
        <v>64</v>
      </c>
      <c r="F2028" t="s">
        <v>306</v>
      </c>
      <c r="G2028" t="s">
        <v>11</v>
      </c>
      <c r="H2028">
        <v>4215.0</v>
      </c>
      <c r="I2028" t="s">
        <v>31</v>
      </c>
      <c r="J2028" t="s">
        <v>61</v>
      </c>
      <c r="K2028" t="s">
        <v>71</v>
      </c>
      <c r="L2028" t="s">
        <v>72</v>
      </c>
      <c r="M2028">
        <v>136.66</v>
      </c>
    </row>
    <row r="2029">
      <c r="A2029" s="2">
        <v>45779</v>
      </c>
      <c r="B2029">
        <v>2025.0</v>
      </c>
      <c r="C2029" t="s">
        <v>315</v>
      </c>
      <c r="D2029" t="s">
        <v>319</v>
      </c>
      <c r="E2029" t="s">
        <v>223</v>
      </c>
      <c r="F2029" t="s">
        <v>305</v>
      </c>
      <c r="G2029" t="s">
        <v>10</v>
      </c>
      <c r="H2029">
        <v>3915.0</v>
      </c>
      <c r="I2029" t="s">
        <v>31</v>
      </c>
      <c r="J2029" t="s">
        <v>94</v>
      </c>
      <c r="K2029" t="s">
        <v>38</v>
      </c>
      <c r="L2029" t="s">
        <v>39</v>
      </c>
      <c r="M2029">
        <v>136.79</v>
      </c>
    </row>
    <row r="2030">
      <c r="A2030" s="2">
        <v>45768</v>
      </c>
      <c r="B2030">
        <v>2025.0</v>
      </c>
      <c r="C2030" t="s">
        <v>315</v>
      </c>
      <c r="D2030" t="s">
        <v>316</v>
      </c>
      <c r="E2030" t="s">
        <v>160</v>
      </c>
      <c r="F2030" t="s">
        <v>307</v>
      </c>
      <c r="G2030" t="s">
        <v>12</v>
      </c>
      <c r="H2030">
        <v>6280.0</v>
      </c>
      <c r="I2030" t="s">
        <v>31</v>
      </c>
      <c r="J2030" t="s">
        <v>162</v>
      </c>
      <c r="K2030" t="s">
        <v>71</v>
      </c>
      <c r="L2030" t="s">
        <v>72</v>
      </c>
      <c r="M2030">
        <v>136.85</v>
      </c>
    </row>
    <row r="2031">
      <c r="A2031" s="2">
        <v>45932</v>
      </c>
      <c r="B2031">
        <v>2026.0</v>
      </c>
      <c r="C2031" t="s">
        <v>321</v>
      </c>
      <c r="D2031" t="s">
        <v>319</v>
      </c>
      <c r="E2031" t="s">
        <v>171</v>
      </c>
      <c r="F2031" t="s">
        <v>305</v>
      </c>
      <c r="G2031" t="s">
        <v>10</v>
      </c>
      <c r="H2031">
        <v>3500.0</v>
      </c>
      <c r="I2031" t="s">
        <v>31</v>
      </c>
      <c r="J2031" t="s">
        <v>37</v>
      </c>
      <c r="K2031" t="s">
        <v>38</v>
      </c>
      <c r="L2031" t="s">
        <v>39</v>
      </c>
      <c r="M2031">
        <v>137.76000000000002</v>
      </c>
    </row>
    <row r="2032">
      <c r="A2032" s="2">
        <v>45349</v>
      </c>
      <c r="B2032">
        <v>2024.0</v>
      </c>
      <c r="C2032" t="s">
        <v>318</v>
      </c>
      <c r="D2032" t="s">
        <v>316</v>
      </c>
      <c r="E2032" t="s">
        <v>137</v>
      </c>
      <c r="F2032" t="s">
        <v>305</v>
      </c>
      <c r="G2032" t="s">
        <v>10</v>
      </c>
      <c r="H2032">
        <v>3134.0</v>
      </c>
      <c r="I2032" t="s">
        <v>31</v>
      </c>
      <c r="J2032" t="s">
        <v>89</v>
      </c>
      <c r="K2032" t="s">
        <v>57</v>
      </c>
      <c r="L2032" t="s">
        <v>58</v>
      </c>
      <c r="M2032">
        <v>137.76999999999998</v>
      </c>
    </row>
    <row r="2033">
      <c r="A2033" s="2">
        <v>45661</v>
      </c>
      <c r="B2033">
        <v>2025.0</v>
      </c>
      <c r="C2033" t="s">
        <v>315</v>
      </c>
      <c r="D2033" t="s">
        <v>319</v>
      </c>
      <c r="E2033" t="s">
        <v>187</v>
      </c>
      <c r="F2033" t="s">
        <v>306</v>
      </c>
      <c r="G2033" t="s">
        <v>11</v>
      </c>
      <c r="H2033">
        <v>4870.0</v>
      </c>
      <c r="I2033" t="s">
        <v>31</v>
      </c>
      <c r="J2033" t="s">
        <v>78</v>
      </c>
      <c r="K2033" t="s">
        <v>57</v>
      </c>
      <c r="L2033" t="s">
        <v>58</v>
      </c>
      <c r="M2033">
        <v>137.81</v>
      </c>
    </row>
    <row r="2034">
      <c r="A2034" s="2">
        <v>45541</v>
      </c>
      <c r="B2034">
        <v>2025.0</v>
      </c>
      <c r="C2034" t="s">
        <v>315</v>
      </c>
      <c r="D2034" t="s">
        <v>316</v>
      </c>
      <c r="E2034" t="s">
        <v>250</v>
      </c>
      <c r="F2034" t="s">
        <v>305</v>
      </c>
      <c r="G2034" t="s">
        <v>10</v>
      </c>
      <c r="H2034">
        <v>3550.0</v>
      </c>
      <c r="I2034" t="s">
        <v>31</v>
      </c>
      <c r="J2034" t="s">
        <v>37</v>
      </c>
      <c r="K2034" t="s">
        <v>66</v>
      </c>
      <c r="L2034" t="s">
        <v>67</v>
      </c>
      <c r="M2034">
        <v>138.13</v>
      </c>
    </row>
    <row r="2035">
      <c r="A2035" s="2">
        <v>45328</v>
      </c>
      <c r="B2035">
        <v>2024.0</v>
      </c>
      <c r="C2035" t="s">
        <v>318</v>
      </c>
      <c r="D2035" t="s">
        <v>316</v>
      </c>
      <c r="E2035" t="s">
        <v>177</v>
      </c>
      <c r="F2035" t="s">
        <v>307</v>
      </c>
      <c r="G2035" t="s">
        <v>12</v>
      </c>
      <c r="H2035">
        <v>6330.0</v>
      </c>
      <c r="I2035" t="s">
        <v>31</v>
      </c>
      <c r="J2035" t="s">
        <v>162</v>
      </c>
      <c r="K2035" t="s">
        <v>95</v>
      </c>
      <c r="L2035" t="s">
        <v>96</v>
      </c>
      <c r="M2035">
        <v>138.26</v>
      </c>
    </row>
    <row r="2036">
      <c r="A2036" s="2">
        <v>45365</v>
      </c>
      <c r="B2036">
        <v>2024.0</v>
      </c>
      <c r="C2036" t="s">
        <v>318</v>
      </c>
      <c r="D2036" t="s">
        <v>319</v>
      </c>
      <c r="E2036" t="s">
        <v>185</v>
      </c>
      <c r="F2036" t="s">
        <v>307</v>
      </c>
      <c r="G2036" t="s">
        <v>12</v>
      </c>
      <c r="H2036">
        <v>6109.0</v>
      </c>
      <c r="I2036" t="s">
        <v>31</v>
      </c>
      <c r="J2036" t="s">
        <v>162</v>
      </c>
      <c r="K2036" t="s">
        <v>43</v>
      </c>
      <c r="L2036" t="s">
        <v>44</v>
      </c>
      <c r="M2036">
        <v>138.38</v>
      </c>
    </row>
    <row r="2037">
      <c r="A2037" s="2">
        <v>45620</v>
      </c>
      <c r="B2037">
        <v>2025.0</v>
      </c>
      <c r="C2037" t="s">
        <v>315</v>
      </c>
      <c r="D2037" t="s">
        <v>319</v>
      </c>
      <c r="E2037" t="s">
        <v>264</v>
      </c>
      <c r="F2037" t="s">
        <v>308</v>
      </c>
      <c r="G2037" t="s">
        <v>13</v>
      </c>
      <c r="H2037">
        <v>5043.0</v>
      </c>
      <c r="I2037" t="s">
        <v>31</v>
      </c>
      <c r="J2037" t="s">
        <v>42</v>
      </c>
      <c r="K2037" t="s">
        <v>38</v>
      </c>
      <c r="L2037" t="s">
        <v>39</v>
      </c>
      <c r="M2037">
        <v>138.86</v>
      </c>
    </row>
    <row r="2038">
      <c r="A2038" s="2">
        <v>45580</v>
      </c>
      <c r="B2038">
        <v>2025.0</v>
      </c>
      <c r="C2038" t="s">
        <v>315</v>
      </c>
      <c r="D2038" t="s">
        <v>319</v>
      </c>
      <c r="E2038" t="s">
        <v>87</v>
      </c>
      <c r="F2038" t="s">
        <v>305</v>
      </c>
      <c r="G2038" t="s">
        <v>10</v>
      </c>
      <c r="H2038">
        <v>3148.0</v>
      </c>
      <c r="I2038" t="s">
        <v>31</v>
      </c>
      <c r="J2038" t="s">
        <v>89</v>
      </c>
      <c r="K2038" t="s">
        <v>71</v>
      </c>
      <c r="L2038" t="s">
        <v>72</v>
      </c>
      <c r="M2038">
        <v>138.99</v>
      </c>
    </row>
    <row r="2039">
      <c r="A2039" s="2">
        <v>45668</v>
      </c>
      <c r="B2039">
        <v>2025.0</v>
      </c>
      <c r="C2039" t="s">
        <v>315</v>
      </c>
      <c r="D2039" t="s">
        <v>319</v>
      </c>
      <c r="E2039" t="s">
        <v>187</v>
      </c>
      <c r="F2039" t="s">
        <v>306</v>
      </c>
      <c r="G2039" t="s">
        <v>11</v>
      </c>
      <c r="H2039">
        <v>4870.0</v>
      </c>
      <c r="I2039" t="s">
        <v>31</v>
      </c>
      <c r="J2039" t="s">
        <v>78</v>
      </c>
      <c r="K2039" t="s">
        <v>71</v>
      </c>
      <c r="L2039" t="s">
        <v>72</v>
      </c>
      <c r="M2039">
        <v>139.01999999999998</v>
      </c>
    </row>
    <row r="2040">
      <c r="A2040" s="2">
        <v>45657</v>
      </c>
      <c r="B2040">
        <v>2025.0</v>
      </c>
      <c r="C2040" t="s">
        <v>315</v>
      </c>
      <c r="D2040" t="s">
        <v>319</v>
      </c>
      <c r="E2040" t="s">
        <v>238</v>
      </c>
      <c r="F2040" t="s">
        <v>308</v>
      </c>
      <c r="G2040" t="s">
        <v>13</v>
      </c>
      <c r="H2040">
        <v>5082.0</v>
      </c>
      <c r="I2040" t="s">
        <v>31</v>
      </c>
      <c r="J2040" t="s">
        <v>42</v>
      </c>
      <c r="K2040" t="s">
        <v>38</v>
      </c>
      <c r="L2040" t="s">
        <v>39</v>
      </c>
      <c r="M2040">
        <v>139.67</v>
      </c>
    </row>
    <row r="2041">
      <c r="A2041" s="2">
        <v>45491</v>
      </c>
      <c r="B2041">
        <v>2025.0</v>
      </c>
      <c r="C2041" t="s">
        <v>315</v>
      </c>
      <c r="D2041" t="s">
        <v>316</v>
      </c>
      <c r="E2041" t="s">
        <v>139</v>
      </c>
      <c r="F2041" t="s">
        <v>305</v>
      </c>
      <c r="G2041" t="s">
        <v>10</v>
      </c>
      <c r="H2041">
        <v>3199.0</v>
      </c>
      <c r="I2041" t="s">
        <v>31</v>
      </c>
      <c r="J2041" t="s">
        <v>89</v>
      </c>
      <c r="K2041" t="s">
        <v>66</v>
      </c>
      <c r="L2041" t="s">
        <v>67</v>
      </c>
      <c r="M2041">
        <v>139.7</v>
      </c>
    </row>
    <row r="2042">
      <c r="A2042" s="2">
        <v>45327</v>
      </c>
      <c r="B2042">
        <v>2024.0</v>
      </c>
      <c r="C2042" t="s">
        <v>318</v>
      </c>
      <c r="D2042" t="s">
        <v>319</v>
      </c>
      <c r="E2042" t="s">
        <v>230</v>
      </c>
      <c r="F2042" t="s">
        <v>308</v>
      </c>
      <c r="G2042" t="s">
        <v>13</v>
      </c>
      <c r="H2042">
        <v>5290.0</v>
      </c>
      <c r="I2042" t="s">
        <v>31</v>
      </c>
      <c r="J2042" t="s">
        <v>227</v>
      </c>
      <c r="K2042" t="s">
        <v>95</v>
      </c>
      <c r="L2042" t="s">
        <v>96</v>
      </c>
      <c r="M2042">
        <v>139.72</v>
      </c>
    </row>
    <row r="2043">
      <c r="A2043" s="2">
        <v>45618</v>
      </c>
      <c r="B2043">
        <v>2025.0</v>
      </c>
      <c r="C2043" t="s">
        <v>315</v>
      </c>
      <c r="D2043" t="s">
        <v>316</v>
      </c>
      <c r="E2043" t="s">
        <v>87</v>
      </c>
      <c r="F2043" t="s">
        <v>305</v>
      </c>
      <c r="G2043" t="s">
        <v>10</v>
      </c>
      <c r="H2043">
        <v>3148.0</v>
      </c>
      <c r="I2043" t="s">
        <v>31</v>
      </c>
      <c r="J2043" t="s">
        <v>89</v>
      </c>
      <c r="K2043" t="s">
        <v>46</v>
      </c>
      <c r="L2043" t="s">
        <v>47</v>
      </c>
      <c r="M2043">
        <v>139.86</v>
      </c>
    </row>
    <row r="2044">
      <c r="A2044" s="2">
        <v>45875</v>
      </c>
      <c r="B2044">
        <v>2026.0</v>
      </c>
      <c r="C2044" t="s">
        <v>321</v>
      </c>
      <c r="D2044" t="s">
        <v>319</v>
      </c>
      <c r="E2044" t="s">
        <v>92</v>
      </c>
      <c r="F2044" t="s">
        <v>305</v>
      </c>
      <c r="G2044" t="s">
        <v>10</v>
      </c>
      <c r="H2044">
        <v>3690.0</v>
      </c>
      <c r="I2044" t="s">
        <v>31</v>
      </c>
      <c r="J2044" t="s">
        <v>94</v>
      </c>
      <c r="K2044" t="s">
        <v>95</v>
      </c>
      <c r="L2044" t="s">
        <v>96</v>
      </c>
      <c r="M2044">
        <v>139.86</v>
      </c>
    </row>
    <row r="2045">
      <c r="A2045" s="2">
        <v>45930</v>
      </c>
      <c r="B2045">
        <v>2026.0</v>
      </c>
      <c r="C2045" t="s">
        <v>321</v>
      </c>
      <c r="D2045" t="s">
        <v>319</v>
      </c>
      <c r="E2045" t="s">
        <v>169</v>
      </c>
      <c r="F2045" t="s">
        <v>307</v>
      </c>
      <c r="G2045" t="s">
        <v>12</v>
      </c>
      <c r="H2045">
        <v>6027.0</v>
      </c>
      <c r="I2045" t="s">
        <v>31</v>
      </c>
      <c r="J2045" t="s">
        <v>102</v>
      </c>
      <c r="K2045" t="s">
        <v>43</v>
      </c>
      <c r="L2045" t="s">
        <v>44</v>
      </c>
      <c r="M2045">
        <v>139.88</v>
      </c>
    </row>
    <row r="2046">
      <c r="A2046" s="2">
        <v>46006</v>
      </c>
      <c r="B2046">
        <v>2026.0</v>
      </c>
      <c r="C2046" t="s">
        <v>321</v>
      </c>
      <c r="D2046" t="s">
        <v>316</v>
      </c>
      <c r="E2046" t="s">
        <v>158</v>
      </c>
      <c r="F2046" t="s">
        <v>306</v>
      </c>
      <c r="G2046" t="s">
        <v>11</v>
      </c>
      <c r="H2046">
        <v>4570.0</v>
      </c>
      <c r="I2046" t="s">
        <v>31</v>
      </c>
      <c r="J2046" t="s">
        <v>84</v>
      </c>
      <c r="K2046" t="s">
        <v>38</v>
      </c>
      <c r="L2046" t="s">
        <v>39</v>
      </c>
      <c r="M2046">
        <v>139.96</v>
      </c>
    </row>
    <row r="2047">
      <c r="A2047" s="2">
        <v>45805</v>
      </c>
      <c r="B2047">
        <v>2025.0</v>
      </c>
      <c r="C2047" t="s">
        <v>315</v>
      </c>
      <c r="D2047" t="s">
        <v>319</v>
      </c>
      <c r="E2047" t="s">
        <v>108</v>
      </c>
      <c r="F2047" t="s">
        <v>304</v>
      </c>
      <c r="G2047" t="s">
        <v>9</v>
      </c>
      <c r="H2047">
        <v>2795.0</v>
      </c>
      <c r="I2047" t="s">
        <v>31</v>
      </c>
      <c r="J2047" t="s">
        <v>75</v>
      </c>
      <c r="K2047" t="s">
        <v>123</v>
      </c>
      <c r="L2047" t="s">
        <v>124</v>
      </c>
      <c r="M2047">
        <v>140.03000000000003</v>
      </c>
    </row>
    <row r="2048">
      <c r="A2048" s="2">
        <v>45693</v>
      </c>
      <c r="B2048">
        <v>2025.0</v>
      </c>
      <c r="C2048" t="s">
        <v>315</v>
      </c>
      <c r="D2048" t="s">
        <v>316</v>
      </c>
      <c r="E2048" t="s">
        <v>139</v>
      </c>
      <c r="F2048" t="s">
        <v>305</v>
      </c>
      <c r="G2048" t="s">
        <v>10</v>
      </c>
      <c r="H2048">
        <v>3199.0</v>
      </c>
      <c r="I2048" t="s">
        <v>31</v>
      </c>
      <c r="J2048" t="s">
        <v>89</v>
      </c>
      <c r="K2048" t="s">
        <v>71</v>
      </c>
      <c r="L2048" t="s">
        <v>72</v>
      </c>
      <c r="M2048">
        <v>140.39</v>
      </c>
    </row>
    <row r="2049">
      <c r="A2049" s="2">
        <v>45745</v>
      </c>
      <c r="B2049">
        <v>2025.0</v>
      </c>
      <c r="C2049" t="s">
        <v>315</v>
      </c>
      <c r="D2049" t="s">
        <v>319</v>
      </c>
      <c r="E2049" t="s">
        <v>185</v>
      </c>
      <c r="F2049" t="s">
        <v>307</v>
      </c>
      <c r="G2049" t="s">
        <v>12</v>
      </c>
      <c r="H2049">
        <v>6109.0</v>
      </c>
      <c r="I2049" t="s">
        <v>31</v>
      </c>
      <c r="J2049" t="s">
        <v>162</v>
      </c>
      <c r="K2049" t="s">
        <v>123</v>
      </c>
      <c r="L2049" t="s">
        <v>124</v>
      </c>
      <c r="M2049">
        <v>140.7</v>
      </c>
    </row>
    <row r="2050">
      <c r="A2050" s="2">
        <v>45988</v>
      </c>
      <c r="B2050">
        <v>2026.0</v>
      </c>
      <c r="C2050" t="s">
        <v>321</v>
      </c>
      <c r="D2050" t="s">
        <v>319</v>
      </c>
      <c r="E2050" t="s">
        <v>121</v>
      </c>
      <c r="F2050" t="s">
        <v>306</v>
      </c>
      <c r="G2050" t="s">
        <v>11</v>
      </c>
      <c r="H2050">
        <v>4566.0</v>
      </c>
      <c r="I2050" t="s">
        <v>31</v>
      </c>
      <c r="J2050" t="s">
        <v>84</v>
      </c>
      <c r="K2050" t="s">
        <v>71</v>
      </c>
      <c r="L2050" t="s">
        <v>72</v>
      </c>
      <c r="M2050">
        <v>141.3</v>
      </c>
    </row>
    <row r="2051">
      <c r="A2051" s="2">
        <v>46022</v>
      </c>
      <c r="B2051">
        <v>2026.0</v>
      </c>
      <c r="C2051" t="s">
        <v>321</v>
      </c>
      <c r="D2051" t="s">
        <v>319</v>
      </c>
      <c r="E2051" t="s">
        <v>201</v>
      </c>
      <c r="F2051" t="s">
        <v>305</v>
      </c>
      <c r="G2051" t="s">
        <v>10</v>
      </c>
      <c r="H2051">
        <v>3131.0</v>
      </c>
      <c r="I2051" t="s">
        <v>31</v>
      </c>
      <c r="J2051" t="s">
        <v>89</v>
      </c>
      <c r="K2051" t="s">
        <v>38</v>
      </c>
      <c r="L2051" t="s">
        <v>39</v>
      </c>
      <c r="M2051">
        <v>141.76999999999998</v>
      </c>
    </row>
    <row r="2052">
      <c r="A2052" s="2">
        <v>45309</v>
      </c>
      <c r="B2052">
        <v>2024.0</v>
      </c>
      <c r="C2052" t="s">
        <v>318</v>
      </c>
      <c r="D2052" t="s">
        <v>316</v>
      </c>
      <c r="E2052" t="s">
        <v>189</v>
      </c>
      <c r="F2052" t="s">
        <v>304</v>
      </c>
      <c r="G2052" t="s">
        <v>9</v>
      </c>
      <c r="H2052">
        <v>2131.0</v>
      </c>
      <c r="I2052" t="s">
        <v>31</v>
      </c>
      <c r="J2052" t="s">
        <v>81</v>
      </c>
      <c r="K2052" t="s">
        <v>46</v>
      </c>
      <c r="L2052" t="s">
        <v>47</v>
      </c>
      <c r="M2052">
        <v>142.89000000000001</v>
      </c>
    </row>
    <row r="2053">
      <c r="A2053" s="2">
        <v>45964</v>
      </c>
      <c r="B2053">
        <v>2026.0</v>
      </c>
      <c r="C2053" t="s">
        <v>321</v>
      </c>
      <c r="D2053" t="s">
        <v>316</v>
      </c>
      <c r="E2053" t="s">
        <v>114</v>
      </c>
      <c r="F2053" t="s">
        <v>304</v>
      </c>
      <c r="G2053" t="s">
        <v>9</v>
      </c>
      <c r="H2053">
        <v>2031.0</v>
      </c>
      <c r="I2053" t="s">
        <v>31</v>
      </c>
      <c r="J2053" t="s">
        <v>99</v>
      </c>
      <c r="K2053" t="s">
        <v>95</v>
      </c>
      <c r="L2053" t="s">
        <v>96</v>
      </c>
      <c r="M2053">
        <v>142.89000000000001</v>
      </c>
    </row>
    <row r="2054">
      <c r="A2054" s="2">
        <v>45560</v>
      </c>
      <c r="B2054">
        <v>2025.0</v>
      </c>
      <c r="C2054" t="s">
        <v>315</v>
      </c>
      <c r="D2054" t="s">
        <v>316</v>
      </c>
      <c r="E2054" t="s">
        <v>150</v>
      </c>
      <c r="F2054" t="s">
        <v>310</v>
      </c>
      <c r="G2054" t="s">
        <v>15</v>
      </c>
      <c r="H2054">
        <v>7250.0</v>
      </c>
      <c r="I2054" t="s">
        <v>31</v>
      </c>
      <c r="J2054" t="s">
        <v>53</v>
      </c>
      <c r="K2054" t="s">
        <v>43</v>
      </c>
      <c r="L2054" t="s">
        <v>44</v>
      </c>
      <c r="M2054">
        <v>142.89999999999998</v>
      </c>
    </row>
    <row r="2055">
      <c r="A2055" s="2">
        <v>45811</v>
      </c>
      <c r="B2055">
        <v>2025.0</v>
      </c>
      <c r="C2055" t="s">
        <v>315</v>
      </c>
      <c r="D2055" t="s">
        <v>319</v>
      </c>
      <c r="E2055" t="s">
        <v>207</v>
      </c>
      <c r="F2055" t="s">
        <v>306</v>
      </c>
      <c r="G2055" t="s">
        <v>11</v>
      </c>
      <c r="H2055">
        <v>4825.0</v>
      </c>
      <c r="I2055" t="s">
        <v>31</v>
      </c>
      <c r="J2055" t="s">
        <v>78</v>
      </c>
      <c r="K2055" t="s">
        <v>38</v>
      </c>
      <c r="L2055" t="s">
        <v>39</v>
      </c>
      <c r="M2055">
        <v>143.71</v>
      </c>
    </row>
    <row r="2056">
      <c r="A2056" s="2">
        <v>45892</v>
      </c>
      <c r="B2056">
        <v>2026.0</v>
      </c>
      <c r="C2056" t="s">
        <v>321</v>
      </c>
      <c r="D2056" t="s">
        <v>316</v>
      </c>
      <c r="E2056" t="s">
        <v>167</v>
      </c>
      <c r="F2056" t="s">
        <v>307</v>
      </c>
      <c r="G2056" t="s">
        <v>12</v>
      </c>
      <c r="H2056">
        <v>6030.0</v>
      </c>
      <c r="I2056" t="s">
        <v>31</v>
      </c>
      <c r="J2056" t="s">
        <v>102</v>
      </c>
      <c r="K2056" t="s">
        <v>38</v>
      </c>
      <c r="L2056" t="s">
        <v>39</v>
      </c>
      <c r="M2056">
        <v>143.79</v>
      </c>
    </row>
    <row r="2057">
      <c r="A2057" s="2">
        <v>45586</v>
      </c>
      <c r="B2057">
        <v>2025.0</v>
      </c>
      <c r="C2057" t="s">
        <v>315</v>
      </c>
      <c r="D2057" t="s">
        <v>319</v>
      </c>
      <c r="E2057" t="s">
        <v>240</v>
      </c>
      <c r="F2057" t="s">
        <v>310</v>
      </c>
      <c r="G2057" t="s">
        <v>15</v>
      </c>
      <c r="H2057">
        <v>7010.0</v>
      </c>
      <c r="I2057" t="s">
        <v>31</v>
      </c>
      <c r="J2057" t="s">
        <v>53</v>
      </c>
      <c r="K2057" t="s">
        <v>71</v>
      </c>
      <c r="L2057" t="s">
        <v>72</v>
      </c>
      <c r="M2057">
        <v>143.89</v>
      </c>
    </row>
    <row r="2058">
      <c r="A2058" s="2">
        <v>46006</v>
      </c>
      <c r="B2058">
        <v>2026.0</v>
      </c>
      <c r="C2058" t="s">
        <v>321</v>
      </c>
      <c r="D2058" t="s">
        <v>319</v>
      </c>
      <c r="E2058" t="s">
        <v>230</v>
      </c>
      <c r="F2058" t="s">
        <v>308</v>
      </c>
      <c r="G2058" t="s">
        <v>13</v>
      </c>
      <c r="H2058">
        <v>5290.0</v>
      </c>
      <c r="I2058" t="s">
        <v>31</v>
      </c>
      <c r="J2058" t="s">
        <v>227</v>
      </c>
      <c r="K2058" t="s">
        <v>112</v>
      </c>
      <c r="L2058" t="s">
        <v>113</v>
      </c>
      <c r="M2058">
        <v>143.92</v>
      </c>
    </row>
    <row r="2059">
      <c r="A2059" s="2">
        <v>45742</v>
      </c>
      <c r="B2059">
        <v>2025.0</v>
      </c>
      <c r="C2059" t="s">
        <v>315</v>
      </c>
      <c r="D2059" t="s">
        <v>316</v>
      </c>
      <c r="E2059" t="s">
        <v>242</v>
      </c>
      <c r="F2059" t="s">
        <v>305</v>
      </c>
      <c r="G2059" t="s">
        <v>10</v>
      </c>
      <c r="H2059">
        <v>3977.0</v>
      </c>
      <c r="I2059" t="s">
        <v>31</v>
      </c>
      <c r="J2059" t="s">
        <v>94</v>
      </c>
      <c r="K2059" t="s">
        <v>57</v>
      </c>
      <c r="L2059" t="s">
        <v>58</v>
      </c>
      <c r="M2059">
        <v>144.08</v>
      </c>
    </row>
    <row r="2060">
      <c r="A2060" s="2">
        <v>45977</v>
      </c>
      <c r="B2060">
        <v>2026.0</v>
      </c>
      <c r="C2060" t="s">
        <v>321</v>
      </c>
      <c r="D2060" t="s">
        <v>319</v>
      </c>
      <c r="E2060" t="s">
        <v>158</v>
      </c>
      <c r="F2060" t="s">
        <v>306</v>
      </c>
      <c r="G2060" t="s">
        <v>11</v>
      </c>
      <c r="H2060">
        <v>4570.0</v>
      </c>
      <c r="I2060" t="s">
        <v>31</v>
      </c>
      <c r="J2060" t="s">
        <v>84</v>
      </c>
      <c r="K2060" t="s">
        <v>33</v>
      </c>
      <c r="L2060" t="s">
        <v>34</v>
      </c>
      <c r="M2060">
        <v>144.18</v>
      </c>
    </row>
    <row r="2061">
      <c r="A2061" s="2">
        <v>45995</v>
      </c>
      <c r="B2061">
        <v>2026.0</v>
      </c>
      <c r="C2061" t="s">
        <v>321</v>
      </c>
      <c r="D2061" t="s">
        <v>319</v>
      </c>
      <c r="E2061" t="s">
        <v>264</v>
      </c>
      <c r="F2061" t="s">
        <v>308</v>
      </c>
      <c r="G2061" t="s">
        <v>13</v>
      </c>
      <c r="H2061">
        <v>5043.0</v>
      </c>
      <c r="I2061" t="s">
        <v>31</v>
      </c>
      <c r="J2061" t="s">
        <v>42</v>
      </c>
      <c r="K2061" t="s">
        <v>71</v>
      </c>
      <c r="L2061" t="s">
        <v>72</v>
      </c>
      <c r="M2061">
        <v>144.87</v>
      </c>
    </row>
    <row r="2062">
      <c r="A2062" s="2">
        <v>45778</v>
      </c>
      <c r="B2062">
        <v>2025.0</v>
      </c>
      <c r="C2062" t="s">
        <v>315</v>
      </c>
      <c r="D2062" t="s">
        <v>319</v>
      </c>
      <c r="E2062" t="s">
        <v>197</v>
      </c>
      <c r="F2062" t="s">
        <v>304</v>
      </c>
      <c r="G2062" t="s">
        <v>9</v>
      </c>
      <c r="H2062">
        <v>2560.0</v>
      </c>
      <c r="I2062" t="s">
        <v>31</v>
      </c>
      <c r="J2062" t="s">
        <v>107</v>
      </c>
      <c r="K2062" t="s">
        <v>57</v>
      </c>
      <c r="L2062" t="s">
        <v>58</v>
      </c>
      <c r="M2062">
        <v>145.8</v>
      </c>
    </row>
    <row r="2063">
      <c r="A2063" s="2">
        <v>45493</v>
      </c>
      <c r="B2063">
        <v>2025.0</v>
      </c>
      <c r="C2063" t="s">
        <v>315</v>
      </c>
      <c r="D2063" t="s">
        <v>316</v>
      </c>
      <c r="E2063" t="s">
        <v>54</v>
      </c>
      <c r="F2063" t="s">
        <v>306</v>
      </c>
      <c r="G2063" t="s">
        <v>11</v>
      </c>
      <c r="H2063">
        <v>4012.0</v>
      </c>
      <c r="I2063" t="s">
        <v>31</v>
      </c>
      <c r="J2063" t="s">
        <v>56</v>
      </c>
      <c r="K2063" t="s">
        <v>38</v>
      </c>
      <c r="L2063" t="s">
        <v>39</v>
      </c>
      <c r="M2063">
        <v>145.88</v>
      </c>
    </row>
    <row r="2064">
      <c r="A2064" s="2">
        <v>45587</v>
      </c>
      <c r="B2064">
        <v>2025.0</v>
      </c>
      <c r="C2064" t="s">
        <v>315</v>
      </c>
      <c r="D2064" t="s">
        <v>316</v>
      </c>
      <c r="E2064" t="s">
        <v>150</v>
      </c>
      <c r="F2064" t="s">
        <v>310</v>
      </c>
      <c r="G2064" t="s">
        <v>15</v>
      </c>
      <c r="H2064">
        <v>7250.0</v>
      </c>
      <c r="I2064" t="s">
        <v>31</v>
      </c>
      <c r="J2064" t="s">
        <v>53</v>
      </c>
      <c r="K2064" t="s">
        <v>71</v>
      </c>
      <c r="L2064" t="s">
        <v>72</v>
      </c>
      <c r="M2064">
        <v>145.91</v>
      </c>
    </row>
    <row r="2065">
      <c r="A2065" s="2">
        <v>45645</v>
      </c>
      <c r="B2065">
        <v>2025.0</v>
      </c>
      <c r="C2065" t="s">
        <v>315</v>
      </c>
      <c r="D2065" t="s">
        <v>316</v>
      </c>
      <c r="E2065" t="s">
        <v>100</v>
      </c>
      <c r="F2065" t="s">
        <v>307</v>
      </c>
      <c r="G2065" t="s">
        <v>12</v>
      </c>
      <c r="H2065">
        <v>6010.0</v>
      </c>
      <c r="I2065" t="s">
        <v>31</v>
      </c>
      <c r="J2065" t="s">
        <v>102</v>
      </c>
      <c r="K2065" t="s">
        <v>123</v>
      </c>
      <c r="L2065" t="s">
        <v>124</v>
      </c>
      <c r="M2065">
        <v>146.26999999999998</v>
      </c>
    </row>
    <row r="2066">
      <c r="A2066" s="2">
        <v>45564</v>
      </c>
      <c r="B2066">
        <v>2025.0</v>
      </c>
      <c r="C2066" t="s">
        <v>315</v>
      </c>
      <c r="D2066" t="s">
        <v>316</v>
      </c>
      <c r="E2066" t="s">
        <v>90</v>
      </c>
      <c r="F2066" t="s">
        <v>305</v>
      </c>
      <c r="G2066" t="s">
        <v>10</v>
      </c>
      <c r="H2066">
        <v>3353.0</v>
      </c>
      <c r="I2066" t="s">
        <v>31</v>
      </c>
      <c r="J2066" t="s">
        <v>37</v>
      </c>
      <c r="K2066" t="s">
        <v>66</v>
      </c>
      <c r="L2066" t="s">
        <v>67</v>
      </c>
      <c r="M2066">
        <v>146.48000000000002</v>
      </c>
    </row>
    <row r="2067">
      <c r="A2067" s="2">
        <v>45359</v>
      </c>
      <c r="B2067">
        <v>2024.0</v>
      </c>
      <c r="C2067" t="s">
        <v>318</v>
      </c>
      <c r="D2067" t="s">
        <v>316</v>
      </c>
      <c r="E2067" t="s">
        <v>242</v>
      </c>
      <c r="F2067" t="s">
        <v>305</v>
      </c>
      <c r="G2067" t="s">
        <v>10</v>
      </c>
      <c r="H2067">
        <v>3977.0</v>
      </c>
      <c r="I2067" t="s">
        <v>31</v>
      </c>
      <c r="J2067" t="s">
        <v>94</v>
      </c>
      <c r="K2067" t="s">
        <v>123</v>
      </c>
      <c r="L2067" t="s">
        <v>124</v>
      </c>
      <c r="M2067">
        <v>146.63</v>
      </c>
    </row>
    <row r="2068">
      <c r="A2068" s="2">
        <v>45425</v>
      </c>
      <c r="B2068">
        <v>2024.0</v>
      </c>
      <c r="C2068" t="s">
        <v>318</v>
      </c>
      <c r="D2068" t="s">
        <v>319</v>
      </c>
      <c r="E2068" t="s">
        <v>248</v>
      </c>
      <c r="F2068" t="s">
        <v>307</v>
      </c>
      <c r="G2068" t="s">
        <v>12</v>
      </c>
      <c r="H2068">
        <v>6112.0</v>
      </c>
      <c r="I2068" t="s">
        <v>31</v>
      </c>
      <c r="J2068" t="s">
        <v>162</v>
      </c>
      <c r="K2068" t="s">
        <v>123</v>
      </c>
      <c r="L2068" t="s">
        <v>124</v>
      </c>
      <c r="M2068">
        <v>146.68</v>
      </c>
    </row>
    <row r="2069">
      <c r="A2069" s="2">
        <v>45868</v>
      </c>
      <c r="B2069">
        <v>2026.0</v>
      </c>
      <c r="C2069" t="s">
        <v>321</v>
      </c>
      <c r="D2069" t="s">
        <v>319</v>
      </c>
      <c r="E2069" t="s">
        <v>173</v>
      </c>
      <c r="F2069" t="s">
        <v>306</v>
      </c>
      <c r="G2069" t="s">
        <v>11</v>
      </c>
      <c r="H2069">
        <v>4220.0</v>
      </c>
      <c r="I2069" t="s">
        <v>31</v>
      </c>
      <c r="J2069" t="s">
        <v>61</v>
      </c>
      <c r="K2069" t="s">
        <v>43</v>
      </c>
      <c r="L2069" t="s">
        <v>44</v>
      </c>
      <c r="M2069">
        <v>146.88</v>
      </c>
    </row>
    <row r="2070">
      <c r="A2070" s="2">
        <v>45474</v>
      </c>
      <c r="B2070">
        <v>2025.0</v>
      </c>
      <c r="C2070" t="s">
        <v>315</v>
      </c>
      <c r="D2070" t="s">
        <v>319</v>
      </c>
      <c r="E2070" t="s">
        <v>146</v>
      </c>
      <c r="F2070" t="s">
        <v>304</v>
      </c>
      <c r="G2070" t="s">
        <v>9</v>
      </c>
      <c r="H2070">
        <v>2790.0</v>
      </c>
      <c r="I2070" t="s">
        <v>31</v>
      </c>
      <c r="J2070" t="s">
        <v>75</v>
      </c>
      <c r="K2070" t="s">
        <v>43</v>
      </c>
      <c r="L2070" t="s">
        <v>44</v>
      </c>
      <c r="M2070">
        <v>146.93</v>
      </c>
    </row>
    <row r="2071">
      <c r="A2071" s="2">
        <v>45613</v>
      </c>
      <c r="B2071">
        <v>2025.0</v>
      </c>
      <c r="C2071" t="s">
        <v>315</v>
      </c>
      <c r="D2071" t="s">
        <v>316</v>
      </c>
      <c r="E2071" t="s">
        <v>82</v>
      </c>
      <c r="F2071" t="s">
        <v>306</v>
      </c>
      <c r="G2071" t="s">
        <v>11</v>
      </c>
      <c r="H2071">
        <v>4558.0</v>
      </c>
      <c r="I2071" t="s">
        <v>31</v>
      </c>
      <c r="J2071" t="s">
        <v>84</v>
      </c>
      <c r="K2071" t="s">
        <v>43</v>
      </c>
      <c r="L2071" t="s">
        <v>44</v>
      </c>
      <c r="M2071">
        <v>147.74</v>
      </c>
    </row>
    <row r="2072">
      <c r="A2072" s="2">
        <v>45851</v>
      </c>
      <c r="B2072">
        <v>2026.0</v>
      </c>
      <c r="C2072" t="s">
        <v>321</v>
      </c>
      <c r="D2072" t="s">
        <v>319</v>
      </c>
      <c r="E2072" t="s">
        <v>114</v>
      </c>
      <c r="F2072" t="s">
        <v>304</v>
      </c>
      <c r="G2072" t="s">
        <v>9</v>
      </c>
      <c r="H2072">
        <v>2031.0</v>
      </c>
      <c r="I2072" t="s">
        <v>31</v>
      </c>
      <c r="J2072" t="s">
        <v>99</v>
      </c>
      <c r="K2072" t="s">
        <v>95</v>
      </c>
      <c r="L2072" t="s">
        <v>96</v>
      </c>
      <c r="M2072">
        <v>147.8</v>
      </c>
    </row>
    <row r="2073">
      <c r="A2073" s="2">
        <v>45583</v>
      </c>
      <c r="B2073">
        <v>2025.0</v>
      </c>
      <c r="C2073" t="s">
        <v>315</v>
      </c>
      <c r="D2073" t="s">
        <v>319</v>
      </c>
      <c r="E2073" t="s">
        <v>236</v>
      </c>
      <c r="F2073" t="s">
        <v>307</v>
      </c>
      <c r="G2073" t="s">
        <v>12</v>
      </c>
      <c r="H2073">
        <v>6052.0</v>
      </c>
      <c r="I2073" t="s">
        <v>31</v>
      </c>
      <c r="J2073" t="s">
        <v>102</v>
      </c>
      <c r="K2073" t="s">
        <v>46</v>
      </c>
      <c r="L2073" t="s">
        <v>47</v>
      </c>
      <c r="M2073">
        <v>147.86</v>
      </c>
    </row>
    <row r="2074">
      <c r="A2074" s="2">
        <v>45359</v>
      </c>
      <c r="B2074">
        <v>2024.0</v>
      </c>
      <c r="C2074" t="s">
        <v>318</v>
      </c>
      <c r="D2074" t="s">
        <v>316</v>
      </c>
      <c r="E2074" t="s">
        <v>177</v>
      </c>
      <c r="F2074" t="s">
        <v>307</v>
      </c>
      <c r="G2074" t="s">
        <v>12</v>
      </c>
      <c r="H2074">
        <v>6330.0</v>
      </c>
      <c r="I2074" t="s">
        <v>31</v>
      </c>
      <c r="J2074" t="s">
        <v>162</v>
      </c>
      <c r="K2074" t="s">
        <v>43</v>
      </c>
      <c r="L2074" t="s">
        <v>44</v>
      </c>
      <c r="M2074">
        <v>147.89</v>
      </c>
    </row>
    <row r="2075">
      <c r="A2075" s="2">
        <v>45314</v>
      </c>
      <c r="B2075">
        <v>2024.0</v>
      </c>
      <c r="C2075" t="s">
        <v>318</v>
      </c>
      <c r="D2075" t="s">
        <v>319</v>
      </c>
      <c r="E2075" t="s">
        <v>205</v>
      </c>
      <c r="F2075" t="s">
        <v>305</v>
      </c>
      <c r="G2075" t="s">
        <v>10</v>
      </c>
      <c r="H2075">
        <v>3400.0</v>
      </c>
      <c r="I2075" t="s">
        <v>31</v>
      </c>
      <c r="J2075" t="s">
        <v>37</v>
      </c>
      <c r="K2075" t="s">
        <v>43</v>
      </c>
      <c r="L2075" t="s">
        <v>44</v>
      </c>
      <c r="M2075">
        <v>147.89</v>
      </c>
    </row>
    <row r="2076">
      <c r="A2076" s="2">
        <v>45706</v>
      </c>
      <c r="B2076">
        <v>2025.0</v>
      </c>
      <c r="C2076" t="s">
        <v>315</v>
      </c>
      <c r="D2076" t="s">
        <v>319</v>
      </c>
      <c r="E2076" t="s">
        <v>133</v>
      </c>
      <c r="F2076" t="s">
        <v>305</v>
      </c>
      <c r="G2076" t="s">
        <v>10</v>
      </c>
      <c r="H2076">
        <v>3429.0</v>
      </c>
      <c r="I2076" t="s">
        <v>31</v>
      </c>
      <c r="J2076" t="s">
        <v>37</v>
      </c>
      <c r="K2076" t="s">
        <v>33</v>
      </c>
      <c r="L2076" t="s">
        <v>34</v>
      </c>
      <c r="M2076">
        <v>148.33</v>
      </c>
    </row>
    <row r="2077">
      <c r="A2077" s="2">
        <v>45555</v>
      </c>
      <c r="B2077">
        <v>2025.0</v>
      </c>
      <c r="C2077" t="s">
        <v>315</v>
      </c>
      <c r="D2077" t="s">
        <v>316</v>
      </c>
      <c r="E2077" t="s">
        <v>215</v>
      </c>
      <c r="F2077" t="s">
        <v>310</v>
      </c>
      <c r="G2077" t="s">
        <v>15</v>
      </c>
      <c r="H2077">
        <v>7320.0</v>
      </c>
      <c r="I2077" t="s">
        <v>31</v>
      </c>
      <c r="J2077" t="s">
        <v>53</v>
      </c>
      <c r="K2077" t="s">
        <v>38</v>
      </c>
      <c r="L2077" t="s">
        <v>39</v>
      </c>
      <c r="M2077">
        <v>148.72</v>
      </c>
    </row>
    <row r="2078">
      <c r="A2078" s="2">
        <v>45765</v>
      </c>
      <c r="B2078">
        <v>2025.0</v>
      </c>
      <c r="C2078" t="s">
        <v>315</v>
      </c>
      <c r="D2078" t="s">
        <v>319</v>
      </c>
      <c r="E2078" t="s">
        <v>191</v>
      </c>
      <c r="F2078" t="s">
        <v>305</v>
      </c>
      <c r="G2078" t="s">
        <v>10</v>
      </c>
      <c r="H2078">
        <v>3030.0</v>
      </c>
      <c r="I2078" t="s">
        <v>31</v>
      </c>
      <c r="J2078" t="s">
        <v>120</v>
      </c>
      <c r="K2078" t="s">
        <v>112</v>
      </c>
      <c r="L2078" t="s">
        <v>113</v>
      </c>
      <c r="M2078">
        <v>148.76999999999998</v>
      </c>
    </row>
    <row r="2079">
      <c r="A2079" s="2">
        <v>45565</v>
      </c>
      <c r="B2079">
        <v>2025.0</v>
      </c>
      <c r="C2079" t="s">
        <v>315</v>
      </c>
      <c r="D2079" t="s">
        <v>319</v>
      </c>
      <c r="E2079" t="s">
        <v>135</v>
      </c>
      <c r="F2079" t="s">
        <v>311</v>
      </c>
      <c r="G2079" t="s">
        <v>16</v>
      </c>
      <c r="H2079">
        <v>2609.0</v>
      </c>
      <c r="I2079" t="s">
        <v>31</v>
      </c>
      <c r="J2079" t="s">
        <v>107</v>
      </c>
      <c r="K2079" t="s">
        <v>38</v>
      </c>
      <c r="L2079" t="s">
        <v>39</v>
      </c>
      <c r="M2079">
        <v>148.78</v>
      </c>
    </row>
    <row r="2080">
      <c r="A2080" s="2">
        <v>45394</v>
      </c>
      <c r="B2080">
        <v>2024.0</v>
      </c>
      <c r="C2080" t="s">
        <v>318</v>
      </c>
      <c r="D2080" t="s">
        <v>316</v>
      </c>
      <c r="E2080" t="s">
        <v>154</v>
      </c>
      <c r="F2080" t="s">
        <v>306</v>
      </c>
      <c r="G2080" t="s">
        <v>11</v>
      </c>
      <c r="H2080">
        <v>4551.0</v>
      </c>
      <c r="I2080" t="s">
        <v>31</v>
      </c>
      <c r="J2080" t="s">
        <v>84</v>
      </c>
      <c r="K2080" t="s">
        <v>95</v>
      </c>
      <c r="L2080" t="s">
        <v>96</v>
      </c>
      <c r="M2080">
        <v>148.82</v>
      </c>
    </row>
    <row r="2081">
      <c r="A2081" s="2">
        <v>45921</v>
      </c>
      <c r="B2081">
        <v>2026.0</v>
      </c>
      <c r="C2081" t="s">
        <v>321</v>
      </c>
      <c r="D2081" t="s">
        <v>316</v>
      </c>
      <c r="E2081" t="s">
        <v>238</v>
      </c>
      <c r="F2081" t="s">
        <v>308</v>
      </c>
      <c r="G2081" t="s">
        <v>13</v>
      </c>
      <c r="H2081">
        <v>5082.0</v>
      </c>
      <c r="I2081" t="s">
        <v>31</v>
      </c>
      <c r="J2081" t="s">
        <v>42</v>
      </c>
      <c r="K2081" t="s">
        <v>46</v>
      </c>
      <c r="L2081" t="s">
        <v>47</v>
      </c>
      <c r="M2081">
        <v>148.87</v>
      </c>
    </row>
    <row r="2082">
      <c r="A2082" s="2">
        <v>45727</v>
      </c>
      <c r="B2082">
        <v>2025.0</v>
      </c>
      <c r="C2082" t="s">
        <v>315</v>
      </c>
      <c r="D2082" t="s">
        <v>316</v>
      </c>
      <c r="E2082" t="s">
        <v>193</v>
      </c>
      <c r="F2082" t="s">
        <v>304</v>
      </c>
      <c r="G2082" t="s">
        <v>9</v>
      </c>
      <c r="H2082">
        <v>2020.0</v>
      </c>
      <c r="I2082" t="s">
        <v>31</v>
      </c>
      <c r="J2082" t="s">
        <v>99</v>
      </c>
      <c r="K2082" t="s">
        <v>71</v>
      </c>
      <c r="L2082" t="s">
        <v>72</v>
      </c>
      <c r="M2082">
        <v>148.89</v>
      </c>
    </row>
    <row r="2083">
      <c r="A2083" s="2">
        <v>45472</v>
      </c>
      <c r="B2083">
        <v>2024.0</v>
      </c>
      <c r="C2083" t="s">
        <v>318</v>
      </c>
      <c r="D2083" t="s">
        <v>319</v>
      </c>
      <c r="E2083" t="s">
        <v>199</v>
      </c>
      <c r="F2083" t="s">
        <v>308</v>
      </c>
      <c r="G2083" t="s">
        <v>13</v>
      </c>
      <c r="H2083">
        <v>5169.0</v>
      </c>
      <c r="I2083" t="s">
        <v>31</v>
      </c>
      <c r="J2083" t="s">
        <v>42</v>
      </c>
      <c r="K2083" t="s">
        <v>57</v>
      </c>
      <c r="L2083" t="s">
        <v>58</v>
      </c>
      <c r="M2083">
        <v>148.89</v>
      </c>
    </row>
    <row r="2084">
      <c r="A2084" s="2">
        <v>45667</v>
      </c>
      <c r="B2084">
        <v>2025.0</v>
      </c>
      <c r="C2084" t="s">
        <v>315</v>
      </c>
      <c r="D2084" t="s">
        <v>316</v>
      </c>
      <c r="E2084" t="s">
        <v>139</v>
      </c>
      <c r="F2084" t="s">
        <v>305</v>
      </c>
      <c r="G2084" t="s">
        <v>10</v>
      </c>
      <c r="H2084">
        <v>3199.0</v>
      </c>
      <c r="I2084" t="s">
        <v>31</v>
      </c>
      <c r="J2084" t="s">
        <v>89</v>
      </c>
      <c r="K2084" t="s">
        <v>43</v>
      </c>
      <c r="L2084" t="s">
        <v>44</v>
      </c>
      <c r="M2084">
        <v>149.29000000000002</v>
      </c>
    </row>
    <row r="2085">
      <c r="A2085" s="2">
        <v>45428</v>
      </c>
      <c r="B2085">
        <v>2024.0</v>
      </c>
      <c r="C2085" t="s">
        <v>318</v>
      </c>
      <c r="D2085" t="s">
        <v>319</v>
      </c>
      <c r="E2085" t="s">
        <v>79</v>
      </c>
      <c r="F2085" t="s">
        <v>304</v>
      </c>
      <c r="G2085" t="s">
        <v>9</v>
      </c>
      <c r="H2085">
        <v>2141.0</v>
      </c>
      <c r="I2085" t="s">
        <v>31</v>
      </c>
      <c r="J2085" t="s">
        <v>81</v>
      </c>
      <c r="K2085" t="s">
        <v>57</v>
      </c>
      <c r="L2085" t="s">
        <v>58</v>
      </c>
      <c r="M2085">
        <v>149.79</v>
      </c>
    </row>
    <row r="2086">
      <c r="A2086" s="2">
        <v>45745</v>
      </c>
      <c r="B2086">
        <v>2025.0</v>
      </c>
      <c r="C2086" t="s">
        <v>315</v>
      </c>
      <c r="D2086" t="s">
        <v>316</v>
      </c>
      <c r="E2086" t="s">
        <v>165</v>
      </c>
      <c r="F2086" t="s">
        <v>304</v>
      </c>
      <c r="G2086" t="s">
        <v>9</v>
      </c>
      <c r="H2086">
        <v>2064.0</v>
      </c>
      <c r="I2086" t="s">
        <v>31</v>
      </c>
      <c r="J2086" t="s">
        <v>99</v>
      </c>
      <c r="K2086" t="s">
        <v>57</v>
      </c>
      <c r="L2086" t="s">
        <v>58</v>
      </c>
      <c r="M2086">
        <v>149.79999999999998</v>
      </c>
    </row>
    <row r="2087">
      <c r="A2087" s="2">
        <v>45764</v>
      </c>
      <c r="B2087">
        <v>2025.0</v>
      </c>
      <c r="C2087" t="s">
        <v>315</v>
      </c>
      <c r="D2087" t="s">
        <v>319</v>
      </c>
      <c r="E2087" t="s">
        <v>173</v>
      </c>
      <c r="F2087" t="s">
        <v>306</v>
      </c>
      <c r="G2087" t="s">
        <v>11</v>
      </c>
      <c r="H2087">
        <v>4220.0</v>
      </c>
      <c r="I2087" t="s">
        <v>31</v>
      </c>
      <c r="J2087" t="s">
        <v>61</v>
      </c>
      <c r="K2087" t="s">
        <v>43</v>
      </c>
      <c r="L2087" t="s">
        <v>44</v>
      </c>
      <c r="M2087">
        <v>149.9</v>
      </c>
    </row>
    <row r="2088">
      <c r="A2088" s="2">
        <v>45298</v>
      </c>
      <c r="B2088">
        <v>2024.0</v>
      </c>
      <c r="C2088" t="s">
        <v>318</v>
      </c>
      <c r="D2088" t="s">
        <v>316</v>
      </c>
      <c r="E2088" t="s">
        <v>114</v>
      </c>
      <c r="F2088" t="s">
        <v>304</v>
      </c>
      <c r="G2088" t="s">
        <v>9</v>
      </c>
      <c r="H2088">
        <v>2031.0</v>
      </c>
      <c r="I2088" t="s">
        <v>31</v>
      </c>
      <c r="J2088" t="s">
        <v>99</v>
      </c>
      <c r="K2088" t="s">
        <v>57</v>
      </c>
      <c r="L2088" t="s">
        <v>58</v>
      </c>
      <c r="M2088">
        <v>149.95</v>
      </c>
    </row>
    <row r="2089">
      <c r="A2089" s="2">
        <v>45822</v>
      </c>
      <c r="B2089">
        <v>2025.0</v>
      </c>
      <c r="C2089" t="s">
        <v>315</v>
      </c>
      <c r="D2089" t="s">
        <v>319</v>
      </c>
      <c r="E2089" t="s">
        <v>250</v>
      </c>
      <c r="F2089" t="s">
        <v>305</v>
      </c>
      <c r="G2089" t="s">
        <v>10</v>
      </c>
      <c r="H2089">
        <v>3550.0</v>
      </c>
      <c r="I2089" t="s">
        <v>31</v>
      </c>
      <c r="J2089" t="s">
        <v>37</v>
      </c>
      <c r="K2089" t="s">
        <v>71</v>
      </c>
      <c r="L2089" t="s">
        <v>72</v>
      </c>
      <c r="M2089">
        <v>149.99</v>
      </c>
    </row>
    <row r="2090">
      <c r="A2090" s="2">
        <v>45669</v>
      </c>
      <c r="B2090">
        <v>2025.0</v>
      </c>
      <c r="C2090" t="s">
        <v>315</v>
      </c>
      <c r="D2090" t="s">
        <v>316</v>
      </c>
      <c r="E2090" t="s">
        <v>189</v>
      </c>
      <c r="F2090" t="s">
        <v>304</v>
      </c>
      <c r="G2090" t="s">
        <v>9</v>
      </c>
      <c r="H2090">
        <v>2131.0</v>
      </c>
      <c r="I2090" t="s">
        <v>31</v>
      </c>
      <c r="J2090" t="s">
        <v>81</v>
      </c>
      <c r="K2090" t="s">
        <v>112</v>
      </c>
      <c r="L2090" t="s">
        <v>113</v>
      </c>
      <c r="M2090">
        <v>150.59</v>
      </c>
    </row>
    <row r="2091">
      <c r="A2091" s="2">
        <v>45669</v>
      </c>
      <c r="B2091">
        <v>2025.0</v>
      </c>
      <c r="C2091" t="s">
        <v>315</v>
      </c>
      <c r="D2091" t="s">
        <v>316</v>
      </c>
      <c r="E2091" t="s">
        <v>100</v>
      </c>
      <c r="F2091" t="s">
        <v>307</v>
      </c>
      <c r="G2091" t="s">
        <v>12</v>
      </c>
      <c r="H2091">
        <v>6010.0</v>
      </c>
      <c r="I2091" t="s">
        <v>31</v>
      </c>
      <c r="J2091" t="s">
        <v>102</v>
      </c>
      <c r="K2091" t="s">
        <v>33</v>
      </c>
      <c r="L2091" t="s">
        <v>34</v>
      </c>
      <c r="M2091">
        <v>150.61</v>
      </c>
    </row>
    <row r="2092">
      <c r="A2092" s="2">
        <v>45452</v>
      </c>
      <c r="B2092">
        <v>2024.0</v>
      </c>
      <c r="C2092" t="s">
        <v>318</v>
      </c>
      <c r="D2092" t="s">
        <v>316</v>
      </c>
      <c r="E2092" t="s">
        <v>87</v>
      </c>
      <c r="F2092" t="s">
        <v>305</v>
      </c>
      <c r="G2092" t="s">
        <v>10</v>
      </c>
      <c r="H2092">
        <v>3148.0</v>
      </c>
      <c r="I2092" t="s">
        <v>31</v>
      </c>
      <c r="J2092" t="s">
        <v>89</v>
      </c>
      <c r="K2092" t="s">
        <v>95</v>
      </c>
      <c r="L2092" t="s">
        <v>96</v>
      </c>
      <c r="M2092">
        <v>150.64</v>
      </c>
    </row>
    <row r="2093">
      <c r="A2093" s="2">
        <v>45548</v>
      </c>
      <c r="B2093">
        <v>2025.0</v>
      </c>
      <c r="C2093" t="s">
        <v>315</v>
      </c>
      <c r="D2093" t="s">
        <v>316</v>
      </c>
      <c r="E2093" t="s">
        <v>193</v>
      </c>
      <c r="F2093" t="s">
        <v>304</v>
      </c>
      <c r="G2093" t="s">
        <v>9</v>
      </c>
      <c r="H2093">
        <v>2020.0</v>
      </c>
      <c r="I2093" t="s">
        <v>31</v>
      </c>
      <c r="J2093" t="s">
        <v>99</v>
      </c>
      <c r="K2093" t="s">
        <v>95</v>
      </c>
      <c r="L2093" t="s">
        <v>96</v>
      </c>
      <c r="M2093">
        <v>150.86</v>
      </c>
    </row>
    <row r="2094">
      <c r="A2094" s="2">
        <v>45440</v>
      </c>
      <c r="B2094">
        <v>2024.0</v>
      </c>
      <c r="C2094" t="s">
        <v>318</v>
      </c>
      <c r="D2094" t="s">
        <v>316</v>
      </c>
      <c r="E2094" t="s">
        <v>127</v>
      </c>
      <c r="F2094" t="s">
        <v>306</v>
      </c>
      <c r="G2094" t="s">
        <v>11</v>
      </c>
      <c r="H2094">
        <v>4802.0</v>
      </c>
      <c r="I2094" t="s">
        <v>31</v>
      </c>
      <c r="J2094" t="s">
        <v>78</v>
      </c>
      <c r="K2094" t="s">
        <v>123</v>
      </c>
      <c r="L2094" t="s">
        <v>124</v>
      </c>
      <c r="M2094">
        <v>151.01</v>
      </c>
    </row>
    <row r="2095">
      <c r="A2095" s="2">
        <v>45791</v>
      </c>
      <c r="B2095">
        <v>2025.0</v>
      </c>
      <c r="C2095" t="s">
        <v>315</v>
      </c>
      <c r="D2095" t="s">
        <v>316</v>
      </c>
      <c r="E2095" t="s">
        <v>175</v>
      </c>
      <c r="F2095" t="s">
        <v>311</v>
      </c>
      <c r="G2095" t="s">
        <v>16</v>
      </c>
      <c r="H2095">
        <v>2617.0</v>
      </c>
      <c r="I2095" t="s">
        <v>31</v>
      </c>
      <c r="J2095" t="s">
        <v>107</v>
      </c>
      <c r="K2095" t="s">
        <v>66</v>
      </c>
      <c r="L2095" t="s">
        <v>67</v>
      </c>
      <c r="M2095">
        <v>151.02</v>
      </c>
    </row>
    <row r="2096">
      <c r="A2096" s="2">
        <v>46000</v>
      </c>
      <c r="B2096">
        <v>2026.0</v>
      </c>
      <c r="C2096" t="s">
        <v>321</v>
      </c>
      <c r="D2096" t="s">
        <v>316</v>
      </c>
      <c r="E2096" t="s">
        <v>191</v>
      </c>
      <c r="F2096" t="s">
        <v>305</v>
      </c>
      <c r="G2096" t="s">
        <v>10</v>
      </c>
      <c r="H2096">
        <v>3030.0</v>
      </c>
      <c r="I2096" t="s">
        <v>31</v>
      </c>
      <c r="J2096" t="s">
        <v>120</v>
      </c>
      <c r="K2096" t="s">
        <v>57</v>
      </c>
      <c r="L2096" t="s">
        <v>58</v>
      </c>
      <c r="M2096">
        <v>151.12</v>
      </c>
    </row>
    <row r="2097">
      <c r="A2097" s="2">
        <v>45965</v>
      </c>
      <c r="B2097">
        <v>2026.0</v>
      </c>
      <c r="C2097" t="s">
        <v>321</v>
      </c>
      <c r="D2097" t="s">
        <v>316</v>
      </c>
      <c r="E2097" t="s">
        <v>209</v>
      </c>
      <c r="F2097" t="s">
        <v>304</v>
      </c>
      <c r="G2097" t="s">
        <v>9</v>
      </c>
      <c r="H2097">
        <v>2116.0</v>
      </c>
      <c r="I2097" t="s">
        <v>31</v>
      </c>
      <c r="J2097" t="s">
        <v>81</v>
      </c>
      <c r="K2097" t="s">
        <v>123</v>
      </c>
      <c r="L2097" t="s">
        <v>124</v>
      </c>
      <c r="M2097">
        <v>151.13000000000002</v>
      </c>
    </row>
    <row r="2098">
      <c r="A2098" s="2">
        <v>45801</v>
      </c>
      <c r="B2098">
        <v>2025.0</v>
      </c>
      <c r="C2098" t="s">
        <v>315</v>
      </c>
      <c r="D2098" t="s">
        <v>319</v>
      </c>
      <c r="E2098" t="s">
        <v>207</v>
      </c>
      <c r="F2098" t="s">
        <v>306</v>
      </c>
      <c r="G2098" t="s">
        <v>11</v>
      </c>
      <c r="H2098">
        <v>4825.0</v>
      </c>
      <c r="I2098" t="s">
        <v>31</v>
      </c>
      <c r="J2098" t="s">
        <v>78</v>
      </c>
      <c r="K2098" t="s">
        <v>43</v>
      </c>
      <c r="L2098" t="s">
        <v>44</v>
      </c>
      <c r="M2098">
        <v>151.25</v>
      </c>
    </row>
    <row r="2099">
      <c r="A2099" s="2">
        <v>45788</v>
      </c>
      <c r="B2099">
        <v>2025.0</v>
      </c>
      <c r="C2099" t="s">
        <v>315</v>
      </c>
      <c r="D2099" t="s">
        <v>316</v>
      </c>
      <c r="E2099" t="s">
        <v>193</v>
      </c>
      <c r="F2099" t="s">
        <v>304</v>
      </c>
      <c r="G2099" t="s">
        <v>9</v>
      </c>
      <c r="H2099">
        <v>2020.0</v>
      </c>
      <c r="I2099" t="s">
        <v>31</v>
      </c>
      <c r="J2099" t="s">
        <v>99</v>
      </c>
      <c r="K2099" t="s">
        <v>57</v>
      </c>
      <c r="L2099" t="s">
        <v>58</v>
      </c>
      <c r="M2099">
        <v>151.76</v>
      </c>
    </row>
    <row r="2100">
      <c r="A2100" s="2">
        <v>45555</v>
      </c>
      <c r="B2100">
        <v>2025.0</v>
      </c>
      <c r="C2100" t="s">
        <v>315</v>
      </c>
      <c r="D2100" t="s">
        <v>316</v>
      </c>
      <c r="E2100" t="s">
        <v>254</v>
      </c>
      <c r="F2100" t="s">
        <v>308</v>
      </c>
      <c r="G2100" t="s">
        <v>13</v>
      </c>
      <c r="H2100">
        <v>5343.0</v>
      </c>
      <c r="I2100" t="s">
        <v>31</v>
      </c>
      <c r="J2100" t="s">
        <v>227</v>
      </c>
      <c r="K2100" t="s">
        <v>112</v>
      </c>
      <c r="L2100" t="s">
        <v>113</v>
      </c>
      <c r="M2100">
        <v>151.85</v>
      </c>
    </row>
    <row r="2101">
      <c r="A2101" s="2">
        <v>45476</v>
      </c>
      <c r="B2101">
        <v>2025.0</v>
      </c>
      <c r="C2101" t="s">
        <v>315</v>
      </c>
      <c r="D2101" t="s">
        <v>319</v>
      </c>
      <c r="E2101" t="s">
        <v>240</v>
      </c>
      <c r="F2101" t="s">
        <v>310</v>
      </c>
      <c r="G2101" t="s">
        <v>15</v>
      </c>
      <c r="H2101">
        <v>7010.0</v>
      </c>
      <c r="I2101" t="s">
        <v>31</v>
      </c>
      <c r="J2101" t="s">
        <v>53</v>
      </c>
      <c r="K2101" t="s">
        <v>43</v>
      </c>
      <c r="L2101" t="s">
        <v>44</v>
      </c>
      <c r="M2101">
        <v>151.86</v>
      </c>
    </row>
    <row r="2102">
      <c r="A2102" s="2">
        <v>45458</v>
      </c>
      <c r="B2102">
        <v>2024.0</v>
      </c>
      <c r="C2102" t="s">
        <v>318</v>
      </c>
      <c r="D2102" t="s">
        <v>319</v>
      </c>
      <c r="E2102" t="s">
        <v>85</v>
      </c>
      <c r="F2102" t="s">
        <v>304</v>
      </c>
      <c r="G2102" t="s">
        <v>9</v>
      </c>
      <c r="H2102">
        <v>2120.0</v>
      </c>
      <c r="I2102" t="s">
        <v>31</v>
      </c>
      <c r="J2102" t="s">
        <v>81</v>
      </c>
      <c r="K2102" t="s">
        <v>57</v>
      </c>
      <c r="L2102" t="s">
        <v>58</v>
      </c>
      <c r="M2102">
        <v>151.89</v>
      </c>
    </row>
    <row r="2103">
      <c r="A2103" s="2">
        <v>45793</v>
      </c>
      <c r="B2103">
        <v>2025.0</v>
      </c>
      <c r="C2103" t="s">
        <v>315</v>
      </c>
      <c r="D2103" t="s">
        <v>316</v>
      </c>
      <c r="E2103" t="s">
        <v>90</v>
      </c>
      <c r="F2103" t="s">
        <v>305</v>
      </c>
      <c r="G2103" t="s">
        <v>10</v>
      </c>
      <c r="H2103">
        <v>3353.0</v>
      </c>
      <c r="I2103" t="s">
        <v>31</v>
      </c>
      <c r="J2103" t="s">
        <v>37</v>
      </c>
      <c r="K2103" t="s">
        <v>95</v>
      </c>
      <c r="L2103" t="s">
        <v>96</v>
      </c>
      <c r="M2103">
        <v>151.93</v>
      </c>
    </row>
    <row r="2104">
      <c r="A2104" s="2">
        <v>45982</v>
      </c>
      <c r="B2104">
        <v>2026.0</v>
      </c>
      <c r="C2104" t="s">
        <v>321</v>
      </c>
      <c r="D2104" t="s">
        <v>319</v>
      </c>
      <c r="E2104" t="s">
        <v>199</v>
      </c>
      <c r="F2104" t="s">
        <v>308</v>
      </c>
      <c r="G2104" t="s">
        <v>13</v>
      </c>
      <c r="H2104">
        <v>5169.0</v>
      </c>
      <c r="I2104" t="s">
        <v>31</v>
      </c>
      <c r="J2104" t="s">
        <v>42</v>
      </c>
      <c r="K2104" t="s">
        <v>46</v>
      </c>
      <c r="L2104" t="s">
        <v>47</v>
      </c>
      <c r="M2104">
        <v>152.34</v>
      </c>
    </row>
    <row r="2105">
      <c r="A2105" s="2">
        <v>45617</v>
      </c>
      <c r="B2105">
        <v>2025.0</v>
      </c>
      <c r="C2105" t="s">
        <v>315</v>
      </c>
      <c r="D2105" t="s">
        <v>316</v>
      </c>
      <c r="E2105" t="s">
        <v>76</v>
      </c>
      <c r="F2105" t="s">
        <v>306</v>
      </c>
      <c r="G2105" t="s">
        <v>11</v>
      </c>
      <c r="H2105">
        <v>4883.0</v>
      </c>
      <c r="I2105" t="s">
        <v>31</v>
      </c>
      <c r="J2105" t="s">
        <v>78</v>
      </c>
      <c r="K2105" t="s">
        <v>95</v>
      </c>
      <c r="L2105" t="s">
        <v>96</v>
      </c>
      <c r="M2105">
        <v>152.67000000000002</v>
      </c>
    </row>
    <row r="2106">
      <c r="A2106" s="2">
        <v>45380</v>
      </c>
      <c r="B2106">
        <v>2024.0</v>
      </c>
      <c r="C2106" t="s">
        <v>318</v>
      </c>
      <c r="D2106" t="s">
        <v>316</v>
      </c>
      <c r="E2106" t="s">
        <v>62</v>
      </c>
      <c r="F2106" t="s">
        <v>307</v>
      </c>
      <c r="G2106" t="s">
        <v>12</v>
      </c>
      <c r="H2106">
        <v>6530.0</v>
      </c>
      <c r="I2106" t="s">
        <v>31</v>
      </c>
      <c r="J2106" t="s">
        <v>50</v>
      </c>
      <c r="K2106" t="s">
        <v>95</v>
      </c>
      <c r="L2106" t="s">
        <v>96</v>
      </c>
      <c r="M2106">
        <v>152.71</v>
      </c>
    </row>
    <row r="2107">
      <c r="A2107" s="2">
        <v>45511</v>
      </c>
      <c r="B2107">
        <v>2025.0</v>
      </c>
      <c r="C2107" t="s">
        <v>315</v>
      </c>
      <c r="D2107" t="s">
        <v>316</v>
      </c>
      <c r="E2107" t="s">
        <v>82</v>
      </c>
      <c r="F2107" t="s">
        <v>306</v>
      </c>
      <c r="G2107" t="s">
        <v>11</v>
      </c>
      <c r="H2107">
        <v>4558.0</v>
      </c>
      <c r="I2107" t="s">
        <v>31</v>
      </c>
      <c r="J2107" t="s">
        <v>84</v>
      </c>
      <c r="K2107" t="s">
        <v>95</v>
      </c>
      <c r="L2107" t="s">
        <v>96</v>
      </c>
      <c r="M2107">
        <v>152.77</v>
      </c>
    </row>
    <row r="2108">
      <c r="A2108" s="2">
        <v>45607</v>
      </c>
      <c r="B2108">
        <v>2025.0</v>
      </c>
      <c r="C2108" t="s">
        <v>315</v>
      </c>
      <c r="D2108" t="s">
        <v>316</v>
      </c>
      <c r="E2108" t="s">
        <v>258</v>
      </c>
      <c r="F2108" t="s">
        <v>309</v>
      </c>
      <c r="G2108" t="s">
        <v>14</v>
      </c>
      <c r="H2108">
        <v>870.0</v>
      </c>
      <c r="I2108" t="s">
        <v>31</v>
      </c>
      <c r="J2108" t="s">
        <v>145</v>
      </c>
      <c r="K2108" t="s">
        <v>95</v>
      </c>
      <c r="L2108" t="s">
        <v>96</v>
      </c>
      <c r="M2108">
        <v>152.86</v>
      </c>
    </row>
    <row r="2109">
      <c r="A2109" s="2">
        <v>46015</v>
      </c>
      <c r="B2109">
        <v>2026.0</v>
      </c>
      <c r="C2109" t="s">
        <v>321</v>
      </c>
      <c r="D2109" t="s">
        <v>319</v>
      </c>
      <c r="E2109" t="s">
        <v>213</v>
      </c>
      <c r="F2109" t="s">
        <v>306</v>
      </c>
      <c r="G2109" t="s">
        <v>11</v>
      </c>
      <c r="H2109">
        <v>4740.0</v>
      </c>
      <c r="I2109" t="s">
        <v>31</v>
      </c>
      <c r="J2109" t="s">
        <v>32</v>
      </c>
      <c r="K2109" t="s">
        <v>46</v>
      </c>
      <c r="L2109" t="s">
        <v>47</v>
      </c>
      <c r="M2109">
        <v>152.86</v>
      </c>
    </row>
    <row r="2110">
      <c r="A2110" s="2">
        <v>45782</v>
      </c>
      <c r="B2110">
        <v>2025.0</v>
      </c>
      <c r="C2110" t="s">
        <v>315</v>
      </c>
      <c r="D2110" t="s">
        <v>316</v>
      </c>
      <c r="E2110" t="s">
        <v>40</v>
      </c>
      <c r="F2110" t="s">
        <v>308</v>
      </c>
      <c r="G2110" t="s">
        <v>13</v>
      </c>
      <c r="H2110">
        <v>5011.0</v>
      </c>
      <c r="I2110" t="s">
        <v>31</v>
      </c>
      <c r="J2110" t="s">
        <v>42</v>
      </c>
      <c r="K2110" t="s">
        <v>43</v>
      </c>
      <c r="L2110" t="s">
        <v>44</v>
      </c>
      <c r="M2110">
        <v>152.9</v>
      </c>
    </row>
    <row r="2111">
      <c r="A2111" s="2">
        <v>45678</v>
      </c>
      <c r="B2111">
        <v>2025.0</v>
      </c>
      <c r="C2111" t="s">
        <v>315</v>
      </c>
      <c r="D2111" t="s">
        <v>316</v>
      </c>
      <c r="E2111" t="s">
        <v>121</v>
      </c>
      <c r="F2111" t="s">
        <v>306</v>
      </c>
      <c r="G2111" t="s">
        <v>11</v>
      </c>
      <c r="H2111">
        <v>4566.0</v>
      </c>
      <c r="I2111" t="s">
        <v>31</v>
      </c>
      <c r="J2111" t="s">
        <v>84</v>
      </c>
      <c r="K2111" t="s">
        <v>43</v>
      </c>
      <c r="L2111" t="s">
        <v>44</v>
      </c>
      <c r="M2111">
        <v>153.62</v>
      </c>
    </row>
    <row r="2112">
      <c r="A2112" s="2">
        <v>46022</v>
      </c>
      <c r="B2112">
        <v>2026.0</v>
      </c>
      <c r="C2112" t="s">
        <v>321</v>
      </c>
      <c r="D2112" t="s">
        <v>316</v>
      </c>
      <c r="E2112" t="s">
        <v>175</v>
      </c>
      <c r="F2112" t="s">
        <v>311</v>
      </c>
      <c r="G2112" t="s">
        <v>16</v>
      </c>
      <c r="H2112">
        <v>2617.0</v>
      </c>
      <c r="I2112" t="s">
        <v>31</v>
      </c>
      <c r="J2112" t="s">
        <v>107</v>
      </c>
      <c r="K2112" t="s">
        <v>38</v>
      </c>
      <c r="L2112" t="s">
        <v>39</v>
      </c>
      <c r="M2112">
        <v>153.76</v>
      </c>
    </row>
    <row r="2113">
      <c r="A2113" s="2">
        <v>45800</v>
      </c>
      <c r="B2113">
        <v>2025.0</v>
      </c>
      <c r="C2113" t="s">
        <v>315</v>
      </c>
      <c r="D2113" t="s">
        <v>319</v>
      </c>
      <c r="E2113" t="s">
        <v>118</v>
      </c>
      <c r="F2113" t="s">
        <v>305</v>
      </c>
      <c r="G2113" t="s">
        <v>10</v>
      </c>
      <c r="H2113">
        <v>3076.0</v>
      </c>
      <c r="I2113" t="s">
        <v>31</v>
      </c>
      <c r="J2113" t="s">
        <v>120</v>
      </c>
      <c r="K2113" t="s">
        <v>43</v>
      </c>
      <c r="L2113" t="s">
        <v>44</v>
      </c>
      <c r="M2113">
        <v>154.07</v>
      </c>
    </row>
    <row r="2114">
      <c r="A2114" s="2">
        <v>45372</v>
      </c>
      <c r="B2114">
        <v>2024.0</v>
      </c>
      <c r="C2114" t="s">
        <v>318</v>
      </c>
      <c r="D2114" t="s">
        <v>319</v>
      </c>
      <c r="E2114" t="s">
        <v>105</v>
      </c>
      <c r="F2114" t="s">
        <v>304</v>
      </c>
      <c r="G2114" t="s">
        <v>9</v>
      </c>
      <c r="H2114">
        <v>2541.0</v>
      </c>
      <c r="I2114" t="s">
        <v>31</v>
      </c>
      <c r="J2114" t="s">
        <v>107</v>
      </c>
      <c r="K2114" t="s">
        <v>95</v>
      </c>
      <c r="L2114" t="s">
        <v>96</v>
      </c>
      <c r="M2114">
        <v>154.47</v>
      </c>
    </row>
    <row r="2115">
      <c r="A2115" s="2">
        <v>45990</v>
      </c>
      <c r="B2115">
        <v>2026.0</v>
      </c>
      <c r="C2115" t="s">
        <v>321</v>
      </c>
      <c r="D2115" t="s">
        <v>316</v>
      </c>
      <c r="E2115" t="s">
        <v>246</v>
      </c>
      <c r="F2115" t="s">
        <v>305</v>
      </c>
      <c r="G2115" t="s">
        <v>10</v>
      </c>
      <c r="H2115">
        <v>3551.0</v>
      </c>
      <c r="I2115" t="s">
        <v>31</v>
      </c>
      <c r="J2115" t="s">
        <v>37</v>
      </c>
      <c r="K2115" t="s">
        <v>46</v>
      </c>
      <c r="L2115" t="s">
        <v>47</v>
      </c>
      <c r="M2115">
        <v>154.48</v>
      </c>
    </row>
    <row r="2116">
      <c r="A2116" s="2">
        <v>46007</v>
      </c>
      <c r="B2116">
        <v>2026.0</v>
      </c>
      <c r="C2116" t="s">
        <v>321</v>
      </c>
      <c r="D2116" t="s">
        <v>316</v>
      </c>
      <c r="E2116" t="s">
        <v>193</v>
      </c>
      <c r="F2116" t="s">
        <v>304</v>
      </c>
      <c r="G2116" t="s">
        <v>9</v>
      </c>
      <c r="H2116">
        <v>2020.0</v>
      </c>
      <c r="I2116" t="s">
        <v>31</v>
      </c>
      <c r="J2116" t="s">
        <v>99</v>
      </c>
      <c r="K2116" t="s">
        <v>43</v>
      </c>
      <c r="L2116" t="s">
        <v>44</v>
      </c>
      <c r="M2116">
        <v>154.55</v>
      </c>
    </row>
    <row r="2117">
      <c r="A2117" s="2">
        <v>45564</v>
      </c>
      <c r="B2117">
        <v>2025.0</v>
      </c>
      <c r="C2117" t="s">
        <v>315</v>
      </c>
      <c r="D2117" t="s">
        <v>319</v>
      </c>
      <c r="E2117" t="s">
        <v>116</v>
      </c>
      <c r="F2117" t="s">
        <v>304</v>
      </c>
      <c r="G2117" t="s">
        <v>9</v>
      </c>
      <c r="H2117">
        <v>2485.0</v>
      </c>
      <c r="I2117" t="s">
        <v>31</v>
      </c>
      <c r="J2117" t="s">
        <v>70</v>
      </c>
      <c r="K2117" t="s">
        <v>57</v>
      </c>
      <c r="L2117" t="s">
        <v>58</v>
      </c>
      <c r="M2117">
        <v>154.84</v>
      </c>
    </row>
    <row r="2118">
      <c r="A2118" s="2">
        <v>45330</v>
      </c>
      <c r="B2118">
        <v>2024.0</v>
      </c>
      <c r="C2118" t="s">
        <v>318</v>
      </c>
      <c r="D2118" t="s">
        <v>316</v>
      </c>
      <c r="E2118" t="s">
        <v>246</v>
      </c>
      <c r="F2118" t="s">
        <v>305</v>
      </c>
      <c r="G2118" t="s">
        <v>10</v>
      </c>
      <c r="H2118">
        <v>3551.0</v>
      </c>
      <c r="I2118" t="s">
        <v>31</v>
      </c>
      <c r="J2118" t="s">
        <v>37</v>
      </c>
      <c r="K2118" t="s">
        <v>112</v>
      </c>
      <c r="L2118" t="s">
        <v>113</v>
      </c>
      <c r="M2118">
        <v>154.87</v>
      </c>
    </row>
    <row r="2119">
      <c r="A2119" s="2">
        <v>45494</v>
      </c>
      <c r="B2119">
        <v>2025.0</v>
      </c>
      <c r="C2119" t="s">
        <v>315</v>
      </c>
      <c r="D2119" t="s">
        <v>316</v>
      </c>
      <c r="E2119" t="s">
        <v>73</v>
      </c>
      <c r="F2119" t="s">
        <v>304</v>
      </c>
      <c r="G2119" t="s">
        <v>9</v>
      </c>
      <c r="H2119">
        <v>2750.0</v>
      </c>
      <c r="I2119" t="s">
        <v>31</v>
      </c>
      <c r="J2119" t="s">
        <v>75</v>
      </c>
      <c r="K2119" t="s">
        <v>43</v>
      </c>
      <c r="L2119" t="s">
        <v>44</v>
      </c>
      <c r="M2119">
        <v>154.89000000000001</v>
      </c>
    </row>
    <row r="2120">
      <c r="A2120" s="2">
        <v>45672</v>
      </c>
      <c r="B2120">
        <v>2025.0</v>
      </c>
      <c r="C2120" t="s">
        <v>315</v>
      </c>
      <c r="D2120" t="s">
        <v>319</v>
      </c>
      <c r="E2120" t="s">
        <v>62</v>
      </c>
      <c r="F2120" t="s">
        <v>307</v>
      </c>
      <c r="G2120" t="s">
        <v>12</v>
      </c>
      <c r="H2120">
        <v>6530.0</v>
      </c>
      <c r="I2120" t="s">
        <v>31</v>
      </c>
      <c r="J2120" t="s">
        <v>50</v>
      </c>
      <c r="K2120" t="s">
        <v>71</v>
      </c>
      <c r="L2120" t="s">
        <v>72</v>
      </c>
      <c r="M2120">
        <v>155.0</v>
      </c>
    </row>
    <row r="2121">
      <c r="A2121" s="2">
        <v>45419</v>
      </c>
      <c r="B2121">
        <v>2024.0</v>
      </c>
      <c r="C2121" t="s">
        <v>318</v>
      </c>
      <c r="D2121" t="s">
        <v>319</v>
      </c>
      <c r="E2121" t="s">
        <v>185</v>
      </c>
      <c r="F2121" t="s">
        <v>307</v>
      </c>
      <c r="G2121" t="s">
        <v>12</v>
      </c>
      <c r="H2121">
        <v>6109.0</v>
      </c>
      <c r="I2121" t="s">
        <v>31</v>
      </c>
      <c r="J2121" t="s">
        <v>162</v>
      </c>
      <c r="K2121" t="s">
        <v>33</v>
      </c>
      <c r="L2121" t="s">
        <v>34</v>
      </c>
      <c r="M2121">
        <v>155.46</v>
      </c>
    </row>
    <row r="2122">
      <c r="A2122" s="2">
        <v>45305</v>
      </c>
      <c r="B2122">
        <v>2024.0</v>
      </c>
      <c r="C2122" t="s">
        <v>318</v>
      </c>
      <c r="D2122" t="s">
        <v>316</v>
      </c>
      <c r="E2122" t="s">
        <v>40</v>
      </c>
      <c r="F2122" t="s">
        <v>308</v>
      </c>
      <c r="G2122" t="s">
        <v>13</v>
      </c>
      <c r="H2122">
        <v>5011.0</v>
      </c>
      <c r="I2122" t="s">
        <v>31</v>
      </c>
      <c r="J2122" t="s">
        <v>42</v>
      </c>
      <c r="K2122" t="s">
        <v>57</v>
      </c>
      <c r="L2122" t="s">
        <v>58</v>
      </c>
      <c r="M2122">
        <v>155.74</v>
      </c>
    </row>
    <row r="2123">
      <c r="A2123" s="2">
        <v>45861</v>
      </c>
      <c r="B2123">
        <v>2026.0</v>
      </c>
      <c r="C2123" t="s">
        <v>321</v>
      </c>
      <c r="D2123" t="s">
        <v>316</v>
      </c>
      <c r="E2123" t="s">
        <v>175</v>
      </c>
      <c r="F2123" t="s">
        <v>311</v>
      </c>
      <c r="G2123" t="s">
        <v>16</v>
      </c>
      <c r="H2123">
        <v>2617.0</v>
      </c>
      <c r="I2123" t="s">
        <v>31</v>
      </c>
      <c r="J2123" t="s">
        <v>107</v>
      </c>
      <c r="K2123" t="s">
        <v>95</v>
      </c>
      <c r="L2123" t="s">
        <v>96</v>
      </c>
      <c r="M2123">
        <v>156.04000000000002</v>
      </c>
    </row>
    <row r="2124">
      <c r="A2124" s="2">
        <v>45995</v>
      </c>
      <c r="B2124">
        <v>2026.0</v>
      </c>
      <c r="C2124" t="s">
        <v>321</v>
      </c>
      <c r="D2124" t="s">
        <v>316</v>
      </c>
      <c r="E2124" t="s">
        <v>191</v>
      </c>
      <c r="F2124" t="s">
        <v>305</v>
      </c>
      <c r="G2124" t="s">
        <v>10</v>
      </c>
      <c r="H2124">
        <v>3030.0</v>
      </c>
      <c r="I2124" t="s">
        <v>31</v>
      </c>
      <c r="J2124" t="s">
        <v>120</v>
      </c>
      <c r="K2124" t="s">
        <v>33</v>
      </c>
      <c r="L2124" t="s">
        <v>34</v>
      </c>
      <c r="M2124">
        <v>157.42</v>
      </c>
    </row>
    <row r="2125">
      <c r="A2125" s="2">
        <v>45699</v>
      </c>
      <c r="B2125">
        <v>2025.0</v>
      </c>
      <c r="C2125" t="s">
        <v>315</v>
      </c>
      <c r="D2125" t="s">
        <v>319</v>
      </c>
      <c r="E2125" t="s">
        <v>252</v>
      </c>
      <c r="F2125" t="s">
        <v>305</v>
      </c>
      <c r="G2125" t="s">
        <v>10</v>
      </c>
      <c r="H2125">
        <v>3630.0</v>
      </c>
      <c r="I2125" t="s">
        <v>31</v>
      </c>
      <c r="J2125" t="s">
        <v>94</v>
      </c>
      <c r="K2125" t="s">
        <v>38</v>
      </c>
      <c r="L2125" t="s">
        <v>39</v>
      </c>
      <c r="M2125">
        <v>157.45</v>
      </c>
    </row>
    <row r="2126">
      <c r="A2126" s="2">
        <v>45921</v>
      </c>
      <c r="B2126">
        <v>2026.0</v>
      </c>
      <c r="C2126" t="s">
        <v>321</v>
      </c>
      <c r="D2126" t="s">
        <v>319</v>
      </c>
      <c r="E2126" t="s">
        <v>118</v>
      </c>
      <c r="F2126" t="s">
        <v>305</v>
      </c>
      <c r="G2126" t="s">
        <v>10</v>
      </c>
      <c r="H2126">
        <v>3076.0</v>
      </c>
      <c r="I2126" t="s">
        <v>31</v>
      </c>
      <c r="J2126" t="s">
        <v>120</v>
      </c>
      <c r="K2126" t="s">
        <v>57</v>
      </c>
      <c r="L2126" t="s">
        <v>58</v>
      </c>
      <c r="M2126">
        <v>157.7</v>
      </c>
    </row>
    <row r="2127">
      <c r="A2127" s="2">
        <v>45329</v>
      </c>
      <c r="B2127">
        <v>2024.0</v>
      </c>
      <c r="C2127" t="s">
        <v>318</v>
      </c>
      <c r="D2127" t="s">
        <v>319</v>
      </c>
      <c r="E2127" t="s">
        <v>35</v>
      </c>
      <c r="F2127" t="s">
        <v>305</v>
      </c>
      <c r="G2127" t="s">
        <v>10</v>
      </c>
      <c r="H2127">
        <v>3280.0</v>
      </c>
      <c r="I2127" t="s">
        <v>31</v>
      </c>
      <c r="J2127" t="s">
        <v>37</v>
      </c>
      <c r="K2127" t="s">
        <v>38</v>
      </c>
      <c r="L2127" t="s">
        <v>39</v>
      </c>
      <c r="M2127">
        <v>157.74</v>
      </c>
    </row>
    <row r="2128">
      <c r="A2128" s="2">
        <v>45907</v>
      </c>
      <c r="B2128">
        <v>2026.0</v>
      </c>
      <c r="C2128" t="s">
        <v>321</v>
      </c>
      <c r="D2128" t="s">
        <v>316</v>
      </c>
      <c r="E2128" t="s">
        <v>167</v>
      </c>
      <c r="F2128" t="s">
        <v>307</v>
      </c>
      <c r="G2128" t="s">
        <v>12</v>
      </c>
      <c r="H2128">
        <v>6030.0</v>
      </c>
      <c r="I2128" t="s">
        <v>31</v>
      </c>
      <c r="J2128" t="s">
        <v>102</v>
      </c>
      <c r="K2128" t="s">
        <v>95</v>
      </c>
      <c r="L2128" t="s">
        <v>96</v>
      </c>
      <c r="M2128">
        <v>157.8</v>
      </c>
    </row>
    <row r="2129">
      <c r="A2129" s="2">
        <v>45506</v>
      </c>
      <c r="B2129">
        <v>2025.0</v>
      </c>
      <c r="C2129" t="s">
        <v>315</v>
      </c>
      <c r="D2129" t="s">
        <v>316</v>
      </c>
      <c r="E2129" t="s">
        <v>150</v>
      </c>
      <c r="F2129" t="s">
        <v>310</v>
      </c>
      <c r="G2129" t="s">
        <v>15</v>
      </c>
      <c r="H2129">
        <v>7250.0</v>
      </c>
      <c r="I2129" t="s">
        <v>31</v>
      </c>
      <c r="J2129" t="s">
        <v>53</v>
      </c>
      <c r="K2129" t="s">
        <v>46</v>
      </c>
      <c r="L2129" t="s">
        <v>47</v>
      </c>
      <c r="M2129">
        <v>157.81</v>
      </c>
    </row>
    <row r="2130">
      <c r="A2130" s="2">
        <v>45771</v>
      </c>
      <c r="B2130">
        <v>2025.0</v>
      </c>
      <c r="C2130" t="s">
        <v>315</v>
      </c>
      <c r="D2130" t="s">
        <v>319</v>
      </c>
      <c r="E2130" t="s">
        <v>85</v>
      </c>
      <c r="F2130" t="s">
        <v>304</v>
      </c>
      <c r="G2130" t="s">
        <v>9</v>
      </c>
      <c r="H2130">
        <v>2120.0</v>
      </c>
      <c r="I2130" t="s">
        <v>31</v>
      </c>
      <c r="J2130" t="s">
        <v>81</v>
      </c>
      <c r="K2130" t="s">
        <v>43</v>
      </c>
      <c r="L2130" t="s">
        <v>44</v>
      </c>
      <c r="M2130">
        <v>157.82999999999998</v>
      </c>
    </row>
    <row r="2131">
      <c r="A2131" s="2">
        <v>45914</v>
      </c>
      <c r="B2131">
        <v>2026.0</v>
      </c>
      <c r="C2131" t="s">
        <v>321</v>
      </c>
      <c r="D2131" t="s">
        <v>319</v>
      </c>
      <c r="E2131" t="s">
        <v>203</v>
      </c>
      <c r="F2131" t="s">
        <v>305</v>
      </c>
      <c r="G2131" t="s">
        <v>10</v>
      </c>
      <c r="H2131">
        <v>3175.0</v>
      </c>
      <c r="I2131" t="s">
        <v>31</v>
      </c>
      <c r="J2131" t="s">
        <v>89</v>
      </c>
      <c r="K2131" t="s">
        <v>43</v>
      </c>
      <c r="L2131" t="s">
        <v>44</v>
      </c>
      <c r="M2131">
        <v>157.91000000000003</v>
      </c>
    </row>
    <row r="2132">
      <c r="A2132" s="2">
        <v>45477</v>
      </c>
      <c r="B2132">
        <v>2025.0</v>
      </c>
      <c r="C2132" t="s">
        <v>315</v>
      </c>
      <c r="D2132" t="s">
        <v>316</v>
      </c>
      <c r="E2132" t="s">
        <v>177</v>
      </c>
      <c r="F2132" t="s">
        <v>307</v>
      </c>
      <c r="G2132" t="s">
        <v>12</v>
      </c>
      <c r="H2132">
        <v>6330.0</v>
      </c>
      <c r="I2132" t="s">
        <v>31</v>
      </c>
      <c r="J2132" t="s">
        <v>162</v>
      </c>
      <c r="K2132" t="s">
        <v>66</v>
      </c>
      <c r="L2132" t="s">
        <v>67</v>
      </c>
      <c r="M2132">
        <v>157.95</v>
      </c>
    </row>
    <row r="2133">
      <c r="A2133" s="2">
        <v>45469</v>
      </c>
      <c r="B2133">
        <v>2024.0</v>
      </c>
      <c r="C2133" t="s">
        <v>318</v>
      </c>
      <c r="D2133" t="s">
        <v>319</v>
      </c>
      <c r="E2133" t="s">
        <v>156</v>
      </c>
      <c r="F2133" t="s">
        <v>304</v>
      </c>
      <c r="G2133" t="s">
        <v>9</v>
      </c>
      <c r="H2133">
        <v>2830.0</v>
      </c>
      <c r="I2133" t="s">
        <v>31</v>
      </c>
      <c r="J2133" t="s">
        <v>75</v>
      </c>
      <c r="K2133" t="s">
        <v>71</v>
      </c>
      <c r="L2133" t="s">
        <v>72</v>
      </c>
      <c r="M2133">
        <v>157.98</v>
      </c>
    </row>
    <row r="2134">
      <c r="A2134" s="2">
        <v>45971</v>
      </c>
      <c r="B2134">
        <v>2026.0</v>
      </c>
      <c r="C2134" t="s">
        <v>321</v>
      </c>
      <c r="D2134" t="s">
        <v>316</v>
      </c>
      <c r="E2134" t="s">
        <v>191</v>
      </c>
      <c r="F2134" t="s">
        <v>305</v>
      </c>
      <c r="G2134" t="s">
        <v>10</v>
      </c>
      <c r="H2134">
        <v>3030.0</v>
      </c>
      <c r="I2134" t="s">
        <v>31</v>
      </c>
      <c r="J2134" t="s">
        <v>120</v>
      </c>
      <c r="K2134" t="s">
        <v>71</v>
      </c>
      <c r="L2134" t="s">
        <v>72</v>
      </c>
      <c r="M2134">
        <v>158.05</v>
      </c>
    </row>
    <row r="2135">
      <c r="A2135" s="2">
        <v>45773</v>
      </c>
      <c r="B2135">
        <v>2025.0</v>
      </c>
      <c r="C2135" t="s">
        <v>315</v>
      </c>
      <c r="D2135" t="s">
        <v>316</v>
      </c>
      <c r="E2135" t="s">
        <v>158</v>
      </c>
      <c r="F2135" t="s">
        <v>306</v>
      </c>
      <c r="G2135" t="s">
        <v>11</v>
      </c>
      <c r="H2135">
        <v>4570.0</v>
      </c>
      <c r="I2135" t="s">
        <v>31</v>
      </c>
      <c r="J2135" t="s">
        <v>84</v>
      </c>
      <c r="K2135" t="s">
        <v>123</v>
      </c>
      <c r="L2135" t="s">
        <v>124</v>
      </c>
      <c r="M2135">
        <v>158.43000000000004</v>
      </c>
    </row>
    <row r="2136">
      <c r="A2136" s="2">
        <v>45864</v>
      </c>
      <c r="B2136">
        <v>2026.0</v>
      </c>
      <c r="C2136" t="s">
        <v>321</v>
      </c>
      <c r="D2136" t="s">
        <v>316</v>
      </c>
      <c r="E2136" t="s">
        <v>154</v>
      </c>
      <c r="F2136" t="s">
        <v>306</v>
      </c>
      <c r="G2136" t="s">
        <v>11</v>
      </c>
      <c r="H2136">
        <v>4551.0</v>
      </c>
      <c r="I2136" t="s">
        <v>31</v>
      </c>
      <c r="J2136" t="s">
        <v>84</v>
      </c>
      <c r="K2136" t="s">
        <v>71</v>
      </c>
      <c r="L2136" t="s">
        <v>72</v>
      </c>
      <c r="M2136">
        <v>158.54</v>
      </c>
    </row>
    <row r="2137">
      <c r="A2137" s="2">
        <v>45301</v>
      </c>
      <c r="B2137">
        <v>2024.0</v>
      </c>
      <c r="C2137" t="s">
        <v>318</v>
      </c>
      <c r="D2137" t="s">
        <v>316</v>
      </c>
      <c r="E2137" t="s">
        <v>150</v>
      </c>
      <c r="F2137" t="s">
        <v>310</v>
      </c>
      <c r="G2137" t="s">
        <v>15</v>
      </c>
      <c r="H2137">
        <v>7250.0</v>
      </c>
      <c r="I2137" t="s">
        <v>31</v>
      </c>
      <c r="J2137" t="s">
        <v>53</v>
      </c>
      <c r="K2137" t="s">
        <v>43</v>
      </c>
      <c r="L2137" t="s">
        <v>44</v>
      </c>
      <c r="M2137">
        <v>158.78</v>
      </c>
    </row>
    <row r="2138">
      <c r="A2138" s="2">
        <v>45851</v>
      </c>
      <c r="B2138">
        <v>2026.0</v>
      </c>
      <c r="C2138" t="s">
        <v>321</v>
      </c>
      <c r="D2138" t="s">
        <v>319</v>
      </c>
      <c r="E2138" t="s">
        <v>148</v>
      </c>
      <c r="F2138" t="s">
        <v>307</v>
      </c>
      <c r="G2138" t="s">
        <v>12</v>
      </c>
      <c r="H2138">
        <v>6450.0</v>
      </c>
      <c r="I2138" t="s">
        <v>31</v>
      </c>
      <c r="J2138" t="s">
        <v>50</v>
      </c>
      <c r="K2138" t="s">
        <v>71</v>
      </c>
      <c r="L2138" t="s">
        <v>72</v>
      </c>
      <c r="M2138">
        <v>159.11</v>
      </c>
    </row>
    <row r="2139">
      <c r="A2139" s="2">
        <v>45294</v>
      </c>
      <c r="B2139">
        <v>2024.0</v>
      </c>
      <c r="C2139" t="s">
        <v>318</v>
      </c>
      <c r="D2139" t="s">
        <v>316</v>
      </c>
      <c r="E2139" t="s">
        <v>82</v>
      </c>
      <c r="F2139" t="s">
        <v>306</v>
      </c>
      <c r="G2139" t="s">
        <v>11</v>
      </c>
      <c r="H2139">
        <v>4558.0</v>
      </c>
      <c r="I2139" t="s">
        <v>31</v>
      </c>
      <c r="J2139" t="s">
        <v>84</v>
      </c>
      <c r="K2139" t="s">
        <v>71</v>
      </c>
      <c r="L2139" t="s">
        <v>72</v>
      </c>
      <c r="M2139">
        <v>159.58</v>
      </c>
    </row>
    <row r="2140">
      <c r="A2140" s="2">
        <v>45797</v>
      </c>
      <c r="B2140">
        <v>2025.0</v>
      </c>
      <c r="C2140" t="s">
        <v>315</v>
      </c>
      <c r="D2140" t="s">
        <v>319</v>
      </c>
      <c r="E2140" t="s">
        <v>236</v>
      </c>
      <c r="F2140" t="s">
        <v>307</v>
      </c>
      <c r="G2140" t="s">
        <v>12</v>
      </c>
      <c r="H2140">
        <v>6052.0</v>
      </c>
      <c r="I2140" t="s">
        <v>31</v>
      </c>
      <c r="J2140" t="s">
        <v>102</v>
      </c>
      <c r="K2140" t="s">
        <v>38</v>
      </c>
      <c r="L2140" t="s">
        <v>39</v>
      </c>
      <c r="M2140">
        <v>159.73000000000002</v>
      </c>
    </row>
    <row r="2141">
      <c r="A2141" s="2">
        <v>45692</v>
      </c>
      <c r="B2141">
        <v>2025.0</v>
      </c>
      <c r="C2141" t="s">
        <v>315</v>
      </c>
      <c r="D2141" t="s">
        <v>316</v>
      </c>
      <c r="E2141" t="s">
        <v>148</v>
      </c>
      <c r="F2141" t="s">
        <v>307</v>
      </c>
      <c r="G2141" t="s">
        <v>12</v>
      </c>
      <c r="H2141">
        <v>6450.0</v>
      </c>
      <c r="I2141" t="s">
        <v>31</v>
      </c>
      <c r="J2141" t="s">
        <v>50</v>
      </c>
      <c r="K2141" t="s">
        <v>43</v>
      </c>
      <c r="L2141" t="s">
        <v>44</v>
      </c>
      <c r="M2141">
        <v>159.91</v>
      </c>
    </row>
    <row r="2142">
      <c r="A2142" s="2">
        <v>45629</v>
      </c>
      <c r="B2142">
        <v>2025.0</v>
      </c>
      <c r="C2142" t="s">
        <v>315</v>
      </c>
      <c r="D2142" t="s">
        <v>316</v>
      </c>
      <c r="E2142" t="s">
        <v>209</v>
      </c>
      <c r="F2142" t="s">
        <v>304</v>
      </c>
      <c r="G2142" t="s">
        <v>9</v>
      </c>
      <c r="H2142">
        <v>2116.0</v>
      </c>
      <c r="I2142" t="s">
        <v>31</v>
      </c>
      <c r="J2142" t="s">
        <v>81</v>
      </c>
      <c r="K2142" t="s">
        <v>43</v>
      </c>
      <c r="L2142" t="s">
        <v>44</v>
      </c>
      <c r="M2142">
        <v>160.08</v>
      </c>
    </row>
    <row r="2143">
      <c r="A2143" s="2">
        <v>45885</v>
      </c>
      <c r="B2143">
        <v>2026.0</v>
      </c>
      <c r="C2143" t="s">
        <v>321</v>
      </c>
      <c r="D2143" t="s">
        <v>319</v>
      </c>
      <c r="E2143" t="s">
        <v>205</v>
      </c>
      <c r="F2143" t="s">
        <v>305</v>
      </c>
      <c r="G2143" t="s">
        <v>10</v>
      </c>
      <c r="H2143">
        <v>3400.0</v>
      </c>
      <c r="I2143" t="s">
        <v>31</v>
      </c>
      <c r="J2143" t="s">
        <v>37</v>
      </c>
      <c r="K2143" t="s">
        <v>112</v>
      </c>
      <c r="L2143" t="s">
        <v>113</v>
      </c>
      <c r="M2143">
        <v>160.45</v>
      </c>
    </row>
    <row r="2144">
      <c r="A2144" s="2">
        <v>45536</v>
      </c>
      <c r="B2144">
        <v>2025.0</v>
      </c>
      <c r="C2144" t="s">
        <v>315</v>
      </c>
      <c r="D2144" t="s">
        <v>319</v>
      </c>
      <c r="E2144" t="s">
        <v>171</v>
      </c>
      <c r="F2144" t="s">
        <v>305</v>
      </c>
      <c r="G2144" t="s">
        <v>10</v>
      </c>
      <c r="H2144">
        <v>3500.0</v>
      </c>
      <c r="I2144" t="s">
        <v>31</v>
      </c>
      <c r="J2144" t="s">
        <v>37</v>
      </c>
      <c r="K2144" t="s">
        <v>57</v>
      </c>
      <c r="L2144" t="s">
        <v>58</v>
      </c>
      <c r="M2144">
        <v>160.84</v>
      </c>
    </row>
    <row r="2145">
      <c r="A2145" s="2">
        <v>45742</v>
      </c>
      <c r="B2145">
        <v>2025.0</v>
      </c>
      <c r="C2145" t="s">
        <v>315</v>
      </c>
      <c r="D2145" t="s">
        <v>316</v>
      </c>
      <c r="E2145" t="s">
        <v>193</v>
      </c>
      <c r="F2145" t="s">
        <v>304</v>
      </c>
      <c r="G2145" t="s">
        <v>9</v>
      </c>
      <c r="H2145">
        <v>2020.0</v>
      </c>
      <c r="I2145" t="s">
        <v>31</v>
      </c>
      <c r="J2145" t="s">
        <v>99</v>
      </c>
      <c r="K2145" t="s">
        <v>38</v>
      </c>
      <c r="L2145" t="s">
        <v>39</v>
      </c>
      <c r="M2145">
        <v>161.12</v>
      </c>
    </row>
    <row r="2146">
      <c r="A2146" s="2">
        <v>45778</v>
      </c>
      <c r="B2146">
        <v>2025.0</v>
      </c>
      <c r="C2146" t="s">
        <v>315</v>
      </c>
      <c r="D2146" t="s">
        <v>316</v>
      </c>
      <c r="E2146" t="s">
        <v>219</v>
      </c>
      <c r="F2146" t="s">
        <v>306</v>
      </c>
      <c r="G2146" t="s">
        <v>11</v>
      </c>
      <c r="H2146">
        <v>4068.0</v>
      </c>
      <c r="I2146" t="s">
        <v>31</v>
      </c>
      <c r="J2146" t="s">
        <v>56</v>
      </c>
      <c r="K2146" t="s">
        <v>33</v>
      </c>
      <c r="L2146" t="s">
        <v>34</v>
      </c>
      <c r="M2146">
        <v>161.18</v>
      </c>
    </row>
    <row r="2147">
      <c r="A2147" s="2">
        <v>45955</v>
      </c>
      <c r="B2147">
        <v>2026.0</v>
      </c>
      <c r="C2147" t="s">
        <v>321</v>
      </c>
      <c r="D2147" t="s">
        <v>316</v>
      </c>
      <c r="E2147" t="s">
        <v>59</v>
      </c>
      <c r="F2147" t="s">
        <v>306</v>
      </c>
      <c r="G2147" t="s">
        <v>11</v>
      </c>
      <c r="H2147">
        <v>4509.0</v>
      </c>
      <c r="I2147" t="s">
        <v>31</v>
      </c>
      <c r="J2147" t="s">
        <v>61</v>
      </c>
      <c r="K2147" t="s">
        <v>112</v>
      </c>
      <c r="L2147" t="s">
        <v>113</v>
      </c>
      <c r="M2147">
        <v>161.68</v>
      </c>
    </row>
    <row r="2148">
      <c r="A2148" s="2">
        <v>45749</v>
      </c>
      <c r="B2148">
        <v>2025.0</v>
      </c>
      <c r="C2148" t="s">
        <v>315</v>
      </c>
      <c r="D2148" t="s">
        <v>316</v>
      </c>
      <c r="E2148" t="s">
        <v>48</v>
      </c>
      <c r="F2148" t="s">
        <v>307</v>
      </c>
      <c r="G2148" t="s">
        <v>12</v>
      </c>
      <c r="H2148">
        <v>6725.0</v>
      </c>
      <c r="I2148" t="s">
        <v>31</v>
      </c>
      <c r="J2148" t="s">
        <v>50</v>
      </c>
      <c r="K2148" t="s">
        <v>43</v>
      </c>
      <c r="L2148" t="s">
        <v>44</v>
      </c>
      <c r="M2148">
        <v>161.88</v>
      </c>
    </row>
    <row r="2149">
      <c r="A2149" s="2">
        <v>45568</v>
      </c>
      <c r="B2149">
        <v>2025.0</v>
      </c>
      <c r="C2149" t="s">
        <v>315</v>
      </c>
      <c r="D2149" t="s">
        <v>316</v>
      </c>
      <c r="E2149" t="s">
        <v>230</v>
      </c>
      <c r="F2149" t="s">
        <v>308</v>
      </c>
      <c r="G2149" t="s">
        <v>13</v>
      </c>
      <c r="H2149">
        <v>5290.0</v>
      </c>
      <c r="I2149" t="s">
        <v>31</v>
      </c>
      <c r="J2149" t="s">
        <v>227</v>
      </c>
      <c r="K2149" t="s">
        <v>71</v>
      </c>
      <c r="L2149" t="s">
        <v>72</v>
      </c>
      <c r="M2149">
        <v>163.15</v>
      </c>
    </row>
    <row r="2150">
      <c r="A2150" s="2">
        <v>45355</v>
      </c>
      <c r="B2150">
        <v>2024.0</v>
      </c>
      <c r="C2150" t="s">
        <v>318</v>
      </c>
      <c r="D2150" t="s">
        <v>316</v>
      </c>
      <c r="E2150" t="s">
        <v>193</v>
      </c>
      <c r="F2150" t="s">
        <v>304</v>
      </c>
      <c r="G2150" t="s">
        <v>9</v>
      </c>
      <c r="H2150">
        <v>2020.0</v>
      </c>
      <c r="I2150" t="s">
        <v>31</v>
      </c>
      <c r="J2150" t="s">
        <v>99</v>
      </c>
      <c r="K2150" t="s">
        <v>43</v>
      </c>
      <c r="L2150" t="s">
        <v>44</v>
      </c>
      <c r="M2150">
        <v>163.38</v>
      </c>
    </row>
    <row r="2151">
      <c r="A2151" s="2">
        <v>45603</v>
      </c>
      <c r="B2151">
        <v>2025.0</v>
      </c>
      <c r="C2151" t="s">
        <v>315</v>
      </c>
      <c r="D2151" t="s">
        <v>316</v>
      </c>
      <c r="E2151" t="s">
        <v>97</v>
      </c>
      <c r="F2151" t="s">
        <v>304</v>
      </c>
      <c r="G2151" t="s">
        <v>9</v>
      </c>
      <c r="H2151">
        <v>2067.0</v>
      </c>
      <c r="I2151" t="s">
        <v>31</v>
      </c>
      <c r="J2151" t="s">
        <v>99</v>
      </c>
      <c r="K2151" t="s">
        <v>66</v>
      </c>
      <c r="L2151" t="s">
        <v>67</v>
      </c>
      <c r="M2151">
        <v>163.71</v>
      </c>
    </row>
    <row r="2152">
      <c r="A2152" s="2">
        <v>45370</v>
      </c>
      <c r="B2152">
        <v>2024.0</v>
      </c>
      <c r="C2152" t="s">
        <v>318</v>
      </c>
      <c r="D2152" t="s">
        <v>316</v>
      </c>
      <c r="E2152" t="s">
        <v>254</v>
      </c>
      <c r="F2152" t="s">
        <v>308</v>
      </c>
      <c r="G2152" t="s">
        <v>13</v>
      </c>
      <c r="H2152">
        <v>5343.0</v>
      </c>
      <c r="I2152" t="s">
        <v>31</v>
      </c>
      <c r="J2152" t="s">
        <v>227</v>
      </c>
      <c r="K2152" t="s">
        <v>71</v>
      </c>
      <c r="L2152" t="s">
        <v>72</v>
      </c>
      <c r="M2152">
        <v>163.77</v>
      </c>
    </row>
    <row r="2153">
      <c r="A2153" s="2">
        <v>45987</v>
      </c>
      <c r="B2153">
        <v>2026.0</v>
      </c>
      <c r="C2153" t="s">
        <v>321</v>
      </c>
      <c r="D2153" t="s">
        <v>319</v>
      </c>
      <c r="E2153" t="s">
        <v>197</v>
      </c>
      <c r="F2153" t="s">
        <v>304</v>
      </c>
      <c r="G2153" t="s">
        <v>9</v>
      </c>
      <c r="H2153">
        <v>2560.0</v>
      </c>
      <c r="I2153" t="s">
        <v>31</v>
      </c>
      <c r="J2153" t="s">
        <v>107</v>
      </c>
      <c r="K2153" t="s">
        <v>95</v>
      </c>
      <c r="L2153" t="s">
        <v>96</v>
      </c>
      <c r="M2153">
        <v>163.81</v>
      </c>
    </row>
    <row r="2154">
      <c r="A2154" s="2">
        <v>45433</v>
      </c>
      <c r="B2154">
        <v>2024.0</v>
      </c>
      <c r="C2154" t="s">
        <v>318</v>
      </c>
      <c r="D2154" t="s">
        <v>316</v>
      </c>
      <c r="E2154" t="s">
        <v>139</v>
      </c>
      <c r="F2154" t="s">
        <v>305</v>
      </c>
      <c r="G2154" t="s">
        <v>10</v>
      </c>
      <c r="H2154">
        <v>3199.0</v>
      </c>
      <c r="I2154" t="s">
        <v>31</v>
      </c>
      <c r="J2154" t="s">
        <v>89</v>
      </c>
      <c r="K2154" t="s">
        <v>66</v>
      </c>
      <c r="L2154" t="s">
        <v>67</v>
      </c>
      <c r="M2154">
        <v>164.26</v>
      </c>
    </row>
    <row r="2155">
      <c r="A2155" s="2">
        <v>45977</v>
      </c>
      <c r="B2155">
        <v>2026.0</v>
      </c>
      <c r="C2155" t="s">
        <v>321</v>
      </c>
      <c r="D2155" t="s">
        <v>319</v>
      </c>
      <c r="E2155" t="s">
        <v>181</v>
      </c>
      <c r="F2155" t="s">
        <v>306</v>
      </c>
      <c r="G2155" t="s">
        <v>11</v>
      </c>
      <c r="H2155">
        <v>4119.0</v>
      </c>
      <c r="I2155" t="s">
        <v>31</v>
      </c>
      <c r="J2155" t="s">
        <v>56</v>
      </c>
      <c r="K2155" t="s">
        <v>71</v>
      </c>
      <c r="L2155" t="s">
        <v>72</v>
      </c>
      <c r="M2155">
        <v>164.36</v>
      </c>
    </row>
    <row r="2156">
      <c r="A2156" s="2">
        <v>45946</v>
      </c>
      <c r="B2156">
        <v>2026.0</v>
      </c>
      <c r="C2156" t="s">
        <v>321</v>
      </c>
      <c r="D2156" t="s">
        <v>316</v>
      </c>
      <c r="E2156" t="s">
        <v>254</v>
      </c>
      <c r="F2156" t="s">
        <v>308</v>
      </c>
      <c r="G2156" t="s">
        <v>13</v>
      </c>
      <c r="H2156">
        <v>5343.0</v>
      </c>
      <c r="I2156" t="s">
        <v>31</v>
      </c>
      <c r="J2156" t="s">
        <v>227</v>
      </c>
      <c r="K2156" t="s">
        <v>123</v>
      </c>
      <c r="L2156" t="s">
        <v>124</v>
      </c>
      <c r="M2156">
        <v>164.51999999999998</v>
      </c>
    </row>
    <row r="2157">
      <c r="A2157" s="2">
        <v>45468</v>
      </c>
      <c r="B2157">
        <v>2024.0</v>
      </c>
      <c r="C2157" t="s">
        <v>318</v>
      </c>
      <c r="D2157" t="s">
        <v>316</v>
      </c>
      <c r="E2157" t="s">
        <v>254</v>
      </c>
      <c r="F2157" t="s">
        <v>308</v>
      </c>
      <c r="G2157" t="s">
        <v>13</v>
      </c>
      <c r="H2157">
        <v>5343.0</v>
      </c>
      <c r="I2157" t="s">
        <v>31</v>
      </c>
      <c r="J2157" t="s">
        <v>227</v>
      </c>
      <c r="K2157" t="s">
        <v>112</v>
      </c>
      <c r="L2157" t="s">
        <v>113</v>
      </c>
      <c r="M2157">
        <v>164.82</v>
      </c>
    </row>
    <row r="2158">
      <c r="A2158" s="2">
        <v>45372</v>
      </c>
      <c r="B2158">
        <v>2024.0</v>
      </c>
      <c r="C2158" t="s">
        <v>318</v>
      </c>
      <c r="D2158" t="s">
        <v>319</v>
      </c>
      <c r="E2158" t="s">
        <v>85</v>
      </c>
      <c r="F2158" t="s">
        <v>304</v>
      </c>
      <c r="G2158" t="s">
        <v>9</v>
      </c>
      <c r="H2158">
        <v>2120.0</v>
      </c>
      <c r="I2158" t="s">
        <v>31</v>
      </c>
      <c r="J2158" t="s">
        <v>81</v>
      </c>
      <c r="K2158" t="s">
        <v>71</v>
      </c>
      <c r="L2158" t="s">
        <v>72</v>
      </c>
      <c r="M2158">
        <v>164.89</v>
      </c>
    </row>
    <row r="2159">
      <c r="A2159" s="2">
        <v>45443</v>
      </c>
      <c r="B2159">
        <v>2024.0</v>
      </c>
      <c r="C2159" t="s">
        <v>318</v>
      </c>
      <c r="D2159" t="s">
        <v>316</v>
      </c>
      <c r="E2159" t="s">
        <v>175</v>
      </c>
      <c r="F2159" t="s">
        <v>311</v>
      </c>
      <c r="G2159" t="s">
        <v>16</v>
      </c>
      <c r="H2159">
        <v>2617.0</v>
      </c>
      <c r="I2159" t="s">
        <v>31</v>
      </c>
      <c r="J2159" t="s">
        <v>107</v>
      </c>
      <c r="K2159" t="s">
        <v>123</v>
      </c>
      <c r="L2159" t="s">
        <v>124</v>
      </c>
      <c r="M2159">
        <v>164.96</v>
      </c>
    </row>
    <row r="2160">
      <c r="A2160" s="2">
        <v>45477</v>
      </c>
      <c r="B2160">
        <v>2025.0</v>
      </c>
      <c r="C2160" t="s">
        <v>315</v>
      </c>
      <c r="D2160" t="s">
        <v>316</v>
      </c>
      <c r="E2160" t="s">
        <v>139</v>
      </c>
      <c r="F2160" t="s">
        <v>305</v>
      </c>
      <c r="G2160" t="s">
        <v>10</v>
      </c>
      <c r="H2160">
        <v>3199.0</v>
      </c>
      <c r="I2160" t="s">
        <v>31</v>
      </c>
      <c r="J2160" t="s">
        <v>89</v>
      </c>
      <c r="K2160" t="s">
        <v>123</v>
      </c>
      <c r="L2160" t="s">
        <v>124</v>
      </c>
      <c r="M2160">
        <v>165.05</v>
      </c>
    </row>
    <row r="2161">
      <c r="A2161" s="2">
        <v>45322</v>
      </c>
      <c r="B2161">
        <v>2024.0</v>
      </c>
      <c r="C2161" t="s">
        <v>318</v>
      </c>
      <c r="D2161" t="s">
        <v>319</v>
      </c>
      <c r="E2161" t="s">
        <v>187</v>
      </c>
      <c r="F2161" t="s">
        <v>306</v>
      </c>
      <c r="G2161" t="s">
        <v>11</v>
      </c>
      <c r="H2161">
        <v>4870.0</v>
      </c>
      <c r="I2161" t="s">
        <v>31</v>
      </c>
      <c r="J2161" t="s">
        <v>78</v>
      </c>
      <c r="K2161" t="s">
        <v>43</v>
      </c>
      <c r="L2161" t="s">
        <v>44</v>
      </c>
      <c r="M2161">
        <v>165.22</v>
      </c>
    </row>
    <row r="2162">
      <c r="A2162" s="2">
        <v>45526</v>
      </c>
      <c r="B2162">
        <v>2025.0</v>
      </c>
      <c r="C2162" t="s">
        <v>315</v>
      </c>
      <c r="D2162" t="s">
        <v>316</v>
      </c>
      <c r="E2162" t="s">
        <v>256</v>
      </c>
      <c r="F2162" t="s">
        <v>304</v>
      </c>
      <c r="G2162" t="s">
        <v>9</v>
      </c>
      <c r="H2162">
        <v>2350.0</v>
      </c>
      <c r="I2162" t="s">
        <v>31</v>
      </c>
      <c r="J2162" t="s">
        <v>70</v>
      </c>
      <c r="K2162" t="s">
        <v>33</v>
      </c>
      <c r="L2162" t="s">
        <v>34</v>
      </c>
      <c r="M2162">
        <v>165.44</v>
      </c>
    </row>
    <row r="2163">
      <c r="A2163" s="2">
        <v>45357</v>
      </c>
      <c r="B2163">
        <v>2024.0</v>
      </c>
      <c r="C2163" t="s">
        <v>318</v>
      </c>
      <c r="D2163" t="s">
        <v>316</v>
      </c>
      <c r="E2163" t="s">
        <v>230</v>
      </c>
      <c r="F2163" t="s">
        <v>308</v>
      </c>
      <c r="G2163" t="s">
        <v>13</v>
      </c>
      <c r="H2163">
        <v>5290.0</v>
      </c>
      <c r="I2163" t="s">
        <v>31</v>
      </c>
      <c r="J2163" t="s">
        <v>227</v>
      </c>
      <c r="K2163" t="s">
        <v>38</v>
      </c>
      <c r="L2163" t="s">
        <v>39</v>
      </c>
      <c r="M2163">
        <v>165.67</v>
      </c>
    </row>
    <row r="2164">
      <c r="A2164" s="2">
        <v>45445</v>
      </c>
      <c r="B2164">
        <v>2024.0</v>
      </c>
      <c r="C2164" t="s">
        <v>318</v>
      </c>
      <c r="D2164" t="s">
        <v>319</v>
      </c>
      <c r="E2164" t="s">
        <v>118</v>
      </c>
      <c r="F2164" t="s">
        <v>305</v>
      </c>
      <c r="G2164" t="s">
        <v>10</v>
      </c>
      <c r="H2164">
        <v>3076.0</v>
      </c>
      <c r="I2164" t="s">
        <v>31</v>
      </c>
      <c r="J2164" t="s">
        <v>120</v>
      </c>
      <c r="K2164" t="s">
        <v>38</v>
      </c>
      <c r="L2164" t="s">
        <v>39</v>
      </c>
      <c r="M2164">
        <v>165.71</v>
      </c>
    </row>
    <row r="2165">
      <c r="A2165" s="2">
        <v>45689</v>
      </c>
      <c r="B2165">
        <v>2025.0</v>
      </c>
      <c r="C2165" t="s">
        <v>315</v>
      </c>
      <c r="D2165" t="s">
        <v>319</v>
      </c>
      <c r="E2165" t="s">
        <v>236</v>
      </c>
      <c r="F2165" t="s">
        <v>307</v>
      </c>
      <c r="G2165" t="s">
        <v>12</v>
      </c>
      <c r="H2165">
        <v>6052.0</v>
      </c>
      <c r="I2165" t="s">
        <v>31</v>
      </c>
      <c r="J2165" t="s">
        <v>102</v>
      </c>
      <c r="K2165" t="s">
        <v>43</v>
      </c>
      <c r="L2165" t="s">
        <v>44</v>
      </c>
      <c r="M2165">
        <v>165.82</v>
      </c>
    </row>
    <row r="2166">
      <c r="A2166" s="2">
        <v>45298</v>
      </c>
      <c r="B2166">
        <v>2024.0</v>
      </c>
      <c r="C2166" t="s">
        <v>318</v>
      </c>
      <c r="D2166" t="s">
        <v>319</v>
      </c>
      <c r="E2166" t="s">
        <v>116</v>
      </c>
      <c r="F2166" t="s">
        <v>304</v>
      </c>
      <c r="G2166" t="s">
        <v>9</v>
      </c>
      <c r="H2166">
        <v>2485.0</v>
      </c>
      <c r="I2166" t="s">
        <v>31</v>
      </c>
      <c r="J2166" t="s">
        <v>70</v>
      </c>
      <c r="K2166" t="s">
        <v>33</v>
      </c>
      <c r="L2166" t="s">
        <v>34</v>
      </c>
      <c r="M2166">
        <v>166.25</v>
      </c>
    </row>
    <row r="2167">
      <c r="A2167" s="2">
        <v>45822</v>
      </c>
      <c r="B2167">
        <v>2025.0</v>
      </c>
      <c r="C2167" t="s">
        <v>315</v>
      </c>
      <c r="D2167" t="s">
        <v>316</v>
      </c>
      <c r="E2167" t="s">
        <v>177</v>
      </c>
      <c r="F2167" t="s">
        <v>307</v>
      </c>
      <c r="G2167" t="s">
        <v>12</v>
      </c>
      <c r="H2167">
        <v>6330.0</v>
      </c>
      <c r="I2167" t="s">
        <v>31</v>
      </c>
      <c r="J2167" t="s">
        <v>162</v>
      </c>
      <c r="K2167" t="s">
        <v>43</v>
      </c>
      <c r="L2167" t="s">
        <v>44</v>
      </c>
      <c r="M2167">
        <v>166.53</v>
      </c>
    </row>
    <row r="2168">
      <c r="A2168" s="2">
        <v>45567</v>
      </c>
      <c r="B2168">
        <v>2025.0</v>
      </c>
      <c r="C2168" t="s">
        <v>315</v>
      </c>
      <c r="D2168" t="s">
        <v>319</v>
      </c>
      <c r="E2168" t="s">
        <v>79</v>
      </c>
      <c r="F2168" t="s">
        <v>304</v>
      </c>
      <c r="G2168" t="s">
        <v>9</v>
      </c>
      <c r="H2168">
        <v>2141.0</v>
      </c>
      <c r="I2168" t="s">
        <v>31</v>
      </c>
      <c r="J2168" t="s">
        <v>81</v>
      </c>
      <c r="K2168" t="s">
        <v>43</v>
      </c>
      <c r="L2168" t="s">
        <v>44</v>
      </c>
      <c r="M2168">
        <v>167.13</v>
      </c>
    </row>
    <row r="2169">
      <c r="A2169" s="2">
        <v>45623</v>
      </c>
      <c r="B2169">
        <v>2025.0</v>
      </c>
      <c r="C2169" t="s">
        <v>315</v>
      </c>
      <c r="D2169" t="s">
        <v>316</v>
      </c>
      <c r="E2169" t="s">
        <v>165</v>
      </c>
      <c r="F2169" t="s">
        <v>304</v>
      </c>
      <c r="G2169" t="s">
        <v>9</v>
      </c>
      <c r="H2169">
        <v>2064.0</v>
      </c>
      <c r="I2169" t="s">
        <v>31</v>
      </c>
      <c r="J2169" t="s">
        <v>99</v>
      </c>
      <c r="K2169" t="s">
        <v>33</v>
      </c>
      <c r="L2169" t="s">
        <v>34</v>
      </c>
      <c r="M2169">
        <v>167.18</v>
      </c>
    </row>
    <row r="2170">
      <c r="A2170" s="2">
        <v>45767</v>
      </c>
      <c r="B2170">
        <v>2025.0</v>
      </c>
      <c r="C2170" t="s">
        <v>315</v>
      </c>
      <c r="D2170" t="s">
        <v>316</v>
      </c>
      <c r="E2170" t="s">
        <v>242</v>
      </c>
      <c r="F2170" t="s">
        <v>305</v>
      </c>
      <c r="G2170" t="s">
        <v>10</v>
      </c>
      <c r="H2170">
        <v>3977.0</v>
      </c>
      <c r="I2170" t="s">
        <v>31</v>
      </c>
      <c r="J2170" t="s">
        <v>94</v>
      </c>
      <c r="K2170" t="s">
        <v>95</v>
      </c>
      <c r="L2170" t="s">
        <v>96</v>
      </c>
      <c r="M2170">
        <v>167.18</v>
      </c>
    </row>
    <row r="2171">
      <c r="A2171" s="2">
        <v>45448</v>
      </c>
      <c r="B2171">
        <v>2024.0</v>
      </c>
      <c r="C2171" t="s">
        <v>318</v>
      </c>
      <c r="D2171" t="s">
        <v>319</v>
      </c>
      <c r="E2171" t="s">
        <v>240</v>
      </c>
      <c r="F2171" t="s">
        <v>310</v>
      </c>
      <c r="G2171" t="s">
        <v>15</v>
      </c>
      <c r="H2171">
        <v>7010.0</v>
      </c>
      <c r="I2171" t="s">
        <v>31</v>
      </c>
      <c r="J2171" t="s">
        <v>53</v>
      </c>
      <c r="K2171" t="s">
        <v>33</v>
      </c>
      <c r="L2171" t="s">
        <v>34</v>
      </c>
      <c r="M2171">
        <v>167.49</v>
      </c>
    </row>
    <row r="2172">
      <c r="A2172" s="2">
        <v>46004</v>
      </c>
      <c r="B2172">
        <v>2026.0</v>
      </c>
      <c r="C2172" t="s">
        <v>321</v>
      </c>
      <c r="D2172" t="s">
        <v>319</v>
      </c>
      <c r="E2172" t="s">
        <v>228</v>
      </c>
      <c r="F2172" t="s">
        <v>306</v>
      </c>
      <c r="G2172" t="s">
        <v>11</v>
      </c>
      <c r="H2172">
        <v>4680.0</v>
      </c>
      <c r="I2172" t="s">
        <v>31</v>
      </c>
      <c r="J2172" t="s">
        <v>32</v>
      </c>
      <c r="K2172" t="s">
        <v>123</v>
      </c>
      <c r="L2172" t="s">
        <v>124</v>
      </c>
      <c r="M2172">
        <v>167.71</v>
      </c>
    </row>
    <row r="2173">
      <c r="A2173" s="2">
        <v>45780</v>
      </c>
      <c r="B2173">
        <v>2025.0</v>
      </c>
      <c r="C2173" t="s">
        <v>315</v>
      </c>
      <c r="D2173" t="s">
        <v>316</v>
      </c>
      <c r="E2173" t="s">
        <v>29</v>
      </c>
      <c r="F2173" t="s">
        <v>306</v>
      </c>
      <c r="G2173" t="s">
        <v>11</v>
      </c>
      <c r="H2173">
        <v>4703.0</v>
      </c>
      <c r="I2173" t="s">
        <v>31</v>
      </c>
      <c r="J2173" t="s">
        <v>32</v>
      </c>
      <c r="K2173" t="s">
        <v>38</v>
      </c>
      <c r="L2173" t="s">
        <v>39</v>
      </c>
      <c r="M2173">
        <v>167.74</v>
      </c>
    </row>
    <row r="2174">
      <c r="A2174" s="2">
        <v>45507</v>
      </c>
      <c r="B2174">
        <v>2025.0</v>
      </c>
      <c r="C2174" t="s">
        <v>315</v>
      </c>
      <c r="D2174" t="s">
        <v>316</v>
      </c>
      <c r="E2174" t="s">
        <v>121</v>
      </c>
      <c r="F2174" t="s">
        <v>306</v>
      </c>
      <c r="G2174" t="s">
        <v>11</v>
      </c>
      <c r="H2174">
        <v>4566.0</v>
      </c>
      <c r="I2174" t="s">
        <v>31</v>
      </c>
      <c r="J2174" t="s">
        <v>84</v>
      </c>
      <c r="K2174" t="s">
        <v>46</v>
      </c>
      <c r="L2174" t="s">
        <v>47</v>
      </c>
      <c r="M2174">
        <v>167.89</v>
      </c>
    </row>
    <row r="2175">
      <c r="A2175" s="2">
        <v>45726</v>
      </c>
      <c r="B2175">
        <v>2025.0</v>
      </c>
      <c r="C2175" t="s">
        <v>315</v>
      </c>
      <c r="D2175" t="s">
        <v>316</v>
      </c>
      <c r="E2175" t="s">
        <v>223</v>
      </c>
      <c r="F2175" t="s">
        <v>305</v>
      </c>
      <c r="G2175" t="s">
        <v>10</v>
      </c>
      <c r="H2175">
        <v>3915.0</v>
      </c>
      <c r="I2175" t="s">
        <v>31</v>
      </c>
      <c r="J2175" t="s">
        <v>94</v>
      </c>
      <c r="K2175" t="s">
        <v>123</v>
      </c>
      <c r="L2175" t="s">
        <v>124</v>
      </c>
      <c r="M2175">
        <v>168.05</v>
      </c>
    </row>
    <row r="2176">
      <c r="A2176" s="2">
        <v>45998</v>
      </c>
      <c r="B2176">
        <v>2026.0</v>
      </c>
      <c r="C2176" t="s">
        <v>321</v>
      </c>
      <c r="D2176" t="s">
        <v>316</v>
      </c>
      <c r="E2176" t="s">
        <v>100</v>
      </c>
      <c r="F2176" t="s">
        <v>307</v>
      </c>
      <c r="G2176" t="s">
        <v>12</v>
      </c>
      <c r="H2176">
        <v>6010.0</v>
      </c>
      <c r="I2176" t="s">
        <v>31</v>
      </c>
      <c r="J2176" t="s">
        <v>102</v>
      </c>
      <c r="K2176" t="s">
        <v>43</v>
      </c>
      <c r="L2176" t="s">
        <v>44</v>
      </c>
      <c r="M2176">
        <v>168.54000000000002</v>
      </c>
    </row>
    <row r="2177">
      <c r="A2177" s="2">
        <v>45633</v>
      </c>
      <c r="B2177">
        <v>2025.0</v>
      </c>
      <c r="C2177" t="s">
        <v>315</v>
      </c>
      <c r="D2177" t="s">
        <v>316</v>
      </c>
      <c r="E2177" t="s">
        <v>219</v>
      </c>
      <c r="F2177" t="s">
        <v>306</v>
      </c>
      <c r="G2177" t="s">
        <v>11</v>
      </c>
      <c r="H2177">
        <v>4068.0</v>
      </c>
      <c r="I2177" t="s">
        <v>31</v>
      </c>
      <c r="J2177" t="s">
        <v>56</v>
      </c>
      <c r="K2177" t="s">
        <v>33</v>
      </c>
      <c r="L2177" t="s">
        <v>34</v>
      </c>
      <c r="M2177">
        <v>168.66000000000003</v>
      </c>
    </row>
    <row r="2178">
      <c r="A2178" s="2">
        <v>45461</v>
      </c>
      <c r="B2178">
        <v>2024.0</v>
      </c>
      <c r="C2178" t="s">
        <v>318</v>
      </c>
      <c r="D2178" t="s">
        <v>319</v>
      </c>
      <c r="E2178" t="s">
        <v>79</v>
      </c>
      <c r="F2178" t="s">
        <v>304</v>
      </c>
      <c r="G2178" t="s">
        <v>9</v>
      </c>
      <c r="H2178">
        <v>2141.0</v>
      </c>
      <c r="I2178" t="s">
        <v>31</v>
      </c>
      <c r="J2178" t="s">
        <v>81</v>
      </c>
      <c r="K2178" t="s">
        <v>123</v>
      </c>
      <c r="L2178" t="s">
        <v>124</v>
      </c>
      <c r="M2178">
        <v>168.74</v>
      </c>
    </row>
    <row r="2179">
      <c r="A2179" s="2">
        <v>45460</v>
      </c>
      <c r="B2179">
        <v>2024.0</v>
      </c>
      <c r="C2179" t="s">
        <v>318</v>
      </c>
      <c r="D2179" t="s">
        <v>319</v>
      </c>
      <c r="E2179" t="s">
        <v>260</v>
      </c>
      <c r="F2179" t="s">
        <v>305</v>
      </c>
      <c r="G2179" t="s">
        <v>10</v>
      </c>
      <c r="H2179">
        <v>3179.0</v>
      </c>
      <c r="I2179" t="s">
        <v>31</v>
      </c>
      <c r="J2179" t="s">
        <v>89</v>
      </c>
      <c r="K2179" t="s">
        <v>46</v>
      </c>
      <c r="L2179" t="s">
        <v>47</v>
      </c>
      <c r="M2179">
        <v>168.79000000000002</v>
      </c>
    </row>
    <row r="2180">
      <c r="A2180" s="2">
        <v>45844</v>
      </c>
      <c r="B2180">
        <v>2026.0</v>
      </c>
      <c r="C2180" t="s">
        <v>321</v>
      </c>
      <c r="D2180" t="s">
        <v>316</v>
      </c>
      <c r="E2180" t="s">
        <v>127</v>
      </c>
      <c r="F2180" t="s">
        <v>306</v>
      </c>
      <c r="G2180" t="s">
        <v>11</v>
      </c>
      <c r="H2180">
        <v>4802.0</v>
      </c>
      <c r="I2180" t="s">
        <v>31</v>
      </c>
      <c r="J2180" t="s">
        <v>78</v>
      </c>
      <c r="K2180" t="s">
        <v>71</v>
      </c>
      <c r="L2180" t="s">
        <v>72</v>
      </c>
      <c r="M2180">
        <v>168.87</v>
      </c>
    </row>
    <row r="2181">
      <c r="A2181" s="2">
        <v>45884</v>
      </c>
      <c r="B2181">
        <v>2026.0</v>
      </c>
      <c r="C2181" t="s">
        <v>321</v>
      </c>
      <c r="D2181" t="s">
        <v>316</v>
      </c>
      <c r="E2181" t="s">
        <v>215</v>
      </c>
      <c r="F2181" t="s">
        <v>310</v>
      </c>
      <c r="G2181" t="s">
        <v>15</v>
      </c>
      <c r="H2181">
        <v>7320.0</v>
      </c>
      <c r="I2181" t="s">
        <v>31</v>
      </c>
      <c r="J2181" t="s">
        <v>53</v>
      </c>
      <c r="K2181" t="s">
        <v>46</v>
      </c>
      <c r="L2181" t="s">
        <v>47</v>
      </c>
      <c r="M2181">
        <v>168.87</v>
      </c>
    </row>
    <row r="2182">
      <c r="A2182" s="2">
        <v>45930</v>
      </c>
      <c r="B2182">
        <v>2026.0</v>
      </c>
      <c r="C2182" t="s">
        <v>321</v>
      </c>
      <c r="D2182" t="s">
        <v>319</v>
      </c>
      <c r="E2182" t="s">
        <v>131</v>
      </c>
      <c r="F2182" t="s">
        <v>306</v>
      </c>
      <c r="G2182" t="s">
        <v>11</v>
      </c>
      <c r="H2182">
        <v>4655.0</v>
      </c>
      <c r="I2182" t="s">
        <v>31</v>
      </c>
      <c r="J2182" t="s">
        <v>32</v>
      </c>
      <c r="K2182" t="s">
        <v>38</v>
      </c>
      <c r="L2182" t="s">
        <v>39</v>
      </c>
      <c r="M2182">
        <v>169.1</v>
      </c>
    </row>
    <row r="2183">
      <c r="A2183" s="2">
        <v>45719</v>
      </c>
      <c r="B2183">
        <v>2025.0</v>
      </c>
      <c r="C2183" t="s">
        <v>315</v>
      </c>
      <c r="D2183" t="s">
        <v>316</v>
      </c>
      <c r="E2183" t="s">
        <v>100</v>
      </c>
      <c r="F2183" t="s">
        <v>307</v>
      </c>
      <c r="G2183" t="s">
        <v>12</v>
      </c>
      <c r="H2183">
        <v>6010.0</v>
      </c>
      <c r="I2183" t="s">
        <v>31</v>
      </c>
      <c r="J2183" t="s">
        <v>102</v>
      </c>
      <c r="K2183" t="s">
        <v>38</v>
      </c>
      <c r="L2183" t="s">
        <v>39</v>
      </c>
      <c r="M2183">
        <v>169.19</v>
      </c>
    </row>
    <row r="2184">
      <c r="A2184" s="2">
        <v>45657</v>
      </c>
      <c r="B2184">
        <v>2025.0</v>
      </c>
      <c r="C2184" t="s">
        <v>315</v>
      </c>
      <c r="D2184" t="s">
        <v>316</v>
      </c>
      <c r="E2184" t="s">
        <v>183</v>
      </c>
      <c r="F2184" t="s">
        <v>304</v>
      </c>
      <c r="G2184" t="s">
        <v>9</v>
      </c>
      <c r="H2184">
        <v>2480.0</v>
      </c>
      <c r="I2184" t="s">
        <v>31</v>
      </c>
      <c r="J2184" t="s">
        <v>70</v>
      </c>
      <c r="K2184" t="s">
        <v>112</v>
      </c>
      <c r="L2184" t="s">
        <v>113</v>
      </c>
      <c r="M2184">
        <v>169.26</v>
      </c>
    </row>
    <row r="2185">
      <c r="A2185" s="2">
        <v>45972</v>
      </c>
      <c r="B2185">
        <v>2026.0</v>
      </c>
      <c r="C2185" t="s">
        <v>321</v>
      </c>
      <c r="D2185" t="s">
        <v>316</v>
      </c>
      <c r="E2185" t="s">
        <v>169</v>
      </c>
      <c r="F2185" t="s">
        <v>307</v>
      </c>
      <c r="G2185" t="s">
        <v>12</v>
      </c>
      <c r="H2185">
        <v>6027.0</v>
      </c>
      <c r="I2185" t="s">
        <v>31</v>
      </c>
      <c r="J2185" t="s">
        <v>102</v>
      </c>
      <c r="K2185" t="s">
        <v>38</v>
      </c>
      <c r="L2185" t="s">
        <v>39</v>
      </c>
      <c r="M2185">
        <v>169.78000000000003</v>
      </c>
    </row>
    <row r="2186">
      <c r="A2186" s="2">
        <v>45822</v>
      </c>
      <c r="B2186">
        <v>2025.0</v>
      </c>
      <c r="C2186" t="s">
        <v>315</v>
      </c>
      <c r="D2186" t="s">
        <v>319</v>
      </c>
      <c r="E2186" t="s">
        <v>197</v>
      </c>
      <c r="F2186" t="s">
        <v>304</v>
      </c>
      <c r="G2186" t="s">
        <v>9</v>
      </c>
      <c r="H2186">
        <v>2560.0</v>
      </c>
      <c r="I2186" t="s">
        <v>31</v>
      </c>
      <c r="J2186" t="s">
        <v>107</v>
      </c>
      <c r="K2186" t="s">
        <v>95</v>
      </c>
      <c r="L2186" t="s">
        <v>96</v>
      </c>
      <c r="M2186">
        <v>170.28</v>
      </c>
    </row>
    <row r="2187">
      <c r="A2187" s="2">
        <v>46020</v>
      </c>
      <c r="B2187">
        <v>2026.0</v>
      </c>
      <c r="C2187" t="s">
        <v>321</v>
      </c>
      <c r="D2187" t="s">
        <v>316</v>
      </c>
      <c r="E2187" t="s">
        <v>258</v>
      </c>
      <c r="F2187" t="s">
        <v>309</v>
      </c>
      <c r="G2187" t="s">
        <v>14</v>
      </c>
      <c r="H2187">
        <v>870.0</v>
      </c>
      <c r="I2187" t="s">
        <v>31</v>
      </c>
      <c r="J2187" t="s">
        <v>145</v>
      </c>
      <c r="K2187" t="s">
        <v>123</v>
      </c>
      <c r="L2187" t="s">
        <v>124</v>
      </c>
      <c r="M2187">
        <v>170.72</v>
      </c>
    </row>
    <row r="2188">
      <c r="A2188" s="2">
        <v>45713</v>
      </c>
      <c r="B2188">
        <v>2025.0</v>
      </c>
      <c r="C2188" t="s">
        <v>315</v>
      </c>
      <c r="D2188" t="s">
        <v>319</v>
      </c>
      <c r="E2188" t="s">
        <v>246</v>
      </c>
      <c r="F2188" t="s">
        <v>305</v>
      </c>
      <c r="G2188" t="s">
        <v>10</v>
      </c>
      <c r="H2188">
        <v>3551.0</v>
      </c>
      <c r="I2188" t="s">
        <v>31</v>
      </c>
      <c r="J2188" t="s">
        <v>37</v>
      </c>
      <c r="K2188" t="s">
        <v>43</v>
      </c>
      <c r="L2188" t="s">
        <v>44</v>
      </c>
      <c r="M2188">
        <v>171.16</v>
      </c>
    </row>
    <row r="2189">
      <c r="A2189" s="2">
        <v>45465</v>
      </c>
      <c r="B2189">
        <v>2024.0</v>
      </c>
      <c r="C2189" t="s">
        <v>318</v>
      </c>
      <c r="D2189" t="s">
        <v>316</v>
      </c>
      <c r="E2189" t="s">
        <v>203</v>
      </c>
      <c r="F2189" t="s">
        <v>305</v>
      </c>
      <c r="G2189" t="s">
        <v>10</v>
      </c>
      <c r="H2189">
        <v>3175.0</v>
      </c>
      <c r="I2189" t="s">
        <v>31</v>
      </c>
      <c r="J2189" t="s">
        <v>89</v>
      </c>
      <c r="K2189" t="s">
        <v>66</v>
      </c>
      <c r="L2189" t="s">
        <v>67</v>
      </c>
      <c r="M2189">
        <v>171.54999999999998</v>
      </c>
    </row>
    <row r="2190">
      <c r="A2190" s="2">
        <v>46022</v>
      </c>
      <c r="B2190">
        <v>2026.0</v>
      </c>
      <c r="C2190" t="s">
        <v>321</v>
      </c>
      <c r="D2190" t="s">
        <v>316</v>
      </c>
      <c r="E2190" t="s">
        <v>40</v>
      </c>
      <c r="F2190" t="s">
        <v>308</v>
      </c>
      <c r="G2190" t="s">
        <v>13</v>
      </c>
      <c r="H2190">
        <v>5011.0</v>
      </c>
      <c r="I2190" t="s">
        <v>31</v>
      </c>
      <c r="J2190" t="s">
        <v>42</v>
      </c>
      <c r="K2190" t="s">
        <v>71</v>
      </c>
      <c r="L2190" t="s">
        <v>72</v>
      </c>
      <c r="M2190">
        <v>171.76</v>
      </c>
    </row>
    <row r="2191">
      <c r="A2191" s="2">
        <v>45548</v>
      </c>
      <c r="B2191">
        <v>2025.0</v>
      </c>
      <c r="C2191" t="s">
        <v>315</v>
      </c>
      <c r="D2191" t="s">
        <v>316</v>
      </c>
      <c r="E2191" t="s">
        <v>160</v>
      </c>
      <c r="F2191" t="s">
        <v>307</v>
      </c>
      <c r="G2191" t="s">
        <v>12</v>
      </c>
      <c r="H2191">
        <v>6280.0</v>
      </c>
      <c r="I2191" t="s">
        <v>31</v>
      </c>
      <c r="J2191" t="s">
        <v>162</v>
      </c>
      <c r="K2191" t="s">
        <v>66</v>
      </c>
      <c r="L2191" t="s">
        <v>67</v>
      </c>
      <c r="M2191">
        <v>171.81</v>
      </c>
    </row>
    <row r="2192">
      <c r="A2192" s="2">
        <v>45519</v>
      </c>
      <c r="B2192">
        <v>2025.0</v>
      </c>
      <c r="C2192" t="s">
        <v>315</v>
      </c>
      <c r="D2192" t="s">
        <v>319</v>
      </c>
      <c r="E2192" t="s">
        <v>158</v>
      </c>
      <c r="F2192" t="s">
        <v>306</v>
      </c>
      <c r="G2192" t="s">
        <v>11</v>
      </c>
      <c r="H2192">
        <v>4570.0</v>
      </c>
      <c r="I2192" t="s">
        <v>31</v>
      </c>
      <c r="J2192" t="s">
        <v>84</v>
      </c>
      <c r="K2192" t="s">
        <v>43</v>
      </c>
      <c r="L2192" t="s">
        <v>44</v>
      </c>
      <c r="M2192">
        <v>171.94</v>
      </c>
    </row>
    <row r="2193">
      <c r="A2193" s="2">
        <v>45952</v>
      </c>
      <c r="B2193">
        <v>2026.0</v>
      </c>
      <c r="C2193" t="s">
        <v>321</v>
      </c>
      <c r="D2193" t="s">
        <v>316</v>
      </c>
      <c r="E2193" t="s">
        <v>262</v>
      </c>
      <c r="F2193" t="s">
        <v>305</v>
      </c>
      <c r="G2193" t="s">
        <v>10</v>
      </c>
      <c r="H2193">
        <v>3018.0</v>
      </c>
      <c r="I2193" t="s">
        <v>31</v>
      </c>
      <c r="J2193" t="s">
        <v>120</v>
      </c>
      <c r="K2193" t="s">
        <v>57</v>
      </c>
      <c r="L2193" t="s">
        <v>58</v>
      </c>
      <c r="M2193">
        <v>172.26</v>
      </c>
    </row>
    <row r="2194">
      <c r="A2194" s="2">
        <v>45402</v>
      </c>
      <c r="B2194">
        <v>2024.0</v>
      </c>
      <c r="C2194" t="s">
        <v>318</v>
      </c>
      <c r="D2194" t="s">
        <v>316</v>
      </c>
      <c r="E2194" t="s">
        <v>40</v>
      </c>
      <c r="F2194" t="s">
        <v>308</v>
      </c>
      <c r="G2194" t="s">
        <v>13</v>
      </c>
      <c r="H2194">
        <v>5011.0</v>
      </c>
      <c r="I2194" t="s">
        <v>31</v>
      </c>
      <c r="J2194" t="s">
        <v>42</v>
      </c>
      <c r="K2194" t="s">
        <v>33</v>
      </c>
      <c r="L2194" t="s">
        <v>34</v>
      </c>
      <c r="M2194">
        <v>172.73000000000002</v>
      </c>
    </row>
    <row r="2195">
      <c r="A2195" s="2">
        <v>45842</v>
      </c>
      <c r="B2195">
        <v>2026.0</v>
      </c>
      <c r="C2195" t="s">
        <v>321</v>
      </c>
      <c r="D2195" t="s">
        <v>319</v>
      </c>
      <c r="E2195" t="s">
        <v>103</v>
      </c>
      <c r="F2195" t="s">
        <v>307</v>
      </c>
      <c r="G2195" t="s">
        <v>12</v>
      </c>
      <c r="H2195">
        <v>6021.0</v>
      </c>
      <c r="I2195" t="s">
        <v>31</v>
      </c>
      <c r="J2195" t="s">
        <v>102</v>
      </c>
      <c r="K2195" t="s">
        <v>43</v>
      </c>
      <c r="L2195" t="s">
        <v>44</v>
      </c>
      <c r="M2195">
        <v>172.82999999999998</v>
      </c>
    </row>
    <row r="2196">
      <c r="A2196" s="2">
        <v>45688</v>
      </c>
      <c r="B2196">
        <v>2025.0</v>
      </c>
      <c r="C2196" t="s">
        <v>315</v>
      </c>
      <c r="D2196" t="s">
        <v>316</v>
      </c>
      <c r="E2196" t="s">
        <v>152</v>
      </c>
      <c r="F2196" t="s">
        <v>306</v>
      </c>
      <c r="G2196" t="s">
        <v>11</v>
      </c>
      <c r="H2196">
        <v>4305.0</v>
      </c>
      <c r="I2196" t="s">
        <v>31</v>
      </c>
      <c r="J2196" t="s">
        <v>61</v>
      </c>
      <c r="K2196" t="s">
        <v>95</v>
      </c>
      <c r="L2196" t="s">
        <v>96</v>
      </c>
      <c r="M2196">
        <v>173.71</v>
      </c>
    </row>
    <row r="2197">
      <c r="A2197" s="2">
        <v>45901</v>
      </c>
      <c r="B2197">
        <v>2026.0</v>
      </c>
      <c r="C2197" t="s">
        <v>321</v>
      </c>
      <c r="D2197" t="s">
        <v>316</v>
      </c>
      <c r="E2197" t="s">
        <v>90</v>
      </c>
      <c r="F2197" t="s">
        <v>305</v>
      </c>
      <c r="G2197" t="s">
        <v>10</v>
      </c>
      <c r="H2197">
        <v>3353.0</v>
      </c>
      <c r="I2197" t="s">
        <v>31</v>
      </c>
      <c r="J2197" t="s">
        <v>37</v>
      </c>
      <c r="K2197" t="s">
        <v>66</v>
      </c>
      <c r="L2197" t="s">
        <v>67</v>
      </c>
      <c r="M2197">
        <v>174.04</v>
      </c>
    </row>
    <row r="2198">
      <c r="A2198" s="2">
        <v>45452</v>
      </c>
      <c r="B2198">
        <v>2024.0</v>
      </c>
      <c r="C2198" t="s">
        <v>318</v>
      </c>
      <c r="D2198" t="s">
        <v>316</v>
      </c>
      <c r="E2198" t="s">
        <v>258</v>
      </c>
      <c r="F2198" t="s">
        <v>309</v>
      </c>
      <c r="G2198" t="s">
        <v>14</v>
      </c>
      <c r="H2198">
        <v>870.0</v>
      </c>
      <c r="I2198" t="s">
        <v>31</v>
      </c>
      <c r="J2198" t="s">
        <v>145</v>
      </c>
      <c r="K2198" t="s">
        <v>95</v>
      </c>
      <c r="L2198" t="s">
        <v>96</v>
      </c>
      <c r="M2198">
        <v>174.35</v>
      </c>
    </row>
    <row r="2199">
      <c r="A2199" s="2">
        <v>45616</v>
      </c>
      <c r="B2199">
        <v>2025.0</v>
      </c>
      <c r="C2199" t="s">
        <v>315</v>
      </c>
      <c r="D2199" t="s">
        <v>316</v>
      </c>
      <c r="E2199" t="s">
        <v>54</v>
      </c>
      <c r="F2199" t="s">
        <v>306</v>
      </c>
      <c r="G2199" t="s">
        <v>11</v>
      </c>
      <c r="H2199">
        <v>4012.0</v>
      </c>
      <c r="I2199" t="s">
        <v>31</v>
      </c>
      <c r="J2199" t="s">
        <v>56</v>
      </c>
      <c r="K2199" t="s">
        <v>95</v>
      </c>
      <c r="L2199" t="s">
        <v>96</v>
      </c>
      <c r="M2199">
        <v>174.60000000000002</v>
      </c>
    </row>
    <row r="2200">
      <c r="A2200" s="2">
        <v>45840</v>
      </c>
      <c r="B2200">
        <v>2026.0</v>
      </c>
      <c r="C2200" t="s">
        <v>321</v>
      </c>
      <c r="D2200" t="s">
        <v>319</v>
      </c>
      <c r="E2200" t="s">
        <v>199</v>
      </c>
      <c r="F2200" t="s">
        <v>308</v>
      </c>
      <c r="G2200" t="s">
        <v>13</v>
      </c>
      <c r="H2200">
        <v>5169.0</v>
      </c>
      <c r="I2200" t="s">
        <v>31</v>
      </c>
      <c r="J2200" t="s">
        <v>42</v>
      </c>
      <c r="K2200" t="s">
        <v>123</v>
      </c>
      <c r="L2200" t="s">
        <v>124</v>
      </c>
      <c r="M2200">
        <v>174.74</v>
      </c>
    </row>
    <row r="2201">
      <c r="A2201" s="2">
        <v>45760</v>
      </c>
      <c r="B2201">
        <v>2025.0</v>
      </c>
      <c r="C2201" t="s">
        <v>315</v>
      </c>
      <c r="D2201" t="s">
        <v>316</v>
      </c>
      <c r="E2201" t="s">
        <v>160</v>
      </c>
      <c r="F2201" t="s">
        <v>307</v>
      </c>
      <c r="G2201" t="s">
        <v>12</v>
      </c>
      <c r="H2201">
        <v>6280.0</v>
      </c>
      <c r="I2201" t="s">
        <v>31</v>
      </c>
      <c r="J2201" t="s">
        <v>162</v>
      </c>
      <c r="K2201" t="s">
        <v>43</v>
      </c>
      <c r="L2201" t="s">
        <v>44</v>
      </c>
      <c r="M2201">
        <v>174.82</v>
      </c>
    </row>
    <row r="2202">
      <c r="A2202" s="2">
        <v>45817</v>
      </c>
      <c r="B2202">
        <v>2025.0</v>
      </c>
      <c r="C2202" t="s">
        <v>315</v>
      </c>
      <c r="D2202" t="s">
        <v>319</v>
      </c>
      <c r="E2202" t="s">
        <v>221</v>
      </c>
      <c r="F2202" t="s">
        <v>306</v>
      </c>
      <c r="G2202" t="s">
        <v>11</v>
      </c>
      <c r="H2202">
        <v>4053.0</v>
      </c>
      <c r="I2202" t="s">
        <v>31</v>
      </c>
      <c r="J2202" t="s">
        <v>56</v>
      </c>
      <c r="K2202" t="s">
        <v>43</v>
      </c>
      <c r="L2202" t="s">
        <v>44</v>
      </c>
      <c r="M2202">
        <v>174.94</v>
      </c>
    </row>
    <row r="2203">
      <c r="A2203" s="2">
        <v>45754</v>
      </c>
      <c r="B2203">
        <v>2025.0</v>
      </c>
      <c r="C2203" t="s">
        <v>315</v>
      </c>
      <c r="D2203" t="s">
        <v>316</v>
      </c>
      <c r="E2203" t="s">
        <v>183</v>
      </c>
      <c r="F2203" t="s">
        <v>304</v>
      </c>
      <c r="G2203" t="s">
        <v>9</v>
      </c>
      <c r="H2203">
        <v>2480.0</v>
      </c>
      <c r="I2203" t="s">
        <v>31</v>
      </c>
      <c r="J2203" t="s">
        <v>70</v>
      </c>
      <c r="K2203" t="s">
        <v>33</v>
      </c>
      <c r="L2203" t="s">
        <v>34</v>
      </c>
      <c r="M2203">
        <v>175.01000000000002</v>
      </c>
    </row>
    <row r="2204">
      <c r="A2204" s="2">
        <v>45422</v>
      </c>
      <c r="B2204">
        <v>2024.0</v>
      </c>
      <c r="C2204" t="s">
        <v>318</v>
      </c>
      <c r="D2204" t="s">
        <v>316</v>
      </c>
      <c r="E2204" t="s">
        <v>240</v>
      </c>
      <c r="F2204" t="s">
        <v>310</v>
      </c>
      <c r="G2204" t="s">
        <v>15</v>
      </c>
      <c r="H2204">
        <v>7010.0</v>
      </c>
      <c r="I2204" t="s">
        <v>31</v>
      </c>
      <c r="J2204" t="s">
        <v>53</v>
      </c>
      <c r="K2204" t="s">
        <v>33</v>
      </c>
      <c r="L2204" t="s">
        <v>34</v>
      </c>
      <c r="M2204">
        <v>175.07</v>
      </c>
    </row>
    <row r="2205">
      <c r="A2205" s="2">
        <v>45872</v>
      </c>
      <c r="B2205">
        <v>2026.0</v>
      </c>
      <c r="C2205" t="s">
        <v>321</v>
      </c>
      <c r="D2205" t="s">
        <v>316</v>
      </c>
      <c r="E2205" t="s">
        <v>252</v>
      </c>
      <c r="F2205" t="s">
        <v>305</v>
      </c>
      <c r="G2205" t="s">
        <v>10</v>
      </c>
      <c r="H2205">
        <v>3630.0</v>
      </c>
      <c r="I2205" t="s">
        <v>31</v>
      </c>
      <c r="J2205" t="s">
        <v>94</v>
      </c>
      <c r="K2205" t="s">
        <v>123</v>
      </c>
      <c r="L2205" t="s">
        <v>124</v>
      </c>
      <c r="M2205">
        <v>175.13</v>
      </c>
    </row>
    <row r="2206">
      <c r="A2206" s="2">
        <v>45384</v>
      </c>
      <c r="B2206">
        <v>2024.0</v>
      </c>
      <c r="C2206" t="s">
        <v>318</v>
      </c>
      <c r="D2206" t="s">
        <v>316</v>
      </c>
      <c r="E2206" t="s">
        <v>29</v>
      </c>
      <c r="F2206" t="s">
        <v>306</v>
      </c>
      <c r="G2206" t="s">
        <v>11</v>
      </c>
      <c r="H2206">
        <v>4703.0</v>
      </c>
      <c r="I2206" t="s">
        <v>31</v>
      </c>
      <c r="J2206" t="s">
        <v>32</v>
      </c>
      <c r="K2206" t="s">
        <v>33</v>
      </c>
      <c r="L2206" t="s">
        <v>34</v>
      </c>
      <c r="M2206">
        <v>175.13</v>
      </c>
    </row>
    <row r="2207">
      <c r="A2207" s="2">
        <v>45786</v>
      </c>
      <c r="B2207">
        <v>2025.0</v>
      </c>
      <c r="C2207" t="s">
        <v>315</v>
      </c>
      <c r="D2207" t="s">
        <v>319</v>
      </c>
      <c r="E2207" t="s">
        <v>163</v>
      </c>
      <c r="F2207" t="s">
        <v>304</v>
      </c>
      <c r="G2207" t="s">
        <v>9</v>
      </c>
      <c r="H2207">
        <v>2154.0</v>
      </c>
      <c r="I2207" t="s">
        <v>31</v>
      </c>
      <c r="J2207" t="s">
        <v>81</v>
      </c>
      <c r="K2207" t="s">
        <v>95</v>
      </c>
      <c r="L2207" t="s">
        <v>96</v>
      </c>
      <c r="M2207">
        <v>175.76000000000002</v>
      </c>
    </row>
    <row r="2208">
      <c r="A2208" s="2">
        <v>45593</v>
      </c>
      <c r="B2208">
        <v>2025.0</v>
      </c>
      <c r="C2208" t="s">
        <v>315</v>
      </c>
      <c r="D2208" t="s">
        <v>319</v>
      </c>
      <c r="E2208" t="s">
        <v>118</v>
      </c>
      <c r="F2208" t="s">
        <v>305</v>
      </c>
      <c r="G2208" t="s">
        <v>10</v>
      </c>
      <c r="H2208">
        <v>3076.0</v>
      </c>
      <c r="I2208" t="s">
        <v>31</v>
      </c>
      <c r="J2208" t="s">
        <v>120</v>
      </c>
      <c r="K2208" t="s">
        <v>95</v>
      </c>
      <c r="L2208" t="s">
        <v>96</v>
      </c>
      <c r="M2208">
        <v>175.79999999999998</v>
      </c>
    </row>
    <row r="2209">
      <c r="A2209" s="2">
        <v>45759</v>
      </c>
      <c r="B2209">
        <v>2025.0</v>
      </c>
      <c r="C2209" t="s">
        <v>315</v>
      </c>
      <c r="D2209" t="s">
        <v>319</v>
      </c>
      <c r="E2209" t="s">
        <v>35</v>
      </c>
      <c r="F2209" t="s">
        <v>305</v>
      </c>
      <c r="G2209" t="s">
        <v>10</v>
      </c>
      <c r="H2209">
        <v>3280.0</v>
      </c>
      <c r="I2209" t="s">
        <v>31</v>
      </c>
      <c r="J2209" t="s">
        <v>37</v>
      </c>
      <c r="K2209" t="s">
        <v>43</v>
      </c>
      <c r="L2209" t="s">
        <v>44</v>
      </c>
      <c r="M2209">
        <v>175.86</v>
      </c>
    </row>
    <row r="2210">
      <c r="A2210" s="2">
        <v>45911</v>
      </c>
      <c r="B2210">
        <v>2026.0</v>
      </c>
      <c r="C2210" t="s">
        <v>321</v>
      </c>
      <c r="D2210" t="s">
        <v>319</v>
      </c>
      <c r="E2210" t="s">
        <v>171</v>
      </c>
      <c r="F2210" t="s">
        <v>305</v>
      </c>
      <c r="G2210" t="s">
        <v>10</v>
      </c>
      <c r="H2210">
        <v>3500.0</v>
      </c>
      <c r="I2210" t="s">
        <v>31</v>
      </c>
      <c r="J2210" t="s">
        <v>37</v>
      </c>
      <c r="K2210" t="s">
        <v>43</v>
      </c>
      <c r="L2210" t="s">
        <v>44</v>
      </c>
      <c r="M2210">
        <v>176.12</v>
      </c>
    </row>
    <row r="2211">
      <c r="A2211" s="2">
        <v>45366</v>
      </c>
      <c r="B2211">
        <v>2024.0</v>
      </c>
      <c r="C2211" t="s">
        <v>318</v>
      </c>
      <c r="D2211" t="s">
        <v>316</v>
      </c>
      <c r="E2211" t="s">
        <v>230</v>
      </c>
      <c r="F2211" t="s">
        <v>308</v>
      </c>
      <c r="G2211" t="s">
        <v>13</v>
      </c>
      <c r="H2211">
        <v>5290.0</v>
      </c>
      <c r="I2211" t="s">
        <v>31</v>
      </c>
      <c r="J2211" t="s">
        <v>227</v>
      </c>
      <c r="K2211" t="s">
        <v>123</v>
      </c>
      <c r="L2211" t="s">
        <v>124</v>
      </c>
      <c r="M2211">
        <v>176.19</v>
      </c>
    </row>
    <row r="2212">
      <c r="A2212" s="2">
        <v>45783</v>
      </c>
      <c r="B2212">
        <v>2025.0</v>
      </c>
      <c r="C2212" t="s">
        <v>315</v>
      </c>
      <c r="D2212" t="s">
        <v>316</v>
      </c>
      <c r="E2212" t="s">
        <v>121</v>
      </c>
      <c r="F2212" t="s">
        <v>306</v>
      </c>
      <c r="G2212" t="s">
        <v>11</v>
      </c>
      <c r="H2212">
        <v>4566.0</v>
      </c>
      <c r="I2212" t="s">
        <v>31</v>
      </c>
      <c r="J2212" t="s">
        <v>84</v>
      </c>
      <c r="K2212" t="s">
        <v>123</v>
      </c>
      <c r="L2212" t="s">
        <v>124</v>
      </c>
      <c r="M2212">
        <v>176.37</v>
      </c>
    </row>
    <row r="2213">
      <c r="A2213" s="2">
        <v>45854</v>
      </c>
      <c r="B2213">
        <v>2026.0</v>
      </c>
      <c r="C2213" t="s">
        <v>321</v>
      </c>
      <c r="D2213" t="s">
        <v>316</v>
      </c>
      <c r="E2213" t="s">
        <v>219</v>
      </c>
      <c r="F2213" t="s">
        <v>306</v>
      </c>
      <c r="G2213" t="s">
        <v>11</v>
      </c>
      <c r="H2213">
        <v>4068.0</v>
      </c>
      <c r="I2213" t="s">
        <v>31</v>
      </c>
      <c r="J2213" t="s">
        <v>56</v>
      </c>
      <c r="K2213" t="s">
        <v>112</v>
      </c>
      <c r="L2213" t="s">
        <v>113</v>
      </c>
      <c r="M2213">
        <v>176.54</v>
      </c>
    </row>
    <row r="2214">
      <c r="A2214" s="2">
        <v>45451</v>
      </c>
      <c r="B2214">
        <v>2024.0</v>
      </c>
      <c r="C2214" t="s">
        <v>318</v>
      </c>
      <c r="D2214" t="s">
        <v>316</v>
      </c>
      <c r="E2214" t="s">
        <v>150</v>
      </c>
      <c r="F2214" t="s">
        <v>310</v>
      </c>
      <c r="G2214" t="s">
        <v>15</v>
      </c>
      <c r="H2214">
        <v>7250.0</v>
      </c>
      <c r="I2214" t="s">
        <v>31</v>
      </c>
      <c r="J2214" t="s">
        <v>53</v>
      </c>
      <c r="K2214" t="s">
        <v>33</v>
      </c>
      <c r="L2214" t="s">
        <v>34</v>
      </c>
      <c r="M2214">
        <v>176.66</v>
      </c>
    </row>
    <row r="2215">
      <c r="A2215" s="2">
        <v>45697</v>
      </c>
      <c r="B2215">
        <v>2025.0</v>
      </c>
      <c r="C2215" t="s">
        <v>315</v>
      </c>
      <c r="D2215" t="s">
        <v>316</v>
      </c>
      <c r="E2215" t="s">
        <v>160</v>
      </c>
      <c r="F2215" t="s">
        <v>307</v>
      </c>
      <c r="G2215" t="s">
        <v>12</v>
      </c>
      <c r="H2215">
        <v>6280.0</v>
      </c>
      <c r="I2215" t="s">
        <v>31</v>
      </c>
      <c r="J2215" t="s">
        <v>162</v>
      </c>
      <c r="K2215" t="s">
        <v>57</v>
      </c>
      <c r="L2215" t="s">
        <v>58</v>
      </c>
      <c r="M2215">
        <v>176.79000000000002</v>
      </c>
    </row>
    <row r="2216">
      <c r="A2216" s="2">
        <v>45769</v>
      </c>
      <c r="B2216">
        <v>2025.0</v>
      </c>
      <c r="C2216" t="s">
        <v>315</v>
      </c>
      <c r="D2216" t="s">
        <v>319</v>
      </c>
      <c r="E2216" t="s">
        <v>103</v>
      </c>
      <c r="F2216" t="s">
        <v>307</v>
      </c>
      <c r="G2216" t="s">
        <v>12</v>
      </c>
      <c r="H2216">
        <v>6021.0</v>
      </c>
      <c r="I2216" t="s">
        <v>31</v>
      </c>
      <c r="J2216" t="s">
        <v>102</v>
      </c>
      <c r="K2216" t="s">
        <v>71</v>
      </c>
      <c r="L2216" t="s">
        <v>72</v>
      </c>
      <c r="M2216">
        <v>176.81</v>
      </c>
    </row>
    <row r="2217">
      <c r="A2217" s="2">
        <v>45664</v>
      </c>
      <c r="B2217">
        <v>2025.0</v>
      </c>
      <c r="C2217" t="s">
        <v>315</v>
      </c>
      <c r="D2217" t="s">
        <v>316</v>
      </c>
      <c r="E2217" t="s">
        <v>185</v>
      </c>
      <c r="F2217" t="s">
        <v>307</v>
      </c>
      <c r="G2217" t="s">
        <v>12</v>
      </c>
      <c r="H2217">
        <v>6109.0</v>
      </c>
      <c r="I2217" t="s">
        <v>31</v>
      </c>
      <c r="J2217" t="s">
        <v>162</v>
      </c>
      <c r="K2217" t="s">
        <v>38</v>
      </c>
      <c r="L2217" t="s">
        <v>39</v>
      </c>
      <c r="M2217">
        <v>177.19</v>
      </c>
    </row>
    <row r="2218">
      <c r="A2218" s="2">
        <v>45595</v>
      </c>
      <c r="B2218">
        <v>2025.0</v>
      </c>
      <c r="C2218" t="s">
        <v>315</v>
      </c>
      <c r="D2218" t="s">
        <v>319</v>
      </c>
      <c r="E2218" t="s">
        <v>133</v>
      </c>
      <c r="F2218" t="s">
        <v>305</v>
      </c>
      <c r="G2218" t="s">
        <v>10</v>
      </c>
      <c r="H2218">
        <v>3429.0</v>
      </c>
      <c r="I2218" t="s">
        <v>31</v>
      </c>
      <c r="J2218" t="s">
        <v>37</v>
      </c>
      <c r="K2218" t="s">
        <v>112</v>
      </c>
      <c r="L2218" t="s">
        <v>113</v>
      </c>
      <c r="M2218">
        <v>177.74</v>
      </c>
    </row>
    <row r="2219">
      <c r="A2219" s="2">
        <v>45614</v>
      </c>
      <c r="B2219">
        <v>2025.0</v>
      </c>
      <c r="C2219" t="s">
        <v>315</v>
      </c>
      <c r="D2219" t="s">
        <v>319</v>
      </c>
      <c r="E2219" t="s">
        <v>199</v>
      </c>
      <c r="F2219" t="s">
        <v>308</v>
      </c>
      <c r="G2219" t="s">
        <v>13</v>
      </c>
      <c r="H2219">
        <v>5169.0</v>
      </c>
      <c r="I2219" t="s">
        <v>31</v>
      </c>
      <c r="J2219" t="s">
        <v>42</v>
      </c>
      <c r="K2219" t="s">
        <v>43</v>
      </c>
      <c r="L2219" t="s">
        <v>44</v>
      </c>
      <c r="M2219">
        <v>177.9</v>
      </c>
    </row>
    <row r="2220">
      <c r="A2220" s="2">
        <v>45567</v>
      </c>
      <c r="B2220">
        <v>2025.0</v>
      </c>
      <c r="C2220" t="s">
        <v>315</v>
      </c>
      <c r="D2220" t="s">
        <v>319</v>
      </c>
      <c r="E2220" t="s">
        <v>103</v>
      </c>
      <c r="F2220" t="s">
        <v>307</v>
      </c>
      <c r="G2220" t="s">
        <v>12</v>
      </c>
      <c r="H2220">
        <v>6021.0</v>
      </c>
      <c r="I2220" t="s">
        <v>31</v>
      </c>
      <c r="J2220" t="s">
        <v>102</v>
      </c>
      <c r="K2220" t="s">
        <v>43</v>
      </c>
      <c r="L2220" t="s">
        <v>44</v>
      </c>
      <c r="M2220">
        <v>177.91</v>
      </c>
    </row>
    <row r="2221">
      <c r="A2221" s="2">
        <v>45682</v>
      </c>
      <c r="B2221">
        <v>2025.0</v>
      </c>
      <c r="C2221" t="s">
        <v>315</v>
      </c>
      <c r="D2221" t="s">
        <v>316</v>
      </c>
      <c r="E2221" t="s">
        <v>54</v>
      </c>
      <c r="F2221" t="s">
        <v>306</v>
      </c>
      <c r="G2221" t="s">
        <v>11</v>
      </c>
      <c r="H2221">
        <v>4012.0</v>
      </c>
      <c r="I2221" t="s">
        <v>31</v>
      </c>
      <c r="J2221" t="s">
        <v>56</v>
      </c>
      <c r="K2221" t="s">
        <v>57</v>
      </c>
      <c r="L2221" t="s">
        <v>58</v>
      </c>
      <c r="M2221">
        <v>178.39000000000001</v>
      </c>
    </row>
    <row r="2222">
      <c r="A2222" s="2">
        <v>45347</v>
      </c>
      <c r="B2222">
        <v>2024.0</v>
      </c>
      <c r="C2222" t="s">
        <v>318</v>
      </c>
      <c r="D2222" t="s">
        <v>316</v>
      </c>
      <c r="E2222" t="s">
        <v>62</v>
      </c>
      <c r="F2222" t="s">
        <v>307</v>
      </c>
      <c r="G2222" t="s">
        <v>12</v>
      </c>
      <c r="H2222">
        <v>6530.0</v>
      </c>
      <c r="I2222" t="s">
        <v>31</v>
      </c>
      <c r="J2222" t="s">
        <v>50</v>
      </c>
      <c r="K2222" t="s">
        <v>66</v>
      </c>
      <c r="L2222" t="s">
        <v>67</v>
      </c>
      <c r="M2222">
        <v>179.13</v>
      </c>
    </row>
    <row r="2223">
      <c r="A2223" s="2">
        <v>45614</v>
      </c>
      <c r="B2223">
        <v>2025.0</v>
      </c>
      <c r="C2223" t="s">
        <v>315</v>
      </c>
      <c r="D2223" t="s">
        <v>319</v>
      </c>
      <c r="E2223" t="s">
        <v>171</v>
      </c>
      <c r="F2223" t="s">
        <v>305</v>
      </c>
      <c r="G2223" t="s">
        <v>10</v>
      </c>
      <c r="H2223">
        <v>3500.0</v>
      </c>
      <c r="I2223" t="s">
        <v>31</v>
      </c>
      <c r="J2223" t="s">
        <v>37</v>
      </c>
      <c r="K2223" t="s">
        <v>33</v>
      </c>
      <c r="L2223" t="s">
        <v>34</v>
      </c>
      <c r="M2223">
        <v>179.66</v>
      </c>
    </row>
    <row r="2224">
      <c r="A2224" s="2">
        <v>45829</v>
      </c>
      <c r="B2224">
        <v>2025.0</v>
      </c>
      <c r="C2224" t="s">
        <v>315</v>
      </c>
      <c r="D2224" t="s">
        <v>316</v>
      </c>
      <c r="E2224" t="s">
        <v>165</v>
      </c>
      <c r="F2224" t="s">
        <v>304</v>
      </c>
      <c r="G2224" t="s">
        <v>9</v>
      </c>
      <c r="H2224">
        <v>2064.0</v>
      </c>
      <c r="I2224" t="s">
        <v>31</v>
      </c>
      <c r="J2224" t="s">
        <v>99</v>
      </c>
      <c r="K2224" t="s">
        <v>112</v>
      </c>
      <c r="L2224" t="s">
        <v>113</v>
      </c>
      <c r="M2224">
        <v>179.69</v>
      </c>
    </row>
    <row r="2225">
      <c r="A2225" s="2">
        <v>45505</v>
      </c>
      <c r="B2225">
        <v>2025.0</v>
      </c>
      <c r="C2225" t="s">
        <v>315</v>
      </c>
      <c r="D2225" t="s">
        <v>319</v>
      </c>
      <c r="E2225" t="s">
        <v>103</v>
      </c>
      <c r="F2225" t="s">
        <v>307</v>
      </c>
      <c r="G2225" t="s">
        <v>12</v>
      </c>
      <c r="H2225">
        <v>6021.0</v>
      </c>
      <c r="I2225" t="s">
        <v>31</v>
      </c>
      <c r="J2225" t="s">
        <v>102</v>
      </c>
      <c r="K2225" t="s">
        <v>57</v>
      </c>
      <c r="L2225" t="s">
        <v>58</v>
      </c>
      <c r="M2225">
        <v>179.7</v>
      </c>
    </row>
    <row r="2226">
      <c r="A2226" s="2">
        <v>45490</v>
      </c>
      <c r="B2226">
        <v>2025.0</v>
      </c>
      <c r="C2226" t="s">
        <v>315</v>
      </c>
      <c r="D2226" t="s">
        <v>319</v>
      </c>
      <c r="E2226" t="s">
        <v>131</v>
      </c>
      <c r="F2226" t="s">
        <v>306</v>
      </c>
      <c r="G2226" t="s">
        <v>11</v>
      </c>
      <c r="H2226">
        <v>4655.0</v>
      </c>
      <c r="I2226" t="s">
        <v>31</v>
      </c>
      <c r="J2226" t="s">
        <v>32</v>
      </c>
      <c r="K2226" t="s">
        <v>57</v>
      </c>
      <c r="L2226" t="s">
        <v>58</v>
      </c>
      <c r="M2226">
        <v>179.7</v>
      </c>
    </row>
    <row r="2227">
      <c r="A2227" s="2">
        <v>45739</v>
      </c>
      <c r="B2227">
        <v>2025.0</v>
      </c>
      <c r="C2227" t="s">
        <v>315</v>
      </c>
      <c r="D2227" t="s">
        <v>316</v>
      </c>
      <c r="E2227" t="s">
        <v>68</v>
      </c>
      <c r="F2227" t="s">
        <v>304</v>
      </c>
      <c r="G2227" t="s">
        <v>9</v>
      </c>
      <c r="H2227">
        <v>2478.0</v>
      </c>
      <c r="I2227" t="s">
        <v>31</v>
      </c>
      <c r="J2227" t="s">
        <v>70</v>
      </c>
      <c r="K2227" t="s">
        <v>57</v>
      </c>
      <c r="L2227" t="s">
        <v>58</v>
      </c>
      <c r="M2227">
        <v>179.82</v>
      </c>
    </row>
    <row r="2228">
      <c r="A2228" s="2">
        <v>46012</v>
      </c>
      <c r="B2228">
        <v>2026.0</v>
      </c>
      <c r="C2228" t="s">
        <v>321</v>
      </c>
      <c r="D2228" t="s">
        <v>316</v>
      </c>
      <c r="E2228" t="s">
        <v>54</v>
      </c>
      <c r="F2228" t="s">
        <v>306</v>
      </c>
      <c r="G2228" t="s">
        <v>11</v>
      </c>
      <c r="H2228">
        <v>4012.0</v>
      </c>
      <c r="I2228" t="s">
        <v>31</v>
      </c>
      <c r="J2228" t="s">
        <v>56</v>
      </c>
      <c r="K2228" t="s">
        <v>43</v>
      </c>
      <c r="L2228" t="s">
        <v>44</v>
      </c>
      <c r="M2228">
        <v>179.85000000000002</v>
      </c>
    </row>
    <row r="2229">
      <c r="A2229" s="2">
        <v>45379</v>
      </c>
      <c r="B2229">
        <v>2024.0</v>
      </c>
      <c r="C2229" t="s">
        <v>318</v>
      </c>
      <c r="D2229" t="s">
        <v>319</v>
      </c>
      <c r="E2229" t="s">
        <v>221</v>
      </c>
      <c r="F2229" t="s">
        <v>306</v>
      </c>
      <c r="G2229" t="s">
        <v>11</v>
      </c>
      <c r="H2229">
        <v>4053.0</v>
      </c>
      <c r="I2229" t="s">
        <v>31</v>
      </c>
      <c r="J2229" t="s">
        <v>56</v>
      </c>
      <c r="K2229" t="s">
        <v>57</v>
      </c>
      <c r="L2229" t="s">
        <v>58</v>
      </c>
      <c r="M2229">
        <v>179.94</v>
      </c>
    </row>
    <row r="2230">
      <c r="A2230" s="2">
        <v>46015</v>
      </c>
      <c r="B2230">
        <v>2026.0</v>
      </c>
      <c r="C2230" t="s">
        <v>321</v>
      </c>
      <c r="D2230" t="s">
        <v>316</v>
      </c>
      <c r="E2230" t="s">
        <v>29</v>
      </c>
      <c r="F2230" t="s">
        <v>306</v>
      </c>
      <c r="G2230" t="s">
        <v>11</v>
      </c>
      <c r="H2230">
        <v>4703.0</v>
      </c>
      <c r="I2230" t="s">
        <v>31</v>
      </c>
      <c r="J2230" t="s">
        <v>32</v>
      </c>
      <c r="K2230" t="s">
        <v>57</v>
      </c>
      <c r="L2230" t="s">
        <v>58</v>
      </c>
      <c r="M2230">
        <v>179.94</v>
      </c>
    </row>
    <row r="2231">
      <c r="A2231" s="2">
        <v>45591</v>
      </c>
      <c r="B2231">
        <v>2025.0</v>
      </c>
      <c r="C2231" t="s">
        <v>315</v>
      </c>
      <c r="D2231" t="s">
        <v>319</v>
      </c>
      <c r="E2231" t="s">
        <v>207</v>
      </c>
      <c r="F2231" t="s">
        <v>306</v>
      </c>
      <c r="G2231" t="s">
        <v>11</v>
      </c>
      <c r="H2231">
        <v>4825.0</v>
      </c>
      <c r="I2231" t="s">
        <v>31</v>
      </c>
      <c r="J2231" t="s">
        <v>78</v>
      </c>
      <c r="K2231" t="s">
        <v>33</v>
      </c>
      <c r="L2231" t="s">
        <v>34</v>
      </c>
      <c r="M2231">
        <v>180.70999999999998</v>
      </c>
    </row>
    <row r="2232">
      <c r="A2232" s="2">
        <v>45648</v>
      </c>
      <c r="B2232">
        <v>2025.0</v>
      </c>
      <c r="C2232" t="s">
        <v>315</v>
      </c>
      <c r="D2232" t="s">
        <v>316</v>
      </c>
      <c r="E2232" t="s">
        <v>133</v>
      </c>
      <c r="F2232" t="s">
        <v>305</v>
      </c>
      <c r="G2232" t="s">
        <v>10</v>
      </c>
      <c r="H2232">
        <v>3429.0</v>
      </c>
      <c r="I2232" t="s">
        <v>31</v>
      </c>
      <c r="J2232" t="s">
        <v>37</v>
      </c>
      <c r="K2232" t="s">
        <v>71</v>
      </c>
      <c r="L2232" t="s">
        <v>72</v>
      </c>
      <c r="M2232">
        <v>180.82999999999998</v>
      </c>
    </row>
    <row r="2233">
      <c r="A2233" s="2">
        <v>45315</v>
      </c>
      <c r="B2233">
        <v>2024.0</v>
      </c>
      <c r="C2233" t="s">
        <v>318</v>
      </c>
      <c r="D2233" t="s">
        <v>316</v>
      </c>
      <c r="E2233" t="s">
        <v>209</v>
      </c>
      <c r="F2233" t="s">
        <v>304</v>
      </c>
      <c r="G2233" t="s">
        <v>9</v>
      </c>
      <c r="H2233">
        <v>2116.0</v>
      </c>
      <c r="I2233" t="s">
        <v>31</v>
      </c>
      <c r="J2233" t="s">
        <v>81</v>
      </c>
      <c r="K2233" t="s">
        <v>71</v>
      </c>
      <c r="L2233" t="s">
        <v>72</v>
      </c>
      <c r="M2233">
        <v>181.11</v>
      </c>
    </row>
    <row r="2234">
      <c r="A2234" s="2">
        <v>45935</v>
      </c>
      <c r="B2234">
        <v>2026.0</v>
      </c>
      <c r="C2234" t="s">
        <v>321</v>
      </c>
      <c r="D2234" t="s">
        <v>316</v>
      </c>
      <c r="E2234" t="s">
        <v>76</v>
      </c>
      <c r="F2234" t="s">
        <v>306</v>
      </c>
      <c r="G2234" t="s">
        <v>11</v>
      </c>
      <c r="H2234">
        <v>4883.0</v>
      </c>
      <c r="I2234" t="s">
        <v>31</v>
      </c>
      <c r="J2234" t="s">
        <v>78</v>
      </c>
      <c r="K2234" t="s">
        <v>38</v>
      </c>
      <c r="L2234" t="s">
        <v>39</v>
      </c>
      <c r="M2234">
        <v>181.29</v>
      </c>
    </row>
    <row r="2235">
      <c r="A2235" s="2">
        <v>45728</v>
      </c>
      <c r="B2235">
        <v>2025.0</v>
      </c>
      <c r="C2235" t="s">
        <v>315</v>
      </c>
      <c r="D2235" t="s">
        <v>316</v>
      </c>
      <c r="E2235" t="s">
        <v>40</v>
      </c>
      <c r="F2235" t="s">
        <v>308</v>
      </c>
      <c r="G2235" t="s">
        <v>13</v>
      </c>
      <c r="H2235">
        <v>5011.0</v>
      </c>
      <c r="I2235" t="s">
        <v>31</v>
      </c>
      <c r="J2235" t="s">
        <v>42</v>
      </c>
      <c r="K2235" t="s">
        <v>43</v>
      </c>
      <c r="L2235" t="s">
        <v>44</v>
      </c>
      <c r="M2235">
        <v>181.32000000000002</v>
      </c>
    </row>
    <row r="2236">
      <c r="A2236" s="2">
        <v>46008</v>
      </c>
      <c r="B2236">
        <v>2026.0</v>
      </c>
      <c r="C2236" t="s">
        <v>321</v>
      </c>
      <c r="D2236" t="s">
        <v>319</v>
      </c>
      <c r="E2236" t="s">
        <v>156</v>
      </c>
      <c r="F2236" t="s">
        <v>304</v>
      </c>
      <c r="G2236" t="s">
        <v>9</v>
      </c>
      <c r="H2236">
        <v>2830.0</v>
      </c>
      <c r="I2236" t="s">
        <v>31</v>
      </c>
      <c r="J2236" t="s">
        <v>75</v>
      </c>
      <c r="K2236" t="s">
        <v>38</v>
      </c>
      <c r="L2236" t="s">
        <v>39</v>
      </c>
      <c r="M2236">
        <v>181.74</v>
      </c>
    </row>
    <row r="2237">
      <c r="A2237" s="2">
        <v>45555</v>
      </c>
      <c r="B2237">
        <v>2025.0</v>
      </c>
      <c r="C2237" t="s">
        <v>315</v>
      </c>
      <c r="D2237" t="s">
        <v>319</v>
      </c>
      <c r="E2237" t="s">
        <v>213</v>
      </c>
      <c r="F2237" t="s">
        <v>306</v>
      </c>
      <c r="G2237" t="s">
        <v>11</v>
      </c>
      <c r="H2237">
        <v>4740.0</v>
      </c>
      <c r="I2237" t="s">
        <v>31</v>
      </c>
      <c r="J2237" t="s">
        <v>32</v>
      </c>
      <c r="K2237" t="s">
        <v>123</v>
      </c>
      <c r="L2237" t="s">
        <v>124</v>
      </c>
      <c r="M2237">
        <v>181.75000000000003</v>
      </c>
    </row>
    <row r="2238">
      <c r="A2238" s="2">
        <v>45573</v>
      </c>
      <c r="B2238">
        <v>2025.0</v>
      </c>
      <c r="C2238" t="s">
        <v>315</v>
      </c>
      <c r="D2238" t="s">
        <v>319</v>
      </c>
      <c r="E2238" t="s">
        <v>195</v>
      </c>
      <c r="F2238" t="s">
        <v>306</v>
      </c>
      <c r="G2238" t="s">
        <v>11</v>
      </c>
      <c r="H2238">
        <v>4700.0</v>
      </c>
      <c r="I2238" t="s">
        <v>31</v>
      </c>
      <c r="J2238" t="s">
        <v>32</v>
      </c>
      <c r="K2238" t="s">
        <v>43</v>
      </c>
      <c r="L2238" t="s">
        <v>44</v>
      </c>
      <c r="M2238">
        <v>181.85</v>
      </c>
    </row>
    <row r="2239">
      <c r="A2239" s="2">
        <v>45862</v>
      </c>
      <c r="B2239">
        <v>2026.0</v>
      </c>
      <c r="C2239" t="s">
        <v>321</v>
      </c>
      <c r="D2239" t="s">
        <v>319</v>
      </c>
      <c r="E2239" t="s">
        <v>156</v>
      </c>
      <c r="F2239" t="s">
        <v>304</v>
      </c>
      <c r="G2239" t="s">
        <v>9</v>
      </c>
      <c r="H2239">
        <v>2830.0</v>
      </c>
      <c r="I2239" t="s">
        <v>31</v>
      </c>
      <c r="J2239" t="s">
        <v>75</v>
      </c>
      <c r="K2239" t="s">
        <v>43</v>
      </c>
      <c r="L2239" t="s">
        <v>44</v>
      </c>
      <c r="M2239">
        <v>182.3</v>
      </c>
    </row>
    <row r="2240">
      <c r="A2240" s="2">
        <v>45742</v>
      </c>
      <c r="B2240">
        <v>2025.0</v>
      </c>
      <c r="C2240" t="s">
        <v>315</v>
      </c>
      <c r="D2240" t="s">
        <v>319</v>
      </c>
      <c r="E2240" t="s">
        <v>156</v>
      </c>
      <c r="F2240" t="s">
        <v>304</v>
      </c>
      <c r="G2240" t="s">
        <v>9</v>
      </c>
      <c r="H2240">
        <v>2830.0</v>
      </c>
      <c r="I2240" t="s">
        <v>31</v>
      </c>
      <c r="J2240" t="s">
        <v>75</v>
      </c>
      <c r="K2240" t="s">
        <v>43</v>
      </c>
      <c r="L2240" t="s">
        <v>44</v>
      </c>
      <c r="M2240">
        <v>182.98000000000002</v>
      </c>
    </row>
    <row r="2241">
      <c r="A2241" s="2">
        <v>45626</v>
      </c>
      <c r="B2241">
        <v>2025.0</v>
      </c>
      <c r="C2241" t="s">
        <v>315</v>
      </c>
      <c r="D2241" t="s">
        <v>319</v>
      </c>
      <c r="E2241" t="s">
        <v>201</v>
      </c>
      <c r="F2241" t="s">
        <v>305</v>
      </c>
      <c r="G2241" t="s">
        <v>10</v>
      </c>
      <c r="H2241">
        <v>3131.0</v>
      </c>
      <c r="I2241" t="s">
        <v>31</v>
      </c>
      <c r="J2241" t="s">
        <v>89</v>
      </c>
      <c r="K2241" t="s">
        <v>71</v>
      </c>
      <c r="L2241" t="s">
        <v>72</v>
      </c>
      <c r="M2241">
        <v>183.33</v>
      </c>
    </row>
    <row r="2242">
      <c r="A2242" s="2">
        <v>45801</v>
      </c>
      <c r="B2242">
        <v>2025.0</v>
      </c>
      <c r="C2242" t="s">
        <v>315</v>
      </c>
      <c r="D2242" t="s">
        <v>319</v>
      </c>
      <c r="E2242" t="s">
        <v>35</v>
      </c>
      <c r="F2242" t="s">
        <v>305</v>
      </c>
      <c r="G2242" t="s">
        <v>10</v>
      </c>
      <c r="H2242">
        <v>3280.0</v>
      </c>
      <c r="I2242" t="s">
        <v>31</v>
      </c>
      <c r="J2242" t="s">
        <v>37</v>
      </c>
      <c r="K2242" t="s">
        <v>123</v>
      </c>
      <c r="L2242" t="s">
        <v>124</v>
      </c>
      <c r="M2242">
        <v>183.35</v>
      </c>
    </row>
    <row r="2243">
      <c r="A2243" s="2">
        <v>45653</v>
      </c>
      <c r="B2243">
        <v>2025.0</v>
      </c>
      <c r="C2243" t="s">
        <v>315</v>
      </c>
      <c r="D2243" t="s">
        <v>319</v>
      </c>
      <c r="E2243" t="s">
        <v>201</v>
      </c>
      <c r="F2243" t="s">
        <v>305</v>
      </c>
      <c r="G2243" t="s">
        <v>10</v>
      </c>
      <c r="H2243">
        <v>3131.0</v>
      </c>
      <c r="I2243" t="s">
        <v>31</v>
      </c>
      <c r="J2243" t="s">
        <v>89</v>
      </c>
      <c r="K2243" t="s">
        <v>33</v>
      </c>
      <c r="L2243" t="s">
        <v>34</v>
      </c>
      <c r="M2243">
        <v>183.61</v>
      </c>
    </row>
    <row r="2244">
      <c r="A2244" s="2">
        <v>45334</v>
      </c>
      <c r="B2244">
        <v>2024.0</v>
      </c>
      <c r="C2244" t="s">
        <v>318</v>
      </c>
      <c r="D2244" t="s">
        <v>316</v>
      </c>
      <c r="E2244" t="s">
        <v>73</v>
      </c>
      <c r="F2244" t="s">
        <v>304</v>
      </c>
      <c r="G2244" t="s">
        <v>9</v>
      </c>
      <c r="H2244">
        <v>2750.0</v>
      </c>
      <c r="I2244" t="s">
        <v>31</v>
      </c>
      <c r="J2244" t="s">
        <v>75</v>
      </c>
      <c r="K2244" t="s">
        <v>38</v>
      </c>
      <c r="L2244" t="s">
        <v>39</v>
      </c>
      <c r="M2244">
        <v>183.67000000000002</v>
      </c>
    </row>
    <row r="2245">
      <c r="A2245" s="2">
        <v>45931</v>
      </c>
      <c r="B2245">
        <v>2026.0</v>
      </c>
      <c r="C2245" t="s">
        <v>321</v>
      </c>
      <c r="D2245" t="s">
        <v>319</v>
      </c>
      <c r="E2245" t="s">
        <v>85</v>
      </c>
      <c r="F2245" t="s">
        <v>304</v>
      </c>
      <c r="G2245" t="s">
        <v>9</v>
      </c>
      <c r="H2245">
        <v>2120.0</v>
      </c>
      <c r="I2245" t="s">
        <v>31</v>
      </c>
      <c r="J2245" t="s">
        <v>81</v>
      </c>
      <c r="K2245" t="s">
        <v>71</v>
      </c>
      <c r="L2245" t="s">
        <v>72</v>
      </c>
      <c r="M2245">
        <v>183.7</v>
      </c>
    </row>
    <row r="2246">
      <c r="A2246" s="2">
        <v>45794</v>
      </c>
      <c r="B2246">
        <v>2025.0</v>
      </c>
      <c r="C2246" t="s">
        <v>315</v>
      </c>
      <c r="D2246" t="s">
        <v>319</v>
      </c>
      <c r="E2246" t="s">
        <v>103</v>
      </c>
      <c r="F2246" t="s">
        <v>307</v>
      </c>
      <c r="G2246" t="s">
        <v>12</v>
      </c>
      <c r="H2246">
        <v>6021.0</v>
      </c>
      <c r="I2246" t="s">
        <v>31</v>
      </c>
      <c r="J2246" t="s">
        <v>102</v>
      </c>
      <c r="K2246" t="s">
        <v>95</v>
      </c>
      <c r="L2246" t="s">
        <v>96</v>
      </c>
      <c r="M2246">
        <v>184.13000000000002</v>
      </c>
    </row>
    <row r="2247">
      <c r="A2247" s="2">
        <v>45307</v>
      </c>
      <c r="B2247">
        <v>2024.0</v>
      </c>
      <c r="C2247" t="s">
        <v>318</v>
      </c>
      <c r="D2247" t="s">
        <v>319</v>
      </c>
      <c r="E2247" t="s">
        <v>156</v>
      </c>
      <c r="F2247" t="s">
        <v>304</v>
      </c>
      <c r="G2247" t="s">
        <v>9</v>
      </c>
      <c r="H2247">
        <v>2830.0</v>
      </c>
      <c r="I2247" t="s">
        <v>31</v>
      </c>
      <c r="J2247" t="s">
        <v>75</v>
      </c>
      <c r="K2247" t="s">
        <v>95</v>
      </c>
      <c r="L2247" t="s">
        <v>96</v>
      </c>
      <c r="M2247">
        <v>184.24</v>
      </c>
    </row>
    <row r="2248">
      <c r="A2248" s="2">
        <v>45307</v>
      </c>
      <c r="B2248">
        <v>2024.0</v>
      </c>
      <c r="C2248" t="s">
        <v>318</v>
      </c>
      <c r="D2248" t="s">
        <v>319</v>
      </c>
      <c r="E2248" t="s">
        <v>156</v>
      </c>
      <c r="F2248" t="s">
        <v>304</v>
      </c>
      <c r="G2248" t="s">
        <v>9</v>
      </c>
      <c r="H2248">
        <v>2830.0</v>
      </c>
      <c r="I2248" t="s">
        <v>31</v>
      </c>
      <c r="J2248" t="s">
        <v>75</v>
      </c>
      <c r="K2248" t="s">
        <v>66</v>
      </c>
      <c r="L2248" t="s">
        <v>67</v>
      </c>
      <c r="M2248">
        <v>184.62</v>
      </c>
    </row>
    <row r="2249">
      <c r="A2249" s="2">
        <v>45292</v>
      </c>
      <c r="B2249">
        <v>2024.0</v>
      </c>
      <c r="C2249" t="s">
        <v>318</v>
      </c>
      <c r="D2249" t="s">
        <v>319</v>
      </c>
      <c r="E2249" t="s">
        <v>29</v>
      </c>
      <c r="F2249" t="s">
        <v>306</v>
      </c>
      <c r="G2249" t="s">
        <v>11</v>
      </c>
      <c r="H2249">
        <v>4703.0</v>
      </c>
      <c r="I2249" t="s">
        <v>31</v>
      </c>
      <c r="J2249" t="s">
        <v>32</v>
      </c>
      <c r="K2249" t="s">
        <v>46</v>
      </c>
      <c r="L2249" t="s">
        <v>47</v>
      </c>
      <c r="M2249">
        <v>184.87</v>
      </c>
    </row>
    <row r="2250">
      <c r="A2250" s="2">
        <v>45534</v>
      </c>
      <c r="B2250">
        <v>2025.0</v>
      </c>
      <c r="C2250" t="s">
        <v>315</v>
      </c>
      <c r="D2250" t="s">
        <v>316</v>
      </c>
      <c r="E2250" t="s">
        <v>223</v>
      </c>
      <c r="F2250" t="s">
        <v>305</v>
      </c>
      <c r="G2250" t="s">
        <v>10</v>
      </c>
      <c r="H2250">
        <v>3915.0</v>
      </c>
      <c r="I2250" t="s">
        <v>31</v>
      </c>
      <c r="J2250" t="s">
        <v>94</v>
      </c>
      <c r="K2250" t="s">
        <v>57</v>
      </c>
      <c r="L2250" t="s">
        <v>58</v>
      </c>
      <c r="M2250">
        <v>184.97</v>
      </c>
    </row>
    <row r="2251">
      <c r="A2251" s="2">
        <v>45684</v>
      </c>
      <c r="B2251">
        <v>2025.0</v>
      </c>
      <c r="C2251" t="s">
        <v>315</v>
      </c>
      <c r="D2251" t="s">
        <v>316</v>
      </c>
      <c r="E2251" t="s">
        <v>197</v>
      </c>
      <c r="F2251" t="s">
        <v>304</v>
      </c>
      <c r="G2251" t="s">
        <v>9</v>
      </c>
      <c r="H2251">
        <v>2560.0</v>
      </c>
      <c r="I2251" t="s">
        <v>31</v>
      </c>
      <c r="J2251" t="s">
        <v>107</v>
      </c>
      <c r="K2251" t="s">
        <v>57</v>
      </c>
      <c r="L2251" t="s">
        <v>58</v>
      </c>
      <c r="M2251">
        <v>185.32999999999998</v>
      </c>
    </row>
    <row r="2252">
      <c r="A2252" s="2">
        <v>45427</v>
      </c>
      <c r="B2252">
        <v>2024.0</v>
      </c>
      <c r="C2252" t="s">
        <v>318</v>
      </c>
      <c r="D2252" t="s">
        <v>316</v>
      </c>
      <c r="E2252" t="s">
        <v>219</v>
      </c>
      <c r="F2252" t="s">
        <v>306</v>
      </c>
      <c r="G2252" t="s">
        <v>11</v>
      </c>
      <c r="H2252">
        <v>4068.0</v>
      </c>
      <c r="I2252" t="s">
        <v>31</v>
      </c>
      <c r="J2252" t="s">
        <v>56</v>
      </c>
      <c r="K2252" t="s">
        <v>43</v>
      </c>
      <c r="L2252" t="s">
        <v>44</v>
      </c>
      <c r="M2252">
        <v>185.34</v>
      </c>
    </row>
    <row r="2253">
      <c r="A2253" s="2">
        <v>45416</v>
      </c>
      <c r="B2253">
        <v>2024.0</v>
      </c>
      <c r="C2253" t="s">
        <v>318</v>
      </c>
      <c r="D2253" t="s">
        <v>316</v>
      </c>
      <c r="E2253" t="s">
        <v>82</v>
      </c>
      <c r="F2253" t="s">
        <v>306</v>
      </c>
      <c r="G2253" t="s">
        <v>11</v>
      </c>
      <c r="H2253">
        <v>4558.0</v>
      </c>
      <c r="I2253" t="s">
        <v>31</v>
      </c>
      <c r="J2253" t="s">
        <v>84</v>
      </c>
      <c r="K2253" t="s">
        <v>112</v>
      </c>
      <c r="L2253" t="s">
        <v>113</v>
      </c>
      <c r="M2253">
        <v>185.7</v>
      </c>
    </row>
    <row r="2254">
      <c r="A2254" s="2">
        <v>45591</v>
      </c>
      <c r="B2254">
        <v>2025.0</v>
      </c>
      <c r="C2254" t="s">
        <v>315</v>
      </c>
      <c r="D2254" t="s">
        <v>316</v>
      </c>
      <c r="E2254" t="s">
        <v>225</v>
      </c>
      <c r="F2254" t="s">
        <v>308</v>
      </c>
      <c r="G2254" t="s">
        <v>13</v>
      </c>
      <c r="H2254">
        <v>5607.0</v>
      </c>
      <c r="I2254" t="s">
        <v>31</v>
      </c>
      <c r="J2254" t="s">
        <v>227</v>
      </c>
      <c r="K2254" t="s">
        <v>57</v>
      </c>
      <c r="L2254" t="s">
        <v>58</v>
      </c>
      <c r="M2254">
        <v>185.80999999999997</v>
      </c>
    </row>
    <row r="2255">
      <c r="A2255" s="2">
        <v>45799</v>
      </c>
      <c r="B2255">
        <v>2025.0</v>
      </c>
      <c r="C2255" t="s">
        <v>315</v>
      </c>
      <c r="D2255" t="s">
        <v>316</v>
      </c>
      <c r="E2255" t="s">
        <v>97</v>
      </c>
      <c r="F2255" t="s">
        <v>304</v>
      </c>
      <c r="G2255" t="s">
        <v>9</v>
      </c>
      <c r="H2255">
        <v>2067.0</v>
      </c>
      <c r="I2255" t="s">
        <v>31</v>
      </c>
      <c r="J2255" t="s">
        <v>99</v>
      </c>
      <c r="K2255" t="s">
        <v>46</v>
      </c>
      <c r="L2255" t="s">
        <v>47</v>
      </c>
      <c r="M2255">
        <v>185.82</v>
      </c>
    </row>
    <row r="2256">
      <c r="A2256" s="2">
        <v>45965</v>
      </c>
      <c r="B2256">
        <v>2026.0</v>
      </c>
      <c r="C2256" t="s">
        <v>321</v>
      </c>
      <c r="D2256" t="s">
        <v>316</v>
      </c>
      <c r="E2256" t="s">
        <v>181</v>
      </c>
      <c r="F2256" t="s">
        <v>306</v>
      </c>
      <c r="G2256" t="s">
        <v>11</v>
      </c>
      <c r="H2256">
        <v>4119.0</v>
      </c>
      <c r="I2256" t="s">
        <v>31</v>
      </c>
      <c r="J2256" t="s">
        <v>56</v>
      </c>
      <c r="K2256" t="s">
        <v>46</v>
      </c>
      <c r="L2256" t="s">
        <v>47</v>
      </c>
      <c r="M2256">
        <v>185.82999999999998</v>
      </c>
    </row>
    <row r="2257">
      <c r="A2257" s="2">
        <v>45825</v>
      </c>
      <c r="B2257">
        <v>2025.0</v>
      </c>
      <c r="C2257" t="s">
        <v>315</v>
      </c>
      <c r="D2257" t="s">
        <v>319</v>
      </c>
      <c r="E2257" t="s">
        <v>205</v>
      </c>
      <c r="F2257" t="s">
        <v>305</v>
      </c>
      <c r="G2257" t="s">
        <v>10</v>
      </c>
      <c r="H2257">
        <v>3400.0</v>
      </c>
      <c r="I2257" t="s">
        <v>31</v>
      </c>
      <c r="J2257" t="s">
        <v>37</v>
      </c>
      <c r="K2257" t="s">
        <v>33</v>
      </c>
      <c r="L2257" t="s">
        <v>34</v>
      </c>
      <c r="M2257">
        <v>187.22</v>
      </c>
    </row>
    <row r="2258">
      <c r="A2258" s="2">
        <v>45895</v>
      </c>
      <c r="B2258">
        <v>2026.0</v>
      </c>
      <c r="C2258" t="s">
        <v>321</v>
      </c>
      <c r="D2258" t="s">
        <v>319</v>
      </c>
      <c r="E2258" t="s">
        <v>152</v>
      </c>
      <c r="F2258" t="s">
        <v>306</v>
      </c>
      <c r="G2258" t="s">
        <v>11</v>
      </c>
      <c r="H2258">
        <v>4305.0</v>
      </c>
      <c r="I2258" t="s">
        <v>31</v>
      </c>
      <c r="J2258" t="s">
        <v>61</v>
      </c>
      <c r="K2258" t="s">
        <v>123</v>
      </c>
      <c r="L2258" t="s">
        <v>124</v>
      </c>
      <c r="M2258">
        <v>187.41000000000003</v>
      </c>
    </row>
    <row r="2259">
      <c r="A2259" s="2">
        <v>45877</v>
      </c>
      <c r="B2259">
        <v>2026.0</v>
      </c>
      <c r="C2259" t="s">
        <v>321</v>
      </c>
      <c r="D2259" t="s">
        <v>319</v>
      </c>
      <c r="E2259" t="s">
        <v>215</v>
      </c>
      <c r="F2259" t="s">
        <v>310</v>
      </c>
      <c r="G2259" t="s">
        <v>15</v>
      </c>
      <c r="H2259">
        <v>7320.0</v>
      </c>
      <c r="I2259" t="s">
        <v>31</v>
      </c>
      <c r="J2259" t="s">
        <v>53</v>
      </c>
      <c r="K2259" t="s">
        <v>112</v>
      </c>
      <c r="L2259" t="s">
        <v>113</v>
      </c>
      <c r="M2259">
        <v>187.53</v>
      </c>
    </row>
    <row r="2260">
      <c r="A2260" s="2">
        <v>45931</v>
      </c>
      <c r="B2260">
        <v>2026.0</v>
      </c>
      <c r="C2260" t="s">
        <v>321</v>
      </c>
      <c r="D2260" t="s">
        <v>316</v>
      </c>
      <c r="E2260" t="s">
        <v>97</v>
      </c>
      <c r="F2260" t="s">
        <v>304</v>
      </c>
      <c r="G2260" t="s">
        <v>9</v>
      </c>
      <c r="H2260">
        <v>2067.0</v>
      </c>
      <c r="I2260" t="s">
        <v>31</v>
      </c>
      <c r="J2260" t="s">
        <v>99</v>
      </c>
      <c r="K2260" t="s">
        <v>95</v>
      </c>
      <c r="L2260" t="s">
        <v>96</v>
      </c>
      <c r="M2260">
        <v>187.81</v>
      </c>
    </row>
    <row r="2261">
      <c r="A2261" s="2">
        <v>45510</v>
      </c>
      <c r="B2261">
        <v>2025.0</v>
      </c>
      <c r="C2261" t="s">
        <v>315</v>
      </c>
      <c r="D2261" t="s">
        <v>319</v>
      </c>
      <c r="E2261" t="s">
        <v>29</v>
      </c>
      <c r="F2261" t="s">
        <v>306</v>
      </c>
      <c r="G2261" t="s">
        <v>11</v>
      </c>
      <c r="H2261">
        <v>4703.0</v>
      </c>
      <c r="I2261" t="s">
        <v>31</v>
      </c>
      <c r="J2261" t="s">
        <v>32</v>
      </c>
      <c r="K2261" t="s">
        <v>112</v>
      </c>
      <c r="L2261" t="s">
        <v>113</v>
      </c>
      <c r="M2261">
        <v>188.13</v>
      </c>
    </row>
    <row r="2262">
      <c r="A2262" s="2">
        <v>45326</v>
      </c>
      <c r="B2262">
        <v>2024.0</v>
      </c>
      <c r="C2262" t="s">
        <v>318</v>
      </c>
      <c r="D2262" t="s">
        <v>319</v>
      </c>
      <c r="E2262" t="s">
        <v>187</v>
      </c>
      <c r="F2262" t="s">
        <v>306</v>
      </c>
      <c r="G2262" t="s">
        <v>11</v>
      </c>
      <c r="H2262">
        <v>4870.0</v>
      </c>
      <c r="I2262" t="s">
        <v>31</v>
      </c>
      <c r="J2262" t="s">
        <v>78</v>
      </c>
      <c r="K2262" t="s">
        <v>33</v>
      </c>
      <c r="L2262" t="s">
        <v>34</v>
      </c>
      <c r="M2262">
        <v>188.22</v>
      </c>
    </row>
    <row r="2263">
      <c r="A2263" s="2">
        <v>45370</v>
      </c>
      <c r="B2263">
        <v>2024.0</v>
      </c>
      <c r="C2263" t="s">
        <v>318</v>
      </c>
      <c r="D2263" t="s">
        <v>319</v>
      </c>
      <c r="E2263" t="s">
        <v>103</v>
      </c>
      <c r="F2263" t="s">
        <v>307</v>
      </c>
      <c r="G2263" t="s">
        <v>12</v>
      </c>
      <c r="H2263">
        <v>6021.0</v>
      </c>
      <c r="I2263" t="s">
        <v>31</v>
      </c>
      <c r="J2263" t="s">
        <v>102</v>
      </c>
      <c r="K2263" t="s">
        <v>95</v>
      </c>
      <c r="L2263" t="s">
        <v>96</v>
      </c>
      <c r="M2263">
        <v>188.94</v>
      </c>
    </row>
    <row r="2264">
      <c r="A2264" s="2">
        <v>45920</v>
      </c>
      <c r="B2264">
        <v>2026.0</v>
      </c>
      <c r="C2264" t="s">
        <v>321</v>
      </c>
      <c r="D2264" t="s">
        <v>316</v>
      </c>
      <c r="E2264" t="s">
        <v>175</v>
      </c>
      <c r="F2264" t="s">
        <v>311</v>
      </c>
      <c r="G2264" t="s">
        <v>16</v>
      </c>
      <c r="H2264">
        <v>2617.0</v>
      </c>
      <c r="I2264" t="s">
        <v>31</v>
      </c>
      <c r="J2264" t="s">
        <v>107</v>
      </c>
      <c r="K2264" t="s">
        <v>71</v>
      </c>
      <c r="L2264" t="s">
        <v>72</v>
      </c>
      <c r="M2264">
        <v>189.58</v>
      </c>
    </row>
    <row r="2265">
      <c r="A2265" s="2">
        <v>46022</v>
      </c>
      <c r="B2265">
        <v>2026.0</v>
      </c>
      <c r="C2265" t="s">
        <v>321</v>
      </c>
      <c r="D2265" t="s">
        <v>316</v>
      </c>
      <c r="E2265" t="s">
        <v>246</v>
      </c>
      <c r="F2265" t="s">
        <v>305</v>
      </c>
      <c r="G2265" t="s">
        <v>10</v>
      </c>
      <c r="H2265">
        <v>3551.0</v>
      </c>
      <c r="I2265" t="s">
        <v>31</v>
      </c>
      <c r="J2265" t="s">
        <v>37</v>
      </c>
      <c r="K2265" t="s">
        <v>66</v>
      </c>
      <c r="L2265" t="s">
        <v>67</v>
      </c>
      <c r="M2265">
        <v>189.72</v>
      </c>
    </row>
    <row r="2266">
      <c r="A2266" s="2">
        <v>45532</v>
      </c>
      <c r="B2266">
        <v>2025.0</v>
      </c>
      <c r="C2266" t="s">
        <v>315</v>
      </c>
      <c r="D2266" t="s">
        <v>316</v>
      </c>
      <c r="E2266" t="s">
        <v>97</v>
      </c>
      <c r="F2266" t="s">
        <v>304</v>
      </c>
      <c r="G2266" t="s">
        <v>9</v>
      </c>
      <c r="H2266">
        <v>2067.0</v>
      </c>
      <c r="I2266" t="s">
        <v>31</v>
      </c>
      <c r="J2266" t="s">
        <v>99</v>
      </c>
      <c r="K2266" t="s">
        <v>57</v>
      </c>
      <c r="L2266" t="s">
        <v>58</v>
      </c>
      <c r="M2266">
        <v>189.81</v>
      </c>
    </row>
    <row r="2267">
      <c r="A2267" s="2">
        <v>45394</v>
      </c>
      <c r="B2267">
        <v>2024.0</v>
      </c>
      <c r="C2267" t="s">
        <v>318</v>
      </c>
      <c r="D2267" t="s">
        <v>319</v>
      </c>
      <c r="E2267" t="s">
        <v>156</v>
      </c>
      <c r="F2267" t="s">
        <v>304</v>
      </c>
      <c r="G2267" t="s">
        <v>9</v>
      </c>
      <c r="H2267">
        <v>2830.0</v>
      </c>
      <c r="I2267" t="s">
        <v>31</v>
      </c>
      <c r="J2267" t="s">
        <v>75</v>
      </c>
      <c r="K2267" t="s">
        <v>43</v>
      </c>
      <c r="L2267" t="s">
        <v>44</v>
      </c>
      <c r="M2267">
        <v>189.82</v>
      </c>
    </row>
    <row r="2268">
      <c r="A2268" s="2">
        <v>45618</v>
      </c>
      <c r="B2268">
        <v>2025.0</v>
      </c>
      <c r="C2268" t="s">
        <v>315</v>
      </c>
      <c r="D2268" t="s">
        <v>319</v>
      </c>
      <c r="E2268" t="s">
        <v>125</v>
      </c>
      <c r="F2268" t="s">
        <v>305</v>
      </c>
      <c r="G2268" t="s">
        <v>10</v>
      </c>
      <c r="H2268">
        <v>3931.0</v>
      </c>
      <c r="I2268" t="s">
        <v>31</v>
      </c>
      <c r="J2268" t="s">
        <v>94</v>
      </c>
      <c r="K2268" t="s">
        <v>46</v>
      </c>
      <c r="L2268" t="s">
        <v>47</v>
      </c>
      <c r="M2268">
        <v>189.87</v>
      </c>
    </row>
    <row r="2269">
      <c r="A2269" s="2">
        <v>45480</v>
      </c>
      <c r="B2269">
        <v>2025.0</v>
      </c>
      <c r="C2269" t="s">
        <v>315</v>
      </c>
      <c r="D2269" t="s">
        <v>319</v>
      </c>
      <c r="E2269" t="s">
        <v>68</v>
      </c>
      <c r="F2269" t="s">
        <v>304</v>
      </c>
      <c r="G2269" t="s">
        <v>9</v>
      </c>
      <c r="H2269">
        <v>2478.0</v>
      </c>
      <c r="I2269" t="s">
        <v>31</v>
      </c>
      <c r="J2269" t="s">
        <v>70</v>
      </c>
      <c r="K2269" t="s">
        <v>43</v>
      </c>
      <c r="L2269" t="s">
        <v>44</v>
      </c>
      <c r="M2269">
        <v>190.83</v>
      </c>
    </row>
    <row r="2270">
      <c r="A2270" s="2">
        <v>45664</v>
      </c>
      <c r="B2270">
        <v>2025.0</v>
      </c>
      <c r="C2270" t="s">
        <v>315</v>
      </c>
      <c r="D2270" t="s">
        <v>319</v>
      </c>
      <c r="E2270" t="s">
        <v>207</v>
      </c>
      <c r="F2270" t="s">
        <v>306</v>
      </c>
      <c r="G2270" t="s">
        <v>11</v>
      </c>
      <c r="H2270">
        <v>4825.0</v>
      </c>
      <c r="I2270" t="s">
        <v>31</v>
      </c>
      <c r="J2270" t="s">
        <v>78</v>
      </c>
      <c r="K2270" t="s">
        <v>57</v>
      </c>
      <c r="L2270" t="s">
        <v>58</v>
      </c>
      <c r="M2270">
        <v>191.07999999999998</v>
      </c>
    </row>
    <row r="2271">
      <c r="A2271" s="2">
        <v>45585</v>
      </c>
      <c r="B2271">
        <v>2025.0</v>
      </c>
      <c r="C2271" t="s">
        <v>315</v>
      </c>
      <c r="D2271" t="s">
        <v>316</v>
      </c>
      <c r="E2271" t="s">
        <v>137</v>
      </c>
      <c r="F2271" t="s">
        <v>305</v>
      </c>
      <c r="G2271" t="s">
        <v>10</v>
      </c>
      <c r="H2271">
        <v>3134.0</v>
      </c>
      <c r="I2271" t="s">
        <v>31</v>
      </c>
      <c r="J2271" t="s">
        <v>89</v>
      </c>
      <c r="K2271" t="s">
        <v>112</v>
      </c>
      <c r="L2271" t="s">
        <v>113</v>
      </c>
      <c r="M2271">
        <v>191.57999999999998</v>
      </c>
    </row>
    <row r="2272">
      <c r="A2272" s="2">
        <v>45488</v>
      </c>
      <c r="B2272">
        <v>2025.0</v>
      </c>
      <c r="C2272" t="s">
        <v>315</v>
      </c>
      <c r="D2272" t="s">
        <v>316</v>
      </c>
      <c r="E2272" t="s">
        <v>97</v>
      </c>
      <c r="F2272" t="s">
        <v>304</v>
      </c>
      <c r="G2272" t="s">
        <v>9</v>
      </c>
      <c r="H2272">
        <v>2067.0</v>
      </c>
      <c r="I2272" t="s">
        <v>31</v>
      </c>
      <c r="J2272" t="s">
        <v>99</v>
      </c>
      <c r="K2272" t="s">
        <v>57</v>
      </c>
      <c r="L2272" t="s">
        <v>58</v>
      </c>
      <c r="M2272">
        <v>191.62</v>
      </c>
    </row>
    <row r="2273">
      <c r="A2273" s="2">
        <v>45593</v>
      </c>
      <c r="B2273">
        <v>2025.0</v>
      </c>
      <c r="C2273" t="s">
        <v>315</v>
      </c>
      <c r="D2273" t="s">
        <v>319</v>
      </c>
      <c r="E2273" t="s">
        <v>197</v>
      </c>
      <c r="F2273" t="s">
        <v>304</v>
      </c>
      <c r="G2273" t="s">
        <v>9</v>
      </c>
      <c r="H2273">
        <v>2560.0</v>
      </c>
      <c r="I2273" t="s">
        <v>31</v>
      </c>
      <c r="J2273" t="s">
        <v>107</v>
      </c>
      <c r="K2273" t="s">
        <v>66</v>
      </c>
      <c r="L2273" t="s">
        <v>67</v>
      </c>
      <c r="M2273">
        <v>191.65</v>
      </c>
    </row>
    <row r="2274">
      <c r="A2274" s="2">
        <v>45381</v>
      </c>
      <c r="B2274">
        <v>2024.0</v>
      </c>
      <c r="C2274" t="s">
        <v>318</v>
      </c>
      <c r="D2274" t="s">
        <v>319</v>
      </c>
      <c r="E2274" t="s">
        <v>246</v>
      </c>
      <c r="F2274" t="s">
        <v>305</v>
      </c>
      <c r="G2274" t="s">
        <v>10</v>
      </c>
      <c r="H2274">
        <v>3551.0</v>
      </c>
      <c r="I2274" t="s">
        <v>31</v>
      </c>
      <c r="J2274" t="s">
        <v>37</v>
      </c>
      <c r="K2274" t="s">
        <v>95</v>
      </c>
      <c r="L2274" t="s">
        <v>96</v>
      </c>
      <c r="M2274">
        <v>192.45999999999998</v>
      </c>
    </row>
    <row r="2275">
      <c r="A2275" s="2">
        <v>45383</v>
      </c>
      <c r="B2275">
        <v>2024.0</v>
      </c>
      <c r="C2275" t="s">
        <v>318</v>
      </c>
      <c r="D2275" t="s">
        <v>316</v>
      </c>
      <c r="E2275" t="s">
        <v>90</v>
      </c>
      <c r="F2275" t="s">
        <v>305</v>
      </c>
      <c r="G2275" t="s">
        <v>10</v>
      </c>
      <c r="H2275">
        <v>3353.0</v>
      </c>
      <c r="I2275" t="s">
        <v>31</v>
      </c>
      <c r="J2275" t="s">
        <v>37</v>
      </c>
      <c r="K2275" t="s">
        <v>43</v>
      </c>
      <c r="L2275" t="s">
        <v>44</v>
      </c>
      <c r="M2275">
        <v>192.47</v>
      </c>
    </row>
    <row r="2276">
      <c r="A2276" s="2">
        <v>45890</v>
      </c>
      <c r="B2276">
        <v>2026.0</v>
      </c>
      <c r="C2276" t="s">
        <v>321</v>
      </c>
      <c r="D2276" t="s">
        <v>316</v>
      </c>
      <c r="E2276" t="s">
        <v>256</v>
      </c>
      <c r="F2276" t="s">
        <v>304</v>
      </c>
      <c r="G2276" t="s">
        <v>9</v>
      </c>
      <c r="H2276">
        <v>2350.0</v>
      </c>
      <c r="I2276" t="s">
        <v>31</v>
      </c>
      <c r="J2276" t="s">
        <v>70</v>
      </c>
      <c r="K2276" t="s">
        <v>38</v>
      </c>
      <c r="L2276" t="s">
        <v>39</v>
      </c>
      <c r="M2276">
        <v>192.65</v>
      </c>
    </row>
    <row r="2277">
      <c r="A2277" s="2">
        <v>45696</v>
      </c>
      <c r="B2277">
        <v>2025.0</v>
      </c>
      <c r="C2277" t="s">
        <v>315</v>
      </c>
      <c r="D2277" t="s">
        <v>316</v>
      </c>
      <c r="E2277" t="s">
        <v>207</v>
      </c>
      <c r="F2277" t="s">
        <v>306</v>
      </c>
      <c r="G2277" t="s">
        <v>11</v>
      </c>
      <c r="H2277">
        <v>4825.0</v>
      </c>
      <c r="I2277" t="s">
        <v>31</v>
      </c>
      <c r="J2277" t="s">
        <v>78</v>
      </c>
      <c r="K2277" t="s">
        <v>33</v>
      </c>
      <c r="L2277" t="s">
        <v>34</v>
      </c>
      <c r="M2277">
        <v>192.67</v>
      </c>
    </row>
    <row r="2278">
      <c r="A2278" s="2">
        <v>45594</v>
      </c>
      <c r="B2278">
        <v>2025.0</v>
      </c>
      <c r="C2278" t="s">
        <v>315</v>
      </c>
      <c r="D2278" t="s">
        <v>319</v>
      </c>
      <c r="E2278" t="s">
        <v>152</v>
      </c>
      <c r="F2278" t="s">
        <v>306</v>
      </c>
      <c r="G2278" t="s">
        <v>11</v>
      </c>
      <c r="H2278">
        <v>4305.0</v>
      </c>
      <c r="I2278" t="s">
        <v>31</v>
      </c>
      <c r="J2278" t="s">
        <v>61</v>
      </c>
      <c r="K2278" t="s">
        <v>123</v>
      </c>
      <c r="L2278" t="s">
        <v>124</v>
      </c>
      <c r="M2278">
        <v>193.7</v>
      </c>
    </row>
    <row r="2279">
      <c r="A2279" s="2">
        <v>45945</v>
      </c>
      <c r="B2279">
        <v>2026.0</v>
      </c>
      <c r="C2279" t="s">
        <v>321</v>
      </c>
      <c r="D2279" t="s">
        <v>319</v>
      </c>
      <c r="E2279" t="s">
        <v>131</v>
      </c>
      <c r="F2279" t="s">
        <v>306</v>
      </c>
      <c r="G2279" t="s">
        <v>11</v>
      </c>
      <c r="H2279">
        <v>4655.0</v>
      </c>
      <c r="I2279" t="s">
        <v>31</v>
      </c>
      <c r="J2279" t="s">
        <v>32</v>
      </c>
      <c r="K2279" t="s">
        <v>71</v>
      </c>
      <c r="L2279" t="s">
        <v>72</v>
      </c>
      <c r="M2279">
        <v>193.8</v>
      </c>
    </row>
    <row r="2280">
      <c r="A2280" s="2">
        <v>45972</v>
      </c>
      <c r="B2280">
        <v>2026.0</v>
      </c>
      <c r="C2280" t="s">
        <v>321</v>
      </c>
      <c r="D2280" t="s">
        <v>319</v>
      </c>
      <c r="E2280" t="s">
        <v>103</v>
      </c>
      <c r="F2280" t="s">
        <v>307</v>
      </c>
      <c r="G2280" t="s">
        <v>12</v>
      </c>
      <c r="H2280">
        <v>6021.0</v>
      </c>
      <c r="I2280" t="s">
        <v>31</v>
      </c>
      <c r="J2280" t="s">
        <v>102</v>
      </c>
      <c r="K2280" t="s">
        <v>43</v>
      </c>
      <c r="L2280" t="s">
        <v>44</v>
      </c>
      <c r="M2280">
        <v>193.95</v>
      </c>
    </row>
    <row r="2281">
      <c r="A2281" s="2">
        <v>45362</v>
      </c>
      <c r="B2281">
        <v>2024.0</v>
      </c>
      <c r="C2281" t="s">
        <v>318</v>
      </c>
      <c r="D2281" t="s">
        <v>316</v>
      </c>
      <c r="E2281" t="s">
        <v>189</v>
      </c>
      <c r="F2281" t="s">
        <v>304</v>
      </c>
      <c r="G2281" t="s">
        <v>9</v>
      </c>
      <c r="H2281">
        <v>2131.0</v>
      </c>
      <c r="I2281" t="s">
        <v>31</v>
      </c>
      <c r="J2281" t="s">
        <v>81</v>
      </c>
      <c r="K2281" t="s">
        <v>43</v>
      </c>
      <c r="L2281" t="s">
        <v>44</v>
      </c>
      <c r="M2281">
        <v>194.06</v>
      </c>
    </row>
    <row r="2282">
      <c r="A2282" s="2">
        <v>45814</v>
      </c>
      <c r="B2282">
        <v>2025.0</v>
      </c>
      <c r="C2282" t="s">
        <v>315</v>
      </c>
      <c r="D2282" t="s">
        <v>316</v>
      </c>
      <c r="E2282" t="s">
        <v>129</v>
      </c>
      <c r="F2282" t="s">
        <v>305</v>
      </c>
      <c r="G2282" t="s">
        <v>10</v>
      </c>
      <c r="H2282">
        <v>3066.0</v>
      </c>
      <c r="I2282" t="s">
        <v>31</v>
      </c>
      <c r="J2282" t="s">
        <v>120</v>
      </c>
      <c r="K2282" t="s">
        <v>43</v>
      </c>
      <c r="L2282" t="s">
        <v>44</v>
      </c>
      <c r="M2282">
        <v>194.56</v>
      </c>
    </row>
    <row r="2283">
      <c r="A2283" s="2">
        <v>45636</v>
      </c>
      <c r="B2283">
        <v>2025.0</v>
      </c>
      <c r="C2283" t="s">
        <v>315</v>
      </c>
      <c r="D2283" t="s">
        <v>316</v>
      </c>
      <c r="E2283" t="s">
        <v>48</v>
      </c>
      <c r="F2283" t="s">
        <v>307</v>
      </c>
      <c r="G2283" t="s">
        <v>12</v>
      </c>
      <c r="H2283">
        <v>6725.0</v>
      </c>
      <c r="I2283" t="s">
        <v>31</v>
      </c>
      <c r="J2283" t="s">
        <v>50</v>
      </c>
      <c r="K2283" t="s">
        <v>33</v>
      </c>
      <c r="L2283" t="s">
        <v>34</v>
      </c>
      <c r="M2283">
        <v>194.63</v>
      </c>
    </row>
    <row r="2284">
      <c r="A2284" s="2">
        <v>45950</v>
      </c>
      <c r="B2284">
        <v>2026.0</v>
      </c>
      <c r="C2284" t="s">
        <v>321</v>
      </c>
      <c r="D2284" t="s">
        <v>316</v>
      </c>
      <c r="E2284" t="s">
        <v>87</v>
      </c>
      <c r="F2284" t="s">
        <v>305</v>
      </c>
      <c r="G2284" t="s">
        <v>10</v>
      </c>
      <c r="H2284">
        <v>3148.0</v>
      </c>
      <c r="I2284" t="s">
        <v>31</v>
      </c>
      <c r="J2284" t="s">
        <v>89</v>
      </c>
      <c r="K2284" t="s">
        <v>43</v>
      </c>
      <c r="L2284" t="s">
        <v>44</v>
      </c>
      <c r="M2284">
        <v>194.64</v>
      </c>
    </row>
    <row r="2285">
      <c r="A2285" s="2">
        <v>45367</v>
      </c>
      <c r="B2285">
        <v>2024.0</v>
      </c>
      <c r="C2285" t="s">
        <v>318</v>
      </c>
      <c r="D2285" t="s">
        <v>316</v>
      </c>
      <c r="E2285" t="s">
        <v>203</v>
      </c>
      <c r="F2285" t="s">
        <v>305</v>
      </c>
      <c r="G2285" t="s">
        <v>10</v>
      </c>
      <c r="H2285">
        <v>3175.0</v>
      </c>
      <c r="I2285" t="s">
        <v>31</v>
      </c>
      <c r="J2285" t="s">
        <v>89</v>
      </c>
      <c r="K2285" t="s">
        <v>38</v>
      </c>
      <c r="L2285" t="s">
        <v>39</v>
      </c>
      <c r="M2285">
        <v>194.64999999999998</v>
      </c>
    </row>
    <row r="2286">
      <c r="A2286" s="2">
        <v>45539</v>
      </c>
      <c r="B2286">
        <v>2025.0</v>
      </c>
      <c r="C2286" t="s">
        <v>315</v>
      </c>
      <c r="D2286" t="s">
        <v>319</v>
      </c>
      <c r="E2286" t="s">
        <v>131</v>
      </c>
      <c r="F2286" t="s">
        <v>306</v>
      </c>
      <c r="G2286" t="s">
        <v>11</v>
      </c>
      <c r="H2286">
        <v>4655.0</v>
      </c>
      <c r="I2286" t="s">
        <v>31</v>
      </c>
      <c r="J2286" t="s">
        <v>32</v>
      </c>
      <c r="K2286" t="s">
        <v>95</v>
      </c>
      <c r="L2286" t="s">
        <v>96</v>
      </c>
      <c r="M2286">
        <v>194.71</v>
      </c>
    </row>
    <row r="2287">
      <c r="A2287" s="2">
        <v>45735</v>
      </c>
      <c r="B2287">
        <v>2025.0</v>
      </c>
      <c r="C2287" t="s">
        <v>315</v>
      </c>
      <c r="D2287" t="s">
        <v>316</v>
      </c>
      <c r="E2287" t="s">
        <v>167</v>
      </c>
      <c r="F2287" t="s">
        <v>307</v>
      </c>
      <c r="G2287" t="s">
        <v>12</v>
      </c>
      <c r="H2287">
        <v>6030.0</v>
      </c>
      <c r="I2287" t="s">
        <v>31</v>
      </c>
      <c r="J2287" t="s">
        <v>102</v>
      </c>
      <c r="K2287" t="s">
        <v>71</v>
      </c>
      <c r="L2287" t="s">
        <v>72</v>
      </c>
      <c r="M2287">
        <v>194.85</v>
      </c>
    </row>
    <row r="2288">
      <c r="A2288" s="2">
        <v>46008</v>
      </c>
      <c r="B2288">
        <v>2026.0</v>
      </c>
      <c r="C2288" t="s">
        <v>321</v>
      </c>
      <c r="D2288" t="s">
        <v>316</v>
      </c>
      <c r="E2288" t="s">
        <v>148</v>
      </c>
      <c r="F2288" t="s">
        <v>307</v>
      </c>
      <c r="G2288" t="s">
        <v>12</v>
      </c>
      <c r="H2288">
        <v>6450.0</v>
      </c>
      <c r="I2288" t="s">
        <v>31</v>
      </c>
      <c r="J2288" t="s">
        <v>50</v>
      </c>
      <c r="K2288" t="s">
        <v>123</v>
      </c>
      <c r="L2288" t="s">
        <v>124</v>
      </c>
      <c r="M2288">
        <v>195.1</v>
      </c>
    </row>
    <row r="2289">
      <c r="A2289" s="2">
        <v>45461</v>
      </c>
      <c r="B2289">
        <v>2024.0</v>
      </c>
      <c r="C2289" t="s">
        <v>318</v>
      </c>
      <c r="D2289" t="s">
        <v>319</v>
      </c>
      <c r="E2289" t="s">
        <v>264</v>
      </c>
      <c r="F2289" t="s">
        <v>308</v>
      </c>
      <c r="G2289" t="s">
        <v>13</v>
      </c>
      <c r="H2289">
        <v>5043.0</v>
      </c>
      <c r="I2289" t="s">
        <v>31</v>
      </c>
      <c r="J2289" t="s">
        <v>42</v>
      </c>
      <c r="K2289" t="s">
        <v>33</v>
      </c>
      <c r="L2289" t="s">
        <v>34</v>
      </c>
      <c r="M2289">
        <v>195.16</v>
      </c>
    </row>
    <row r="2290">
      <c r="A2290" s="2">
        <v>45791</v>
      </c>
      <c r="B2290">
        <v>2025.0</v>
      </c>
      <c r="C2290" t="s">
        <v>315</v>
      </c>
      <c r="D2290" t="s">
        <v>316</v>
      </c>
      <c r="E2290" t="s">
        <v>179</v>
      </c>
      <c r="F2290" t="s">
        <v>304</v>
      </c>
      <c r="G2290" t="s">
        <v>9</v>
      </c>
      <c r="H2290">
        <v>2015.0</v>
      </c>
      <c r="I2290" t="s">
        <v>31</v>
      </c>
      <c r="J2290" t="s">
        <v>99</v>
      </c>
      <c r="K2290" t="s">
        <v>66</v>
      </c>
      <c r="L2290" t="s">
        <v>67</v>
      </c>
      <c r="M2290">
        <v>195.35000000000002</v>
      </c>
    </row>
    <row r="2291">
      <c r="A2291" s="2">
        <v>45938</v>
      </c>
      <c r="B2291">
        <v>2026.0</v>
      </c>
      <c r="C2291" t="s">
        <v>321</v>
      </c>
      <c r="D2291" t="s">
        <v>316</v>
      </c>
      <c r="E2291" t="s">
        <v>179</v>
      </c>
      <c r="F2291" t="s">
        <v>304</v>
      </c>
      <c r="G2291" t="s">
        <v>9</v>
      </c>
      <c r="H2291">
        <v>2015.0</v>
      </c>
      <c r="I2291" t="s">
        <v>31</v>
      </c>
      <c r="J2291" t="s">
        <v>99</v>
      </c>
      <c r="K2291" t="s">
        <v>123</v>
      </c>
      <c r="L2291" t="s">
        <v>124</v>
      </c>
      <c r="M2291">
        <v>195.65000000000003</v>
      </c>
    </row>
    <row r="2292">
      <c r="A2292" s="2">
        <v>45895</v>
      </c>
      <c r="B2292">
        <v>2026.0</v>
      </c>
      <c r="C2292" t="s">
        <v>321</v>
      </c>
      <c r="D2292" t="s">
        <v>319</v>
      </c>
      <c r="E2292" t="s">
        <v>171</v>
      </c>
      <c r="F2292" t="s">
        <v>305</v>
      </c>
      <c r="G2292" t="s">
        <v>10</v>
      </c>
      <c r="H2292">
        <v>3500.0</v>
      </c>
      <c r="I2292" t="s">
        <v>31</v>
      </c>
      <c r="J2292" t="s">
        <v>37</v>
      </c>
      <c r="K2292" t="s">
        <v>112</v>
      </c>
      <c r="L2292" t="s">
        <v>113</v>
      </c>
      <c r="M2292">
        <v>196.21</v>
      </c>
    </row>
    <row r="2293">
      <c r="A2293" s="2">
        <v>45517</v>
      </c>
      <c r="B2293">
        <v>2025.0</v>
      </c>
      <c r="C2293" t="s">
        <v>315</v>
      </c>
      <c r="D2293" t="s">
        <v>316</v>
      </c>
      <c r="E2293" t="s">
        <v>105</v>
      </c>
      <c r="F2293" t="s">
        <v>304</v>
      </c>
      <c r="G2293" t="s">
        <v>9</v>
      </c>
      <c r="H2293">
        <v>2541.0</v>
      </c>
      <c r="I2293" t="s">
        <v>31</v>
      </c>
      <c r="J2293" t="s">
        <v>107</v>
      </c>
      <c r="K2293" t="s">
        <v>46</v>
      </c>
      <c r="L2293" t="s">
        <v>47</v>
      </c>
      <c r="M2293">
        <v>196.23999999999998</v>
      </c>
    </row>
    <row r="2294">
      <c r="A2294" s="2">
        <v>45629</v>
      </c>
      <c r="B2294">
        <v>2025.0</v>
      </c>
      <c r="C2294" t="s">
        <v>315</v>
      </c>
      <c r="D2294" t="s">
        <v>319</v>
      </c>
      <c r="E2294" t="s">
        <v>156</v>
      </c>
      <c r="F2294" t="s">
        <v>304</v>
      </c>
      <c r="G2294" t="s">
        <v>9</v>
      </c>
      <c r="H2294">
        <v>2830.0</v>
      </c>
      <c r="I2294" t="s">
        <v>31</v>
      </c>
      <c r="J2294" t="s">
        <v>75</v>
      </c>
      <c r="K2294" t="s">
        <v>112</v>
      </c>
      <c r="L2294" t="s">
        <v>113</v>
      </c>
      <c r="M2294">
        <v>196.49</v>
      </c>
    </row>
    <row r="2295">
      <c r="A2295" s="2">
        <v>45867</v>
      </c>
      <c r="B2295">
        <v>2026.0</v>
      </c>
      <c r="C2295" t="s">
        <v>321</v>
      </c>
      <c r="D2295" t="s">
        <v>319</v>
      </c>
      <c r="E2295" t="s">
        <v>148</v>
      </c>
      <c r="F2295" t="s">
        <v>307</v>
      </c>
      <c r="G2295" t="s">
        <v>12</v>
      </c>
      <c r="H2295">
        <v>6450.0</v>
      </c>
      <c r="I2295" t="s">
        <v>31</v>
      </c>
      <c r="J2295" t="s">
        <v>50</v>
      </c>
      <c r="K2295" t="s">
        <v>38</v>
      </c>
      <c r="L2295" t="s">
        <v>39</v>
      </c>
      <c r="M2295">
        <v>196.62</v>
      </c>
    </row>
    <row r="2296">
      <c r="A2296" s="2">
        <v>45649</v>
      </c>
      <c r="B2296">
        <v>2025.0</v>
      </c>
      <c r="C2296" t="s">
        <v>315</v>
      </c>
      <c r="D2296" t="s">
        <v>316</v>
      </c>
      <c r="E2296" t="s">
        <v>29</v>
      </c>
      <c r="F2296" t="s">
        <v>306</v>
      </c>
      <c r="G2296" t="s">
        <v>11</v>
      </c>
      <c r="H2296">
        <v>4703.0</v>
      </c>
      <c r="I2296" t="s">
        <v>31</v>
      </c>
      <c r="J2296" t="s">
        <v>32</v>
      </c>
      <c r="K2296" t="s">
        <v>43</v>
      </c>
      <c r="L2296" t="s">
        <v>44</v>
      </c>
      <c r="M2296">
        <v>196.82</v>
      </c>
    </row>
    <row r="2297">
      <c r="A2297" s="2">
        <v>45402</v>
      </c>
      <c r="B2297">
        <v>2024.0</v>
      </c>
      <c r="C2297" t="s">
        <v>318</v>
      </c>
      <c r="D2297" t="s">
        <v>316</v>
      </c>
      <c r="E2297" t="s">
        <v>195</v>
      </c>
      <c r="F2297" t="s">
        <v>306</v>
      </c>
      <c r="G2297" t="s">
        <v>11</v>
      </c>
      <c r="H2297">
        <v>4700.0</v>
      </c>
      <c r="I2297" t="s">
        <v>31</v>
      </c>
      <c r="J2297" t="s">
        <v>32</v>
      </c>
      <c r="K2297" t="s">
        <v>43</v>
      </c>
      <c r="L2297" t="s">
        <v>44</v>
      </c>
      <c r="M2297">
        <v>196.88000000000002</v>
      </c>
    </row>
    <row r="2298">
      <c r="A2298" s="2">
        <v>45842</v>
      </c>
      <c r="B2298">
        <v>2026.0</v>
      </c>
      <c r="C2298" t="s">
        <v>321</v>
      </c>
      <c r="D2298" t="s">
        <v>316</v>
      </c>
      <c r="E2298" t="s">
        <v>139</v>
      </c>
      <c r="F2298" t="s">
        <v>305</v>
      </c>
      <c r="G2298" t="s">
        <v>10</v>
      </c>
      <c r="H2298">
        <v>3199.0</v>
      </c>
      <c r="I2298" t="s">
        <v>31</v>
      </c>
      <c r="J2298" t="s">
        <v>89</v>
      </c>
      <c r="K2298" t="s">
        <v>43</v>
      </c>
      <c r="L2298" t="s">
        <v>44</v>
      </c>
      <c r="M2298">
        <v>197.04</v>
      </c>
    </row>
    <row r="2299">
      <c r="A2299" s="2">
        <v>45601</v>
      </c>
      <c r="B2299">
        <v>2025.0</v>
      </c>
      <c r="C2299" t="s">
        <v>315</v>
      </c>
      <c r="D2299" t="s">
        <v>316</v>
      </c>
      <c r="E2299" t="s">
        <v>225</v>
      </c>
      <c r="F2299" t="s">
        <v>308</v>
      </c>
      <c r="G2299" t="s">
        <v>13</v>
      </c>
      <c r="H2299">
        <v>5607.0</v>
      </c>
      <c r="I2299" t="s">
        <v>31</v>
      </c>
      <c r="J2299" t="s">
        <v>227</v>
      </c>
      <c r="K2299" t="s">
        <v>112</v>
      </c>
      <c r="L2299" t="s">
        <v>113</v>
      </c>
      <c r="M2299">
        <v>197.66</v>
      </c>
    </row>
    <row r="2300">
      <c r="A2300" s="2">
        <v>45834</v>
      </c>
      <c r="B2300">
        <v>2025.0</v>
      </c>
      <c r="C2300" t="s">
        <v>315</v>
      </c>
      <c r="D2300" t="s">
        <v>316</v>
      </c>
      <c r="E2300" t="s">
        <v>62</v>
      </c>
      <c r="F2300" t="s">
        <v>307</v>
      </c>
      <c r="G2300" t="s">
        <v>12</v>
      </c>
      <c r="H2300">
        <v>6530.0</v>
      </c>
      <c r="I2300" t="s">
        <v>31</v>
      </c>
      <c r="J2300" t="s">
        <v>50</v>
      </c>
      <c r="K2300" t="s">
        <v>95</v>
      </c>
      <c r="L2300" t="s">
        <v>96</v>
      </c>
      <c r="M2300">
        <v>197.91</v>
      </c>
    </row>
    <row r="2301">
      <c r="A2301" s="2">
        <v>46002</v>
      </c>
      <c r="B2301">
        <v>2026.0</v>
      </c>
      <c r="C2301" t="s">
        <v>321</v>
      </c>
      <c r="D2301" t="s">
        <v>316</v>
      </c>
      <c r="E2301" t="s">
        <v>160</v>
      </c>
      <c r="F2301" t="s">
        <v>307</v>
      </c>
      <c r="G2301" t="s">
        <v>12</v>
      </c>
      <c r="H2301">
        <v>6280.0</v>
      </c>
      <c r="I2301" t="s">
        <v>31</v>
      </c>
      <c r="J2301" t="s">
        <v>162</v>
      </c>
      <c r="K2301" t="s">
        <v>66</v>
      </c>
      <c r="L2301" t="s">
        <v>67</v>
      </c>
      <c r="M2301">
        <v>198.01999999999998</v>
      </c>
    </row>
    <row r="2302">
      <c r="A2302" s="2">
        <v>45726</v>
      </c>
      <c r="B2302">
        <v>2025.0</v>
      </c>
      <c r="C2302" t="s">
        <v>315</v>
      </c>
      <c r="D2302" t="s">
        <v>319</v>
      </c>
      <c r="E2302" t="s">
        <v>103</v>
      </c>
      <c r="F2302" t="s">
        <v>307</v>
      </c>
      <c r="G2302" t="s">
        <v>12</v>
      </c>
      <c r="H2302">
        <v>6021.0</v>
      </c>
      <c r="I2302" t="s">
        <v>31</v>
      </c>
      <c r="J2302" t="s">
        <v>102</v>
      </c>
      <c r="K2302" t="s">
        <v>38</v>
      </c>
      <c r="L2302" t="s">
        <v>39</v>
      </c>
      <c r="M2302">
        <v>198.07</v>
      </c>
    </row>
    <row r="2303">
      <c r="A2303" s="2">
        <v>45519</v>
      </c>
      <c r="B2303">
        <v>2025.0</v>
      </c>
      <c r="C2303" t="s">
        <v>315</v>
      </c>
      <c r="D2303" t="s">
        <v>316</v>
      </c>
      <c r="E2303" t="s">
        <v>133</v>
      </c>
      <c r="F2303" t="s">
        <v>305</v>
      </c>
      <c r="G2303" t="s">
        <v>10</v>
      </c>
      <c r="H2303">
        <v>3429.0</v>
      </c>
      <c r="I2303" t="s">
        <v>31</v>
      </c>
      <c r="J2303" t="s">
        <v>37</v>
      </c>
      <c r="K2303" t="s">
        <v>71</v>
      </c>
      <c r="L2303" t="s">
        <v>72</v>
      </c>
      <c r="M2303">
        <v>198.64</v>
      </c>
    </row>
    <row r="2304">
      <c r="A2304" s="2">
        <v>45965</v>
      </c>
      <c r="B2304">
        <v>2026.0</v>
      </c>
      <c r="C2304" t="s">
        <v>321</v>
      </c>
      <c r="D2304" t="s">
        <v>316</v>
      </c>
      <c r="E2304" t="s">
        <v>250</v>
      </c>
      <c r="F2304" t="s">
        <v>305</v>
      </c>
      <c r="G2304" t="s">
        <v>10</v>
      </c>
      <c r="H2304">
        <v>3550.0</v>
      </c>
      <c r="I2304" t="s">
        <v>31</v>
      </c>
      <c r="J2304" t="s">
        <v>37</v>
      </c>
      <c r="K2304" t="s">
        <v>95</v>
      </c>
      <c r="L2304" t="s">
        <v>96</v>
      </c>
      <c r="M2304">
        <v>198.75</v>
      </c>
    </row>
    <row r="2305">
      <c r="A2305" s="2">
        <v>45338</v>
      </c>
      <c r="B2305">
        <v>2024.0</v>
      </c>
      <c r="C2305" t="s">
        <v>318</v>
      </c>
      <c r="D2305" t="s">
        <v>316</v>
      </c>
      <c r="E2305" t="s">
        <v>54</v>
      </c>
      <c r="F2305" t="s">
        <v>306</v>
      </c>
      <c r="G2305" t="s">
        <v>11</v>
      </c>
      <c r="H2305">
        <v>4012.0</v>
      </c>
      <c r="I2305" t="s">
        <v>31</v>
      </c>
      <c r="J2305" t="s">
        <v>56</v>
      </c>
      <c r="K2305" t="s">
        <v>43</v>
      </c>
      <c r="L2305" t="s">
        <v>44</v>
      </c>
      <c r="M2305">
        <v>198.84</v>
      </c>
    </row>
    <row r="2306">
      <c r="A2306" s="2">
        <v>46016</v>
      </c>
      <c r="B2306">
        <v>2026.0</v>
      </c>
      <c r="C2306" t="s">
        <v>321</v>
      </c>
      <c r="D2306" t="s">
        <v>316</v>
      </c>
      <c r="E2306" t="s">
        <v>175</v>
      </c>
      <c r="F2306" t="s">
        <v>311</v>
      </c>
      <c r="G2306" t="s">
        <v>16</v>
      </c>
      <c r="H2306">
        <v>2617.0</v>
      </c>
      <c r="I2306" t="s">
        <v>31</v>
      </c>
      <c r="J2306" t="s">
        <v>107</v>
      </c>
      <c r="K2306" t="s">
        <v>46</v>
      </c>
      <c r="L2306" t="s">
        <v>47</v>
      </c>
      <c r="M2306">
        <v>199.12</v>
      </c>
    </row>
    <row r="2307">
      <c r="A2307" s="2">
        <v>45938</v>
      </c>
      <c r="B2307">
        <v>2026.0</v>
      </c>
      <c r="C2307" t="s">
        <v>321</v>
      </c>
      <c r="D2307" t="s">
        <v>316</v>
      </c>
      <c r="E2307" t="s">
        <v>150</v>
      </c>
      <c r="F2307" t="s">
        <v>310</v>
      </c>
      <c r="G2307" t="s">
        <v>15</v>
      </c>
      <c r="H2307">
        <v>7250.0</v>
      </c>
      <c r="I2307" t="s">
        <v>31</v>
      </c>
      <c r="J2307" t="s">
        <v>53</v>
      </c>
      <c r="K2307" t="s">
        <v>123</v>
      </c>
      <c r="L2307" t="s">
        <v>124</v>
      </c>
      <c r="M2307">
        <v>199.82</v>
      </c>
    </row>
    <row r="2308">
      <c r="A2308" s="2">
        <v>45877</v>
      </c>
      <c r="B2308">
        <v>2026.0</v>
      </c>
      <c r="C2308" t="s">
        <v>321</v>
      </c>
      <c r="D2308" t="s">
        <v>316</v>
      </c>
      <c r="E2308" t="s">
        <v>169</v>
      </c>
      <c r="F2308" t="s">
        <v>307</v>
      </c>
      <c r="G2308" t="s">
        <v>12</v>
      </c>
      <c r="H2308">
        <v>6027.0</v>
      </c>
      <c r="I2308" t="s">
        <v>31</v>
      </c>
      <c r="J2308" t="s">
        <v>102</v>
      </c>
      <c r="K2308" t="s">
        <v>57</v>
      </c>
      <c r="L2308" t="s">
        <v>58</v>
      </c>
      <c r="M2308">
        <v>199.95</v>
      </c>
    </row>
    <row r="2309">
      <c r="A2309" s="2">
        <v>45875</v>
      </c>
      <c r="B2309">
        <v>2026.0</v>
      </c>
      <c r="C2309" t="s">
        <v>321</v>
      </c>
      <c r="D2309" t="s">
        <v>316</v>
      </c>
      <c r="E2309" t="s">
        <v>179</v>
      </c>
      <c r="F2309" t="s">
        <v>304</v>
      </c>
      <c r="G2309" t="s">
        <v>9</v>
      </c>
      <c r="H2309">
        <v>2015.0</v>
      </c>
      <c r="I2309" t="s">
        <v>31</v>
      </c>
      <c r="J2309" t="s">
        <v>99</v>
      </c>
      <c r="K2309" t="s">
        <v>33</v>
      </c>
      <c r="L2309" t="s">
        <v>34</v>
      </c>
      <c r="M2309">
        <v>200.05</v>
      </c>
    </row>
    <row r="2310">
      <c r="A2310" s="2">
        <v>45901</v>
      </c>
      <c r="B2310">
        <v>2026.0</v>
      </c>
      <c r="C2310" t="s">
        <v>321</v>
      </c>
      <c r="D2310" t="s">
        <v>316</v>
      </c>
      <c r="E2310" t="s">
        <v>232</v>
      </c>
      <c r="F2310" t="s">
        <v>304</v>
      </c>
      <c r="G2310" t="s">
        <v>9</v>
      </c>
      <c r="H2310">
        <v>2800.0</v>
      </c>
      <c r="I2310" t="s">
        <v>31</v>
      </c>
      <c r="J2310" t="s">
        <v>75</v>
      </c>
      <c r="K2310" t="s">
        <v>112</v>
      </c>
      <c r="L2310" t="s">
        <v>113</v>
      </c>
      <c r="M2310">
        <v>200.39</v>
      </c>
    </row>
    <row r="2311">
      <c r="A2311" s="2">
        <v>45690</v>
      </c>
      <c r="B2311">
        <v>2025.0</v>
      </c>
      <c r="C2311" t="s">
        <v>315</v>
      </c>
      <c r="D2311" t="s">
        <v>316</v>
      </c>
      <c r="E2311" t="s">
        <v>193</v>
      </c>
      <c r="F2311" t="s">
        <v>304</v>
      </c>
      <c r="G2311" t="s">
        <v>9</v>
      </c>
      <c r="H2311">
        <v>2020.0</v>
      </c>
      <c r="I2311" t="s">
        <v>31</v>
      </c>
      <c r="J2311" t="s">
        <v>99</v>
      </c>
      <c r="K2311" t="s">
        <v>95</v>
      </c>
      <c r="L2311" t="s">
        <v>96</v>
      </c>
      <c r="M2311">
        <v>200.44</v>
      </c>
    </row>
    <row r="2312">
      <c r="A2312" s="2">
        <v>45745</v>
      </c>
      <c r="B2312">
        <v>2025.0</v>
      </c>
      <c r="C2312" t="s">
        <v>315</v>
      </c>
      <c r="D2312" t="s">
        <v>316</v>
      </c>
      <c r="E2312" t="s">
        <v>195</v>
      </c>
      <c r="F2312" t="s">
        <v>306</v>
      </c>
      <c r="G2312" t="s">
        <v>11</v>
      </c>
      <c r="H2312">
        <v>4700.0</v>
      </c>
      <c r="I2312" t="s">
        <v>31</v>
      </c>
      <c r="J2312" t="s">
        <v>32</v>
      </c>
      <c r="K2312" t="s">
        <v>95</v>
      </c>
      <c r="L2312" t="s">
        <v>96</v>
      </c>
      <c r="M2312">
        <v>200.64999999999998</v>
      </c>
    </row>
    <row r="2313">
      <c r="A2313" s="2">
        <v>45852</v>
      </c>
      <c r="B2313">
        <v>2026.0</v>
      </c>
      <c r="C2313" t="s">
        <v>321</v>
      </c>
      <c r="D2313" t="s">
        <v>316</v>
      </c>
      <c r="E2313" t="s">
        <v>64</v>
      </c>
      <c r="F2313" t="s">
        <v>306</v>
      </c>
      <c r="G2313" t="s">
        <v>11</v>
      </c>
      <c r="H2313">
        <v>4215.0</v>
      </c>
      <c r="I2313" t="s">
        <v>31</v>
      </c>
      <c r="J2313" t="s">
        <v>61</v>
      </c>
      <c r="K2313" t="s">
        <v>57</v>
      </c>
      <c r="L2313" t="s">
        <v>58</v>
      </c>
      <c r="M2313">
        <v>200.70999999999998</v>
      </c>
    </row>
    <row r="2314">
      <c r="A2314" s="2">
        <v>45480</v>
      </c>
      <c r="B2314">
        <v>2025.0</v>
      </c>
      <c r="C2314" t="s">
        <v>315</v>
      </c>
      <c r="D2314" t="s">
        <v>316</v>
      </c>
      <c r="E2314" t="s">
        <v>236</v>
      </c>
      <c r="F2314" t="s">
        <v>307</v>
      </c>
      <c r="G2314" t="s">
        <v>12</v>
      </c>
      <c r="H2314">
        <v>6052.0</v>
      </c>
      <c r="I2314" t="s">
        <v>31</v>
      </c>
      <c r="J2314" t="s">
        <v>102</v>
      </c>
      <c r="K2314" t="s">
        <v>95</v>
      </c>
      <c r="L2314" t="s">
        <v>96</v>
      </c>
      <c r="M2314">
        <v>200.73</v>
      </c>
    </row>
    <row r="2315">
      <c r="A2315" s="2">
        <v>45895</v>
      </c>
      <c r="B2315">
        <v>2026.0</v>
      </c>
      <c r="C2315" t="s">
        <v>321</v>
      </c>
      <c r="D2315" t="s">
        <v>319</v>
      </c>
      <c r="E2315" t="s">
        <v>118</v>
      </c>
      <c r="F2315" t="s">
        <v>305</v>
      </c>
      <c r="G2315" t="s">
        <v>10</v>
      </c>
      <c r="H2315">
        <v>3076.0</v>
      </c>
      <c r="I2315" t="s">
        <v>31</v>
      </c>
      <c r="J2315" t="s">
        <v>120</v>
      </c>
      <c r="K2315" t="s">
        <v>46</v>
      </c>
      <c r="L2315" t="s">
        <v>47</v>
      </c>
      <c r="M2315">
        <v>200.82000000000002</v>
      </c>
    </row>
    <row r="2316">
      <c r="A2316" s="2">
        <v>45452</v>
      </c>
      <c r="B2316">
        <v>2024.0</v>
      </c>
      <c r="C2316" t="s">
        <v>318</v>
      </c>
      <c r="D2316" t="s">
        <v>319</v>
      </c>
      <c r="E2316" t="s">
        <v>163</v>
      </c>
      <c r="F2316" t="s">
        <v>304</v>
      </c>
      <c r="G2316" t="s">
        <v>9</v>
      </c>
      <c r="H2316">
        <v>2154.0</v>
      </c>
      <c r="I2316" t="s">
        <v>31</v>
      </c>
      <c r="J2316" t="s">
        <v>81</v>
      </c>
      <c r="K2316" t="s">
        <v>43</v>
      </c>
      <c r="L2316" t="s">
        <v>44</v>
      </c>
      <c r="M2316">
        <v>200.87</v>
      </c>
    </row>
    <row r="2317">
      <c r="A2317" s="2">
        <v>45837</v>
      </c>
      <c r="B2317">
        <v>2025.0</v>
      </c>
      <c r="C2317" t="s">
        <v>315</v>
      </c>
      <c r="D2317" t="s">
        <v>316</v>
      </c>
      <c r="E2317" t="s">
        <v>59</v>
      </c>
      <c r="F2317" t="s">
        <v>306</v>
      </c>
      <c r="G2317" t="s">
        <v>11</v>
      </c>
      <c r="H2317">
        <v>4509.0</v>
      </c>
      <c r="I2317" t="s">
        <v>31</v>
      </c>
      <c r="J2317" t="s">
        <v>61</v>
      </c>
      <c r="K2317" t="s">
        <v>66</v>
      </c>
      <c r="L2317" t="s">
        <v>67</v>
      </c>
      <c r="M2317">
        <v>200.87</v>
      </c>
    </row>
    <row r="2318">
      <c r="A2318" s="2">
        <v>45998</v>
      </c>
      <c r="B2318">
        <v>2026.0</v>
      </c>
      <c r="C2318" t="s">
        <v>321</v>
      </c>
      <c r="D2318" t="s">
        <v>316</v>
      </c>
      <c r="E2318" t="s">
        <v>225</v>
      </c>
      <c r="F2318" t="s">
        <v>308</v>
      </c>
      <c r="G2318" t="s">
        <v>13</v>
      </c>
      <c r="H2318">
        <v>5607.0</v>
      </c>
      <c r="I2318" t="s">
        <v>31</v>
      </c>
      <c r="J2318" t="s">
        <v>227</v>
      </c>
      <c r="K2318" t="s">
        <v>112</v>
      </c>
      <c r="L2318" t="s">
        <v>113</v>
      </c>
      <c r="M2318">
        <v>201.14</v>
      </c>
    </row>
    <row r="2319">
      <c r="A2319" s="2">
        <v>45475</v>
      </c>
      <c r="B2319">
        <v>2025.0</v>
      </c>
      <c r="C2319" t="s">
        <v>315</v>
      </c>
      <c r="D2319" t="s">
        <v>319</v>
      </c>
      <c r="E2319" t="s">
        <v>207</v>
      </c>
      <c r="F2319" t="s">
        <v>306</v>
      </c>
      <c r="G2319" t="s">
        <v>11</v>
      </c>
      <c r="H2319">
        <v>4825.0</v>
      </c>
      <c r="I2319" t="s">
        <v>31</v>
      </c>
      <c r="J2319" t="s">
        <v>78</v>
      </c>
      <c r="K2319" t="s">
        <v>46</v>
      </c>
      <c r="L2319" t="s">
        <v>47</v>
      </c>
      <c r="M2319">
        <v>201.22</v>
      </c>
    </row>
    <row r="2320">
      <c r="A2320" s="2">
        <v>45305</v>
      </c>
      <c r="B2320">
        <v>2024.0</v>
      </c>
      <c r="C2320" t="s">
        <v>318</v>
      </c>
      <c r="D2320" t="s">
        <v>316</v>
      </c>
      <c r="E2320" t="s">
        <v>137</v>
      </c>
      <c r="F2320" t="s">
        <v>305</v>
      </c>
      <c r="G2320" t="s">
        <v>10</v>
      </c>
      <c r="H2320">
        <v>3134.0</v>
      </c>
      <c r="I2320" t="s">
        <v>31</v>
      </c>
      <c r="J2320" t="s">
        <v>89</v>
      </c>
      <c r="K2320" t="s">
        <v>123</v>
      </c>
      <c r="L2320" t="s">
        <v>124</v>
      </c>
      <c r="M2320">
        <v>201.22000000000003</v>
      </c>
    </row>
    <row r="2321">
      <c r="A2321" s="2">
        <v>45329</v>
      </c>
      <c r="B2321">
        <v>2024.0</v>
      </c>
      <c r="C2321" t="s">
        <v>318</v>
      </c>
      <c r="D2321" t="s">
        <v>319</v>
      </c>
      <c r="E2321" t="s">
        <v>35</v>
      </c>
      <c r="F2321" t="s">
        <v>305</v>
      </c>
      <c r="G2321" t="s">
        <v>10</v>
      </c>
      <c r="H2321">
        <v>3280.0</v>
      </c>
      <c r="I2321" t="s">
        <v>31</v>
      </c>
      <c r="J2321" t="s">
        <v>37</v>
      </c>
      <c r="K2321" t="s">
        <v>43</v>
      </c>
      <c r="L2321" t="s">
        <v>44</v>
      </c>
      <c r="M2321">
        <v>201.92</v>
      </c>
    </row>
    <row r="2322">
      <c r="A2322" s="2">
        <v>46020</v>
      </c>
      <c r="B2322">
        <v>2026.0</v>
      </c>
      <c r="C2322" t="s">
        <v>321</v>
      </c>
      <c r="D2322" t="s">
        <v>316</v>
      </c>
      <c r="E2322" t="s">
        <v>51</v>
      </c>
      <c r="F2322" t="s">
        <v>310</v>
      </c>
      <c r="G2322" t="s">
        <v>15</v>
      </c>
      <c r="H2322">
        <v>7018.0</v>
      </c>
      <c r="I2322" t="s">
        <v>31</v>
      </c>
      <c r="J2322" t="s">
        <v>53</v>
      </c>
      <c r="K2322" t="s">
        <v>43</v>
      </c>
      <c r="L2322" t="s">
        <v>44</v>
      </c>
      <c r="M2322">
        <v>202.16</v>
      </c>
    </row>
    <row r="2323">
      <c r="A2323" s="2">
        <v>45307</v>
      </c>
      <c r="B2323">
        <v>2024.0</v>
      </c>
      <c r="C2323" t="s">
        <v>318</v>
      </c>
      <c r="D2323" t="s">
        <v>316</v>
      </c>
      <c r="E2323" t="s">
        <v>187</v>
      </c>
      <c r="F2323" t="s">
        <v>306</v>
      </c>
      <c r="G2323" t="s">
        <v>11</v>
      </c>
      <c r="H2323">
        <v>4870.0</v>
      </c>
      <c r="I2323" t="s">
        <v>31</v>
      </c>
      <c r="J2323" t="s">
        <v>78</v>
      </c>
      <c r="K2323" t="s">
        <v>33</v>
      </c>
      <c r="L2323" t="s">
        <v>34</v>
      </c>
      <c r="M2323">
        <v>202.28</v>
      </c>
    </row>
    <row r="2324">
      <c r="A2324" s="2">
        <v>45548</v>
      </c>
      <c r="B2324">
        <v>2025.0</v>
      </c>
      <c r="C2324" t="s">
        <v>315</v>
      </c>
      <c r="D2324" t="s">
        <v>316</v>
      </c>
      <c r="E2324" t="s">
        <v>258</v>
      </c>
      <c r="F2324" t="s">
        <v>309</v>
      </c>
      <c r="G2324" t="s">
        <v>14</v>
      </c>
      <c r="H2324">
        <v>870.0</v>
      </c>
      <c r="I2324" t="s">
        <v>31</v>
      </c>
      <c r="J2324" t="s">
        <v>145</v>
      </c>
      <c r="K2324" t="s">
        <v>38</v>
      </c>
      <c r="L2324" t="s">
        <v>39</v>
      </c>
      <c r="M2324">
        <v>202.61</v>
      </c>
    </row>
    <row r="2325">
      <c r="A2325" s="2">
        <v>45672</v>
      </c>
      <c r="B2325">
        <v>2025.0</v>
      </c>
      <c r="C2325" t="s">
        <v>315</v>
      </c>
      <c r="D2325" t="s">
        <v>316</v>
      </c>
      <c r="E2325" t="s">
        <v>262</v>
      </c>
      <c r="F2325" t="s">
        <v>305</v>
      </c>
      <c r="G2325" t="s">
        <v>10</v>
      </c>
      <c r="H2325">
        <v>3018.0</v>
      </c>
      <c r="I2325" t="s">
        <v>31</v>
      </c>
      <c r="J2325" t="s">
        <v>120</v>
      </c>
      <c r="K2325" t="s">
        <v>71</v>
      </c>
      <c r="L2325" t="s">
        <v>72</v>
      </c>
      <c r="M2325">
        <v>202.86999999999998</v>
      </c>
    </row>
    <row r="2326">
      <c r="A2326" s="2">
        <v>45507</v>
      </c>
      <c r="B2326">
        <v>2025.0</v>
      </c>
      <c r="C2326" t="s">
        <v>315</v>
      </c>
      <c r="D2326" t="s">
        <v>319</v>
      </c>
      <c r="E2326" t="s">
        <v>163</v>
      </c>
      <c r="F2326" t="s">
        <v>304</v>
      </c>
      <c r="G2326" t="s">
        <v>9</v>
      </c>
      <c r="H2326">
        <v>2154.0</v>
      </c>
      <c r="I2326" t="s">
        <v>31</v>
      </c>
      <c r="J2326" t="s">
        <v>81</v>
      </c>
      <c r="K2326" t="s">
        <v>95</v>
      </c>
      <c r="L2326" t="s">
        <v>96</v>
      </c>
      <c r="M2326">
        <v>203.66</v>
      </c>
    </row>
    <row r="2327">
      <c r="A2327" s="2">
        <v>45365</v>
      </c>
      <c r="B2327">
        <v>2024.0</v>
      </c>
      <c r="C2327" t="s">
        <v>318</v>
      </c>
      <c r="D2327" t="s">
        <v>316</v>
      </c>
      <c r="E2327" t="s">
        <v>110</v>
      </c>
      <c r="F2327" t="s">
        <v>304</v>
      </c>
      <c r="G2327" t="s">
        <v>9</v>
      </c>
      <c r="H2327">
        <v>2101.0</v>
      </c>
      <c r="I2327" t="s">
        <v>31</v>
      </c>
      <c r="J2327" t="s">
        <v>81</v>
      </c>
      <c r="K2327" t="s">
        <v>95</v>
      </c>
      <c r="L2327" t="s">
        <v>96</v>
      </c>
      <c r="M2327">
        <v>203.68</v>
      </c>
    </row>
    <row r="2328">
      <c r="A2328" s="2">
        <v>45948</v>
      </c>
      <c r="B2328">
        <v>2026.0</v>
      </c>
      <c r="C2328" t="s">
        <v>321</v>
      </c>
      <c r="D2328" t="s">
        <v>319</v>
      </c>
      <c r="E2328" t="s">
        <v>118</v>
      </c>
      <c r="F2328" t="s">
        <v>305</v>
      </c>
      <c r="G2328" t="s">
        <v>10</v>
      </c>
      <c r="H2328">
        <v>3076.0</v>
      </c>
      <c r="I2328" t="s">
        <v>31</v>
      </c>
      <c r="J2328" t="s">
        <v>120</v>
      </c>
      <c r="K2328" t="s">
        <v>38</v>
      </c>
      <c r="L2328" t="s">
        <v>39</v>
      </c>
      <c r="M2328">
        <v>203.88</v>
      </c>
    </row>
    <row r="2329">
      <c r="A2329" s="2">
        <v>45492</v>
      </c>
      <c r="B2329">
        <v>2025.0</v>
      </c>
      <c r="C2329" t="s">
        <v>315</v>
      </c>
      <c r="D2329" t="s">
        <v>316</v>
      </c>
      <c r="E2329" t="s">
        <v>254</v>
      </c>
      <c r="F2329" t="s">
        <v>308</v>
      </c>
      <c r="G2329" t="s">
        <v>13</v>
      </c>
      <c r="H2329">
        <v>5343.0</v>
      </c>
      <c r="I2329" t="s">
        <v>31</v>
      </c>
      <c r="J2329" t="s">
        <v>227</v>
      </c>
      <c r="K2329" t="s">
        <v>57</v>
      </c>
      <c r="L2329" t="s">
        <v>58</v>
      </c>
      <c r="M2329">
        <v>204.10000000000002</v>
      </c>
    </row>
    <row r="2330">
      <c r="A2330" s="2">
        <v>45296</v>
      </c>
      <c r="B2330">
        <v>2024.0</v>
      </c>
      <c r="C2330" t="s">
        <v>318</v>
      </c>
      <c r="D2330" t="s">
        <v>316</v>
      </c>
      <c r="E2330" t="s">
        <v>97</v>
      </c>
      <c r="F2330" t="s">
        <v>304</v>
      </c>
      <c r="G2330" t="s">
        <v>9</v>
      </c>
      <c r="H2330">
        <v>2067.0</v>
      </c>
      <c r="I2330" t="s">
        <v>31</v>
      </c>
      <c r="J2330" t="s">
        <v>99</v>
      </c>
      <c r="K2330" t="s">
        <v>95</v>
      </c>
      <c r="L2330" t="s">
        <v>96</v>
      </c>
      <c r="M2330">
        <v>204.21</v>
      </c>
    </row>
    <row r="2331">
      <c r="A2331" s="2">
        <v>45428</v>
      </c>
      <c r="B2331">
        <v>2024.0</v>
      </c>
      <c r="C2331" t="s">
        <v>318</v>
      </c>
      <c r="D2331" t="s">
        <v>316</v>
      </c>
      <c r="E2331" t="s">
        <v>82</v>
      </c>
      <c r="F2331" t="s">
        <v>306</v>
      </c>
      <c r="G2331" t="s">
        <v>11</v>
      </c>
      <c r="H2331">
        <v>4558.0</v>
      </c>
      <c r="I2331" t="s">
        <v>31</v>
      </c>
      <c r="J2331" t="s">
        <v>84</v>
      </c>
      <c r="K2331" t="s">
        <v>71</v>
      </c>
      <c r="L2331" t="s">
        <v>72</v>
      </c>
      <c r="M2331">
        <v>204.48000000000002</v>
      </c>
    </row>
    <row r="2332">
      <c r="A2332" s="2">
        <v>45939</v>
      </c>
      <c r="B2332">
        <v>2026.0</v>
      </c>
      <c r="C2332" t="s">
        <v>321</v>
      </c>
      <c r="D2332" t="s">
        <v>316</v>
      </c>
      <c r="E2332" t="s">
        <v>40</v>
      </c>
      <c r="F2332" t="s">
        <v>308</v>
      </c>
      <c r="G2332" t="s">
        <v>13</v>
      </c>
      <c r="H2332">
        <v>5011.0</v>
      </c>
      <c r="I2332" t="s">
        <v>31</v>
      </c>
      <c r="J2332" t="s">
        <v>42</v>
      </c>
      <c r="K2332" t="s">
        <v>95</v>
      </c>
      <c r="L2332" t="s">
        <v>96</v>
      </c>
      <c r="M2332">
        <v>204.59</v>
      </c>
    </row>
    <row r="2333">
      <c r="A2333" s="2">
        <v>45378</v>
      </c>
      <c r="B2333">
        <v>2024.0</v>
      </c>
      <c r="C2333" t="s">
        <v>318</v>
      </c>
      <c r="D2333" t="s">
        <v>316</v>
      </c>
      <c r="E2333" t="s">
        <v>76</v>
      </c>
      <c r="F2333" t="s">
        <v>306</v>
      </c>
      <c r="G2333" t="s">
        <v>11</v>
      </c>
      <c r="H2333">
        <v>4883.0</v>
      </c>
      <c r="I2333" t="s">
        <v>31</v>
      </c>
      <c r="J2333" t="s">
        <v>78</v>
      </c>
      <c r="K2333" t="s">
        <v>33</v>
      </c>
      <c r="L2333" t="s">
        <v>34</v>
      </c>
      <c r="M2333">
        <v>204.61</v>
      </c>
    </row>
    <row r="2334">
      <c r="A2334" s="2">
        <v>45856</v>
      </c>
      <c r="B2334">
        <v>2026.0</v>
      </c>
      <c r="C2334" t="s">
        <v>321</v>
      </c>
      <c r="D2334" t="s">
        <v>319</v>
      </c>
      <c r="E2334" t="s">
        <v>199</v>
      </c>
      <c r="F2334" t="s">
        <v>308</v>
      </c>
      <c r="G2334" t="s">
        <v>13</v>
      </c>
      <c r="H2334">
        <v>5169.0</v>
      </c>
      <c r="I2334" t="s">
        <v>31</v>
      </c>
      <c r="J2334" t="s">
        <v>42</v>
      </c>
      <c r="K2334" t="s">
        <v>71</v>
      </c>
      <c r="L2334" t="s">
        <v>72</v>
      </c>
      <c r="M2334">
        <v>204.64</v>
      </c>
    </row>
    <row r="2335">
      <c r="A2335" s="2">
        <v>45388</v>
      </c>
      <c r="B2335">
        <v>2024.0</v>
      </c>
      <c r="C2335" t="s">
        <v>318</v>
      </c>
      <c r="D2335" t="s">
        <v>316</v>
      </c>
      <c r="E2335" t="s">
        <v>169</v>
      </c>
      <c r="F2335" t="s">
        <v>307</v>
      </c>
      <c r="G2335" t="s">
        <v>12</v>
      </c>
      <c r="H2335">
        <v>6027.0</v>
      </c>
      <c r="I2335" t="s">
        <v>31</v>
      </c>
      <c r="J2335" t="s">
        <v>102</v>
      </c>
      <c r="K2335" t="s">
        <v>123</v>
      </c>
      <c r="L2335" t="s">
        <v>124</v>
      </c>
      <c r="M2335">
        <v>204.69000000000003</v>
      </c>
    </row>
    <row r="2336">
      <c r="A2336" s="2">
        <v>45429</v>
      </c>
      <c r="B2336">
        <v>2024.0</v>
      </c>
      <c r="C2336" t="s">
        <v>318</v>
      </c>
      <c r="D2336" t="s">
        <v>316</v>
      </c>
      <c r="E2336" t="s">
        <v>252</v>
      </c>
      <c r="F2336" t="s">
        <v>305</v>
      </c>
      <c r="G2336" t="s">
        <v>10</v>
      </c>
      <c r="H2336">
        <v>3630.0</v>
      </c>
      <c r="I2336" t="s">
        <v>31</v>
      </c>
      <c r="J2336" t="s">
        <v>94</v>
      </c>
      <c r="K2336" t="s">
        <v>43</v>
      </c>
      <c r="L2336" t="s">
        <v>44</v>
      </c>
      <c r="M2336">
        <v>204.79000000000002</v>
      </c>
    </row>
    <row r="2337">
      <c r="A2337" s="2">
        <v>45526</v>
      </c>
      <c r="B2337">
        <v>2025.0</v>
      </c>
      <c r="C2337" t="s">
        <v>315</v>
      </c>
      <c r="D2337" t="s">
        <v>319</v>
      </c>
      <c r="E2337" t="s">
        <v>131</v>
      </c>
      <c r="F2337" t="s">
        <v>306</v>
      </c>
      <c r="G2337" t="s">
        <v>11</v>
      </c>
      <c r="H2337">
        <v>4655.0</v>
      </c>
      <c r="I2337" t="s">
        <v>31</v>
      </c>
      <c r="J2337" t="s">
        <v>32</v>
      </c>
      <c r="K2337" t="s">
        <v>46</v>
      </c>
      <c r="L2337" t="s">
        <v>47</v>
      </c>
      <c r="M2337">
        <v>204.82999999999998</v>
      </c>
    </row>
    <row r="2338">
      <c r="A2338" s="2">
        <v>45816</v>
      </c>
      <c r="B2338">
        <v>2025.0</v>
      </c>
      <c r="C2338" t="s">
        <v>315</v>
      </c>
      <c r="D2338" t="s">
        <v>316</v>
      </c>
      <c r="E2338" t="s">
        <v>73</v>
      </c>
      <c r="F2338" t="s">
        <v>304</v>
      </c>
      <c r="G2338" t="s">
        <v>9</v>
      </c>
      <c r="H2338">
        <v>2750.0</v>
      </c>
      <c r="I2338" t="s">
        <v>31</v>
      </c>
      <c r="J2338" t="s">
        <v>75</v>
      </c>
      <c r="K2338" t="s">
        <v>123</v>
      </c>
      <c r="L2338" t="s">
        <v>124</v>
      </c>
      <c r="M2338">
        <v>204.84</v>
      </c>
    </row>
    <row r="2339">
      <c r="A2339" s="2">
        <v>45708</v>
      </c>
      <c r="B2339">
        <v>2025.0</v>
      </c>
      <c r="C2339" t="s">
        <v>315</v>
      </c>
      <c r="D2339" t="s">
        <v>316</v>
      </c>
      <c r="E2339" t="s">
        <v>158</v>
      </c>
      <c r="F2339" t="s">
        <v>306</v>
      </c>
      <c r="G2339" t="s">
        <v>11</v>
      </c>
      <c r="H2339">
        <v>4570.0</v>
      </c>
      <c r="I2339" t="s">
        <v>31</v>
      </c>
      <c r="J2339" t="s">
        <v>84</v>
      </c>
      <c r="K2339" t="s">
        <v>46</v>
      </c>
      <c r="L2339" t="s">
        <v>47</v>
      </c>
      <c r="M2339">
        <v>204.85</v>
      </c>
    </row>
    <row r="2340">
      <c r="A2340" s="2">
        <v>45756</v>
      </c>
      <c r="B2340">
        <v>2025.0</v>
      </c>
      <c r="C2340" t="s">
        <v>315</v>
      </c>
      <c r="D2340" t="s">
        <v>319</v>
      </c>
      <c r="E2340" t="s">
        <v>118</v>
      </c>
      <c r="F2340" t="s">
        <v>305</v>
      </c>
      <c r="G2340" t="s">
        <v>10</v>
      </c>
      <c r="H2340">
        <v>3076.0</v>
      </c>
      <c r="I2340" t="s">
        <v>31</v>
      </c>
      <c r="J2340" t="s">
        <v>120</v>
      </c>
      <c r="K2340" t="s">
        <v>66</v>
      </c>
      <c r="L2340" t="s">
        <v>67</v>
      </c>
      <c r="M2340">
        <v>205.46</v>
      </c>
    </row>
    <row r="2341">
      <c r="A2341" s="2">
        <v>46017</v>
      </c>
      <c r="B2341">
        <v>2026.0</v>
      </c>
      <c r="C2341" t="s">
        <v>321</v>
      </c>
      <c r="D2341" t="s">
        <v>319</v>
      </c>
      <c r="E2341" t="s">
        <v>211</v>
      </c>
      <c r="F2341" t="s">
        <v>304</v>
      </c>
      <c r="G2341" t="s">
        <v>9</v>
      </c>
      <c r="H2341">
        <v>2650.0</v>
      </c>
      <c r="I2341" t="s">
        <v>31</v>
      </c>
      <c r="J2341" t="s">
        <v>75</v>
      </c>
      <c r="K2341" t="s">
        <v>46</v>
      </c>
      <c r="L2341" t="s">
        <v>47</v>
      </c>
      <c r="M2341">
        <v>205.64</v>
      </c>
    </row>
    <row r="2342">
      <c r="A2342" s="2">
        <v>45435</v>
      </c>
      <c r="B2342">
        <v>2024.0</v>
      </c>
      <c r="C2342" t="s">
        <v>318</v>
      </c>
      <c r="D2342" t="s">
        <v>319</v>
      </c>
      <c r="E2342" t="s">
        <v>87</v>
      </c>
      <c r="F2342" t="s">
        <v>305</v>
      </c>
      <c r="G2342" t="s">
        <v>10</v>
      </c>
      <c r="H2342">
        <v>3148.0</v>
      </c>
      <c r="I2342" t="s">
        <v>31</v>
      </c>
      <c r="J2342" t="s">
        <v>89</v>
      </c>
      <c r="K2342" t="s">
        <v>95</v>
      </c>
      <c r="L2342" t="s">
        <v>96</v>
      </c>
      <c r="M2342">
        <v>205.76999999999998</v>
      </c>
    </row>
    <row r="2343">
      <c r="A2343" s="2">
        <v>45875</v>
      </c>
      <c r="B2343">
        <v>2026.0</v>
      </c>
      <c r="C2343" t="s">
        <v>321</v>
      </c>
      <c r="D2343" t="s">
        <v>316</v>
      </c>
      <c r="E2343" t="s">
        <v>189</v>
      </c>
      <c r="F2343" t="s">
        <v>304</v>
      </c>
      <c r="G2343" t="s">
        <v>9</v>
      </c>
      <c r="H2343">
        <v>2131.0</v>
      </c>
      <c r="I2343" t="s">
        <v>31</v>
      </c>
      <c r="J2343" t="s">
        <v>81</v>
      </c>
      <c r="K2343" t="s">
        <v>95</v>
      </c>
      <c r="L2343" t="s">
        <v>96</v>
      </c>
      <c r="M2343">
        <v>206.74</v>
      </c>
    </row>
    <row r="2344">
      <c r="A2344" s="2">
        <v>45669</v>
      </c>
      <c r="B2344">
        <v>2025.0</v>
      </c>
      <c r="C2344" t="s">
        <v>315</v>
      </c>
      <c r="D2344" t="s">
        <v>319</v>
      </c>
      <c r="E2344" t="s">
        <v>228</v>
      </c>
      <c r="F2344" t="s">
        <v>306</v>
      </c>
      <c r="G2344" t="s">
        <v>11</v>
      </c>
      <c r="H2344">
        <v>4680.0</v>
      </c>
      <c r="I2344" t="s">
        <v>31</v>
      </c>
      <c r="J2344" t="s">
        <v>32</v>
      </c>
      <c r="K2344" t="s">
        <v>43</v>
      </c>
      <c r="L2344" t="s">
        <v>44</v>
      </c>
      <c r="M2344">
        <v>206.82</v>
      </c>
    </row>
    <row r="2345">
      <c r="A2345" s="2">
        <v>45625</v>
      </c>
      <c r="B2345">
        <v>2025.0</v>
      </c>
      <c r="C2345" t="s">
        <v>315</v>
      </c>
      <c r="D2345" t="s">
        <v>319</v>
      </c>
      <c r="E2345" t="s">
        <v>92</v>
      </c>
      <c r="F2345" t="s">
        <v>305</v>
      </c>
      <c r="G2345" t="s">
        <v>10</v>
      </c>
      <c r="H2345">
        <v>3690.0</v>
      </c>
      <c r="I2345" t="s">
        <v>31</v>
      </c>
      <c r="J2345" t="s">
        <v>94</v>
      </c>
      <c r="K2345" t="s">
        <v>71</v>
      </c>
      <c r="L2345" t="s">
        <v>72</v>
      </c>
      <c r="M2345">
        <v>207.62</v>
      </c>
    </row>
    <row r="2346">
      <c r="A2346" s="2">
        <v>45341</v>
      </c>
      <c r="B2346">
        <v>2024.0</v>
      </c>
      <c r="C2346" t="s">
        <v>318</v>
      </c>
      <c r="D2346" t="s">
        <v>319</v>
      </c>
      <c r="E2346" t="s">
        <v>141</v>
      </c>
      <c r="F2346" t="s">
        <v>304</v>
      </c>
      <c r="G2346" t="s">
        <v>9</v>
      </c>
      <c r="H2346">
        <v>2539.0</v>
      </c>
      <c r="I2346" t="s">
        <v>31</v>
      </c>
      <c r="J2346" t="s">
        <v>107</v>
      </c>
      <c r="K2346" t="s">
        <v>123</v>
      </c>
      <c r="L2346" t="s">
        <v>124</v>
      </c>
      <c r="M2346">
        <v>207.73</v>
      </c>
    </row>
    <row r="2347">
      <c r="A2347" s="2">
        <v>45524</v>
      </c>
      <c r="B2347">
        <v>2025.0</v>
      </c>
      <c r="C2347" t="s">
        <v>315</v>
      </c>
      <c r="D2347" t="s">
        <v>319</v>
      </c>
      <c r="E2347" t="s">
        <v>35</v>
      </c>
      <c r="F2347" t="s">
        <v>305</v>
      </c>
      <c r="G2347" t="s">
        <v>10</v>
      </c>
      <c r="H2347">
        <v>3280.0</v>
      </c>
      <c r="I2347" t="s">
        <v>31</v>
      </c>
      <c r="J2347" t="s">
        <v>37</v>
      </c>
      <c r="K2347" t="s">
        <v>71</v>
      </c>
      <c r="L2347" t="s">
        <v>72</v>
      </c>
      <c r="M2347">
        <v>207.74</v>
      </c>
    </row>
    <row r="2348">
      <c r="A2348" s="2">
        <v>45493</v>
      </c>
      <c r="B2348">
        <v>2025.0</v>
      </c>
      <c r="C2348" t="s">
        <v>315</v>
      </c>
      <c r="D2348" t="s">
        <v>316</v>
      </c>
      <c r="E2348" t="s">
        <v>219</v>
      </c>
      <c r="F2348" t="s">
        <v>306</v>
      </c>
      <c r="G2348" t="s">
        <v>11</v>
      </c>
      <c r="H2348">
        <v>4068.0</v>
      </c>
      <c r="I2348" t="s">
        <v>31</v>
      </c>
      <c r="J2348" t="s">
        <v>56</v>
      </c>
      <c r="K2348" t="s">
        <v>66</v>
      </c>
      <c r="L2348" t="s">
        <v>67</v>
      </c>
      <c r="M2348">
        <v>207.77</v>
      </c>
    </row>
    <row r="2349">
      <c r="A2349" s="2">
        <v>45332</v>
      </c>
      <c r="B2349">
        <v>2024.0</v>
      </c>
      <c r="C2349" t="s">
        <v>318</v>
      </c>
      <c r="D2349" t="s">
        <v>319</v>
      </c>
      <c r="E2349" t="s">
        <v>205</v>
      </c>
      <c r="F2349" t="s">
        <v>305</v>
      </c>
      <c r="G2349" t="s">
        <v>10</v>
      </c>
      <c r="H2349">
        <v>3400.0</v>
      </c>
      <c r="I2349" t="s">
        <v>31</v>
      </c>
      <c r="J2349" t="s">
        <v>37</v>
      </c>
      <c r="K2349" t="s">
        <v>46</v>
      </c>
      <c r="L2349" t="s">
        <v>47</v>
      </c>
      <c r="M2349">
        <v>207.84</v>
      </c>
    </row>
    <row r="2350">
      <c r="A2350" s="2">
        <v>45767</v>
      </c>
      <c r="B2350">
        <v>2025.0</v>
      </c>
      <c r="C2350" t="s">
        <v>315</v>
      </c>
      <c r="D2350" t="s">
        <v>319</v>
      </c>
      <c r="E2350" t="s">
        <v>201</v>
      </c>
      <c r="F2350" t="s">
        <v>305</v>
      </c>
      <c r="G2350" t="s">
        <v>10</v>
      </c>
      <c r="H2350">
        <v>3131.0</v>
      </c>
      <c r="I2350" t="s">
        <v>31</v>
      </c>
      <c r="J2350" t="s">
        <v>89</v>
      </c>
      <c r="K2350" t="s">
        <v>43</v>
      </c>
      <c r="L2350" t="s">
        <v>44</v>
      </c>
      <c r="M2350">
        <v>207.84</v>
      </c>
    </row>
    <row r="2351">
      <c r="A2351" s="2">
        <v>45692</v>
      </c>
      <c r="B2351">
        <v>2025.0</v>
      </c>
      <c r="C2351" t="s">
        <v>315</v>
      </c>
      <c r="D2351" t="s">
        <v>316</v>
      </c>
      <c r="E2351" t="s">
        <v>82</v>
      </c>
      <c r="F2351" t="s">
        <v>306</v>
      </c>
      <c r="G2351" t="s">
        <v>11</v>
      </c>
      <c r="H2351">
        <v>4558.0</v>
      </c>
      <c r="I2351" t="s">
        <v>31</v>
      </c>
      <c r="J2351" t="s">
        <v>84</v>
      </c>
      <c r="K2351" t="s">
        <v>43</v>
      </c>
      <c r="L2351" t="s">
        <v>44</v>
      </c>
      <c r="M2351">
        <v>208.14000000000001</v>
      </c>
    </row>
    <row r="2352">
      <c r="A2352" s="2">
        <v>45368</v>
      </c>
      <c r="B2352">
        <v>2024.0</v>
      </c>
      <c r="C2352" t="s">
        <v>318</v>
      </c>
      <c r="D2352" t="s">
        <v>316</v>
      </c>
      <c r="E2352" t="s">
        <v>258</v>
      </c>
      <c r="F2352" t="s">
        <v>309</v>
      </c>
      <c r="G2352" t="s">
        <v>14</v>
      </c>
      <c r="H2352">
        <v>870.0</v>
      </c>
      <c r="I2352" t="s">
        <v>31</v>
      </c>
      <c r="J2352" t="s">
        <v>145</v>
      </c>
      <c r="K2352" t="s">
        <v>57</v>
      </c>
      <c r="L2352" t="s">
        <v>58</v>
      </c>
      <c r="M2352">
        <v>208.22</v>
      </c>
    </row>
    <row r="2353">
      <c r="A2353" s="2">
        <v>45425</v>
      </c>
      <c r="B2353">
        <v>2024.0</v>
      </c>
      <c r="C2353" t="s">
        <v>318</v>
      </c>
      <c r="D2353" t="s">
        <v>316</v>
      </c>
      <c r="E2353" t="s">
        <v>254</v>
      </c>
      <c r="F2353" t="s">
        <v>308</v>
      </c>
      <c r="G2353" t="s">
        <v>13</v>
      </c>
      <c r="H2353">
        <v>5343.0</v>
      </c>
      <c r="I2353" t="s">
        <v>31</v>
      </c>
      <c r="J2353" t="s">
        <v>227</v>
      </c>
      <c r="K2353" t="s">
        <v>57</v>
      </c>
      <c r="L2353" t="s">
        <v>58</v>
      </c>
      <c r="M2353">
        <v>208.44</v>
      </c>
    </row>
    <row r="2354">
      <c r="A2354" s="2">
        <v>45479</v>
      </c>
      <c r="B2354">
        <v>2025.0</v>
      </c>
      <c r="C2354" t="s">
        <v>315</v>
      </c>
      <c r="D2354" t="s">
        <v>319</v>
      </c>
      <c r="E2354" t="s">
        <v>228</v>
      </c>
      <c r="F2354" t="s">
        <v>306</v>
      </c>
      <c r="G2354" t="s">
        <v>11</v>
      </c>
      <c r="H2354">
        <v>4680.0</v>
      </c>
      <c r="I2354" t="s">
        <v>31</v>
      </c>
      <c r="J2354" t="s">
        <v>32</v>
      </c>
      <c r="K2354" t="s">
        <v>33</v>
      </c>
      <c r="L2354" t="s">
        <v>34</v>
      </c>
      <c r="M2354">
        <v>208.73000000000002</v>
      </c>
    </row>
    <row r="2355">
      <c r="A2355" s="2">
        <v>45677</v>
      </c>
      <c r="B2355">
        <v>2025.0</v>
      </c>
      <c r="C2355" t="s">
        <v>315</v>
      </c>
      <c r="D2355" t="s">
        <v>319</v>
      </c>
      <c r="E2355" t="s">
        <v>215</v>
      </c>
      <c r="F2355" t="s">
        <v>310</v>
      </c>
      <c r="G2355" t="s">
        <v>15</v>
      </c>
      <c r="H2355">
        <v>7320.0</v>
      </c>
      <c r="I2355" t="s">
        <v>31</v>
      </c>
      <c r="J2355" t="s">
        <v>53</v>
      </c>
      <c r="K2355" t="s">
        <v>123</v>
      </c>
      <c r="L2355" t="s">
        <v>124</v>
      </c>
      <c r="M2355">
        <v>209.62</v>
      </c>
    </row>
    <row r="2356">
      <c r="A2356" s="2">
        <v>45370</v>
      </c>
      <c r="B2356">
        <v>2024.0</v>
      </c>
      <c r="C2356" t="s">
        <v>318</v>
      </c>
      <c r="D2356" t="s">
        <v>316</v>
      </c>
      <c r="E2356" t="s">
        <v>211</v>
      </c>
      <c r="F2356" t="s">
        <v>304</v>
      </c>
      <c r="G2356" t="s">
        <v>9</v>
      </c>
      <c r="H2356">
        <v>2650.0</v>
      </c>
      <c r="I2356" t="s">
        <v>31</v>
      </c>
      <c r="J2356" t="s">
        <v>75</v>
      </c>
      <c r="K2356" t="s">
        <v>95</v>
      </c>
      <c r="L2356" t="s">
        <v>96</v>
      </c>
      <c r="M2356">
        <v>209.62</v>
      </c>
    </row>
    <row r="2357">
      <c r="A2357" s="2">
        <v>45411</v>
      </c>
      <c r="B2357">
        <v>2024.0</v>
      </c>
      <c r="C2357" t="s">
        <v>318</v>
      </c>
      <c r="D2357" t="s">
        <v>316</v>
      </c>
      <c r="E2357" t="s">
        <v>76</v>
      </c>
      <c r="F2357" t="s">
        <v>306</v>
      </c>
      <c r="G2357" t="s">
        <v>11</v>
      </c>
      <c r="H2357">
        <v>4883.0</v>
      </c>
      <c r="I2357" t="s">
        <v>31</v>
      </c>
      <c r="J2357" t="s">
        <v>78</v>
      </c>
      <c r="K2357" t="s">
        <v>57</v>
      </c>
      <c r="L2357" t="s">
        <v>58</v>
      </c>
      <c r="M2357">
        <v>209.65</v>
      </c>
    </row>
    <row r="2358">
      <c r="A2358" s="2">
        <v>45709</v>
      </c>
      <c r="B2358">
        <v>2025.0</v>
      </c>
      <c r="C2358" t="s">
        <v>315</v>
      </c>
      <c r="D2358" t="s">
        <v>316</v>
      </c>
      <c r="E2358" t="s">
        <v>129</v>
      </c>
      <c r="F2358" t="s">
        <v>305</v>
      </c>
      <c r="G2358" t="s">
        <v>10</v>
      </c>
      <c r="H2358">
        <v>3066.0</v>
      </c>
      <c r="I2358" t="s">
        <v>31</v>
      </c>
      <c r="J2358" t="s">
        <v>120</v>
      </c>
      <c r="K2358" t="s">
        <v>95</v>
      </c>
      <c r="L2358" t="s">
        <v>96</v>
      </c>
      <c r="M2358">
        <v>209.65</v>
      </c>
    </row>
    <row r="2359">
      <c r="A2359" s="2">
        <v>45980</v>
      </c>
      <c r="B2359">
        <v>2026.0</v>
      </c>
      <c r="C2359" t="s">
        <v>321</v>
      </c>
      <c r="D2359" t="s">
        <v>316</v>
      </c>
      <c r="E2359" t="s">
        <v>137</v>
      </c>
      <c r="F2359" t="s">
        <v>305</v>
      </c>
      <c r="G2359" t="s">
        <v>10</v>
      </c>
      <c r="H2359">
        <v>3134.0</v>
      </c>
      <c r="I2359" t="s">
        <v>31</v>
      </c>
      <c r="J2359" t="s">
        <v>89</v>
      </c>
      <c r="K2359" t="s">
        <v>71</v>
      </c>
      <c r="L2359" t="s">
        <v>72</v>
      </c>
      <c r="M2359">
        <v>209.79</v>
      </c>
    </row>
    <row r="2360">
      <c r="A2360" s="2">
        <v>45335</v>
      </c>
      <c r="B2360">
        <v>2024.0</v>
      </c>
      <c r="C2360" t="s">
        <v>318</v>
      </c>
      <c r="D2360" t="s">
        <v>316</v>
      </c>
      <c r="E2360" t="s">
        <v>114</v>
      </c>
      <c r="F2360" t="s">
        <v>304</v>
      </c>
      <c r="G2360" t="s">
        <v>9</v>
      </c>
      <c r="H2360">
        <v>2031.0</v>
      </c>
      <c r="I2360" t="s">
        <v>31</v>
      </c>
      <c r="J2360" t="s">
        <v>99</v>
      </c>
      <c r="K2360" t="s">
        <v>38</v>
      </c>
      <c r="L2360" t="s">
        <v>39</v>
      </c>
      <c r="M2360">
        <v>209.8</v>
      </c>
    </row>
    <row r="2361">
      <c r="A2361" s="2">
        <v>45955</v>
      </c>
      <c r="B2361">
        <v>2026.0</v>
      </c>
      <c r="C2361" t="s">
        <v>321</v>
      </c>
      <c r="D2361" t="s">
        <v>319</v>
      </c>
      <c r="E2361" t="s">
        <v>205</v>
      </c>
      <c r="F2361" t="s">
        <v>305</v>
      </c>
      <c r="G2361" t="s">
        <v>10</v>
      </c>
      <c r="H2361">
        <v>3400.0</v>
      </c>
      <c r="I2361" t="s">
        <v>31</v>
      </c>
      <c r="J2361" t="s">
        <v>37</v>
      </c>
      <c r="K2361" t="s">
        <v>57</v>
      </c>
      <c r="L2361" t="s">
        <v>58</v>
      </c>
      <c r="M2361">
        <v>209.9</v>
      </c>
    </row>
    <row r="2362">
      <c r="A2362" s="2">
        <v>45607</v>
      </c>
      <c r="B2362">
        <v>2025.0</v>
      </c>
      <c r="C2362" t="s">
        <v>315</v>
      </c>
      <c r="D2362" t="s">
        <v>316</v>
      </c>
      <c r="E2362" t="s">
        <v>205</v>
      </c>
      <c r="F2362" t="s">
        <v>305</v>
      </c>
      <c r="G2362" t="s">
        <v>10</v>
      </c>
      <c r="H2362">
        <v>3400.0</v>
      </c>
      <c r="I2362" t="s">
        <v>31</v>
      </c>
      <c r="J2362" t="s">
        <v>37</v>
      </c>
      <c r="K2362" t="s">
        <v>95</v>
      </c>
      <c r="L2362" t="s">
        <v>96</v>
      </c>
      <c r="M2362">
        <v>210.05</v>
      </c>
    </row>
    <row r="2363">
      <c r="A2363" s="2">
        <v>45359</v>
      </c>
      <c r="B2363">
        <v>2024.0</v>
      </c>
      <c r="C2363" t="s">
        <v>318</v>
      </c>
      <c r="D2363" t="s">
        <v>316</v>
      </c>
      <c r="E2363" t="s">
        <v>97</v>
      </c>
      <c r="F2363" t="s">
        <v>304</v>
      </c>
      <c r="G2363" t="s">
        <v>9</v>
      </c>
      <c r="H2363">
        <v>2067.0</v>
      </c>
      <c r="I2363" t="s">
        <v>31</v>
      </c>
      <c r="J2363" t="s">
        <v>99</v>
      </c>
      <c r="K2363" t="s">
        <v>71</v>
      </c>
      <c r="L2363" t="s">
        <v>72</v>
      </c>
      <c r="M2363">
        <v>210.75</v>
      </c>
    </row>
    <row r="2364">
      <c r="A2364" s="2">
        <v>45607</v>
      </c>
      <c r="B2364">
        <v>2025.0</v>
      </c>
      <c r="C2364" t="s">
        <v>315</v>
      </c>
      <c r="D2364" t="s">
        <v>319</v>
      </c>
      <c r="E2364" t="s">
        <v>62</v>
      </c>
      <c r="F2364" t="s">
        <v>307</v>
      </c>
      <c r="G2364" t="s">
        <v>12</v>
      </c>
      <c r="H2364">
        <v>6530.0</v>
      </c>
      <c r="I2364" t="s">
        <v>31</v>
      </c>
      <c r="J2364" t="s">
        <v>50</v>
      </c>
      <c r="K2364" t="s">
        <v>71</v>
      </c>
      <c r="L2364" t="s">
        <v>72</v>
      </c>
      <c r="M2364">
        <v>210.75</v>
      </c>
    </row>
    <row r="2365">
      <c r="A2365" s="2">
        <v>45746</v>
      </c>
      <c r="B2365">
        <v>2025.0</v>
      </c>
      <c r="C2365" t="s">
        <v>315</v>
      </c>
      <c r="D2365" t="s">
        <v>316</v>
      </c>
      <c r="E2365" t="s">
        <v>187</v>
      </c>
      <c r="F2365" t="s">
        <v>306</v>
      </c>
      <c r="G2365" t="s">
        <v>11</v>
      </c>
      <c r="H2365">
        <v>4870.0</v>
      </c>
      <c r="I2365" t="s">
        <v>31</v>
      </c>
      <c r="J2365" t="s">
        <v>78</v>
      </c>
      <c r="K2365" t="s">
        <v>43</v>
      </c>
      <c r="L2365" t="s">
        <v>44</v>
      </c>
      <c r="M2365">
        <v>210.81</v>
      </c>
    </row>
    <row r="2366">
      <c r="A2366" s="2">
        <v>45915</v>
      </c>
      <c r="B2366">
        <v>2026.0</v>
      </c>
      <c r="C2366" t="s">
        <v>321</v>
      </c>
      <c r="D2366" t="s">
        <v>319</v>
      </c>
      <c r="E2366" t="s">
        <v>199</v>
      </c>
      <c r="F2366" t="s">
        <v>308</v>
      </c>
      <c r="G2366" t="s">
        <v>13</v>
      </c>
      <c r="H2366">
        <v>5169.0</v>
      </c>
      <c r="I2366" t="s">
        <v>31</v>
      </c>
      <c r="J2366" t="s">
        <v>42</v>
      </c>
      <c r="K2366" t="s">
        <v>123</v>
      </c>
      <c r="L2366" t="s">
        <v>124</v>
      </c>
      <c r="M2366">
        <v>211.57000000000002</v>
      </c>
    </row>
    <row r="2367">
      <c r="A2367" s="2">
        <v>45476</v>
      </c>
      <c r="B2367">
        <v>2025.0</v>
      </c>
      <c r="C2367" t="s">
        <v>315</v>
      </c>
      <c r="D2367" t="s">
        <v>316</v>
      </c>
      <c r="E2367" t="s">
        <v>246</v>
      </c>
      <c r="F2367" t="s">
        <v>305</v>
      </c>
      <c r="G2367" t="s">
        <v>10</v>
      </c>
      <c r="H2367">
        <v>3551.0</v>
      </c>
      <c r="I2367" t="s">
        <v>31</v>
      </c>
      <c r="J2367" t="s">
        <v>37</v>
      </c>
      <c r="K2367" t="s">
        <v>66</v>
      </c>
      <c r="L2367" t="s">
        <v>67</v>
      </c>
      <c r="M2367">
        <v>211.59</v>
      </c>
    </row>
    <row r="2368">
      <c r="A2368" s="2">
        <v>45802</v>
      </c>
      <c r="B2368">
        <v>2025.0</v>
      </c>
      <c r="C2368" t="s">
        <v>315</v>
      </c>
      <c r="D2368" t="s">
        <v>316</v>
      </c>
      <c r="E2368" t="s">
        <v>225</v>
      </c>
      <c r="F2368" t="s">
        <v>308</v>
      </c>
      <c r="G2368" t="s">
        <v>13</v>
      </c>
      <c r="H2368">
        <v>5607.0</v>
      </c>
      <c r="I2368" t="s">
        <v>31</v>
      </c>
      <c r="J2368" t="s">
        <v>227</v>
      </c>
      <c r="K2368" t="s">
        <v>38</v>
      </c>
      <c r="L2368" t="s">
        <v>39</v>
      </c>
      <c r="M2368">
        <v>211.63</v>
      </c>
    </row>
    <row r="2369">
      <c r="A2369" s="2">
        <v>45485</v>
      </c>
      <c r="B2369">
        <v>2025.0</v>
      </c>
      <c r="C2369" t="s">
        <v>315</v>
      </c>
      <c r="D2369" t="s">
        <v>316</v>
      </c>
      <c r="E2369" t="s">
        <v>127</v>
      </c>
      <c r="F2369" t="s">
        <v>306</v>
      </c>
      <c r="G2369" t="s">
        <v>11</v>
      </c>
      <c r="H2369">
        <v>4802.0</v>
      </c>
      <c r="I2369" t="s">
        <v>31</v>
      </c>
      <c r="J2369" t="s">
        <v>78</v>
      </c>
      <c r="K2369" t="s">
        <v>112</v>
      </c>
      <c r="L2369" t="s">
        <v>113</v>
      </c>
      <c r="M2369">
        <v>212.54999999999998</v>
      </c>
    </row>
    <row r="2370">
      <c r="A2370" s="2">
        <v>45703</v>
      </c>
      <c r="B2370">
        <v>2025.0</v>
      </c>
      <c r="C2370" t="s">
        <v>315</v>
      </c>
      <c r="D2370" t="s">
        <v>316</v>
      </c>
      <c r="E2370" t="s">
        <v>40</v>
      </c>
      <c r="F2370" t="s">
        <v>308</v>
      </c>
      <c r="G2370" t="s">
        <v>13</v>
      </c>
      <c r="H2370">
        <v>5011.0</v>
      </c>
      <c r="I2370" t="s">
        <v>31</v>
      </c>
      <c r="J2370" t="s">
        <v>42</v>
      </c>
      <c r="K2370" t="s">
        <v>71</v>
      </c>
      <c r="L2370" t="s">
        <v>72</v>
      </c>
      <c r="M2370">
        <v>212.8</v>
      </c>
    </row>
    <row r="2371">
      <c r="A2371" s="2">
        <v>45810</v>
      </c>
      <c r="B2371">
        <v>2025.0</v>
      </c>
      <c r="C2371" t="s">
        <v>315</v>
      </c>
      <c r="D2371" t="s">
        <v>319</v>
      </c>
      <c r="E2371" t="s">
        <v>108</v>
      </c>
      <c r="F2371" t="s">
        <v>304</v>
      </c>
      <c r="G2371" t="s">
        <v>9</v>
      </c>
      <c r="H2371">
        <v>2795.0</v>
      </c>
      <c r="I2371" t="s">
        <v>31</v>
      </c>
      <c r="J2371" t="s">
        <v>75</v>
      </c>
      <c r="K2371" t="s">
        <v>66</v>
      </c>
      <c r="L2371" t="s">
        <v>67</v>
      </c>
      <c r="M2371">
        <v>212.88</v>
      </c>
    </row>
    <row r="2372">
      <c r="A2372" s="2">
        <v>45963</v>
      </c>
      <c r="B2372">
        <v>2026.0</v>
      </c>
      <c r="C2372" t="s">
        <v>321</v>
      </c>
      <c r="D2372" t="s">
        <v>316</v>
      </c>
      <c r="E2372" t="s">
        <v>248</v>
      </c>
      <c r="F2372" t="s">
        <v>307</v>
      </c>
      <c r="G2372" t="s">
        <v>12</v>
      </c>
      <c r="H2372">
        <v>6112.0</v>
      </c>
      <c r="I2372" t="s">
        <v>31</v>
      </c>
      <c r="J2372" t="s">
        <v>162</v>
      </c>
      <c r="K2372" t="s">
        <v>43</v>
      </c>
      <c r="L2372" t="s">
        <v>44</v>
      </c>
      <c r="M2372">
        <v>212.91</v>
      </c>
    </row>
    <row r="2373">
      <c r="A2373" s="2">
        <v>45647</v>
      </c>
      <c r="B2373">
        <v>2025.0</v>
      </c>
      <c r="C2373" t="s">
        <v>315</v>
      </c>
      <c r="D2373" t="s">
        <v>319</v>
      </c>
      <c r="E2373" t="s">
        <v>203</v>
      </c>
      <c r="F2373" t="s">
        <v>305</v>
      </c>
      <c r="G2373" t="s">
        <v>10</v>
      </c>
      <c r="H2373">
        <v>3175.0</v>
      </c>
      <c r="I2373" t="s">
        <v>31</v>
      </c>
      <c r="J2373" t="s">
        <v>89</v>
      </c>
      <c r="K2373" t="s">
        <v>95</v>
      </c>
      <c r="L2373" t="s">
        <v>96</v>
      </c>
      <c r="M2373">
        <v>213.03</v>
      </c>
    </row>
    <row r="2374">
      <c r="A2374" s="2">
        <v>45541</v>
      </c>
      <c r="B2374">
        <v>2025.0</v>
      </c>
      <c r="C2374" t="s">
        <v>315</v>
      </c>
      <c r="D2374" t="s">
        <v>316</v>
      </c>
      <c r="E2374" t="s">
        <v>242</v>
      </c>
      <c r="F2374" t="s">
        <v>305</v>
      </c>
      <c r="G2374" t="s">
        <v>10</v>
      </c>
      <c r="H2374">
        <v>3977.0</v>
      </c>
      <c r="I2374" t="s">
        <v>31</v>
      </c>
      <c r="J2374" t="s">
        <v>94</v>
      </c>
      <c r="K2374" t="s">
        <v>123</v>
      </c>
      <c r="L2374" t="s">
        <v>124</v>
      </c>
      <c r="M2374">
        <v>213.16</v>
      </c>
    </row>
    <row r="2375">
      <c r="A2375" s="2">
        <v>45584</v>
      </c>
      <c r="B2375">
        <v>2025.0</v>
      </c>
      <c r="C2375" t="s">
        <v>315</v>
      </c>
      <c r="D2375" t="s">
        <v>316</v>
      </c>
      <c r="E2375" t="s">
        <v>189</v>
      </c>
      <c r="F2375" t="s">
        <v>304</v>
      </c>
      <c r="G2375" t="s">
        <v>9</v>
      </c>
      <c r="H2375">
        <v>2131.0</v>
      </c>
      <c r="I2375" t="s">
        <v>31</v>
      </c>
      <c r="J2375" t="s">
        <v>81</v>
      </c>
      <c r="K2375" t="s">
        <v>43</v>
      </c>
      <c r="L2375" t="s">
        <v>44</v>
      </c>
      <c r="M2375">
        <v>213.37</v>
      </c>
    </row>
    <row r="2376">
      <c r="A2376" s="2">
        <v>45831</v>
      </c>
      <c r="B2376">
        <v>2025.0</v>
      </c>
      <c r="C2376" t="s">
        <v>315</v>
      </c>
      <c r="D2376" t="s">
        <v>319</v>
      </c>
      <c r="E2376" t="s">
        <v>92</v>
      </c>
      <c r="F2376" t="s">
        <v>305</v>
      </c>
      <c r="G2376" t="s">
        <v>10</v>
      </c>
      <c r="H2376">
        <v>3690.0</v>
      </c>
      <c r="I2376" t="s">
        <v>31</v>
      </c>
      <c r="J2376" t="s">
        <v>94</v>
      </c>
      <c r="K2376" t="s">
        <v>33</v>
      </c>
      <c r="L2376" t="s">
        <v>34</v>
      </c>
      <c r="M2376">
        <v>213.62</v>
      </c>
    </row>
    <row r="2377">
      <c r="A2377" s="2">
        <v>45320</v>
      </c>
      <c r="B2377">
        <v>2024.0</v>
      </c>
      <c r="C2377" t="s">
        <v>318</v>
      </c>
      <c r="D2377" t="s">
        <v>316</v>
      </c>
      <c r="E2377" t="s">
        <v>225</v>
      </c>
      <c r="F2377" t="s">
        <v>308</v>
      </c>
      <c r="G2377" t="s">
        <v>13</v>
      </c>
      <c r="H2377">
        <v>5607.0</v>
      </c>
      <c r="I2377" t="s">
        <v>31</v>
      </c>
      <c r="J2377" t="s">
        <v>227</v>
      </c>
      <c r="K2377" t="s">
        <v>71</v>
      </c>
      <c r="L2377" t="s">
        <v>72</v>
      </c>
      <c r="M2377">
        <v>213.75</v>
      </c>
    </row>
    <row r="2378">
      <c r="A2378" s="2">
        <v>45358</v>
      </c>
      <c r="B2378">
        <v>2024.0</v>
      </c>
      <c r="C2378" t="s">
        <v>318</v>
      </c>
      <c r="D2378" t="s">
        <v>319</v>
      </c>
      <c r="E2378" t="s">
        <v>125</v>
      </c>
      <c r="F2378" t="s">
        <v>305</v>
      </c>
      <c r="G2378" t="s">
        <v>10</v>
      </c>
      <c r="H2378">
        <v>3931.0</v>
      </c>
      <c r="I2378" t="s">
        <v>31</v>
      </c>
      <c r="J2378" t="s">
        <v>94</v>
      </c>
      <c r="K2378" t="s">
        <v>71</v>
      </c>
      <c r="L2378" t="s">
        <v>72</v>
      </c>
      <c r="M2378">
        <v>213.8</v>
      </c>
    </row>
    <row r="2379">
      <c r="A2379" s="2">
        <v>45379</v>
      </c>
      <c r="B2379">
        <v>2024.0</v>
      </c>
      <c r="C2379" t="s">
        <v>318</v>
      </c>
      <c r="D2379" t="s">
        <v>319</v>
      </c>
      <c r="E2379" t="s">
        <v>103</v>
      </c>
      <c r="F2379" t="s">
        <v>307</v>
      </c>
      <c r="G2379" t="s">
        <v>12</v>
      </c>
      <c r="H2379">
        <v>6021.0</v>
      </c>
      <c r="I2379" t="s">
        <v>31</v>
      </c>
      <c r="J2379" t="s">
        <v>102</v>
      </c>
      <c r="K2379" t="s">
        <v>46</v>
      </c>
      <c r="L2379" t="s">
        <v>47</v>
      </c>
      <c r="M2379">
        <v>213.83</v>
      </c>
    </row>
    <row r="2380">
      <c r="A2380" s="2">
        <v>45657</v>
      </c>
      <c r="B2380">
        <v>2025.0</v>
      </c>
      <c r="C2380" t="s">
        <v>315</v>
      </c>
      <c r="D2380" t="s">
        <v>319</v>
      </c>
      <c r="E2380" t="s">
        <v>199</v>
      </c>
      <c r="F2380" t="s">
        <v>308</v>
      </c>
      <c r="G2380" t="s">
        <v>13</v>
      </c>
      <c r="H2380">
        <v>5169.0</v>
      </c>
      <c r="I2380" t="s">
        <v>31</v>
      </c>
      <c r="J2380" t="s">
        <v>42</v>
      </c>
      <c r="K2380" t="s">
        <v>71</v>
      </c>
      <c r="L2380" t="s">
        <v>72</v>
      </c>
      <c r="M2380">
        <v>213.92000000000002</v>
      </c>
    </row>
    <row r="2381">
      <c r="A2381" s="2">
        <v>45579</v>
      </c>
      <c r="B2381">
        <v>2025.0</v>
      </c>
      <c r="C2381" t="s">
        <v>315</v>
      </c>
      <c r="D2381" t="s">
        <v>316</v>
      </c>
      <c r="E2381" t="s">
        <v>193</v>
      </c>
      <c r="F2381" t="s">
        <v>304</v>
      </c>
      <c r="G2381" t="s">
        <v>9</v>
      </c>
      <c r="H2381">
        <v>2020.0</v>
      </c>
      <c r="I2381" t="s">
        <v>31</v>
      </c>
      <c r="J2381" t="s">
        <v>99</v>
      </c>
      <c r="K2381" t="s">
        <v>112</v>
      </c>
      <c r="L2381" t="s">
        <v>113</v>
      </c>
      <c r="M2381">
        <v>214.01000000000002</v>
      </c>
    </row>
    <row r="2382">
      <c r="A2382" s="2">
        <v>45564</v>
      </c>
      <c r="B2382">
        <v>2025.0</v>
      </c>
      <c r="C2382" t="s">
        <v>315</v>
      </c>
      <c r="D2382" t="s">
        <v>316</v>
      </c>
      <c r="E2382" t="s">
        <v>54</v>
      </c>
      <c r="F2382" t="s">
        <v>306</v>
      </c>
      <c r="G2382" t="s">
        <v>11</v>
      </c>
      <c r="H2382">
        <v>4012.0</v>
      </c>
      <c r="I2382" t="s">
        <v>31</v>
      </c>
      <c r="J2382" t="s">
        <v>56</v>
      </c>
      <c r="K2382" t="s">
        <v>33</v>
      </c>
      <c r="L2382" t="s">
        <v>34</v>
      </c>
      <c r="M2382">
        <v>214.07</v>
      </c>
    </row>
    <row r="2383">
      <c r="A2383" s="2">
        <v>45389</v>
      </c>
      <c r="B2383">
        <v>2024.0</v>
      </c>
      <c r="C2383" t="s">
        <v>318</v>
      </c>
      <c r="D2383" t="s">
        <v>316</v>
      </c>
      <c r="E2383" t="s">
        <v>179</v>
      </c>
      <c r="F2383" t="s">
        <v>304</v>
      </c>
      <c r="G2383" t="s">
        <v>9</v>
      </c>
      <c r="H2383">
        <v>2015.0</v>
      </c>
      <c r="I2383" t="s">
        <v>31</v>
      </c>
      <c r="J2383" t="s">
        <v>99</v>
      </c>
      <c r="K2383" t="s">
        <v>33</v>
      </c>
      <c r="L2383" t="s">
        <v>34</v>
      </c>
      <c r="M2383">
        <v>214.48000000000002</v>
      </c>
    </row>
    <row r="2384">
      <c r="A2384" s="2">
        <v>45719</v>
      </c>
      <c r="B2384">
        <v>2025.0</v>
      </c>
      <c r="C2384" t="s">
        <v>315</v>
      </c>
      <c r="D2384" t="s">
        <v>319</v>
      </c>
      <c r="E2384" t="s">
        <v>143</v>
      </c>
      <c r="F2384" t="s">
        <v>309</v>
      </c>
      <c r="G2384" t="s">
        <v>14</v>
      </c>
      <c r="H2384">
        <v>800.0</v>
      </c>
      <c r="I2384" t="s">
        <v>31</v>
      </c>
      <c r="J2384" t="s">
        <v>145</v>
      </c>
      <c r="K2384" t="s">
        <v>33</v>
      </c>
      <c r="L2384" t="s">
        <v>34</v>
      </c>
      <c r="M2384">
        <v>215.45000000000002</v>
      </c>
    </row>
    <row r="2385">
      <c r="A2385" s="2">
        <v>46005</v>
      </c>
      <c r="B2385">
        <v>2026.0</v>
      </c>
      <c r="C2385" t="s">
        <v>321</v>
      </c>
      <c r="D2385" t="s">
        <v>319</v>
      </c>
      <c r="E2385" t="s">
        <v>146</v>
      </c>
      <c r="F2385" t="s">
        <v>304</v>
      </c>
      <c r="G2385" t="s">
        <v>9</v>
      </c>
      <c r="H2385">
        <v>2790.0</v>
      </c>
      <c r="I2385" t="s">
        <v>31</v>
      </c>
      <c r="J2385" t="s">
        <v>75</v>
      </c>
      <c r="K2385" t="s">
        <v>43</v>
      </c>
      <c r="L2385" t="s">
        <v>44</v>
      </c>
      <c r="M2385">
        <v>215.58</v>
      </c>
    </row>
    <row r="2386">
      <c r="A2386" s="2">
        <v>45799</v>
      </c>
      <c r="B2386">
        <v>2025.0</v>
      </c>
      <c r="C2386" t="s">
        <v>315</v>
      </c>
      <c r="D2386" t="s">
        <v>316</v>
      </c>
      <c r="E2386" t="s">
        <v>173</v>
      </c>
      <c r="F2386" t="s">
        <v>306</v>
      </c>
      <c r="G2386" t="s">
        <v>11</v>
      </c>
      <c r="H2386">
        <v>4220.0</v>
      </c>
      <c r="I2386" t="s">
        <v>31</v>
      </c>
      <c r="J2386" t="s">
        <v>61</v>
      </c>
      <c r="K2386" t="s">
        <v>38</v>
      </c>
      <c r="L2386" t="s">
        <v>39</v>
      </c>
      <c r="M2386">
        <v>215.69</v>
      </c>
    </row>
    <row r="2387">
      <c r="A2387" s="2">
        <v>45637</v>
      </c>
      <c r="B2387">
        <v>2025.0</v>
      </c>
      <c r="C2387" t="s">
        <v>315</v>
      </c>
      <c r="D2387" t="s">
        <v>319</v>
      </c>
      <c r="E2387" t="s">
        <v>187</v>
      </c>
      <c r="F2387" t="s">
        <v>306</v>
      </c>
      <c r="G2387" t="s">
        <v>11</v>
      </c>
      <c r="H2387">
        <v>4870.0</v>
      </c>
      <c r="I2387" t="s">
        <v>31</v>
      </c>
      <c r="J2387" t="s">
        <v>78</v>
      </c>
      <c r="K2387" t="s">
        <v>46</v>
      </c>
      <c r="L2387" t="s">
        <v>47</v>
      </c>
      <c r="M2387">
        <v>215.89</v>
      </c>
    </row>
    <row r="2388">
      <c r="A2388" s="2">
        <v>45603</v>
      </c>
      <c r="B2388">
        <v>2025.0</v>
      </c>
      <c r="C2388" t="s">
        <v>315</v>
      </c>
      <c r="D2388" t="s">
        <v>316</v>
      </c>
      <c r="E2388" t="s">
        <v>51</v>
      </c>
      <c r="F2388" t="s">
        <v>310</v>
      </c>
      <c r="G2388" t="s">
        <v>15</v>
      </c>
      <c r="H2388">
        <v>7018.0</v>
      </c>
      <c r="I2388" t="s">
        <v>31</v>
      </c>
      <c r="J2388" t="s">
        <v>53</v>
      </c>
      <c r="K2388" t="s">
        <v>46</v>
      </c>
      <c r="L2388" t="s">
        <v>47</v>
      </c>
      <c r="M2388">
        <v>216.70999999999998</v>
      </c>
    </row>
    <row r="2389">
      <c r="A2389" s="2">
        <v>45909</v>
      </c>
      <c r="B2389">
        <v>2026.0</v>
      </c>
      <c r="C2389" t="s">
        <v>321</v>
      </c>
      <c r="D2389" t="s">
        <v>316</v>
      </c>
      <c r="E2389" t="s">
        <v>100</v>
      </c>
      <c r="F2389" t="s">
        <v>307</v>
      </c>
      <c r="G2389" t="s">
        <v>12</v>
      </c>
      <c r="H2389">
        <v>6010.0</v>
      </c>
      <c r="I2389" t="s">
        <v>31</v>
      </c>
      <c r="J2389" t="s">
        <v>102</v>
      </c>
      <c r="K2389" t="s">
        <v>38</v>
      </c>
      <c r="L2389" t="s">
        <v>39</v>
      </c>
      <c r="M2389">
        <v>217.11</v>
      </c>
    </row>
    <row r="2390">
      <c r="A2390" s="2">
        <v>45560</v>
      </c>
      <c r="B2390">
        <v>2025.0</v>
      </c>
      <c r="C2390" t="s">
        <v>315</v>
      </c>
      <c r="D2390" t="s">
        <v>319</v>
      </c>
      <c r="E2390" t="s">
        <v>250</v>
      </c>
      <c r="F2390" t="s">
        <v>305</v>
      </c>
      <c r="G2390" t="s">
        <v>10</v>
      </c>
      <c r="H2390">
        <v>3550.0</v>
      </c>
      <c r="I2390" t="s">
        <v>31</v>
      </c>
      <c r="J2390" t="s">
        <v>37</v>
      </c>
      <c r="K2390" t="s">
        <v>33</v>
      </c>
      <c r="L2390" t="s">
        <v>34</v>
      </c>
      <c r="M2390">
        <v>217.45000000000002</v>
      </c>
    </row>
    <row r="2391">
      <c r="A2391" s="2">
        <v>45614</v>
      </c>
      <c r="B2391">
        <v>2025.0</v>
      </c>
      <c r="C2391" t="s">
        <v>315</v>
      </c>
      <c r="D2391" t="s">
        <v>316</v>
      </c>
      <c r="E2391" t="s">
        <v>211</v>
      </c>
      <c r="F2391" t="s">
        <v>304</v>
      </c>
      <c r="G2391" t="s">
        <v>9</v>
      </c>
      <c r="H2391">
        <v>2650.0</v>
      </c>
      <c r="I2391" t="s">
        <v>31</v>
      </c>
      <c r="J2391" t="s">
        <v>75</v>
      </c>
      <c r="K2391" t="s">
        <v>43</v>
      </c>
      <c r="L2391" t="s">
        <v>44</v>
      </c>
      <c r="M2391">
        <v>218.4</v>
      </c>
    </row>
    <row r="2392">
      <c r="A2392" s="2">
        <v>45361</v>
      </c>
      <c r="B2392">
        <v>2024.0</v>
      </c>
      <c r="C2392" t="s">
        <v>318</v>
      </c>
      <c r="D2392" t="s">
        <v>316</v>
      </c>
      <c r="E2392" t="s">
        <v>175</v>
      </c>
      <c r="F2392" t="s">
        <v>311</v>
      </c>
      <c r="G2392" t="s">
        <v>16</v>
      </c>
      <c r="H2392">
        <v>2617.0</v>
      </c>
      <c r="I2392" t="s">
        <v>31</v>
      </c>
      <c r="J2392" t="s">
        <v>107</v>
      </c>
      <c r="K2392" t="s">
        <v>57</v>
      </c>
      <c r="L2392" t="s">
        <v>58</v>
      </c>
      <c r="M2392">
        <v>218.43</v>
      </c>
    </row>
    <row r="2393">
      <c r="A2393" s="2">
        <v>45557</v>
      </c>
      <c r="B2393">
        <v>2025.0</v>
      </c>
      <c r="C2393" t="s">
        <v>315</v>
      </c>
      <c r="D2393" t="s">
        <v>316</v>
      </c>
      <c r="E2393" t="s">
        <v>187</v>
      </c>
      <c r="F2393" t="s">
        <v>306</v>
      </c>
      <c r="G2393" t="s">
        <v>11</v>
      </c>
      <c r="H2393">
        <v>4870.0</v>
      </c>
      <c r="I2393" t="s">
        <v>31</v>
      </c>
      <c r="J2393" t="s">
        <v>78</v>
      </c>
      <c r="K2393" t="s">
        <v>38</v>
      </c>
      <c r="L2393" t="s">
        <v>39</v>
      </c>
      <c r="M2393">
        <v>218.6</v>
      </c>
    </row>
    <row r="2394">
      <c r="A2394" s="2">
        <v>45367</v>
      </c>
      <c r="B2394">
        <v>2024.0</v>
      </c>
      <c r="C2394" t="s">
        <v>318</v>
      </c>
      <c r="D2394" t="s">
        <v>319</v>
      </c>
      <c r="E2394" t="s">
        <v>62</v>
      </c>
      <c r="F2394" t="s">
        <v>307</v>
      </c>
      <c r="G2394" t="s">
        <v>12</v>
      </c>
      <c r="H2394">
        <v>6530.0</v>
      </c>
      <c r="I2394" t="s">
        <v>31</v>
      </c>
      <c r="J2394" t="s">
        <v>50</v>
      </c>
      <c r="K2394" t="s">
        <v>112</v>
      </c>
      <c r="L2394" t="s">
        <v>113</v>
      </c>
      <c r="M2394">
        <v>218.63</v>
      </c>
    </row>
    <row r="2395">
      <c r="A2395" s="2">
        <v>45882</v>
      </c>
      <c r="B2395">
        <v>2026.0</v>
      </c>
      <c r="C2395" t="s">
        <v>321</v>
      </c>
      <c r="D2395" t="s">
        <v>316</v>
      </c>
      <c r="E2395" t="s">
        <v>167</v>
      </c>
      <c r="F2395" t="s">
        <v>307</v>
      </c>
      <c r="G2395" t="s">
        <v>12</v>
      </c>
      <c r="H2395">
        <v>6030.0</v>
      </c>
      <c r="I2395" t="s">
        <v>31</v>
      </c>
      <c r="J2395" t="s">
        <v>102</v>
      </c>
      <c r="K2395" t="s">
        <v>43</v>
      </c>
      <c r="L2395" t="s">
        <v>44</v>
      </c>
      <c r="M2395">
        <v>218.78</v>
      </c>
    </row>
    <row r="2396">
      <c r="A2396" s="2">
        <v>45857</v>
      </c>
      <c r="B2396">
        <v>2026.0</v>
      </c>
      <c r="C2396" t="s">
        <v>321</v>
      </c>
      <c r="D2396" t="s">
        <v>319</v>
      </c>
      <c r="E2396" t="s">
        <v>223</v>
      </c>
      <c r="F2396" t="s">
        <v>305</v>
      </c>
      <c r="G2396" t="s">
        <v>10</v>
      </c>
      <c r="H2396">
        <v>3915.0</v>
      </c>
      <c r="I2396" t="s">
        <v>31</v>
      </c>
      <c r="J2396" t="s">
        <v>94</v>
      </c>
      <c r="K2396" t="s">
        <v>112</v>
      </c>
      <c r="L2396" t="s">
        <v>113</v>
      </c>
      <c r="M2396">
        <v>220.18</v>
      </c>
    </row>
    <row r="2397">
      <c r="A2397" s="2">
        <v>45766</v>
      </c>
      <c r="B2397">
        <v>2025.0</v>
      </c>
      <c r="C2397" t="s">
        <v>315</v>
      </c>
      <c r="D2397" t="s">
        <v>316</v>
      </c>
      <c r="E2397" t="s">
        <v>62</v>
      </c>
      <c r="F2397" t="s">
        <v>307</v>
      </c>
      <c r="G2397" t="s">
        <v>12</v>
      </c>
      <c r="H2397">
        <v>6530.0</v>
      </c>
      <c r="I2397" t="s">
        <v>31</v>
      </c>
      <c r="J2397" t="s">
        <v>50</v>
      </c>
      <c r="K2397" t="s">
        <v>95</v>
      </c>
      <c r="L2397" t="s">
        <v>96</v>
      </c>
      <c r="M2397">
        <v>220.2</v>
      </c>
    </row>
    <row r="2398">
      <c r="A2398" s="2">
        <v>45526</v>
      </c>
      <c r="B2398">
        <v>2025.0</v>
      </c>
      <c r="C2398" t="s">
        <v>315</v>
      </c>
      <c r="D2398" t="s">
        <v>316</v>
      </c>
      <c r="E2398" t="s">
        <v>242</v>
      </c>
      <c r="F2398" t="s">
        <v>305</v>
      </c>
      <c r="G2398" t="s">
        <v>10</v>
      </c>
      <c r="H2398">
        <v>3977.0</v>
      </c>
      <c r="I2398" t="s">
        <v>31</v>
      </c>
      <c r="J2398" t="s">
        <v>94</v>
      </c>
      <c r="K2398" t="s">
        <v>43</v>
      </c>
      <c r="L2398" t="s">
        <v>44</v>
      </c>
      <c r="M2398">
        <v>220.78</v>
      </c>
    </row>
    <row r="2399">
      <c r="A2399" s="2">
        <v>45309</v>
      </c>
      <c r="B2399">
        <v>2024.0</v>
      </c>
      <c r="C2399" t="s">
        <v>318</v>
      </c>
      <c r="D2399" t="s">
        <v>316</v>
      </c>
      <c r="E2399" t="s">
        <v>48</v>
      </c>
      <c r="F2399" t="s">
        <v>307</v>
      </c>
      <c r="G2399" t="s">
        <v>12</v>
      </c>
      <c r="H2399">
        <v>6725.0</v>
      </c>
      <c r="I2399" t="s">
        <v>31</v>
      </c>
      <c r="J2399" t="s">
        <v>50</v>
      </c>
      <c r="K2399" t="s">
        <v>71</v>
      </c>
      <c r="L2399" t="s">
        <v>72</v>
      </c>
      <c r="M2399">
        <v>220.83</v>
      </c>
    </row>
    <row r="2400">
      <c r="A2400" s="2">
        <v>45814</v>
      </c>
      <c r="B2400">
        <v>2025.0</v>
      </c>
      <c r="C2400" t="s">
        <v>315</v>
      </c>
      <c r="D2400" t="s">
        <v>319</v>
      </c>
      <c r="E2400" t="s">
        <v>250</v>
      </c>
      <c r="F2400" t="s">
        <v>305</v>
      </c>
      <c r="G2400" t="s">
        <v>10</v>
      </c>
      <c r="H2400">
        <v>3550.0</v>
      </c>
      <c r="I2400" t="s">
        <v>31</v>
      </c>
      <c r="J2400" t="s">
        <v>37</v>
      </c>
      <c r="K2400" t="s">
        <v>66</v>
      </c>
      <c r="L2400" t="s">
        <v>67</v>
      </c>
      <c r="M2400">
        <v>220.85</v>
      </c>
    </row>
    <row r="2401">
      <c r="A2401" s="2">
        <v>45294</v>
      </c>
      <c r="B2401">
        <v>2024.0</v>
      </c>
      <c r="C2401" t="s">
        <v>318</v>
      </c>
      <c r="D2401" t="s">
        <v>319</v>
      </c>
      <c r="E2401" t="s">
        <v>85</v>
      </c>
      <c r="F2401" t="s">
        <v>304</v>
      </c>
      <c r="G2401" t="s">
        <v>9</v>
      </c>
      <c r="H2401">
        <v>2120.0</v>
      </c>
      <c r="I2401" t="s">
        <v>31</v>
      </c>
      <c r="J2401" t="s">
        <v>81</v>
      </c>
      <c r="K2401" t="s">
        <v>71</v>
      </c>
      <c r="L2401" t="s">
        <v>72</v>
      </c>
      <c r="M2401">
        <v>221.82999999999998</v>
      </c>
    </row>
    <row r="2402">
      <c r="A2402" s="2">
        <v>45827</v>
      </c>
      <c r="B2402">
        <v>2025.0</v>
      </c>
      <c r="C2402" t="s">
        <v>315</v>
      </c>
      <c r="D2402" t="s">
        <v>316</v>
      </c>
      <c r="E2402" t="s">
        <v>189</v>
      </c>
      <c r="F2402" t="s">
        <v>304</v>
      </c>
      <c r="G2402" t="s">
        <v>9</v>
      </c>
      <c r="H2402">
        <v>2131.0</v>
      </c>
      <c r="I2402" t="s">
        <v>31</v>
      </c>
      <c r="J2402" t="s">
        <v>81</v>
      </c>
      <c r="K2402" t="s">
        <v>57</v>
      </c>
      <c r="L2402" t="s">
        <v>58</v>
      </c>
      <c r="M2402">
        <v>221.93</v>
      </c>
    </row>
    <row r="2403">
      <c r="A2403" s="2">
        <v>46019</v>
      </c>
      <c r="B2403">
        <v>2026.0</v>
      </c>
      <c r="C2403" t="s">
        <v>321</v>
      </c>
      <c r="D2403" t="s">
        <v>316</v>
      </c>
      <c r="E2403" t="s">
        <v>143</v>
      </c>
      <c r="F2403" t="s">
        <v>309</v>
      </c>
      <c r="G2403" t="s">
        <v>14</v>
      </c>
      <c r="H2403">
        <v>800.0</v>
      </c>
      <c r="I2403" t="s">
        <v>31</v>
      </c>
      <c r="J2403" t="s">
        <v>145</v>
      </c>
      <c r="K2403" t="s">
        <v>112</v>
      </c>
      <c r="L2403" t="s">
        <v>113</v>
      </c>
      <c r="M2403">
        <v>222.81</v>
      </c>
    </row>
    <row r="2404">
      <c r="A2404" s="2">
        <v>45811</v>
      </c>
      <c r="B2404">
        <v>2025.0</v>
      </c>
      <c r="C2404" t="s">
        <v>315</v>
      </c>
      <c r="D2404" t="s">
        <v>316</v>
      </c>
      <c r="E2404" t="s">
        <v>215</v>
      </c>
      <c r="F2404" t="s">
        <v>310</v>
      </c>
      <c r="G2404" t="s">
        <v>15</v>
      </c>
      <c r="H2404">
        <v>7320.0</v>
      </c>
      <c r="I2404" t="s">
        <v>31</v>
      </c>
      <c r="J2404" t="s">
        <v>53</v>
      </c>
      <c r="K2404" t="s">
        <v>71</v>
      </c>
      <c r="L2404" t="s">
        <v>72</v>
      </c>
      <c r="M2404">
        <v>223.23</v>
      </c>
    </row>
    <row r="2405">
      <c r="A2405" s="2">
        <v>45898</v>
      </c>
      <c r="B2405">
        <v>2026.0</v>
      </c>
      <c r="C2405" t="s">
        <v>321</v>
      </c>
      <c r="D2405" t="s">
        <v>319</v>
      </c>
      <c r="E2405" t="s">
        <v>116</v>
      </c>
      <c r="F2405" t="s">
        <v>304</v>
      </c>
      <c r="G2405" t="s">
        <v>9</v>
      </c>
      <c r="H2405">
        <v>2485.0</v>
      </c>
      <c r="I2405" t="s">
        <v>31</v>
      </c>
      <c r="J2405" t="s">
        <v>70</v>
      </c>
      <c r="K2405" t="s">
        <v>71</v>
      </c>
      <c r="L2405" t="s">
        <v>72</v>
      </c>
      <c r="M2405">
        <v>223.31</v>
      </c>
    </row>
    <row r="2406">
      <c r="A2406" s="2">
        <v>45841</v>
      </c>
      <c r="B2406">
        <v>2026.0</v>
      </c>
      <c r="C2406" t="s">
        <v>321</v>
      </c>
      <c r="D2406" t="s">
        <v>316</v>
      </c>
      <c r="E2406" t="s">
        <v>105</v>
      </c>
      <c r="F2406" t="s">
        <v>304</v>
      </c>
      <c r="G2406" t="s">
        <v>9</v>
      </c>
      <c r="H2406">
        <v>2541.0</v>
      </c>
      <c r="I2406" t="s">
        <v>31</v>
      </c>
      <c r="J2406" t="s">
        <v>107</v>
      </c>
      <c r="K2406" t="s">
        <v>38</v>
      </c>
      <c r="L2406" t="s">
        <v>39</v>
      </c>
      <c r="M2406">
        <v>223.63</v>
      </c>
    </row>
    <row r="2407">
      <c r="A2407" s="2">
        <v>45777</v>
      </c>
      <c r="B2407">
        <v>2025.0</v>
      </c>
      <c r="C2407" t="s">
        <v>315</v>
      </c>
      <c r="D2407" t="s">
        <v>319</v>
      </c>
      <c r="E2407" t="s">
        <v>118</v>
      </c>
      <c r="F2407" t="s">
        <v>305</v>
      </c>
      <c r="G2407" t="s">
        <v>10</v>
      </c>
      <c r="H2407">
        <v>3076.0</v>
      </c>
      <c r="I2407" t="s">
        <v>31</v>
      </c>
      <c r="J2407" t="s">
        <v>120</v>
      </c>
      <c r="K2407" t="s">
        <v>33</v>
      </c>
      <c r="L2407" t="s">
        <v>34</v>
      </c>
      <c r="M2407">
        <v>223.71</v>
      </c>
    </row>
    <row r="2408">
      <c r="A2408" s="2">
        <v>45740</v>
      </c>
      <c r="B2408">
        <v>2025.0</v>
      </c>
      <c r="C2408" t="s">
        <v>315</v>
      </c>
      <c r="D2408" t="s">
        <v>319</v>
      </c>
      <c r="E2408" t="s">
        <v>40</v>
      </c>
      <c r="F2408" t="s">
        <v>308</v>
      </c>
      <c r="G2408" t="s">
        <v>13</v>
      </c>
      <c r="H2408">
        <v>5011.0</v>
      </c>
      <c r="I2408" t="s">
        <v>31</v>
      </c>
      <c r="J2408" t="s">
        <v>42</v>
      </c>
      <c r="K2408" t="s">
        <v>46</v>
      </c>
      <c r="L2408" t="s">
        <v>47</v>
      </c>
      <c r="M2408">
        <v>223.72</v>
      </c>
    </row>
    <row r="2409">
      <c r="A2409" s="2">
        <v>45532</v>
      </c>
      <c r="B2409">
        <v>2025.0</v>
      </c>
      <c r="C2409" t="s">
        <v>315</v>
      </c>
      <c r="D2409" t="s">
        <v>319</v>
      </c>
      <c r="E2409" t="s">
        <v>264</v>
      </c>
      <c r="F2409" t="s">
        <v>308</v>
      </c>
      <c r="G2409" t="s">
        <v>13</v>
      </c>
      <c r="H2409">
        <v>5043.0</v>
      </c>
      <c r="I2409" t="s">
        <v>31</v>
      </c>
      <c r="J2409" t="s">
        <v>42</v>
      </c>
      <c r="K2409" t="s">
        <v>71</v>
      </c>
      <c r="L2409" t="s">
        <v>72</v>
      </c>
      <c r="M2409">
        <v>224.14</v>
      </c>
    </row>
    <row r="2410">
      <c r="A2410" s="2">
        <v>45483</v>
      </c>
      <c r="B2410">
        <v>2025.0</v>
      </c>
      <c r="C2410" t="s">
        <v>315</v>
      </c>
      <c r="D2410" t="s">
        <v>316</v>
      </c>
      <c r="E2410" t="s">
        <v>100</v>
      </c>
      <c r="F2410" t="s">
        <v>307</v>
      </c>
      <c r="G2410" t="s">
        <v>12</v>
      </c>
      <c r="H2410">
        <v>6010.0</v>
      </c>
      <c r="I2410" t="s">
        <v>31</v>
      </c>
      <c r="J2410" t="s">
        <v>102</v>
      </c>
      <c r="K2410" t="s">
        <v>46</v>
      </c>
      <c r="L2410" t="s">
        <v>47</v>
      </c>
      <c r="M2410">
        <v>224.54</v>
      </c>
    </row>
    <row r="2411">
      <c r="A2411" s="2">
        <v>45723</v>
      </c>
      <c r="B2411">
        <v>2025.0</v>
      </c>
      <c r="C2411" t="s">
        <v>315</v>
      </c>
      <c r="D2411" t="s">
        <v>316</v>
      </c>
      <c r="E2411" t="s">
        <v>215</v>
      </c>
      <c r="F2411" t="s">
        <v>310</v>
      </c>
      <c r="G2411" t="s">
        <v>15</v>
      </c>
      <c r="H2411">
        <v>7320.0</v>
      </c>
      <c r="I2411" t="s">
        <v>31</v>
      </c>
      <c r="J2411" t="s">
        <v>53</v>
      </c>
      <c r="K2411" t="s">
        <v>95</v>
      </c>
      <c r="L2411" t="s">
        <v>96</v>
      </c>
      <c r="M2411">
        <v>224.79999999999998</v>
      </c>
    </row>
    <row r="2412">
      <c r="A2412" s="2">
        <v>45960</v>
      </c>
      <c r="B2412">
        <v>2026.0</v>
      </c>
      <c r="C2412" t="s">
        <v>321</v>
      </c>
      <c r="D2412" t="s">
        <v>319</v>
      </c>
      <c r="E2412" t="s">
        <v>163</v>
      </c>
      <c r="F2412" t="s">
        <v>304</v>
      </c>
      <c r="G2412" t="s">
        <v>9</v>
      </c>
      <c r="H2412">
        <v>2154.0</v>
      </c>
      <c r="I2412" t="s">
        <v>31</v>
      </c>
      <c r="J2412" t="s">
        <v>81</v>
      </c>
      <c r="K2412" t="s">
        <v>46</v>
      </c>
      <c r="L2412" t="s">
        <v>47</v>
      </c>
      <c r="M2412">
        <v>224.8</v>
      </c>
    </row>
    <row r="2413">
      <c r="A2413" s="2">
        <v>45666</v>
      </c>
      <c r="B2413">
        <v>2025.0</v>
      </c>
      <c r="C2413" t="s">
        <v>315</v>
      </c>
      <c r="D2413" t="s">
        <v>319</v>
      </c>
      <c r="E2413" t="s">
        <v>240</v>
      </c>
      <c r="F2413" t="s">
        <v>310</v>
      </c>
      <c r="G2413" t="s">
        <v>15</v>
      </c>
      <c r="H2413">
        <v>7010.0</v>
      </c>
      <c r="I2413" t="s">
        <v>31</v>
      </c>
      <c r="J2413" t="s">
        <v>53</v>
      </c>
      <c r="K2413" t="s">
        <v>57</v>
      </c>
      <c r="L2413" t="s">
        <v>58</v>
      </c>
      <c r="M2413">
        <v>224.85</v>
      </c>
    </row>
    <row r="2414">
      <c r="A2414" s="2">
        <v>45835</v>
      </c>
      <c r="B2414">
        <v>2025.0</v>
      </c>
      <c r="C2414" t="s">
        <v>315</v>
      </c>
      <c r="D2414" t="s">
        <v>319</v>
      </c>
      <c r="E2414" t="s">
        <v>207</v>
      </c>
      <c r="F2414" t="s">
        <v>306</v>
      </c>
      <c r="G2414" t="s">
        <v>11</v>
      </c>
      <c r="H2414">
        <v>4825.0</v>
      </c>
      <c r="I2414" t="s">
        <v>31</v>
      </c>
      <c r="J2414" t="s">
        <v>78</v>
      </c>
      <c r="K2414" t="s">
        <v>71</v>
      </c>
      <c r="L2414" t="s">
        <v>72</v>
      </c>
      <c r="M2414">
        <v>224.89</v>
      </c>
    </row>
    <row r="2415">
      <c r="A2415" s="2">
        <v>45981</v>
      </c>
      <c r="B2415">
        <v>2026.0</v>
      </c>
      <c r="C2415" t="s">
        <v>321</v>
      </c>
      <c r="D2415" t="s">
        <v>319</v>
      </c>
      <c r="E2415" t="s">
        <v>62</v>
      </c>
      <c r="F2415" t="s">
        <v>307</v>
      </c>
      <c r="G2415" t="s">
        <v>12</v>
      </c>
      <c r="H2415">
        <v>6530.0</v>
      </c>
      <c r="I2415" t="s">
        <v>31</v>
      </c>
      <c r="J2415" t="s">
        <v>50</v>
      </c>
      <c r="K2415" t="s">
        <v>38</v>
      </c>
      <c r="L2415" t="s">
        <v>39</v>
      </c>
      <c r="M2415">
        <v>224.95</v>
      </c>
    </row>
    <row r="2416">
      <c r="A2416" s="2">
        <v>45717</v>
      </c>
      <c r="B2416">
        <v>2025.0</v>
      </c>
      <c r="C2416" t="s">
        <v>315</v>
      </c>
      <c r="D2416" t="s">
        <v>316</v>
      </c>
      <c r="E2416" t="s">
        <v>105</v>
      </c>
      <c r="F2416" t="s">
        <v>304</v>
      </c>
      <c r="G2416" t="s">
        <v>9</v>
      </c>
      <c r="H2416">
        <v>2541.0</v>
      </c>
      <c r="I2416" t="s">
        <v>31</v>
      </c>
      <c r="J2416" t="s">
        <v>107</v>
      </c>
      <c r="K2416" t="s">
        <v>123</v>
      </c>
      <c r="L2416" t="s">
        <v>124</v>
      </c>
      <c r="M2416">
        <v>225.73</v>
      </c>
    </row>
    <row r="2417">
      <c r="A2417" s="2">
        <v>45976</v>
      </c>
      <c r="B2417">
        <v>2026.0</v>
      </c>
      <c r="C2417" t="s">
        <v>321</v>
      </c>
      <c r="D2417" t="s">
        <v>316</v>
      </c>
      <c r="E2417" t="s">
        <v>87</v>
      </c>
      <c r="F2417" t="s">
        <v>305</v>
      </c>
      <c r="G2417" t="s">
        <v>10</v>
      </c>
      <c r="H2417">
        <v>3148.0</v>
      </c>
      <c r="I2417" t="s">
        <v>31</v>
      </c>
      <c r="J2417" t="s">
        <v>89</v>
      </c>
      <c r="K2417" t="s">
        <v>33</v>
      </c>
      <c r="L2417" t="s">
        <v>34</v>
      </c>
      <c r="M2417">
        <v>226.2</v>
      </c>
    </row>
    <row r="2418">
      <c r="A2418" s="2">
        <v>45478</v>
      </c>
      <c r="B2418">
        <v>2025.0</v>
      </c>
      <c r="C2418" t="s">
        <v>315</v>
      </c>
      <c r="D2418" t="s">
        <v>316</v>
      </c>
      <c r="E2418" t="s">
        <v>225</v>
      </c>
      <c r="F2418" t="s">
        <v>308</v>
      </c>
      <c r="G2418" t="s">
        <v>13</v>
      </c>
      <c r="H2418">
        <v>5607.0</v>
      </c>
      <c r="I2418" t="s">
        <v>31</v>
      </c>
      <c r="J2418" t="s">
        <v>227</v>
      </c>
      <c r="K2418" t="s">
        <v>123</v>
      </c>
      <c r="L2418" t="s">
        <v>124</v>
      </c>
      <c r="M2418">
        <v>226.42</v>
      </c>
    </row>
    <row r="2419">
      <c r="A2419" s="2">
        <v>45607</v>
      </c>
      <c r="B2419">
        <v>2025.0</v>
      </c>
      <c r="C2419" t="s">
        <v>315</v>
      </c>
      <c r="D2419" t="s">
        <v>319</v>
      </c>
      <c r="E2419" t="s">
        <v>228</v>
      </c>
      <c r="F2419" t="s">
        <v>306</v>
      </c>
      <c r="G2419" t="s">
        <v>11</v>
      </c>
      <c r="H2419">
        <v>4680.0</v>
      </c>
      <c r="I2419" t="s">
        <v>31</v>
      </c>
      <c r="J2419" t="s">
        <v>32</v>
      </c>
      <c r="K2419" t="s">
        <v>112</v>
      </c>
      <c r="L2419" t="s">
        <v>113</v>
      </c>
      <c r="M2419">
        <v>226.63</v>
      </c>
    </row>
    <row r="2420">
      <c r="A2420" s="2">
        <v>45666</v>
      </c>
      <c r="B2420">
        <v>2025.0</v>
      </c>
      <c r="C2420" t="s">
        <v>315</v>
      </c>
      <c r="D2420" t="s">
        <v>316</v>
      </c>
      <c r="E2420" t="s">
        <v>133</v>
      </c>
      <c r="F2420" t="s">
        <v>305</v>
      </c>
      <c r="G2420" t="s">
        <v>10</v>
      </c>
      <c r="H2420">
        <v>3429.0</v>
      </c>
      <c r="I2420" t="s">
        <v>31</v>
      </c>
      <c r="J2420" t="s">
        <v>37</v>
      </c>
      <c r="K2420" t="s">
        <v>71</v>
      </c>
      <c r="L2420" t="s">
        <v>72</v>
      </c>
      <c r="M2420">
        <v>226.67000000000002</v>
      </c>
    </row>
    <row r="2421">
      <c r="A2421" s="2">
        <v>45638</v>
      </c>
      <c r="B2421">
        <v>2025.0</v>
      </c>
      <c r="C2421" t="s">
        <v>315</v>
      </c>
      <c r="D2421" t="s">
        <v>319</v>
      </c>
      <c r="E2421" t="s">
        <v>181</v>
      </c>
      <c r="F2421" t="s">
        <v>306</v>
      </c>
      <c r="G2421" t="s">
        <v>11</v>
      </c>
      <c r="H2421">
        <v>4119.0</v>
      </c>
      <c r="I2421" t="s">
        <v>31</v>
      </c>
      <c r="J2421" t="s">
        <v>56</v>
      </c>
      <c r="K2421" t="s">
        <v>38</v>
      </c>
      <c r="L2421" t="s">
        <v>39</v>
      </c>
      <c r="M2421">
        <v>228.73</v>
      </c>
    </row>
    <row r="2422">
      <c r="A2422" s="2">
        <v>45839</v>
      </c>
      <c r="B2422">
        <v>2026.0</v>
      </c>
      <c r="C2422" t="s">
        <v>321</v>
      </c>
      <c r="D2422" t="s">
        <v>316</v>
      </c>
      <c r="E2422" t="s">
        <v>225</v>
      </c>
      <c r="F2422" t="s">
        <v>308</v>
      </c>
      <c r="G2422" t="s">
        <v>13</v>
      </c>
      <c r="H2422">
        <v>5607.0</v>
      </c>
      <c r="I2422" t="s">
        <v>31</v>
      </c>
      <c r="J2422" t="s">
        <v>227</v>
      </c>
      <c r="K2422" t="s">
        <v>71</v>
      </c>
      <c r="L2422" t="s">
        <v>72</v>
      </c>
      <c r="M2422">
        <v>228.76999999999998</v>
      </c>
    </row>
    <row r="2423">
      <c r="A2423" s="2">
        <v>45663</v>
      </c>
      <c r="B2423">
        <v>2025.0</v>
      </c>
      <c r="C2423" t="s">
        <v>315</v>
      </c>
      <c r="D2423" t="s">
        <v>316</v>
      </c>
      <c r="E2423" t="s">
        <v>244</v>
      </c>
      <c r="F2423" t="s">
        <v>308</v>
      </c>
      <c r="G2423" t="s">
        <v>13</v>
      </c>
      <c r="H2423">
        <v>5168.0</v>
      </c>
      <c r="I2423" t="s">
        <v>31</v>
      </c>
      <c r="J2423" t="s">
        <v>42</v>
      </c>
      <c r="K2423" t="s">
        <v>33</v>
      </c>
      <c r="L2423" t="s">
        <v>34</v>
      </c>
      <c r="M2423">
        <v>228.95</v>
      </c>
    </row>
    <row r="2424">
      <c r="A2424" s="2">
        <v>45859</v>
      </c>
      <c r="B2424">
        <v>2026.0</v>
      </c>
      <c r="C2424" t="s">
        <v>321</v>
      </c>
      <c r="D2424" t="s">
        <v>316</v>
      </c>
      <c r="E2424" t="s">
        <v>262</v>
      </c>
      <c r="F2424" t="s">
        <v>305</v>
      </c>
      <c r="G2424" t="s">
        <v>10</v>
      </c>
      <c r="H2424">
        <v>3018.0</v>
      </c>
      <c r="I2424" t="s">
        <v>31</v>
      </c>
      <c r="J2424" t="s">
        <v>120</v>
      </c>
      <c r="K2424" t="s">
        <v>66</v>
      </c>
      <c r="L2424" t="s">
        <v>67</v>
      </c>
      <c r="M2424">
        <v>229.38</v>
      </c>
    </row>
    <row r="2425">
      <c r="A2425" s="2">
        <v>45841</v>
      </c>
      <c r="B2425">
        <v>2026.0</v>
      </c>
      <c r="C2425" t="s">
        <v>321</v>
      </c>
      <c r="D2425" t="s">
        <v>316</v>
      </c>
      <c r="E2425" t="s">
        <v>230</v>
      </c>
      <c r="F2425" t="s">
        <v>308</v>
      </c>
      <c r="G2425" t="s">
        <v>13</v>
      </c>
      <c r="H2425">
        <v>5290.0</v>
      </c>
      <c r="I2425" t="s">
        <v>31</v>
      </c>
      <c r="J2425" t="s">
        <v>227</v>
      </c>
      <c r="K2425" t="s">
        <v>123</v>
      </c>
      <c r="L2425" t="s">
        <v>124</v>
      </c>
      <c r="M2425">
        <v>229.4</v>
      </c>
    </row>
    <row r="2426">
      <c r="A2426" s="2">
        <v>45988</v>
      </c>
      <c r="B2426">
        <v>2026.0</v>
      </c>
      <c r="C2426" t="s">
        <v>321</v>
      </c>
      <c r="D2426" t="s">
        <v>316</v>
      </c>
      <c r="E2426" t="s">
        <v>169</v>
      </c>
      <c r="F2426" t="s">
        <v>307</v>
      </c>
      <c r="G2426" t="s">
        <v>12</v>
      </c>
      <c r="H2426">
        <v>6027.0</v>
      </c>
      <c r="I2426" t="s">
        <v>31</v>
      </c>
      <c r="J2426" t="s">
        <v>102</v>
      </c>
      <c r="K2426" t="s">
        <v>33</v>
      </c>
      <c r="L2426" t="s">
        <v>34</v>
      </c>
      <c r="M2426">
        <v>229.40000000000003</v>
      </c>
    </row>
    <row r="2427">
      <c r="A2427" s="2">
        <v>45339</v>
      </c>
      <c r="B2427">
        <v>2024.0</v>
      </c>
      <c r="C2427" t="s">
        <v>318</v>
      </c>
      <c r="D2427" t="s">
        <v>316</v>
      </c>
      <c r="E2427" t="s">
        <v>64</v>
      </c>
      <c r="F2427" t="s">
        <v>306</v>
      </c>
      <c r="G2427" t="s">
        <v>11</v>
      </c>
      <c r="H2427">
        <v>4215.0</v>
      </c>
      <c r="I2427" t="s">
        <v>31</v>
      </c>
      <c r="J2427" t="s">
        <v>61</v>
      </c>
      <c r="K2427" t="s">
        <v>71</v>
      </c>
      <c r="L2427" t="s">
        <v>72</v>
      </c>
      <c r="M2427">
        <v>229.63</v>
      </c>
    </row>
    <row r="2428">
      <c r="A2428" s="2">
        <v>45581</v>
      </c>
      <c r="B2428">
        <v>2025.0</v>
      </c>
      <c r="C2428" t="s">
        <v>315</v>
      </c>
      <c r="D2428" t="s">
        <v>316</v>
      </c>
      <c r="E2428" t="s">
        <v>191</v>
      </c>
      <c r="F2428" t="s">
        <v>305</v>
      </c>
      <c r="G2428" t="s">
        <v>10</v>
      </c>
      <c r="H2428">
        <v>3030.0</v>
      </c>
      <c r="I2428" t="s">
        <v>31</v>
      </c>
      <c r="J2428" t="s">
        <v>120</v>
      </c>
      <c r="K2428" t="s">
        <v>123</v>
      </c>
      <c r="L2428" t="s">
        <v>124</v>
      </c>
      <c r="M2428">
        <v>230.62999999999997</v>
      </c>
    </row>
    <row r="2429">
      <c r="A2429" s="2">
        <v>45749</v>
      </c>
      <c r="B2429">
        <v>2025.0</v>
      </c>
      <c r="C2429" t="s">
        <v>315</v>
      </c>
      <c r="D2429" t="s">
        <v>319</v>
      </c>
      <c r="E2429" t="s">
        <v>181</v>
      </c>
      <c r="F2429" t="s">
        <v>306</v>
      </c>
      <c r="G2429" t="s">
        <v>11</v>
      </c>
      <c r="H2429">
        <v>4119.0</v>
      </c>
      <c r="I2429" t="s">
        <v>31</v>
      </c>
      <c r="J2429" t="s">
        <v>56</v>
      </c>
      <c r="K2429" t="s">
        <v>95</v>
      </c>
      <c r="L2429" t="s">
        <v>96</v>
      </c>
      <c r="M2429">
        <v>230.93999999999997</v>
      </c>
    </row>
    <row r="2430">
      <c r="A2430" s="2">
        <v>45521</v>
      </c>
      <c r="B2430">
        <v>2025.0</v>
      </c>
      <c r="C2430" t="s">
        <v>315</v>
      </c>
      <c r="D2430" t="s">
        <v>316</v>
      </c>
      <c r="E2430" t="s">
        <v>167</v>
      </c>
      <c r="F2430" t="s">
        <v>307</v>
      </c>
      <c r="G2430" t="s">
        <v>12</v>
      </c>
      <c r="H2430">
        <v>6030.0</v>
      </c>
      <c r="I2430" t="s">
        <v>31</v>
      </c>
      <c r="J2430" t="s">
        <v>102</v>
      </c>
      <c r="K2430" t="s">
        <v>71</v>
      </c>
      <c r="L2430" t="s">
        <v>72</v>
      </c>
      <c r="M2430">
        <v>231.04</v>
      </c>
    </row>
    <row r="2431">
      <c r="A2431" s="2">
        <v>45299</v>
      </c>
      <c r="B2431">
        <v>2024.0</v>
      </c>
      <c r="C2431" t="s">
        <v>318</v>
      </c>
      <c r="D2431" t="s">
        <v>316</v>
      </c>
      <c r="E2431" t="s">
        <v>133</v>
      </c>
      <c r="F2431" t="s">
        <v>305</v>
      </c>
      <c r="G2431" t="s">
        <v>10</v>
      </c>
      <c r="H2431">
        <v>3429.0</v>
      </c>
      <c r="I2431" t="s">
        <v>31</v>
      </c>
      <c r="J2431" t="s">
        <v>37</v>
      </c>
      <c r="K2431" t="s">
        <v>123</v>
      </c>
      <c r="L2431" t="s">
        <v>124</v>
      </c>
      <c r="M2431">
        <v>231.19</v>
      </c>
    </row>
    <row r="2432">
      <c r="A2432" s="2">
        <v>45486</v>
      </c>
      <c r="B2432">
        <v>2025.0</v>
      </c>
      <c r="C2432" t="s">
        <v>315</v>
      </c>
      <c r="D2432" t="s">
        <v>316</v>
      </c>
      <c r="E2432" t="s">
        <v>248</v>
      </c>
      <c r="F2432" t="s">
        <v>307</v>
      </c>
      <c r="G2432" t="s">
        <v>12</v>
      </c>
      <c r="H2432">
        <v>6112.0</v>
      </c>
      <c r="I2432" t="s">
        <v>31</v>
      </c>
      <c r="J2432" t="s">
        <v>162</v>
      </c>
      <c r="K2432" t="s">
        <v>95</v>
      </c>
      <c r="L2432" t="s">
        <v>96</v>
      </c>
      <c r="M2432">
        <v>231.23</v>
      </c>
    </row>
    <row r="2433">
      <c r="A2433" s="2">
        <v>45872</v>
      </c>
      <c r="B2433">
        <v>2026.0</v>
      </c>
      <c r="C2433" t="s">
        <v>321</v>
      </c>
      <c r="D2433" t="s">
        <v>319</v>
      </c>
      <c r="E2433" t="s">
        <v>264</v>
      </c>
      <c r="F2433" t="s">
        <v>308</v>
      </c>
      <c r="G2433" t="s">
        <v>13</v>
      </c>
      <c r="H2433">
        <v>5043.0</v>
      </c>
      <c r="I2433" t="s">
        <v>31</v>
      </c>
      <c r="J2433" t="s">
        <v>42</v>
      </c>
      <c r="K2433" t="s">
        <v>112</v>
      </c>
      <c r="L2433" t="s">
        <v>113</v>
      </c>
      <c r="M2433">
        <v>231.54</v>
      </c>
    </row>
    <row r="2434">
      <c r="A2434" s="2">
        <v>45987</v>
      </c>
      <c r="B2434">
        <v>2026.0</v>
      </c>
      <c r="C2434" t="s">
        <v>321</v>
      </c>
      <c r="D2434" t="s">
        <v>319</v>
      </c>
      <c r="E2434" t="s">
        <v>213</v>
      </c>
      <c r="F2434" t="s">
        <v>306</v>
      </c>
      <c r="G2434" t="s">
        <v>11</v>
      </c>
      <c r="H2434">
        <v>4740.0</v>
      </c>
      <c r="I2434" t="s">
        <v>31</v>
      </c>
      <c r="J2434" t="s">
        <v>32</v>
      </c>
      <c r="K2434" t="s">
        <v>33</v>
      </c>
      <c r="L2434" t="s">
        <v>34</v>
      </c>
      <c r="M2434">
        <v>231.64000000000001</v>
      </c>
    </row>
    <row r="2435">
      <c r="A2435" s="2">
        <v>45715</v>
      </c>
      <c r="B2435">
        <v>2025.0</v>
      </c>
      <c r="C2435" t="s">
        <v>315</v>
      </c>
      <c r="D2435" t="s">
        <v>316</v>
      </c>
      <c r="E2435" t="s">
        <v>264</v>
      </c>
      <c r="F2435" t="s">
        <v>308</v>
      </c>
      <c r="G2435" t="s">
        <v>13</v>
      </c>
      <c r="H2435">
        <v>5043.0</v>
      </c>
      <c r="I2435" t="s">
        <v>31</v>
      </c>
      <c r="J2435" t="s">
        <v>42</v>
      </c>
      <c r="K2435" t="s">
        <v>43</v>
      </c>
      <c r="L2435" t="s">
        <v>44</v>
      </c>
      <c r="M2435">
        <v>231.76000000000002</v>
      </c>
    </row>
    <row r="2436">
      <c r="A2436" s="2">
        <v>45471</v>
      </c>
      <c r="B2436">
        <v>2024.0</v>
      </c>
      <c r="C2436" t="s">
        <v>318</v>
      </c>
      <c r="D2436" t="s">
        <v>319</v>
      </c>
      <c r="E2436" t="s">
        <v>118</v>
      </c>
      <c r="F2436" t="s">
        <v>305</v>
      </c>
      <c r="G2436" t="s">
        <v>10</v>
      </c>
      <c r="H2436">
        <v>3076.0</v>
      </c>
      <c r="I2436" t="s">
        <v>31</v>
      </c>
      <c r="J2436" t="s">
        <v>120</v>
      </c>
      <c r="K2436" t="s">
        <v>38</v>
      </c>
      <c r="L2436" t="s">
        <v>39</v>
      </c>
      <c r="M2436">
        <v>232.06</v>
      </c>
    </row>
    <row r="2437">
      <c r="A2437" s="2">
        <v>45518</v>
      </c>
      <c r="B2437">
        <v>2025.0</v>
      </c>
      <c r="C2437" t="s">
        <v>315</v>
      </c>
      <c r="D2437" t="s">
        <v>316</v>
      </c>
      <c r="E2437" t="s">
        <v>175</v>
      </c>
      <c r="F2437" t="s">
        <v>311</v>
      </c>
      <c r="G2437" t="s">
        <v>16</v>
      </c>
      <c r="H2437">
        <v>2617.0</v>
      </c>
      <c r="I2437" t="s">
        <v>31</v>
      </c>
      <c r="J2437" t="s">
        <v>107</v>
      </c>
      <c r="K2437" t="s">
        <v>123</v>
      </c>
      <c r="L2437" t="s">
        <v>124</v>
      </c>
      <c r="M2437">
        <v>232.54999999999995</v>
      </c>
    </row>
    <row r="2438">
      <c r="A2438" s="2">
        <v>45681</v>
      </c>
      <c r="B2438">
        <v>2025.0</v>
      </c>
      <c r="C2438" t="s">
        <v>315</v>
      </c>
      <c r="D2438" t="s">
        <v>316</v>
      </c>
      <c r="E2438" t="s">
        <v>100</v>
      </c>
      <c r="F2438" t="s">
        <v>307</v>
      </c>
      <c r="G2438" t="s">
        <v>12</v>
      </c>
      <c r="H2438">
        <v>6010.0</v>
      </c>
      <c r="I2438" t="s">
        <v>31</v>
      </c>
      <c r="J2438" t="s">
        <v>102</v>
      </c>
      <c r="K2438" t="s">
        <v>95</v>
      </c>
      <c r="L2438" t="s">
        <v>96</v>
      </c>
      <c r="M2438">
        <v>232.67000000000002</v>
      </c>
    </row>
    <row r="2439">
      <c r="A2439" s="2">
        <v>45504</v>
      </c>
      <c r="B2439">
        <v>2025.0</v>
      </c>
      <c r="C2439" t="s">
        <v>315</v>
      </c>
      <c r="D2439" t="s">
        <v>319</v>
      </c>
      <c r="E2439" t="s">
        <v>230</v>
      </c>
      <c r="F2439" t="s">
        <v>308</v>
      </c>
      <c r="G2439" t="s">
        <v>13</v>
      </c>
      <c r="H2439">
        <v>5290.0</v>
      </c>
      <c r="I2439" t="s">
        <v>31</v>
      </c>
      <c r="J2439" t="s">
        <v>227</v>
      </c>
      <c r="K2439" t="s">
        <v>95</v>
      </c>
      <c r="L2439" t="s">
        <v>96</v>
      </c>
      <c r="M2439">
        <v>232.78</v>
      </c>
    </row>
    <row r="2440">
      <c r="A2440" s="2">
        <v>45957</v>
      </c>
      <c r="B2440">
        <v>2026.0</v>
      </c>
      <c r="C2440" t="s">
        <v>321</v>
      </c>
      <c r="D2440" t="s">
        <v>319</v>
      </c>
      <c r="E2440" t="s">
        <v>148</v>
      </c>
      <c r="F2440" t="s">
        <v>307</v>
      </c>
      <c r="G2440" t="s">
        <v>12</v>
      </c>
      <c r="H2440">
        <v>6450.0</v>
      </c>
      <c r="I2440" t="s">
        <v>31</v>
      </c>
      <c r="J2440" t="s">
        <v>50</v>
      </c>
      <c r="K2440" t="s">
        <v>33</v>
      </c>
      <c r="L2440" t="s">
        <v>34</v>
      </c>
      <c r="M2440">
        <v>232.91000000000003</v>
      </c>
    </row>
    <row r="2441">
      <c r="A2441" s="2">
        <v>46018</v>
      </c>
      <c r="B2441">
        <v>2026.0</v>
      </c>
      <c r="C2441" t="s">
        <v>321</v>
      </c>
      <c r="D2441" t="s">
        <v>316</v>
      </c>
      <c r="E2441" t="s">
        <v>234</v>
      </c>
      <c r="F2441" t="s">
        <v>304</v>
      </c>
      <c r="G2441" t="s">
        <v>9</v>
      </c>
      <c r="H2441">
        <v>2158.0</v>
      </c>
      <c r="I2441" t="s">
        <v>31</v>
      </c>
      <c r="J2441" t="s">
        <v>81</v>
      </c>
      <c r="K2441" t="s">
        <v>112</v>
      </c>
      <c r="L2441" t="s">
        <v>113</v>
      </c>
      <c r="M2441">
        <v>233.18</v>
      </c>
    </row>
    <row r="2442">
      <c r="A2442" s="2">
        <v>45564</v>
      </c>
      <c r="B2442">
        <v>2025.0</v>
      </c>
      <c r="C2442" t="s">
        <v>315</v>
      </c>
      <c r="D2442" t="s">
        <v>316</v>
      </c>
      <c r="E2442" t="s">
        <v>193</v>
      </c>
      <c r="F2442" t="s">
        <v>304</v>
      </c>
      <c r="G2442" t="s">
        <v>9</v>
      </c>
      <c r="H2442">
        <v>2020.0</v>
      </c>
      <c r="I2442" t="s">
        <v>31</v>
      </c>
      <c r="J2442" t="s">
        <v>99</v>
      </c>
      <c r="K2442" t="s">
        <v>43</v>
      </c>
      <c r="L2442" t="s">
        <v>44</v>
      </c>
      <c r="M2442">
        <v>233.82999999999998</v>
      </c>
    </row>
    <row r="2443">
      <c r="A2443" s="2">
        <v>45558</v>
      </c>
      <c r="B2443">
        <v>2025.0</v>
      </c>
      <c r="C2443" t="s">
        <v>315</v>
      </c>
      <c r="D2443" t="s">
        <v>316</v>
      </c>
      <c r="E2443" t="s">
        <v>143</v>
      </c>
      <c r="F2443" t="s">
        <v>309</v>
      </c>
      <c r="G2443" t="s">
        <v>14</v>
      </c>
      <c r="H2443">
        <v>800.0</v>
      </c>
      <c r="I2443" t="s">
        <v>31</v>
      </c>
      <c r="J2443" t="s">
        <v>145</v>
      </c>
      <c r="K2443" t="s">
        <v>57</v>
      </c>
      <c r="L2443" t="s">
        <v>58</v>
      </c>
      <c r="M2443">
        <v>233.93</v>
      </c>
    </row>
    <row r="2444">
      <c r="A2444" s="2">
        <v>45322</v>
      </c>
      <c r="B2444">
        <v>2024.0</v>
      </c>
      <c r="C2444" t="s">
        <v>318</v>
      </c>
      <c r="D2444" t="s">
        <v>319</v>
      </c>
      <c r="E2444" t="s">
        <v>146</v>
      </c>
      <c r="F2444" t="s">
        <v>304</v>
      </c>
      <c r="G2444" t="s">
        <v>9</v>
      </c>
      <c r="H2444">
        <v>2790.0</v>
      </c>
      <c r="I2444" t="s">
        <v>31</v>
      </c>
      <c r="J2444" t="s">
        <v>75</v>
      </c>
      <c r="K2444" t="s">
        <v>112</v>
      </c>
      <c r="L2444" t="s">
        <v>113</v>
      </c>
      <c r="M2444">
        <v>234.14</v>
      </c>
    </row>
    <row r="2445">
      <c r="A2445" s="2">
        <v>46005</v>
      </c>
      <c r="B2445">
        <v>2026.0</v>
      </c>
      <c r="C2445" t="s">
        <v>321</v>
      </c>
      <c r="D2445" t="s">
        <v>316</v>
      </c>
      <c r="E2445" t="s">
        <v>201</v>
      </c>
      <c r="F2445" t="s">
        <v>305</v>
      </c>
      <c r="G2445" t="s">
        <v>10</v>
      </c>
      <c r="H2445">
        <v>3131.0</v>
      </c>
      <c r="I2445" t="s">
        <v>31</v>
      </c>
      <c r="J2445" t="s">
        <v>89</v>
      </c>
      <c r="K2445" t="s">
        <v>95</v>
      </c>
      <c r="L2445" t="s">
        <v>96</v>
      </c>
      <c r="M2445">
        <v>234.53</v>
      </c>
    </row>
    <row r="2446">
      <c r="A2446" s="2">
        <v>45813</v>
      </c>
      <c r="B2446">
        <v>2025.0</v>
      </c>
      <c r="C2446" t="s">
        <v>315</v>
      </c>
      <c r="D2446" t="s">
        <v>316</v>
      </c>
      <c r="E2446" t="s">
        <v>79</v>
      </c>
      <c r="F2446" t="s">
        <v>304</v>
      </c>
      <c r="G2446" t="s">
        <v>9</v>
      </c>
      <c r="H2446">
        <v>2141.0</v>
      </c>
      <c r="I2446" t="s">
        <v>31</v>
      </c>
      <c r="J2446" t="s">
        <v>81</v>
      </c>
      <c r="K2446" t="s">
        <v>95</v>
      </c>
      <c r="L2446" t="s">
        <v>96</v>
      </c>
      <c r="M2446">
        <v>234.54</v>
      </c>
    </row>
    <row r="2447">
      <c r="A2447" s="2">
        <v>45787</v>
      </c>
      <c r="B2447">
        <v>2025.0</v>
      </c>
      <c r="C2447" t="s">
        <v>315</v>
      </c>
      <c r="D2447" t="s">
        <v>319</v>
      </c>
      <c r="E2447" t="s">
        <v>108</v>
      </c>
      <c r="F2447" t="s">
        <v>304</v>
      </c>
      <c r="G2447" t="s">
        <v>9</v>
      </c>
      <c r="H2447">
        <v>2795.0</v>
      </c>
      <c r="I2447" t="s">
        <v>31</v>
      </c>
      <c r="J2447" t="s">
        <v>75</v>
      </c>
      <c r="K2447" t="s">
        <v>43</v>
      </c>
      <c r="L2447" t="s">
        <v>44</v>
      </c>
      <c r="M2447">
        <v>234.68</v>
      </c>
    </row>
    <row r="2448">
      <c r="A2448" s="2">
        <v>45703</v>
      </c>
      <c r="B2448">
        <v>2025.0</v>
      </c>
      <c r="C2448" t="s">
        <v>315</v>
      </c>
      <c r="D2448" t="s">
        <v>316</v>
      </c>
      <c r="E2448" t="s">
        <v>256</v>
      </c>
      <c r="F2448" t="s">
        <v>304</v>
      </c>
      <c r="G2448" t="s">
        <v>9</v>
      </c>
      <c r="H2448">
        <v>2350.0</v>
      </c>
      <c r="I2448" t="s">
        <v>31</v>
      </c>
      <c r="J2448" t="s">
        <v>70</v>
      </c>
      <c r="K2448" t="s">
        <v>112</v>
      </c>
      <c r="L2448" t="s">
        <v>113</v>
      </c>
      <c r="M2448">
        <v>234.90999999999997</v>
      </c>
    </row>
    <row r="2449">
      <c r="A2449" s="2">
        <v>45831</v>
      </c>
      <c r="B2449">
        <v>2025.0</v>
      </c>
      <c r="C2449" t="s">
        <v>315</v>
      </c>
      <c r="D2449" t="s">
        <v>319</v>
      </c>
      <c r="E2449" t="s">
        <v>146</v>
      </c>
      <c r="F2449" t="s">
        <v>304</v>
      </c>
      <c r="G2449" t="s">
        <v>9</v>
      </c>
      <c r="H2449">
        <v>2790.0</v>
      </c>
      <c r="I2449" t="s">
        <v>31</v>
      </c>
      <c r="J2449" t="s">
        <v>75</v>
      </c>
      <c r="K2449" t="s">
        <v>71</v>
      </c>
      <c r="L2449" t="s">
        <v>72</v>
      </c>
      <c r="M2449">
        <v>235.48000000000002</v>
      </c>
    </row>
    <row r="2450">
      <c r="A2450" s="2">
        <v>45803</v>
      </c>
      <c r="B2450">
        <v>2025.0</v>
      </c>
      <c r="C2450" t="s">
        <v>315</v>
      </c>
      <c r="D2450" t="s">
        <v>316</v>
      </c>
      <c r="E2450" t="s">
        <v>217</v>
      </c>
      <c r="F2450" t="s">
        <v>305</v>
      </c>
      <c r="G2450" t="s">
        <v>10</v>
      </c>
      <c r="H2450">
        <v>3136.0</v>
      </c>
      <c r="I2450" t="s">
        <v>31</v>
      </c>
      <c r="J2450" t="s">
        <v>89</v>
      </c>
      <c r="K2450" t="s">
        <v>123</v>
      </c>
      <c r="L2450" t="s">
        <v>124</v>
      </c>
      <c r="M2450">
        <v>235.59</v>
      </c>
    </row>
    <row r="2451">
      <c r="A2451" s="2">
        <v>45777</v>
      </c>
      <c r="B2451">
        <v>2025.0</v>
      </c>
      <c r="C2451" t="s">
        <v>315</v>
      </c>
      <c r="D2451" t="s">
        <v>319</v>
      </c>
      <c r="E2451" t="s">
        <v>232</v>
      </c>
      <c r="F2451" t="s">
        <v>304</v>
      </c>
      <c r="G2451" t="s">
        <v>9</v>
      </c>
      <c r="H2451">
        <v>2800.0</v>
      </c>
      <c r="I2451" t="s">
        <v>31</v>
      </c>
      <c r="J2451" t="s">
        <v>75</v>
      </c>
      <c r="K2451" t="s">
        <v>38</v>
      </c>
      <c r="L2451" t="s">
        <v>39</v>
      </c>
      <c r="M2451">
        <v>236.00000000000006</v>
      </c>
    </row>
    <row r="2452">
      <c r="A2452" s="2">
        <v>45682</v>
      </c>
      <c r="B2452">
        <v>2025.0</v>
      </c>
      <c r="C2452" t="s">
        <v>315</v>
      </c>
      <c r="D2452" t="s">
        <v>319</v>
      </c>
      <c r="E2452" t="s">
        <v>85</v>
      </c>
      <c r="F2452" t="s">
        <v>304</v>
      </c>
      <c r="G2452" t="s">
        <v>9</v>
      </c>
      <c r="H2452">
        <v>2120.0</v>
      </c>
      <c r="I2452" t="s">
        <v>31</v>
      </c>
      <c r="J2452" t="s">
        <v>81</v>
      </c>
      <c r="K2452" t="s">
        <v>71</v>
      </c>
      <c r="L2452" t="s">
        <v>72</v>
      </c>
      <c r="M2452">
        <v>236.66000000000003</v>
      </c>
    </row>
    <row r="2453">
      <c r="A2453" s="2">
        <v>45918</v>
      </c>
      <c r="B2453">
        <v>2026.0</v>
      </c>
      <c r="C2453" t="s">
        <v>321</v>
      </c>
      <c r="D2453" t="s">
        <v>316</v>
      </c>
      <c r="E2453" t="s">
        <v>51</v>
      </c>
      <c r="F2453" t="s">
        <v>310</v>
      </c>
      <c r="G2453" t="s">
        <v>15</v>
      </c>
      <c r="H2453">
        <v>7018.0</v>
      </c>
      <c r="I2453" t="s">
        <v>31</v>
      </c>
      <c r="J2453" t="s">
        <v>53</v>
      </c>
      <c r="K2453" t="s">
        <v>43</v>
      </c>
      <c r="L2453" t="s">
        <v>44</v>
      </c>
      <c r="M2453">
        <v>236.77999999999997</v>
      </c>
    </row>
    <row r="2454">
      <c r="A2454" s="2">
        <v>45628</v>
      </c>
      <c r="B2454">
        <v>2025.0</v>
      </c>
      <c r="C2454" t="s">
        <v>315</v>
      </c>
      <c r="D2454" t="s">
        <v>319</v>
      </c>
      <c r="E2454" t="s">
        <v>148</v>
      </c>
      <c r="F2454" t="s">
        <v>307</v>
      </c>
      <c r="G2454" t="s">
        <v>12</v>
      </c>
      <c r="H2454">
        <v>6450.0</v>
      </c>
      <c r="I2454" t="s">
        <v>31</v>
      </c>
      <c r="J2454" t="s">
        <v>50</v>
      </c>
      <c r="K2454" t="s">
        <v>71</v>
      </c>
      <c r="L2454" t="s">
        <v>72</v>
      </c>
      <c r="M2454">
        <v>236.79</v>
      </c>
    </row>
    <row r="2455">
      <c r="A2455" s="2">
        <v>45636</v>
      </c>
      <c r="B2455">
        <v>2025.0</v>
      </c>
      <c r="C2455" t="s">
        <v>315</v>
      </c>
      <c r="D2455" t="s">
        <v>316</v>
      </c>
      <c r="E2455" t="s">
        <v>217</v>
      </c>
      <c r="F2455" t="s">
        <v>305</v>
      </c>
      <c r="G2455" t="s">
        <v>10</v>
      </c>
      <c r="H2455">
        <v>3136.0</v>
      </c>
      <c r="I2455" t="s">
        <v>31</v>
      </c>
      <c r="J2455" t="s">
        <v>89</v>
      </c>
      <c r="K2455" t="s">
        <v>38</v>
      </c>
      <c r="L2455" t="s">
        <v>39</v>
      </c>
      <c r="M2455">
        <v>237.59</v>
      </c>
    </row>
    <row r="2456">
      <c r="A2456" s="2">
        <v>45391</v>
      </c>
      <c r="B2456">
        <v>2024.0</v>
      </c>
      <c r="C2456" t="s">
        <v>318</v>
      </c>
      <c r="D2456" t="s">
        <v>319</v>
      </c>
      <c r="E2456" t="s">
        <v>87</v>
      </c>
      <c r="F2456" t="s">
        <v>305</v>
      </c>
      <c r="G2456" t="s">
        <v>10</v>
      </c>
      <c r="H2456">
        <v>3148.0</v>
      </c>
      <c r="I2456" t="s">
        <v>31</v>
      </c>
      <c r="J2456" t="s">
        <v>89</v>
      </c>
      <c r="K2456" t="s">
        <v>66</v>
      </c>
      <c r="L2456" t="s">
        <v>67</v>
      </c>
      <c r="M2456">
        <v>237.69</v>
      </c>
    </row>
    <row r="2457">
      <c r="A2457" s="2">
        <v>45719</v>
      </c>
      <c r="B2457">
        <v>2025.0</v>
      </c>
      <c r="C2457" t="s">
        <v>315</v>
      </c>
      <c r="D2457" t="s">
        <v>316</v>
      </c>
      <c r="E2457" t="s">
        <v>160</v>
      </c>
      <c r="F2457" t="s">
        <v>307</v>
      </c>
      <c r="G2457" t="s">
        <v>12</v>
      </c>
      <c r="H2457">
        <v>6280.0</v>
      </c>
      <c r="I2457" t="s">
        <v>31</v>
      </c>
      <c r="J2457" t="s">
        <v>162</v>
      </c>
      <c r="K2457" t="s">
        <v>46</v>
      </c>
      <c r="L2457" t="s">
        <v>47</v>
      </c>
      <c r="M2457">
        <v>237.81</v>
      </c>
    </row>
    <row r="2458">
      <c r="A2458" s="2">
        <v>45315</v>
      </c>
      <c r="B2458">
        <v>2024.0</v>
      </c>
      <c r="C2458" t="s">
        <v>318</v>
      </c>
      <c r="D2458" t="s">
        <v>319</v>
      </c>
      <c r="E2458" t="s">
        <v>173</v>
      </c>
      <c r="F2458" t="s">
        <v>306</v>
      </c>
      <c r="G2458" t="s">
        <v>11</v>
      </c>
      <c r="H2458">
        <v>4220.0</v>
      </c>
      <c r="I2458" t="s">
        <v>31</v>
      </c>
      <c r="J2458" t="s">
        <v>61</v>
      </c>
      <c r="K2458" t="s">
        <v>33</v>
      </c>
      <c r="L2458" t="s">
        <v>34</v>
      </c>
      <c r="M2458">
        <v>238.1</v>
      </c>
    </row>
    <row r="2459">
      <c r="A2459" s="2">
        <v>45484</v>
      </c>
      <c r="B2459">
        <v>2025.0</v>
      </c>
      <c r="C2459" t="s">
        <v>315</v>
      </c>
      <c r="D2459" t="s">
        <v>319</v>
      </c>
      <c r="E2459" t="s">
        <v>197</v>
      </c>
      <c r="F2459" t="s">
        <v>304</v>
      </c>
      <c r="G2459" t="s">
        <v>9</v>
      </c>
      <c r="H2459">
        <v>2560.0</v>
      </c>
      <c r="I2459" t="s">
        <v>31</v>
      </c>
      <c r="J2459" t="s">
        <v>107</v>
      </c>
      <c r="K2459" t="s">
        <v>38</v>
      </c>
      <c r="L2459" t="s">
        <v>39</v>
      </c>
      <c r="M2459">
        <v>238.21</v>
      </c>
    </row>
    <row r="2460">
      <c r="A2460" s="2">
        <v>45632</v>
      </c>
      <c r="B2460">
        <v>2025.0</v>
      </c>
      <c r="C2460" t="s">
        <v>315</v>
      </c>
      <c r="D2460" t="s">
        <v>316</v>
      </c>
      <c r="E2460" t="s">
        <v>59</v>
      </c>
      <c r="F2460" t="s">
        <v>306</v>
      </c>
      <c r="G2460" t="s">
        <v>11</v>
      </c>
      <c r="H2460">
        <v>4509.0</v>
      </c>
      <c r="I2460" t="s">
        <v>31</v>
      </c>
      <c r="J2460" t="s">
        <v>61</v>
      </c>
      <c r="K2460" t="s">
        <v>95</v>
      </c>
      <c r="L2460" t="s">
        <v>96</v>
      </c>
      <c r="M2460">
        <v>238.78000000000003</v>
      </c>
    </row>
    <row r="2461">
      <c r="A2461" s="2">
        <v>45623</v>
      </c>
      <c r="B2461">
        <v>2025.0</v>
      </c>
      <c r="C2461" t="s">
        <v>315</v>
      </c>
      <c r="D2461" t="s">
        <v>319</v>
      </c>
      <c r="E2461" t="s">
        <v>236</v>
      </c>
      <c r="F2461" t="s">
        <v>307</v>
      </c>
      <c r="G2461" t="s">
        <v>12</v>
      </c>
      <c r="H2461">
        <v>6052.0</v>
      </c>
      <c r="I2461" t="s">
        <v>31</v>
      </c>
      <c r="J2461" t="s">
        <v>102</v>
      </c>
      <c r="K2461" t="s">
        <v>95</v>
      </c>
      <c r="L2461" t="s">
        <v>96</v>
      </c>
      <c r="M2461">
        <v>239.52</v>
      </c>
    </row>
    <row r="2462">
      <c r="A2462" s="2">
        <v>45512</v>
      </c>
      <c r="B2462">
        <v>2025.0</v>
      </c>
      <c r="C2462" t="s">
        <v>315</v>
      </c>
      <c r="D2462" t="s">
        <v>316</v>
      </c>
      <c r="E2462" t="s">
        <v>215</v>
      </c>
      <c r="F2462" t="s">
        <v>310</v>
      </c>
      <c r="G2462" t="s">
        <v>15</v>
      </c>
      <c r="H2462">
        <v>7320.0</v>
      </c>
      <c r="I2462" t="s">
        <v>31</v>
      </c>
      <c r="J2462" t="s">
        <v>53</v>
      </c>
      <c r="K2462" t="s">
        <v>46</v>
      </c>
      <c r="L2462" t="s">
        <v>47</v>
      </c>
      <c r="M2462">
        <v>239.82999999999998</v>
      </c>
    </row>
    <row r="2463">
      <c r="A2463" s="2">
        <v>45433</v>
      </c>
      <c r="B2463">
        <v>2024.0</v>
      </c>
      <c r="C2463" t="s">
        <v>318</v>
      </c>
      <c r="D2463" t="s">
        <v>316</v>
      </c>
      <c r="E2463" t="s">
        <v>48</v>
      </c>
      <c r="F2463" t="s">
        <v>307</v>
      </c>
      <c r="G2463" t="s">
        <v>12</v>
      </c>
      <c r="H2463">
        <v>6725.0</v>
      </c>
      <c r="I2463" t="s">
        <v>31</v>
      </c>
      <c r="J2463" t="s">
        <v>50</v>
      </c>
      <c r="K2463" t="s">
        <v>43</v>
      </c>
      <c r="L2463" t="s">
        <v>44</v>
      </c>
      <c r="M2463">
        <v>239.83</v>
      </c>
    </row>
    <row r="2464">
      <c r="A2464" s="2">
        <v>45461</v>
      </c>
      <c r="B2464">
        <v>2024.0</v>
      </c>
      <c r="C2464" t="s">
        <v>318</v>
      </c>
      <c r="D2464" t="s">
        <v>316</v>
      </c>
      <c r="E2464" t="s">
        <v>110</v>
      </c>
      <c r="F2464" t="s">
        <v>304</v>
      </c>
      <c r="G2464" t="s">
        <v>9</v>
      </c>
      <c r="H2464">
        <v>2101.0</v>
      </c>
      <c r="I2464" t="s">
        <v>31</v>
      </c>
      <c r="J2464" t="s">
        <v>81</v>
      </c>
      <c r="K2464" t="s">
        <v>71</v>
      </c>
      <c r="L2464" t="s">
        <v>72</v>
      </c>
      <c r="M2464">
        <v>239.84</v>
      </c>
    </row>
    <row r="2465">
      <c r="A2465" s="2">
        <v>45805</v>
      </c>
      <c r="B2465">
        <v>2025.0</v>
      </c>
      <c r="C2465" t="s">
        <v>315</v>
      </c>
      <c r="D2465" t="s">
        <v>316</v>
      </c>
      <c r="E2465" t="s">
        <v>217</v>
      </c>
      <c r="F2465" t="s">
        <v>305</v>
      </c>
      <c r="G2465" t="s">
        <v>10</v>
      </c>
      <c r="H2465">
        <v>3136.0</v>
      </c>
      <c r="I2465" t="s">
        <v>31</v>
      </c>
      <c r="J2465" t="s">
        <v>89</v>
      </c>
      <c r="K2465" t="s">
        <v>57</v>
      </c>
      <c r="L2465" t="s">
        <v>58</v>
      </c>
      <c r="M2465">
        <v>239.92</v>
      </c>
    </row>
    <row r="2466">
      <c r="A2466" s="2">
        <v>45937</v>
      </c>
      <c r="B2466">
        <v>2026.0</v>
      </c>
      <c r="C2466" t="s">
        <v>321</v>
      </c>
      <c r="D2466" t="s">
        <v>316</v>
      </c>
      <c r="E2466" t="s">
        <v>258</v>
      </c>
      <c r="F2466" t="s">
        <v>309</v>
      </c>
      <c r="G2466" t="s">
        <v>14</v>
      </c>
      <c r="H2466">
        <v>870.0</v>
      </c>
      <c r="I2466" t="s">
        <v>31</v>
      </c>
      <c r="J2466" t="s">
        <v>145</v>
      </c>
      <c r="K2466" t="s">
        <v>57</v>
      </c>
      <c r="L2466" t="s">
        <v>58</v>
      </c>
      <c r="M2466">
        <v>239.94</v>
      </c>
    </row>
    <row r="2467">
      <c r="A2467" s="2">
        <v>45509</v>
      </c>
      <c r="B2467">
        <v>2025.0</v>
      </c>
      <c r="C2467" t="s">
        <v>315</v>
      </c>
      <c r="D2467" t="s">
        <v>319</v>
      </c>
      <c r="E2467" t="s">
        <v>228</v>
      </c>
      <c r="F2467" t="s">
        <v>306</v>
      </c>
      <c r="G2467" t="s">
        <v>11</v>
      </c>
      <c r="H2467">
        <v>4680.0</v>
      </c>
      <c r="I2467" t="s">
        <v>31</v>
      </c>
      <c r="J2467" t="s">
        <v>32</v>
      </c>
      <c r="K2467" t="s">
        <v>57</v>
      </c>
      <c r="L2467" t="s">
        <v>58</v>
      </c>
      <c r="M2467">
        <v>239.94</v>
      </c>
    </row>
    <row r="2468">
      <c r="A2468" s="2">
        <v>45910</v>
      </c>
      <c r="B2468">
        <v>2026.0</v>
      </c>
      <c r="C2468" t="s">
        <v>321</v>
      </c>
      <c r="D2468" t="s">
        <v>316</v>
      </c>
      <c r="E2468" t="s">
        <v>59</v>
      </c>
      <c r="F2468" t="s">
        <v>306</v>
      </c>
      <c r="G2468" t="s">
        <v>11</v>
      </c>
      <c r="H2468">
        <v>4509.0</v>
      </c>
      <c r="I2468" t="s">
        <v>31</v>
      </c>
      <c r="J2468" t="s">
        <v>61</v>
      </c>
      <c r="K2468" t="s">
        <v>112</v>
      </c>
      <c r="L2468" t="s">
        <v>113</v>
      </c>
      <c r="M2468">
        <v>239.94</v>
      </c>
    </row>
    <row r="2469">
      <c r="A2469" s="2">
        <v>45875</v>
      </c>
      <c r="B2469">
        <v>2026.0</v>
      </c>
      <c r="C2469" t="s">
        <v>321</v>
      </c>
      <c r="D2469" t="s">
        <v>319</v>
      </c>
      <c r="E2469" t="s">
        <v>146</v>
      </c>
      <c r="F2469" t="s">
        <v>304</v>
      </c>
      <c r="G2469" t="s">
        <v>9</v>
      </c>
      <c r="H2469">
        <v>2790.0</v>
      </c>
      <c r="I2469" t="s">
        <v>31</v>
      </c>
      <c r="J2469" t="s">
        <v>75</v>
      </c>
      <c r="K2469" t="s">
        <v>33</v>
      </c>
      <c r="L2469" t="s">
        <v>34</v>
      </c>
      <c r="M2469">
        <v>240.01</v>
      </c>
    </row>
    <row r="2470">
      <c r="A2470" s="2">
        <v>45406</v>
      </c>
      <c r="B2470">
        <v>2024.0</v>
      </c>
      <c r="C2470" t="s">
        <v>318</v>
      </c>
      <c r="D2470" t="s">
        <v>316</v>
      </c>
      <c r="E2470" t="s">
        <v>160</v>
      </c>
      <c r="F2470" t="s">
        <v>307</v>
      </c>
      <c r="G2470" t="s">
        <v>12</v>
      </c>
      <c r="H2470">
        <v>6280.0</v>
      </c>
      <c r="I2470" t="s">
        <v>31</v>
      </c>
      <c r="J2470" t="s">
        <v>162</v>
      </c>
      <c r="K2470" t="s">
        <v>38</v>
      </c>
      <c r="L2470" t="s">
        <v>39</v>
      </c>
      <c r="M2470">
        <v>240.70999999999998</v>
      </c>
    </row>
    <row r="2471">
      <c r="A2471" s="2">
        <v>45886</v>
      </c>
      <c r="B2471">
        <v>2026.0</v>
      </c>
      <c r="C2471" t="s">
        <v>321</v>
      </c>
      <c r="D2471" t="s">
        <v>316</v>
      </c>
      <c r="E2471" t="s">
        <v>177</v>
      </c>
      <c r="F2471" t="s">
        <v>307</v>
      </c>
      <c r="G2471" t="s">
        <v>12</v>
      </c>
      <c r="H2471">
        <v>6330.0</v>
      </c>
      <c r="I2471" t="s">
        <v>31</v>
      </c>
      <c r="J2471" t="s">
        <v>162</v>
      </c>
      <c r="K2471" t="s">
        <v>43</v>
      </c>
      <c r="L2471" t="s">
        <v>44</v>
      </c>
      <c r="M2471">
        <v>240.82</v>
      </c>
    </row>
    <row r="2472">
      <c r="A2472" s="2">
        <v>45922</v>
      </c>
      <c r="B2472">
        <v>2026.0</v>
      </c>
      <c r="C2472" t="s">
        <v>321</v>
      </c>
      <c r="D2472" t="s">
        <v>316</v>
      </c>
      <c r="E2472" t="s">
        <v>137</v>
      </c>
      <c r="F2472" t="s">
        <v>305</v>
      </c>
      <c r="G2472" t="s">
        <v>10</v>
      </c>
      <c r="H2472">
        <v>3134.0</v>
      </c>
      <c r="I2472" t="s">
        <v>31</v>
      </c>
      <c r="J2472" t="s">
        <v>89</v>
      </c>
      <c r="K2472" t="s">
        <v>46</v>
      </c>
      <c r="L2472" t="s">
        <v>47</v>
      </c>
      <c r="M2472">
        <v>240.93</v>
      </c>
    </row>
    <row r="2473">
      <c r="A2473" s="2">
        <v>45518</v>
      </c>
      <c r="B2473">
        <v>2025.0</v>
      </c>
      <c r="C2473" t="s">
        <v>315</v>
      </c>
      <c r="D2473" t="s">
        <v>316</v>
      </c>
      <c r="E2473" t="s">
        <v>248</v>
      </c>
      <c r="F2473" t="s">
        <v>307</v>
      </c>
      <c r="G2473" t="s">
        <v>12</v>
      </c>
      <c r="H2473">
        <v>6112.0</v>
      </c>
      <c r="I2473" t="s">
        <v>31</v>
      </c>
      <c r="J2473" t="s">
        <v>162</v>
      </c>
      <c r="K2473" t="s">
        <v>71</v>
      </c>
      <c r="L2473" t="s">
        <v>72</v>
      </c>
      <c r="M2473">
        <v>241.28000000000003</v>
      </c>
    </row>
    <row r="2474">
      <c r="A2474" s="2">
        <v>45675</v>
      </c>
      <c r="B2474">
        <v>2025.0</v>
      </c>
      <c r="C2474" t="s">
        <v>315</v>
      </c>
      <c r="D2474" t="s">
        <v>316</v>
      </c>
      <c r="E2474" t="s">
        <v>217</v>
      </c>
      <c r="F2474" t="s">
        <v>305</v>
      </c>
      <c r="G2474" t="s">
        <v>10</v>
      </c>
      <c r="H2474">
        <v>3136.0</v>
      </c>
      <c r="I2474" t="s">
        <v>31</v>
      </c>
      <c r="J2474" t="s">
        <v>89</v>
      </c>
      <c r="K2474" t="s">
        <v>46</v>
      </c>
      <c r="L2474" t="s">
        <v>47</v>
      </c>
      <c r="M2474">
        <v>241.33</v>
      </c>
    </row>
    <row r="2475">
      <c r="A2475" s="2">
        <v>45802</v>
      </c>
      <c r="B2475">
        <v>2025.0</v>
      </c>
      <c r="C2475" t="s">
        <v>315</v>
      </c>
      <c r="D2475" t="s">
        <v>316</v>
      </c>
      <c r="E2475" t="s">
        <v>260</v>
      </c>
      <c r="F2475" t="s">
        <v>305</v>
      </c>
      <c r="G2475" t="s">
        <v>10</v>
      </c>
      <c r="H2475">
        <v>3179.0</v>
      </c>
      <c r="I2475" t="s">
        <v>31</v>
      </c>
      <c r="J2475" t="s">
        <v>89</v>
      </c>
      <c r="K2475" t="s">
        <v>38</v>
      </c>
      <c r="L2475" t="s">
        <v>39</v>
      </c>
      <c r="M2475">
        <v>241.51999999999998</v>
      </c>
    </row>
    <row r="2476">
      <c r="A2476" s="2">
        <v>45796</v>
      </c>
      <c r="B2476">
        <v>2025.0</v>
      </c>
      <c r="C2476" t="s">
        <v>315</v>
      </c>
      <c r="D2476" t="s">
        <v>316</v>
      </c>
      <c r="E2476" t="s">
        <v>221</v>
      </c>
      <c r="F2476" t="s">
        <v>306</v>
      </c>
      <c r="G2476" t="s">
        <v>11</v>
      </c>
      <c r="H2476">
        <v>4053.0</v>
      </c>
      <c r="I2476" t="s">
        <v>31</v>
      </c>
      <c r="J2476" t="s">
        <v>56</v>
      </c>
      <c r="K2476" t="s">
        <v>33</v>
      </c>
      <c r="L2476" t="s">
        <v>34</v>
      </c>
      <c r="M2476">
        <v>241.72</v>
      </c>
    </row>
    <row r="2477">
      <c r="A2477" s="2">
        <v>45382</v>
      </c>
      <c r="B2477">
        <v>2024.0</v>
      </c>
      <c r="C2477" t="s">
        <v>318</v>
      </c>
      <c r="D2477" t="s">
        <v>316</v>
      </c>
      <c r="E2477" t="s">
        <v>175</v>
      </c>
      <c r="F2477" t="s">
        <v>311</v>
      </c>
      <c r="G2477" t="s">
        <v>16</v>
      </c>
      <c r="H2477">
        <v>2617.0</v>
      </c>
      <c r="I2477" t="s">
        <v>31</v>
      </c>
      <c r="J2477" t="s">
        <v>107</v>
      </c>
      <c r="K2477" t="s">
        <v>43</v>
      </c>
      <c r="L2477" t="s">
        <v>44</v>
      </c>
      <c r="M2477">
        <v>241.85</v>
      </c>
    </row>
    <row r="2478">
      <c r="A2478" s="2">
        <v>45407</v>
      </c>
      <c r="B2478">
        <v>2024.0</v>
      </c>
      <c r="C2478" t="s">
        <v>318</v>
      </c>
      <c r="D2478" t="s">
        <v>316</v>
      </c>
      <c r="E2478" t="s">
        <v>114</v>
      </c>
      <c r="F2478" t="s">
        <v>304</v>
      </c>
      <c r="G2478" t="s">
        <v>9</v>
      </c>
      <c r="H2478">
        <v>2031.0</v>
      </c>
      <c r="I2478" t="s">
        <v>31</v>
      </c>
      <c r="J2478" t="s">
        <v>99</v>
      </c>
      <c r="K2478" t="s">
        <v>95</v>
      </c>
      <c r="L2478" t="s">
        <v>96</v>
      </c>
      <c r="M2478">
        <v>242.06</v>
      </c>
    </row>
    <row r="2479">
      <c r="A2479" s="2">
        <v>45579</v>
      </c>
      <c r="B2479">
        <v>2025.0</v>
      </c>
      <c r="C2479" t="s">
        <v>315</v>
      </c>
      <c r="D2479" t="s">
        <v>316</v>
      </c>
      <c r="E2479" t="s">
        <v>167</v>
      </c>
      <c r="F2479" t="s">
        <v>307</v>
      </c>
      <c r="G2479" t="s">
        <v>12</v>
      </c>
      <c r="H2479">
        <v>6030.0</v>
      </c>
      <c r="I2479" t="s">
        <v>31</v>
      </c>
      <c r="J2479" t="s">
        <v>102</v>
      </c>
      <c r="K2479" t="s">
        <v>95</v>
      </c>
      <c r="L2479" t="s">
        <v>96</v>
      </c>
      <c r="M2479">
        <v>242.20999999999998</v>
      </c>
    </row>
    <row r="2480">
      <c r="A2480" s="2">
        <v>45820</v>
      </c>
      <c r="B2480">
        <v>2025.0</v>
      </c>
      <c r="C2480" t="s">
        <v>315</v>
      </c>
      <c r="D2480" t="s">
        <v>319</v>
      </c>
      <c r="E2480" t="s">
        <v>103</v>
      </c>
      <c r="F2480" t="s">
        <v>307</v>
      </c>
      <c r="G2480" t="s">
        <v>12</v>
      </c>
      <c r="H2480">
        <v>6021.0</v>
      </c>
      <c r="I2480" t="s">
        <v>31</v>
      </c>
      <c r="J2480" t="s">
        <v>102</v>
      </c>
      <c r="K2480" t="s">
        <v>43</v>
      </c>
      <c r="L2480" t="s">
        <v>44</v>
      </c>
      <c r="M2480">
        <v>242.3</v>
      </c>
    </row>
    <row r="2481">
      <c r="A2481" s="2">
        <v>45842</v>
      </c>
      <c r="B2481">
        <v>2026.0</v>
      </c>
      <c r="C2481" t="s">
        <v>321</v>
      </c>
      <c r="D2481" t="s">
        <v>316</v>
      </c>
      <c r="E2481" t="s">
        <v>183</v>
      </c>
      <c r="F2481" t="s">
        <v>304</v>
      </c>
      <c r="G2481" t="s">
        <v>9</v>
      </c>
      <c r="H2481">
        <v>2480.0</v>
      </c>
      <c r="I2481" t="s">
        <v>31</v>
      </c>
      <c r="J2481" t="s">
        <v>70</v>
      </c>
      <c r="K2481" t="s">
        <v>112</v>
      </c>
      <c r="L2481" t="s">
        <v>113</v>
      </c>
      <c r="M2481">
        <v>242.32999999999998</v>
      </c>
    </row>
    <row r="2482">
      <c r="A2482" s="2">
        <v>45657</v>
      </c>
      <c r="B2482">
        <v>2025.0</v>
      </c>
      <c r="C2482" t="s">
        <v>315</v>
      </c>
      <c r="D2482" t="s">
        <v>316</v>
      </c>
      <c r="E2482" t="s">
        <v>121</v>
      </c>
      <c r="F2482" t="s">
        <v>306</v>
      </c>
      <c r="G2482" t="s">
        <v>11</v>
      </c>
      <c r="H2482">
        <v>4566.0</v>
      </c>
      <c r="I2482" t="s">
        <v>31</v>
      </c>
      <c r="J2482" t="s">
        <v>84</v>
      </c>
      <c r="K2482" t="s">
        <v>33</v>
      </c>
      <c r="L2482" t="s">
        <v>34</v>
      </c>
      <c r="M2482">
        <v>242.57000000000002</v>
      </c>
    </row>
    <row r="2483">
      <c r="A2483" s="2">
        <v>45338</v>
      </c>
      <c r="B2483">
        <v>2024.0</v>
      </c>
      <c r="C2483" t="s">
        <v>318</v>
      </c>
      <c r="D2483" t="s">
        <v>319</v>
      </c>
      <c r="E2483" t="s">
        <v>205</v>
      </c>
      <c r="F2483" t="s">
        <v>305</v>
      </c>
      <c r="G2483" t="s">
        <v>10</v>
      </c>
      <c r="H2483">
        <v>3400.0</v>
      </c>
      <c r="I2483" t="s">
        <v>31</v>
      </c>
      <c r="J2483" t="s">
        <v>37</v>
      </c>
      <c r="K2483" t="s">
        <v>123</v>
      </c>
      <c r="L2483" t="s">
        <v>124</v>
      </c>
      <c r="M2483">
        <v>242.72000000000003</v>
      </c>
    </row>
    <row r="2484">
      <c r="A2484" s="2">
        <v>45788</v>
      </c>
      <c r="B2484">
        <v>2025.0</v>
      </c>
      <c r="C2484" t="s">
        <v>315</v>
      </c>
      <c r="D2484" t="s">
        <v>316</v>
      </c>
      <c r="E2484" t="s">
        <v>90</v>
      </c>
      <c r="F2484" t="s">
        <v>305</v>
      </c>
      <c r="G2484" t="s">
        <v>10</v>
      </c>
      <c r="H2484">
        <v>3353.0</v>
      </c>
      <c r="I2484" t="s">
        <v>31</v>
      </c>
      <c r="J2484" t="s">
        <v>37</v>
      </c>
      <c r="K2484" t="s">
        <v>43</v>
      </c>
      <c r="L2484" t="s">
        <v>44</v>
      </c>
      <c r="M2484">
        <v>242.86</v>
      </c>
    </row>
    <row r="2485">
      <c r="A2485" s="2">
        <v>45363</v>
      </c>
      <c r="B2485">
        <v>2024.0</v>
      </c>
      <c r="C2485" t="s">
        <v>318</v>
      </c>
      <c r="D2485" t="s">
        <v>316</v>
      </c>
      <c r="E2485" t="s">
        <v>234</v>
      </c>
      <c r="F2485" t="s">
        <v>304</v>
      </c>
      <c r="G2485" t="s">
        <v>9</v>
      </c>
      <c r="H2485">
        <v>2158.0</v>
      </c>
      <c r="I2485" t="s">
        <v>31</v>
      </c>
      <c r="J2485" t="s">
        <v>81</v>
      </c>
      <c r="K2485" t="s">
        <v>71</v>
      </c>
      <c r="L2485" t="s">
        <v>72</v>
      </c>
      <c r="M2485">
        <v>243.72000000000003</v>
      </c>
    </row>
    <row r="2486">
      <c r="A2486" s="2">
        <v>45689</v>
      </c>
      <c r="B2486">
        <v>2025.0</v>
      </c>
      <c r="C2486" t="s">
        <v>315</v>
      </c>
      <c r="D2486" t="s">
        <v>316</v>
      </c>
      <c r="E2486" t="s">
        <v>73</v>
      </c>
      <c r="F2486" t="s">
        <v>304</v>
      </c>
      <c r="G2486" t="s">
        <v>9</v>
      </c>
      <c r="H2486">
        <v>2750.0</v>
      </c>
      <c r="I2486" t="s">
        <v>31</v>
      </c>
      <c r="J2486" t="s">
        <v>75</v>
      </c>
      <c r="K2486" t="s">
        <v>43</v>
      </c>
      <c r="L2486" t="s">
        <v>44</v>
      </c>
      <c r="M2486">
        <v>243.73999999999998</v>
      </c>
    </row>
    <row r="2487">
      <c r="A2487" s="2">
        <v>45359</v>
      </c>
      <c r="B2487">
        <v>2024.0</v>
      </c>
      <c r="C2487" t="s">
        <v>318</v>
      </c>
      <c r="D2487" t="s">
        <v>316</v>
      </c>
      <c r="E2487" t="s">
        <v>127</v>
      </c>
      <c r="F2487" t="s">
        <v>306</v>
      </c>
      <c r="G2487" t="s">
        <v>11</v>
      </c>
      <c r="H2487">
        <v>4802.0</v>
      </c>
      <c r="I2487" t="s">
        <v>31</v>
      </c>
      <c r="J2487" t="s">
        <v>78</v>
      </c>
      <c r="K2487" t="s">
        <v>43</v>
      </c>
      <c r="L2487" t="s">
        <v>44</v>
      </c>
      <c r="M2487">
        <v>243.83</v>
      </c>
    </row>
    <row r="2488">
      <c r="A2488" s="2">
        <v>45562</v>
      </c>
      <c r="B2488">
        <v>2025.0</v>
      </c>
      <c r="C2488" t="s">
        <v>315</v>
      </c>
      <c r="D2488" t="s">
        <v>316</v>
      </c>
      <c r="E2488" t="s">
        <v>127</v>
      </c>
      <c r="F2488" t="s">
        <v>306</v>
      </c>
      <c r="G2488" t="s">
        <v>11</v>
      </c>
      <c r="H2488">
        <v>4802.0</v>
      </c>
      <c r="I2488" t="s">
        <v>31</v>
      </c>
      <c r="J2488" t="s">
        <v>78</v>
      </c>
      <c r="K2488" t="s">
        <v>46</v>
      </c>
      <c r="L2488" t="s">
        <v>47</v>
      </c>
      <c r="M2488">
        <v>244.92000000000002</v>
      </c>
    </row>
    <row r="2489">
      <c r="A2489" s="2">
        <v>45550</v>
      </c>
      <c r="B2489">
        <v>2025.0</v>
      </c>
      <c r="C2489" t="s">
        <v>315</v>
      </c>
      <c r="D2489" t="s">
        <v>319</v>
      </c>
      <c r="E2489" t="s">
        <v>141</v>
      </c>
      <c r="F2489" t="s">
        <v>304</v>
      </c>
      <c r="G2489" t="s">
        <v>9</v>
      </c>
      <c r="H2489">
        <v>2539.0</v>
      </c>
      <c r="I2489" t="s">
        <v>31</v>
      </c>
      <c r="J2489" t="s">
        <v>107</v>
      </c>
      <c r="K2489" t="s">
        <v>112</v>
      </c>
      <c r="L2489" t="s">
        <v>113</v>
      </c>
      <c r="M2489">
        <v>245.48</v>
      </c>
    </row>
    <row r="2490">
      <c r="A2490" s="2">
        <v>45504</v>
      </c>
      <c r="B2490">
        <v>2025.0</v>
      </c>
      <c r="C2490" t="s">
        <v>315</v>
      </c>
      <c r="D2490" t="s">
        <v>319</v>
      </c>
      <c r="E2490" t="s">
        <v>236</v>
      </c>
      <c r="F2490" t="s">
        <v>307</v>
      </c>
      <c r="G2490" t="s">
        <v>12</v>
      </c>
      <c r="H2490">
        <v>6052.0</v>
      </c>
      <c r="I2490" t="s">
        <v>31</v>
      </c>
      <c r="J2490" t="s">
        <v>102</v>
      </c>
      <c r="K2490" t="s">
        <v>57</v>
      </c>
      <c r="L2490" t="s">
        <v>58</v>
      </c>
      <c r="M2490">
        <v>245.59</v>
      </c>
    </row>
    <row r="2491">
      <c r="A2491" s="2">
        <v>45720</v>
      </c>
      <c r="B2491">
        <v>2025.0</v>
      </c>
      <c r="C2491" t="s">
        <v>315</v>
      </c>
      <c r="D2491" t="s">
        <v>316</v>
      </c>
      <c r="E2491" t="s">
        <v>167</v>
      </c>
      <c r="F2491" t="s">
        <v>307</v>
      </c>
      <c r="G2491" t="s">
        <v>12</v>
      </c>
      <c r="H2491">
        <v>6030.0</v>
      </c>
      <c r="I2491" t="s">
        <v>31</v>
      </c>
      <c r="J2491" t="s">
        <v>102</v>
      </c>
      <c r="K2491" t="s">
        <v>43</v>
      </c>
      <c r="L2491" t="s">
        <v>44</v>
      </c>
      <c r="M2491">
        <v>245.63</v>
      </c>
    </row>
    <row r="2492">
      <c r="A2492" s="2">
        <v>45734</v>
      </c>
      <c r="B2492">
        <v>2025.0</v>
      </c>
      <c r="C2492" t="s">
        <v>315</v>
      </c>
      <c r="D2492" t="s">
        <v>316</v>
      </c>
      <c r="E2492" t="s">
        <v>165</v>
      </c>
      <c r="F2492" t="s">
        <v>304</v>
      </c>
      <c r="G2492" t="s">
        <v>9</v>
      </c>
      <c r="H2492">
        <v>2064.0</v>
      </c>
      <c r="I2492" t="s">
        <v>31</v>
      </c>
      <c r="J2492" t="s">
        <v>99</v>
      </c>
      <c r="K2492" t="s">
        <v>43</v>
      </c>
      <c r="L2492" t="s">
        <v>44</v>
      </c>
      <c r="M2492">
        <v>245.79000000000002</v>
      </c>
    </row>
    <row r="2493">
      <c r="A2493" s="2">
        <v>45834</v>
      </c>
      <c r="B2493">
        <v>2025.0</v>
      </c>
      <c r="C2493" t="s">
        <v>315</v>
      </c>
      <c r="D2493" t="s">
        <v>316</v>
      </c>
      <c r="E2493" t="s">
        <v>68</v>
      </c>
      <c r="F2493" t="s">
        <v>304</v>
      </c>
      <c r="G2493" t="s">
        <v>9</v>
      </c>
      <c r="H2493">
        <v>2478.0</v>
      </c>
      <c r="I2493" t="s">
        <v>31</v>
      </c>
      <c r="J2493" t="s">
        <v>70</v>
      </c>
      <c r="K2493" t="s">
        <v>112</v>
      </c>
      <c r="L2493" t="s">
        <v>113</v>
      </c>
      <c r="M2493">
        <v>245.98000000000002</v>
      </c>
    </row>
    <row r="2494">
      <c r="A2494" s="2">
        <v>45779</v>
      </c>
      <c r="B2494">
        <v>2025.0</v>
      </c>
      <c r="C2494" t="s">
        <v>315</v>
      </c>
      <c r="D2494" t="s">
        <v>316</v>
      </c>
      <c r="E2494" t="s">
        <v>252</v>
      </c>
      <c r="F2494" t="s">
        <v>305</v>
      </c>
      <c r="G2494" t="s">
        <v>10</v>
      </c>
      <c r="H2494">
        <v>3630.0</v>
      </c>
      <c r="I2494" t="s">
        <v>31</v>
      </c>
      <c r="J2494" t="s">
        <v>94</v>
      </c>
      <c r="K2494" t="s">
        <v>43</v>
      </c>
      <c r="L2494" t="s">
        <v>44</v>
      </c>
      <c r="M2494">
        <v>246.26</v>
      </c>
    </row>
    <row r="2495">
      <c r="A2495" s="2">
        <v>45813</v>
      </c>
      <c r="B2495">
        <v>2025.0</v>
      </c>
      <c r="C2495" t="s">
        <v>315</v>
      </c>
      <c r="D2495" t="s">
        <v>319</v>
      </c>
      <c r="E2495" t="s">
        <v>116</v>
      </c>
      <c r="F2495" t="s">
        <v>304</v>
      </c>
      <c r="G2495" t="s">
        <v>9</v>
      </c>
      <c r="H2495">
        <v>2485.0</v>
      </c>
      <c r="I2495" t="s">
        <v>31</v>
      </c>
      <c r="J2495" t="s">
        <v>70</v>
      </c>
      <c r="K2495" t="s">
        <v>43</v>
      </c>
      <c r="L2495" t="s">
        <v>44</v>
      </c>
      <c r="M2495">
        <v>246.42000000000002</v>
      </c>
    </row>
    <row r="2496">
      <c r="A2496" s="2">
        <v>45391</v>
      </c>
      <c r="B2496">
        <v>2024.0</v>
      </c>
      <c r="C2496" t="s">
        <v>318</v>
      </c>
      <c r="D2496" t="s">
        <v>319</v>
      </c>
      <c r="E2496" t="s">
        <v>118</v>
      </c>
      <c r="F2496" t="s">
        <v>305</v>
      </c>
      <c r="G2496" t="s">
        <v>10</v>
      </c>
      <c r="H2496">
        <v>3076.0</v>
      </c>
      <c r="I2496" t="s">
        <v>31</v>
      </c>
      <c r="J2496" t="s">
        <v>120</v>
      </c>
      <c r="K2496" t="s">
        <v>112</v>
      </c>
      <c r="L2496" t="s">
        <v>113</v>
      </c>
      <c r="M2496">
        <v>247.39</v>
      </c>
    </row>
    <row r="2497">
      <c r="A2497" s="2">
        <v>45398</v>
      </c>
      <c r="B2497">
        <v>2024.0</v>
      </c>
      <c r="C2497" t="s">
        <v>318</v>
      </c>
      <c r="D2497" t="s">
        <v>316</v>
      </c>
      <c r="E2497" t="s">
        <v>137</v>
      </c>
      <c r="F2497" t="s">
        <v>305</v>
      </c>
      <c r="G2497" t="s">
        <v>10</v>
      </c>
      <c r="H2497">
        <v>3134.0</v>
      </c>
      <c r="I2497" t="s">
        <v>31</v>
      </c>
      <c r="J2497" t="s">
        <v>89</v>
      </c>
      <c r="K2497" t="s">
        <v>57</v>
      </c>
      <c r="L2497" t="s">
        <v>58</v>
      </c>
      <c r="M2497">
        <v>248.01999999999998</v>
      </c>
    </row>
    <row r="2498">
      <c r="A2498" s="2">
        <v>46000</v>
      </c>
      <c r="B2498">
        <v>2026.0</v>
      </c>
      <c r="C2498" t="s">
        <v>321</v>
      </c>
      <c r="D2498" t="s">
        <v>316</v>
      </c>
      <c r="E2498" t="s">
        <v>254</v>
      </c>
      <c r="F2498" t="s">
        <v>308</v>
      </c>
      <c r="G2498" t="s">
        <v>13</v>
      </c>
      <c r="H2498">
        <v>5343.0</v>
      </c>
      <c r="I2498" t="s">
        <v>31</v>
      </c>
      <c r="J2498" t="s">
        <v>227</v>
      </c>
      <c r="K2498" t="s">
        <v>123</v>
      </c>
      <c r="L2498" t="s">
        <v>124</v>
      </c>
      <c r="M2498">
        <v>248.08</v>
      </c>
    </row>
    <row r="2499">
      <c r="A2499" s="2">
        <v>45697</v>
      </c>
      <c r="B2499">
        <v>2025.0</v>
      </c>
      <c r="C2499" t="s">
        <v>315</v>
      </c>
      <c r="D2499" t="s">
        <v>316</v>
      </c>
      <c r="E2499" t="s">
        <v>217</v>
      </c>
      <c r="F2499" t="s">
        <v>305</v>
      </c>
      <c r="G2499" t="s">
        <v>10</v>
      </c>
      <c r="H2499">
        <v>3136.0</v>
      </c>
      <c r="I2499" t="s">
        <v>31</v>
      </c>
      <c r="J2499" t="s">
        <v>89</v>
      </c>
      <c r="K2499" t="s">
        <v>71</v>
      </c>
      <c r="L2499" t="s">
        <v>72</v>
      </c>
      <c r="M2499">
        <v>248.3</v>
      </c>
    </row>
    <row r="2500">
      <c r="A2500" s="2">
        <v>45894</v>
      </c>
      <c r="B2500">
        <v>2026.0</v>
      </c>
      <c r="C2500" t="s">
        <v>321</v>
      </c>
      <c r="D2500" t="s">
        <v>316</v>
      </c>
      <c r="E2500" t="s">
        <v>154</v>
      </c>
      <c r="F2500" t="s">
        <v>306</v>
      </c>
      <c r="G2500" t="s">
        <v>11</v>
      </c>
      <c r="H2500">
        <v>4551.0</v>
      </c>
      <c r="I2500" t="s">
        <v>31</v>
      </c>
      <c r="J2500" t="s">
        <v>84</v>
      </c>
      <c r="K2500" t="s">
        <v>33</v>
      </c>
      <c r="L2500" t="s">
        <v>34</v>
      </c>
      <c r="M2500">
        <v>248.37</v>
      </c>
    </row>
    <row r="2501">
      <c r="A2501" s="2">
        <v>45619</v>
      </c>
      <c r="B2501">
        <v>2025.0</v>
      </c>
      <c r="C2501" t="s">
        <v>315</v>
      </c>
      <c r="D2501" t="s">
        <v>316</v>
      </c>
      <c r="E2501" t="s">
        <v>175</v>
      </c>
      <c r="F2501" t="s">
        <v>311</v>
      </c>
      <c r="G2501" t="s">
        <v>16</v>
      </c>
      <c r="H2501">
        <v>2617.0</v>
      </c>
      <c r="I2501" t="s">
        <v>31</v>
      </c>
      <c r="J2501" t="s">
        <v>107</v>
      </c>
      <c r="K2501" t="s">
        <v>112</v>
      </c>
      <c r="L2501" t="s">
        <v>113</v>
      </c>
      <c r="M2501">
        <v>248.51000000000002</v>
      </c>
    </row>
    <row r="2502">
      <c r="A2502" s="2">
        <v>45540</v>
      </c>
      <c r="B2502">
        <v>2025.0</v>
      </c>
      <c r="C2502" t="s">
        <v>315</v>
      </c>
      <c r="D2502" t="s">
        <v>316</v>
      </c>
      <c r="E2502" t="s">
        <v>189</v>
      </c>
      <c r="F2502" t="s">
        <v>304</v>
      </c>
      <c r="G2502" t="s">
        <v>9</v>
      </c>
      <c r="H2502">
        <v>2131.0</v>
      </c>
      <c r="I2502" t="s">
        <v>31</v>
      </c>
      <c r="J2502" t="s">
        <v>81</v>
      </c>
      <c r="K2502" t="s">
        <v>112</v>
      </c>
      <c r="L2502" t="s">
        <v>113</v>
      </c>
      <c r="M2502">
        <v>248.57</v>
      </c>
    </row>
    <row r="2503">
      <c r="A2503" s="2">
        <v>45678</v>
      </c>
      <c r="B2503">
        <v>2025.0</v>
      </c>
      <c r="C2503" t="s">
        <v>315</v>
      </c>
      <c r="D2503" t="s">
        <v>316</v>
      </c>
      <c r="E2503" t="s">
        <v>177</v>
      </c>
      <c r="F2503" t="s">
        <v>307</v>
      </c>
      <c r="G2503" t="s">
        <v>12</v>
      </c>
      <c r="H2503">
        <v>6330.0</v>
      </c>
      <c r="I2503" t="s">
        <v>31</v>
      </c>
      <c r="J2503" t="s">
        <v>162</v>
      </c>
      <c r="K2503" t="s">
        <v>71</v>
      </c>
      <c r="L2503" t="s">
        <v>72</v>
      </c>
      <c r="M2503">
        <v>248.59</v>
      </c>
    </row>
    <row r="2504">
      <c r="A2504" s="2">
        <v>45495</v>
      </c>
      <c r="B2504">
        <v>2025.0</v>
      </c>
      <c r="C2504" t="s">
        <v>315</v>
      </c>
      <c r="D2504" t="s">
        <v>316</v>
      </c>
      <c r="E2504" t="s">
        <v>152</v>
      </c>
      <c r="F2504" t="s">
        <v>306</v>
      </c>
      <c r="G2504" t="s">
        <v>11</v>
      </c>
      <c r="H2504">
        <v>4305.0</v>
      </c>
      <c r="I2504" t="s">
        <v>31</v>
      </c>
      <c r="J2504" t="s">
        <v>61</v>
      </c>
      <c r="K2504" t="s">
        <v>43</v>
      </c>
      <c r="L2504" t="s">
        <v>44</v>
      </c>
      <c r="M2504">
        <v>248.76000000000002</v>
      </c>
    </row>
    <row r="2505">
      <c r="A2505" s="2">
        <v>45668</v>
      </c>
      <c r="B2505">
        <v>2025.0</v>
      </c>
      <c r="C2505" t="s">
        <v>315</v>
      </c>
      <c r="D2505" t="s">
        <v>316</v>
      </c>
      <c r="E2505" t="s">
        <v>215</v>
      </c>
      <c r="F2505" t="s">
        <v>310</v>
      </c>
      <c r="G2505" t="s">
        <v>15</v>
      </c>
      <c r="H2505">
        <v>7320.0</v>
      </c>
      <c r="I2505" t="s">
        <v>31</v>
      </c>
      <c r="J2505" t="s">
        <v>53</v>
      </c>
      <c r="K2505" t="s">
        <v>71</v>
      </c>
      <c r="L2505" t="s">
        <v>72</v>
      </c>
      <c r="M2505">
        <v>249.38000000000002</v>
      </c>
    </row>
    <row r="2506">
      <c r="A2506" s="2">
        <v>46015</v>
      </c>
      <c r="B2506">
        <v>2026.0</v>
      </c>
      <c r="C2506" t="s">
        <v>321</v>
      </c>
      <c r="D2506" t="s">
        <v>319</v>
      </c>
      <c r="E2506" t="s">
        <v>62</v>
      </c>
      <c r="F2506" t="s">
        <v>307</v>
      </c>
      <c r="G2506" t="s">
        <v>12</v>
      </c>
      <c r="H2506">
        <v>6530.0</v>
      </c>
      <c r="I2506" t="s">
        <v>31</v>
      </c>
      <c r="J2506" t="s">
        <v>50</v>
      </c>
      <c r="K2506" t="s">
        <v>112</v>
      </c>
      <c r="L2506" t="s">
        <v>113</v>
      </c>
      <c r="M2506">
        <v>249.57</v>
      </c>
    </row>
    <row r="2507">
      <c r="A2507" s="2">
        <v>45683</v>
      </c>
      <c r="B2507">
        <v>2025.0</v>
      </c>
      <c r="C2507" t="s">
        <v>315</v>
      </c>
      <c r="D2507" t="s">
        <v>316</v>
      </c>
      <c r="E2507" t="s">
        <v>165</v>
      </c>
      <c r="F2507" t="s">
        <v>304</v>
      </c>
      <c r="G2507" t="s">
        <v>9</v>
      </c>
      <c r="H2507">
        <v>2064.0</v>
      </c>
      <c r="I2507" t="s">
        <v>31</v>
      </c>
      <c r="J2507" t="s">
        <v>99</v>
      </c>
      <c r="K2507" t="s">
        <v>43</v>
      </c>
      <c r="L2507" t="s">
        <v>44</v>
      </c>
      <c r="M2507">
        <v>249.91</v>
      </c>
    </row>
    <row r="2508">
      <c r="A2508" s="2">
        <v>45914</v>
      </c>
      <c r="B2508">
        <v>2026.0</v>
      </c>
      <c r="C2508" t="s">
        <v>321</v>
      </c>
      <c r="D2508" t="s">
        <v>316</v>
      </c>
      <c r="E2508" t="s">
        <v>225</v>
      </c>
      <c r="F2508" t="s">
        <v>308</v>
      </c>
      <c r="G2508" t="s">
        <v>13</v>
      </c>
      <c r="H2508">
        <v>5607.0</v>
      </c>
      <c r="I2508" t="s">
        <v>31</v>
      </c>
      <c r="J2508" t="s">
        <v>227</v>
      </c>
      <c r="K2508" t="s">
        <v>46</v>
      </c>
      <c r="L2508" t="s">
        <v>47</v>
      </c>
      <c r="M2508">
        <v>250.28000000000003</v>
      </c>
    </row>
    <row r="2509">
      <c r="A2509" s="2">
        <v>45634</v>
      </c>
      <c r="B2509">
        <v>2025.0</v>
      </c>
      <c r="C2509" t="s">
        <v>315</v>
      </c>
      <c r="D2509" t="s">
        <v>316</v>
      </c>
      <c r="E2509" t="s">
        <v>193</v>
      </c>
      <c r="F2509" t="s">
        <v>304</v>
      </c>
      <c r="G2509" t="s">
        <v>9</v>
      </c>
      <c r="H2509">
        <v>2020.0</v>
      </c>
      <c r="I2509" t="s">
        <v>31</v>
      </c>
      <c r="J2509" t="s">
        <v>99</v>
      </c>
      <c r="K2509" t="s">
        <v>33</v>
      </c>
      <c r="L2509" t="s">
        <v>34</v>
      </c>
      <c r="M2509">
        <v>250.46</v>
      </c>
    </row>
    <row r="2510">
      <c r="A2510" s="2">
        <v>45461</v>
      </c>
      <c r="B2510">
        <v>2024.0</v>
      </c>
      <c r="C2510" t="s">
        <v>318</v>
      </c>
      <c r="D2510" t="s">
        <v>319</v>
      </c>
      <c r="E2510" t="s">
        <v>201</v>
      </c>
      <c r="F2510" t="s">
        <v>305</v>
      </c>
      <c r="G2510" t="s">
        <v>10</v>
      </c>
      <c r="H2510">
        <v>3131.0</v>
      </c>
      <c r="I2510" t="s">
        <v>31</v>
      </c>
      <c r="J2510" t="s">
        <v>89</v>
      </c>
      <c r="K2510" t="s">
        <v>46</v>
      </c>
      <c r="L2510" t="s">
        <v>47</v>
      </c>
      <c r="M2510">
        <v>250.81</v>
      </c>
    </row>
    <row r="2511">
      <c r="A2511" s="2">
        <v>45485</v>
      </c>
      <c r="B2511">
        <v>2025.0</v>
      </c>
      <c r="C2511" t="s">
        <v>315</v>
      </c>
      <c r="D2511" t="s">
        <v>319</v>
      </c>
      <c r="E2511" t="s">
        <v>189</v>
      </c>
      <c r="F2511" t="s">
        <v>304</v>
      </c>
      <c r="G2511" t="s">
        <v>9</v>
      </c>
      <c r="H2511">
        <v>2131.0</v>
      </c>
      <c r="I2511" t="s">
        <v>31</v>
      </c>
      <c r="J2511" t="s">
        <v>81</v>
      </c>
      <c r="K2511" t="s">
        <v>57</v>
      </c>
      <c r="L2511" t="s">
        <v>58</v>
      </c>
      <c r="M2511">
        <v>251.68</v>
      </c>
    </row>
    <row r="2512">
      <c r="A2512" s="2">
        <v>45457</v>
      </c>
      <c r="B2512">
        <v>2024.0</v>
      </c>
      <c r="C2512" t="s">
        <v>318</v>
      </c>
      <c r="D2512" t="s">
        <v>319</v>
      </c>
      <c r="E2512" t="s">
        <v>236</v>
      </c>
      <c r="F2512" t="s">
        <v>307</v>
      </c>
      <c r="G2512" t="s">
        <v>12</v>
      </c>
      <c r="H2512">
        <v>6052.0</v>
      </c>
      <c r="I2512" t="s">
        <v>31</v>
      </c>
      <c r="J2512" t="s">
        <v>102</v>
      </c>
      <c r="K2512" t="s">
        <v>71</v>
      </c>
      <c r="L2512" t="s">
        <v>72</v>
      </c>
      <c r="M2512">
        <v>253.38</v>
      </c>
    </row>
    <row r="2513">
      <c r="A2513" s="2">
        <v>45951</v>
      </c>
      <c r="B2513">
        <v>2026.0</v>
      </c>
      <c r="C2513" t="s">
        <v>321</v>
      </c>
      <c r="D2513" t="s">
        <v>316</v>
      </c>
      <c r="E2513" t="s">
        <v>193</v>
      </c>
      <c r="F2513" t="s">
        <v>304</v>
      </c>
      <c r="G2513" t="s">
        <v>9</v>
      </c>
      <c r="H2513">
        <v>2020.0</v>
      </c>
      <c r="I2513" t="s">
        <v>31</v>
      </c>
      <c r="J2513" t="s">
        <v>99</v>
      </c>
      <c r="K2513" t="s">
        <v>43</v>
      </c>
      <c r="L2513" t="s">
        <v>44</v>
      </c>
      <c r="M2513">
        <v>253.71</v>
      </c>
    </row>
    <row r="2514">
      <c r="A2514" s="2">
        <v>45395</v>
      </c>
      <c r="B2514">
        <v>2024.0</v>
      </c>
      <c r="C2514" t="s">
        <v>318</v>
      </c>
      <c r="D2514" t="s">
        <v>319</v>
      </c>
      <c r="E2514" t="s">
        <v>135</v>
      </c>
      <c r="F2514" t="s">
        <v>311</v>
      </c>
      <c r="G2514" t="s">
        <v>16</v>
      </c>
      <c r="H2514">
        <v>2609.0</v>
      </c>
      <c r="I2514" t="s">
        <v>31</v>
      </c>
      <c r="J2514" t="s">
        <v>107</v>
      </c>
      <c r="K2514" t="s">
        <v>71</v>
      </c>
      <c r="L2514" t="s">
        <v>72</v>
      </c>
      <c r="M2514">
        <v>253.81</v>
      </c>
    </row>
    <row r="2515">
      <c r="A2515" s="2">
        <v>45417</v>
      </c>
      <c r="B2515">
        <v>2024.0</v>
      </c>
      <c r="C2515" t="s">
        <v>318</v>
      </c>
      <c r="D2515" t="s">
        <v>316</v>
      </c>
      <c r="E2515" t="s">
        <v>76</v>
      </c>
      <c r="F2515" t="s">
        <v>306</v>
      </c>
      <c r="G2515" t="s">
        <v>11</v>
      </c>
      <c r="H2515">
        <v>4883.0</v>
      </c>
      <c r="I2515" t="s">
        <v>31</v>
      </c>
      <c r="J2515" t="s">
        <v>78</v>
      </c>
      <c r="K2515" t="s">
        <v>71</v>
      </c>
      <c r="L2515" t="s">
        <v>72</v>
      </c>
      <c r="M2515">
        <v>253.82</v>
      </c>
    </row>
    <row r="2516">
      <c r="A2516" s="2">
        <v>45835</v>
      </c>
      <c r="B2516">
        <v>2025.0</v>
      </c>
      <c r="C2516" t="s">
        <v>315</v>
      </c>
      <c r="D2516" t="s">
        <v>319</v>
      </c>
      <c r="E2516" t="s">
        <v>199</v>
      </c>
      <c r="F2516" t="s">
        <v>308</v>
      </c>
      <c r="G2516" t="s">
        <v>13</v>
      </c>
      <c r="H2516">
        <v>5169.0</v>
      </c>
      <c r="I2516" t="s">
        <v>31</v>
      </c>
      <c r="J2516" t="s">
        <v>42</v>
      </c>
      <c r="K2516" t="s">
        <v>71</v>
      </c>
      <c r="L2516" t="s">
        <v>72</v>
      </c>
      <c r="M2516">
        <v>253.82</v>
      </c>
    </row>
    <row r="2517">
      <c r="A2517" s="2">
        <v>45978</v>
      </c>
      <c r="B2517">
        <v>2026.0</v>
      </c>
      <c r="C2517" t="s">
        <v>321</v>
      </c>
      <c r="D2517" t="s">
        <v>319</v>
      </c>
      <c r="E2517" t="s">
        <v>199</v>
      </c>
      <c r="F2517" t="s">
        <v>308</v>
      </c>
      <c r="G2517" t="s">
        <v>13</v>
      </c>
      <c r="H2517">
        <v>5169.0</v>
      </c>
      <c r="I2517" t="s">
        <v>31</v>
      </c>
      <c r="J2517" t="s">
        <v>42</v>
      </c>
      <c r="K2517" t="s">
        <v>33</v>
      </c>
      <c r="L2517" t="s">
        <v>34</v>
      </c>
      <c r="M2517">
        <v>254.10000000000002</v>
      </c>
    </row>
    <row r="2518">
      <c r="A2518" s="2">
        <v>45375</v>
      </c>
      <c r="B2518">
        <v>2024.0</v>
      </c>
      <c r="C2518" t="s">
        <v>318</v>
      </c>
      <c r="D2518" t="s">
        <v>319</v>
      </c>
      <c r="E2518" t="s">
        <v>213</v>
      </c>
      <c r="F2518" t="s">
        <v>306</v>
      </c>
      <c r="G2518" t="s">
        <v>11</v>
      </c>
      <c r="H2518">
        <v>4740.0</v>
      </c>
      <c r="I2518" t="s">
        <v>31</v>
      </c>
      <c r="J2518" t="s">
        <v>32</v>
      </c>
      <c r="K2518" t="s">
        <v>43</v>
      </c>
      <c r="L2518" t="s">
        <v>44</v>
      </c>
      <c r="M2518">
        <v>254.87</v>
      </c>
    </row>
    <row r="2519">
      <c r="A2519" s="2">
        <v>45800</v>
      </c>
      <c r="B2519">
        <v>2025.0</v>
      </c>
      <c r="C2519" t="s">
        <v>315</v>
      </c>
      <c r="D2519" t="s">
        <v>316</v>
      </c>
      <c r="E2519" t="s">
        <v>217</v>
      </c>
      <c r="F2519" t="s">
        <v>305</v>
      </c>
      <c r="G2519" t="s">
        <v>10</v>
      </c>
      <c r="H2519">
        <v>3136.0</v>
      </c>
      <c r="I2519" t="s">
        <v>31</v>
      </c>
      <c r="J2519" t="s">
        <v>89</v>
      </c>
      <c r="K2519" t="s">
        <v>57</v>
      </c>
      <c r="L2519" t="s">
        <v>58</v>
      </c>
      <c r="M2519">
        <v>255.23000000000002</v>
      </c>
    </row>
    <row r="2520">
      <c r="A2520" s="2">
        <v>45681</v>
      </c>
      <c r="B2520">
        <v>2025.0</v>
      </c>
      <c r="C2520" t="s">
        <v>315</v>
      </c>
      <c r="D2520" t="s">
        <v>319</v>
      </c>
      <c r="E2520" t="s">
        <v>141</v>
      </c>
      <c r="F2520" t="s">
        <v>304</v>
      </c>
      <c r="G2520" t="s">
        <v>9</v>
      </c>
      <c r="H2520">
        <v>2539.0</v>
      </c>
      <c r="I2520" t="s">
        <v>31</v>
      </c>
      <c r="J2520" t="s">
        <v>107</v>
      </c>
      <c r="K2520" t="s">
        <v>38</v>
      </c>
      <c r="L2520" t="s">
        <v>39</v>
      </c>
      <c r="M2520">
        <v>255.38</v>
      </c>
    </row>
    <row r="2521">
      <c r="A2521" s="2">
        <v>45548</v>
      </c>
      <c r="B2521">
        <v>2025.0</v>
      </c>
      <c r="C2521" t="s">
        <v>315</v>
      </c>
      <c r="D2521" t="s">
        <v>316</v>
      </c>
      <c r="E2521" t="s">
        <v>175</v>
      </c>
      <c r="F2521" t="s">
        <v>311</v>
      </c>
      <c r="G2521" t="s">
        <v>16</v>
      </c>
      <c r="H2521">
        <v>2617.0</v>
      </c>
      <c r="I2521" t="s">
        <v>31</v>
      </c>
      <c r="J2521" t="s">
        <v>107</v>
      </c>
      <c r="K2521" t="s">
        <v>123</v>
      </c>
      <c r="L2521" t="s">
        <v>124</v>
      </c>
      <c r="M2521">
        <v>255.78999999999996</v>
      </c>
    </row>
    <row r="2522">
      <c r="A2522" s="2">
        <v>45893</v>
      </c>
      <c r="B2522">
        <v>2026.0</v>
      </c>
      <c r="C2522" t="s">
        <v>321</v>
      </c>
      <c r="D2522" t="s">
        <v>316</v>
      </c>
      <c r="E2522" t="s">
        <v>90</v>
      </c>
      <c r="F2522" t="s">
        <v>305</v>
      </c>
      <c r="G2522" t="s">
        <v>10</v>
      </c>
      <c r="H2522">
        <v>3353.0</v>
      </c>
      <c r="I2522" t="s">
        <v>31</v>
      </c>
      <c r="J2522" t="s">
        <v>37</v>
      </c>
      <c r="K2522" t="s">
        <v>112</v>
      </c>
      <c r="L2522" t="s">
        <v>113</v>
      </c>
      <c r="M2522">
        <v>257.24</v>
      </c>
    </row>
    <row r="2523">
      <c r="A2523" s="2">
        <v>45433</v>
      </c>
      <c r="B2523">
        <v>2024.0</v>
      </c>
      <c r="C2523" t="s">
        <v>318</v>
      </c>
      <c r="D2523" t="s">
        <v>316</v>
      </c>
      <c r="E2523" t="s">
        <v>191</v>
      </c>
      <c r="F2523" t="s">
        <v>305</v>
      </c>
      <c r="G2523" t="s">
        <v>10</v>
      </c>
      <c r="H2523">
        <v>3030.0</v>
      </c>
      <c r="I2523" t="s">
        <v>31</v>
      </c>
      <c r="J2523" t="s">
        <v>120</v>
      </c>
      <c r="K2523" t="s">
        <v>43</v>
      </c>
      <c r="L2523" t="s">
        <v>44</v>
      </c>
      <c r="M2523">
        <v>257.28999999999996</v>
      </c>
    </row>
    <row r="2524">
      <c r="A2524" s="2">
        <v>45516</v>
      </c>
      <c r="B2524">
        <v>2025.0</v>
      </c>
      <c r="C2524" t="s">
        <v>315</v>
      </c>
      <c r="D2524" t="s">
        <v>316</v>
      </c>
      <c r="E2524" t="s">
        <v>165</v>
      </c>
      <c r="F2524" t="s">
        <v>304</v>
      </c>
      <c r="G2524" t="s">
        <v>9</v>
      </c>
      <c r="H2524">
        <v>2064.0</v>
      </c>
      <c r="I2524" t="s">
        <v>31</v>
      </c>
      <c r="J2524" t="s">
        <v>99</v>
      </c>
      <c r="K2524" t="s">
        <v>43</v>
      </c>
      <c r="L2524" t="s">
        <v>44</v>
      </c>
      <c r="M2524">
        <v>257.84</v>
      </c>
    </row>
    <row r="2525">
      <c r="A2525" s="2">
        <v>45711</v>
      </c>
      <c r="B2525">
        <v>2025.0</v>
      </c>
      <c r="C2525" t="s">
        <v>315</v>
      </c>
      <c r="D2525" t="s">
        <v>316</v>
      </c>
      <c r="E2525" t="s">
        <v>201</v>
      </c>
      <c r="F2525" t="s">
        <v>305</v>
      </c>
      <c r="G2525" t="s">
        <v>10</v>
      </c>
      <c r="H2525">
        <v>3131.0</v>
      </c>
      <c r="I2525" t="s">
        <v>31</v>
      </c>
      <c r="J2525" t="s">
        <v>89</v>
      </c>
      <c r="K2525" t="s">
        <v>71</v>
      </c>
      <c r="L2525" t="s">
        <v>72</v>
      </c>
      <c r="M2525">
        <v>257.93</v>
      </c>
    </row>
    <row r="2526">
      <c r="A2526" s="2">
        <v>45915</v>
      </c>
      <c r="B2526">
        <v>2026.0</v>
      </c>
      <c r="C2526" t="s">
        <v>321</v>
      </c>
      <c r="D2526" t="s">
        <v>316</v>
      </c>
      <c r="E2526" t="s">
        <v>29</v>
      </c>
      <c r="F2526" t="s">
        <v>306</v>
      </c>
      <c r="G2526" t="s">
        <v>11</v>
      </c>
      <c r="H2526">
        <v>4703.0</v>
      </c>
      <c r="I2526" t="s">
        <v>31</v>
      </c>
      <c r="J2526" t="s">
        <v>32</v>
      </c>
      <c r="K2526" t="s">
        <v>123</v>
      </c>
      <c r="L2526" t="s">
        <v>124</v>
      </c>
      <c r="M2526">
        <v>258.33000000000004</v>
      </c>
    </row>
    <row r="2527">
      <c r="A2527" s="2">
        <v>45336</v>
      </c>
      <c r="B2527">
        <v>2024.0</v>
      </c>
      <c r="C2527" t="s">
        <v>318</v>
      </c>
      <c r="D2527" t="s">
        <v>319</v>
      </c>
      <c r="E2527" t="s">
        <v>163</v>
      </c>
      <c r="F2527" t="s">
        <v>304</v>
      </c>
      <c r="G2527" t="s">
        <v>9</v>
      </c>
      <c r="H2527">
        <v>2154.0</v>
      </c>
      <c r="I2527" t="s">
        <v>31</v>
      </c>
      <c r="J2527" t="s">
        <v>81</v>
      </c>
      <c r="K2527" t="s">
        <v>33</v>
      </c>
      <c r="L2527" t="s">
        <v>34</v>
      </c>
      <c r="M2527">
        <v>258.35</v>
      </c>
    </row>
    <row r="2528">
      <c r="A2528" s="2">
        <v>45838</v>
      </c>
      <c r="B2528">
        <v>2025.0</v>
      </c>
      <c r="C2528" t="s">
        <v>315</v>
      </c>
      <c r="D2528" t="s">
        <v>316</v>
      </c>
      <c r="E2528" t="s">
        <v>160</v>
      </c>
      <c r="F2528" t="s">
        <v>307</v>
      </c>
      <c r="G2528" t="s">
        <v>12</v>
      </c>
      <c r="H2528">
        <v>6280.0</v>
      </c>
      <c r="I2528" t="s">
        <v>31</v>
      </c>
      <c r="J2528" t="s">
        <v>162</v>
      </c>
      <c r="K2528" t="s">
        <v>95</v>
      </c>
      <c r="L2528" t="s">
        <v>96</v>
      </c>
      <c r="M2528">
        <v>258.4</v>
      </c>
    </row>
    <row r="2529">
      <c r="A2529" s="2">
        <v>45535</v>
      </c>
      <c r="B2529">
        <v>2025.0</v>
      </c>
      <c r="C2529" t="s">
        <v>315</v>
      </c>
      <c r="D2529" t="s">
        <v>316</v>
      </c>
      <c r="E2529" t="s">
        <v>40</v>
      </c>
      <c r="F2529" t="s">
        <v>308</v>
      </c>
      <c r="G2529" t="s">
        <v>13</v>
      </c>
      <c r="H2529">
        <v>5011.0</v>
      </c>
      <c r="I2529" t="s">
        <v>31</v>
      </c>
      <c r="J2529" t="s">
        <v>42</v>
      </c>
      <c r="K2529" t="s">
        <v>38</v>
      </c>
      <c r="L2529" t="s">
        <v>39</v>
      </c>
      <c r="M2529">
        <v>258.53999999999996</v>
      </c>
    </row>
    <row r="2530">
      <c r="A2530" s="2">
        <v>45326</v>
      </c>
      <c r="B2530">
        <v>2024.0</v>
      </c>
      <c r="C2530" t="s">
        <v>318</v>
      </c>
      <c r="D2530" t="s">
        <v>319</v>
      </c>
      <c r="E2530" t="s">
        <v>171</v>
      </c>
      <c r="F2530" t="s">
        <v>305</v>
      </c>
      <c r="G2530" t="s">
        <v>10</v>
      </c>
      <c r="H2530">
        <v>3500.0</v>
      </c>
      <c r="I2530" t="s">
        <v>31</v>
      </c>
      <c r="J2530" t="s">
        <v>37</v>
      </c>
      <c r="K2530" t="s">
        <v>95</v>
      </c>
      <c r="L2530" t="s">
        <v>96</v>
      </c>
      <c r="M2530">
        <v>258.74</v>
      </c>
    </row>
    <row r="2531">
      <c r="A2531" s="2">
        <v>45847</v>
      </c>
      <c r="B2531">
        <v>2026.0</v>
      </c>
      <c r="C2531" t="s">
        <v>321</v>
      </c>
      <c r="D2531" t="s">
        <v>316</v>
      </c>
      <c r="E2531" t="s">
        <v>217</v>
      </c>
      <c r="F2531" t="s">
        <v>305</v>
      </c>
      <c r="G2531" t="s">
        <v>10</v>
      </c>
      <c r="H2531">
        <v>3136.0</v>
      </c>
      <c r="I2531" t="s">
        <v>31</v>
      </c>
      <c r="J2531" t="s">
        <v>89</v>
      </c>
      <c r="K2531" t="s">
        <v>123</v>
      </c>
      <c r="L2531" t="s">
        <v>124</v>
      </c>
      <c r="M2531">
        <v>258.97</v>
      </c>
    </row>
    <row r="2532">
      <c r="A2532" s="2">
        <v>45789</v>
      </c>
      <c r="B2532">
        <v>2025.0</v>
      </c>
      <c r="C2532" t="s">
        <v>315</v>
      </c>
      <c r="D2532" t="s">
        <v>319</v>
      </c>
      <c r="E2532" t="s">
        <v>156</v>
      </c>
      <c r="F2532" t="s">
        <v>304</v>
      </c>
      <c r="G2532" t="s">
        <v>9</v>
      </c>
      <c r="H2532">
        <v>2830.0</v>
      </c>
      <c r="I2532" t="s">
        <v>31</v>
      </c>
      <c r="J2532" t="s">
        <v>75</v>
      </c>
      <c r="K2532" t="s">
        <v>46</v>
      </c>
      <c r="L2532" t="s">
        <v>47</v>
      </c>
      <c r="M2532">
        <v>259.31</v>
      </c>
    </row>
    <row r="2533">
      <c r="A2533" s="2">
        <v>45645</v>
      </c>
      <c r="B2533">
        <v>2025.0</v>
      </c>
      <c r="C2533" t="s">
        <v>315</v>
      </c>
      <c r="D2533" t="s">
        <v>316</v>
      </c>
      <c r="E2533" t="s">
        <v>137</v>
      </c>
      <c r="F2533" t="s">
        <v>305</v>
      </c>
      <c r="G2533" t="s">
        <v>10</v>
      </c>
      <c r="H2533">
        <v>3134.0</v>
      </c>
      <c r="I2533" t="s">
        <v>31</v>
      </c>
      <c r="J2533" t="s">
        <v>89</v>
      </c>
      <c r="K2533" t="s">
        <v>43</v>
      </c>
      <c r="L2533" t="s">
        <v>44</v>
      </c>
      <c r="M2533">
        <v>259.78000000000003</v>
      </c>
    </row>
    <row r="2534">
      <c r="A2534" s="2">
        <v>45503</v>
      </c>
      <c r="B2534">
        <v>2025.0</v>
      </c>
      <c r="C2534" t="s">
        <v>315</v>
      </c>
      <c r="D2534" t="s">
        <v>319</v>
      </c>
      <c r="E2534" t="s">
        <v>171</v>
      </c>
      <c r="F2534" t="s">
        <v>305</v>
      </c>
      <c r="G2534" t="s">
        <v>10</v>
      </c>
      <c r="H2534">
        <v>3500.0</v>
      </c>
      <c r="I2534" t="s">
        <v>31</v>
      </c>
      <c r="J2534" t="s">
        <v>37</v>
      </c>
      <c r="K2534" t="s">
        <v>43</v>
      </c>
      <c r="L2534" t="s">
        <v>44</v>
      </c>
      <c r="M2534">
        <v>259.87</v>
      </c>
    </row>
    <row r="2535">
      <c r="A2535" s="2">
        <v>45718</v>
      </c>
      <c r="B2535">
        <v>2025.0</v>
      </c>
      <c r="C2535" t="s">
        <v>315</v>
      </c>
      <c r="D2535" t="s">
        <v>316</v>
      </c>
      <c r="E2535" t="s">
        <v>150</v>
      </c>
      <c r="F2535" t="s">
        <v>310</v>
      </c>
      <c r="G2535" t="s">
        <v>15</v>
      </c>
      <c r="H2535">
        <v>7250.0</v>
      </c>
      <c r="I2535" t="s">
        <v>31</v>
      </c>
      <c r="J2535" t="s">
        <v>53</v>
      </c>
      <c r="K2535" t="s">
        <v>112</v>
      </c>
      <c r="L2535" t="s">
        <v>113</v>
      </c>
      <c r="M2535">
        <v>260.57</v>
      </c>
    </row>
    <row r="2536">
      <c r="A2536" s="2">
        <v>45823</v>
      </c>
      <c r="B2536">
        <v>2025.0</v>
      </c>
      <c r="C2536" t="s">
        <v>315</v>
      </c>
      <c r="D2536" t="s">
        <v>319</v>
      </c>
      <c r="E2536" t="s">
        <v>203</v>
      </c>
      <c r="F2536" t="s">
        <v>305</v>
      </c>
      <c r="G2536" t="s">
        <v>10</v>
      </c>
      <c r="H2536">
        <v>3175.0</v>
      </c>
      <c r="I2536" t="s">
        <v>31</v>
      </c>
      <c r="J2536" t="s">
        <v>89</v>
      </c>
      <c r="K2536" t="s">
        <v>95</v>
      </c>
      <c r="L2536" t="s">
        <v>96</v>
      </c>
      <c r="M2536">
        <v>260.7</v>
      </c>
    </row>
    <row r="2537">
      <c r="A2537" s="2">
        <v>45402</v>
      </c>
      <c r="B2537">
        <v>2024.0</v>
      </c>
      <c r="C2537" t="s">
        <v>318</v>
      </c>
      <c r="D2537" t="s">
        <v>316</v>
      </c>
      <c r="E2537" t="s">
        <v>177</v>
      </c>
      <c r="F2537" t="s">
        <v>307</v>
      </c>
      <c r="G2537" t="s">
        <v>12</v>
      </c>
      <c r="H2537">
        <v>6330.0</v>
      </c>
      <c r="I2537" t="s">
        <v>31</v>
      </c>
      <c r="J2537" t="s">
        <v>162</v>
      </c>
      <c r="K2537" t="s">
        <v>71</v>
      </c>
      <c r="L2537" t="s">
        <v>72</v>
      </c>
      <c r="M2537">
        <v>260.73</v>
      </c>
    </row>
    <row r="2538">
      <c r="A2538" s="2">
        <v>45355</v>
      </c>
      <c r="B2538">
        <v>2024.0</v>
      </c>
      <c r="C2538" t="s">
        <v>318</v>
      </c>
      <c r="D2538" t="s">
        <v>316</v>
      </c>
      <c r="E2538" t="s">
        <v>59</v>
      </c>
      <c r="F2538" t="s">
        <v>306</v>
      </c>
      <c r="G2538" t="s">
        <v>11</v>
      </c>
      <c r="H2538">
        <v>4509.0</v>
      </c>
      <c r="I2538" t="s">
        <v>31</v>
      </c>
      <c r="J2538" t="s">
        <v>61</v>
      </c>
      <c r="K2538" t="s">
        <v>112</v>
      </c>
      <c r="L2538" t="s">
        <v>113</v>
      </c>
      <c r="M2538">
        <v>260.73</v>
      </c>
    </row>
    <row r="2539">
      <c r="A2539" s="2">
        <v>45570</v>
      </c>
      <c r="B2539">
        <v>2025.0</v>
      </c>
      <c r="C2539" t="s">
        <v>315</v>
      </c>
      <c r="D2539" t="s">
        <v>316</v>
      </c>
      <c r="E2539" t="s">
        <v>252</v>
      </c>
      <c r="F2539" t="s">
        <v>305</v>
      </c>
      <c r="G2539" t="s">
        <v>10</v>
      </c>
      <c r="H2539">
        <v>3630.0</v>
      </c>
      <c r="I2539" t="s">
        <v>31</v>
      </c>
      <c r="J2539" t="s">
        <v>94</v>
      </c>
      <c r="K2539" t="s">
        <v>33</v>
      </c>
      <c r="L2539" t="s">
        <v>34</v>
      </c>
      <c r="M2539">
        <v>261.01</v>
      </c>
    </row>
    <row r="2540">
      <c r="A2540" s="2">
        <v>45484</v>
      </c>
      <c r="B2540">
        <v>2025.0</v>
      </c>
      <c r="C2540" t="s">
        <v>315</v>
      </c>
      <c r="D2540" t="s">
        <v>316</v>
      </c>
      <c r="E2540" t="s">
        <v>209</v>
      </c>
      <c r="F2540" t="s">
        <v>304</v>
      </c>
      <c r="G2540" t="s">
        <v>9</v>
      </c>
      <c r="H2540">
        <v>2116.0</v>
      </c>
      <c r="I2540" t="s">
        <v>31</v>
      </c>
      <c r="J2540" t="s">
        <v>81</v>
      </c>
      <c r="K2540" t="s">
        <v>33</v>
      </c>
      <c r="L2540" t="s">
        <v>34</v>
      </c>
      <c r="M2540">
        <v>261.25000000000006</v>
      </c>
    </row>
    <row r="2541">
      <c r="A2541" s="2">
        <v>45420</v>
      </c>
      <c r="B2541">
        <v>2024.0</v>
      </c>
      <c r="C2541" t="s">
        <v>318</v>
      </c>
      <c r="D2541" t="s">
        <v>316</v>
      </c>
      <c r="E2541" t="s">
        <v>230</v>
      </c>
      <c r="F2541" t="s">
        <v>308</v>
      </c>
      <c r="G2541" t="s">
        <v>13</v>
      </c>
      <c r="H2541">
        <v>5290.0</v>
      </c>
      <c r="I2541" t="s">
        <v>31</v>
      </c>
      <c r="J2541" t="s">
        <v>227</v>
      </c>
      <c r="K2541" t="s">
        <v>33</v>
      </c>
      <c r="L2541" t="s">
        <v>34</v>
      </c>
      <c r="M2541">
        <v>261.36</v>
      </c>
    </row>
    <row r="2542">
      <c r="A2542" s="2">
        <v>45641</v>
      </c>
      <c r="B2542">
        <v>2025.0</v>
      </c>
      <c r="C2542" t="s">
        <v>315</v>
      </c>
      <c r="D2542" t="s">
        <v>316</v>
      </c>
      <c r="E2542" t="s">
        <v>219</v>
      </c>
      <c r="F2542" t="s">
        <v>306</v>
      </c>
      <c r="G2542" t="s">
        <v>11</v>
      </c>
      <c r="H2542">
        <v>4068.0</v>
      </c>
      <c r="I2542" t="s">
        <v>31</v>
      </c>
      <c r="J2542" t="s">
        <v>56</v>
      </c>
      <c r="K2542" t="s">
        <v>38</v>
      </c>
      <c r="L2542" t="s">
        <v>39</v>
      </c>
      <c r="M2542">
        <v>261.46000000000004</v>
      </c>
    </row>
    <row r="2543">
      <c r="A2543" s="2">
        <v>45797</v>
      </c>
      <c r="B2543">
        <v>2025.0</v>
      </c>
      <c r="C2543" t="s">
        <v>315</v>
      </c>
      <c r="D2543" t="s">
        <v>319</v>
      </c>
      <c r="E2543" t="s">
        <v>35</v>
      </c>
      <c r="F2543" t="s">
        <v>305</v>
      </c>
      <c r="G2543" t="s">
        <v>10</v>
      </c>
      <c r="H2543">
        <v>3280.0</v>
      </c>
      <c r="I2543" t="s">
        <v>31</v>
      </c>
      <c r="J2543" t="s">
        <v>37</v>
      </c>
      <c r="K2543" t="s">
        <v>123</v>
      </c>
      <c r="L2543" t="s">
        <v>124</v>
      </c>
      <c r="M2543">
        <v>261.7</v>
      </c>
    </row>
    <row r="2544">
      <c r="A2544" s="2">
        <v>45303</v>
      </c>
      <c r="B2544">
        <v>2024.0</v>
      </c>
      <c r="C2544" t="s">
        <v>318</v>
      </c>
      <c r="D2544" t="s">
        <v>316</v>
      </c>
      <c r="E2544" t="s">
        <v>173</v>
      </c>
      <c r="F2544" t="s">
        <v>306</v>
      </c>
      <c r="G2544" t="s">
        <v>11</v>
      </c>
      <c r="H2544">
        <v>4220.0</v>
      </c>
      <c r="I2544" t="s">
        <v>31</v>
      </c>
      <c r="J2544" t="s">
        <v>61</v>
      </c>
      <c r="K2544" t="s">
        <v>33</v>
      </c>
      <c r="L2544" t="s">
        <v>34</v>
      </c>
      <c r="M2544">
        <v>261.73</v>
      </c>
    </row>
    <row r="2545">
      <c r="A2545" s="2">
        <v>45838</v>
      </c>
      <c r="B2545">
        <v>2025.0</v>
      </c>
      <c r="C2545" t="s">
        <v>315</v>
      </c>
      <c r="D2545" t="s">
        <v>316</v>
      </c>
      <c r="E2545" t="s">
        <v>121</v>
      </c>
      <c r="F2545" t="s">
        <v>306</v>
      </c>
      <c r="G2545" t="s">
        <v>11</v>
      </c>
      <c r="H2545">
        <v>4566.0</v>
      </c>
      <c r="I2545" t="s">
        <v>31</v>
      </c>
      <c r="J2545" t="s">
        <v>84</v>
      </c>
      <c r="K2545" t="s">
        <v>43</v>
      </c>
      <c r="L2545" t="s">
        <v>44</v>
      </c>
      <c r="M2545">
        <v>262.36</v>
      </c>
    </row>
    <row r="2546">
      <c r="A2546" s="2">
        <v>45539</v>
      </c>
      <c r="B2546">
        <v>2025.0</v>
      </c>
      <c r="C2546" t="s">
        <v>315</v>
      </c>
      <c r="D2546" t="s">
        <v>316</v>
      </c>
      <c r="E2546" t="s">
        <v>64</v>
      </c>
      <c r="F2546" t="s">
        <v>306</v>
      </c>
      <c r="G2546" t="s">
        <v>11</v>
      </c>
      <c r="H2546">
        <v>4215.0</v>
      </c>
      <c r="I2546" t="s">
        <v>31</v>
      </c>
      <c r="J2546" t="s">
        <v>61</v>
      </c>
      <c r="K2546" t="s">
        <v>95</v>
      </c>
      <c r="L2546" t="s">
        <v>96</v>
      </c>
      <c r="M2546">
        <v>262.47</v>
      </c>
    </row>
    <row r="2547">
      <c r="A2547" s="2">
        <v>46022</v>
      </c>
      <c r="B2547">
        <v>2026.0</v>
      </c>
      <c r="C2547" t="s">
        <v>321</v>
      </c>
      <c r="D2547" t="s">
        <v>316</v>
      </c>
      <c r="E2547" t="s">
        <v>29</v>
      </c>
      <c r="F2547" t="s">
        <v>306</v>
      </c>
      <c r="G2547" t="s">
        <v>11</v>
      </c>
      <c r="H2547">
        <v>4703.0</v>
      </c>
      <c r="I2547" t="s">
        <v>31</v>
      </c>
      <c r="J2547" t="s">
        <v>32</v>
      </c>
      <c r="K2547" t="s">
        <v>123</v>
      </c>
      <c r="L2547" t="s">
        <v>124</v>
      </c>
      <c r="M2547">
        <v>262.59</v>
      </c>
    </row>
    <row r="2548">
      <c r="A2548" s="2">
        <v>45403</v>
      </c>
      <c r="B2548">
        <v>2024.0</v>
      </c>
      <c r="C2548" t="s">
        <v>318</v>
      </c>
      <c r="D2548" t="s">
        <v>316</v>
      </c>
      <c r="E2548" t="s">
        <v>209</v>
      </c>
      <c r="F2548" t="s">
        <v>304</v>
      </c>
      <c r="G2548" t="s">
        <v>9</v>
      </c>
      <c r="H2548">
        <v>2116.0</v>
      </c>
      <c r="I2548" t="s">
        <v>31</v>
      </c>
      <c r="J2548" t="s">
        <v>81</v>
      </c>
      <c r="K2548" t="s">
        <v>112</v>
      </c>
      <c r="L2548" t="s">
        <v>113</v>
      </c>
      <c r="M2548">
        <v>262.82</v>
      </c>
    </row>
    <row r="2549">
      <c r="A2549" s="2">
        <v>45620</v>
      </c>
      <c r="B2549">
        <v>2025.0</v>
      </c>
      <c r="C2549" t="s">
        <v>315</v>
      </c>
      <c r="D2549" t="s">
        <v>316</v>
      </c>
      <c r="E2549" t="s">
        <v>230</v>
      </c>
      <c r="F2549" t="s">
        <v>308</v>
      </c>
      <c r="G2549" t="s">
        <v>13</v>
      </c>
      <c r="H2549">
        <v>5290.0</v>
      </c>
      <c r="I2549" t="s">
        <v>31</v>
      </c>
      <c r="J2549" t="s">
        <v>227</v>
      </c>
      <c r="K2549" t="s">
        <v>57</v>
      </c>
      <c r="L2549" t="s">
        <v>58</v>
      </c>
      <c r="M2549">
        <v>262.96000000000004</v>
      </c>
    </row>
    <row r="2550">
      <c r="A2550" s="2">
        <v>45555</v>
      </c>
      <c r="B2550">
        <v>2025.0</v>
      </c>
      <c r="C2550" t="s">
        <v>315</v>
      </c>
      <c r="D2550" t="s">
        <v>316</v>
      </c>
      <c r="E2550" t="s">
        <v>256</v>
      </c>
      <c r="F2550" t="s">
        <v>304</v>
      </c>
      <c r="G2550" t="s">
        <v>9</v>
      </c>
      <c r="H2550">
        <v>2350.0</v>
      </c>
      <c r="I2550" t="s">
        <v>31</v>
      </c>
      <c r="J2550" t="s">
        <v>70</v>
      </c>
      <c r="K2550" t="s">
        <v>66</v>
      </c>
      <c r="L2550" t="s">
        <v>67</v>
      </c>
      <c r="M2550">
        <v>263.95</v>
      </c>
    </row>
    <row r="2551">
      <c r="A2551" s="2">
        <v>45458</v>
      </c>
      <c r="B2551">
        <v>2024.0</v>
      </c>
      <c r="C2551" t="s">
        <v>318</v>
      </c>
      <c r="D2551" t="s">
        <v>316</v>
      </c>
      <c r="E2551" t="s">
        <v>137</v>
      </c>
      <c r="F2551" t="s">
        <v>305</v>
      </c>
      <c r="G2551" t="s">
        <v>10</v>
      </c>
      <c r="H2551">
        <v>3134.0</v>
      </c>
      <c r="I2551" t="s">
        <v>31</v>
      </c>
      <c r="J2551" t="s">
        <v>89</v>
      </c>
      <c r="K2551" t="s">
        <v>33</v>
      </c>
      <c r="L2551" t="s">
        <v>34</v>
      </c>
      <c r="M2551">
        <v>264.28999999999996</v>
      </c>
    </row>
    <row r="2552">
      <c r="A2552" s="2">
        <v>45847</v>
      </c>
      <c r="B2552">
        <v>2026.0</v>
      </c>
      <c r="C2552" t="s">
        <v>321</v>
      </c>
      <c r="D2552" t="s">
        <v>319</v>
      </c>
      <c r="E2552" t="s">
        <v>189</v>
      </c>
      <c r="F2552" t="s">
        <v>304</v>
      </c>
      <c r="G2552" t="s">
        <v>9</v>
      </c>
      <c r="H2552">
        <v>2131.0</v>
      </c>
      <c r="I2552" t="s">
        <v>31</v>
      </c>
      <c r="J2552" t="s">
        <v>81</v>
      </c>
      <c r="K2552" t="s">
        <v>38</v>
      </c>
      <c r="L2552" t="s">
        <v>39</v>
      </c>
      <c r="M2552">
        <v>264.5</v>
      </c>
    </row>
    <row r="2553">
      <c r="A2553" s="2">
        <v>45852</v>
      </c>
      <c r="B2553">
        <v>2026.0</v>
      </c>
      <c r="C2553" t="s">
        <v>321</v>
      </c>
      <c r="D2553" t="s">
        <v>316</v>
      </c>
      <c r="E2553" t="s">
        <v>108</v>
      </c>
      <c r="F2553" t="s">
        <v>304</v>
      </c>
      <c r="G2553" t="s">
        <v>9</v>
      </c>
      <c r="H2553">
        <v>2795.0</v>
      </c>
      <c r="I2553" t="s">
        <v>31</v>
      </c>
      <c r="J2553" t="s">
        <v>75</v>
      </c>
      <c r="K2553" t="s">
        <v>38</v>
      </c>
      <c r="L2553" t="s">
        <v>39</v>
      </c>
      <c r="M2553">
        <v>264.73</v>
      </c>
    </row>
    <row r="2554">
      <c r="A2554" s="2">
        <v>45985</v>
      </c>
      <c r="B2554">
        <v>2026.0</v>
      </c>
      <c r="C2554" t="s">
        <v>321</v>
      </c>
      <c r="D2554" t="s">
        <v>316</v>
      </c>
      <c r="E2554" t="s">
        <v>121</v>
      </c>
      <c r="F2554" t="s">
        <v>306</v>
      </c>
      <c r="G2554" t="s">
        <v>11</v>
      </c>
      <c r="H2554">
        <v>4566.0</v>
      </c>
      <c r="I2554" t="s">
        <v>31</v>
      </c>
      <c r="J2554" t="s">
        <v>84</v>
      </c>
      <c r="K2554" t="s">
        <v>43</v>
      </c>
      <c r="L2554" t="s">
        <v>44</v>
      </c>
      <c r="M2554">
        <v>264.83000000000004</v>
      </c>
    </row>
    <row r="2555">
      <c r="A2555" s="2">
        <v>45781</v>
      </c>
      <c r="B2555">
        <v>2025.0</v>
      </c>
      <c r="C2555" t="s">
        <v>315</v>
      </c>
      <c r="D2555" t="s">
        <v>319</v>
      </c>
      <c r="E2555" t="s">
        <v>205</v>
      </c>
      <c r="F2555" t="s">
        <v>305</v>
      </c>
      <c r="G2555" t="s">
        <v>10</v>
      </c>
      <c r="H2555">
        <v>3400.0</v>
      </c>
      <c r="I2555" t="s">
        <v>31</v>
      </c>
      <c r="J2555" t="s">
        <v>37</v>
      </c>
      <c r="K2555" t="s">
        <v>57</v>
      </c>
      <c r="L2555" t="s">
        <v>58</v>
      </c>
      <c r="M2555">
        <v>264.90999999999997</v>
      </c>
    </row>
    <row r="2556">
      <c r="A2556" s="2">
        <v>45968</v>
      </c>
      <c r="B2556">
        <v>2026.0</v>
      </c>
      <c r="C2556" t="s">
        <v>321</v>
      </c>
      <c r="D2556" t="s">
        <v>319</v>
      </c>
      <c r="E2556" t="s">
        <v>116</v>
      </c>
      <c r="F2556" t="s">
        <v>304</v>
      </c>
      <c r="G2556" t="s">
        <v>9</v>
      </c>
      <c r="H2556">
        <v>2485.0</v>
      </c>
      <c r="I2556" t="s">
        <v>31</v>
      </c>
      <c r="J2556" t="s">
        <v>70</v>
      </c>
      <c r="K2556" t="s">
        <v>46</v>
      </c>
      <c r="L2556" t="s">
        <v>47</v>
      </c>
      <c r="M2556">
        <v>265.32</v>
      </c>
    </row>
    <row r="2557">
      <c r="A2557" s="2">
        <v>45486</v>
      </c>
      <c r="B2557">
        <v>2025.0</v>
      </c>
      <c r="C2557" t="s">
        <v>315</v>
      </c>
      <c r="D2557" t="s">
        <v>316</v>
      </c>
      <c r="E2557" t="s">
        <v>183</v>
      </c>
      <c r="F2557" t="s">
        <v>304</v>
      </c>
      <c r="G2557" t="s">
        <v>9</v>
      </c>
      <c r="H2557">
        <v>2480.0</v>
      </c>
      <c r="I2557" t="s">
        <v>31</v>
      </c>
      <c r="J2557" t="s">
        <v>70</v>
      </c>
      <c r="K2557" t="s">
        <v>112</v>
      </c>
      <c r="L2557" t="s">
        <v>113</v>
      </c>
      <c r="M2557">
        <v>266.12</v>
      </c>
    </row>
    <row r="2558">
      <c r="A2558" s="2">
        <v>46011</v>
      </c>
      <c r="B2558">
        <v>2026.0</v>
      </c>
      <c r="C2558" t="s">
        <v>321</v>
      </c>
      <c r="D2558" t="s">
        <v>319</v>
      </c>
      <c r="E2558" t="s">
        <v>171</v>
      </c>
      <c r="F2558" t="s">
        <v>305</v>
      </c>
      <c r="G2558" t="s">
        <v>10</v>
      </c>
      <c r="H2558">
        <v>3500.0</v>
      </c>
      <c r="I2558" t="s">
        <v>31</v>
      </c>
      <c r="J2558" t="s">
        <v>37</v>
      </c>
      <c r="K2558" t="s">
        <v>71</v>
      </c>
      <c r="L2558" t="s">
        <v>72</v>
      </c>
      <c r="M2558">
        <v>266.26</v>
      </c>
    </row>
    <row r="2559">
      <c r="A2559" s="2">
        <v>45506</v>
      </c>
      <c r="B2559">
        <v>2025.0</v>
      </c>
      <c r="C2559" t="s">
        <v>315</v>
      </c>
      <c r="D2559" t="s">
        <v>316</v>
      </c>
      <c r="E2559" t="s">
        <v>225</v>
      </c>
      <c r="F2559" t="s">
        <v>308</v>
      </c>
      <c r="G2559" t="s">
        <v>13</v>
      </c>
      <c r="H2559">
        <v>5607.0</v>
      </c>
      <c r="I2559" t="s">
        <v>31</v>
      </c>
      <c r="J2559" t="s">
        <v>227</v>
      </c>
      <c r="K2559" t="s">
        <v>43</v>
      </c>
      <c r="L2559" t="s">
        <v>44</v>
      </c>
      <c r="M2559">
        <v>266.76</v>
      </c>
    </row>
    <row r="2560">
      <c r="A2560" s="2">
        <v>45377</v>
      </c>
      <c r="B2560">
        <v>2024.0</v>
      </c>
      <c r="C2560" t="s">
        <v>318</v>
      </c>
      <c r="D2560" t="s">
        <v>319</v>
      </c>
      <c r="E2560" t="s">
        <v>35</v>
      </c>
      <c r="F2560" t="s">
        <v>305</v>
      </c>
      <c r="G2560" t="s">
        <v>10</v>
      </c>
      <c r="H2560">
        <v>3280.0</v>
      </c>
      <c r="I2560" t="s">
        <v>31</v>
      </c>
      <c r="J2560" t="s">
        <v>37</v>
      </c>
      <c r="K2560" t="s">
        <v>112</v>
      </c>
      <c r="L2560" t="s">
        <v>113</v>
      </c>
      <c r="M2560">
        <v>266.9</v>
      </c>
    </row>
    <row r="2561">
      <c r="A2561" s="2">
        <v>45518</v>
      </c>
      <c r="B2561">
        <v>2025.0</v>
      </c>
      <c r="C2561" t="s">
        <v>315</v>
      </c>
      <c r="D2561" t="s">
        <v>316</v>
      </c>
      <c r="E2561" t="s">
        <v>221</v>
      </c>
      <c r="F2561" t="s">
        <v>306</v>
      </c>
      <c r="G2561" t="s">
        <v>11</v>
      </c>
      <c r="H2561">
        <v>4053.0</v>
      </c>
      <c r="I2561" t="s">
        <v>31</v>
      </c>
      <c r="J2561" t="s">
        <v>56</v>
      </c>
      <c r="K2561" t="s">
        <v>57</v>
      </c>
      <c r="L2561" t="s">
        <v>58</v>
      </c>
      <c r="M2561">
        <v>267.75</v>
      </c>
    </row>
    <row r="2562">
      <c r="A2562" s="2">
        <v>45528</v>
      </c>
      <c r="B2562">
        <v>2025.0</v>
      </c>
      <c r="C2562" t="s">
        <v>315</v>
      </c>
      <c r="D2562" t="s">
        <v>316</v>
      </c>
      <c r="E2562" t="s">
        <v>209</v>
      </c>
      <c r="F2562" t="s">
        <v>304</v>
      </c>
      <c r="G2562" t="s">
        <v>9</v>
      </c>
      <c r="H2562">
        <v>2116.0</v>
      </c>
      <c r="I2562" t="s">
        <v>31</v>
      </c>
      <c r="J2562" t="s">
        <v>81</v>
      </c>
      <c r="K2562" t="s">
        <v>95</v>
      </c>
      <c r="L2562" t="s">
        <v>96</v>
      </c>
      <c r="M2562">
        <v>268.96</v>
      </c>
    </row>
    <row r="2563">
      <c r="A2563" s="2">
        <v>45939</v>
      </c>
      <c r="B2563">
        <v>2026.0</v>
      </c>
      <c r="C2563" t="s">
        <v>321</v>
      </c>
      <c r="D2563" t="s">
        <v>319</v>
      </c>
      <c r="E2563" t="s">
        <v>85</v>
      </c>
      <c r="F2563" t="s">
        <v>304</v>
      </c>
      <c r="G2563" t="s">
        <v>9</v>
      </c>
      <c r="H2563">
        <v>2120.0</v>
      </c>
      <c r="I2563" t="s">
        <v>31</v>
      </c>
      <c r="J2563" t="s">
        <v>81</v>
      </c>
      <c r="K2563" t="s">
        <v>38</v>
      </c>
      <c r="L2563" t="s">
        <v>39</v>
      </c>
      <c r="M2563">
        <v>269.54</v>
      </c>
    </row>
    <row r="2564">
      <c r="A2564" s="2">
        <v>45426</v>
      </c>
      <c r="B2564">
        <v>2024.0</v>
      </c>
      <c r="C2564" t="s">
        <v>318</v>
      </c>
      <c r="D2564" t="s">
        <v>319</v>
      </c>
      <c r="E2564" t="s">
        <v>135</v>
      </c>
      <c r="F2564" t="s">
        <v>311</v>
      </c>
      <c r="G2564" t="s">
        <v>16</v>
      </c>
      <c r="H2564">
        <v>2609.0</v>
      </c>
      <c r="I2564" t="s">
        <v>31</v>
      </c>
      <c r="J2564" t="s">
        <v>107</v>
      </c>
      <c r="K2564" t="s">
        <v>71</v>
      </c>
      <c r="L2564" t="s">
        <v>72</v>
      </c>
      <c r="M2564">
        <v>269.82</v>
      </c>
    </row>
    <row r="2565">
      <c r="A2565" s="2">
        <v>45615</v>
      </c>
      <c r="B2565">
        <v>2025.0</v>
      </c>
      <c r="C2565" t="s">
        <v>315</v>
      </c>
      <c r="D2565" t="s">
        <v>316</v>
      </c>
      <c r="E2565" t="s">
        <v>97</v>
      </c>
      <c r="F2565" t="s">
        <v>304</v>
      </c>
      <c r="G2565" t="s">
        <v>9</v>
      </c>
      <c r="H2565">
        <v>2067.0</v>
      </c>
      <c r="I2565" t="s">
        <v>31</v>
      </c>
      <c r="J2565" t="s">
        <v>99</v>
      </c>
      <c r="K2565" t="s">
        <v>33</v>
      </c>
      <c r="L2565" t="s">
        <v>34</v>
      </c>
      <c r="M2565">
        <v>270.0</v>
      </c>
    </row>
    <row r="2566">
      <c r="A2566" s="2">
        <v>45908</v>
      </c>
      <c r="B2566">
        <v>2026.0</v>
      </c>
      <c r="C2566" t="s">
        <v>321</v>
      </c>
      <c r="D2566" t="s">
        <v>316</v>
      </c>
      <c r="E2566" t="s">
        <v>137</v>
      </c>
      <c r="F2566" t="s">
        <v>305</v>
      </c>
      <c r="G2566" t="s">
        <v>10</v>
      </c>
      <c r="H2566">
        <v>3134.0</v>
      </c>
      <c r="I2566" t="s">
        <v>31</v>
      </c>
      <c r="J2566" t="s">
        <v>89</v>
      </c>
      <c r="K2566" t="s">
        <v>46</v>
      </c>
      <c r="L2566" t="s">
        <v>47</v>
      </c>
      <c r="M2566">
        <v>270.66999999999996</v>
      </c>
    </row>
    <row r="2567">
      <c r="A2567" s="2">
        <v>45354</v>
      </c>
      <c r="B2567">
        <v>2024.0</v>
      </c>
      <c r="C2567" t="s">
        <v>318</v>
      </c>
      <c r="D2567" t="s">
        <v>319</v>
      </c>
      <c r="E2567" t="s">
        <v>213</v>
      </c>
      <c r="F2567" t="s">
        <v>306</v>
      </c>
      <c r="G2567" t="s">
        <v>11</v>
      </c>
      <c r="H2567">
        <v>4740.0</v>
      </c>
      <c r="I2567" t="s">
        <v>31</v>
      </c>
      <c r="J2567" t="s">
        <v>32</v>
      </c>
      <c r="K2567" t="s">
        <v>71</v>
      </c>
      <c r="L2567" t="s">
        <v>72</v>
      </c>
      <c r="M2567">
        <v>270.67999999999995</v>
      </c>
    </row>
    <row r="2568">
      <c r="A2568" s="2">
        <v>45740</v>
      </c>
      <c r="B2568">
        <v>2025.0</v>
      </c>
      <c r="C2568" t="s">
        <v>315</v>
      </c>
      <c r="D2568" t="s">
        <v>316</v>
      </c>
      <c r="E2568" t="s">
        <v>165</v>
      </c>
      <c r="F2568" t="s">
        <v>304</v>
      </c>
      <c r="G2568" t="s">
        <v>9</v>
      </c>
      <c r="H2568">
        <v>2064.0</v>
      </c>
      <c r="I2568" t="s">
        <v>31</v>
      </c>
      <c r="J2568" t="s">
        <v>99</v>
      </c>
      <c r="K2568" t="s">
        <v>112</v>
      </c>
      <c r="L2568" t="s">
        <v>113</v>
      </c>
      <c r="M2568">
        <v>271.34000000000003</v>
      </c>
    </row>
    <row r="2569">
      <c r="A2569" s="2">
        <v>45796</v>
      </c>
      <c r="B2569">
        <v>2025.0</v>
      </c>
      <c r="C2569" t="s">
        <v>315</v>
      </c>
      <c r="D2569" t="s">
        <v>316</v>
      </c>
      <c r="E2569" t="s">
        <v>90</v>
      </c>
      <c r="F2569" t="s">
        <v>305</v>
      </c>
      <c r="G2569" t="s">
        <v>10</v>
      </c>
      <c r="H2569">
        <v>3353.0</v>
      </c>
      <c r="I2569" t="s">
        <v>31</v>
      </c>
      <c r="J2569" t="s">
        <v>37</v>
      </c>
      <c r="K2569" t="s">
        <v>71</v>
      </c>
      <c r="L2569" t="s">
        <v>72</v>
      </c>
      <c r="M2569">
        <v>271.56</v>
      </c>
    </row>
    <row r="2570">
      <c r="A2570" s="2">
        <v>45467</v>
      </c>
      <c r="B2570">
        <v>2024.0</v>
      </c>
      <c r="C2570" t="s">
        <v>318</v>
      </c>
      <c r="D2570" t="s">
        <v>316</v>
      </c>
      <c r="E2570" t="s">
        <v>90</v>
      </c>
      <c r="F2570" t="s">
        <v>305</v>
      </c>
      <c r="G2570" t="s">
        <v>10</v>
      </c>
      <c r="H2570">
        <v>3353.0</v>
      </c>
      <c r="I2570" t="s">
        <v>31</v>
      </c>
      <c r="J2570" t="s">
        <v>37</v>
      </c>
      <c r="K2570" t="s">
        <v>46</v>
      </c>
      <c r="L2570" t="s">
        <v>47</v>
      </c>
      <c r="M2570">
        <v>272.21</v>
      </c>
    </row>
    <row r="2571">
      <c r="A2571" s="2">
        <v>45774</v>
      </c>
      <c r="B2571">
        <v>2025.0</v>
      </c>
      <c r="C2571" t="s">
        <v>315</v>
      </c>
      <c r="D2571" t="s">
        <v>316</v>
      </c>
      <c r="E2571" t="s">
        <v>152</v>
      </c>
      <c r="F2571" t="s">
        <v>306</v>
      </c>
      <c r="G2571" t="s">
        <v>11</v>
      </c>
      <c r="H2571">
        <v>4305.0</v>
      </c>
      <c r="I2571" t="s">
        <v>31</v>
      </c>
      <c r="J2571" t="s">
        <v>61</v>
      </c>
      <c r="K2571" t="s">
        <v>71</v>
      </c>
      <c r="L2571" t="s">
        <v>72</v>
      </c>
      <c r="M2571">
        <v>273.69</v>
      </c>
    </row>
    <row r="2572">
      <c r="A2572" s="2">
        <v>45824</v>
      </c>
      <c r="B2572">
        <v>2025.0</v>
      </c>
      <c r="C2572" t="s">
        <v>315</v>
      </c>
      <c r="D2572" t="s">
        <v>316</v>
      </c>
      <c r="E2572" t="s">
        <v>169</v>
      </c>
      <c r="F2572" t="s">
        <v>307</v>
      </c>
      <c r="G2572" t="s">
        <v>12</v>
      </c>
      <c r="H2572">
        <v>6027.0</v>
      </c>
      <c r="I2572" t="s">
        <v>31</v>
      </c>
      <c r="J2572" t="s">
        <v>102</v>
      </c>
      <c r="K2572" t="s">
        <v>95</v>
      </c>
      <c r="L2572" t="s">
        <v>96</v>
      </c>
      <c r="M2572">
        <v>273.72</v>
      </c>
    </row>
    <row r="2573">
      <c r="A2573" s="2">
        <v>45330</v>
      </c>
      <c r="B2573">
        <v>2024.0</v>
      </c>
      <c r="C2573" t="s">
        <v>318</v>
      </c>
      <c r="D2573" t="s">
        <v>316</v>
      </c>
      <c r="E2573" t="s">
        <v>82</v>
      </c>
      <c r="F2573" t="s">
        <v>306</v>
      </c>
      <c r="G2573" t="s">
        <v>11</v>
      </c>
      <c r="H2573">
        <v>4558.0</v>
      </c>
      <c r="I2573" t="s">
        <v>31</v>
      </c>
      <c r="J2573" t="s">
        <v>84</v>
      </c>
      <c r="K2573" t="s">
        <v>95</v>
      </c>
      <c r="L2573" t="s">
        <v>96</v>
      </c>
      <c r="M2573">
        <v>274.45</v>
      </c>
    </row>
    <row r="2574">
      <c r="A2574" s="2">
        <v>45522</v>
      </c>
      <c r="B2574">
        <v>2025.0</v>
      </c>
      <c r="C2574" t="s">
        <v>315</v>
      </c>
      <c r="D2574" t="s">
        <v>319</v>
      </c>
      <c r="E2574" t="s">
        <v>116</v>
      </c>
      <c r="F2574" t="s">
        <v>304</v>
      </c>
      <c r="G2574" t="s">
        <v>9</v>
      </c>
      <c r="H2574">
        <v>2485.0</v>
      </c>
      <c r="I2574" t="s">
        <v>31</v>
      </c>
      <c r="J2574" t="s">
        <v>70</v>
      </c>
      <c r="K2574" t="s">
        <v>112</v>
      </c>
      <c r="L2574" t="s">
        <v>113</v>
      </c>
      <c r="M2574">
        <v>274.88</v>
      </c>
    </row>
    <row r="2575">
      <c r="A2575" s="2">
        <v>45574</v>
      </c>
      <c r="B2575">
        <v>2025.0</v>
      </c>
      <c r="C2575" t="s">
        <v>315</v>
      </c>
      <c r="D2575" t="s">
        <v>316</v>
      </c>
      <c r="E2575" t="s">
        <v>209</v>
      </c>
      <c r="F2575" t="s">
        <v>304</v>
      </c>
      <c r="G2575" t="s">
        <v>9</v>
      </c>
      <c r="H2575">
        <v>2116.0</v>
      </c>
      <c r="I2575" t="s">
        <v>31</v>
      </c>
      <c r="J2575" t="s">
        <v>81</v>
      </c>
      <c r="K2575" t="s">
        <v>95</v>
      </c>
      <c r="L2575" t="s">
        <v>96</v>
      </c>
      <c r="M2575">
        <v>275.64000000000004</v>
      </c>
    </row>
    <row r="2576">
      <c r="A2576" s="2">
        <v>45794</v>
      </c>
      <c r="B2576">
        <v>2025.0</v>
      </c>
      <c r="C2576" t="s">
        <v>315</v>
      </c>
      <c r="D2576" t="s">
        <v>316</v>
      </c>
      <c r="E2576" t="s">
        <v>76</v>
      </c>
      <c r="F2576" t="s">
        <v>306</v>
      </c>
      <c r="G2576" t="s">
        <v>11</v>
      </c>
      <c r="H2576">
        <v>4883.0</v>
      </c>
      <c r="I2576" t="s">
        <v>31</v>
      </c>
      <c r="J2576" t="s">
        <v>78</v>
      </c>
      <c r="K2576" t="s">
        <v>71</v>
      </c>
      <c r="L2576" t="s">
        <v>72</v>
      </c>
      <c r="M2576">
        <v>275.65</v>
      </c>
    </row>
    <row r="2577">
      <c r="A2577" s="2">
        <v>45500</v>
      </c>
      <c r="B2577">
        <v>2025.0</v>
      </c>
      <c r="C2577" t="s">
        <v>315</v>
      </c>
      <c r="D2577" t="s">
        <v>316</v>
      </c>
      <c r="E2577" t="s">
        <v>131</v>
      </c>
      <c r="F2577" t="s">
        <v>306</v>
      </c>
      <c r="G2577" t="s">
        <v>11</v>
      </c>
      <c r="H2577">
        <v>4655.0</v>
      </c>
      <c r="I2577" t="s">
        <v>31</v>
      </c>
      <c r="J2577" t="s">
        <v>32</v>
      </c>
      <c r="K2577" t="s">
        <v>33</v>
      </c>
      <c r="L2577" t="s">
        <v>34</v>
      </c>
      <c r="M2577">
        <v>275.93999999999994</v>
      </c>
    </row>
    <row r="2578">
      <c r="A2578" s="2">
        <v>45978</v>
      </c>
      <c r="B2578">
        <v>2026.0</v>
      </c>
      <c r="C2578" t="s">
        <v>321</v>
      </c>
      <c r="D2578" t="s">
        <v>316</v>
      </c>
      <c r="E2578" t="s">
        <v>242</v>
      </c>
      <c r="F2578" t="s">
        <v>305</v>
      </c>
      <c r="G2578" t="s">
        <v>10</v>
      </c>
      <c r="H2578">
        <v>3977.0</v>
      </c>
      <c r="I2578" t="s">
        <v>31</v>
      </c>
      <c r="J2578" t="s">
        <v>94</v>
      </c>
      <c r="K2578" t="s">
        <v>46</v>
      </c>
      <c r="L2578" t="s">
        <v>47</v>
      </c>
      <c r="M2578">
        <v>276.24</v>
      </c>
    </row>
    <row r="2579">
      <c r="A2579" s="2">
        <v>45779</v>
      </c>
      <c r="B2579">
        <v>2025.0</v>
      </c>
      <c r="C2579" t="s">
        <v>315</v>
      </c>
      <c r="D2579" t="s">
        <v>316</v>
      </c>
      <c r="E2579" t="s">
        <v>127</v>
      </c>
      <c r="F2579" t="s">
        <v>306</v>
      </c>
      <c r="G2579" t="s">
        <v>11</v>
      </c>
      <c r="H2579">
        <v>4802.0</v>
      </c>
      <c r="I2579" t="s">
        <v>31</v>
      </c>
      <c r="J2579" t="s">
        <v>78</v>
      </c>
      <c r="K2579" t="s">
        <v>46</v>
      </c>
      <c r="L2579" t="s">
        <v>47</v>
      </c>
      <c r="M2579">
        <v>276.27</v>
      </c>
    </row>
    <row r="2580">
      <c r="A2580" s="2">
        <v>45672</v>
      </c>
      <c r="B2580">
        <v>2025.0</v>
      </c>
      <c r="C2580" t="s">
        <v>315</v>
      </c>
      <c r="D2580" t="s">
        <v>316</v>
      </c>
      <c r="E2580" t="s">
        <v>183</v>
      </c>
      <c r="F2580" t="s">
        <v>304</v>
      </c>
      <c r="G2580" t="s">
        <v>9</v>
      </c>
      <c r="H2580">
        <v>2480.0</v>
      </c>
      <c r="I2580" t="s">
        <v>31</v>
      </c>
      <c r="J2580" t="s">
        <v>70</v>
      </c>
      <c r="K2580" t="s">
        <v>38</v>
      </c>
      <c r="L2580" t="s">
        <v>39</v>
      </c>
      <c r="M2580">
        <v>276.58000000000004</v>
      </c>
    </row>
    <row r="2581">
      <c r="A2581" s="2">
        <v>46004</v>
      </c>
      <c r="B2581">
        <v>2026.0</v>
      </c>
      <c r="C2581" t="s">
        <v>321</v>
      </c>
      <c r="D2581" t="s">
        <v>316</v>
      </c>
      <c r="E2581" t="s">
        <v>195</v>
      </c>
      <c r="F2581" t="s">
        <v>306</v>
      </c>
      <c r="G2581" t="s">
        <v>11</v>
      </c>
      <c r="H2581">
        <v>4700.0</v>
      </c>
      <c r="I2581" t="s">
        <v>31</v>
      </c>
      <c r="J2581" t="s">
        <v>32</v>
      </c>
      <c r="K2581" t="s">
        <v>43</v>
      </c>
      <c r="L2581" t="s">
        <v>44</v>
      </c>
      <c r="M2581">
        <v>276.71000000000004</v>
      </c>
    </row>
    <row r="2582">
      <c r="A2582" s="2">
        <v>45510</v>
      </c>
      <c r="B2582">
        <v>2025.0</v>
      </c>
      <c r="C2582" t="s">
        <v>315</v>
      </c>
      <c r="D2582" t="s">
        <v>316</v>
      </c>
      <c r="E2582" t="s">
        <v>68</v>
      </c>
      <c r="F2582" t="s">
        <v>304</v>
      </c>
      <c r="G2582" t="s">
        <v>9</v>
      </c>
      <c r="H2582">
        <v>2478.0</v>
      </c>
      <c r="I2582" t="s">
        <v>31</v>
      </c>
      <c r="J2582" t="s">
        <v>70</v>
      </c>
      <c r="K2582" t="s">
        <v>43</v>
      </c>
      <c r="L2582" t="s">
        <v>44</v>
      </c>
      <c r="M2582">
        <v>277.03</v>
      </c>
    </row>
    <row r="2583">
      <c r="A2583" s="2">
        <v>45464</v>
      </c>
      <c r="B2583">
        <v>2024.0</v>
      </c>
      <c r="C2583" t="s">
        <v>318</v>
      </c>
      <c r="D2583" t="s">
        <v>316</v>
      </c>
      <c r="E2583" t="s">
        <v>177</v>
      </c>
      <c r="F2583" t="s">
        <v>307</v>
      </c>
      <c r="G2583" t="s">
        <v>12</v>
      </c>
      <c r="H2583">
        <v>6330.0</v>
      </c>
      <c r="I2583" t="s">
        <v>31</v>
      </c>
      <c r="J2583" t="s">
        <v>162</v>
      </c>
      <c r="K2583" t="s">
        <v>43</v>
      </c>
      <c r="L2583" t="s">
        <v>44</v>
      </c>
      <c r="M2583">
        <v>277.34999999999997</v>
      </c>
    </row>
    <row r="2584">
      <c r="A2584" s="2">
        <v>45917</v>
      </c>
      <c r="B2584">
        <v>2026.0</v>
      </c>
      <c r="C2584" t="s">
        <v>321</v>
      </c>
      <c r="D2584" t="s">
        <v>316</v>
      </c>
      <c r="E2584" t="s">
        <v>160</v>
      </c>
      <c r="F2584" t="s">
        <v>307</v>
      </c>
      <c r="G2584" t="s">
        <v>12</v>
      </c>
      <c r="H2584">
        <v>6280.0</v>
      </c>
      <c r="I2584" t="s">
        <v>31</v>
      </c>
      <c r="J2584" t="s">
        <v>162</v>
      </c>
      <c r="K2584" t="s">
        <v>57</v>
      </c>
      <c r="L2584" t="s">
        <v>58</v>
      </c>
      <c r="M2584">
        <v>277.65999999999997</v>
      </c>
    </row>
    <row r="2585">
      <c r="A2585" s="2">
        <v>45710</v>
      </c>
      <c r="B2585">
        <v>2025.0</v>
      </c>
      <c r="C2585" t="s">
        <v>315</v>
      </c>
      <c r="D2585" t="s">
        <v>319</v>
      </c>
      <c r="E2585" t="s">
        <v>40</v>
      </c>
      <c r="F2585" t="s">
        <v>308</v>
      </c>
      <c r="G2585" t="s">
        <v>13</v>
      </c>
      <c r="H2585">
        <v>5011.0</v>
      </c>
      <c r="I2585" t="s">
        <v>31</v>
      </c>
      <c r="J2585" t="s">
        <v>42</v>
      </c>
      <c r="K2585" t="s">
        <v>43</v>
      </c>
      <c r="L2585" t="s">
        <v>44</v>
      </c>
      <c r="M2585">
        <v>277.74</v>
      </c>
    </row>
    <row r="2586">
      <c r="A2586" s="2">
        <v>45630</v>
      </c>
      <c r="B2586">
        <v>2025.0</v>
      </c>
      <c r="C2586" t="s">
        <v>315</v>
      </c>
      <c r="D2586" t="s">
        <v>319</v>
      </c>
      <c r="E2586" t="s">
        <v>185</v>
      </c>
      <c r="F2586" t="s">
        <v>307</v>
      </c>
      <c r="G2586" t="s">
        <v>12</v>
      </c>
      <c r="H2586">
        <v>6109.0</v>
      </c>
      <c r="I2586" t="s">
        <v>31</v>
      </c>
      <c r="J2586" t="s">
        <v>162</v>
      </c>
      <c r="K2586" t="s">
        <v>57</v>
      </c>
      <c r="L2586" t="s">
        <v>58</v>
      </c>
      <c r="M2586">
        <v>278.97</v>
      </c>
    </row>
    <row r="2587">
      <c r="A2587" s="2">
        <v>45561</v>
      </c>
      <c r="B2587">
        <v>2025.0</v>
      </c>
      <c r="C2587" t="s">
        <v>315</v>
      </c>
      <c r="D2587" t="s">
        <v>319</v>
      </c>
      <c r="E2587" t="s">
        <v>156</v>
      </c>
      <c r="F2587" t="s">
        <v>304</v>
      </c>
      <c r="G2587" t="s">
        <v>9</v>
      </c>
      <c r="H2587">
        <v>2830.0</v>
      </c>
      <c r="I2587" t="s">
        <v>31</v>
      </c>
      <c r="J2587" t="s">
        <v>75</v>
      </c>
      <c r="K2587" t="s">
        <v>71</v>
      </c>
      <c r="L2587" t="s">
        <v>72</v>
      </c>
      <c r="M2587">
        <v>279.0</v>
      </c>
    </row>
    <row r="2588">
      <c r="A2588" s="2">
        <v>45500</v>
      </c>
      <c r="B2588">
        <v>2025.0</v>
      </c>
      <c r="C2588" t="s">
        <v>315</v>
      </c>
      <c r="D2588" t="s">
        <v>316</v>
      </c>
      <c r="E2588" t="s">
        <v>35</v>
      </c>
      <c r="F2588" t="s">
        <v>305</v>
      </c>
      <c r="G2588" t="s">
        <v>10</v>
      </c>
      <c r="H2588">
        <v>3280.0</v>
      </c>
      <c r="I2588" t="s">
        <v>31</v>
      </c>
      <c r="J2588" t="s">
        <v>37</v>
      </c>
      <c r="K2588" t="s">
        <v>71</v>
      </c>
      <c r="L2588" t="s">
        <v>72</v>
      </c>
      <c r="M2588">
        <v>279.65999999999997</v>
      </c>
    </row>
    <row r="2589">
      <c r="A2589" s="2">
        <v>45641</v>
      </c>
      <c r="B2589">
        <v>2025.0</v>
      </c>
      <c r="C2589" t="s">
        <v>315</v>
      </c>
      <c r="D2589" t="s">
        <v>316</v>
      </c>
      <c r="E2589" t="s">
        <v>121</v>
      </c>
      <c r="F2589" t="s">
        <v>306</v>
      </c>
      <c r="G2589" t="s">
        <v>11</v>
      </c>
      <c r="H2589">
        <v>4566.0</v>
      </c>
      <c r="I2589" t="s">
        <v>31</v>
      </c>
      <c r="J2589" t="s">
        <v>84</v>
      </c>
      <c r="K2589" t="s">
        <v>71</v>
      </c>
      <c r="L2589" t="s">
        <v>72</v>
      </c>
      <c r="M2589">
        <v>279.74</v>
      </c>
    </row>
    <row r="2590">
      <c r="A2590" s="2">
        <v>45465</v>
      </c>
      <c r="B2590">
        <v>2024.0</v>
      </c>
      <c r="C2590" t="s">
        <v>318</v>
      </c>
      <c r="D2590" t="s">
        <v>316</v>
      </c>
      <c r="E2590" t="s">
        <v>82</v>
      </c>
      <c r="F2590" t="s">
        <v>306</v>
      </c>
      <c r="G2590" t="s">
        <v>11</v>
      </c>
      <c r="H2590">
        <v>4558.0</v>
      </c>
      <c r="I2590" t="s">
        <v>31</v>
      </c>
      <c r="J2590" t="s">
        <v>84</v>
      </c>
      <c r="K2590" t="s">
        <v>46</v>
      </c>
      <c r="L2590" t="s">
        <v>47</v>
      </c>
      <c r="M2590">
        <v>280.56</v>
      </c>
    </row>
    <row r="2591">
      <c r="A2591" s="2">
        <v>45392</v>
      </c>
      <c r="B2591">
        <v>2024.0</v>
      </c>
      <c r="C2591" t="s">
        <v>318</v>
      </c>
      <c r="D2591" t="s">
        <v>316</v>
      </c>
      <c r="E2591" t="s">
        <v>100</v>
      </c>
      <c r="F2591" t="s">
        <v>307</v>
      </c>
      <c r="G2591" t="s">
        <v>12</v>
      </c>
      <c r="H2591">
        <v>6010.0</v>
      </c>
      <c r="I2591" t="s">
        <v>31</v>
      </c>
      <c r="J2591" t="s">
        <v>102</v>
      </c>
      <c r="K2591" t="s">
        <v>33</v>
      </c>
      <c r="L2591" t="s">
        <v>34</v>
      </c>
      <c r="M2591">
        <v>281.53000000000003</v>
      </c>
    </row>
    <row r="2592">
      <c r="A2592" s="2">
        <v>45840</v>
      </c>
      <c r="B2592">
        <v>2026.0</v>
      </c>
      <c r="C2592" t="s">
        <v>321</v>
      </c>
      <c r="D2592" t="s">
        <v>319</v>
      </c>
      <c r="E2592" t="s">
        <v>240</v>
      </c>
      <c r="F2592" t="s">
        <v>310</v>
      </c>
      <c r="G2592" t="s">
        <v>15</v>
      </c>
      <c r="H2592">
        <v>7010.0</v>
      </c>
      <c r="I2592" t="s">
        <v>31</v>
      </c>
      <c r="J2592" t="s">
        <v>53</v>
      </c>
      <c r="K2592" t="s">
        <v>71</v>
      </c>
      <c r="L2592" t="s">
        <v>72</v>
      </c>
      <c r="M2592">
        <v>281.58</v>
      </c>
    </row>
    <row r="2593">
      <c r="A2593" s="2">
        <v>45921</v>
      </c>
      <c r="B2593">
        <v>2026.0</v>
      </c>
      <c r="C2593" t="s">
        <v>321</v>
      </c>
      <c r="D2593" t="s">
        <v>316</v>
      </c>
      <c r="E2593" t="s">
        <v>64</v>
      </c>
      <c r="F2593" t="s">
        <v>306</v>
      </c>
      <c r="G2593" t="s">
        <v>11</v>
      </c>
      <c r="H2593">
        <v>4215.0</v>
      </c>
      <c r="I2593" t="s">
        <v>31</v>
      </c>
      <c r="J2593" t="s">
        <v>61</v>
      </c>
      <c r="K2593" t="s">
        <v>46</v>
      </c>
      <c r="L2593" t="s">
        <v>47</v>
      </c>
      <c r="M2593">
        <v>281.81</v>
      </c>
    </row>
    <row r="2594">
      <c r="A2594" s="2">
        <v>45961</v>
      </c>
      <c r="B2594">
        <v>2026.0</v>
      </c>
      <c r="C2594" t="s">
        <v>321</v>
      </c>
      <c r="D2594" t="s">
        <v>319</v>
      </c>
      <c r="E2594" t="s">
        <v>203</v>
      </c>
      <c r="F2594" t="s">
        <v>305</v>
      </c>
      <c r="G2594" t="s">
        <v>10</v>
      </c>
      <c r="H2594">
        <v>3175.0</v>
      </c>
      <c r="I2594" t="s">
        <v>31</v>
      </c>
      <c r="J2594" t="s">
        <v>89</v>
      </c>
      <c r="K2594" t="s">
        <v>46</v>
      </c>
      <c r="L2594" t="s">
        <v>47</v>
      </c>
      <c r="M2594">
        <v>281.90999999999997</v>
      </c>
    </row>
    <row r="2595">
      <c r="A2595" s="2">
        <v>45388</v>
      </c>
      <c r="B2595">
        <v>2024.0</v>
      </c>
      <c r="C2595" t="s">
        <v>318</v>
      </c>
      <c r="D2595" t="s">
        <v>316</v>
      </c>
      <c r="E2595" t="s">
        <v>221</v>
      </c>
      <c r="F2595" t="s">
        <v>306</v>
      </c>
      <c r="G2595" t="s">
        <v>11</v>
      </c>
      <c r="H2595">
        <v>4053.0</v>
      </c>
      <c r="I2595" t="s">
        <v>31</v>
      </c>
      <c r="J2595" t="s">
        <v>56</v>
      </c>
      <c r="K2595" t="s">
        <v>33</v>
      </c>
      <c r="L2595" t="s">
        <v>34</v>
      </c>
      <c r="M2595">
        <v>281.91</v>
      </c>
    </row>
    <row r="2596">
      <c r="A2596" s="2">
        <v>45803</v>
      </c>
      <c r="B2596">
        <v>2025.0</v>
      </c>
      <c r="C2596" t="s">
        <v>315</v>
      </c>
      <c r="D2596" t="s">
        <v>319</v>
      </c>
      <c r="E2596" t="s">
        <v>146</v>
      </c>
      <c r="F2596" t="s">
        <v>304</v>
      </c>
      <c r="G2596" t="s">
        <v>9</v>
      </c>
      <c r="H2596">
        <v>2790.0</v>
      </c>
      <c r="I2596" t="s">
        <v>31</v>
      </c>
      <c r="J2596" t="s">
        <v>75</v>
      </c>
      <c r="K2596" t="s">
        <v>33</v>
      </c>
      <c r="L2596" t="s">
        <v>34</v>
      </c>
      <c r="M2596">
        <v>281.92</v>
      </c>
    </row>
    <row r="2597">
      <c r="A2597" s="2">
        <v>45720</v>
      </c>
      <c r="B2597">
        <v>2025.0</v>
      </c>
      <c r="C2597" t="s">
        <v>315</v>
      </c>
      <c r="D2597" t="s">
        <v>316</v>
      </c>
      <c r="E2597" t="s">
        <v>154</v>
      </c>
      <c r="F2597" t="s">
        <v>306</v>
      </c>
      <c r="G2597" t="s">
        <v>11</v>
      </c>
      <c r="H2597">
        <v>4551.0</v>
      </c>
      <c r="I2597" t="s">
        <v>31</v>
      </c>
      <c r="J2597" t="s">
        <v>84</v>
      </c>
      <c r="K2597" t="s">
        <v>46</v>
      </c>
      <c r="L2597" t="s">
        <v>47</v>
      </c>
      <c r="M2597">
        <v>282.05</v>
      </c>
    </row>
    <row r="2598">
      <c r="A2598" s="2">
        <v>45478</v>
      </c>
      <c r="B2598">
        <v>2025.0</v>
      </c>
      <c r="C2598" t="s">
        <v>315</v>
      </c>
      <c r="D2598" t="s">
        <v>316</v>
      </c>
      <c r="E2598" t="s">
        <v>189</v>
      </c>
      <c r="F2598" t="s">
        <v>304</v>
      </c>
      <c r="G2598" t="s">
        <v>9</v>
      </c>
      <c r="H2598">
        <v>2131.0</v>
      </c>
      <c r="I2598" t="s">
        <v>31</v>
      </c>
      <c r="J2598" t="s">
        <v>81</v>
      </c>
      <c r="K2598" t="s">
        <v>95</v>
      </c>
      <c r="L2598" t="s">
        <v>96</v>
      </c>
      <c r="M2598">
        <v>282.46</v>
      </c>
    </row>
    <row r="2599">
      <c r="A2599" s="2">
        <v>45760</v>
      </c>
      <c r="B2599">
        <v>2025.0</v>
      </c>
      <c r="C2599" t="s">
        <v>315</v>
      </c>
      <c r="D2599" t="s">
        <v>319</v>
      </c>
      <c r="E2599" t="s">
        <v>236</v>
      </c>
      <c r="F2599" t="s">
        <v>307</v>
      </c>
      <c r="G2599" t="s">
        <v>12</v>
      </c>
      <c r="H2599">
        <v>6052.0</v>
      </c>
      <c r="I2599" t="s">
        <v>31</v>
      </c>
      <c r="J2599" t="s">
        <v>102</v>
      </c>
      <c r="K2599" t="s">
        <v>33</v>
      </c>
      <c r="L2599" t="s">
        <v>34</v>
      </c>
      <c r="M2599">
        <v>282.81</v>
      </c>
    </row>
    <row r="2600">
      <c r="A2600" s="2">
        <v>45533</v>
      </c>
      <c r="B2600">
        <v>2025.0</v>
      </c>
      <c r="C2600" t="s">
        <v>315</v>
      </c>
      <c r="D2600" t="s">
        <v>316</v>
      </c>
      <c r="E2600" t="s">
        <v>258</v>
      </c>
      <c r="F2600" t="s">
        <v>309</v>
      </c>
      <c r="G2600" t="s">
        <v>14</v>
      </c>
      <c r="H2600">
        <v>870.0</v>
      </c>
      <c r="I2600" t="s">
        <v>31</v>
      </c>
      <c r="J2600" t="s">
        <v>145</v>
      </c>
      <c r="K2600" t="s">
        <v>71</v>
      </c>
      <c r="L2600" t="s">
        <v>72</v>
      </c>
      <c r="M2600">
        <v>283.03</v>
      </c>
    </row>
    <row r="2601">
      <c r="A2601" s="2">
        <v>46005</v>
      </c>
      <c r="B2601">
        <v>2026.0</v>
      </c>
      <c r="C2601" t="s">
        <v>321</v>
      </c>
      <c r="D2601" t="s">
        <v>316</v>
      </c>
      <c r="E2601" t="s">
        <v>211</v>
      </c>
      <c r="F2601" t="s">
        <v>304</v>
      </c>
      <c r="G2601" t="s">
        <v>9</v>
      </c>
      <c r="H2601">
        <v>2650.0</v>
      </c>
      <c r="I2601" t="s">
        <v>31</v>
      </c>
      <c r="J2601" t="s">
        <v>75</v>
      </c>
      <c r="K2601" t="s">
        <v>95</v>
      </c>
      <c r="L2601" t="s">
        <v>96</v>
      </c>
      <c r="M2601">
        <v>283.23</v>
      </c>
    </row>
    <row r="2602">
      <c r="A2602" s="2">
        <v>45596</v>
      </c>
      <c r="B2602">
        <v>2025.0</v>
      </c>
      <c r="C2602" t="s">
        <v>315</v>
      </c>
      <c r="D2602" t="s">
        <v>316</v>
      </c>
      <c r="E2602" t="s">
        <v>64</v>
      </c>
      <c r="F2602" t="s">
        <v>306</v>
      </c>
      <c r="G2602" t="s">
        <v>11</v>
      </c>
      <c r="H2602">
        <v>4215.0</v>
      </c>
      <c r="I2602" t="s">
        <v>31</v>
      </c>
      <c r="J2602" t="s">
        <v>61</v>
      </c>
      <c r="K2602" t="s">
        <v>38</v>
      </c>
      <c r="L2602" t="s">
        <v>39</v>
      </c>
      <c r="M2602">
        <v>283.61</v>
      </c>
    </row>
    <row r="2603">
      <c r="A2603" s="2">
        <v>45973</v>
      </c>
      <c r="B2603">
        <v>2026.0</v>
      </c>
      <c r="C2603" t="s">
        <v>321</v>
      </c>
      <c r="D2603" t="s">
        <v>319</v>
      </c>
      <c r="E2603" t="s">
        <v>141</v>
      </c>
      <c r="F2603" t="s">
        <v>304</v>
      </c>
      <c r="G2603" t="s">
        <v>9</v>
      </c>
      <c r="H2603">
        <v>2539.0</v>
      </c>
      <c r="I2603" t="s">
        <v>31</v>
      </c>
      <c r="J2603" t="s">
        <v>107</v>
      </c>
      <c r="K2603" t="s">
        <v>33</v>
      </c>
      <c r="L2603" t="s">
        <v>34</v>
      </c>
      <c r="M2603">
        <v>284.16999999999996</v>
      </c>
    </row>
    <row r="2604">
      <c r="A2604" s="2">
        <v>45926</v>
      </c>
      <c r="B2604">
        <v>2026.0</v>
      </c>
      <c r="C2604" t="s">
        <v>321</v>
      </c>
      <c r="D2604" t="s">
        <v>316</v>
      </c>
      <c r="E2604" t="s">
        <v>232</v>
      </c>
      <c r="F2604" t="s">
        <v>304</v>
      </c>
      <c r="G2604" t="s">
        <v>9</v>
      </c>
      <c r="H2604">
        <v>2800.0</v>
      </c>
      <c r="I2604" t="s">
        <v>31</v>
      </c>
      <c r="J2604" t="s">
        <v>75</v>
      </c>
      <c r="K2604" t="s">
        <v>33</v>
      </c>
      <c r="L2604" t="s">
        <v>34</v>
      </c>
      <c r="M2604">
        <v>285.3</v>
      </c>
    </row>
    <row r="2605">
      <c r="A2605" s="2">
        <v>45301</v>
      </c>
      <c r="B2605">
        <v>2024.0</v>
      </c>
      <c r="C2605" t="s">
        <v>318</v>
      </c>
      <c r="D2605" t="s">
        <v>316</v>
      </c>
      <c r="E2605" t="s">
        <v>152</v>
      </c>
      <c r="F2605" t="s">
        <v>306</v>
      </c>
      <c r="G2605" t="s">
        <v>11</v>
      </c>
      <c r="H2605">
        <v>4305.0</v>
      </c>
      <c r="I2605" t="s">
        <v>31</v>
      </c>
      <c r="J2605" t="s">
        <v>61</v>
      </c>
      <c r="K2605" t="s">
        <v>33</v>
      </c>
      <c r="L2605" t="s">
        <v>34</v>
      </c>
      <c r="M2605">
        <v>285.38</v>
      </c>
    </row>
    <row r="2606">
      <c r="A2606" s="2">
        <v>45457</v>
      </c>
      <c r="B2606">
        <v>2024.0</v>
      </c>
      <c r="C2606" t="s">
        <v>318</v>
      </c>
      <c r="D2606" t="s">
        <v>316</v>
      </c>
      <c r="E2606" t="s">
        <v>195</v>
      </c>
      <c r="F2606" t="s">
        <v>306</v>
      </c>
      <c r="G2606" t="s">
        <v>11</v>
      </c>
      <c r="H2606">
        <v>4700.0</v>
      </c>
      <c r="I2606" t="s">
        <v>31</v>
      </c>
      <c r="J2606" t="s">
        <v>32</v>
      </c>
      <c r="K2606" t="s">
        <v>123</v>
      </c>
      <c r="L2606" t="s">
        <v>124</v>
      </c>
      <c r="M2606">
        <v>285.39</v>
      </c>
    </row>
    <row r="2607">
      <c r="A2607" s="2">
        <v>45757</v>
      </c>
      <c r="B2607">
        <v>2025.0</v>
      </c>
      <c r="C2607" t="s">
        <v>315</v>
      </c>
      <c r="D2607" t="s">
        <v>316</v>
      </c>
      <c r="E2607" t="s">
        <v>175</v>
      </c>
      <c r="F2607" t="s">
        <v>311</v>
      </c>
      <c r="G2607" t="s">
        <v>16</v>
      </c>
      <c r="H2607">
        <v>2617.0</v>
      </c>
      <c r="I2607" t="s">
        <v>31</v>
      </c>
      <c r="J2607" t="s">
        <v>107</v>
      </c>
      <c r="K2607" t="s">
        <v>57</v>
      </c>
      <c r="L2607" t="s">
        <v>58</v>
      </c>
      <c r="M2607">
        <v>285.46000000000004</v>
      </c>
    </row>
    <row r="2608">
      <c r="A2608" s="2">
        <v>45434</v>
      </c>
      <c r="B2608">
        <v>2024.0</v>
      </c>
      <c r="C2608" t="s">
        <v>318</v>
      </c>
      <c r="D2608" t="s">
        <v>316</v>
      </c>
      <c r="E2608" t="s">
        <v>189</v>
      </c>
      <c r="F2608" t="s">
        <v>304</v>
      </c>
      <c r="G2608" t="s">
        <v>9</v>
      </c>
      <c r="H2608">
        <v>2131.0</v>
      </c>
      <c r="I2608" t="s">
        <v>31</v>
      </c>
      <c r="J2608" t="s">
        <v>81</v>
      </c>
      <c r="K2608" t="s">
        <v>71</v>
      </c>
      <c r="L2608" t="s">
        <v>72</v>
      </c>
      <c r="M2608">
        <v>285.74</v>
      </c>
    </row>
    <row r="2609">
      <c r="A2609" s="2">
        <v>45318</v>
      </c>
      <c r="B2609">
        <v>2024.0</v>
      </c>
      <c r="C2609" t="s">
        <v>318</v>
      </c>
      <c r="D2609" t="s">
        <v>316</v>
      </c>
      <c r="E2609" t="s">
        <v>219</v>
      </c>
      <c r="F2609" t="s">
        <v>306</v>
      </c>
      <c r="G2609" t="s">
        <v>11</v>
      </c>
      <c r="H2609">
        <v>4068.0</v>
      </c>
      <c r="I2609" t="s">
        <v>31</v>
      </c>
      <c r="J2609" t="s">
        <v>56</v>
      </c>
      <c r="K2609" t="s">
        <v>95</v>
      </c>
      <c r="L2609" t="s">
        <v>96</v>
      </c>
      <c r="M2609">
        <v>286.38</v>
      </c>
    </row>
    <row r="2610">
      <c r="A2610" s="2">
        <v>46001</v>
      </c>
      <c r="B2610">
        <v>2026.0</v>
      </c>
      <c r="C2610" t="s">
        <v>321</v>
      </c>
      <c r="D2610" t="s">
        <v>319</v>
      </c>
      <c r="E2610" t="s">
        <v>213</v>
      </c>
      <c r="F2610" t="s">
        <v>306</v>
      </c>
      <c r="G2610" t="s">
        <v>11</v>
      </c>
      <c r="H2610">
        <v>4740.0</v>
      </c>
      <c r="I2610" t="s">
        <v>31</v>
      </c>
      <c r="J2610" t="s">
        <v>32</v>
      </c>
      <c r="K2610" t="s">
        <v>123</v>
      </c>
      <c r="L2610" t="s">
        <v>124</v>
      </c>
      <c r="M2610">
        <v>286.44</v>
      </c>
    </row>
    <row r="2611">
      <c r="A2611" s="2">
        <v>45785</v>
      </c>
      <c r="B2611">
        <v>2025.0</v>
      </c>
      <c r="C2611" t="s">
        <v>315</v>
      </c>
      <c r="D2611" t="s">
        <v>316</v>
      </c>
      <c r="E2611" t="s">
        <v>73</v>
      </c>
      <c r="F2611" t="s">
        <v>304</v>
      </c>
      <c r="G2611" t="s">
        <v>9</v>
      </c>
      <c r="H2611">
        <v>2750.0</v>
      </c>
      <c r="I2611" t="s">
        <v>31</v>
      </c>
      <c r="J2611" t="s">
        <v>75</v>
      </c>
      <c r="K2611" t="s">
        <v>33</v>
      </c>
      <c r="L2611" t="s">
        <v>34</v>
      </c>
      <c r="M2611">
        <v>286.61</v>
      </c>
    </row>
    <row r="2612">
      <c r="A2612" s="2">
        <v>45565</v>
      </c>
      <c r="B2612">
        <v>2025.0</v>
      </c>
      <c r="C2612" t="s">
        <v>315</v>
      </c>
      <c r="D2612" t="s">
        <v>316</v>
      </c>
      <c r="E2612" t="s">
        <v>238</v>
      </c>
      <c r="F2612" t="s">
        <v>308</v>
      </c>
      <c r="G2612" t="s">
        <v>13</v>
      </c>
      <c r="H2612">
        <v>5082.0</v>
      </c>
      <c r="I2612" t="s">
        <v>31</v>
      </c>
      <c r="J2612" t="s">
        <v>42</v>
      </c>
      <c r="K2612" t="s">
        <v>71</v>
      </c>
      <c r="L2612" t="s">
        <v>72</v>
      </c>
      <c r="M2612">
        <v>286.69</v>
      </c>
    </row>
    <row r="2613">
      <c r="A2613" s="2">
        <v>45857</v>
      </c>
      <c r="B2613">
        <v>2026.0</v>
      </c>
      <c r="C2613" t="s">
        <v>321</v>
      </c>
      <c r="D2613" t="s">
        <v>319</v>
      </c>
      <c r="E2613" t="s">
        <v>213</v>
      </c>
      <c r="F2613" t="s">
        <v>306</v>
      </c>
      <c r="G2613" t="s">
        <v>11</v>
      </c>
      <c r="H2613">
        <v>4740.0</v>
      </c>
      <c r="I2613" t="s">
        <v>31</v>
      </c>
      <c r="J2613" t="s">
        <v>32</v>
      </c>
      <c r="K2613" t="s">
        <v>43</v>
      </c>
      <c r="L2613" t="s">
        <v>44</v>
      </c>
      <c r="M2613">
        <v>286.8</v>
      </c>
    </row>
    <row r="2614">
      <c r="A2614" s="2">
        <v>45423</v>
      </c>
      <c r="B2614">
        <v>2024.0</v>
      </c>
      <c r="C2614" t="s">
        <v>318</v>
      </c>
      <c r="D2614" t="s">
        <v>319</v>
      </c>
      <c r="E2614" t="s">
        <v>103</v>
      </c>
      <c r="F2614" t="s">
        <v>307</v>
      </c>
      <c r="G2614" t="s">
        <v>12</v>
      </c>
      <c r="H2614">
        <v>6021.0</v>
      </c>
      <c r="I2614" t="s">
        <v>31</v>
      </c>
      <c r="J2614" t="s">
        <v>102</v>
      </c>
      <c r="K2614" t="s">
        <v>123</v>
      </c>
      <c r="L2614" t="s">
        <v>124</v>
      </c>
      <c r="M2614">
        <v>287.87</v>
      </c>
    </row>
    <row r="2615">
      <c r="A2615" s="2">
        <v>45953</v>
      </c>
      <c r="B2615">
        <v>2026.0</v>
      </c>
      <c r="C2615" t="s">
        <v>321</v>
      </c>
      <c r="D2615" t="s">
        <v>319</v>
      </c>
      <c r="E2615" t="s">
        <v>40</v>
      </c>
      <c r="F2615" t="s">
        <v>308</v>
      </c>
      <c r="G2615" t="s">
        <v>13</v>
      </c>
      <c r="H2615">
        <v>5011.0</v>
      </c>
      <c r="I2615" t="s">
        <v>31</v>
      </c>
      <c r="J2615" t="s">
        <v>42</v>
      </c>
      <c r="K2615" t="s">
        <v>57</v>
      </c>
      <c r="L2615" t="s">
        <v>58</v>
      </c>
      <c r="M2615">
        <v>288.18</v>
      </c>
    </row>
    <row r="2616">
      <c r="A2616" s="2">
        <v>45719</v>
      </c>
      <c r="B2616">
        <v>2025.0</v>
      </c>
      <c r="C2616" t="s">
        <v>315</v>
      </c>
      <c r="D2616" t="s">
        <v>316</v>
      </c>
      <c r="E2616" t="s">
        <v>248</v>
      </c>
      <c r="F2616" t="s">
        <v>307</v>
      </c>
      <c r="G2616" t="s">
        <v>12</v>
      </c>
      <c r="H2616">
        <v>6112.0</v>
      </c>
      <c r="I2616" t="s">
        <v>31</v>
      </c>
      <c r="J2616" t="s">
        <v>162</v>
      </c>
      <c r="K2616" t="s">
        <v>46</v>
      </c>
      <c r="L2616" t="s">
        <v>47</v>
      </c>
      <c r="M2616">
        <v>288.22</v>
      </c>
    </row>
    <row r="2617">
      <c r="A2617" s="2">
        <v>45483</v>
      </c>
      <c r="B2617">
        <v>2025.0</v>
      </c>
      <c r="C2617" t="s">
        <v>315</v>
      </c>
      <c r="D2617" t="s">
        <v>319</v>
      </c>
      <c r="E2617" t="s">
        <v>87</v>
      </c>
      <c r="F2617" t="s">
        <v>305</v>
      </c>
      <c r="G2617" t="s">
        <v>10</v>
      </c>
      <c r="H2617">
        <v>3148.0</v>
      </c>
      <c r="I2617" t="s">
        <v>31</v>
      </c>
      <c r="J2617" t="s">
        <v>89</v>
      </c>
      <c r="K2617" t="s">
        <v>38</v>
      </c>
      <c r="L2617" t="s">
        <v>39</v>
      </c>
      <c r="M2617">
        <v>288.39</v>
      </c>
    </row>
    <row r="2618">
      <c r="A2618" s="2">
        <v>45380</v>
      </c>
      <c r="B2618">
        <v>2024.0</v>
      </c>
      <c r="C2618" t="s">
        <v>318</v>
      </c>
      <c r="D2618" t="s">
        <v>319</v>
      </c>
      <c r="E2618" t="s">
        <v>92</v>
      </c>
      <c r="F2618" t="s">
        <v>305</v>
      </c>
      <c r="G2618" t="s">
        <v>10</v>
      </c>
      <c r="H2618">
        <v>3690.0</v>
      </c>
      <c r="I2618" t="s">
        <v>31</v>
      </c>
      <c r="J2618" t="s">
        <v>94</v>
      </c>
      <c r="K2618" t="s">
        <v>38</v>
      </c>
      <c r="L2618" t="s">
        <v>39</v>
      </c>
      <c r="M2618">
        <v>288.49</v>
      </c>
    </row>
    <row r="2619">
      <c r="A2619" s="2">
        <v>45541</v>
      </c>
      <c r="B2619">
        <v>2025.0</v>
      </c>
      <c r="C2619" t="s">
        <v>315</v>
      </c>
      <c r="D2619" t="s">
        <v>316</v>
      </c>
      <c r="E2619" t="s">
        <v>173</v>
      </c>
      <c r="F2619" t="s">
        <v>306</v>
      </c>
      <c r="G2619" t="s">
        <v>11</v>
      </c>
      <c r="H2619">
        <v>4220.0</v>
      </c>
      <c r="I2619" t="s">
        <v>31</v>
      </c>
      <c r="J2619" t="s">
        <v>61</v>
      </c>
      <c r="K2619" t="s">
        <v>46</v>
      </c>
      <c r="L2619" t="s">
        <v>47</v>
      </c>
      <c r="M2619">
        <v>289.82</v>
      </c>
    </row>
    <row r="2620">
      <c r="A2620" s="2">
        <v>45783</v>
      </c>
      <c r="B2620">
        <v>2025.0</v>
      </c>
      <c r="C2620" t="s">
        <v>315</v>
      </c>
      <c r="D2620" t="s">
        <v>316</v>
      </c>
      <c r="E2620" t="s">
        <v>258</v>
      </c>
      <c r="F2620" t="s">
        <v>309</v>
      </c>
      <c r="G2620" t="s">
        <v>14</v>
      </c>
      <c r="H2620">
        <v>870.0</v>
      </c>
      <c r="I2620" t="s">
        <v>31</v>
      </c>
      <c r="J2620" t="s">
        <v>145</v>
      </c>
      <c r="K2620" t="s">
        <v>57</v>
      </c>
      <c r="L2620" t="s">
        <v>58</v>
      </c>
      <c r="M2620">
        <v>290.77</v>
      </c>
    </row>
    <row r="2621">
      <c r="A2621" s="2">
        <v>45925</v>
      </c>
      <c r="B2621">
        <v>2026.0</v>
      </c>
      <c r="C2621" t="s">
        <v>321</v>
      </c>
      <c r="D2621" t="s">
        <v>316</v>
      </c>
      <c r="E2621" t="s">
        <v>215</v>
      </c>
      <c r="F2621" t="s">
        <v>310</v>
      </c>
      <c r="G2621" t="s">
        <v>15</v>
      </c>
      <c r="H2621">
        <v>7320.0</v>
      </c>
      <c r="I2621" t="s">
        <v>31</v>
      </c>
      <c r="J2621" t="s">
        <v>53</v>
      </c>
      <c r="K2621" t="s">
        <v>43</v>
      </c>
      <c r="L2621" t="s">
        <v>44</v>
      </c>
      <c r="M2621">
        <v>291.87</v>
      </c>
    </row>
    <row r="2622">
      <c r="A2622" s="2">
        <v>45934</v>
      </c>
      <c r="B2622">
        <v>2026.0</v>
      </c>
      <c r="C2622" t="s">
        <v>321</v>
      </c>
      <c r="D2622" t="s">
        <v>316</v>
      </c>
      <c r="E2622" t="s">
        <v>209</v>
      </c>
      <c r="F2622" t="s">
        <v>304</v>
      </c>
      <c r="G2622" t="s">
        <v>9</v>
      </c>
      <c r="H2622">
        <v>2116.0</v>
      </c>
      <c r="I2622" t="s">
        <v>31</v>
      </c>
      <c r="J2622" t="s">
        <v>81</v>
      </c>
      <c r="K2622" t="s">
        <v>71</v>
      </c>
      <c r="L2622" t="s">
        <v>72</v>
      </c>
      <c r="M2622">
        <v>292.11</v>
      </c>
    </row>
    <row r="2623">
      <c r="A2623" s="2">
        <v>45808</v>
      </c>
      <c r="B2623">
        <v>2025.0</v>
      </c>
      <c r="C2623" t="s">
        <v>315</v>
      </c>
      <c r="D2623" t="s">
        <v>316</v>
      </c>
      <c r="E2623" t="s">
        <v>152</v>
      </c>
      <c r="F2623" t="s">
        <v>306</v>
      </c>
      <c r="G2623" t="s">
        <v>11</v>
      </c>
      <c r="H2623">
        <v>4305.0</v>
      </c>
      <c r="I2623" t="s">
        <v>31</v>
      </c>
      <c r="J2623" t="s">
        <v>61</v>
      </c>
      <c r="K2623" t="s">
        <v>46</v>
      </c>
      <c r="L2623" t="s">
        <v>47</v>
      </c>
      <c r="M2623">
        <v>292.2</v>
      </c>
    </row>
    <row r="2624">
      <c r="A2624" s="2">
        <v>45489</v>
      </c>
      <c r="B2624">
        <v>2025.0</v>
      </c>
      <c r="C2624" t="s">
        <v>315</v>
      </c>
      <c r="D2624" t="s">
        <v>316</v>
      </c>
      <c r="E2624" t="s">
        <v>195</v>
      </c>
      <c r="F2624" t="s">
        <v>306</v>
      </c>
      <c r="G2624" t="s">
        <v>11</v>
      </c>
      <c r="H2624">
        <v>4700.0</v>
      </c>
      <c r="I2624" t="s">
        <v>31</v>
      </c>
      <c r="J2624" t="s">
        <v>32</v>
      </c>
      <c r="K2624" t="s">
        <v>43</v>
      </c>
      <c r="L2624" t="s">
        <v>44</v>
      </c>
      <c r="M2624">
        <v>292.26</v>
      </c>
    </row>
    <row r="2625">
      <c r="A2625" s="2">
        <v>46006</v>
      </c>
      <c r="B2625">
        <v>2026.0</v>
      </c>
      <c r="C2625" t="s">
        <v>321</v>
      </c>
      <c r="D2625" t="s">
        <v>316</v>
      </c>
      <c r="E2625" t="s">
        <v>68</v>
      </c>
      <c r="F2625" t="s">
        <v>304</v>
      </c>
      <c r="G2625" t="s">
        <v>9</v>
      </c>
      <c r="H2625">
        <v>2478.0</v>
      </c>
      <c r="I2625" t="s">
        <v>31</v>
      </c>
      <c r="J2625" t="s">
        <v>70</v>
      </c>
      <c r="K2625" t="s">
        <v>43</v>
      </c>
      <c r="L2625" t="s">
        <v>44</v>
      </c>
      <c r="M2625">
        <v>292.39</v>
      </c>
    </row>
    <row r="2626">
      <c r="A2626" s="2">
        <v>46020</v>
      </c>
      <c r="B2626">
        <v>2026.0</v>
      </c>
      <c r="C2626" t="s">
        <v>321</v>
      </c>
      <c r="D2626" t="s">
        <v>316</v>
      </c>
      <c r="E2626" t="s">
        <v>177</v>
      </c>
      <c r="F2626" t="s">
        <v>307</v>
      </c>
      <c r="G2626" t="s">
        <v>12</v>
      </c>
      <c r="H2626">
        <v>6330.0</v>
      </c>
      <c r="I2626" t="s">
        <v>31</v>
      </c>
      <c r="J2626" t="s">
        <v>162</v>
      </c>
      <c r="K2626" t="s">
        <v>112</v>
      </c>
      <c r="L2626" t="s">
        <v>113</v>
      </c>
      <c r="M2626">
        <v>293.03999999999996</v>
      </c>
    </row>
    <row r="2627">
      <c r="A2627" s="2">
        <v>45908</v>
      </c>
      <c r="B2627">
        <v>2026.0</v>
      </c>
      <c r="C2627" t="s">
        <v>321</v>
      </c>
      <c r="D2627" t="s">
        <v>319</v>
      </c>
      <c r="E2627" t="s">
        <v>238</v>
      </c>
      <c r="F2627" t="s">
        <v>308</v>
      </c>
      <c r="G2627" t="s">
        <v>13</v>
      </c>
      <c r="H2627">
        <v>5082.0</v>
      </c>
      <c r="I2627" t="s">
        <v>31</v>
      </c>
      <c r="J2627" t="s">
        <v>42</v>
      </c>
      <c r="K2627" t="s">
        <v>71</v>
      </c>
      <c r="L2627" t="s">
        <v>72</v>
      </c>
      <c r="M2627">
        <v>293.34</v>
      </c>
    </row>
    <row r="2628">
      <c r="A2628" s="2">
        <v>45737</v>
      </c>
      <c r="B2628">
        <v>2025.0</v>
      </c>
      <c r="C2628" t="s">
        <v>315</v>
      </c>
      <c r="D2628" t="s">
        <v>319</v>
      </c>
      <c r="E2628" t="s">
        <v>62</v>
      </c>
      <c r="F2628" t="s">
        <v>307</v>
      </c>
      <c r="G2628" t="s">
        <v>12</v>
      </c>
      <c r="H2628">
        <v>6530.0</v>
      </c>
      <c r="I2628" t="s">
        <v>31</v>
      </c>
      <c r="J2628" t="s">
        <v>50</v>
      </c>
      <c r="K2628" t="s">
        <v>43</v>
      </c>
      <c r="L2628" t="s">
        <v>44</v>
      </c>
      <c r="M2628">
        <v>293.67</v>
      </c>
    </row>
    <row r="2629">
      <c r="A2629" s="2">
        <v>45753</v>
      </c>
      <c r="B2629">
        <v>2025.0</v>
      </c>
      <c r="C2629" t="s">
        <v>315</v>
      </c>
      <c r="D2629" t="s">
        <v>319</v>
      </c>
      <c r="E2629" t="s">
        <v>197</v>
      </c>
      <c r="F2629" t="s">
        <v>304</v>
      </c>
      <c r="G2629" t="s">
        <v>9</v>
      </c>
      <c r="H2629">
        <v>2560.0</v>
      </c>
      <c r="I2629" t="s">
        <v>31</v>
      </c>
      <c r="J2629" t="s">
        <v>107</v>
      </c>
      <c r="K2629" t="s">
        <v>43</v>
      </c>
      <c r="L2629" t="s">
        <v>44</v>
      </c>
      <c r="M2629">
        <v>293.84000000000003</v>
      </c>
    </row>
    <row r="2630">
      <c r="A2630" s="2">
        <v>45589</v>
      </c>
      <c r="B2630">
        <v>2025.0</v>
      </c>
      <c r="C2630" t="s">
        <v>315</v>
      </c>
      <c r="D2630" t="s">
        <v>316</v>
      </c>
      <c r="E2630" t="s">
        <v>160</v>
      </c>
      <c r="F2630" t="s">
        <v>307</v>
      </c>
      <c r="G2630" t="s">
        <v>12</v>
      </c>
      <c r="H2630">
        <v>6280.0</v>
      </c>
      <c r="I2630" t="s">
        <v>31</v>
      </c>
      <c r="J2630" t="s">
        <v>162</v>
      </c>
      <c r="K2630" t="s">
        <v>95</v>
      </c>
      <c r="L2630" t="s">
        <v>96</v>
      </c>
      <c r="M2630">
        <v>294.44</v>
      </c>
    </row>
    <row r="2631">
      <c r="A2631" s="2">
        <v>45438</v>
      </c>
      <c r="B2631">
        <v>2024.0</v>
      </c>
      <c r="C2631" t="s">
        <v>318</v>
      </c>
      <c r="D2631" t="s">
        <v>319</v>
      </c>
      <c r="E2631" t="s">
        <v>207</v>
      </c>
      <c r="F2631" t="s">
        <v>306</v>
      </c>
      <c r="G2631" t="s">
        <v>11</v>
      </c>
      <c r="H2631">
        <v>4825.0</v>
      </c>
      <c r="I2631" t="s">
        <v>31</v>
      </c>
      <c r="J2631" t="s">
        <v>78</v>
      </c>
      <c r="K2631" t="s">
        <v>123</v>
      </c>
      <c r="L2631" t="s">
        <v>124</v>
      </c>
      <c r="M2631">
        <v>294.5</v>
      </c>
    </row>
    <row r="2632">
      <c r="A2632" s="2">
        <v>45955</v>
      </c>
      <c r="B2632">
        <v>2026.0</v>
      </c>
      <c r="C2632" t="s">
        <v>321</v>
      </c>
      <c r="D2632" t="s">
        <v>316</v>
      </c>
      <c r="E2632" t="s">
        <v>62</v>
      </c>
      <c r="F2632" t="s">
        <v>307</v>
      </c>
      <c r="G2632" t="s">
        <v>12</v>
      </c>
      <c r="H2632">
        <v>6530.0</v>
      </c>
      <c r="I2632" t="s">
        <v>31</v>
      </c>
      <c r="J2632" t="s">
        <v>50</v>
      </c>
      <c r="K2632" t="s">
        <v>95</v>
      </c>
      <c r="L2632" t="s">
        <v>96</v>
      </c>
      <c r="M2632">
        <v>294.79</v>
      </c>
    </row>
    <row r="2633">
      <c r="A2633" s="2">
        <v>45379</v>
      </c>
      <c r="B2633">
        <v>2024.0</v>
      </c>
      <c r="C2633" t="s">
        <v>318</v>
      </c>
      <c r="D2633" t="s">
        <v>316</v>
      </c>
      <c r="E2633" t="s">
        <v>160</v>
      </c>
      <c r="F2633" t="s">
        <v>307</v>
      </c>
      <c r="G2633" t="s">
        <v>12</v>
      </c>
      <c r="H2633">
        <v>6280.0</v>
      </c>
      <c r="I2633" t="s">
        <v>31</v>
      </c>
      <c r="J2633" t="s">
        <v>162</v>
      </c>
      <c r="K2633" t="s">
        <v>38</v>
      </c>
      <c r="L2633" t="s">
        <v>39</v>
      </c>
      <c r="M2633">
        <v>295.34000000000003</v>
      </c>
    </row>
    <row r="2634">
      <c r="A2634" s="2">
        <v>45943</v>
      </c>
      <c r="B2634">
        <v>2026.0</v>
      </c>
      <c r="C2634" t="s">
        <v>321</v>
      </c>
      <c r="D2634" t="s">
        <v>316</v>
      </c>
      <c r="E2634" t="s">
        <v>179</v>
      </c>
      <c r="F2634" t="s">
        <v>304</v>
      </c>
      <c r="G2634" t="s">
        <v>9</v>
      </c>
      <c r="H2634">
        <v>2015.0</v>
      </c>
      <c r="I2634" t="s">
        <v>31</v>
      </c>
      <c r="J2634" t="s">
        <v>99</v>
      </c>
      <c r="K2634" t="s">
        <v>95</v>
      </c>
      <c r="L2634" t="s">
        <v>96</v>
      </c>
      <c r="M2634">
        <v>295.7</v>
      </c>
    </row>
    <row r="2635">
      <c r="A2635" s="2">
        <v>45430</v>
      </c>
      <c r="B2635">
        <v>2024.0</v>
      </c>
      <c r="C2635" t="s">
        <v>318</v>
      </c>
      <c r="D2635" t="s">
        <v>316</v>
      </c>
      <c r="E2635" t="s">
        <v>167</v>
      </c>
      <c r="F2635" t="s">
        <v>307</v>
      </c>
      <c r="G2635" t="s">
        <v>12</v>
      </c>
      <c r="H2635">
        <v>6030.0</v>
      </c>
      <c r="I2635" t="s">
        <v>31</v>
      </c>
      <c r="J2635" t="s">
        <v>102</v>
      </c>
      <c r="K2635" t="s">
        <v>123</v>
      </c>
      <c r="L2635" t="s">
        <v>124</v>
      </c>
      <c r="M2635">
        <v>295.70000000000005</v>
      </c>
    </row>
    <row r="2636">
      <c r="A2636" s="2">
        <v>45840</v>
      </c>
      <c r="B2636">
        <v>2026.0</v>
      </c>
      <c r="C2636" t="s">
        <v>321</v>
      </c>
      <c r="D2636" t="s">
        <v>316</v>
      </c>
      <c r="E2636" t="s">
        <v>110</v>
      </c>
      <c r="F2636" t="s">
        <v>304</v>
      </c>
      <c r="G2636" t="s">
        <v>9</v>
      </c>
      <c r="H2636">
        <v>2101.0</v>
      </c>
      <c r="I2636" t="s">
        <v>31</v>
      </c>
      <c r="J2636" t="s">
        <v>81</v>
      </c>
      <c r="K2636" t="s">
        <v>112</v>
      </c>
      <c r="L2636" t="s">
        <v>113</v>
      </c>
      <c r="M2636">
        <v>296.23</v>
      </c>
    </row>
    <row r="2637">
      <c r="A2637" s="2">
        <v>46021</v>
      </c>
      <c r="B2637">
        <v>2026.0</v>
      </c>
      <c r="C2637" t="s">
        <v>321</v>
      </c>
      <c r="D2637" t="s">
        <v>316</v>
      </c>
      <c r="E2637" t="s">
        <v>219</v>
      </c>
      <c r="F2637" t="s">
        <v>306</v>
      </c>
      <c r="G2637" t="s">
        <v>11</v>
      </c>
      <c r="H2637">
        <v>4068.0</v>
      </c>
      <c r="I2637" t="s">
        <v>31</v>
      </c>
      <c r="J2637" t="s">
        <v>56</v>
      </c>
      <c r="K2637" t="s">
        <v>71</v>
      </c>
      <c r="L2637" t="s">
        <v>72</v>
      </c>
      <c r="M2637">
        <v>296.36</v>
      </c>
    </row>
    <row r="2638">
      <c r="A2638" s="2">
        <v>45421</v>
      </c>
      <c r="B2638">
        <v>2024.0</v>
      </c>
      <c r="C2638" t="s">
        <v>318</v>
      </c>
      <c r="D2638" t="s">
        <v>319</v>
      </c>
      <c r="E2638" t="s">
        <v>40</v>
      </c>
      <c r="F2638" t="s">
        <v>308</v>
      </c>
      <c r="G2638" t="s">
        <v>13</v>
      </c>
      <c r="H2638">
        <v>5011.0</v>
      </c>
      <c r="I2638" t="s">
        <v>31</v>
      </c>
      <c r="J2638" t="s">
        <v>42</v>
      </c>
      <c r="K2638" t="s">
        <v>38</v>
      </c>
      <c r="L2638" t="s">
        <v>39</v>
      </c>
      <c r="M2638">
        <v>296.59000000000003</v>
      </c>
    </row>
    <row r="2639">
      <c r="A2639" s="2">
        <v>45840</v>
      </c>
      <c r="B2639">
        <v>2026.0</v>
      </c>
      <c r="C2639" t="s">
        <v>321</v>
      </c>
      <c r="D2639" t="s">
        <v>316</v>
      </c>
      <c r="E2639" t="s">
        <v>29</v>
      </c>
      <c r="F2639" t="s">
        <v>306</v>
      </c>
      <c r="G2639" t="s">
        <v>11</v>
      </c>
      <c r="H2639">
        <v>4703.0</v>
      </c>
      <c r="I2639" t="s">
        <v>31</v>
      </c>
      <c r="J2639" t="s">
        <v>32</v>
      </c>
      <c r="K2639" t="s">
        <v>57</v>
      </c>
      <c r="L2639" t="s">
        <v>58</v>
      </c>
      <c r="M2639">
        <v>296.68</v>
      </c>
    </row>
    <row r="2640">
      <c r="A2640" s="2">
        <v>45539</v>
      </c>
      <c r="B2640">
        <v>2025.0</v>
      </c>
      <c r="C2640" t="s">
        <v>315</v>
      </c>
      <c r="D2640" t="s">
        <v>316</v>
      </c>
      <c r="E2640" t="s">
        <v>221</v>
      </c>
      <c r="F2640" t="s">
        <v>306</v>
      </c>
      <c r="G2640" t="s">
        <v>11</v>
      </c>
      <c r="H2640">
        <v>4053.0</v>
      </c>
      <c r="I2640" t="s">
        <v>31</v>
      </c>
      <c r="J2640" t="s">
        <v>56</v>
      </c>
      <c r="K2640" t="s">
        <v>43</v>
      </c>
      <c r="L2640" t="s">
        <v>44</v>
      </c>
      <c r="M2640">
        <v>296.7</v>
      </c>
    </row>
    <row r="2641">
      <c r="A2641" s="2">
        <v>45503</v>
      </c>
      <c r="B2641">
        <v>2025.0</v>
      </c>
      <c r="C2641" t="s">
        <v>315</v>
      </c>
      <c r="D2641" t="s">
        <v>316</v>
      </c>
      <c r="E2641" t="s">
        <v>221</v>
      </c>
      <c r="F2641" t="s">
        <v>306</v>
      </c>
      <c r="G2641" t="s">
        <v>11</v>
      </c>
      <c r="H2641">
        <v>4053.0</v>
      </c>
      <c r="I2641" t="s">
        <v>31</v>
      </c>
      <c r="J2641" t="s">
        <v>56</v>
      </c>
      <c r="K2641" t="s">
        <v>112</v>
      </c>
      <c r="L2641" t="s">
        <v>113</v>
      </c>
      <c r="M2641">
        <v>296.85</v>
      </c>
    </row>
    <row r="2642">
      <c r="A2642" s="2">
        <v>45538</v>
      </c>
      <c r="B2642">
        <v>2025.0</v>
      </c>
      <c r="C2642" t="s">
        <v>315</v>
      </c>
      <c r="D2642" t="s">
        <v>316</v>
      </c>
      <c r="E2642" t="s">
        <v>152</v>
      </c>
      <c r="F2642" t="s">
        <v>306</v>
      </c>
      <c r="G2642" t="s">
        <v>11</v>
      </c>
      <c r="H2642">
        <v>4305.0</v>
      </c>
      <c r="I2642" t="s">
        <v>31</v>
      </c>
      <c r="J2642" t="s">
        <v>61</v>
      </c>
      <c r="K2642" t="s">
        <v>57</v>
      </c>
      <c r="L2642" t="s">
        <v>58</v>
      </c>
      <c r="M2642">
        <v>296.94</v>
      </c>
    </row>
    <row r="2643">
      <c r="A2643" s="2">
        <v>46021</v>
      </c>
      <c r="B2643">
        <v>2026.0</v>
      </c>
      <c r="C2643" t="s">
        <v>321</v>
      </c>
      <c r="D2643" t="s">
        <v>319</v>
      </c>
      <c r="E2643" t="s">
        <v>103</v>
      </c>
      <c r="F2643" t="s">
        <v>307</v>
      </c>
      <c r="G2643" t="s">
        <v>12</v>
      </c>
      <c r="H2643">
        <v>6021.0</v>
      </c>
      <c r="I2643" t="s">
        <v>31</v>
      </c>
      <c r="J2643" t="s">
        <v>102</v>
      </c>
      <c r="K2643" t="s">
        <v>33</v>
      </c>
      <c r="L2643" t="s">
        <v>34</v>
      </c>
      <c r="M2643">
        <v>297.28000000000003</v>
      </c>
    </row>
    <row r="2644">
      <c r="A2644" s="2">
        <v>45889</v>
      </c>
      <c r="B2644">
        <v>2026.0</v>
      </c>
      <c r="C2644" t="s">
        <v>321</v>
      </c>
      <c r="D2644" t="s">
        <v>316</v>
      </c>
      <c r="E2644" t="s">
        <v>183</v>
      </c>
      <c r="F2644" t="s">
        <v>304</v>
      </c>
      <c r="G2644" t="s">
        <v>9</v>
      </c>
      <c r="H2644">
        <v>2480.0</v>
      </c>
      <c r="I2644" t="s">
        <v>31</v>
      </c>
      <c r="J2644" t="s">
        <v>70</v>
      </c>
      <c r="K2644" t="s">
        <v>38</v>
      </c>
      <c r="L2644" t="s">
        <v>39</v>
      </c>
      <c r="M2644">
        <v>297.34000000000003</v>
      </c>
    </row>
    <row r="2645">
      <c r="A2645" s="2">
        <v>45312</v>
      </c>
      <c r="B2645">
        <v>2024.0</v>
      </c>
      <c r="C2645" t="s">
        <v>318</v>
      </c>
      <c r="D2645" t="s">
        <v>319</v>
      </c>
      <c r="E2645" t="s">
        <v>135</v>
      </c>
      <c r="F2645" t="s">
        <v>311</v>
      </c>
      <c r="G2645" t="s">
        <v>16</v>
      </c>
      <c r="H2645">
        <v>2609.0</v>
      </c>
      <c r="I2645" t="s">
        <v>31</v>
      </c>
      <c r="J2645" t="s">
        <v>107</v>
      </c>
      <c r="K2645" t="s">
        <v>46</v>
      </c>
      <c r="L2645" t="s">
        <v>47</v>
      </c>
      <c r="M2645">
        <v>297.62</v>
      </c>
    </row>
    <row r="2646">
      <c r="A2646" s="2">
        <v>45421</v>
      </c>
      <c r="B2646">
        <v>2024.0</v>
      </c>
      <c r="C2646" t="s">
        <v>318</v>
      </c>
      <c r="D2646" t="s">
        <v>316</v>
      </c>
      <c r="E2646" t="s">
        <v>195</v>
      </c>
      <c r="F2646" t="s">
        <v>306</v>
      </c>
      <c r="G2646" t="s">
        <v>11</v>
      </c>
      <c r="H2646">
        <v>4700.0</v>
      </c>
      <c r="I2646" t="s">
        <v>31</v>
      </c>
      <c r="J2646" t="s">
        <v>32</v>
      </c>
      <c r="K2646" t="s">
        <v>38</v>
      </c>
      <c r="L2646" t="s">
        <v>39</v>
      </c>
      <c r="M2646">
        <v>297.77</v>
      </c>
    </row>
    <row r="2647">
      <c r="A2647" s="2">
        <v>45517</v>
      </c>
      <c r="B2647">
        <v>2025.0</v>
      </c>
      <c r="C2647" t="s">
        <v>315</v>
      </c>
      <c r="D2647" t="s">
        <v>316</v>
      </c>
      <c r="E2647" t="s">
        <v>177</v>
      </c>
      <c r="F2647" t="s">
        <v>307</v>
      </c>
      <c r="G2647" t="s">
        <v>12</v>
      </c>
      <c r="H2647">
        <v>6330.0</v>
      </c>
      <c r="I2647" t="s">
        <v>31</v>
      </c>
      <c r="J2647" t="s">
        <v>162</v>
      </c>
      <c r="K2647" t="s">
        <v>38</v>
      </c>
      <c r="L2647" t="s">
        <v>39</v>
      </c>
      <c r="M2647">
        <v>298.37</v>
      </c>
    </row>
    <row r="2648">
      <c r="A2648" s="2">
        <v>45646</v>
      </c>
      <c r="B2648">
        <v>2025.0</v>
      </c>
      <c r="C2648" t="s">
        <v>315</v>
      </c>
      <c r="D2648" t="s">
        <v>319</v>
      </c>
      <c r="E2648" t="s">
        <v>203</v>
      </c>
      <c r="F2648" t="s">
        <v>305</v>
      </c>
      <c r="G2648" t="s">
        <v>10</v>
      </c>
      <c r="H2648">
        <v>3175.0</v>
      </c>
      <c r="I2648" t="s">
        <v>31</v>
      </c>
      <c r="J2648" t="s">
        <v>89</v>
      </c>
      <c r="K2648" t="s">
        <v>112</v>
      </c>
      <c r="L2648" t="s">
        <v>113</v>
      </c>
      <c r="M2648">
        <v>299.24</v>
      </c>
    </row>
    <row r="2649">
      <c r="A2649" s="2">
        <v>45434</v>
      </c>
      <c r="B2649">
        <v>2024.0</v>
      </c>
      <c r="C2649" t="s">
        <v>318</v>
      </c>
      <c r="D2649" t="s">
        <v>316</v>
      </c>
      <c r="E2649" t="s">
        <v>154</v>
      </c>
      <c r="F2649" t="s">
        <v>306</v>
      </c>
      <c r="G2649" t="s">
        <v>11</v>
      </c>
      <c r="H2649">
        <v>4551.0</v>
      </c>
      <c r="I2649" t="s">
        <v>31</v>
      </c>
      <c r="J2649" t="s">
        <v>84</v>
      </c>
      <c r="K2649" t="s">
        <v>112</v>
      </c>
      <c r="L2649" t="s">
        <v>113</v>
      </c>
      <c r="M2649">
        <v>299.5</v>
      </c>
    </row>
    <row r="2650">
      <c r="A2650" s="2">
        <v>45455</v>
      </c>
      <c r="B2650">
        <v>2024.0</v>
      </c>
      <c r="C2650" t="s">
        <v>318</v>
      </c>
      <c r="D2650" t="s">
        <v>316</v>
      </c>
      <c r="E2650" t="s">
        <v>48</v>
      </c>
      <c r="F2650" t="s">
        <v>307</v>
      </c>
      <c r="G2650" t="s">
        <v>12</v>
      </c>
      <c r="H2650">
        <v>6725.0</v>
      </c>
      <c r="I2650" t="s">
        <v>31</v>
      </c>
      <c r="J2650" t="s">
        <v>50</v>
      </c>
      <c r="K2650" t="s">
        <v>57</v>
      </c>
      <c r="L2650" t="s">
        <v>58</v>
      </c>
      <c r="M2650">
        <v>299.70000000000005</v>
      </c>
    </row>
    <row r="2651">
      <c r="A2651" s="2">
        <v>45433</v>
      </c>
      <c r="B2651">
        <v>2024.0</v>
      </c>
      <c r="C2651" t="s">
        <v>318</v>
      </c>
      <c r="D2651" t="s">
        <v>316</v>
      </c>
      <c r="E2651" t="s">
        <v>97</v>
      </c>
      <c r="F2651" t="s">
        <v>304</v>
      </c>
      <c r="G2651" t="s">
        <v>9</v>
      </c>
      <c r="H2651">
        <v>2067.0</v>
      </c>
      <c r="I2651" t="s">
        <v>31</v>
      </c>
      <c r="J2651" t="s">
        <v>99</v>
      </c>
      <c r="K2651" t="s">
        <v>38</v>
      </c>
      <c r="L2651" t="s">
        <v>39</v>
      </c>
      <c r="M2651">
        <v>299.78</v>
      </c>
    </row>
    <row r="2652">
      <c r="A2652" s="2">
        <v>45839</v>
      </c>
      <c r="B2652">
        <v>2026.0</v>
      </c>
      <c r="C2652" t="s">
        <v>321</v>
      </c>
      <c r="D2652" t="s">
        <v>316</v>
      </c>
      <c r="E2652" t="s">
        <v>76</v>
      </c>
      <c r="F2652" t="s">
        <v>306</v>
      </c>
      <c r="G2652" t="s">
        <v>11</v>
      </c>
      <c r="H2652">
        <v>4883.0</v>
      </c>
      <c r="I2652" t="s">
        <v>31</v>
      </c>
      <c r="J2652" t="s">
        <v>78</v>
      </c>
      <c r="K2652" t="s">
        <v>123</v>
      </c>
      <c r="L2652" t="s">
        <v>124</v>
      </c>
      <c r="M2652">
        <v>299.84</v>
      </c>
    </row>
    <row r="2653">
      <c r="A2653" s="2">
        <v>46008</v>
      </c>
      <c r="B2653">
        <v>2026.0</v>
      </c>
      <c r="C2653" t="s">
        <v>321</v>
      </c>
      <c r="D2653" t="s">
        <v>316</v>
      </c>
      <c r="E2653" t="s">
        <v>256</v>
      </c>
      <c r="F2653" t="s">
        <v>304</v>
      </c>
      <c r="G2653" t="s">
        <v>9</v>
      </c>
      <c r="H2653">
        <v>2350.0</v>
      </c>
      <c r="I2653" t="s">
        <v>31</v>
      </c>
      <c r="J2653" t="s">
        <v>70</v>
      </c>
      <c r="K2653" t="s">
        <v>33</v>
      </c>
      <c r="L2653" t="s">
        <v>34</v>
      </c>
      <c r="M2653">
        <v>299.91999999999996</v>
      </c>
    </row>
    <row r="2654">
      <c r="A2654" s="2">
        <v>46020</v>
      </c>
      <c r="B2654">
        <v>2026.0</v>
      </c>
      <c r="C2654" t="s">
        <v>321</v>
      </c>
      <c r="D2654" t="s">
        <v>319</v>
      </c>
      <c r="E2654" t="s">
        <v>141</v>
      </c>
      <c r="F2654" t="s">
        <v>304</v>
      </c>
      <c r="G2654" t="s">
        <v>9</v>
      </c>
      <c r="H2654">
        <v>2539.0</v>
      </c>
      <c r="I2654" t="s">
        <v>31</v>
      </c>
      <c r="J2654" t="s">
        <v>107</v>
      </c>
      <c r="K2654" t="s">
        <v>57</v>
      </c>
      <c r="L2654" t="s">
        <v>58</v>
      </c>
      <c r="M2654">
        <v>300.2</v>
      </c>
    </row>
    <row r="2655">
      <c r="A2655" s="2">
        <v>45573</v>
      </c>
      <c r="B2655">
        <v>2025.0</v>
      </c>
      <c r="C2655" t="s">
        <v>315</v>
      </c>
      <c r="D2655" t="s">
        <v>316</v>
      </c>
      <c r="E2655" t="s">
        <v>258</v>
      </c>
      <c r="F2655" t="s">
        <v>309</v>
      </c>
      <c r="G2655" t="s">
        <v>14</v>
      </c>
      <c r="H2655">
        <v>870.0</v>
      </c>
      <c r="I2655" t="s">
        <v>31</v>
      </c>
      <c r="J2655" t="s">
        <v>145</v>
      </c>
      <c r="K2655" t="s">
        <v>33</v>
      </c>
      <c r="L2655" t="s">
        <v>34</v>
      </c>
      <c r="M2655">
        <v>300.26</v>
      </c>
    </row>
    <row r="2656">
      <c r="A2656" s="2">
        <v>45394</v>
      </c>
      <c r="B2656">
        <v>2024.0</v>
      </c>
      <c r="C2656" t="s">
        <v>318</v>
      </c>
      <c r="D2656" t="s">
        <v>316</v>
      </c>
      <c r="E2656" t="s">
        <v>244</v>
      </c>
      <c r="F2656" t="s">
        <v>308</v>
      </c>
      <c r="G2656" t="s">
        <v>13</v>
      </c>
      <c r="H2656">
        <v>5168.0</v>
      </c>
      <c r="I2656" t="s">
        <v>31</v>
      </c>
      <c r="J2656" t="s">
        <v>42</v>
      </c>
      <c r="K2656" t="s">
        <v>43</v>
      </c>
      <c r="L2656" t="s">
        <v>44</v>
      </c>
      <c r="M2656">
        <v>300.36</v>
      </c>
    </row>
    <row r="2657">
      <c r="A2657" s="2">
        <v>45912</v>
      </c>
      <c r="B2657">
        <v>2026.0</v>
      </c>
      <c r="C2657" t="s">
        <v>321</v>
      </c>
      <c r="D2657" t="s">
        <v>316</v>
      </c>
      <c r="E2657" t="s">
        <v>175</v>
      </c>
      <c r="F2657" t="s">
        <v>311</v>
      </c>
      <c r="G2657" t="s">
        <v>16</v>
      </c>
      <c r="H2657">
        <v>2617.0</v>
      </c>
      <c r="I2657" t="s">
        <v>31</v>
      </c>
      <c r="J2657" t="s">
        <v>107</v>
      </c>
      <c r="K2657" t="s">
        <v>38</v>
      </c>
      <c r="L2657" t="s">
        <v>39</v>
      </c>
      <c r="M2657">
        <v>300.65999999999997</v>
      </c>
    </row>
    <row r="2658">
      <c r="A2658" s="2">
        <v>45519</v>
      </c>
      <c r="B2658">
        <v>2025.0</v>
      </c>
      <c r="C2658" t="s">
        <v>315</v>
      </c>
      <c r="D2658" t="s">
        <v>319</v>
      </c>
      <c r="E2658" t="s">
        <v>131</v>
      </c>
      <c r="F2658" t="s">
        <v>306</v>
      </c>
      <c r="G2658" t="s">
        <v>11</v>
      </c>
      <c r="H2658">
        <v>4655.0</v>
      </c>
      <c r="I2658" t="s">
        <v>31</v>
      </c>
      <c r="J2658" t="s">
        <v>32</v>
      </c>
      <c r="K2658" t="s">
        <v>43</v>
      </c>
      <c r="L2658" t="s">
        <v>44</v>
      </c>
      <c r="M2658">
        <v>300.69000000000005</v>
      </c>
    </row>
    <row r="2659">
      <c r="A2659" s="2">
        <v>45748</v>
      </c>
      <c r="B2659">
        <v>2025.0</v>
      </c>
      <c r="C2659" t="s">
        <v>315</v>
      </c>
      <c r="D2659" t="s">
        <v>316</v>
      </c>
      <c r="E2659" t="s">
        <v>156</v>
      </c>
      <c r="F2659" t="s">
        <v>304</v>
      </c>
      <c r="G2659" t="s">
        <v>9</v>
      </c>
      <c r="H2659">
        <v>2830.0</v>
      </c>
      <c r="I2659" t="s">
        <v>31</v>
      </c>
      <c r="J2659" t="s">
        <v>75</v>
      </c>
      <c r="K2659" t="s">
        <v>33</v>
      </c>
      <c r="L2659" t="s">
        <v>34</v>
      </c>
      <c r="M2659">
        <v>300.85</v>
      </c>
    </row>
    <row r="2660">
      <c r="A2660" s="2">
        <v>45625</v>
      </c>
      <c r="B2660">
        <v>2025.0</v>
      </c>
      <c r="C2660" t="s">
        <v>315</v>
      </c>
      <c r="D2660" t="s">
        <v>319</v>
      </c>
      <c r="E2660" t="s">
        <v>108</v>
      </c>
      <c r="F2660" t="s">
        <v>304</v>
      </c>
      <c r="G2660" t="s">
        <v>9</v>
      </c>
      <c r="H2660">
        <v>2795.0</v>
      </c>
      <c r="I2660" t="s">
        <v>31</v>
      </c>
      <c r="J2660" t="s">
        <v>75</v>
      </c>
      <c r="K2660" t="s">
        <v>33</v>
      </c>
      <c r="L2660" t="s">
        <v>34</v>
      </c>
      <c r="M2660">
        <v>301.13</v>
      </c>
    </row>
    <row r="2661">
      <c r="A2661" s="2">
        <v>45505</v>
      </c>
      <c r="B2661">
        <v>2025.0</v>
      </c>
      <c r="C2661" t="s">
        <v>315</v>
      </c>
      <c r="D2661" t="s">
        <v>319</v>
      </c>
      <c r="E2661" t="s">
        <v>221</v>
      </c>
      <c r="F2661" t="s">
        <v>306</v>
      </c>
      <c r="G2661" t="s">
        <v>11</v>
      </c>
      <c r="H2661">
        <v>4053.0</v>
      </c>
      <c r="I2661" t="s">
        <v>31</v>
      </c>
      <c r="J2661" t="s">
        <v>56</v>
      </c>
      <c r="K2661" t="s">
        <v>38</v>
      </c>
      <c r="L2661" t="s">
        <v>39</v>
      </c>
      <c r="M2661">
        <v>301.32000000000005</v>
      </c>
    </row>
    <row r="2662">
      <c r="A2662" s="2">
        <v>45949</v>
      </c>
      <c r="B2662">
        <v>2026.0</v>
      </c>
      <c r="C2662" t="s">
        <v>321</v>
      </c>
      <c r="D2662" t="s">
        <v>319</v>
      </c>
      <c r="E2662" t="s">
        <v>228</v>
      </c>
      <c r="F2662" t="s">
        <v>306</v>
      </c>
      <c r="G2662" t="s">
        <v>11</v>
      </c>
      <c r="H2662">
        <v>4680.0</v>
      </c>
      <c r="I2662" t="s">
        <v>31</v>
      </c>
      <c r="J2662" t="s">
        <v>32</v>
      </c>
      <c r="K2662" t="s">
        <v>33</v>
      </c>
      <c r="L2662" t="s">
        <v>34</v>
      </c>
      <c r="M2662">
        <v>303.34000000000003</v>
      </c>
    </row>
    <row r="2663">
      <c r="A2663" s="2">
        <v>45463</v>
      </c>
      <c r="B2663">
        <v>2024.0</v>
      </c>
      <c r="C2663" t="s">
        <v>318</v>
      </c>
      <c r="D2663" t="s">
        <v>316</v>
      </c>
      <c r="E2663" t="s">
        <v>64</v>
      </c>
      <c r="F2663" t="s">
        <v>306</v>
      </c>
      <c r="G2663" t="s">
        <v>11</v>
      </c>
      <c r="H2663">
        <v>4215.0</v>
      </c>
      <c r="I2663" t="s">
        <v>31</v>
      </c>
      <c r="J2663" t="s">
        <v>61</v>
      </c>
      <c r="K2663" t="s">
        <v>38</v>
      </c>
      <c r="L2663" t="s">
        <v>39</v>
      </c>
      <c r="M2663">
        <v>303.4</v>
      </c>
    </row>
    <row r="2664">
      <c r="A2664" s="2">
        <v>45467</v>
      </c>
      <c r="B2664">
        <v>2024.0</v>
      </c>
      <c r="C2664" t="s">
        <v>318</v>
      </c>
      <c r="D2664" t="s">
        <v>316</v>
      </c>
      <c r="E2664" t="s">
        <v>110</v>
      </c>
      <c r="F2664" t="s">
        <v>304</v>
      </c>
      <c r="G2664" t="s">
        <v>9</v>
      </c>
      <c r="H2664">
        <v>2101.0</v>
      </c>
      <c r="I2664" t="s">
        <v>31</v>
      </c>
      <c r="J2664" t="s">
        <v>81</v>
      </c>
      <c r="K2664" t="s">
        <v>38</v>
      </c>
      <c r="L2664" t="s">
        <v>39</v>
      </c>
      <c r="M2664">
        <v>303.46</v>
      </c>
    </row>
    <row r="2665">
      <c r="A2665" s="2">
        <v>45587</v>
      </c>
      <c r="B2665">
        <v>2025.0</v>
      </c>
      <c r="C2665" t="s">
        <v>315</v>
      </c>
      <c r="D2665" t="s">
        <v>319</v>
      </c>
      <c r="E2665" t="s">
        <v>205</v>
      </c>
      <c r="F2665" t="s">
        <v>305</v>
      </c>
      <c r="G2665" t="s">
        <v>10</v>
      </c>
      <c r="H2665">
        <v>3400.0</v>
      </c>
      <c r="I2665" t="s">
        <v>31</v>
      </c>
      <c r="J2665" t="s">
        <v>37</v>
      </c>
      <c r="K2665" t="s">
        <v>95</v>
      </c>
      <c r="L2665" t="s">
        <v>96</v>
      </c>
      <c r="M2665">
        <v>303.72</v>
      </c>
    </row>
    <row r="2666">
      <c r="A2666" s="2">
        <v>45859</v>
      </c>
      <c r="B2666">
        <v>2026.0</v>
      </c>
      <c r="C2666" t="s">
        <v>321</v>
      </c>
      <c r="D2666" t="s">
        <v>316</v>
      </c>
      <c r="E2666" t="s">
        <v>246</v>
      </c>
      <c r="F2666" t="s">
        <v>305</v>
      </c>
      <c r="G2666" t="s">
        <v>10</v>
      </c>
      <c r="H2666">
        <v>3551.0</v>
      </c>
      <c r="I2666" t="s">
        <v>31</v>
      </c>
      <c r="J2666" t="s">
        <v>37</v>
      </c>
      <c r="K2666" t="s">
        <v>33</v>
      </c>
      <c r="L2666" t="s">
        <v>34</v>
      </c>
      <c r="M2666">
        <v>304.0</v>
      </c>
    </row>
    <row r="2667">
      <c r="A2667" s="2">
        <v>45411</v>
      </c>
      <c r="B2667">
        <v>2024.0</v>
      </c>
      <c r="C2667" t="s">
        <v>318</v>
      </c>
      <c r="D2667" t="s">
        <v>319</v>
      </c>
      <c r="E2667" t="s">
        <v>62</v>
      </c>
      <c r="F2667" t="s">
        <v>307</v>
      </c>
      <c r="G2667" t="s">
        <v>12</v>
      </c>
      <c r="H2667">
        <v>6530.0</v>
      </c>
      <c r="I2667" t="s">
        <v>31</v>
      </c>
      <c r="J2667" t="s">
        <v>50</v>
      </c>
      <c r="K2667" t="s">
        <v>43</v>
      </c>
      <c r="L2667" t="s">
        <v>44</v>
      </c>
      <c r="M2667">
        <v>304.11</v>
      </c>
    </row>
    <row r="2668">
      <c r="A2668" s="2">
        <v>45409</v>
      </c>
      <c r="B2668">
        <v>2024.0</v>
      </c>
      <c r="C2668" t="s">
        <v>318</v>
      </c>
      <c r="D2668" t="s">
        <v>316</v>
      </c>
      <c r="E2668" t="s">
        <v>175</v>
      </c>
      <c r="F2668" t="s">
        <v>311</v>
      </c>
      <c r="G2668" t="s">
        <v>16</v>
      </c>
      <c r="H2668">
        <v>2617.0</v>
      </c>
      <c r="I2668" t="s">
        <v>31</v>
      </c>
      <c r="J2668" t="s">
        <v>107</v>
      </c>
      <c r="K2668" t="s">
        <v>43</v>
      </c>
      <c r="L2668" t="s">
        <v>44</v>
      </c>
      <c r="M2668">
        <v>305.88</v>
      </c>
    </row>
    <row r="2669">
      <c r="A2669" s="2">
        <v>45428</v>
      </c>
      <c r="B2669">
        <v>2024.0</v>
      </c>
      <c r="C2669" t="s">
        <v>318</v>
      </c>
      <c r="D2669" t="s">
        <v>316</v>
      </c>
      <c r="E2669" t="s">
        <v>179</v>
      </c>
      <c r="F2669" t="s">
        <v>304</v>
      </c>
      <c r="G2669" t="s">
        <v>9</v>
      </c>
      <c r="H2669">
        <v>2015.0</v>
      </c>
      <c r="I2669" t="s">
        <v>31</v>
      </c>
      <c r="J2669" t="s">
        <v>99</v>
      </c>
      <c r="K2669" t="s">
        <v>112</v>
      </c>
      <c r="L2669" t="s">
        <v>113</v>
      </c>
      <c r="M2669">
        <v>306.1</v>
      </c>
    </row>
    <row r="2670">
      <c r="A2670" s="2">
        <v>46010</v>
      </c>
      <c r="B2670">
        <v>2026.0</v>
      </c>
      <c r="C2670" t="s">
        <v>321</v>
      </c>
      <c r="D2670" t="s">
        <v>316</v>
      </c>
      <c r="E2670" t="s">
        <v>125</v>
      </c>
      <c r="F2670" t="s">
        <v>305</v>
      </c>
      <c r="G2670" t="s">
        <v>10</v>
      </c>
      <c r="H2670">
        <v>3931.0</v>
      </c>
      <c r="I2670" t="s">
        <v>31</v>
      </c>
      <c r="J2670" t="s">
        <v>94</v>
      </c>
      <c r="K2670" t="s">
        <v>123</v>
      </c>
      <c r="L2670" t="s">
        <v>124</v>
      </c>
      <c r="M2670">
        <v>306.11</v>
      </c>
    </row>
    <row r="2671">
      <c r="A2671" s="2">
        <v>45367</v>
      </c>
      <c r="B2671">
        <v>2024.0</v>
      </c>
      <c r="C2671" t="s">
        <v>318</v>
      </c>
      <c r="D2671" t="s">
        <v>316</v>
      </c>
      <c r="E2671" t="s">
        <v>244</v>
      </c>
      <c r="F2671" t="s">
        <v>308</v>
      </c>
      <c r="G2671" t="s">
        <v>13</v>
      </c>
      <c r="H2671">
        <v>5168.0</v>
      </c>
      <c r="I2671" t="s">
        <v>31</v>
      </c>
      <c r="J2671" t="s">
        <v>42</v>
      </c>
      <c r="K2671" t="s">
        <v>123</v>
      </c>
      <c r="L2671" t="s">
        <v>124</v>
      </c>
      <c r="M2671">
        <v>306.46000000000004</v>
      </c>
    </row>
    <row r="2672">
      <c r="A2672" s="2">
        <v>45511</v>
      </c>
      <c r="B2672">
        <v>2025.0</v>
      </c>
      <c r="C2672" t="s">
        <v>315</v>
      </c>
      <c r="D2672" t="s">
        <v>316</v>
      </c>
      <c r="E2672" t="s">
        <v>260</v>
      </c>
      <c r="F2672" t="s">
        <v>305</v>
      </c>
      <c r="G2672" t="s">
        <v>10</v>
      </c>
      <c r="H2672">
        <v>3179.0</v>
      </c>
      <c r="I2672" t="s">
        <v>31</v>
      </c>
      <c r="J2672" t="s">
        <v>89</v>
      </c>
      <c r="K2672" t="s">
        <v>71</v>
      </c>
      <c r="L2672" t="s">
        <v>72</v>
      </c>
      <c r="M2672">
        <v>306.71000000000004</v>
      </c>
    </row>
    <row r="2673">
      <c r="A2673" s="2">
        <v>45957</v>
      </c>
      <c r="B2673">
        <v>2026.0</v>
      </c>
      <c r="C2673" t="s">
        <v>321</v>
      </c>
      <c r="D2673" t="s">
        <v>319</v>
      </c>
      <c r="E2673" t="s">
        <v>148</v>
      </c>
      <c r="F2673" t="s">
        <v>307</v>
      </c>
      <c r="G2673" t="s">
        <v>12</v>
      </c>
      <c r="H2673">
        <v>6450.0</v>
      </c>
      <c r="I2673" t="s">
        <v>31</v>
      </c>
      <c r="J2673" t="s">
        <v>50</v>
      </c>
      <c r="K2673" t="s">
        <v>43</v>
      </c>
      <c r="L2673" t="s">
        <v>44</v>
      </c>
      <c r="M2673">
        <v>306.76</v>
      </c>
    </row>
    <row r="2674">
      <c r="A2674" s="2">
        <v>45735</v>
      </c>
      <c r="B2674">
        <v>2025.0</v>
      </c>
      <c r="C2674" t="s">
        <v>315</v>
      </c>
      <c r="D2674" t="s">
        <v>316</v>
      </c>
      <c r="E2674" t="s">
        <v>264</v>
      </c>
      <c r="F2674" t="s">
        <v>308</v>
      </c>
      <c r="G2674" t="s">
        <v>13</v>
      </c>
      <c r="H2674">
        <v>5043.0</v>
      </c>
      <c r="I2674" t="s">
        <v>31</v>
      </c>
      <c r="J2674" t="s">
        <v>42</v>
      </c>
      <c r="K2674" t="s">
        <v>123</v>
      </c>
      <c r="L2674" t="s">
        <v>124</v>
      </c>
      <c r="M2674">
        <v>306.89</v>
      </c>
    </row>
    <row r="2675">
      <c r="A2675" s="2">
        <v>45808</v>
      </c>
      <c r="B2675">
        <v>2025.0</v>
      </c>
      <c r="C2675" t="s">
        <v>315</v>
      </c>
      <c r="D2675" t="s">
        <v>316</v>
      </c>
      <c r="E2675" t="s">
        <v>68</v>
      </c>
      <c r="F2675" t="s">
        <v>304</v>
      </c>
      <c r="G2675" t="s">
        <v>9</v>
      </c>
      <c r="H2675">
        <v>2478.0</v>
      </c>
      <c r="I2675" t="s">
        <v>31</v>
      </c>
      <c r="J2675" t="s">
        <v>70</v>
      </c>
      <c r="K2675" t="s">
        <v>123</v>
      </c>
      <c r="L2675" t="s">
        <v>124</v>
      </c>
      <c r="M2675">
        <v>307.12</v>
      </c>
    </row>
    <row r="2676">
      <c r="A2676" s="2">
        <v>45802</v>
      </c>
      <c r="B2676">
        <v>2025.0</v>
      </c>
      <c r="C2676" t="s">
        <v>315</v>
      </c>
      <c r="D2676" t="s">
        <v>316</v>
      </c>
      <c r="E2676" t="s">
        <v>129</v>
      </c>
      <c r="F2676" t="s">
        <v>305</v>
      </c>
      <c r="G2676" t="s">
        <v>10</v>
      </c>
      <c r="H2676">
        <v>3066.0</v>
      </c>
      <c r="I2676" t="s">
        <v>31</v>
      </c>
      <c r="J2676" t="s">
        <v>120</v>
      </c>
      <c r="K2676" t="s">
        <v>112</v>
      </c>
      <c r="L2676" t="s">
        <v>113</v>
      </c>
      <c r="M2676">
        <v>307.38</v>
      </c>
    </row>
    <row r="2677">
      <c r="A2677" s="2">
        <v>45360</v>
      </c>
      <c r="B2677">
        <v>2024.0</v>
      </c>
      <c r="C2677" t="s">
        <v>318</v>
      </c>
      <c r="D2677" t="s">
        <v>319</v>
      </c>
      <c r="E2677" t="s">
        <v>148</v>
      </c>
      <c r="F2677" t="s">
        <v>307</v>
      </c>
      <c r="G2677" t="s">
        <v>12</v>
      </c>
      <c r="H2677">
        <v>6450.0</v>
      </c>
      <c r="I2677" t="s">
        <v>31</v>
      </c>
      <c r="J2677" t="s">
        <v>50</v>
      </c>
      <c r="K2677" t="s">
        <v>71</v>
      </c>
      <c r="L2677" t="s">
        <v>72</v>
      </c>
      <c r="M2677">
        <v>307.73</v>
      </c>
    </row>
    <row r="2678">
      <c r="A2678" s="2">
        <v>45336</v>
      </c>
      <c r="B2678">
        <v>2024.0</v>
      </c>
      <c r="C2678" t="s">
        <v>318</v>
      </c>
      <c r="D2678" t="s">
        <v>316</v>
      </c>
      <c r="E2678" t="s">
        <v>215</v>
      </c>
      <c r="F2678" t="s">
        <v>310</v>
      </c>
      <c r="G2678" t="s">
        <v>15</v>
      </c>
      <c r="H2678">
        <v>7320.0</v>
      </c>
      <c r="I2678" t="s">
        <v>31</v>
      </c>
      <c r="J2678" t="s">
        <v>53</v>
      </c>
      <c r="K2678" t="s">
        <v>38</v>
      </c>
      <c r="L2678" t="s">
        <v>39</v>
      </c>
      <c r="M2678">
        <v>308.04</v>
      </c>
    </row>
    <row r="2679">
      <c r="A2679" s="2">
        <v>45943</v>
      </c>
      <c r="B2679">
        <v>2026.0</v>
      </c>
      <c r="C2679" t="s">
        <v>321</v>
      </c>
      <c r="D2679" t="s">
        <v>316</v>
      </c>
      <c r="E2679" t="s">
        <v>135</v>
      </c>
      <c r="F2679" t="s">
        <v>311</v>
      </c>
      <c r="G2679" t="s">
        <v>16</v>
      </c>
      <c r="H2679">
        <v>2609.0</v>
      </c>
      <c r="I2679" t="s">
        <v>31</v>
      </c>
      <c r="J2679" t="s">
        <v>107</v>
      </c>
      <c r="K2679" t="s">
        <v>43</v>
      </c>
      <c r="L2679" t="s">
        <v>44</v>
      </c>
      <c r="M2679">
        <v>308.82</v>
      </c>
    </row>
    <row r="2680">
      <c r="A2680" s="2">
        <v>45999</v>
      </c>
      <c r="B2680">
        <v>2026.0</v>
      </c>
      <c r="C2680" t="s">
        <v>321</v>
      </c>
      <c r="D2680" t="s">
        <v>316</v>
      </c>
      <c r="E2680" t="s">
        <v>177</v>
      </c>
      <c r="F2680" t="s">
        <v>307</v>
      </c>
      <c r="G2680" t="s">
        <v>12</v>
      </c>
      <c r="H2680">
        <v>6330.0</v>
      </c>
      <c r="I2680" t="s">
        <v>31</v>
      </c>
      <c r="J2680" t="s">
        <v>162</v>
      </c>
      <c r="K2680" t="s">
        <v>46</v>
      </c>
      <c r="L2680" t="s">
        <v>47</v>
      </c>
      <c r="M2680">
        <v>309.02</v>
      </c>
    </row>
    <row r="2681">
      <c r="A2681" s="2">
        <v>45477</v>
      </c>
      <c r="B2681">
        <v>2025.0</v>
      </c>
      <c r="C2681" t="s">
        <v>315</v>
      </c>
      <c r="D2681" t="s">
        <v>316</v>
      </c>
      <c r="E2681" t="s">
        <v>246</v>
      </c>
      <c r="F2681" t="s">
        <v>305</v>
      </c>
      <c r="G2681" t="s">
        <v>10</v>
      </c>
      <c r="H2681">
        <v>3551.0</v>
      </c>
      <c r="I2681" t="s">
        <v>31</v>
      </c>
      <c r="J2681" t="s">
        <v>37</v>
      </c>
      <c r="K2681" t="s">
        <v>57</v>
      </c>
      <c r="L2681" t="s">
        <v>58</v>
      </c>
      <c r="M2681">
        <v>309.33</v>
      </c>
    </row>
    <row r="2682">
      <c r="A2682" s="2">
        <v>45879</v>
      </c>
      <c r="B2682">
        <v>2026.0</v>
      </c>
      <c r="C2682" t="s">
        <v>321</v>
      </c>
      <c r="D2682" t="s">
        <v>319</v>
      </c>
      <c r="E2682" t="s">
        <v>146</v>
      </c>
      <c r="F2682" t="s">
        <v>304</v>
      </c>
      <c r="G2682" t="s">
        <v>9</v>
      </c>
      <c r="H2682">
        <v>2790.0</v>
      </c>
      <c r="I2682" t="s">
        <v>31</v>
      </c>
      <c r="J2682" t="s">
        <v>75</v>
      </c>
      <c r="K2682" t="s">
        <v>38</v>
      </c>
      <c r="L2682" t="s">
        <v>39</v>
      </c>
      <c r="M2682">
        <v>310.58000000000004</v>
      </c>
    </row>
    <row r="2683">
      <c r="A2683" s="2">
        <v>45378</v>
      </c>
      <c r="B2683">
        <v>2024.0</v>
      </c>
      <c r="C2683" t="s">
        <v>318</v>
      </c>
      <c r="D2683" t="s">
        <v>316</v>
      </c>
      <c r="E2683" t="s">
        <v>110</v>
      </c>
      <c r="F2683" t="s">
        <v>304</v>
      </c>
      <c r="G2683" t="s">
        <v>9</v>
      </c>
      <c r="H2683">
        <v>2101.0</v>
      </c>
      <c r="I2683" t="s">
        <v>31</v>
      </c>
      <c r="J2683" t="s">
        <v>81</v>
      </c>
      <c r="K2683" t="s">
        <v>33</v>
      </c>
      <c r="L2683" t="s">
        <v>34</v>
      </c>
      <c r="M2683">
        <v>310.82</v>
      </c>
    </row>
    <row r="2684">
      <c r="A2684" s="2">
        <v>45360</v>
      </c>
      <c r="B2684">
        <v>2024.0</v>
      </c>
      <c r="C2684" t="s">
        <v>318</v>
      </c>
      <c r="D2684" t="s">
        <v>316</v>
      </c>
      <c r="E2684" t="s">
        <v>167</v>
      </c>
      <c r="F2684" t="s">
        <v>307</v>
      </c>
      <c r="G2684" t="s">
        <v>12</v>
      </c>
      <c r="H2684">
        <v>6030.0</v>
      </c>
      <c r="I2684" t="s">
        <v>31</v>
      </c>
      <c r="J2684" t="s">
        <v>102</v>
      </c>
      <c r="K2684" t="s">
        <v>33</v>
      </c>
      <c r="L2684" t="s">
        <v>34</v>
      </c>
      <c r="M2684">
        <v>310.92999999999995</v>
      </c>
    </row>
    <row r="2685">
      <c r="A2685" s="2">
        <v>45506</v>
      </c>
      <c r="B2685">
        <v>2025.0</v>
      </c>
      <c r="C2685" t="s">
        <v>315</v>
      </c>
      <c r="D2685" t="s">
        <v>316</v>
      </c>
      <c r="E2685" t="s">
        <v>232</v>
      </c>
      <c r="F2685" t="s">
        <v>304</v>
      </c>
      <c r="G2685" t="s">
        <v>9</v>
      </c>
      <c r="H2685">
        <v>2800.0</v>
      </c>
      <c r="I2685" t="s">
        <v>31</v>
      </c>
      <c r="J2685" t="s">
        <v>75</v>
      </c>
      <c r="K2685" t="s">
        <v>95</v>
      </c>
      <c r="L2685" t="s">
        <v>96</v>
      </c>
      <c r="M2685">
        <v>311.4</v>
      </c>
    </row>
    <row r="2686">
      <c r="A2686" s="2">
        <v>45620</v>
      </c>
      <c r="B2686">
        <v>2025.0</v>
      </c>
      <c r="C2686" t="s">
        <v>315</v>
      </c>
      <c r="D2686" t="s">
        <v>316</v>
      </c>
      <c r="E2686" t="s">
        <v>114</v>
      </c>
      <c r="F2686" t="s">
        <v>304</v>
      </c>
      <c r="G2686" t="s">
        <v>9</v>
      </c>
      <c r="H2686">
        <v>2031.0</v>
      </c>
      <c r="I2686" t="s">
        <v>31</v>
      </c>
      <c r="J2686" t="s">
        <v>99</v>
      </c>
      <c r="K2686" t="s">
        <v>112</v>
      </c>
      <c r="L2686" t="s">
        <v>113</v>
      </c>
      <c r="M2686">
        <v>311.44000000000005</v>
      </c>
    </row>
    <row r="2687">
      <c r="A2687" s="2">
        <v>46012</v>
      </c>
      <c r="B2687">
        <v>2026.0</v>
      </c>
      <c r="C2687" t="s">
        <v>321</v>
      </c>
      <c r="D2687" t="s">
        <v>316</v>
      </c>
      <c r="E2687" t="s">
        <v>59</v>
      </c>
      <c r="F2687" t="s">
        <v>306</v>
      </c>
      <c r="G2687" t="s">
        <v>11</v>
      </c>
      <c r="H2687">
        <v>4509.0</v>
      </c>
      <c r="I2687" t="s">
        <v>31</v>
      </c>
      <c r="J2687" t="s">
        <v>61</v>
      </c>
      <c r="K2687" t="s">
        <v>95</v>
      </c>
      <c r="L2687" t="s">
        <v>96</v>
      </c>
      <c r="M2687">
        <v>312.12</v>
      </c>
    </row>
    <row r="2688">
      <c r="A2688" s="2">
        <v>45703</v>
      </c>
      <c r="B2688">
        <v>2025.0</v>
      </c>
      <c r="C2688" t="s">
        <v>315</v>
      </c>
      <c r="D2688" t="s">
        <v>316</v>
      </c>
      <c r="E2688" t="s">
        <v>137</v>
      </c>
      <c r="F2688" t="s">
        <v>305</v>
      </c>
      <c r="G2688" t="s">
        <v>10</v>
      </c>
      <c r="H2688">
        <v>3134.0</v>
      </c>
      <c r="I2688" t="s">
        <v>31</v>
      </c>
      <c r="J2688" t="s">
        <v>89</v>
      </c>
      <c r="K2688" t="s">
        <v>95</v>
      </c>
      <c r="L2688" t="s">
        <v>96</v>
      </c>
      <c r="M2688">
        <v>313.61</v>
      </c>
    </row>
    <row r="2689">
      <c r="A2689" s="2">
        <v>45525</v>
      </c>
      <c r="B2689">
        <v>2025.0</v>
      </c>
      <c r="C2689" t="s">
        <v>315</v>
      </c>
      <c r="D2689" t="s">
        <v>316</v>
      </c>
      <c r="E2689" t="s">
        <v>217</v>
      </c>
      <c r="F2689" t="s">
        <v>305</v>
      </c>
      <c r="G2689" t="s">
        <v>10</v>
      </c>
      <c r="H2689">
        <v>3136.0</v>
      </c>
      <c r="I2689" t="s">
        <v>31</v>
      </c>
      <c r="J2689" t="s">
        <v>89</v>
      </c>
      <c r="K2689" t="s">
        <v>71</v>
      </c>
      <c r="L2689" t="s">
        <v>72</v>
      </c>
      <c r="M2689">
        <v>313.62</v>
      </c>
    </row>
    <row r="2690">
      <c r="A2690" s="2">
        <v>45682</v>
      </c>
      <c r="B2690">
        <v>2025.0</v>
      </c>
      <c r="C2690" t="s">
        <v>315</v>
      </c>
      <c r="D2690" t="s">
        <v>316</v>
      </c>
      <c r="E2690" t="s">
        <v>244</v>
      </c>
      <c r="F2690" t="s">
        <v>308</v>
      </c>
      <c r="G2690" t="s">
        <v>13</v>
      </c>
      <c r="H2690">
        <v>5168.0</v>
      </c>
      <c r="I2690" t="s">
        <v>31</v>
      </c>
      <c r="J2690" t="s">
        <v>42</v>
      </c>
      <c r="K2690" t="s">
        <v>46</v>
      </c>
      <c r="L2690" t="s">
        <v>47</v>
      </c>
      <c r="M2690">
        <v>313.74</v>
      </c>
    </row>
    <row r="2691">
      <c r="A2691" s="2">
        <v>45651</v>
      </c>
      <c r="B2691">
        <v>2025.0</v>
      </c>
      <c r="C2691" t="s">
        <v>315</v>
      </c>
      <c r="D2691" t="s">
        <v>316</v>
      </c>
      <c r="E2691" t="s">
        <v>248</v>
      </c>
      <c r="F2691" t="s">
        <v>307</v>
      </c>
      <c r="G2691" t="s">
        <v>12</v>
      </c>
      <c r="H2691">
        <v>6112.0</v>
      </c>
      <c r="I2691" t="s">
        <v>31</v>
      </c>
      <c r="J2691" t="s">
        <v>162</v>
      </c>
      <c r="K2691" t="s">
        <v>33</v>
      </c>
      <c r="L2691" t="s">
        <v>34</v>
      </c>
      <c r="M2691">
        <v>313.83000000000004</v>
      </c>
    </row>
    <row r="2692">
      <c r="A2692" s="2">
        <v>45935</v>
      </c>
      <c r="B2692">
        <v>2026.0</v>
      </c>
      <c r="C2692" t="s">
        <v>321</v>
      </c>
      <c r="D2692" t="s">
        <v>316</v>
      </c>
      <c r="E2692" t="s">
        <v>127</v>
      </c>
      <c r="F2692" t="s">
        <v>306</v>
      </c>
      <c r="G2692" t="s">
        <v>11</v>
      </c>
      <c r="H2692">
        <v>4802.0</v>
      </c>
      <c r="I2692" t="s">
        <v>31</v>
      </c>
      <c r="J2692" t="s">
        <v>78</v>
      </c>
      <c r="K2692" t="s">
        <v>123</v>
      </c>
      <c r="L2692" t="s">
        <v>124</v>
      </c>
      <c r="M2692">
        <v>313.93</v>
      </c>
    </row>
    <row r="2693">
      <c r="A2693" s="2">
        <v>45663</v>
      </c>
      <c r="B2693">
        <v>2025.0</v>
      </c>
      <c r="C2693" t="s">
        <v>315</v>
      </c>
      <c r="D2693" t="s">
        <v>316</v>
      </c>
      <c r="E2693" t="s">
        <v>246</v>
      </c>
      <c r="F2693" t="s">
        <v>305</v>
      </c>
      <c r="G2693" t="s">
        <v>10</v>
      </c>
      <c r="H2693">
        <v>3551.0</v>
      </c>
      <c r="I2693" t="s">
        <v>31</v>
      </c>
      <c r="J2693" t="s">
        <v>37</v>
      </c>
      <c r="K2693" t="s">
        <v>38</v>
      </c>
      <c r="L2693" t="s">
        <v>39</v>
      </c>
      <c r="M2693">
        <v>314.66999999999996</v>
      </c>
    </row>
    <row r="2694">
      <c r="A2694" s="2">
        <v>45730</v>
      </c>
      <c r="B2694">
        <v>2025.0</v>
      </c>
      <c r="C2694" t="s">
        <v>315</v>
      </c>
      <c r="D2694" t="s">
        <v>316</v>
      </c>
      <c r="E2694" t="s">
        <v>64</v>
      </c>
      <c r="F2694" t="s">
        <v>306</v>
      </c>
      <c r="G2694" t="s">
        <v>11</v>
      </c>
      <c r="H2694">
        <v>4215.0</v>
      </c>
      <c r="I2694" t="s">
        <v>31</v>
      </c>
      <c r="J2694" t="s">
        <v>61</v>
      </c>
      <c r="K2694" t="s">
        <v>95</v>
      </c>
      <c r="L2694" t="s">
        <v>96</v>
      </c>
      <c r="M2694">
        <v>315.27000000000004</v>
      </c>
    </row>
    <row r="2695">
      <c r="A2695" s="2">
        <v>45547</v>
      </c>
      <c r="B2695">
        <v>2025.0</v>
      </c>
      <c r="C2695" t="s">
        <v>315</v>
      </c>
      <c r="D2695" t="s">
        <v>319</v>
      </c>
      <c r="E2695" t="s">
        <v>197</v>
      </c>
      <c r="F2695" t="s">
        <v>304</v>
      </c>
      <c r="G2695" t="s">
        <v>9</v>
      </c>
      <c r="H2695">
        <v>2560.0</v>
      </c>
      <c r="I2695" t="s">
        <v>31</v>
      </c>
      <c r="J2695" t="s">
        <v>107</v>
      </c>
      <c r="K2695" t="s">
        <v>95</v>
      </c>
      <c r="L2695" t="s">
        <v>96</v>
      </c>
      <c r="M2695">
        <v>315.51000000000005</v>
      </c>
    </row>
    <row r="2696">
      <c r="A2696" s="2">
        <v>45483</v>
      </c>
      <c r="B2696">
        <v>2025.0</v>
      </c>
      <c r="C2696" t="s">
        <v>315</v>
      </c>
      <c r="D2696" t="s">
        <v>316</v>
      </c>
      <c r="E2696" t="s">
        <v>232</v>
      </c>
      <c r="F2696" t="s">
        <v>304</v>
      </c>
      <c r="G2696" t="s">
        <v>9</v>
      </c>
      <c r="H2696">
        <v>2800.0</v>
      </c>
      <c r="I2696" t="s">
        <v>31</v>
      </c>
      <c r="J2696" t="s">
        <v>75</v>
      </c>
      <c r="K2696" t="s">
        <v>43</v>
      </c>
      <c r="L2696" t="s">
        <v>44</v>
      </c>
      <c r="M2696">
        <v>317.17</v>
      </c>
    </row>
    <row r="2697">
      <c r="A2697" s="2">
        <v>45360</v>
      </c>
      <c r="B2697">
        <v>2024.0</v>
      </c>
      <c r="C2697" t="s">
        <v>318</v>
      </c>
      <c r="D2697" t="s">
        <v>316</v>
      </c>
      <c r="E2697" t="s">
        <v>110</v>
      </c>
      <c r="F2697" t="s">
        <v>304</v>
      </c>
      <c r="G2697" t="s">
        <v>9</v>
      </c>
      <c r="H2697">
        <v>2101.0</v>
      </c>
      <c r="I2697" t="s">
        <v>31</v>
      </c>
      <c r="J2697" t="s">
        <v>81</v>
      </c>
      <c r="K2697" t="s">
        <v>33</v>
      </c>
      <c r="L2697" t="s">
        <v>34</v>
      </c>
      <c r="M2697">
        <v>317.45000000000005</v>
      </c>
    </row>
    <row r="2698">
      <c r="A2698" s="2">
        <v>45480</v>
      </c>
      <c r="B2698">
        <v>2025.0</v>
      </c>
      <c r="C2698" t="s">
        <v>315</v>
      </c>
      <c r="D2698" t="s">
        <v>319</v>
      </c>
      <c r="E2698" t="s">
        <v>118</v>
      </c>
      <c r="F2698" t="s">
        <v>305</v>
      </c>
      <c r="G2698" t="s">
        <v>10</v>
      </c>
      <c r="H2698">
        <v>3076.0</v>
      </c>
      <c r="I2698" t="s">
        <v>31</v>
      </c>
      <c r="J2698" t="s">
        <v>120</v>
      </c>
      <c r="K2698" t="s">
        <v>95</v>
      </c>
      <c r="L2698" t="s">
        <v>96</v>
      </c>
      <c r="M2698">
        <v>317.57</v>
      </c>
    </row>
    <row r="2699">
      <c r="A2699" s="2">
        <v>45789</v>
      </c>
      <c r="B2699">
        <v>2025.0</v>
      </c>
      <c r="C2699" t="s">
        <v>315</v>
      </c>
      <c r="D2699" t="s">
        <v>316</v>
      </c>
      <c r="E2699" t="s">
        <v>236</v>
      </c>
      <c r="F2699" t="s">
        <v>307</v>
      </c>
      <c r="G2699" t="s">
        <v>12</v>
      </c>
      <c r="H2699">
        <v>6052.0</v>
      </c>
      <c r="I2699" t="s">
        <v>31</v>
      </c>
      <c r="J2699" t="s">
        <v>102</v>
      </c>
      <c r="K2699" t="s">
        <v>43</v>
      </c>
      <c r="L2699" t="s">
        <v>44</v>
      </c>
      <c r="M2699">
        <v>317.68</v>
      </c>
    </row>
    <row r="2700">
      <c r="A2700" s="2">
        <v>45722</v>
      </c>
      <c r="B2700">
        <v>2025.0</v>
      </c>
      <c r="C2700" t="s">
        <v>315</v>
      </c>
      <c r="D2700" t="s">
        <v>316</v>
      </c>
      <c r="E2700" t="s">
        <v>82</v>
      </c>
      <c r="F2700" t="s">
        <v>306</v>
      </c>
      <c r="G2700" t="s">
        <v>11</v>
      </c>
      <c r="H2700">
        <v>4558.0</v>
      </c>
      <c r="I2700" t="s">
        <v>31</v>
      </c>
      <c r="J2700" t="s">
        <v>84</v>
      </c>
      <c r="K2700" t="s">
        <v>33</v>
      </c>
      <c r="L2700" t="s">
        <v>34</v>
      </c>
      <c r="M2700">
        <v>317.88</v>
      </c>
    </row>
    <row r="2701">
      <c r="A2701" s="2">
        <v>45293</v>
      </c>
      <c r="B2701">
        <v>2024.0</v>
      </c>
      <c r="C2701" t="s">
        <v>318</v>
      </c>
      <c r="D2701" t="s">
        <v>316</v>
      </c>
      <c r="E2701" t="s">
        <v>64</v>
      </c>
      <c r="F2701" t="s">
        <v>306</v>
      </c>
      <c r="G2701" t="s">
        <v>11</v>
      </c>
      <c r="H2701">
        <v>4215.0</v>
      </c>
      <c r="I2701" t="s">
        <v>31</v>
      </c>
      <c r="J2701" t="s">
        <v>61</v>
      </c>
      <c r="K2701" t="s">
        <v>66</v>
      </c>
      <c r="L2701" t="s">
        <v>67</v>
      </c>
      <c r="M2701">
        <v>318.18</v>
      </c>
    </row>
    <row r="2702">
      <c r="A2702" s="2">
        <v>45948</v>
      </c>
      <c r="B2702">
        <v>2026.0</v>
      </c>
      <c r="C2702" t="s">
        <v>321</v>
      </c>
      <c r="D2702" t="s">
        <v>316</v>
      </c>
      <c r="E2702" t="s">
        <v>173</v>
      </c>
      <c r="F2702" t="s">
        <v>306</v>
      </c>
      <c r="G2702" t="s">
        <v>11</v>
      </c>
      <c r="H2702">
        <v>4220.0</v>
      </c>
      <c r="I2702" t="s">
        <v>31</v>
      </c>
      <c r="J2702" t="s">
        <v>61</v>
      </c>
      <c r="K2702" t="s">
        <v>38</v>
      </c>
      <c r="L2702" t="s">
        <v>39</v>
      </c>
      <c r="M2702">
        <v>318.38</v>
      </c>
    </row>
    <row r="2703">
      <c r="A2703" s="2">
        <v>45912</v>
      </c>
      <c r="B2703">
        <v>2026.0</v>
      </c>
      <c r="C2703" t="s">
        <v>321</v>
      </c>
      <c r="D2703" t="s">
        <v>316</v>
      </c>
      <c r="E2703" t="s">
        <v>236</v>
      </c>
      <c r="F2703" t="s">
        <v>307</v>
      </c>
      <c r="G2703" t="s">
        <v>12</v>
      </c>
      <c r="H2703">
        <v>6052.0</v>
      </c>
      <c r="I2703" t="s">
        <v>31</v>
      </c>
      <c r="J2703" t="s">
        <v>102</v>
      </c>
      <c r="K2703" t="s">
        <v>46</v>
      </c>
      <c r="L2703" t="s">
        <v>47</v>
      </c>
      <c r="M2703">
        <v>318.63</v>
      </c>
    </row>
    <row r="2704">
      <c r="A2704" s="2">
        <v>45898</v>
      </c>
      <c r="B2704">
        <v>2026.0</v>
      </c>
      <c r="C2704" t="s">
        <v>321</v>
      </c>
      <c r="D2704" t="s">
        <v>316</v>
      </c>
      <c r="E2704" t="s">
        <v>179</v>
      </c>
      <c r="F2704" t="s">
        <v>304</v>
      </c>
      <c r="G2704" t="s">
        <v>9</v>
      </c>
      <c r="H2704">
        <v>2015.0</v>
      </c>
      <c r="I2704" t="s">
        <v>31</v>
      </c>
      <c r="J2704" t="s">
        <v>99</v>
      </c>
      <c r="K2704" t="s">
        <v>43</v>
      </c>
      <c r="L2704" t="s">
        <v>44</v>
      </c>
      <c r="M2704">
        <v>318.78</v>
      </c>
    </row>
    <row r="2705">
      <c r="A2705" s="2">
        <v>45592</v>
      </c>
      <c r="B2705">
        <v>2025.0</v>
      </c>
      <c r="C2705" t="s">
        <v>315</v>
      </c>
      <c r="D2705" t="s">
        <v>316</v>
      </c>
      <c r="E2705" t="s">
        <v>236</v>
      </c>
      <c r="F2705" t="s">
        <v>307</v>
      </c>
      <c r="G2705" t="s">
        <v>12</v>
      </c>
      <c r="H2705">
        <v>6052.0</v>
      </c>
      <c r="I2705" t="s">
        <v>31</v>
      </c>
      <c r="J2705" t="s">
        <v>102</v>
      </c>
      <c r="K2705" t="s">
        <v>33</v>
      </c>
      <c r="L2705" t="s">
        <v>34</v>
      </c>
      <c r="M2705">
        <v>319.33</v>
      </c>
    </row>
    <row r="2706">
      <c r="A2706" s="2">
        <v>45903</v>
      </c>
      <c r="B2706">
        <v>2026.0</v>
      </c>
      <c r="C2706" t="s">
        <v>321</v>
      </c>
      <c r="D2706" t="s">
        <v>316</v>
      </c>
      <c r="E2706" t="s">
        <v>185</v>
      </c>
      <c r="F2706" t="s">
        <v>307</v>
      </c>
      <c r="G2706" t="s">
        <v>12</v>
      </c>
      <c r="H2706">
        <v>6109.0</v>
      </c>
      <c r="I2706" t="s">
        <v>31</v>
      </c>
      <c r="J2706" t="s">
        <v>162</v>
      </c>
      <c r="K2706" t="s">
        <v>71</v>
      </c>
      <c r="L2706" t="s">
        <v>72</v>
      </c>
      <c r="M2706">
        <v>319.45000000000005</v>
      </c>
    </row>
    <row r="2707">
      <c r="A2707" s="2">
        <v>45406</v>
      </c>
      <c r="B2707">
        <v>2024.0</v>
      </c>
      <c r="C2707" t="s">
        <v>318</v>
      </c>
      <c r="D2707" t="s">
        <v>316</v>
      </c>
      <c r="E2707" t="s">
        <v>219</v>
      </c>
      <c r="F2707" t="s">
        <v>306</v>
      </c>
      <c r="G2707" t="s">
        <v>11</v>
      </c>
      <c r="H2707">
        <v>4068.0</v>
      </c>
      <c r="I2707" t="s">
        <v>31</v>
      </c>
      <c r="J2707" t="s">
        <v>56</v>
      </c>
      <c r="K2707" t="s">
        <v>57</v>
      </c>
      <c r="L2707" t="s">
        <v>58</v>
      </c>
      <c r="M2707">
        <v>321.53</v>
      </c>
    </row>
    <row r="2708">
      <c r="A2708" s="2">
        <v>45561</v>
      </c>
      <c r="B2708">
        <v>2025.0</v>
      </c>
      <c r="C2708" t="s">
        <v>315</v>
      </c>
      <c r="D2708" t="s">
        <v>316</v>
      </c>
      <c r="E2708" t="s">
        <v>76</v>
      </c>
      <c r="F2708" t="s">
        <v>306</v>
      </c>
      <c r="G2708" t="s">
        <v>11</v>
      </c>
      <c r="H2708">
        <v>4883.0</v>
      </c>
      <c r="I2708" t="s">
        <v>31</v>
      </c>
      <c r="J2708" t="s">
        <v>78</v>
      </c>
      <c r="K2708" t="s">
        <v>43</v>
      </c>
      <c r="L2708" t="s">
        <v>44</v>
      </c>
      <c r="M2708">
        <v>321.62</v>
      </c>
    </row>
    <row r="2709">
      <c r="A2709" s="2">
        <v>45616</v>
      </c>
      <c r="B2709">
        <v>2025.0</v>
      </c>
      <c r="C2709" t="s">
        <v>315</v>
      </c>
      <c r="D2709" t="s">
        <v>316</v>
      </c>
      <c r="E2709" t="s">
        <v>64</v>
      </c>
      <c r="F2709" t="s">
        <v>306</v>
      </c>
      <c r="G2709" t="s">
        <v>11</v>
      </c>
      <c r="H2709">
        <v>4215.0</v>
      </c>
      <c r="I2709" t="s">
        <v>31</v>
      </c>
      <c r="J2709" t="s">
        <v>61</v>
      </c>
      <c r="K2709" t="s">
        <v>33</v>
      </c>
      <c r="L2709" t="s">
        <v>34</v>
      </c>
      <c r="M2709">
        <v>323.09</v>
      </c>
    </row>
    <row r="2710">
      <c r="A2710" s="2">
        <v>45993</v>
      </c>
      <c r="B2710">
        <v>2026.0</v>
      </c>
      <c r="C2710" t="s">
        <v>321</v>
      </c>
      <c r="D2710" t="s">
        <v>316</v>
      </c>
      <c r="E2710" t="s">
        <v>163</v>
      </c>
      <c r="F2710" t="s">
        <v>304</v>
      </c>
      <c r="G2710" t="s">
        <v>9</v>
      </c>
      <c r="H2710">
        <v>2154.0</v>
      </c>
      <c r="I2710" t="s">
        <v>31</v>
      </c>
      <c r="J2710" t="s">
        <v>81</v>
      </c>
      <c r="K2710" t="s">
        <v>33</v>
      </c>
      <c r="L2710" t="s">
        <v>34</v>
      </c>
      <c r="M2710">
        <v>323.19</v>
      </c>
    </row>
    <row r="2711">
      <c r="A2711" s="2">
        <v>45756</v>
      </c>
      <c r="B2711">
        <v>2025.0</v>
      </c>
      <c r="C2711" t="s">
        <v>315</v>
      </c>
      <c r="D2711" t="s">
        <v>316</v>
      </c>
      <c r="E2711" t="s">
        <v>219</v>
      </c>
      <c r="F2711" t="s">
        <v>306</v>
      </c>
      <c r="G2711" t="s">
        <v>11</v>
      </c>
      <c r="H2711">
        <v>4068.0</v>
      </c>
      <c r="I2711" t="s">
        <v>31</v>
      </c>
      <c r="J2711" t="s">
        <v>56</v>
      </c>
      <c r="K2711" t="s">
        <v>43</v>
      </c>
      <c r="L2711" t="s">
        <v>44</v>
      </c>
      <c r="M2711">
        <v>324.33</v>
      </c>
    </row>
    <row r="2712">
      <c r="A2712" s="2">
        <v>45823</v>
      </c>
      <c r="B2712">
        <v>2025.0</v>
      </c>
      <c r="C2712" t="s">
        <v>315</v>
      </c>
      <c r="D2712" t="s">
        <v>319</v>
      </c>
      <c r="E2712" t="s">
        <v>156</v>
      </c>
      <c r="F2712" t="s">
        <v>304</v>
      </c>
      <c r="G2712" t="s">
        <v>9</v>
      </c>
      <c r="H2712">
        <v>2830.0</v>
      </c>
      <c r="I2712" t="s">
        <v>31</v>
      </c>
      <c r="J2712" t="s">
        <v>75</v>
      </c>
      <c r="K2712" t="s">
        <v>38</v>
      </c>
      <c r="L2712" t="s">
        <v>39</v>
      </c>
      <c r="M2712">
        <v>324.38</v>
      </c>
    </row>
    <row r="2713">
      <c r="A2713" s="2">
        <v>45598</v>
      </c>
      <c r="B2713">
        <v>2025.0</v>
      </c>
      <c r="C2713" t="s">
        <v>315</v>
      </c>
      <c r="D2713" t="s">
        <v>316</v>
      </c>
      <c r="E2713" t="s">
        <v>90</v>
      </c>
      <c r="F2713" t="s">
        <v>305</v>
      </c>
      <c r="G2713" t="s">
        <v>10</v>
      </c>
      <c r="H2713">
        <v>3353.0</v>
      </c>
      <c r="I2713" t="s">
        <v>31</v>
      </c>
      <c r="J2713" t="s">
        <v>37</v>
      </c>
      <c r="K2713" t="s">
        <v>95</v>
      </c>
      <c r="L2713" t="s">
        <v>96</v>
      </c>
      <c r="M2713">
        <v>324.63</v>
      </c>
    </row>
    <row r="2714">
      <c r="A2714" s="2">
        <v>45874</v>
      </c>
      <c r="B2714">
        <v>2026.0</v>
      </c>
      <c r="C2714" t="s">
        <v>321</v>
      </c>
      <c r="D2714" t="s">
        <v>316</v>
      </c>
      <c r="E2714" t="s">
        <v>143</v>
      </c>
      <c r="F2714" t="s">
        <v>309</v>
      </c>
      <c r="G2714" t="s">
        <v>14</v>
      </c>
      <c r="H2714">
        <v>800.0</v>
      </c>
      <c r="I2714" t="s">
        <v>31</v>
      </c>
      <c r="J2714" t="s">
        <v>145</v>
      </c>
      <c r="K2714" t="s">
        <v>95</v>
      </c>
      <c r="L2714" t="s">
        <v>96</v>
      </c>
      <c r="M2714">
        <v>325.47</v>
      </c>
    </row>
    <row r="2715">
      <c r="A2715" s="2">
        <v>45978</v>
      </c>
      <c r="B2715">
        <v>2026.0</v>
      </c>
      <c r="C2715" t="s">
        <v>321</v>
      </c>
      <c r="D2715" t="s">
        <v>316</v>
      </c>
      <c r="E2715" t="s">
        <v>179</v>
      </c>
      <c r="F2715" t="s">
        <v>304</v>
      </c>
      <c r="G2715" t="s">
        <v>9</v>
      </c>
      <c r="H2715">
        <v>2015.0</v>
      </c>
      <c r="I2715" t="s">
        <v>31</v>
      </c>
      <c r="J2715" t="s">
        <v>99</v>
      </c>
      <c r="K2715" t="s">
        <v>95</v>
      </c>
      <c r="L2715" t="s">
        <v>96</v>
      </c>
      <c r="M2715">
        <v>325.5</v>
      </c>
    </row>
    <row r="2716">
      <c r="A2716" s="2">
        <v>45994</v>
      </c>
      <c r="B2716">
        <v>2026.0</v>
      </c>
      <c r="C2716" t="s">
        <v>321</v>
      </c>
      <c r="D2716" t="s">
        <v>316</v>
      </c>
      <c r="E2716" t="s">
        <v>230</v>
      </c>
      <c r="F2716" t="s">
        <v>308</v>
      </c>
      <c r="G2716" t="s">
        <v>13</v>
      </c>
      <c r="H2716">
        <v>5290.0</v>
      </c>
      <c r="I2716" t="s">
        <v>31</v>
      </c>
      <c r="J2716" t="s">
        <v>227</v>
      </c>
      <c r="K2716" t="s">
        <v>57</v>
      </c>
      <c r="L2716" t="s">
        <v>58</v>
      </c>
      <c r="M2716">
        <v>326.1</v>
      </c>
    </row>
    <row r="2717">
      <c r="A2717" s="2">
        <v>45555</v>
      </c>
      <c r="B2717">
        <v>2025.0</v>
      </c>
      <c r="C2717" t="s">
        <v>315</v>
      </c>
      <c r="D2717" t="s">
        <v>316</v>
      </c>
      <c r="E2717" t="s">
        <v>152</v>
      </c>
      <c r="F2717" t="s">
        <v>306</v>
      </c>
      <c r="G2717" t="s">
        <v>11</v>
      </c>
      <c r="H2717">
        <v>4305.0</v>
      </c>
      <c r="I2717" t="s">
        <v>31</v>
      </c>
      <c r="J2717" t="s">
        <v>61</v>
      </c>
      <c r="K2717" t="s">
        <v>71</v>
      </c>
      <c r="L2717" t="s">
        <v>72</v>
      </c>
      <c r="M2717">
        <v>326.76</v>
      </c>
    </row>
    <row r="2718">
      <c r="A2718" s="2">
        <v>45577</v>
      </c>
      <c r="B2718">
        <v>2025.0</v>
      </c>
      <c r="C2718" t="s">
        <v>315</v>
      </c>
      <c r="D2718" t="s">
        <v>316</v>
      </c>
      <c r="E2718" t="s">
        <v>143</v>
      </c>
      <c r="F2718" t="s">
        <v>309</v>
      </c>
      <c r="G2718" t="s">
        <v>14</v>
      </c>
      <c r="H2718">
        <v>800.0</v>
      </c>
      <c r="I2718" t="s">
        <v>31</v>
      </c>
      <c r="J2718" t="s">
        <v>145</v>
      </c>
      <c r="K2718" t="s">
        <v>66</v>
      </c>
      <c r="L2718" t="s">
        <v>67</v>
      </c>
      <c r="M2718">
        <v>327.34</v>
      </c>
    </row>
    <row r="2719">
      <c r="A2719" s="2">
        <v>45922</v>
      </c>
      <c r="B2719">
        <v>2026.0</v>
      </c>
      <c r="C2719" t="s">
        <v>321</v>
      </c>
      <c r="D2719" t="s">
        <v>316</v>
      </c>
      <c r="E2719" t="s">
        <v>64</v>
      </c>
      <c r="F2719" t="s">
        <v>306</v>
      </c>
      <c r="G2719" t="s">
        <v>11</v>
      </c>
      <c r="H2719">
        <v>4215.0</v>
      </c>
      <c r="I2719" t="s">
        <v>31</v>
      </c>
      <c r="J2719" t="s">
        <v>61</v>
      </c>
      <c r="K2719" t="s">
        <v>43</v>
      </c>
      <c r="L2719" t="s">
        <v>44</v>
      </c>
      <c r="M2719">
        <v>327.45000000000005</v>
      </c>
    </row>
    <row r="2720">
      <c r="A2720" s="2">
        <v>45446</v>
      </c>
      <c r="B2720">
        <v>2024.0</v>
      </c>
      <c r="C2720" t="s">
        <v>318</v>
      </c>
      <c r="D2720" t="s">
        <v>319</v>
      </c>
      <c r="E2720" t="s">
        <v>116</v>
      </c>
      <c r="F2720" t="s">
        <v>304</v>
      </c>
      <c r="G2720" t="s">
        <v>9</v>
      </c>
      <c r="H2720">
        <v>2485.0</v>
      </c>
      <c r="I2720" t="s">
        <v>31</v>
      </c>
      <c r="J2720" t="s">
        <v>70</v>
      </c>
      <c r="K2720" t="s">
        <v>123</v>
      </c>
      <c r="L2720" t="s">
        <v>124</v>
      </c>
      <c r="M2720">
        <v>327.47</v>
      </c>
    </row>
    <row r="2721">
      <c r="A2721" s="2">
        <v>45622</v>
      </c>
      <c r="B2721">
        <v>2025.0</v>
      </c>
      <c r="C2721" t="s">
        <v>315</v>
      </c>
      <c r="D2721" t="s">
        <v>316</v>
      </c>
      <c r="E2721" t="s">
        <v>40</v>
      </c>
      <c r="F2721" t="s">
        <v>308</v>
      </c>
      <c r="G2721" t="s">
        <v>13</v>
      </c>
      <c r="H2721">
        <v>5011.0</v>
      </c>
      <c r="I2721" t="s">
        <v>31</v>
      </c>
      <c r="J2721" t="s">
        <v>42</v>
      </c>
      <c r="K2721" t="s">
        <v>71</v>
      </c>
      <c r="L2721" t="s">
        <v>72</v>
      </c>
      <c r="M2721">
        <v>327.70000000000005</v>
      </c>
    </row>
    <row r="2722">
      <c r="A2722" s="2">
        <v>45502</v>
      </c>
      <c r="B2722">
        <v>2025.0</v>
      </c>
      <c r="C2722" t="s">
        <v>315</v>
      </c>
      <c r="D2722" t="s">
        <v>316</v>
      </c>
      <c r="E2722" t="s">
        <v>169</v>
      </c>
      <c r="F2722" t="s">
        <v>307</v>
      </c>
      <c r="G2722" t="s">
        <v>12</v>
      </c>
      <c r="H2722">
        <v>6027.0</v>
      </c>
      <c r="I2722" t="s">
        <v>31</v>
      </c>
      <c r="J2722" t="s">
        <v>102</v>
      </c>
      <c r="K2722" t="s">
        <v>38</v>
      </c>
      <c r="L2722" t="s">
        <v>39</v>
      </c>
      <c r="M2722">
        <v>327.74</v>
      </c>
    </row>
    <row r="2723">
      <c r="A2723" s="2">
        <v>45456</v>
      </c>
      <c r="B2723">
        <v>2024.0</v>
      </c>
      <c r="C2723" t="s">
        <v>318</v>
      </c>
      <c r="D2723" t="s">
        <v>316</v>
      </c>
      <c r="E2723" t="s">
        <v>177</v>
      </c>
      <c r="F2723" t="s">
        <v>307</v>
      </c>
      <c r="G2723" t="s">
        <v>12</v>
      </c>
      <c r="H2723">
        <v>6330.0</v>
      </c>
      <c r="I2723" t="s">
        <v>31</v>
      </c>
      <c r="J2723" t="s">
        <v>162</v>
      </c>
      <c r="K2723" t="s">
        <v>71</v>
      </c>
      <c r="L2723" t="s">
        <v>72</v>
      </c>
      <c r="M2723">
        <v>327.77</v>
      </c>
    </row>
    <row r="2724">
      <c r="A2724" s="2">
        <v>45511</v>
      </c>
      <c r="B2724">
        <v>2025.0</v>
      </c>
      <c r="C2724" t="s">
        <v>315</v>
      </c>
      <c r="D2724" t="s">
        <v>316</v>
      </c>
      <c r="E2724" t="s">
        <v>234</v>
      </c>
      <c r="F2724" t="s">
        <v>304</v>
      </c>
      <c r="G2724" t="s">
        <v>9</v>
      </c>
      <c r="H2724">
        <v>2158.0</v>
      </c>
      <c r="I2724" t="s">
        <v>31</v>
      </c>
      <c r="J2724" t="s">
        <v>81</v>
      </c>
      <c r="K2724" t="s">
        <v>71</v>
      </c>
      <c r="L2724" t="s">
        <v>72</v>
      </c>
      <c r="M2724">
        <v>327.77</v>
      </c>
    </row>
    <row r="2725">
      <c r="A2725" s="2">
        <v>45797</v>
      </c>
      <c r="B2725">
        <v>2025.0</v>
      </c>
      <c r="C2725" t="s">
        <v>315</v>
      </c>
      <c r="D2725" t="s">
        <v>316</v>
      </c>
      <c r="E2725" t="s">
        <v>163</v>
      </c>
      <c r="F2725" t="s">
        <v>304</v>
      </c>
      <c r="G2725" t="s">
        <v>9</v>
      </c>
      <c r="H2725">
        <v>2154.0</v>
      </c>
      <c r="I2725" t="s">
        <v>31</v>
      </c>
      <c r="J2725" t="s">
        <v>81</v>
      </c>
      <c r="K2725" t="s">
        <v>112</v>
      </c>
      <c r="L2725" t="s">
        <v>113</v>
      </c>
      <c r="M2725">
        <v>328.29</v>
      </c>
    </row>
    <row r="2726">
      <c r="A2726" s="2">
        <v>46008</v>
      </c>
      <c r="B2726">
        <v>2026.0</v>
      </c>
      <c r="C2726" t="s">
        <v>321</v>
      </c>
      <c r="D2726" t="s">
        <v>316</v>
      </c>
      <c r="E2726" t="s">
        <v>169</v>
      </c>
      <c r="F2726" t="s">
        <v>307</v>
      </c>
      <c r="G2726" t="s">
        <v>12</v>
      </c>
      <c r="H2726">
        <v>6027.0</v>
      </c>
      <c r="I2726" t="s">
        <v>31</v>
      </c>
      <c r="J2726" t="s">
        <v>102</v>
      </c>
      <c r="K2726" t="s">
        <v>71</v>
      </c>
      <c r="L2726" t="s">
        <v>72</v>
      </c>
      <c r="M2726">
        <v>328.71</v>
      </c>
    </row>
    <row r="2727">
      <c r="A2727" s="2">
        <v>45651</v>
      </c>
      <c r="B2727">
        <v>2025.0</v>
      </c>
      <c r="C2727" t="s">
        <v>315</v>
      </c>
      <c r="D2727" t="s">
        <v>316</v>
      </c>
      <c r="E2727" t="s">
        <v>217</v>
      </c>
      <c r="F2727" t="s">
        <v>305</v>
      </c>
      <c r="G2727" t="s">
        <v>10</v>
      </c>
      <c r="H2727">
        <v>3136.0</v>
      </c>
      <c r="I2727" t="s">
        <v>31</v>
      </c>
      <c r="J2727" t="s">
        <v>89</v>
      </c>
      <c r="K2727" t="s">
        <v>33</v>
      </c>
      <c r="L2727" t="s">
        <v>34</v>
      </c>
      <c r="M2727">
        <v>329.27000000000004</v>
      </c>
    </row>
    <row r="2728">
      <c r="A2728" s="2">
        <v>45766</v>
      </c>
      <c r="B2728">
        <v>2025.0</v>
      </c>
      <c r="C2728" t="s">
        <v>315</v>
      </c>
      <c r="D2728" t="s">
        <v>316</v>
      </c>
      <c r="E2728" t="s">
        <v>256</v>
      </c>
      <c r="F2728" t="s">
        <v>304</v>
      </c>
      <c r="G2728" t="s">
        <v>9</v>
      </c>
      <c r="H2728">
        <v>2350.0</v>
      </c>
      <c r="I2728" t="s">
        <v>31</v>
      </c>
      <c r="J2728" t="s">
        <v>70</v>
      </c>
      <c r="K2728" t="s">
        <v>57</v>
      </c>
      <c r="L2728" t="s">
        <v>58</v>
      </c>
      <c r="M2728">
        <v>329.48</v>
      </c>
    </row>
    <row r="2729">
      <c r="A2729" s="2">
        <v>45349</v>
      </c>
      <c r="B2729">
        <v>2024.0</v>
      </c>
      <c r="C2729" t="s">
        <v>318</v>
      </c>
      <c r="D2729" t="s">
        <v>316</v>
      </c>
      <c r="E2729" t="s">
        <v>256</v>
      </c>
      <c r="F2729" t="s">
        <v>304</v>
      </c>
      <c r="G2729" t="s">
        <v>9</v>
      </c>
      <c r="H2729">
        <v>2350.0</v>
      </c>
      <c r="I2729" t="s">
        <v>31</v>
      </c>
      <c r="J2729" t="s">
        <v>70</v>
      </c>
      <c r="K2729" t="s">
        <v>95</v>
      </c>
      <c r="L2729" t="s">
        <v>96</v>
      </c>
      <c r="M2729">
        <v>330.32</v>
      </c>
    </row>
    <row r="2730">
      <c r="A2730" s="2">
        <v>45928</v>
      </c>
      <c r="B2730">
        <v>2026.0</v>
      </c>
      <c r="C2730" t="s">
        <v>321</v>
      </c>
      <c r="D2730" t="s">
        <v>319</v>
      </c>
      <c r="E2730" t="s">
        <v>203</v>
      </c>
      <c r="F2730" t="s">
        <v>305</v>
      </c>
      <c r="G2730" t="s">
        <v>10</v>
      </c>
      <c r="H2730">
        <v>3175.0</v>
      </c>
      <c r="I2730" t="s">
        <v>31</v>
      </c>
      <c r="J2730" t="s">
        <v>89</v>
      </c>
      <c r="K2730" t="s">
        <v>33</v>
      </c>
      <c r="L2730" t="s">
        <v>34</v>
      </c>
      <c r="M2730">
        <v>331.33</v>
      </c>
    </row>
    <row r="2731">
      <c r="A2731" s="2">
        <v>45537</v>
      </c>
      <c r="B2731">
        <v>2025.0</v>
      </c>
      <c r="C2731" t="s">
        <v>315</v>
      </c>
      <c r="D2731" t="s">
        <v>319</v>
      </c>
      <c r="E2731" t="s">
        <v>139</v>
      </c>
      <c r="F2731" t="s">
        <v>305</v>
      </c>
      <c r="G2731" t="s">
        <v>10</v>
      </c>
      <c r="H2731">
        <v>3199.0</v>
      </c>
      <c r="I2731" t="s">
        <v>31</v>
      </c>
      <c r="J2731" t="s">
        <v>89</v>
      </c>
      <c r="K2731" t="s">
        <v>95</v>
      </c>
      <c r="L2731" t="s">
        <v>96</v>
      </c>
      <c r="M2731">
        <v>331.47999999999996</v>
      </c>
    </row>
    <row r="2732">
      <c r="A2732" s="2">
        <v>45740</v>
      </c>
      <c r="B2732">
        <v>2025.0</v>
      </c>
      <c r="C2732" t="s">
        <v>315</v>
      </c>
      <c r="D2732" t="s">
        <v>319</v>
      </c>
      <c r="E2732" t="s">
        <v>260</v>
      </c>
      <c r="F2732" t="s">
        <v>305</v>
      </c>
      <c r="G2732" t="s">
        <v>10</v>
      </c>
      <c r="H2732">
        <v>3179.0</v>
      </c>
      <c r="I2732" t="s">
        <v>31</v>
      </c>
      <c r="J2732" t="s">
        <v>89</v>
      </c>
      <c r="K2732" t="s">
        <v>33</v>
      </c>
      <c r="L2732" t="s">
        <v>34</v>
      </c>
      <c r="M2732">
        <v>332.25000000000006</v>
      </c>
    </row>
    <row r="2733">
      <c r="A2733" s="2">
        <v>45944</v>
      </c>
      <c r="B2733">
        <v>2026.0</v>
      </c>
      <c r="C2733" t="s">
        <v>321</v>
      </c>
      <c r="D2733" t="s">
        <v>316</v>
      </c>
      <c r="E2733" t="s">
        <v>108</v>
      </c>
      <c r="F2733" t="s">
        <v>304</v>
      </c>
      <c r="G2733" t="s">
        <v>9</v>
      </c>
      <c r="H2733">
        <v>2795.0</v>
      </c>
      <c r="I2733" t="s">
        <v>31</v>
      </c>
      <c r="J2733" t="s">
        <v>75</v>
      </c>
      <c r="K2733" t="s">
        <v>43</v>
      </c>
      <c r="L2733" t="s">
        <v>44</v>
      </c>
      <c r="M2733">
        <v>332.64</v>
      </c>
    </row>
    <row r="2734">
      <c r="A2734" s="2">
        <v>45313</v>
      </c>
      <c r="B2734">
        <v>2024.0</v>
      </c>
      <c r="C2734" t="s">
        <v>318</v>
      </c>
      <c r="D2734" t="s">
        <v>316</v>
      </c>
      <c r="E2734" t="s">
        <v>135</v>
      </c>
      <c r="F2734" t="s">
        <v>311</v>
      </c>
      <c r="G2734" t="s">
        <v>16</v>
      </c>
      <c r="H2734">
        <v>2609.0</v>
      </c>
      <c r="I2734" t="s">
        <v>31</v>
      </c>
      <c r="J2734" t="s">
        <v>107</v>
      </c>
      <c r="K2734" t="s">
        <v>38</v>
      </c>
      <c r="L2734" t="s">
        <v>39</v>
      </c>
      <c r="M2734">
        <v>332.75</v>
      </c>
    </row>
    <row r="2735">
      <c r="A2735" s="2">
        <v>45592</v>
      </c>
      <c r="B2735">
        <v>2025.0</v>
      </c>
      <c r="C2735" t="s">
        <v>315</v>
      </c>
      <c r="D2735" t="s">
        <v>316</v>
      </c>
      <c r="E2735" t="s">
        <v>79</v>
      </c>
      <c r="F2735" t="s">
        <v>304</v>
      </c>
      <c r="G2735" t="s">
        <v>9</v>
      </c>
      <c r="H2735">
        <v>2141.0</v>
      </c>
      <c r="I2735" t="s">
        <v>31</v>
      </c>
      <c r="J2735" t="s">
        <v>81</v>
      </c>
      <c r="K2735" t="s">
        <v>38</v>
      </c>
      <c r="L2735" t="s">
        <v>39</v>
      </c>
      <c r="M2735">
        <v>333.7</v>
      </c>
    </row>
    <row r="2736">
      <c r="A2736" s="2">
        <v>45512</v>
      </c>
      <c r="B2736">
        <v>2025.0</v>
      </c>
      <c r="C2736" t="s">
        <v>315</v>
      </c>
      <c r="D2736" t="s">
        <v>316</v>
      </c>
      <c r="E2736" t="s">
        <v>97</v>
      </c>
      <c r="F2736" t="s">
        <v>304</v>
      </c>
      <c r="G2736" t="s">
        <v>9</v>
      </c>
      <c r="H2736">
        <v>2067.0</v>
      </c>
      <c r="I2736" t="s">
        <v>31</v>
      </c>
      <c r="J2736" t="s">
        <v>99</v>
      </c>
      <c r="K2736" t="s">
        <v>112</v>
      </c>
      <c r="L2736" t="s">
        <v>113</v>
      </c>
      <c r="M2736">
        <v>334.33</v>
      </c>
    </row>
    <row r="2737">
      <c r="A2737" s="2">
        <v>45581</v>
      </c>
      <c r="B2737">
        <v>2025.0</v>
      </c>
      <c r="C2737" t="s">
        <v>315</v>
      </c>
      <c r="D2737" t="s">
        <v>316</v>
      </c>
      <c r="E2737" t="s">
        <v>167</v>
      </c>
      <c r="F2737" t="s">
        <v>307</v>
      </c>
      <c r="G2737" t="s">
        <v>12</v>
      </c>
      <c r="H2737">
        <v>6030.0</v>
      </c>
      <c r="I2737" t="s">
        <v>31</v>
      </c>
      <c r="J2737" t="s">
        <v>102</v>
      </c>
      <c r="K2737" t="s">
        <v>38</v>
      </c>
      <c r="L2737" t="s">
        <v>39</v>
      </c>
      <c r="M2737">
        <v>334.37</v>
      </c>
    </row>
    <row r="2738">
      <c r="A2738" s="2">
        <v>45360</v>
      </c>
      <c r="B2738">
        <v>2024.0</v>
      </c>
      <c r="C2738" t="s">
        <v>318</v>
      </c>
      <c r="D2738" t="s">
        <v>319</v>
      </c>
      <c r="E2738" t="s">
        <v>35</v>
      </c>
      <c r="F2738" t="s">
        <v>305</v>
      </c>
      <c r="G2738" t="s">
        <v>10</v>
      </c>
      <c r="H2738">
        <v>3280.0</v>
      </c>
      <c r="I2738" t="s">
        <v>31</v>
      </c>
      <c r="J2738" t="s">
        <v>37</v>
      </c>
      <c r="K2738" t="s">
        <v>112</v>
      </c>
      <c r="L2738" t="s">
        <v>113</v>
      </c>
      <c r="M2738">
        <v>335.34999999999997</v>
      </c>
    </row>
    <row r="2739">
      <c r="A2739" s="2">
        <v>45948</v>
      </c>
      <c r="B2739">
        <v>2026.0</v>
      </c>
      <c r="C2739" t="s">
        <v>321</v>
      </c>
      <c r="D2739" t="s">
        <v>319</v>
      </c>
      <c r="E2739" t="s">
        <v>54</v>
      </c>
      <c r="F2739" t="s">
        <v>306</v>
      </c>
      <c r="G2739" t="s">
        <v>11</v>
      </c>
      <c r="H2739">
        <v>4012.0</v>
      </c>
      <c r="I2739" t="s">
        <v>31</v>
      </c>
      <c r="J2739" t="s">
        <v>56</v>
      </c>
      <c r="K2739" t="s">
        <v>123</v>
      </c>
      <c r="L2739" t="s">
        <v>124</v>
      </c>
      <c r="M2739">
        <v>335.40999999999997</v>
      </c>
    </row>
    <row r="2740">
      <c r="A2740" s="2">
        <v>45975</v>
      </c>
      <c r="B2740">
        <v>2026.0</v>
      </c>
      <c r="C2740" t="s">
        <v>321</v>
      </c>
      <c r="D2740" t="s">
        <v>316</v>
      </c>
      <c r="E2740" t="s">
        <v>248</v>
      </c>
      <c r="F2740" t="s">
        <v>307</v>
      </c>
      <c r="G2740" t="s">
        <v>12</v>
      </c>
      <c r="H2740">
        <v>6112.0</v>
      </c>
      <c r="I2740" t="s">
        <v>31</v>
      </c>
      <c r="J2740" t="s">
        <v>162</v>
      </c>
      <c r="K2740" t="s">
        <v>33</v>
      </c>
      <c r="L2740" t="s">
        <v>34</v>
      </c>
      <c r="M2740">
        <v>335.42</v>
      </c>
    </row>
    <row r="2741">
      <c r="A2741" s="2">
        <v>45357</v>
      </c>
      <c r="B2741">
        <v>2024.0</v>
      </c>
      <c r="C2741" t="s">
        <v>318</v>
      </c>
      <c r="D2741" t="s">
        <v>316</v>
      </c>
      <c r="E2741" t="s">
        <v>79</v>
      </c>
      <c r="F2741" t="s">
        <v>304</v>
      </c>
      <c r="G2741" t="s">
        <v>9</v>
      </c>
      <c r="H2741">
        <v>2141.0</v>
      </c>
      <c r="I2741" t="s">
        <v>31</v>
      </c>
      <c r="J2741" t="s">
        <v>81</v>
      </c>
      <c r="K2741" t="s">
        <v>123</v>
      </c>
      <c r="L2741" t="s">
        <v>124</v>
      </c>
      <c r="M2741">
        <v>335.48</v>
      </c>
    </row>
    <row r="2742">
      <c r="A2742" s="2">
        <v>45956</v>
      </c>
      <c r="B2742">
        <v>2026.0</v>
      </c>
      <c r="C2742" t="s">
        <v>321</v>
      </c>
      <c r="D2742" t="s">
        <v>319</v>
      </c>
      <c r="E2742" t="s">
        <v>211</v>
      </c>
      <c r="F2742" t="s">
        <v>304</v>
      </c>
      <c r="G2742" t="s">
        <v>9</v>
      </c>
      <c r="H2742">
        <v>2650.0</v>
      </c>
      <c r="I2742" t="s">
        <v>31</v>
      </c>
      <c r="J2742" t="s">
        <v>75</v>
      </c>
      <c r="K2742" t="s">
        <v>66</v>
      </c>
      <c r="L2742" t="s">
        <v>67</v>
      </c>
      <c r="M2742">
        <v>336.40999999999997</v>
      </c>
    </row>
    <row r="2743">
      <c r="A2743" s="2">
        <v>45960</v>
      </c>
      <c r="B2743">
        <v>2026.0</v>
      </c>
      <c r="C2743" t="s">
        <v>321</v>
      </c>
      <c r="D2743" t="s">
        <v>316</v>
      </c>
      <c r="E2743" t="s">
        <v>221</v>
      </c>
      <c r="F2743" t="s">
        <v>306</v>
      </c>
      <c r="G2743" t="s">
        <v>11</v>
      </c>
      <c r="H2743">
        <v>4053.0</v>
      </c>
      <c r="I2743" t="s">
        <v>31</v>
      </c>
      <c r="J2743" t="s">
        <v>56</v>
      </c>
      <c r="K2743" t="s">
        <v>71</v>
      </c>
      <c r="L2743" t="s">
        <v>72</v>
      </c>
      <c r="M2743">
        <v>337.69</v>
      </c>
    </row>
    <row r="2744">
      <c r="A2744" s="2">
        <v>45689</v>
      </c>
      <c r="B2744">
        <v>2025.0</v>
      </c>
      <c r="C2744" t="s">
        <v>315</v>
      </c>
      <c r="D2744" t="s">
        <v>316</v>
      </c>
      <c r="E2744" t="s">
        <v>258</v>
      </c>
      <c r="F2744" t="s">
        <v>309</v>
      </c>
      <c r="G2744" t="s">
        <v>14</v>
      </c>
      <c r="H2744">
        <v>870.0</v>
      </c>
      <c r="I2744" t="s">
        <v>31</v>
      </c>
      <c r="J2744" t="s">
        <v>145</v>
      </c>
      <c r="K2744" t="s">
        <v>33</v>
      </c>
      <c r="L2744" t="s">
        <v>34</v>
      </c>
      <c r="M2744">
        <v>339.19</v>
      </c>
    </row>
    <row r="2745">
      <c r="A2745" s="2">
        <v>45632</v>
      </c>
      <c r="B2745">
        <v>2025.0</v>
      </c>
      <c r="C2745" t="s">
        <v>315</v>
      </c>
      <c r="D2745" t="s">
        <v>316</v>
      </c>
      <c r="E2745" t="s">
        <v>158</v>
      </c>
      <c r="F2745" t="s">
        <v>306</v>
      </c>
      <c r="G2745" t="s">
        <v>11</v>
      </c>
      <c r="H2745">
        <v>4570.0</v>
      </c>
      <c r="I2745" t="s">
        <v>31</v>
      </c>
      <c r="J2745" t="s">
        <v>84</v>
      </c>
      <c r="K2745" t="s">
        <v>43</v>
      </c>
      <c r="L2745" t="s">
        <v>44</v>
      </c>
      <c r="M2745">
        <v>339.24</v>
      </c>
    </row>
    <row r="2746">
      <c r="A2746" s="2">
        <v>45521</v>
      </c>
      <c r="B2746">
        <v>2025.0</v>
      </c>
      <c r="C2746" t="s">
        <v>315</v>
      </c>
      <c r="D2746" t="s">
        <v>316</v>
      </c>
      <c r="E2746" t="s">
        <v>114</v>
      </c>
      <c r="F2746" t="s">
        <v>304</v>
      </c>
      <c r="G2746" t="s">
        <v>9</v>
      </c>
      <c r="H2746">
        <v>2031.0</v>
      </c>
      <c r="I2746" t="s">
        <v>31</v>
      </c>
      <c r="J2746" t="s">
        <v>99</v>
      </c>
      <c r="K2746" t="s">
        <v>38</v>
      </c>
      <c r="L2746" t="s">
        <v>39</v>
      </c>
      <c r="M2746">
        <v>339.38</v>
      </c>
    </row>
    <row r="2747">
      <c r="A2747" s="2">
        <v>45520</v>
      </c>
      <c r="B2747">
        <v>2025.0</v>
      </c>
      <c r="C2747" t="s">
        <v>315</v>
      </c>
      <c r="D2747" t="s">
        <v>316</v>
      </c>
      <c r="E2747" t="s">
        <v>201</v>
      </c>
      <c r="F2747" t="s">
        <v>305</v>
      </c>
      <c r="G2747" t="s">
        <v>10</v>
      </c>
      <c r="H2747">
        <v>3131.0</v>
      </c>
      <c r="I2747" t="s">
        <v>31</v>
      </c>
      <c r="J2747" t="s">
        <v>89</v>
      </c>
      <c r="K2747" t="s">
        <v>123</v>
      </c>
      <c r="L2747" t="s">
        <v>124</v>
      </c>
      <c r="M2747">
        <v>339.47</v>
      </c>
    </row>
    <row r="2748">
      <c r="A2748" s="2">
        <v>45677</v>
      </c>
      <c r="B2748">
        <v>2025.0</v>
      </c>
      <c r="C2748" t="s">
        <v>315</v>
      </c>
      <c r="D2748" t="s">
        <v>316</v>
      </c>
      <c r="E2748" t="s">
        <v>108</v>
      </c>
      <c r="F2748" t="s">
        <v>304</v>
      </c>
      <c r="G2748" t="s">
        <v>9</v>
      </c>
      <c r="H2748">
        <v>2795.0</v>
      </c>
      <c r="I2748" t="s">
        <v>31</v>
      </c>
      <c r="J2748" t="s">
        <v>75</v>
      </c>
      <c r="K2748" t="s">
        <v>57</v>
      </c>
      <c r="L2748" t="s">
        <v>58</v>
      </c>
      <c r="M2748">
        <v>339.68999999999994</v>
      </c>
    </row>
    <row r="2749">
      <c r="A2749" s="2">
        <v>45570</v>
      </c>
      <c r="B2749">
        <v>2025.0</v>
      </c>
      <c r="C2749" t="s">
        <v>315</v>
      </c>
      <c r="D2749" t="s">
        <v>319</v>
      </c>
      <c r="E2749" t="s">
        <v>213</v>
      </c>
      <c r="F2749" t="s">
        <v>306</v>
      </c>
      <c r="G2749" t="s">
        <v>11</v>
      </c>
      <c r="H2749">
        <v>4740.0</v>
      </c>
      <c r="I2749" t="s">
        <v>31</v>
      </c>
      <c r="J2749" t="s">
        <v>32</v>
      </c>
      <c r="K2749" t="s">
        <v>71</v>
      </c>
      <c r="L2749" t="s">
        <v>72</v>
      </c>
      <c r="M2749">
        <v>339.77</v>
      </c>
    </row>
    <row r="2750">
      <c r="A2750" s="2">
        <v>45678</v>
      </c>
      <c r="B2750">
        <v>2025.0</v>
      </c>
      <c r="C2750" t="s">
        <v>315</v>
      </c>
      <c r="D2750" t="s">
        <v>316</v>
      </c>
      <c r="E2750" t="s">
        <v>169</v>
      </c>
      <c r="F2750" t="s">
        <v>307</v>
      </c>
      <c r="G2750" t="s">
        <v>12</v>
      </c>
      <c r="H2750">
        <v>6027.0</v>
      </c>
      <c r="I2750" t="s">
        <v>31</v>
      </c>
      <c r="J2750" t="s">
        <v>102</v>
      </c>
      <c r="K2750" t="s">
        <v>46</v>
      </c>
      <c r="L2750" t="s">
        <v>47</v>
      </c>
      <c r="M2750">
        <v>340.21000000000004</v>
      </c>
    </row>
    <row r="2751">
      <c r="A2751" s="2">
        <v>45662</v>
      </c>
      <c r="B2751">
        <v>2025.0</v>
      </c>
      <c r="C2751" t="s">
        <v>315</v>
      </c>
      <c r="D2751" t="s">
        <v>319</v>
      </c>
      <c r="E2751" t="s">
        <v>103</v>
      </c>
      <c r="F2751" t="s">
        <v>307</v>
      </c>
      <c r="G2751" t="s">
        <v>12</v>
      </c>
      <c r="H2751">
        <v>6021.0</v>
      </c>
      <c r="I2751" t="s">
        <v>31</v>
      </c>
      <c r="J2751" t="s">
        <v>102</v>
      </c>
      <c r="K2751" t="s">
        <v>33</v>
      </c>
      <c r="L2751" t="s">
        <v>34</v>
      </c>
      <c r="M2751">
        <v>340.33</v>
      </c>
    </row>
    <row r="2752">
      <c r="A2752" s="2">
        <v>45859</v>
      </c>
      <c r="B2752">
        <v>2026.0</v>
      </c>
      <c r="C2752" t="s">
        <v>321</v>
      </c>
      <c r="D2752" t="s">
        <v>316</v>
      </c>
      <c r="E2752" t="s">
        <v>105</v>
      </c>
      <c r="F2752" t="s">
        <v>304</v>
      </c>
      <c r="G2752" t="s">
        <v>9</v>
      </c>
      <c r="H2752">
        <v>2541.0</v>
      </c>
      <c r="I2752" t="s">
        <v>31</v>
      </c>
      <c r="J2752" t="s">
        <v>107</v>
      </c>
      <c r="K2752" t="s">
        <v>38</v>
      </c>
      <c r="L2752" t="s">
        <v>39</v>
      </c>
      <c r="M2752">
        <v>340.43</v>
      </c>
    </row>
    <row r="2753">
      <c r="A2753" s="2">
        <v>45777</v>
      </c>
      <c r="B2753">
        <v>2025.0</v>
      </c>
      <c r="C2753" t="s">
        <v>315</v>
      </c>
      <c r="D2753" t="s">
        <v>316</v>
      </c>
      <c r="E2753" t="s">
        <v>160</v>
      </c>
      <c r="F2753" t="s">
        <v>307</v>
      </c>
      <c r="G2753" t="s">
        <v>12</v>
      </c>
      <c r="H2753">
        <v>6280.0</v>
      </c>
      <c r="I2753" t="s">
        <v>31</v>
      </c>
      <c r="J2753" t="s">
        <v>162</v>
      </c>
      <c r="K2753" t="s">
        <v>33</v>
      </c>
      <c r="L2753" t="s">
        <v>34</v>
      </c>
      <c r="M2753">
        <v>341.15</v>
      </c>
    </row>
    <row r="2754">
      <c r="A2754" s="2">
        <v>45301</v>
      </c>
      <c r="B2754">
        <v>2024.0</v>
      </c>
      <c r="C2754" t="s">
        <v>318</v>
      </c>
      <c r="D2754" t="s">
        <v>316</v>
      </c>
      <c r="E2754" t="s">
        <v>154</v>
      </c>
      <c r="F2754" t="s">
        <v>306</v>
      </c>
      <c r="G2754" t="s">
        <v>11</v>
      </c>
      <c r="H2754">
        <v>4551.0</v>
      </c>
      <c r="I2754" t="s">
        <v>31</v>
      </c>
      <c r="J2754" t="s">
        <v>84</v>
      </c>
      <c r="K2754" t="s">
        <v>38</v>
      </c>
      <c r="L2754" t="s">
        <v>39</v>
      </c>
      <c r="M2754">
        <v>341.40999999999997</v>
      </c>
    </row>
    <row r="2755">
      <c r="A2755" s="2">
        <v>45507</v>
      </c>
      <c r="B2755">
        <v>2025.0</v>
      </c>
      <c r="C2755" t="s">
        <v>315</v>
      </c>
      <c r="D2755" t="s">
        <v>316</v>
      </c>
      <c r="E2755" t="s">
        <v>260</v>
      </c>
      <c r="F2755" t="s">
        <v>305</v>
      </c>
      <c r="G2755" t="s">
        <v>10</v>
      </c>
      <c r="H2755">
        <v>3179.0</v>
      </c>
      <c r="I2755" t="s">
        <v>31</v>
      </c>
      <c r="J2755" t="s">
        <v>89</v>
      </c>
      <c r="K2755" t="s">
        <v>123</v>
      </c>
      <c r="L2755" t="s">
        <v>124</v>
      </c>
      <c r="M2755">
        <v>341.86</v>
      </c>
    </row>
    <row r="2756">
      <c r="A2756" s="2">
        <v>45764</v>
      </c>
      <c r="B2756">
        <v>2025.0</v>
      </c>
      <c r="C2756" t="s">
        <v>315</v>
      </c>
      <c r="D2756" t="s">
        <v>316</v>
      </c>
      <c r="E2756" t="s">
        <v>110</v>
      </c>
      <c r="F2756" t="s">
        <v>304</v>
      </c>
      <c r="G2756" t="s">
        <v>9</v>
      </c>
      <c r="H2756">
        <v>2101.0</v>
      </c>
      <c r="I2756" t="s">
        <v>31</v>
      </c>
      <c r="J2756" t="s">
        <v>81</v>
      </c>
      <c r="K2756" t="s">
        <v>43</v>
      </c>
      <c r="L2756" t="s">
        <v>44</v>
      </c>
      <c r="M2756">
        <v>342.09999999999997</v>
      </c>
    </row>
    <row r="2757">
      <c r="A2757" s="2">
        <v>45611</v>
      </c>
      <c r="B2757">
        <v>2025.0</v>
      </c>
      <c r="C2757" t="s">
        <v>315</v>
      </c>
      <c r="D2757" t="s">
        <v>316</v>
      </c>
      <c r="E2757" t="s">
        <v>59</v>
      </c>
      <c r="F2757" t="s">
        <v>306</v>
      </c>
      <c r="G2757" t="s">
        <v>11</v>
      </c>
      <c r="H2757">
        <v>4509.0</v>
      </c>
      <c r="I2757" t="s">
        <v>31</v>
      </c>
      <c r="J2757" t="s">
        <v>61</v>
      </c>
      <c r="K2757" t="s">
        <v>38</v>
      </c>
      <c r="L2757" t="s">
        <v>39</v>
      </c>
      <c r="M2757">
        <v>342.24</v>
      </c>
    </row>
    <row r="2758">
      <c r="A2758" s="2">
        <v>45617</v>
      </c>
      <c r="B2758">
        <v>2025.0</v>
      </c>
      <c r="C2758" t="s">
        <v>315</v>
      </c>
      <c r="D2758" t="s">
        <v>319</v>
      </c>
      <c r="E2758" t="s">
        <v>116</v>
      </c>
      <c r="F2758" t="s">
        <v>304</v>
      </c>
      <c r="G2758" t="s">
        <v>9</v>
      </c>
      <c r="H2758">
        <v>2485.0</v>
      </c>
      <c r="I2758" t="s">
        <v>31</v>
      </c>
      <c r="J2758" t="s">
        <v>70</v>
      </c>
      <c r="K2758" t="s">
        <v>43</v>
      </c>
      <c r="L2758" t="s">
        <v>44</v>
      </c>
      <c r="M2758">
        <v>342.82</v>
      </c>
    </row>
    <row r="2759">
      <c r="A2759" s="2">
        <v>45838</v>
      </c>
      <c r="B2759">
        <v>2025.0</v>
      </c>
      <c r="C2759" t="s">
        <v>315</v>
      </c>
      <c r="D2759" t="s">
        <v>316</v>
      </c>
      <c r="E2759" t="s">
        <v>181</v>
      </c>
      <c r="F2759" t="s">
        <v>306</v>
      </c>
      <c r="G2759" t="s">
        <v>11</v>
      </c>
      <c r="H2759">
        <v>4119.0</v>
      </c>
      <c r="I2759" t="s">
        <v>31</v>
      </c>
      <c r="J2759" t="s">
        <v>56</v>
      </c>
      <c r="K2759" t="s">
        <v>57</v>
      </c>
      <c r="L2759" t="s">
        <v>58</v>
      </c>
      <c r="M2759">
        <v>343.61</v>
      </c>
    </row>
    <row r="2760">
      <c r="A2760" s="2">
        <v>45670</v>
      </c>
      <c r="B2760">
        <v>2025.0</v>
      </c>
      <c r="C2760" t="s">
        <v>315</v>
      </c>
      <c r="D2760" t="s">
        <v>316</v>
      </c>
      <c r="E2760" t="s">
        <v>195</v>
      </c>
      <c r="F2760" t="s">
        <v>306</v>
      </c>
      <c r="G2760" t="s">
        <v>11</v>
      </c>
      <c r="H2760">
        <v>4700.0</v>
      </c>
      <c r="I2760" t="s">
        <v>31</v>
      </c>
      <c r="J2760" t="s">
        <v>32</v>
      </c>
      <c r="K2760" t="s">
        <v>95</v>
      </c>
      <c r="L2760" t="s">
        <v>96</v>
      </c>
      <c r="M2760">
        <v>344.17</v>
      </c>
    </row>
    <row r="2761">
      <c r="A2761" s="2">
        <v>45374</v>
      </c>
      <c r="B2761">
        <v>2024.0</v>
      </c>
      <c r="C2761" t="s">
        <v>318</v>
      </c>
      <c r="D2761" t="s">
        <v>316</v>
      </c>
      <c r="E2761" t="s">
        <v>217</v>
      </c>
      <c r="F2761" t="s">
        <v>305</v>
      </c>
      <c r="G2761" t="s">
        <v>10</v>
      </c>
      <c r="H2761">
        <v>3136.0</v>
      </c>
      <c r="I2761" t="s">
        <v>31</v>
      </c>
      <c r="J2761" t="s">
        <v>89</v>
      </c>
      <c r="K2761" t="s">
        <v>95</v>
      </c>
      <c r="L2761" t="s">
        <v>96</v>
      </c>
      <c r="M2761">
        <v>344.23</v>
      </c>
    </row>
    <row r="2762">
      <c r="A2762" s="2">
        <v>45477</v>
      </c>
      <c r="B2762">
        <v>2025.0</v>
      </c>
      <c r="C2762" t="s">
        <v>315</v>
      </c>
      <c r="D2762" t="s">
        <v>316</v>
      </c>
      <c r="E2762" t="s">
        <v>135</v>
      </c>
      <c r="F2762" t="s">
        <v>311</v>
      </c>
      <c r="G2762" t="s">
        <v>16</v>
      </c>
      <c r="H2762">
        <v>2609.0</v>
      </c>
      <c r="I2762" t="s">
        <v>31</v>
      </c>
      <c r="J2762" t="s">
        <v>107</v>
      </c>
      <c r="K2762" t="s">
        <v>71</v>
      </c>
      <c r="L2762" t="s">
        <v>72</v>
      </c>
      <c r="M2762">
        <v>345.15</v>
      </c>
    </row>
    <row r="2763">
      <c r="A2763" s="2">
        <v>45716</v>
      </c>
      <c r="B2763">
        <v>2025.0</v>
      </c>
      <c r="C2763" t="s">
        <v>315</v>
      </c>
      <c r="D2763" t="s">
        <v>316</v>
      </c>
      <c r="E2763" t="s">
        <v>181</v>
      </c>
      <c r="F2763" t="s">
        <v>306</v>
      </c>
      <c r="G2763" t="s">
        <v>11</v>
      </c>
      <c r="H2763">
        <v>4119.0</v>
      </c>
      <c r="I2763" t="s">
        <v>31</v>
      </c>
      <c r="J2763" t="s">
        <v>56</v>
      </c>
      <c r="K2763" t="s">
        <v>112</v>
      </c>
      <c r="L2763" t="s">
        <v>113</v>
      </c>
      <c r="M2763">
        <v>345.52</v>
      </c>
    </row>
    <row r="2764">
      <c r="A2764" s="2">
        <v>45298</v>
      </c>
      <c r="B2764">
        <v>2024.0</v>
      </c>
      <c r="C2764" t="s">
        <v>318</v>
      </c>
      <c r="D2764" t="s">
        <v>316</v>
      </c>
      <c r="E2764" t="s">
        <v>118</v>
      </c>
      <c r="F2764" t="s">
        <v>305</v>
      </c>
      <c r="G2764" t="s">
        <v>10</v>
      </c>
      <c r="H2764">
        <v>3076.0</v>
      </c>
      <c r="I2764" t="s">
        <v>31</v>
      </c>
      <c r="J2764" t="s">
        <v>120</v>
      </c>
      <c r="K2764" t="s">
        <v>71</v>
      </c>
      <c r="L2764" t="s">
        <v>72</v>
      </c>
      <c r="M2764">
        <v>346.11</v>
      </c>
    </row>
    <row r="2765">
      <c r="A2765" s="2">
        <v>45994</v>
      </c>
      <c r="B2765">
        <v>2026.0</v>
      </c>
      <c r="C2765" t="s">
        <v>321</v>
      </c>
      <c r="D2765" t="s">
        <v>319</v>
      </c>
      <c r="E2765" t="s">
        <v>203</v>
      </c>
      <c r="F2765" t="s">
        <v>305</v>
      </c>
      <c r="G2765" t="s">
        <v>10</v>
      </c>
      <c r="H2765">
        <v>3175.0</v>
      </c>
      <c r="I2765" t="s">
        <v>31</v>
      </c>
      <c r="J2765" t="s">
        <v>89</v>
      </c>
      <c r="K2765" t="s">
        <v>112</v>
      </c>
      <c r="L2765" t="s">
        <v>113</v>
      </c>
      <c r="M2765">
        <v>346.13</v>
      </c>
    </row>
    <row r="2766">
      <c r="A2766" s="2">
        <v>45715</v>
      </c>
      <c r="B2766">
        <v>2025.0</v>
      </c>
      <c r="C2766" t="s">
        <v>315</v>
      </c>
      <c r="D2766" t="s">
        <v>319</v>
      </c>
      <c r="E2766" t="s">
        <v>127</v>
      </c>
      <c r="F2766" t="s">
        <v>306</v>
      </c>
      <c r="G2766" t="s">
        <v>11</v>
      </c>
      <c r="H2766">
        <v>4802.0</v>
      </c>
      <c r="I2766" t="s">
        <v>31</v>
      </c>
      <c r="J2766" t="s">
        <v>78</v>
      </c>
      <c r="K2766" t="s">
        <v>112</v>
      </c>
      <c r="L2766" t="s">
        <v>113</v>
      </c>
      <c r="M2766">
        <v>346.88</v>
      </c>
    </row>
    <row r="2767">
      <c r="A2767" s="2">
        <v>45527</v>
      </c>
      <c r="B2767">
        <v>2025.0</v>
      </c>
      <c r="C2767" t="s">
        <v>315</v>
      </c>
      <c r="D2767" t="s">
        <v>316</v>
      </c>
      <c r="E2767" t="s">
        <v>189</v>
      </c>
      <c r="F2767" t="s">
        <v>304</v>
      </c>
      <c r="G2767" t="s">
        <v>9</v>
      </c>
      <c r="H2767">
        <v>2131.0</v>
      </c>
      <c r="I2767" t="s">
        <v>31</v>
      </c>
      <c r="J2767" t="s">
        <v>81</v>
      </c>
      <c r="K2767" t="s">
        <v>71</v>
      </c>
      <c r="L2767" t="s">
        <v>72</v>
      </c>
      <c r="M2767">
        <v>347.49</v>
      </c>
    </row>
    <row r="2768">
      <c r="A2768" s="2">
        <v>45712</v>
      </c>
      <c r="B2768">
        <v>2025.0</v>
      </c>
      <c r="C2768" t="s">
        <v>315</v>
      </c>
      <c r="D2768" t="s">
        <v>316</v>
      </c>
      <c r="E2768" t="s">
        <v>154</v>
      </c>
      <c r="F2768" t="s">
        <v>306</v>
      </c>
      <c r="G2768" t="s">
        <v>11</v>
      </c>
      <c r="H2768">
        <v>4551.0</v>
      </c>
      <c r="I2768" t="s">
        <v>31</v>
      </c>
      <c r="J2768" t="s">
        <v>84</v>
      </c>
      <c r="K2768" t="s">
        <v>43</v>
      </c>
      <c r="L2768" t="s">
        <v>44</v>
      </c>
      <c r="M2768">
        <v>348.15</v>
      </c>
    </row>
    <row r="2769">
      <c r="A2769" s="2">
        <v>45736</v>
      </c>
      <c r="B2769">
        <v>2025.0</v>
      </c>
      <c r="C2769" t="s">
        <v>315</v>
      </c>
      <c r="D2769" t="s">
        <v>316</v>
      </c>
      <c r="E2769" t="s">
        <v>73</v>
      </c>
      <c r="F2769" t="s">
        <v>304</v>
      </c>
      <c r="G2769" t="s">
        <v>9</v>
      </c>
      <c r="H2769">
        <v>2750.0</v>
      </c>
      <c r="I2769" t="s">
        <v>31</v>
      </c>
      <c r="J2769" t="s">
        <v>75</v>
      </c>
      <c r="K2769" t="s">
        <v>112</v>
      </c>
      <c r="L2769" t="s">
        <v>113</v>
      </c>
      <c r="M2769">
        <v>349.17999999999995</v>
      </c>
    </row>
    <row r="2770">
      <c r="A2770" s="2">
        <v>45744</v>
      </c>
      <c r="B2770">
        <v>2025.0</v>
      </c>
      <c r="C2770" t="s">
        <v>315</v>
      </c>
      <c r="D2770" t="s">
        <v>316</v>
      </c>
      <c r="E2770" t="s">
        <v>48</v>
      </c>
      <c r="F2770" t="s">
        <v>307</v>
      </c>
      <c r="G2770" t="s">
        <v>12</v>
      </c>
      <c r="H2770">
        <v>6725.0</v>
      </c>
      <c r="I2770" t="s">
        <v>31</v>
      </c>
      <c r="J2770" t="s">
        <v>50</v>
      </c>
      <c r="K2770" t="s">
        <v>57</v>
      </c>
      <c r="L2770" t="s">
        <v>58</v>
      </c>
      <c r="M2770">
        <v>349.97</v>
      </c>
    </row>
    <row r="2771">
      <c r="A2771" s="2">
        <v>45680</v>
      </c>
      <c r="B2771">
        <v>2025.0</v>
      </c>
      <c r="C2771" t="s">
        <v>315</v>
      </c>
      <c r="D2771" t="s">
        <v>316</v>
      </c>
      <c r="E2771" t="s">
        <v>82</v>
      </c>
      <c r="F2771" t="s">
        <v>306</v>
      </c>
      <c r="G2771" t="s">
        <v>11</v>
      </c>
      <c r="H2771">
        <v>4558.0</v>
      </c>
      <c r="I2771" t="s">
        <v>31</v>
      </c>
      <c r="J2771" t="s">
        <v>84</v>
      </c>
      <c r="K2771" t="s">
        <v>43</v>
      </c>
      <c r="L2771" t="s">
        <v>44</v>
      </c>
      <c r="M2771">
        <v>350.21999999999997</v>
      </c>
    </row>
    <row r="2772">
      <c r="A2772" s="2">
        <v>45627</v>
      </c>
      <c r="B2772">
        <v>2025.0</v>
      </c>
      <c r="C2772" t="s">
        <v>315</v>
      </c>
      <c r="D2772" t="s">
        <v>316</v>
      </c>
      <c r="E2772" t="s">
        <v>215</v>
      </c>
      <c r="F2772" t="s">
        <v>310</v>
      </c>
      <c r="G2772" t="s">
        <v>15</v>
      </c>
      <c r="H2772">
        <v>7320.0</v>
      </c>
      <c r="I2772" t="s">
        <v>31</v>
      </c>
      <c r="J2772" t="s">
        <v>53</v>
      </c>
      <c r="K2772" t="s">
        <v>123</v>
      </c>
      <c r="L2772" t="s">
        <v>124</v>
      </c>
      <c r="M2772">
        <v>350.4100000000001</v>
      </c>
    </row>
    <row r="2773">
      <c r="A2773" s="2">
        <v>45896</v>
      </c>
      <c r="B2773">
        <v>2026.0</v>
      </c>
      <c r="C2773" t="s">
        <v>321</v>
      </c>
      <c r="D2773" t="s">
        <v>316</v>
      </c>
      <c r="E2773" t="s">
        <v>87</v>
      </c>
      <c r="F2773" t="s">
        <v>305</v>
      </c>
      <c r="G2773" t="s">
        <v>10</v>
      </c>
      <c r="H2773">
        <v>3148.0</v>
      </c>
      <c r="I2773" t="s">
        <v>31</v>
      </c>
      <c r="J2773" t="s">
        <v>89</v>
      </c>
      <c r="K2773" t="s">
        <v>95</v>
      </c>
      <c r="L2773" t="s">
        <v>96</v>
      </c>
      <c r="M2773">
        <v>350.75</v>
      </c>
    </row>
    <row r="2774">
      <c r="A2774" s="2">
        <v>45519</v>
      </c>
      <c r="B2774">
        <v>2025.0</v>
      </c>
      <c r="C2774" t="s">
        <v>315</v>
      </c>
      <c r="D2774" t="s">
        <v>316</v>
      </c>
      <c r="E2774" t="s">
        <v>219</v>
      </c>
      <c r="F2774" t="s">
        <v>306</v>
      </c>
      <c r="G2774" t="s">
        <v>11</v>
      </c>
      <c r="H2774">
        <v>4068.0</v>
      </c>
      <c r="I2774" t="s">
        <v>31</v>
      </c>
      <c r="J2774" t="s">
        <v>56</v>
      </c>
      <c r="K2774" t="s">
        <v>95</v>
      </c>
      <c r="L2774" t="s">
        <v>96</v>
      </c>
      <c r="M2774">
        <v>353.4</v>
      </c>
    </row>
    <row r="2775">
      <c r="A2775" s="2">
        <v>45497</v>
      </c>
      <c r="B2775">
        <v>2025.0</v>
      </c>
      <c r="C2775" t="s">
        <v>315</v>
      </c>
      <c r="D2775" t="s">
        <v>316</v>
      </c>
      <c r="E2775" t="s">
        <v>165</v>
      </c>
      <c r="F2775" t="s">
        <v>304</v>
      </c>
      <c r="G2775" t="s">
        <v>9</v>
      </c>
      <c r="H2775">
        <v>2064.0</v>
      </c>
      <c r="I2775" t="s">
        <v>31</v>
      </c>
      <c r="J2775" t="s">
        <v>99</v>
      </c>
      <c r="K2775" t="s">
        <v>123</v>
      </c>
      <c r="L2775" t="s">
        <v>124</v>
      </c>
      <c r="M2775">
        <v>354.44</v>
      </c>
    </row>
    <row r="2776">
      <c r="A2776" s="2">
        <v>45519</v>
      </c>
      <c r="B2776">
        <v>2025.0</v>
      </c>
      <c r="C2776" t="s">
        <v>315</v>
      </c>
      <c r="D2776" t="s">
        <v>316</v>
      </c>
      <c r="E2776" t="s">
        <v>87</v>
      </c>
      <c r="F2776" t="s">
        <v>305</v>
      </c>
      <c r="G2776" t="s">
        <v>10</v>
      </c>
      <c r="H2776">
        <v>3148.0</v>
      </c>
      <c r="I2776" t="s">
        <v>31</v>
      </c>
      <c r="J2776" t="s">
        <v>89</v>
      </c>
      <c r="K2776" t="s">
        <v>43</v>
      </c>
      <c r="L2776" t="s">
        <v>44</v>
      </c>
      <c r="M2776">
        <v>354.67</v>
      </c>
    </row>
    <row r="2777">
      <c r="A2777" s="2">
        <v>45871</v>
      </c>
      <c r="B2777">
        <v>2026.0</v>
      </c>
      <c r="C2777" t="s">
        <v>321</v>
      </c>
      <c r="D2777" t="s">
        <v>316</v>
      </c>
      <c r="E2777" t="s">
        <v>242</v>
      </c>
      <c r="F2777" t="s">
        <v>305</v>
      </c>
      <c r="G2777" t="s">
        <v>10</v>
      </c>
      <c r="H2777">
        <v>3977.0</v>
      </c>
      <c r="I2777" t="s">
        <v>31</v>
      </c>
      <c r="J2777" t="s">
        <v>94</v>
      </c>
      <c r="K2777" t="s">
        <v>33</v>
      </c>
      <c r="L2777" t="s">
        <v>34</v>
      </c>
      <c r="M2777">
        <v>355.16999999999996</v>
      </c>
    </row>
    <row r="2778">
      <c r="A2778" s="2">
        <v>45746</v>
      </c>
      <c r="B2778">
        <v>2025.0</v>
      </c>
      <c r="C2778" t="s">
        <v>315</v>
      </c>
      <c r="D2778" t="s">
        <v>316</v>
      </c>
      <c r="E2778" t="s">
        <v>230</v>
      </c>
      <c r="F2778" t="s">
        <v>308</v>
      </c>
      <c r="G2778" t="s">
        <v>13</v>
      </c>
      <c r="H2778">
        <v>5290.0</v>
      </c>
      <c r="I2778" t="s">
        <v>31</v>
      </c>
      <c r="J2778" t="s">
        <v>227</v>
      </c>
      <c r="K2778" t="s">
        <v>71</v>
      </c>
      <c r="L2778" t="s">
        <v>72</v>
      </c>
      <c r="M2778">
        <v>355.88999999999993</v>
      </c>
    </row>
    <row r="2779">
      <c r="A2779" s="2">
        <v>45908</v>
      </c>
      <c r="B2779">
        <v>2026.0</v>
      </c>
      <c r="C2779" t="s">
        <v>321</v>
      </c>
      <c r="D2779" t="s">
        <v>316</v>
      </c>
      <c r="E2779" t="s">
        <v>51</v>
      </c>
      <c r="F2779" t="s">
        <v>310</v>
      </c>
      <c r="G2779" t="s">
        <v>15</v>
      </c>
      <c r="H2779">
        <v>7018.0</v>
      </c>
      <c r="I2779" t="s">
        <v>31</v>
      </c>
      <c r="J2779" t="s">
        <v>53</v>
      </c>
      <c r="K2779" t="s">
        <v>57</v>
      </c>
      <c r="L2779" t="s">
        <v>58</v>
      </c>
      <c r="M2779">
        <v>356.27</v>
      </c>
    </row>
    <row r="2780">
      <c r="A2780" s="2">
        <v>45689</v>
      </c>
      <c r="B2780">
        <v>2025.0</v>
      </c>
      <c r="C2780" t="s">
        <v>315</v>
      </c>
      <c r="D2780" t="s">
        <v>319</v>
      </c>
      <c r="E2780" t="s">
        <v>148</v>
      </c>
      <c r="F2780" t="s">
        <v>307</v>
      </c>
      <c r="G2780" t="s">
        <v>12</v>
      </c>
      <c r="H2780">
        <v>6450.0</v>
      </c>
      <c r="I2780" t="s">
        <v>31</v>
      </c>
      <c r="J2780" t="s">
        <v>50</v>
      </c>
      <c r="K2780" t="s">
        <v>123</v>
      </c>
      <c r="L2780" t="s">
        <v>124</v>
      </c>
      <c r="M2780">
        <v>356.68</v>
      </c>
    </row>
    <row r="2781">
      <c r="A2781" s="2">
        <v>45684</v>
      </c>
      <c r="B2781">
        <v>2025.0</v>
      </c>
      <c r="C2781" t="s">
        <v>315</v>
      </c>
      <c r="D2781" t="s">
        <v>316</v>
      </c>
      <c r="E2781" t="s">
        <v>195</v>
      </c>
      <c r="F2781" t="s">
        <v>306</v>
      </c>
      <c r="G2781" t="s">
        <v>11</v>
      </c>
      <c r="H2781">
        <v>4700.0</v>
      </c>
      <c r="I2781" t="s">
        <v>31</v>
      </c>
      <c r="J2781" t="s">
        <v>32</v>
      </c>
      <c r="K2781" t="s">
        <v>71</v>
      </c>
      <c r="L2781" t="s">
        <v>72</v>
      </c>
      <c r="M2781">
        <v>357.74</v>
      </c>
    </row>
    <row r="2782">
      <c r="A2782" s="2">
        <v>45507</v>
      </c>
      <c r="B2782">
        <v>2025.0</v>
      </c>
      <c r="C2782" t="s">
        <v>315</v>
      </c>
      <c r="D2782" t="s">
        <v>316</v>
      </c>
      <c r="E2782" t="s">
        <v>135</v>
      </c>
      <c r="F2782" t="s">
        <v>311</v>
      </c>
      <c r="G2782" t="s">
        <v>16</v>
      </c>
      <c r="H2782">
        <v>2609.0</v>
      </c>
      <c r="I2782" t="s">
        <v>31</v>
      </c>
      <c r="J2782" t="s">
        <v>107</v>
      </c>
      <c r="K2782" t="s">
        <v>43</v>
      </c>
      <c r="L2782" t="s">
        <v>44</v>
      </c>
      <c r="M2782">
        <v>357.79</v>
      </c>
    </row>
    <row r="2783">
      <c r="A2783" s="2">
        <v>45962</v>
      </c>
      <c r="B2783">
        <v>2026.0</v>
      </c>
      <c r="C2783" t="s">
        <v>321</v>
      </c>
      <c r="D2783" t="s">
        <v>316</v>
      </c>
      <c r="E2783" t="s">
        <v>183</v>
      </c>
      <c r="F2783" t="s">
        <v>304</v>
      </c>
      <c r="G2783" t="s">
        <v>9</v>
      </c>
      <c r="H2783">
        <v>2480.0</v>
      </c>
      <c r="I2783" t="s">
        <v>31</v>
      </c>
      <c r="J2783" t="s">
        <v>70</v>
      </c>
      <c r="K2783" t="s">
        <v>43</v>
      </c>
      <c r="L2783" t="s">
        <v>44</v>
      </c>
      <c r="M2783">
        <v>358.05</v>
      </c>
    </row>
    <row r="2784">
      <c r="A2784" s="2">
        <v>45720</v>
      </c>
      <c r="B2784">
        <v>2025.0</v>
      </c>
      <c r="C2784" t="s">
        <v>315</v>
      </c>
      <c r="D2784" t="s">
        <v>316</v>
      </c>
      <c r="E2784" t="s">
        <v>209</v>
      </c>
      <c r="F2784" t="s">
        <v>304</v>
      </c>
      <c r="G2784" t="s">
        <v>9</v>
      </c>
      <c r="H2784">
        <v>2116.0</v>
      </c>
      <c r="I2784" t="s">
        <v>31</v>
      </c>
      <c r="J2784" t="s">
        <v>81</v>
      </c>
      <c r="K2784" t="s">
        <v>95</v>
      </c>
      <c r="L2784" t="s">
        <v>96</v>
      </c>
      <c r="M2784">
        <v>358.43</v>
      </c>
    </row>
    <row r="2785">
      <c r="A2785" s="2">
        <v>45934</v>
      </c>
      <c r="B2785">
        <v>2026.0</v>
      </c>
      <c r="C2785" t="s">
        <v>321</v>
      </c>
      <c r="D2785" t="s">
        <v>316</v>
      </c>
      <c r="E2785" t="s">
        <v>236</v>
      </c>
      <c r="F2785" t="s">
        <v>307</v>
      </c>
      <c r="G2785" t="s">
        <v>12</v>
      </c>
      <c r="H2785">
        <v>6052.0</v>
      </c>
      <c r="I2785" t="s">
        <v>31</v>
      </c>
      <c r="J2785" t="s">
        <v>102</v>
      </c>
      <c r="K2785" t="s">
        <v>95</v>
      </c>
      <c r="L2785" t="s">
        <v>96</v>
      </c>
      <c r="M2785">
        <v>358.71000000000004</v>
      </c>
    </row>
    <row r="2786">
      <c r="A2786" s="2">
        <v>45598</v>
      </c>
      <c r="B2786">
        <v>2025.0</v>
      </c>
      <c r="C2786" t="s">
        <v>315</v>
      </c>
      <c r="D2786" t="s">
        <v>319</v>
      </c>
      <c r="E2786" t="s">
        <v>62</v>
      </c>
      <c r="F2786" t="s">
        <v>307</v>
      </c>
      <c r="G2786" t="s">
        <v>12</v>
      </c>
      <c r="H2786">
        <v>6530.0</v>
      </c>
      <c r="I2786" t="s">
        <v>31</v>
      </c>
      <c r="J2786" t="s">
        <v>50</v>
      </c>
      <c r="K2786" t="s">
        <v>33</v>
      </c>
      <c r="L2786" t="s">
        <v>34</v>
      </c>
      <c r="M2786">
        <v>358.81999999999994</v>
      </c>
    </row>
    <row r="2787">
      <c r="A2787" s="2">
        <v>45475</v>
      </c>
      <c r="B2787">
        <v>2025.0</v>
      </c>
      <c r="C2787" t="s">
        <v>315</v>
      </c>
      <c r="D2787" t="s">
        <v>316</v>
      </c>
      <c r="E2787" t="s">
        <v>211</v>
      </c>
      <c r="F2787" t="s">
        <v>304</v>
      </c>
      <c r="G2787" t="s">
        <v>9</v>
      </c>
      <c r="H2787">
        <v>2650.0</v>
      </c>
      <c r="I2787" t="s">
        <v>31</v>
      </c>
      <c r="J2787" t="s">
        <v>75</v>
      </c>
      <c r="K2787" t="s">
        <v>71</v>
      </c>
      <c r="L2787" t="s">
        <v>72</v>
      </c>
      <c r="M2787">
        <v>359.03999999999996</v>
      </c>
    </row>
    <row r="2788">
      <c r="A2788" s="2">
        <v>45464</v>
      </c>
      <c r="B2788">
        <v>2024.0</v>
      </c>
      <c r="C2788" t="s">
        <v>318</v>
      </c>
      <c r="D2788" t="s">
        <v>316</v>
      </c>
      <c r="E2788" t="s">
        <v>90</v>
      </c>
      <c r="F2788" t="s">
        <v>305</v>
      </c>
      <c r="G2788" t="s">
        <v>10</v>
      </c>
      <c r="H2788">
        <v>3353.0</v>
      </c>
      <c r="I2788" t="s">
        <v>31</v>
      </c>
      <c r="J2788" t="s">
        <v>37</v>
      </c>
      <c r="K2788" t="s">
        <v>38</v>
      </c>
      <c r="L2788" t="s">
        <v>39</v>
      </c>
      <c r="M2788">
        <v>359.22</v>
      </c>
    </row>
    <row r="2789">
      <c r="A2789" s="2">
        <v>45751</v>
      </c>
      <c r="B2789">
        <v>2025.0</v>
      </c>
      <c r="C2789" t="s">
        <v>315</v>
      </c>
      <c r="D2789" t="s">
        <v>319</v>
      </c>
      <c r="E2789" t="s">
        <v>173</v>
      </c>
      <c r="F2789" t="s">
        <v>306</v>
      </c>
      <c r="G2789" t="s">
        <v>11</v>
      </c>
      <c r="H2789">
        <v>4220.0</v>
      </c>
      <c r="I2789" t="s">
        <v>31</v>
      </c>
      <c r="J2789" t="s">
        <v>61</v>
      </c>
      <c r="K2789" t="s">
        <v>46</v>
      </c>
      <c r="L2789" t="s">
        <v>47</v>
      </c>
      <c r="M2789">
        <v>359.29</v>
      </c>
    </row>
    <row r="2790">
      <c r="A2790" s="2">
        <v>45539</v>
      </c>
      <c r="B2790">
        <v>2025.0</v>
      </c>
      <c r="C2790" t="s">
        <v>315</v>
      </c>
      <c r="D2790" t="s">
        <v>316</v>
      </c>
      <c r="E2790" t="s">
        <v>205</v>
      </c>
      <c r="F2790" t="s">
        <v>305</v>
      </c>
      <c r="G2790" t="s">
        <v>10</v>
      </c>
      <c r="H2790">
        <v>3400.0</v>
      </c>
      <c r="I2790" t="s">
        <v>31</v>
      </c>
      <c r="J2790" t="s">
        <v>37</v>
      </c>
      <c r="K2790" t="s">
        <v>57</v>
      </c>
      <c r="L2790" t="s">
        <v>58</v>
      </c>
      <c r="M2790">
        <v>359.63</v>
      </c>
    </row>
    <row r="2791">
      <c r="A2791" s="2">
        <v>45784</v>
      </c>
      <c r="B2791">
        <v>2025.0</v>
      </c>
      <c r="C2791" t="s">
        <v>315</v>
      </c>
      <c r="D2791" t="s">
        <v>316</v>
      </c>
      <c r="E2791" t="s">
        <v>238</v>
      </c>
      <c r="F2791" t="s">
        <v>308</v>
      </c>
      <c r="G2791" t="s">
        <v>13</v>
      </c>
      <c r="H2791">
        <v>5082.0</v>
      </c>
      <c r="I2791" t="s">
        <v>31</v>
      </c>
      <c r="J2791" t="s">
        <v>42</v>
      </c>
      <c r="K2791" t="s">
        <v>123</v>
      </c>
      <c r="L2791" t="s">
        <v>124</v>
      </c>
      <c r="M2791">
        <v>359.75</v>
      </c>
    </row>
    <row r="2792">
      <c r="A2792" s="2">
        <v>45698</v>
      </c>
      <c r="B2792">
        <v>2025.0</v>
      </c>
      <c r="C2792" t="s">
        <v>315</v>
      </c>
      <c r="D2792" t="s">
        <v>316</v>
      </c>
      <c r="E2792" t="s">
        <v>195</v>
      </c>
      <c r="F2792" t="s">
        <v>306</v>
      </c>
      <c r="G2792" t="s">
        <v>11</v>
      </c>
      <c r="H2792">
        <v>4700.0</v>
      </c>
      <c r="I2792" t="s">
        <v>31</v>
      </c>
      <c r="J2792" t="s">
        <v>32</v>
      </c>
      <c r="K2792" t="s">
        <v>46</v>
      </c>
      <c r="L2792" t="s">
        <v>47</v>
      </c>
      <c r="M2792">
        <v>359.89</v>
      </c>
    </row>
    <row r="2793">
      <c r="A2793" s="2">
        <v>45503</v>
      </c>
      <c r="B2793">
        <v>2025.0</v>
      </c>
      <c r="C2793" t="s">
        <v>315</v>
      </c>
      <c r="D2793" t="s">
        <v>316</v>
      </c>
      <c r="E2793" t="s">
        <v>68</v>
      </c>
      <c r="F2793" t="s">
        <v>304</v>
      </c>
      <c r="G2793" t="s">
        <v>9</v>
      </c>
      <c r="H2793">
        <v>2478.0</v>
      </c>
      <c r="I2793" t="s">
        <v>31</v>
      </c>
      <c r="J2793" t="s">
        <v>70</v>
      </c>
      <c r="K2793" t="s">
        <v>43</v>
      </c>
      <c r="L2793" t="s">
        <v>44</v>
      </c>
      <c r="M2793">
        <v>360.52</v>
      </c>
    </row>
    <row r="2794">
      <c r="A2794" s="2">
        <v>45845</v>
      </c>
      <c r="B2794">
        <v>2026.0</v>
      </c>
      <c r="C2794" t="s">
        <v>321</v>
      </c>
      <c r="D2794" t="s">
        <v>319</v>
      </c>
      <c r="E2794" t="s">
        <v>54</v>
      </c>
      <c r="F2794" t="s">
        <v>306</v>
      </c>
      <c r="G2794" t="s">
        <v>11</v>
      </c>
      <c r="H2794">
        <v>4012.0</v>
      </c>
      <c r="I2794" t="s">
        <v>31</v>
      </c>
      <c r="J2794" t="s">
        <v>56</v>
      </c>
      <c r="K2794" t="s">
        <v>71</v>
      </c>
      <c r="L2794" t="s">
        <v>72</v>
      </c>
      <c r="M2794">
        <v>360.75</v>
      </c>
    </row>
    <row r="2795">
      <c r="A2795" s="2">
        <v>45318</v>
      </c>
      <c r="B2795">
        <v>2024.0</v>
      </c>
      <c r="C2795" t="s">
        <v>318</v>
      </c>
      <c r="D2795" t="s">
        <v>316</v>
      </c>
      <c r="E2795" t="s">
        <v>185</v>
      </c>
      <c r="F2795" t="s">
        <v>307</v>
      </c>
      <c r="G2795" t="s">
        <v>12</v>
      </c>
      <c r="H2795">
        <v>6109.0</v>
      </c>
      <c r="I2795" t="s">
        <v>31</v>
      </c>
      <c r="J2795" t="s">
        <v>162</v>
      </c>
      <c r="K2795" t="s">
        <v>123</v>
      </c>
      <c r="L2795" t="s">
        <v>124</v>
      </c>
      <c r="M2795">
        <v>361.15000000000003</v>
      </c>
    </row>
    <row r="2796">
      <c r="A2796" s="2">
        <v>45511</v>
      </c>
      <c r="B2796">
        <v>2025.0</v>
      </c>
      <c r="C2796" t="s">
        <v>315</v>
      </c>
      <c r="D2796" t="s">
        <v>316</v>
      </c>
      <c r="E2796" t="s">
        <v>262</v>
      </c>
      <c r="F2796" t="s">
        <v>305</v>
      </c>
      <c r="G2796" t="s">
        <v>10</v>
      </c>
      <c r="H2796">
        <v>3018.0</v>
      </c>
      <c r="I2796" t="s">
        <v>31</v>
      </c>
      <c r="J2796" t="s">
        <v>120</v>
      </c>
      <c r="K2796" t="s">
        <v>43</v>
      </c>
      <c r="L2796" t="s">
        <v>44</v>
      </c>
      <c r="M2796">
        <v>361.7</v>
      </c>
    </row>
    <row r="2797">
      <c r="A2797" s="2">
        <v>45760</v>
      </c>
      <c r="B2797">
        <v>2025.0</v>
      </c>
      <c r="C2797" t="s">
        <v>315</v>
      </c>
      <c r="D2797" t="s">
        <v>316</v>
      </c>
      <c r="E2797" t="s">
        <v>232</v>
      </c>
      <c r="F2797" t="s">
        <v>304</v>
      </c>
      <c r="G2797" t="s">
        <v>9</v>
      </c>
      <c r="H2797">
        <v>2800.0</v>
      </c>
      <c r="I2797" t="s">
        <v>31</v>
      </c>
      <c r="J2797" t="s">
        <v>75</v>
      </c>
      <c r="K2797" t="s">
        <v>95</v>
      </c>
      <c r="L2797" t="s">
        <v>96</v>
      </c>
      <c r="M2797">
        <v>361.81</v>
      </c>
    </row>
    <row r="2798">
      <c r="A2798" s="2">
        <v>45723</v>
      </c>
      <c r="B2798">
        <v>2025.0</v>
      </c>
      <c r="C2798" t="s">
        <v>315</v>
      </c>
      <c r="D2798" t="s">
        <v>316</v>
      </c>
      <c r="E2798" t="s">
        <v>232</v>
      </c>
      <c r="F2798" t="s">
        <v>304</v>
      </c>
      <c r="G2798" t="s">
        <v>9</v>
      </c>
      <c r="H2798">
        <v>2800.0</v>
      </c>
      <c r="I2798" t="s">
        <v>31</v>
      </c>
      <c r="J2798" t="s">
        <v>75</v>
      </c>
      <c r="K2798" t="s">
        <v>33</v>
      </c>
      <c r="L2798" t="s">
        <v>34</v>
      </c>
      <c r="M2798">
        <v>362.14000000000004</v>
      </c>
    </row>
    <row r="2799">
      <c r="A2799" s="2">
        <v>45473</v>
      </c>
      <c r="B2799">
        <v>2024.0</v>
      </c>
      <c r="C2799" t="s">
        <v>318</v>
      </c>
      <c r="D2799" t="s">
        <v>319</v>
      </c>
      <c r="E2799" t="s">
        <v>148</v>
      </c>
      <c r="F2799" t="s">
        <v>307</v>
      </c>
      <c r="G2799" t="s">
        <v>12</v>
      </c>
      <c r="H2799">
        <v>6450.0</v>
      </c>
      <c r="I2799" t="s">
        <v>31</v>
      </c>
      <c r="J2799" t="s">
        <v>50</v>
      </c>
      <c r="K2799" t="s">
        <v>43</v>
      </c>
      <c r="L2799" t="s">
        <v>44</v>
      </c>
      <c r="M2799">
        <v>362.64</v>
      </c>
    </row>
    <row r="2800">
      <c r="A2800" s="2">
        <v>45628</v>
      </c>
      <c r="B2800">
        <v>2025.0</v>
      </c>
      <c r="C2800" t="s">
        <v>315</v>
      </c>
      <c r="D2800" t="s">
        <v>316</v>
      </c>
      <c r="E2800" t="s">
        <v>189</v>
      </c>
      <c r="F2800" t="s">
        <v>304</v>
      </c>
      <c r="G2800" t="s">
        <v>9</v>
      </c>
      <c r="H2800">
        <v>2131.0</v>
      </c>
      <c r="I2800" t="s">
        <v>31</v>
      </c>
      <c r="J2800" t="s">
        <v>81</v>
      </c>
      <c r="K2800" t="s">
        <v>123</v>
      </c>
      <c r="L2800" t="s">
        <v>124</v>
      </c>
      <c r="M2800">
        <v>363.16</v>
      </c>
    </row>
    <row r="2801">
      <c r="A2801" s="2">
        <v>45595</v>
      </c>
      <c r="B2801">
        <v>2025.0</v>
      </c>
      <c r="C2801" t="s">
        <v>315</v>
      </c>
      <c r="D2801" t="s">
        <v>319</v>
      </c>
      <c r="E2801" t="s">
        <v>228</v>
      </c>
      <c r="F2801" t="s">
        <v>306</v>
      </c>
      <c r="G2801" t="s">
        <v>11</v>
      </c>
      <c r="H2801">
        <v>4680.0</v>
      </c>
      <c r="I2801" t="s">
        <v>31</v>
      </c>
      <c r="J2801" t="s">
        <v>32</v>
      </c>
      <c r="K2801" t="s">
        <v>46</v>
      </c>
      <c r="L2801" t="s">
        <v>47</v>
      </c>
      <c r="M2801">
        <v>363.72</v>
      </c>
    </row>
    <row r="2802">
      <c r="A2802" s="2">
        <v>45561</v>
      </c>
      <c r="B2802">
        <v>2025.0</v>
      </c>
      <c r="C2802" t="s">
        <v>315</v>
      </c>
      <c r="D2802" t="s">
        <v>316</v>
      </c>
      <c r="E2802" t="s">
        <v>256</v>
      </c>
      <c r="F2802" t="s">
        <v>304</v>
      </c>
      <c r="G2802" t="s">
        <v>9</v>
      </c>
      <c r="H2802">
        <v>2350.0</v>
      </c>
      <c r="I2802" t="s">
        <v>31</v>
      </c>
      <c r="J2802" t="s">
        <v>70</v>
      </c>
      <c r="K2802" t="s">
        <v>43</v>
      </c>
      <c r="L2802" t="s">
        <v>44</v>
      </c>
      <c r="M2802">
        <v>364.21999999999997</v>
      </c>
    </row>
    <row r="2803">
      <c r="A2803" s="2">
        <v>45491</v>
      </c>
      <c r="B2803">
        <v>2025.0</v>
      </c>
      <c r="C2803" t="s">
        <v>315</v>
      </c>
      <c r="D2803" t="s">
        <v>316</v>
      </c>
      <c r="E2803" t="s">
        <v>108</v>
      </c>
      <c r="F2803" t="s">
        <v>304</v>
      </c>
      <c r="G2803" t="s">
        <v>9</v>
      </c>
      <c r="H2803">
        <v>2795.0</v>
      </c>
      <c r="I2803" t="s">
        <v>31</v>
      </c>
      <c r="J2803" t="s">
        <v>75</v>
      </c>
      <c r="K2803" t="s">
        <v>112</v>
      </c>
      <c r="L2803" t="s">
        <v>113</v>
      </c>
      <c r="M2803">
        <v>364.51</v>
      </c>
    </row>
    <row r="2804">
      <c r="A2804" s="2">
        <v>45707</v>
      </c>
      <c r="B2804">
        <v>2025.0</v>
      </c>
      <c r="C2804" t="s">
        <v>315</v>
      </c>
      <c r="D2804" t="s">
        <v>316</v>
      </c>
      <c r="E2804" t="s">
        <v>121</v>
      </c>
      <c r="F2804" t="s">
        <v>306</v>
      </c>
      <c r="G2804" t="s">
        <v>11</v>
      </c>
      <c r="H2804">
        <v>4566.0</v>
      </c>
      <c r="I2804" t="s">
        <v>31</v>
      </c>
      <c r="J2804" t="s">
        <v>84</v>
      </c>
      <c r="K2804" t="s">
        <v>95</v>
      </c>
      <c r="L2804" t="s">
        <v>96</v>
      </c>
      <c r="M2804">
        <v>364.65</v>
      </c>
    </row>
    <row r="2805">
      <c r="A2805" s="2">
        <v>45838</v>
      </c>
      <c r="B2805">
        <v>2025.0</v>
      </c>
      <c r="C2805" t="s">
        <v>315</v>
      </c>
      <c r="D2805" t="s">
        <v>319</v>
      </c>
      <c r="E2805" t="s">
        <v>62</v>
      </c>
      <c r="F2805" t="s">
        <v>307</v>
      </c>
      <c r="G2805" t="s">
        <v>12</v>
      </c>
      <c r="H2805">
        <v>6530.0</v>
      </c>
      <c r="I2805" t="s">
        <v>31</v>
      </c>
      <c r="J2805" t="s">
        <v>50</v>
      </c>
      <c r="K2805" t="s">
        <v>46</v>
      </c>
      <c r="L2805" t="s">
        <v>47</v>
      </c>
      <c r="M2805">
        <v>364.90000000000003</v>
      </c>
    </row>
    <row r="2806">
      <c r="A2806" s="2">
        <v>45732</v>
      </c>
      <c r="B2806">
        <v>2025.0</v>
      </c>
      <c r="C2806" t="s">
        <v>315</v>
      </c>
      <c r="D2806" t="s">
        <v>316</v>
      </c>
      <c r="E2806" t="s">
        <v>59</v>
      </c>
      <c r="F2806" t="s">
        <v>306</v>
      </c>
      <c r="G2806" t="s">
        <v>11</v>
      </c>
      <c r="H2806">
        <v>4509.0</v>
      </c>
      <c r="I2806" t="s">
        <v>31</v>
      </c>
      <c r="J2806" t="s">
        <v>61</v>
      </c>
      <c r="K2806" t="s">
        <v>33</v>
      </c>
      <c r="L2806" t="s">
        <v>34</v>
      </c>
      <c r="M2806">
        <v>366.19000000000005</v>
      </c>
    </row>
    <row r="2807">
      <c r="A2807" s="2">
        <v>45615</v>
      </c>
      <c r="B2807">
        <v>2025.0</v>
      </c>
      <c r="C2807" t="s">
        <v>315</v>
      </c>
      <c r="D2807" t="s">
        <v>316</v>
      </c>
      <c r="E2807" t="s">
        <v>175</v>
      </c>
      <c r="F2807" t="s">
        <v>311</v>
      </c>
      <c r="G2807" t="s">
        <v>16</v>
      </c>
      <c r="H2807">
        <v>2617.0</v>
      </c>
      <c r="I2807" t="s">
        <v>31</v>
      </c>
      <c r="J2807" t="s">
        <v>107</v>
      </c>
      <c r="K2807" t="s">
        <v>43</v>
      </c>
      <c r="L2807" t="s">
        <v>44</v>
      </c>
      <c r="M2807">
        <v>366.24</v>
      </c>
    </row>
    <row r="2808">
      <c r="A2808" s="2">
        <v>45605</v>
      </c>
      <c r="B2808">
        <v>2025.0</v>
      </c>
      <c r="C2808" t="s">
        <v>315</v>
      </c>
      <c r="D2808" t="s">
        <v>319</v>
      </c>
      <c r="E2808" t="s">
        <v>135</v>
      </c>
      <c r="F2808" t="s">
        <v>311</v>
      </c>
      <c r="G2808" t="s">
        <v>16</v>
      </c>
      <c r="H2808">
        <v>2609.0</v>
      </c>
      <c r="I2808" t="s">
        <v>31</v>
      </c>
      <c r="J2808" t="s">
        <v>107</v>
      </c>
      <c r="K2808" t="s">
        <v>95</v>
      </c>
      <c r="L2808" t="s">
        <v>96</v>
      </c>
      <c r="M2808">
        <v>366.37</v>
      </c>
    </row>
    <row r="2809">
      <c r="A2809" s="2">
        <v>45534</v>
      </c>
      <c r="B2809">
        <v>2025.0</v>
      </c>
      <c r="C2809" t="s">
        <v>315</v>
      </c>
      <c r="D2809" t="s">
        <v>316</v>
      </c>
      <c r="E2809" t="s">
        <v>246</v>
      </c>
      <c r="F2809" t="s">
        <v>305</v>
      </c>
      <c r="G2809" t="s">
        <v>10</v>
      </c>
      <c r="H2809">
        <v>3551.0</v>
      </c>
      <c r="I2809" t="s">
        <v>31</v>
      </c>
      <c r="J2809" t="s">
        <v>37</v>
      </c>
      <c r="K2809" t="s">
        <v>38</v>
      </c>
      <c r="L2809" t="s">
        <v>39</v>
      </c>
      <c r="M2809">
        <v>366.39</v>
      </c>
    </row>
    <row r="2810">
      <c r="A2810" s="2">
        <v>45453</v>
      </c>
      <c r="B2810">
        <v>2024.0</v>
      </c>
      <c r="C2810" t="s">
        <v>318</v>
      </c>
      <c r="D2810" t="s">
        <v>319</v>
      </c>
      <c r="E2810" t="s">
        <v>163</v>
      </c>
      <c r="F2810" t="s">
        <v>304</v>
      </c>
      <c r="G2810" t="s">
        <v>9</v>
      </c>
      <c r="H2810">
        <v>2154.0</v>
      </c>
      <c r="I2810" t="s">
        <v>31</v>
      </c>
      <c r="J2810" t="s">
        <v>81</v>
      </c>
      <c r="K2810" t="s">
        <v>33</v>
      </c>
      <c r="L2810" t="s">
        <v>34</v>
      </c>
      <c r="M2810">
        <v>367.08000000000004</v>
      </c>
    </row>
    <row r="2811">
      <c r="A2811" s="2">
        <v>45638</v>
      </c>
      <c r="B2811">
        <v>2025.0</v>
      </c>
      <c r="C2811" t="s">
        <v>315</v>
      </c>
      <c r="D2811" t="s">
        <v>319</v>
      </c>
      <c r="E2811" t="s">
        <v>116</v>
      </c>
      <c r="F2811" t="s">
        <v>304</v>
      </c>
      <c r="G2811" t="s">
        <v>9</v>
      </c>
      <c r="H2811">
        <v>2485.0</v>
      </c>
      <c r="I2811" t="s">
        <v>31</v>
      </c>
      <c r="J2811" t="s">
        <v>70</v>
      </c>
      <c r="K2811" t="s">
        <v>71</v>
      </c>
      <c r="L2811" t="s">
        <v>72</v>
      </c>
      <c r="M2811">
        <v>367.46000000000004</v>
      </c>
    </row>
    <row r="2812">
      <c r="A2812" s="2">
        <v>45372</v>
      </c>
      <c r="B2812">
        <v>2024.0</v>
      </c>
      <c r="C2812" t="s">
        <v>318</v>
      </c>
      <c r="D2812" t="s">
        <v>319</v>
      </c>
      <c r="E2812" t="s">
        <v>163</v>
      </c>
      <c r="F2812" t="s">
        <v>304</v>
      </c>
      <c r="G2812" t="s">
        <v>9</v>
      </c>
      <c r="H2812">
        <v>2154.0</v>
      </c>
      <c r="I2812" t="s">
        <v>31</v>
      </c>
      <c r="J2812" t="s">
        <v>81</v>
      </c>
      <c r="K2812" t="s">
        <v>38</v>
      </c>
      <c r="L2812" t="s">
        <v>39</v>
      </c>
      <c r="M2812">
        <v>367.59000000000003</v>
      </c>
    </row>
    <row r="2813">
      <c r="A2813" s="2">
        <v>45652</v>
      </c>
      <c r="B2813">
        <v>2025.0</v>
      </c>
      <c r="C2813" t="s">
        <v>315</v>
      </c>
      <c r="D2813" t="s">
        <v>316</v>
      </c>
      <c r="E2813" t="s">
        <v>76</v>
      </c>
      <c r="F2813" t="s">
        <v>306</v>
      </c>
      <c r="G2813" t="s">
        <v>11</v>
      </c>
      <c r="H2813">
        <v>4883.0</v>
      </c>
      <c r="I2813" t="s">
        <v>31</v>
      </c>
      <c r="J2813" t="s">
        <v>78</v>
      </c>
      <c r="K2813" t="s">
        <v>123</v>
      </c>
      <c r="L2813" t="s">
        <v>124</v>
      </c>
      <c r="M2813">
        <v>368.1</v>
      </c>
    </row>
    <row r="2814">
      <c r="A2814" s="2">
        <v>45499</v>
      </c>
      <c r="B2814">
        <v>2025.0</v>
      </c>
      <c r="C2814" t="s">
        <v>315</v>
      </c>
      <c r="D2814" t="s">
        <v>319</v>
      </c>
      <c r="E2814" t="s">
        <v>54</v>
      </c>
      <c r="F2814" t="s">
        <v>306</v>
      </c>
      <c r="G2814" t="s">
        <v>11</v>
      </c>
      <c r="H2814">
        <v>4012.0</v>
      </c>
      <c r="I2814" t="s">
        <v>31</v>
      </c>
      <c r="J2814" t="s">
        <v>56</v>
      </c>
      <c r="K2814" t="s">
        <v>38</v>
      </c>
      <c r="L2814" t="s">
        <v>39</v>
      </c>
      <c r="M2814">
        <v>368.3</v>
      </c>
    </row>
    <row r="2815">
      <c r="A2815" s="2">
        <v>45684</v>
      </c>
      <c r="B2815">
        <v>2025.0</v>
      </c>
      <c r="C2815" t="s">
        <v>315</v>
      </c>
      <c r="D2815" t="s">
        <v>316</v>
      </c>
      <c r="E2815" t="s">
        <v>48</v>
      </c>
      <c r="F2815" t="s">
        <v>307</v>
      </c>
      <c r="G2815" t="s">
        <v>12</v>
      </c>
      <c r="H2815">
        <v>6725.0</v>
      </c>
      <c r="I2815" t="s">
        <v>31</v>
      </c>
      <c r="J2815" t="s">
        <v>50</v>
      </c>
      <c r="K2815" t="s">
        <v>123</v>
      </c>
      <c r="L2815" t="s">
        <v>124</v>
      </c>
      <c r="M2815">
        <v>369.26000000000005</v>
      </c>
    </row>
    <row r="2816">
      <c r="A2816" s="2">
        <v>45683</v>
      </c>
      <c r="B2816">
        <v>2025.0</v>
      </c>
      <c r="C2816" t="s">
        <v>315</v>
      </c>
      <c r="D2816" t="s">
        <v>316</v>
      </c>
      <c r="E2816" t="s">
        <v>181</v>
      </c>
      <c r="F2816" t="s">
        <v>306</v>
      </c>
      <c r="G2816" t="s">
        <v>11</v>
      </c>
      <c r="H2816">
        <v>4119.0</v>
      </c>
      <c r="I2816" t="s">
        <v>31</v>
      </c>
      <c r="J2816" t="s">
        <v>56</v>
      </c>
      <c r="K2816" t="s">
        <v>95</v>
      </c>
      <c r="L2816" t="s">
        <v>96</v>
      </c>
      <c r="M2816">
        <v>369.36</v>
      </c>
    </row>
    <row r="2817">
      <c r="A2817" s="2">
        <v>45412</v>
      </c>
      <c r="B2817">
        <v>2024.0</v>
      </c>
      <c r="C2817" t="s">
        <v>318</v>
      </c>
      <c r="D2817" t="s">
        <v>316</v>
      </c>
      <c r="E2817" t="s">
        <v>173</v>
      </c>
      <c r="F2817" t="s">
        <v>306</v>
      </c>
      <c r="G2817" t="s">
        <v>11</v>
      </c>
      <c r="H2817">
        <v>4220.0</v>
      </c>
      <c r="I2817" t="s">
        <v>31</v>
      </c>
      <c r="J2817" t="s">
        <v>61</v>
      </c>
      <c r="K2817" t="s">
        <v>43</v>
      </c>
      <c r="L2817" t="s">
        <v>44</v>
      </c>
      <c r="M2817">
        <v>369.64</v>
      </c>
    </row>
    <row r="2818">
      <c r="A2818" s="2">
        <v>45655</v>
      </c>
      <c r="B2818">
        <v>2025.0</v>
      </c>
      <c r="C2818" t="s">
        <v>315</v>
      </c>
      <c r="D2818" t="s">
        <v>319</v>
      </c>
      <c r="E2818" t="s">
        <v>143</v>
      </c>
      <c r="F2818" t="s">
        <v>309</v>
      </c>
      <c r="G2818" t="s">
        <v>14</v>
      </c>
      <c r="H2818">
        <v>800.0</v>
      </c>
      <c r="I2818" t="s">
        <v>31</v>
      </c>
      <c r="J2818" t="s">
        <v>145</v>
      </c>
      <c r="K2818" t="s">
        <v>43</v>
      </c>
      <c r="L2818" t="s">
        <v>44</v>
      </c>
      <c r="M2818">
        <v>369.79999999999995</v>
      </c>
    </row>
    <row r="2819">
      <c r="A2819" s="2">
        <v>45836</v>
      </c>
      <c r="B2819">
        <v>2025.0</v>
      </c>
      <c r="C2819" t="s">
        <v>315</v>
      </c>
      <c r="D2819" t="s">
        <v>319</v>
      </c>
      <c r="E2819" t="s">
        <v>118</v>
      </c>
      <c r="F2819" t="s">
        <v>305</v>
      </c>
      <c r="G2819" t="s">
        <v>10</v>
      </c>
      <c r="H2819">
        <v>3076.0</v>
      </c>
      <c r="I2819" t="s">
        <v>31</v>
      </c>
      <c r="J2819" t="s">
        <v>120</v>
      </c>
      <c r="K2819" t="s">
        <v>66</v>
      </c>
      <c r="L2819" t="s">
        <v>67</v>
      </c>
      <c r="M2819">
        <v>370.91</v>
      </c>
    </row>
    <row r="2820">
      <c r="A2820" s="2">
        <v>45903</v>
      </c>
      <c r="B2820">
        <v>2026.0</v>
      </c>
      <c r="C2820" t="s">
        <v>321</v>
      </c>
      <c r="D2820" t="s">
        <v>316</v>
      </c>
      <c r="E2820" t="s">
        <v>179</v>
      </c>
      <c r="F2820" t="s">
        <v>304</v>
      </c>
      <c r="G2820" t="s">
        <v>9</v>
      </c>
      <c r="H2820">
        <v>2015.0</v>
      </c>
      <c r="I2820" t="s">
        <v>31</v>
      </c>
      <c r="J2820" t="s">
        <v>99</v>
      </c>
      <c r="K2820" t="s">
        <v>43</v>
      </c>
      <c r="L2820" t="s">
        <v>44</v>
      </c>
      <c r="M2820">
        <v>371.1</v>
      </c>
    </row>
    <row r="2821">
      <c r="A2821" s="2">
        <v>45550</v>
      </c>
      <c r="B2821">
        <v>2025.0</v>
      </c>
      <c r="C2821" t="s">
        <v>315</v>
      </c>
      <c r="D2821" t="s">
        <v>316</v>
      </c>
      <c r="E2821" t="s">
        <v>152</v>
      </c>
      <c r="F2821" t="s">
        <v>306</v>
      </c>
      <c r="G2821" t="s">
        <v>11</v>
      </c>
      <c r="H2821">
        <v>4305.0</v>
      </c>
      <c r="I2821" t="s">
        <v>31</v>
      </c>
      <c r="J2821" t="s">
        <v>61</v>
      </c>
      <c r="K2821" t="s">
        <v>95</v>
      </c>
      <c r="L2821" t="s">
        <v>96</v>
      </c>
      <c r="M2821">
        <v>371.23</v>
      </c>
    </row>
    <row r="2822">
      <c r="A2822" s="2">
        <v>45839</v>
      </c>
      <c r="B2822">
        <v>2026.0</v>
      </c>
      <c r="C2822" t="s">
        <v>321</v>
      </c>
      <c r="D2822" t="s">
        <v>319</v>
      </c>
      <c r="E2822" t="s">
        <v>240</v>
      </c>
      <c r="F2822" t="s">
        <v>310</v>
      </c>
      <c r="G2822" t="s">
        <v>15</v>
      </c>
      <c r="H2822">
        <v>7010.0</v>
      </c>
      <c r="I2822" t="s">
        <v>31</v>
      </c>
      <c r="J2822" t="s">
        <v>53</v>
      </c>
      <c r="K2822" t="s">
        <v>46</v>
      </c>
      <c r="L2822" t="s">
        <v>47</v>
      </c>
      <c r="M2822">
        <v>371.64</v>
      </c>
    </row>
    <row r="2823">
      <c r="A2823" s="2">
        <v>45698</v>
      </c>
      <c r="B2823">
        <v>2025.0</v>
      </c>
      <c r="C2823" t="s">
        <v>315</v>
      </c>
      <c r="D2823" t="s">
        <v>316</v>
      </c>
      <c r="E2823" t="s">
        <v>110</v>
      </c>
      <c r="F2823" t="s">
        <v>304</v>
      </c>
      <c r="G2823" t="s">
        <v>9</v>
      </c>
      <c r="H2823">
        <v>2101.0</v>
      </c>
      <c r="I2823" t="s">
        <v>31</v>
      </c>
      <c r="J2823" t="s">
        <v>81</v>
      </c>
      <c r="K2823" t="s">
        <v>95</v>
      </c>
      <c r="L2823" t="s">
        <v>96</v>
      </c>
      <c r="M2823">
        <v>371.73</v>
      </c>
    </row>
    <row r="2824">
      <c r="A2824" s="2">
        <v>45607</v>
      </c>
      <c r="B2824">
        <v>2025.0</v>
      </c>
      <c r="C2824" t="s">
        <v>315</v>
      </c>
      <c r="D2824" t="s">
        <v>319</v>
      </c>
      <c r="E2824" t="s">
        <v>85</v>
      </c>
      <c r="F2824" t="s">
        <v>304</v>
      </c>
      <c r="G2824" t="s">
        <v>9</v>
      </c>
      <c r="H2824">
        <v>2120.0</v>
      </c>
      <c r="I2824" t="s">
        <v>31</v>
      </c>
      <c r="J2824" t="s">
        <v>81</v>
      </c>
      <c r="K2824" t="s">
        <v>123</v>
      </c>
      <c r="L2824" t="s">
        <v>124</v>
      </c>
      <c r="M2824">
        <v>372.4800000000001</v>
      </c>
    </row>
    <row r="2825">
      <c r="A2825" s="2">
        <v>45963</v>
      </c>
      <c r="B2825">
        <v>2026.0</v>
      </c>
      <c r="C2825" t="s">
        <v>321</v>
      </c>
      <c r="D2825" t="s">
        <v>316</v>
      </c>
      <c r="E2825" t="s">
        <v>165</v>
      </c>
      <c r="F2825" t="s">
        <v>304</v>
      </c>
      <c r="G2825" t="s">
        <v>9</v>
      </c>
      <c r="H2825">
        <v>2064.0</v>
      </c>
      <c r="I2825" t="s">
        <v>31</v>
      </c>
      <c r="J2825" t="s">
        <v>99</v>
      </c>
      <c r="K2825" t="s">
        <v>46</v>
      </c>
      <c r="L2825" t="s">
        <v>47</v>
      </c>
      <c r="M2825">
        <v>372.65</v>
      </c>
    </row>
    <row r="2826">
      <c r="A2826" s="2">
        <v>46006</v>
      </c>
      <c r="B2826">
        <v>2026.0</v>
      </c>
      <c r="C2826" t="s">
        <v>321</v>
      </c>
      <c r="D2826" t="s">
        <v>316</v>
      </c>
      <c r="E2826" t="s">
        <v>114</v>
      </c>
      <c r="F2826" t="s">
        <v>304</v>
      </c>
      <c r="G2826" t="s">
        <v>9</v>
      </c>
      <c r="H2826">
        <v>2031.0</v>
      </c>
      <c r="I2826" t="s">
        <v>31</v>
      </c>
      <c r="J2826" t="s">
        <v>99</v>
      </c>
      <c r="K2826" t="s">
        <v>43</v>
      </c>
      <c r="L2826" t="s">
        <v>44</v>
      </c>
      <c r="M2826">
        <v>372.74</v>
      </c>
    </row>
    <row r="2827">
      <c r="A2827" s="2">
        <v>45658</v>
      </c>
      <c r="B2827">
        <v>2025.0</v>
      </c>
      <c r="C2827" t="s">
        <v>315</v>
      </c>
      <c r="D2827" t="s">
        <v>316</v>
      </c>
      <c r="E2827" t="s">
        <v>87</v>
      </c>
      <c r="F2827" t="s">
        <v>305</v>
      </c>
      <c r="G2827" t="s">
        <v>10</v>
      </c>
      <c r="H2827">
        <v>3148.0</v>
      </c>
      <c r="I2827" t="s">
        <v>31</v>
      </c>
      <c r="J2827" t="s">
        <v>89</v>
      </c>
      <c r="K2827" t="s">
        <v>46</v>
      </c>
      <c r="L2827" t="s">
        <v>47</v>
      </c>
      <c r="M2827">
        <v>372.78</v>
      </c>
    </row>
    <row r="2828">
      <c r="A2828" s="2">
        <v>45414</v>
      </c>
      <c r="B2828">
        <v>2024.0</v>
      </c>
      <c r="C2828" t="s">
        <v>318</v>
      </c>
      <c r="D2828" t="s">
        <v>319</v>
      </c>
      <c r="E2828" t="s">
        <v>163</v>
      </c>
      <c r="F2828" t="s">
        <v>304</v>
      </c>
      <c r="G2828" t="s">
        <v>9</v>
      </c>
      <c r="H2828">
        <v>2154.0</v>
      </c>
      <c r="I2828" t="s">
        <v>31</v>
      </c>
      <c r="J2828" t="s">
        <v>81</v>
      </c>
      <c r="K2828" t="s">
        <v>57</v>
      </c>
      <c r="L2828" t="s">
        <v>58</v>
      </c>
      <c r="M2828">
        <v>373.36</v>
      </c>
    </row>
    <row r="2829">
      <c r="A2829" s="2">
        <v>45613</v>
      </c>
      <c r="B2829">
        <v>2025.0</v>
      </c>
      <c r="C2829" t="s">
        <v>315</v>
      </c>
      <c r="D2829" t="s">
        <v>316</v>
      </c>
      <c r="E2829" t="s">
        <v>181</v>
      </c>
      <c r="F2829" t="s">
        <v>306</v>
      </c>
      <c r="G2829" t="s">
        <v>11</v>
      </c>
      <c r="H2829">
        <v>4119.0</v>
      </c>
      <c r="I2829" t="s">
        <v>31</v>
      </c>
      <c r="J2829" t="s">
        <v>56</v>
      </c>
      <c r="K2829" t="s">
        <v>33</v>
      </c>
      <c r="L2829" t="s">
        <v>34</v>
      </c>
      <c r="M2829">
        <v>374.38</v>
      </c>
    </row>
    <row r="2830">
      <c r="A2830" s="2">
        <v>45740</v>
      </c>
      <c r="B2830">
        <v>2025.0</v>
      </c>
      <c r="C2830" t="s">
        <v>315</v>
      </c>
      <c r="D2830" t="s">
        <v>319</v>
      </c>
      <c r="E2830" t="s">
        <v>156</v>
      </c>
      <c r="F2830" t="s">
        <v>304</v>
      </c>
      <c r="G2830" t="s">
        <v>9</v>
      </c>
      <c r="H2830">
        <v>2830.0</v>
      </c>
      <c r="I2830" t="s">
        <v>31</v>
      </c>
      <c r="J2830" t="s">
        <v>75</v>
      </c>
      <c r="K2830" t="s">
        <v>43</v>
      </c>
      <c r="L2830" t="s">
        <v>44</v>
      </c>
      <c r="M2830">
        <v>374.61</v>
      </c>
    </row>
    <row r="2831">
      <c r="A2831" s="2">
        <v>45516</v>
      </c>
      <c r="B2831">
        <v>2025.0</v>
      </c>
      <c r="C2831" t="s">
        <v>315</v>
      </c>
      <c r="D2831" t="s">
        <v>316</v>
      </c>
      <c r="E2831" t="s">
        <v>225</v>
      </c>
      <c r="F2831" t="s">
        <v>308</v>
      </c>
      <c r="G2831" t="s">
        <v>13</v>
      </c>
      <c r="H2831">
        <v>5607.0</v>
      </c>
      <c r="I2831" t="s">
        <v>31</v>
      </c>
      <c r="J2831" t="s">
        <v>227</v>
      </c>
      <c r="K2831" t="s">
        <v>46</v>
      </c>
      <c r="L2831" t="s">
        <v>47</v>
      </c>
      <c r="M2831">
        <v>374.75</v>
      </c>
    </row>
    <row r="2832">
      <c r="A2832" s="2">
        <v>45540</v>
      </c>
      <c r="B2832">
        <v>2025.0</v>
      </c>
      <c r="C2832" t="s">
        <v>315</v>
      </c>
      <c r="D2832" t="s">
        <v>316</v>
      </c>
      <c r="E2832" t="s">
        <v>110</v>
      </c>
      <c r="F2832" t="s">
        <v>304</v>
      </c>
      <c r="G2832" t="s">
        <v>9</v>
      </c>
      <c r="H2832">
        <v>2101.0</v>
      </c>
      <c r="I2832" t="s">
        <v>31</v>
      </c>
      <c r="J2832" t="s">
        <v>81</v>
      </c>
      <c r="K2832" t="s">
        <v>112</v>
      </c>
      <c r="L2832" t="s">
        <v>113</v>
      </c>
      <c r="M2832">
        <v>374.93999999999994</v>
      </c>
    </row>
    <row r="2833">
      <c r="A2833" s="2">
        <v>45524</v>
      </c>
      <c r="B2833">
        <v>2025.0</v>
      </c>
      <c r="C2833" t="s">
        <v>315</v>
      </c>
      <c r="D2833" t="s">
        <v>316</v>
      </c>
      <c r="E2833" t="s">
        <v>29</v>
      </c>
      <c r="F2833" t="s">
        <v>306</v>
      </c>
      <c r="G2833" t="s">
        <v>11</v>
      </c>
      <c r="H2833">
        <v>4703.0</v>
      </c>
      <c r="I2833" t="s">
        <v>31</v>
      </c>
      <c r="J2833" t="s">
        <v>32</v>
      </c>
      <c r="K2833" t="s">
        <v>43</v>
      </c>
      <c r="L2833" t="s">
        <v>44</v>
      </c>
      <c r="M2833">
        <v>375.65</v>
      </c>
    </row>
    <row r="2834">
      <c r="A2834" s="2">
        <v>45544</v>
      </c>
      <c r="B2834">
        <v>2025.0</v>
      </c>
      <c r="C2834" t="s">
        <v>315</v>
      </c>
      <c r="D2834" t="s">
        <v>316</v>
      </c>
      <c r="E2834" t="s">
        <v>191</v>
      </c>
      <c r="F2834" t="s">
        <v>305</v>
      </c>
      <c r="G2834" t="s">
        <v>10</v>
      </c>
      <c r="H2834">
        <v>3030.0</v>
      </c>
      <c r="I2834" t="s">
        <v>31</v>
      </c>
      <c r="J2834" t="s">
        <v>120</v>
      </c>
      <c r="K2834" t="s">
        <v>71</v>
      </c>
      <c r="L2834" t="s">
        <v>72</v>
      </c>
      <c r="M2834">
        <v>376.09000000000003</v>
      </c>
    </row>
    <row r="2835">
      <c r="A2835" s="2">
        <v>45872</v>
      </c>
      <c r="B2835">
        <v>2026.0</v>
      </c>
      <c r="C2835" t="s">
        <v>321</v>
      </c>
      <c r="D2835" t="s">
        <v>316</v>
      </c>
      <c r="E2835" t="s">
        <v>209</v>
      </c>
      <c r="F2835" t="s">
        <v>304</v>
      </c>
      <c r="G2835" t="s">
        <v>9</v>
      </c>
      <c r="H2835">
        <v>2116.0</v>
      </c>
      <c r="I2835" t="s">
        <v>31</v>
      </c>
      <c r="J2835" t="s">
        <v>81</v>
      </c>
      <c r="K2835" t="s">
        <v>43</v>
      </c>
      <c r="L2835" t="s">
        <v>44</v>
      </c>
      <c r="M2835">
        <v>376.5</v>
      </c>
    </row>
    <row r="2836">
      <c r="A2836" s="2">
        <v>45873</v>
      </c>
      <c r="B2836">
        <v>2026.0</v>
      </c>
      <c r="C2836" t="s">
        <v>321</v>
      </c>
      <c r="D2836" t="s">
        <v>316</v>
      </c>
      <c r="E2836" t="s">
        <v>183</v>
      </c>
      <c r="F2836" t="s">
        <v>304</v>
      </c>
      <c r="G2836" t="s">
        <v>9</v>
      </c>
      <c r="H2836">
        <v>2480.0</v>
      </c>
      <c r="I2836" t="s">
        <v>31</v>
      </c>
      <c r="J2836" t="s">
        <v>70</v>
      </c>
      <c r="K2836" t="s">
        <v>95</v>
      </c>
      <c r="L2836" t="s">
        <v>96</v>
      </c>
      <c r="M2836">
        <v>376.57</v>
      </c>
    </row>
    <row r="2837">
      <c r="A2837" s="2">
        <v>45300</v>
      </c>
      <c r="B2837">
        <v>2024.0</v>
      </c>
      <c r="C2837" t="s">
        <v>318</v>
      </c>
      <c r="D2837" t="s">
        <v>319</v>
      </c>
      <c r="E2837" t="s">
        <v>141</v>
      </c>
      <c r="F2837" t="s">
        <v>304</v>
      </c>
      <c r="G2837" t="s">
        <v>9</v>
      </c>
      <c r="H2837">
        <v>2539.0</v>
      </c>
      <c r="I2837" t="s">
        <v>31</v>
      </c>
      <c r="J2837" t="s">
        <v>107</v>
      </c>
      <c r="K2837" t="s">
        <v>71</v>
      </c>
      <c r="L2837" t="s">
        <v>72</v>
      </c>
      <c r="M2837">
        <v>376.58000000000004</v>
      </c>
    </row>
    <row r="2838">
      <c r="A2838" s="2">
        <v>46011</v>
      </c>
      <c r="B2838">
        <v>2026.0</v>
      </c>
      <c r="C2838" t="s">
        <v>321</v>
      </c>
      <c r="D2838" t="s">
        <v>316</v>
      </c>
      <c r="E2838" t="s">
        <v>108</v>
      </c>
      <c r="F2838" t="s">
        <v>304</v>
      </c>
      <c r="G2838" t="s">
        <v>9</v>
      </c>
      <c r="H2838">
        <v>2795.0</v>
      </c>
      <c r="I2838" t="s">
        <v>31</v>
      </c>
      <c r="J2838" t="s">
        <v>75</v>
      </c>
      <c r="K2838" t="s">
        <v>95</v>
      </c>
      <c r="L2838" t="s">
        <v>96</v>
      </c>
      <c r="M2838">
        <v>376.85</v>
      </c>
    </row>
    <row r="2839">
      <c r="A2839" s="2">
        <v>45643</v>
      </c>
      <c r="B2839">
        <v>2025.0</v>
      </c>
      <c r="C2839" t="s">
        <v>315</v>
      </c>
      <c r="D2839" t="s">
        <v>316</v>
      </c>
      <c r="E2839" t="s">
        <v>121</v>
      </c>
      <c r="F2839" t="s">
        <v>306</v>
      </c>
      <c r="G2839" t="s">
        <v>11</v>
      </c>
      <c r="H2839">
        <v>4566.0</v>
      </c>
      <c r="I2839" t="s">
        <v>31</v>
      </c>
      <c r="J2839" t="s">
        <v>84</v>
      </c>
      <c r="K2839" t="s">
        <v>57</v>
      </c>
      <c r="L2839" t="s">
        <v>58</v>
      </c>
      <c r="M2839">
        <v>377.12</v>
      </c>
    </row>
    <row r="2840">
      <c r="A2840" s="2">
        <v>45496</v>
      </c>
      <c r="B2840">
        <v>2025.0</v>
      </c>
      <c r="C2840" t="s">
        <v>315</v>
      </c>
      <c r="D2840" t="s">
        <v>319</v>
      </c>
      <c r="E2840" t="s">
        <v>92</v>
      </c>
      <c r="F2840" t="s">
        <v>305</v>
      </c>
      <c r="G2840" t="s">
        <v>10</v>
      </c>
      <c r="H2840">
        <v>3690.0</v>
      </c>
      <c r="I2840" t="s">
        <v>31</v>
      </c>
      <c r="J2840" t="s">
        <v>94</v>
      </c>
      <c r="K2840" t="s">
        <v>71</v>
      </c>
      <c r="L2840" t="s">
        <v>72</v>
      </c>
      <c r="M2840">
        <v>377.44</v>
      </c>
    </row>
    <row r="2841">
      <c r="A2841" s="2">
        <v>45538</v>
      </c>
      <c r="B2841">
        <v>2025.0</v>
      </c>
      <c r="C2841" t="s">
        <v>315</v>
      </c>
      <c r="D2841" t="s">
        <v>316</v>
      </c>
      <c r="E2841" t="s">
        <v>68</v>
      </c>
      <c r="F2841" t="s">
        <v>304</v>
      </c>
      <c r="G2841" t="s">
        <v>9</v>
      </c>
      <c r="H2841">
        <v>2478.0</v>
      </c>
      <c r="I2841" t="s">
        <v>31</v>
      </c>
      <c r="J2841" t="s">
        <v>70</v>
      </c>
      <c r="K2841" t="s">
        <v>33</v>
      </c>
      <c r="L2841" t="s">
        <v>34</v>
      </c>
      <c r="M2841">
        <v>377.54</v>
      </c>
    </row>
    <row r="2842">
      <c r="A2842" s="2">
        <v>45559</v>
      </c>
      <c r="B2842">
        <v>2025.0</v>
      </c>
      <c r="C2842" t="s">
        <v>315</v>
      </c>
      <c r="D2842" t="s">
        <v>316</v>
      </c>
      <c r="E2842" t="s">
        <v>199</v>
      </c>
      <c r="F2842" t="s">
        <v>308</v>
      </c>
      <c r="G2842" t="s">
        <v>13</v>
      </c>
      <c r="H2842">
        <v>5169.0</v>
      </c>
      <c r="I2842" t="s">
        <v>31</v>
      </c>
      <c r="J2842" t="s">
        <v>42</v>
      </c>
      <c r="K2842" t="s">
        <v>57</v>
      </c>
      <c r="L2842" t="s">
        <v>58</v>
      </c>
      <c r="M2842">
        <v>378.07000000000005</v>
      </c>
    </row>
    <row r="2843">
      <c r="A2843" s="2">
        <v>45973</v>
      </c>
      <c r="B2843">
        <v>2026.0</v>
      </c>
      <c r="C2843" t="s">
        <v>321</v>
      </c>
      <c r="D2843" t="s">
        <v>316</v>
      </c>
      <c r="E2843" t="s">
        <v>79</v>
      </c>
      <c r="F2843" t="s">
        <v>304</v>
      </c>
      <c r="G2843" t="s">
        <v>9</v>
      </c>
      <c r="H2843">
        <v>2141.0</v>
      </c>
      <c r="I2843" t="s">
        <v>31</v>
      </c>
      <c r="J2843" t="s">
        <v>81</v>
      </c>
      <c r="K2843" t="s">
        <v>43</v>
      </c>
      <c r="L2843" t="s">
        <v>44</v>
      </c>
      <c r="M2843">
        <v>378.7</v>
      </c>
    </row>
    <row r="2844">
      <c r="A2844" s="2">
        <v>45818</v>
      </c>
      <c r="B2844">
        <v>2025.0</v>
      </c>
      <c r="C2844" t="s">
        <v>315</v>
      </c>
      <c r="D2844" t="s">
        <v>316</v>
      </c>
      <c r="E2844" t="s">
        <v>129</v>
      </c>
      <c r="F2844" t="s">
        <v>305</v>
      </c>
      <c r="G2844" t="s">
        <v>10</v>
      </c>
      <c r="H2844">
        <v>3066.0</v>
      </c>
      <c r="I2844" t="s">
        <v>31</v>
      </c>
      <c r="J2844" t="s">
        <v>120</v>
      </c>
      <c r="K2844" t="s">
        <v>33</v>
      </c>
      <c r="L2844" t="s">
        <v>34</v>
      </c>
      <c r="M2844">
        <v>378.71999999999997</v>
      </c>
    </row>
    <row r="2845">
      <c r="A2845" s="2">
        <v>45948</v>
      </c>
      <c r="B2845">
        <v>2026.0</v>
      </c>
      <c r="C2845" t="s">
        <v>321</v>
      </c>
      <c r="D2845" t="s">
        <v>316</v>
      </c>
      <c r="E2845" t="s">
        <v>105</v>
      </c>
      <c r="F2845" t="s">
        <v>304</v>
      </c>
      <c r="G2845" t="s">
        <v>9</v>
      </c>
      <c r="H2845">
        <v>2541.0</v>
      </c>
      <c r="I2845" t="s">
        <v>31</v>
      </c>
      <c r="J2845" t="s">
        <v>107</v>
      </c>
      <c r="K2845" t="s">
        <v>95</v>
      </c>
      <c r="L2845" t="s">
        <v>96</v>
      </c>
      <c r="M2845">
        <v>379.01</v>
      </c>
    </row>
    <row r="2846">
      <c r="A2846" s="2">
        <v>45737</v>
      </c>
      <c r="B2846">
        <v>2025.0</v>
      </c>
      <c r="C2846" t="s">
        <v>315</v>
      </c>
      <c r="D2846" t="s">
        <v>319</v>
      </c>
      <c r="E2846" t="s">
        <v>114</v>
      </c>
      <c r="F2846" t="s">
        <v>304</v>
      </c>
      <c r="G2846" t="s">
        <v>9</v>
      </c>
      <c r="H2846">
        <v>2031.0</v>
      </c>
      <c r="I2846" t="s">
        <v>31</v>
      </c>
      <c r="J2846" t="s">
        <v>99</v>
      </c>
      <c r="K2846" t="s">
        <v>95</v>
      </c>
      <c r="L2846" t="s">
        <v>96</v>
      </c>
      <c r="M2846">
        <v>379.43</v>
      </c>
    </row>
    <row r="2847">
      <c r="A2847" s="2">
        <v>45708</v>
      </c>
      <c r="B2847">
        <v>2025.0</v>
      </c>
      <c r="C2847" t="s">
        <v>315</v>
      </c>
      <c r="D2847" t="s">
        <v>316</v>
      </c>
      <c r="E2847" t="s">
        <v>64</v>
      </c>
      <c r="F2847" t="s">
        <v>306</v>
      </c>
      <c r="G2847" t="s">
        <v>11</v>
      </c>
      <c r="H2847">
        <v>4215.0</v>
      </c>
      <c r="I2847" t="s">
        <v>31</v>
      </c>
      <c r="J2847" t="s">
        <v>61</v>
      </c>
      <c r="K2847" t="s">
        <v>123</v>
      </c>
      <c r="L2847" t="s">
        <v>124</v>
      </c>
      <c r="M2847">
        <v>379.5200000000001</v>
      </c>
    </row>
    <row r="2848">
      <c r="A2848" s="2">
        <v>45607</v>
      </c>
      <c r="B2848">
        <v>2025.0</v>
      </c>
      <c r="C2848" t="s">
        <v>315</v>
      </c>
      <c r="D2848" t="s">
        <v>319</v>
      </c>
      <c r="E2848" t="s">
        <v>85</v>
      </c>
      <c r="F2848" t="s">
        <v>304</v>
      </c>
      <c r="G2848" t="s">
        <v>9</v>
      </c>
      <c r="H2848">
        <v>2120.0</v>
      </c>
      <c r="I2848" t="s">
        <v>31</v>
      </c>
      <c r="J2848" t="s">
        <v>81</v>
      </c>
      <c r="K2848" t="s">
        <v>46</v>
      </c>
      <c r="L2848" t="s">
        <v>47</v>
      </c>
      <c r="M2848">
        <v>379.57000000000005</v>
      </c>
    </row>
    <row r="2849">
      <c r="A2849" s="2">
        <v>45928</v>
      </c>
      <c r="B2849">
        <v>2026.0</v>
      </c>
      <c r="C2849" t="s">
        <v>321</v>
      </c>
      <c r="D2849" t="s">
        <v>316</v>
      </c>
      <c r="E2849" t="s">
        <v>105</v>
      </c>
      <c r="F2849" t="s">
        <v>304</v>
      </c>
      <c r="G2849" t="s">
        <v>9</v>
      </c>
      <c r="H2849">
        <v>2541.0</v>
      </c>
      <c r="I2849" t="s">
        <v>31</v>
      </c>
      <c r="J2849" t="s">
        <v>107</v>
      </c>
      <c r="K2849" t="s">
        <v>123</v>
      </c>
      <c r="L2849" t="s">
        <v>124</v>
      </c>
      <c r="M2849">
        <v>380.3</v>
      </c>
    </row>
    <row r="2850">
      <c r="A2850" s="2">
        <v>45832</v>
      </c>
      <c r="B2850">
        <v>2025.0</v>
      </c>
      <c r="C2850" t="s">
        <v>315</v>
      </c>
      <c r="D2850" t="s">
        <v>316</v>
      </c>
      <c r="E2850" t="s">
        <v>110</v>
      </c>
      <c r="F2850" t="s">
        <v>304</v>
      </c>
      <c r="G2850" t="s">
        <v>9</v>
      </c>
      <c r="H2850">
        <v>2101.0</v>
      </c>
      <c r="I2850" t="s">
        <v>31</v>
      </c>
      <c r="J2850" t="s">
        <v>81</v>
      </c>
      <c r="K2850" t="s">
        <v>38</v>
      </c>
      <c r="L2850" t="s">
        <v>39</v>
      </c>
      <c r="M2850">
        <v>380.59000000000003</v>
      </c>
    </row>
    <row r="2851">
      <c r="A2851" s="2">
        <v>45651</v>
      </c>
      <c r="B2851">
        <v>2025.0</v>
      </c>
      <c r="C2851" t="s">
        <v>315</v>
      </c>
      <c r="D2851" t="s">
        <v>319</v>
      </c>
      <c r="E2851" t="s">
        <v>90</v>
      </c>
      <c r="F2851" t="s">
        <v>305</v>
      </c>
      <c r="G2851" t="s">
        <v>10</v>
      </c>
      <c r="H2851">
        <v>3353.0</v>
      </c>
      <c r="I2851" t="s">
        <v>31</v>
      </c>
      <c r="J2851" t="s">
        <v>37</v>
      </c>
      <c r="K2851" t="s">
        <v>43</v>
      </c>
      <c r="L2851" t="s">
        <v>44</v>
      </c>
      <c r="M2851">
        <v>380.96999999999997</v>
      </c>
    </row>
    <row r="2852">
      <c r="A2852" s="2">
        <v>45427</v>
      </c>
      <c r="B2852">
        <v>2024.0</v>
      </c>
      <c r="C2852" t="s">
        <v>318</v>
      </c>
      <c r="D2852" t="s">
        <v>316</v>
      </c>
      <c r="E2852" t="s">
        <v>232</v>
      </c>
      <c r="F2852" t="s">
        <v>304</v>
      </c>
      <c r="G2852" t="s">
        <v>9</v>
      </c>
      <c r="H2852">
        <v>2800.0</v>
      </c>
      <c r="I2852" t="s">
        <v>31</v>
      </c>
      <c r="J2852" t="s">
        <v>75</v>
      </c>
      <c r="K2852" t="s">
        <v>43</v>
      </c>
      <c r="L2852" t="s">
        <v>44</v>
      </c>
      <c r="M2852">
        <v>381.15</v>
      </c>
    </row>
    <row r="2853">
      <c r="A2853" s="2">
        <v>45356</v>
      </c>
      <c r="B2853">
        <v>2024.0</v>
      </c>
      <c r="C2853" t="s">
        <v>318</v>
      </c>
      <c r="D2853" t="s">
        <v>316</v>
      </c>
      <c r="E2853" t="s">
        <v>90</v>
      </c>
      <c r="F2853" t="s">
        <v>305</v>
      </c>
      <c r="G2853" t="s">
        <v>10</v>
      </c>
      <c r="H2853">
        <v>3353.0</v>
      </c>
      <c r="I2853" t="s">
        <v>31</v>
      </c>
      <c r="J2853" t="s">
        <v>37</v>
      </c>
      <c r="K2853" t="s">
        <v>95</v>
      </c>
      <c r="L2853" t="s">
        <v>96</v>
      </c>
      <c r="M2853">
        <v>381.49</v>
      </c>
    </row>
    <row r="2854">
      <c r="A2854" s="2">
        <v>45434</v>
      </c>
      <c r="B2854">
        <v>2024.0</v>
      </c>
      <c r="C2854" t="s">
        <v>318</v>
      </c>
      <c r="D2854" t="s">
        <v>316</v>
      </c>
      <c r="E2854" t="s">
        <v>211</v>
      </c>
      <c r="F2854" t="s">
        <v>304</v>
      </c>
      <c r="G2854" t="s">
        <v>9</v>
      </c>
      <c r="H2854">
        <v>2650.0</v>
      </c>
      <c r="I2854" t="s">
        <v>31</v>
      </c>
      <c r="J2854" t="s">
        <v>75</v>
      </c>
      <c r="K2854" t="s">
        <v>112</v>
      </c>
      <c r="L2854" t="s">
        <v>113</v>
      </c>
      <c r="M2854">
        <v>382.07</v>
      </c>
    </row>
    <row r="2855">
      <c r="A2855" s="2">
        <v>45945</v>
      </c>
      <c r="B2855">
        <v>2026.0</v>
      </c>
      <c r="C2855" t="s">
        <v>321</v>
      </c>
      <c r="D2855" t="s">
        <v>319</v>
      </c>
      <c r="E2855" t="s">
        <v>189</v>
      </c>
      <c r="F2855" t="s">
        <v>304</v>
      </c>
      <c r="G2855" t="s">
        <v>9</v>
      </c>
      <c r="H2855">
        <v>2131.0</v>
      </c>
      <c r="I2855" t="s">
        <v>31</v>
      </c>
      <c r="J2855" t="s">
        <v>81</v>
      </c>
      <c r="K2855" t="s">
        <v>33</v>
      </c>
      <c r="L2855" t="s">
        <v>34</v>
      </c>
      <c r="M2855">
        <v>382.4200000000001</v>
      </c>
    </row>
    <row r="2856">
      <c r="A2856" s="2">
        <v>45920</v>
      </c>
      <c r="B2856">
        <v>2026.0</v>
      </c>
      <c r="C2856" t="s">
        <v>321</v>
      </c>
      <c r="D2856" t="s">
        <v>316</v>
      </c>
      <c r="E2856" t="s">
        <v>114</v>
      </c>
      <c r="F2856" t="s">
        <v>304</v>
      </c>
      <c r="G2856" t="s">
        <v>9</v>
      </c>
      <c r="H2856">
        <v>2031.0</v>
      </c>
      <c r="I2856" t="s">
        <v>31</v>
      </c>
      <c r="J2856" t="s">
        <v>99</v>
      </c>
      <c r="K2856" t="s">
        <v>57</v>
      </c>
      <c r="L2856" t="s">
        <v>58</v>
      </c>
      <c r="M2856">
        <v>383.53</v>
      </c>
    </row>
    <row r="2857">
      <c r="A2857" s="2">
        <v>45888</v>
      </c>
      <c r="B2857">
        <v>2026.0</v>
      </c>
      <c r="C2857" t="s">
        <v>321</v>
      </c>
      <c r="D2857" t="s">
        <v>316</v>
      </c>
      <c r="E2857" t="s">
        <v>79</v>
      </c>
      <c r="F2857" t="s">
        <v>304</v>
      </c>
      <c r="G2857" t="s">
        <v>9</v>
      </c>
      <c r="H2857">
        <v>2141.0</v>
      </c>
      <c r="I2857" t="s">
        <v>31</v>
      </c>
      <c r="J2857" t="s">
        <v>81</v>
      </c>
      <c r="K2857" t="s">
        <v>95</v>
      </c>
      <c r="L2857" t="s">
        <v>96</v>
      </c>
      <c r="M2857">
        <v>384.1</v>
      </c>
    </row>
    <row r="2858">
      <c r="A2858" s="2">
        <v>45365</v>
      </c>
      <c r="B2858">
        <v>2024.0</v>
      </c>
      <c r="C2858" t="s">
        <v>318</v>
      </c>
      <c r="D2858" t="s">
        <v>316</v>
      </c>
      <c r="E2858" t="s">
        <v>195</v>
      </c>
      <c r="F2858" t="s">
        <v>306</v>
      </c>
      <c r="G2858" t="s">
        <v>11</v>
      </c>
      <c r="H2858">
        <v>4700.0</v>
      </c>
      <c r="I2858" t="s">
        <v>31</v>
      </c>
      <c r="J2858" t="s">
        <v>32</v>
      </c>
      <c r="K2858" t="s">
        <v>43</v>
      </c>
      <c r="L2858" t="s">
        <v>44</v>
      </c>
      <c r="M2858">
        <v>385.87</v>
      </c>
    </row>
    <row r="2859">
      <c r="A2859" s="2">
        <v>45729</v>
      </c>
      <c r="B2859">
        <v>2025.0</v>
      </c>
      <c r="C2859" t="s">
        <v>315</v>
      </c>
      <c r="D2859" t="s">
        <v>316</v>
      </c>
      <c r="E2859" t="s">
        <v>68</v>
      </c>
      <c r="F2859" t="s">
        <v>304</v>
      </c>
      <c r="G2859" t="s">
        <v>9</v>
      </c>
      <c r="H2859">
        <v>2478.0</v>
      </c>
      <c r="I2859" t="s">
        <v>31</v>
      </c>
      <c r="J2859" t="s">
        <v>70</v>
      </c>
      <c r="K2859" t="s">
        <v>112</v>
      </c>
      <c r="L2859" t="s">
        <v>113</v>
      </c>
      <c r="M2859">
        <v>386.15</v>
      </c>
    </row>
    <row r="2860">
      <c r="A2860" s="2">
        <v>45620</v>
      </c>
      <c r="B2860">
        <v>2025.0</v>
      </c>
      <c r="C2860" t="s">
        <v>315</v>
      </c>
      <c r="D2860" t="s">
        <v>319</v>
      </c>
      <c r="E2860" t="s">
        <v>171</v>
      </c>
      <c r="F2860" t="s">
        <v>305</v>
      </c>
      <c r="G2860" t="s">
        <v>10</v>
      </c>
      <c r="H2860">
        <v>3500.0</v>
      </c>
      <c r="I2860" t="s">
        <v>31</v>
      </c>
      <c r="J2860" t="s">
        <v>37</v>
      </c>
      <c r="K2860" t="s">
        <v>43</v>
      </c>
      <c r="L2860" t="s">
        <v>44</v>
      </c>
      <c r="M2860">
        <v>386.16999999999996</v>
      </c>
    </row>
    <row r="2861">
      <c r="A2861" s="2">
        <v>45411</v>
      </c>
      <c r="B2861">
        <v>2024.0</v>
      </c>
      <c r="C2861" t="s">
        <v>318</v>
      </c>
      <c r="D2861" t="s">
        <v>319</v>
      </c>
      <c r="E2861" t="s">
        <v>240</v>
      </c>
      <c r="F2861" t="s">
        <v>310</v>
      </c>
      <c r="G2861" t="s">
        <v>15</v>
      </c>
      <c r="H2861">
        <v>7010.0</v>
      </c>
      <c r="I2861" t="s">
        <v>31</v>
      </c>
      <c r="J2861" t="s">
        <v>53</v>
      </c>
      <c r="K2861" t="s">
        <v>71</v>
      </c>
      <c r="L2861" t="s">
        <v>72</v>
      </c>
      <c r="M2861">
        <v>386.58000000000004</v>
      </c>
    </row>
    <row r="2862">
      <c r="A2862" s="2">
        <v>45610</v>
      </c>
      <c r="B2862">
        <v>2025.0</v>
      </c>
      <c r="C2862" t="s">
        <v>315</v>
      </c>
      <c r="D2862" t="s">
        <v>316</v>
      </c>
      <c r="E2862" t="s">
        <v>108</v>
      </c>
      <c r="F2862" t="s">
        <v>304</v>
      </c>
      <c r="G2862" t="s">
        <v>9</v>
      </c>
      <c r="H2862">
        <v>2795.0</v>
      </c>
      <c r="I2862" t="s">
        <v>31</v>
      </c>
      <c r="J2862" t="s">
        <v>75</v>
      </c>
      <c r="K2862" t="s">
        <v>95</v>
      </c>
      <c r="L2862" t="s">
        <v>96</v>
      </c>
      <c r="M2862">
        <v>386.64</v>
      </c>
    </row>
    <row r="2863">
      <c r="A2863" s="2">
        <v>45516</v>
      </c>
      <c r="B2863">
        <v>2025.0</v>
      </c>
      <c r="C2863" t="s">
        <v>315</v>
      </c>
      <c r="D2863" t="s">
        <v>316</v>
      </c>
      <c r="E2863" t="s">
        <v>185</v>
      </c>
      <c r="F2863" t="s">
        <v>307</v>
      </c>
      <c r="G2863" t="s">
        <v>12</v>
      </c>
      <c r="H2863">
        <v>6109.0</v>
      </c>
      <c r="I2863" t="s">
        <v>31</v>
      </c>
      <c r="J2863" t="s">
        <v>162</v>
      </c>
      <c r="K2863" t="s">
        <v>43</v>
      </c>
      <c r="L2863" t="s">
        <v>44</v>
      </c>
      <c r="M2863">
        <v>386.95</v>
      </c>
    </row>
    <row r="2864">
      <c r="A2864" s="2">
        <v>45842</v>
      </c>
      <c r="B2864">
        <v>2026.0</v>
      </c>
      <c r="C2864" t="s">
        <v>321</v>
      </c>
      <c r="D2864" t="s">
        <v>316</v>
      </c>
      <c r="E2864" t="s">
        <v>177</v>
      </c>
      <c r="F2864" t="s">
        <v>307</v>
      </c>
      <c r="G2864" t="s">
        <v>12</v>
      </c>
      <c r="H2864">
        <v>6330.0</v>
      </c>
      <c r="I2864" t="s">
        <v>31</v>
      </c>
      <c r="J2864" t="s">
        <v>162</v>
      </c>
      <c r="K2864" t="s">
        <v>71</v>
      </c>
      <c r="L2864" t="s">
        <v>72</v>
      </c>
      <c r="M2864">
        <v>387.33</v>
      </c>
    </row>
    <row r="2865">
      <c r="A2865" s="2">
        <v>46018</v>
      </c>
      <c r="B2865">
        <v>2026.0</v>
      </c>
      <c r="C2865" t="s">
        <v>321</v>
      </c>
      <c r="D2865" t="s">
        <v>316</v>
      </c>
      <c r="E2865" t="s">
        <v>205</v>
      </c>
      <c r="F2865" t="s">
        <v>305</v>
      </c>
      <c r="G2865" t="s">
        <v>10</v>
      </c>
      <c r="H2865">
        <v>3400.0</v>
      </c>
      <c r="I2865" t="s">
        <v>31</v>
      </c>
      <c r="J2865" t="s">
        <v>37</v>
      </c>
      <c r="K2865" t="s">
        <v>71</v>
      </c>
      <c r="L2865" t="s">
        <v>72</v>
      </c>
      <c r="M2865">
        <v>387.6</v>
      </c>
    </row>
    <row r="2866">
      <c r="A2866" s="2">
        <v>45831</v>
      </c>
      <c r="B2866">
        <v>2025.0</v>
      </c>
      <c r="C2866" t="s">
        <v>315</v>
      </c>
      <c r="D2866" t="s">
        <v>316</v>
      </c>
      <c r="E2866" t="s">
        <v>252</v>
      </c>
      <c r="F2866" t="s">
        <v>305</v>
      </c>
      <c r="G2866" t="s">
        <v>10</v>
      </c>
      <c r="H2866">
        <v>3630.0</v>
      </c>
      <c r="I2866" t="s">
        <v>31</v>
      </c>
      <c r="J2866" t="s">
        <v>94</v>
      </c>
      <c r="K2866" t="s">
        <v>57</v>
      </c>
      <c r="L2866" t="s">
        <v>58</v>
      </c>
      <c r="M2866">
        <v>388.59</v>
      </c>
    </row>
    <row r="2867">
      <c r="A2867" s="2">
        <v>45427</v>
      </c>
      <c r="B2867">
        <v>2024.0</v>
      </c>
      <c r="C2867" t="s">
        <v>318</v>
      </c>
      <c r="D2867" t="s">
        <v>319</v>
      </c>
      <c r="E2867" t="s">
        <v>189</v>
      </c>
      <c r="F2867" t="s">
        <v>304</v>
      </c>
      <c r="G2867" t="s">
        <v>9</v>
      </c>
      <c r="H2867">
        <v>2131.0</v>
      </c>
      <c r="I2867" t="s">
        <v>31</v>
      </c>
      <c r="J2867" t="s">
        <v>81</v>
      </c>
      <c r="K2867" t="s">
        <v>43</v>
      </c>
      <c r="L2867" t="s">
        <v>44</v>
      </c>
      <c r="M2867">
        <v>389.97</v>
      </c>
    </row>
    <row r="2868">
      <c r="A2868" s="2">
        <v>45996</v>
      </c>
      <c r="B2868">
        <v>2026.0</v>
      </c>
      <c r="C2868" t="s">
        <v>321</v>
      </c>
      <c r="D2868" t="s">
        <v>316</v>
      </c>
      <c r="E2868" t="s">
        <v>129</v>
      </c>
      <c r="F2868" t="s">
        <v>305</v>
      </c>
      <c r="G2868" t="s">
        <v>10</v>
      </c>
      <c r="H2868">
        <v>3066.0</v>
      </c>
      <c r="I2868" t="s">
        <v>31</v>
      </c>
      <c r="J2868" t="s">
        <v>120</v>
      </c>
      <c r="K2868" t="s">
        <v>43</v>
      </c>
      <c r="L2868" t="s">
        <v>44</v>
      </c>
      <c r="M2868">
        <v>390.13000000000005</v>
      </c>
    </row>
    <row r="2869">
      <c r="A2869" s="2">
        <v>45434</v>
      </c>
      <c r="B2869">
        <v>2024.0</v>
      </c>
      <c r="C2869" t="s">
        <v>318</v>
      </c>
      <c r="D2869" t="s">
        <v>316</v>
      </c>
      <c r="E2869" t="s">
        <v>29</v>
      </c>
      <c r="F2869" t="s">
        <v>306</v>
      </c>
      <c r="G2869" t="s">
        <v>11</v>
      </c>
      <c r="H2869">
        <v>4703.0</v>
      </c>
      <c r="I2869" t="s">
        <v>31</v>
      </c>
      <c r="J2869" t="s">
        <v>32</v>
      </c>
      <c r="K2869" t="s">
        <v>57</v>
      </c>
      <c r="L2869" t="s">
        <v>58</v>
      </c>
      <c r="M2869">
        <v>390.86</v>
      </c>
    </row>
    <row r="2870">
      <c r="A2870" s="2">
        <v>45876</v>
      </c>
      <c r="B2870">
        <v>2026.0</v>
      </c>
      <c r="C2870" t="s">
        <v>321</v>
      </c>
      <c r="D2870" t="s">
        <v>319</v>
      </c>
      <c r="E2870" t="s">
        <v>54</v>
      </c>
      <c r="F2870" t="s">
        <v>306</v>
      </c>
      <c r="G2870" t="s">
        <v>11</v>
      </c>
      <c r="H2870">
        <v>4012.0</v>
      </c>
      <c r="I2870" t="s">
        <v>31</v>
      </c>
      <c r="J2870" t="s">
        <v>56</v>
      </c>
      <c r="K2870" t="s">
        <v>71</v>
      </c>
      <c r="L2870" t="s">
        <v>72</v>
      </c>
      <c r="M2870">
        <v>391.47</v>
      </c>
    </row>
    <row r="2871">
      <c r="A2871" s="2">
        <v>45988</v>
      </c>
      <c r="B2871">
        <v>2026.0</v>
      </c>
      <c r="C2871" t="s">
        <v>321</v>
      </c>
      <c r="D2871" t="s">
        <v>316</v>
      </c>
      <c r="E2871" t="s">
        <v>193</v>
      </c>
      <c r="F2871" t="s">
        <v>304</v>
      </c>
      <c r="G2871" t="s">
        <v>9</v>
      </c>
      <c r="H2871">
        <v>2020.0</v>
      </c>
      <c r="I2871" t="s">
        <v>31</v>
      </c>
      <c r="J2871" t="s">
        <v>99</v>
      </c>
      <c r="K2871" t="s">
        <v>38</v>
      </c>
      <c r="L2871" t="s">
        <v>39</v>
      </c>
      <c r="M2871">
        <v>391.5</v>
      </c>
    </row>
    <row r="2872">
      <c r="A2872" s="2">
        <v>45310</v>
      </c>
      <c r="B2872">
        <v>2024.0</v>
      </c>
      <c r="C2872" t="s">
        <v>318</v>
      </c>
      <c r="D2872" t="s">
        <v>316</v>
      </c>
      <c r="E2872" t="s">
        <v>193</v>
      </c>
      <c r="F2872" t="s">
        <v>304</v>
      </c>
      <c r="G2872" t="s">
        <v>9</v>
      </c>
      <c r="H2872">
        <v>2020.0</v>
      </c>
      <c r="I2872" t="s">
        <v>31</v>
      </c>
      <c r="J2872" t="s">
        <v>99</v>
      </c>
      <c r="K2872" t="s">
        <v>123</v>
      </c>
      <c r="L2872" t="s">
        <v>124</v>
      </c>
      <c r="M2872">
        <v>393.64</v>
      </c>
    </row>
    <row r="2873">
      <c r="A2873" s="2">
        <v>45526</v>
      </c>
      <c r="B2873">
        <v>2025.0</v>
      </c>
      <c r="C2873" t="s">
        <v>315</v>
      </c>
      <c r="D2873" t="s">
        <v>319</v>
      </c>
      <c r="E2873" t="s">
        <v>148</v>
      </c>
      <c r="F2873" t="s">
        <v>307</v>
      </c>
      <c r="G2873" t="s">
        <v>12</v>
      </c>
      <c r="H2873">
        <v>6450.0</v>
      </c>
      <c r="I2873" t="s">
        <v>31</v>
      </c>
      <c r="J2873" t="s">
        <v>50</v>
      </c>
      <c r="K2873" t="s">
        <v>46</v>
      </c>
      <c r="L2873" t="s">
        <v>47</v>
      </c>
      <c r="M2873">
        <v>393.67999999999995</v>
      </c>
    </row>
    <row r="2874">
      <c r="A2874" s="2">
        <v>45912</v>
      </c>
      <c r="B2874">
        <v>2026.0</v>
      </c>
      <c r="C2874" t="s">
        <v>321</v>
      </c>
      <c r="D2874" t="s">
        <v>316</v>
      </c>
      <c r="E2874" t="s">
        <v>185</v>
      </c>
      <c r="F2874" t="s">
        <v>307</v>
      </c>
      <c r="G2874" t="s">
        <v>12</v>
      </c>
      <c r="H2874">
        <v>6109.0</v>
      </c>
      <c r="I2874" t="s">
        <v>31</v>
      </c>
      <c r="J2874" t="s">
        <v>162</v>
      </c>
      <c r="K2874" t="s">
        <v>71</v>
      </c>
      <c r="L2874" t="s">
        <v>72</v>
      </c>
      <c r="M2874">
        <v>393.69</v>
      </c>
    </row>
    <row r="2875">
      <c r="A2875" s="2">
        <v>45919</v>
      </c>
      <c r="B2875">
        <v>2026.0</v>
      </c>
      <c r="C2875" t="s">
        <v>321</v>
      </c>
      <c r="D2875" t="s">
        <v>316</v>
      </c>
      <c r="E2875" t="s">
        <v>199</v>
      </c>
      <c r="F2875" t="s">
        <v>308</v>
      </c>
      <c r="G2875" t="s">
        <v>13</v>
      </c>
      <c r="H2875">
        <v>5169.0</v>
      </c>
      <c r="I2875" t="s">
        <v>31</v>
      </c>
      <c r="J2875" t="s">
        <v>42</v>
      </c>
      <c r="K2875" t="s">
        <v>43</v>
      </c>
      <c r="L2875" t="s">
        <v>44</v>
      </c>
      <c r="M2875">
        <v>394.43</v>
      </c>
    </row>
    <row r="2876">
      <c r="A2876" s="2">
        <v>45706</v>
      </c>
      <c r="B2876">
        <v>2025.0</v>
      </c>
      <c r="C2876" t="s">
        <v>315</v>
      </c>
      <c r="D2876" t="s">
        <v>319</v>
      </c>
      <c r="E2876" t="s">
        <v>240</v>
      </c>
      <c r="F2876" t="s">
        <v>310</v>
      </c>
      <c r="G2876" t="s">
        <v>15</v>
      </c>
      <c r="H2876">
        <v>7010.0</v>
      </c>
      <c r="I2876" t="s">
        <v>31</v>
      </c>
      <c r="J2876" t="s">
        <v>53</v>
      </c>
      <c r="K2876" t="s">
        <v>57</v>
      </c>
      <c r="L2876" t="s">
        <v>58</v>
      </c>
      <c r="M2876">
        <v>394.56</v>
      </c>
    </row>
    <row r="2877">
      <c r="A2877" s="2">
        <v>45989</v>
      </c>
      <c r="B2877">
        <v>2026.0</v>
      </c>
      <c r="C2877" t="s">
        <v>321</v>
      </c>
      <c r="D2877" t="s">
        <v>316</v>
      </c>
      <c r="E2877" t="s">
        <v>51</v>
      </c>
      <c r="F2877" t="s">
        <v>310</v>
      </c>
      <c r="G2877" t="s">
        <v>15</v>
      </c>
      <c r="H2877">
        <v>7018.0</v>
      </c>
      <c r="I2877" t="s">
        <v>31</v>
      </c>
      <c r="J2877" t="s">
        <v>53</v>
      </c>
      <c r="K2877" t="s">
        <v>71</v>
      </c>
      <c r="L2877" t="s">
        <v>72</v>
      </c>
      <c r="M2877">
        <v>395.26</v>
      </c>
    </row>
    <row r="2878">
      <c r="A2878" s="2">
        <v>45978</v>
      </c>
      <c r="B2878">
        <v>2026.0</v>
      </c>
      <c r="C2878" t="s">
        <v>321</v>
      </c>
      <c r="D2878" t="s">
        <v>319</v>
      </c>
      <c r="E2878" t="s">
        <v>171</v>
      </c>
      <c r="F2878" t="s">
        <v>305</v>
      </c>
      <c r="G2878" t="s">
        <v>10</v>
      </c>
      <c r="H2878">
        <v>3500.0</v>
      </c>
      <c r="I2878" t="s">
        <v>31</v>
      </c>
      <c r="J2878" t="s">
        <v>37</v>
      </c>
      <c r="K2878" t="s">
        <v>46</v>
      </c>
      <c r="L2878" t="s">
        <v>47</v>
      </c>
      <c r="M2878">
        <v>395.43999999999994</v>
      </c>
    </row>
    <row r="2879">
      <c r="A2879" s="2">
        <v>45845</v>
      </c>
      <c r="B2879">
        <v>2026.0</v>
      </c>
      <c r="C2879" t="s">
        <v>321</v>
      </c>
      <c r="D2879" t="s">
        <v>319</v>
      </c>
      <c r="E2879" t="s">
        <v>146</v>
      </c>
      <c r="F2879" t="s">
        <v>304</v>
      </c>
      <c r="G2879" t="s">
        <v>9</v>
      </c>
      <c r="H2879">
        <v>2790.0</v>
      </c>
      <c r="I2879" t="s">
        <v>31</v>
      </c>
      <c r="J2879" t="s">
        <v>75</v>
      </c>
      <c r="K2879" t="s">
        <v>71</v>
      </c>
      <c r="L2879" t="s">
        <v>72</v>
      </c>
      <c r="M2879">
        <v>395.53</v>
      </c>
    </row>
    <row r="2880">
      <c r="A2880" s="2">
        <v>45448</v>
      </c>
      <c r="B2880">
        <v>2024.0</v>
      </c>
      <c r="C2880" t="s">
        <v>318</v>
      </c>
      <c r="D2880" t="s">
        <v>316</v>
      </c>
      <c r="E2880" t="s">
        <v>260</v>
      </c>
      <c r="F2880" t="s">
        <v>305</v>
      </c>
      <c r="G2880" t="s">
        <v>10</v>
      </c>
      <c r="H2880">
        <v>3179.0</v>
      </c>
      <c r="I2880" t="s">
        <v>31</v>
      </c>
      <c r="J2880" t="s">
        <v>89</v>
      </c>
      <c r="K2880" t="s">
        <v>43</v>
      </c>
      <c r="L2880" t="s">
        <v>44</v>
      </c>
      <c r="M2880">
        <v>395.63000000000005</v>
      </c>
    </row>
    <row r="2881">
      <c r="A2881" s="2">
        <v>45972</v>
      </c>
      <c r="B2881">
        <v>2026.0</v>
      </c>
      <c r="C2881" t="s">
        <v>321</v>
      </c>
      <c r="D2881" t="s">
        <v>316</v>
      </c>
      <c r="E2881" t="s">
        <v>158</v>
      </c>
      <c r="F2881" t="s">
        <v>306</v>
      </c>
      <c r="G2881" t="s">
        <v>11</v>
      </c>
      <c r="H2881">
        <v>4570.0</v>
      </c>
      <c r="I2881" t="s">
        <v>31</v>
      </c>
      <c r="J2881" t="s">
        <v>84</v>
      </c>
      <c r="K2881" t="s">
        <v>57</v>
      </c>
      <c r="L2881" t="s">
        <v>58</v>
      </c>
      <c r="M2881">
        <v>395.74</v>
      </c>
    </row>
    <row r="2882">
      <c r="A2882" s="2">
        <v>45750</v>
      </c>
      <c r="B2882">
        <v>2025.0</v>
      </c>
      <c r="C2882" t="s">
        <v>315</v>
      </c>
      <c r="D2882" t="s">
        <v>316</v>
      </c>
      <c r="E2882" t="s">
        <v>158</v>
      </c>
      <c r="F2882" t="s">
        <v>306</v>
      </c>
      <c r="G2882" t="s">
        <v>11</v>
      </c>
      <c r="H2882">
        <v>4570.0</v>
      </c>
      <c r="I2882" t="s">
        <v>31</v>
      </c>
      <c r="J2882" t="s">
        <v>84</v>
      </c>
      <c r="K2882" t="s">
        <v>33</v>
      </c>
      <c r="L2882" t="s">
        <v>34</v>
      </c>
      <c r="M2882">
        <v>395.97</v>
      </c>
    </row>
    <row r="2883">
      <c r="A2883" s="2">
        <v>45326</v>
      </c>
      <c r="B2883">
        <v>2024.0</v>
      </c>
      <c r="C2883" t="s">
        <v>318</v>
      </c>
      <c r="D2883" t="s">
        <v>316</v>
      </c>
      <c r="E2883" t="s">
        <v>150</v>
      </c>
      <c r="F2883" t="s">
        <v>310</v>
      </c>
      <c r="G2883" t="s">
        <v>15</v>
      </c>
      <c r="H2883">
        <v>7250.0</v>
      </c>
      <c r="I2883" t="s">
        <v>31</v>
      </c>
      <c r="J2883" t="s">
        <v>53</v>
      </c>
      <c r="K2883" t="s">
        <v>123</v>
      </c>
      <c r="L2883" t="s">
        <v>124</v>
      </c>
      <c r="M2883">
        <v>396.5400000000001</v>
      </c>
    </row>
    <row r="2884">
      <c r="A2884" s="2">
        <v>45836</v>
      </c>
      <c r="B2884">
        <v>2025.0</v>
      </c>
      <c r="C2884" t="s">
        <v>315</v>
      </c>
      <c r="D2884" t="s">
        <v>316</v>
      </c>
      <c r="E2884" t="s">
        <v>185</v>
      </c>
      <c r="F2884" t="s">
        <v>307</v>
      </c>
      <c r="G2884" t="s">
        <v>12</v>
      </c>
      <c r="H2884">
        <v>6109.0</v>
      </c>
      <c r="I2884" t="s">
        <v>31</v>
      </c>
      <c r="J2884" t="s">
        <v>162</v>
      </c>
      <c r="K2884" t="s">
        <v>33</v>
      </c>
      <c r="L2884" t="s">
        <v>34</v>
      </c>
      <c r="M2884">
        <v>397.83</v>
      </c>
    </row>
    <row r="2885">
      <c r="A2885" s="2">
        <v>45728</v>
      </c>
      <c r="B2885">
        <v>2025.0</v>
      </c>
      <c r="C2885" t="s">
        <v>315</v>
      </c>
      <c r="D2885" t="s">
        <v>316</v>
      </c>
      <c r="E2885" t="s">
        <v>105</v>
      </c>
      <c r="F2885" t="s">
        <v>304</v>
      </c>
      <c r="G2885" t="s">
        <v>9</v>
      </c>
      <c r="H2885">
        <v>2541.0</v>
      </c>
      <c r="I2885" t="s">
        <v>31</v>
      </c>
      <c r="J2885" t="s">
        <v>107</v>
      </c>
      <c r="K2885" t="s">
        <v>33</v>
      </c>
      <c r="L2885" t="s">
        <v>34</v>
      </c>
      <c r="M2885">
        <v>398.48</v>
      </c>
    </row>
    <row r="2886">
      <c r="A2886" s="2">
        <v>45627</v>
      </c>
      <c r="B2886">
        <v>2025.0</v>
      </c>
      <c r="C2886" t="s">
        <v>315</v>
      </c>
      <c r="D2886" t="s">
        <v>316</v>
      </c>
      <c r="E2886" t="s">
        <v>256</v>
      </c>
      <c r="F2886" t="s">
        <v>304</v>
      </c>
      <c r="G2886" t="s">
        <v>9</v>
      </c>
      <c r="H2886">
        <v>2350.0</v>
      </c>
      <c r="I2886" t="s">
        <v>31</v>
      </c>
      <c r="J2886" t="s">
        <v>70</v>
      </c>
      <c r="K2886" t="s">
        <v>112</v>
      </c>
      <c r="L2886" t="s">
        <v>113</v>
      </c>
      <c r="M2886">
        <v>398.57000000000005</v>
      </c>
    </row>
    <row r="2887">
      <c r="A2887" s="2">
        <v>45527</v>
      </c>
      <c r="B2887">
        <v>2025.0</v>
      </c>
      <c r="C2887" t="s">
        <v>315</v>
      </c>
      <c r="D2887" t="s">
        <v>316</v>
      </c>
      <c r="E2887" t="s">
        <v>179</v>
      </c>
      <c r="F2887" t="s">
        <v>304</v>
      </c>
      <c r="G2887" t="s">
        <v>9</v>
      </c>
      <c r="H2887">
        <v>2015.0</v>
      </c>
      <c r="I2887" t="s">
        <v>31</v>
      </c>
      <c r="J2887" t="s">
        <v>99</v>
      </c>
      <c r="K2887" t="s">
        <v>112</v>
      </c>
      <c r="L2887" t="s">
        <v>113</v>
      </c>
      <c r="M2887">
        <v>398.90999999999997</v>
      </c>
    </row>
    <row r="2888">
      <c r="A2888" s="2">
        <v>45998</v>
      </c>
      <c r="B2888">
        <v>2026.0</v>
      </c>
      <c r="C2888" t="s">
        <v>321</v>
      </c>
      <c r="D2888" t="s">
        <v>319</v>
      </c>
      <c r="E2888" t="s">
        <v>92</v>
      </c>
      <c r="F2888" t="s">
        <v>305</v>
      </c>
      <c r="G2888" t="s">
        <v>10</v>
      </c>
      <c r="H2888">
        <v>3690.0</v>
      </c>
      <c r="I2888" t="s">
        <v>31</v>
      </c>
      <c r="J2888" t="s">
        <v>94</v>
      </c>
      <c r="K2888" t="s">
        <v>43</v>
      </c>
      <c r="L2888" t="s">
        <v>44</v>
      </c>
      <c r="M2888">
        <v>399.65999999999997</v>
      </c>
    </row>
    <row r="2889">
      <c r="A2889" s="2">
        <v>45852</v>
      </c>
      <c r="B2889">
        <v>2026.0</v>
      </c>
      <c r="C2889" t="s">
        <v>321</v>
      </c>
      <c r="D2889" t="s">
        <v>316</v>
      </c>
      <c r="E2889" t="s">
        <v>169</v>
      </c>
      <c r="F2889" t="s">
        <v>307</v>
      </c>
      <c r="G2889" t="s">
        <v>12</v>
      </c>
      <c r="H2889">
        <v>6027.0</v>
      </c>
      <c r="I2889" t="s">
        <v>31</v>
      </c>
      <c r="J2889" t="s">
        <v>102</v>
      </c>
      <c r="K2889" t="s">
        <v>43</v>
      </c>
      <c r="L2889" t="s">
        <v>44</v>
      </c>
      <c r="M2889">
        <v>401.65999999999997</v>
      </c>
    </row>
    <row r="2890">
      <c r="A2890" s="2">
        <v>45636</v>
      </c>
      <c r="B2890">
        <v>2025.0</v>
      </c>
      <c r="C2890" t="s">
        <v>315</v>
      </c>
      <c r="D2890" t="s">
        <v>316</v>
      </c>
      <c r="E2890" t="s">
        <v>51</v>
      </c>
      <c r="F2890" t="s">
        <v>310</v>
      </c>
      <c r="G2890" t="s">
        <v>15</v>
      </c>
      <c r="H2890">
        <v>7018.0</v>
      </c>
      <c r="I2890" t="s">
        <v>31</v>
      </c>
      <c r="J2890" t="s">
        <v>53</v>
      </c>
      <c r="K2890" t="s">
        <v>46</v>
      </c>
      <c r="L2890" t="s">
        <v>47</v>
      </c>
      <c r="M2890">
        <v>401.71</v>
      </c>
    </row>
    <row r="2891">
      <c r="A2891" s="2">
        <v>45382</v>
      </c>
      <c r="B2891">
        <v>2024.0</v>
      </c>
      <c r="C2891" t="s">
        <v>318</v>
      </c>
      <c r="D2891" t="s">
        <v>316</v>
      </c>
      <c r="E2891" t="s">
        <v>248</v>
      </c>
      <c r="F2891" t="s">
        <v>307</v>
      </c>
      <c r="G2891" t="s">
        <v>12</v>
      </c>
      <c r="H2891">
        <v>6112.0</v>
      </c>
      <c r="I2891" t="s">
        <v>31</v>
      </c>
      <c r="J2891" t="s">
        <v>162</v>
      </c>
      <c r="K2891" t="s">
        <v>46</v>
      </c>
      <c r="L2891" t="s">
        <v>47</v>
      </c>
      <c r="M2891">
        <v>402.07000000000005</v>
      </c>
    </row>
    <row r="2892">
      <c r="A2892" s="2">
        <v>45990</v>
      </c>
      <c r="B2892">
        <v>2026.0</v>
      </c>
      <c r="C2892" t="s">
        <v>321</v>
      </c>
      <c r="D2892" t="s">
        <v>319</v>
      </c>
      <c r="E2892" t="s">
        <v>90</v>
      </c>
      <c r="F2892" t="s">
        <v>305</v>
      </c>
      <c r="G2892" t="s">
        <v>10</v>
      </c>
      <c r="H2892">
        <v>3353.0</v>
      </c>
      <c r="I2892" t="s">
        <v>31</v>
      </c>
      <c r="J2892" t="s">
        <v>37</v>
      </c>
      <c r="K2892" t="s">
        <v>33</v>
      </c>
      <c r="L2892" t="s">
        <v>34</v>
      </c>
      <c r="M2892">
        <v>402.18000000000006</v>
      </c>
    </row>
    <row r="2893">
      <c r="A2893" s="2">
        <v>45705</v>
      </c>
      <c r="B2893">
        <v>2025.0</v>
      </c>
      <c r="C2893" t="s">
        <v>315</v>
      </c>
      <c r="D2893" t="s">
        <v>316</v>
      </c>
      <c r="E2893" t="s">
        <v>181</v>
      </c>
      <c r="F2893" t="s">
        <v>306</v>
      </c>
      <c r="G2893" t="s">
        <v>11</v>
      </c>
      <c r="H2893">
        <v>4119.0</v>
      </c>
      <c r="I2893" t="s">
        <v>31</v>
      </c>
      <c r="J2893" t="s">
        <v>56</v>
      </c>
      <c r="K2893" t="s">
        <v>38</v>
      </c>
      <c r="L2893" t="s">
        <v>39</v>
      </c>
      <c r="M2893">
        <v>403.25</v>
      </c>
    </row>
    <row r="2894">
      <c r="A2894" s="2">
        <v>45725</v>
      </c>
      <c r="B2894">
        <v>2025.0</v>
      </c>
      <c r="C2894" t="s">
        <v>315</v>
      </c>
      <c r="D2894" t="s">
        <v>319</v>
      </c>
      <c r="E2894" t="s">
        <v>250</v>
      </c>
      <c r="F2894" t="s">
        <v>305</v>
      </c>
      <c r="G2894" t="s">
        <v>10</v>
      </c>
      <c r="H2894">
        <v>3550.0</v>
      </c>
      <c r="I2894" t="s">
        <v>31</v>
      </c>
      <c r="J2894" t="s">
        <v>37</v>
      </c>
      <c r="K2894" t="s">
        <v>38</v>
      </c>
      <c r="L2894" t="s">
        <v>39</v>
      </c>
      <c r="M2894">
        <v>403.37</v>
      </c>
    </row>
    <row r="2895">
      <c r="A2895" s="2">
        <v>45454</v>
      </c>
      <c r="B2895">
        <v>2024.0</v>
      </c>
      <c r="C2895" t="s">
        <v>318</v>
      </c>
      <c r="D2895" t="s">
        <v>316</v>
      </c>
      <c r="E2895" t="s">
        <v>197</v>
      </c>
      <c r="F2895" t="s">
        <v>304</v>
      </c>
      <c r="G2895" t="s">
        <v>9</v>
      </c>
      <c r="H2895">
        <v>2560.0</v>
      </c>
      <c r="I2895" t="s">
        <v>31</v>
      </c>
      <c r="J2895" t="s">
        <v>107</v>
      </c>
      <c r="K2895" t="s">
        <v>33</v>
      </c>
      <c r="L2895" t="s">
        <v>34</v>
      </c>
      <c r="M2895">
        <v>403.98</v>
      </c>
    </row>
    <row r="2896">
      <c r="A2896" s="2">
        <v>45407</v>
      </c>
      <c r="B2896">
        <v>2024.0</v>
      </c>
      <c r="C2896" t="s">
        <v>318</v>
      </c>
      <c r="D2896" t="s">
        <v>316</v>
      </c>
      <c r="E2896" t="s">
        <v>246</v>
      </c>
      <c r="F2896" t="s">
        <v>305</v>
      </c>
      <c r="G2896" t="s">
        <v>10</v>
      </c>
      <c r="H2896">
        <v>3551.0</v>
      </c>
      <c r="I2896" t="s">
        <v>31</v>
      </c>
      <c r="J2896" t="s">
        <v>37</v>
      </c>
      <c r="K2896" t="s">
        <v>123</v>
      </c>
      <c r="L2896" t="s">
        <v>124</v>
      </c>
      <c r="M2896">
        <v>404.7200000000001</v>
      </c>
    </row>
    <row r="2897">
      <c r="A2897" s="2">
        <v>45531</v>
      </c>
      <c r="B2897">
        <v>2025.0</v>
      </c>
      <c r="C2897" t="s">
        <v>315</v>
      </c>
      <c r="D2897" t="s">
        <v>319</v>
      </c>
      <c r="E2897" t="s">
        <v>62</v>
      </c>
      <c r="F2897" t="s">
        <v>307</v>
      </c>
      <c r="G2897" t="s">
        <v>12</v>
      </c>
      <c r="H2897">
        <v>6530.0</v>
      </c>
      <c r="I2897" t="s">
        <v>31</v>
      </c>
      <c r="J2897" t="s">
        <v>50</v>
      </c>
      <c r="K2897" t="s">
        <v>123</v>
      </c>
      <c r="L2897" t="s">
        <v>124</v>
      </c>
      <c r="M2897">
        <v>405.1</v>
      </c>
    </row>
    <row r="2898">
      <c r="A2898" s="2">
        <v>45883</v>
      </c>
      <c r="B2898">
        <v>2026.0</v>
      </c>
      <c r="C2898" t="s">
        <v>321</v>
      </c>
      <c r="D2898" t="s">
        <v>319</v>
      </c>
      <c r="E2898" t="s">
        <v>118</v>
      </c>
      <c r="F2898" t="s">
        <v>305</v>
      </c>
      <c r="G2898" t="s">
        <v>10</v>
      </c>
      <c r="H2898">
        <v>3076.0</v>
      </c>
      <c r="I2898" t="s">
        <v>31</v>
      </c>
      <c r="J2898" t="s">
        <v>120</v>
      </c>
      <c r="K2898" t="s">
        <v>43</v>
      </c>
      <c r="L2898" t="s">
        <v>44</v>
      </c>
      <c r="M2898">
        <v>405.41999999999996</v>
      </c>
    </row>
    <row r="2899">
      <c r="A2899" s="2">
        <v>45340</v>
      </c>
      <c r="B2899">
        <v>2024.0</v>
      </c>
      <c r="C2899" t="s">
        <v>318</v>
      </c>
      <c r="D2899" t="s">
        <v>319</v>
      </c>
      <c r="E2899" t="s">
        <v>40</v>
      </c>
      <c r="F2899" t="s">
        <v>308</v>
      </c>
      <c r="G2899" t="s">
        <v>13</v>
      </c>
      <c r="H2899">
        <v>5011.0</v>
      </c>
      <c r="I2899" t="s">
        <v>31</v>
      </c>
      <c r="J2899" t="s">
        <v>42</v>
      </c>
      <c r="K2899" t="s">
        <v>46</v>
      </c>
      <c r="L2899" t="s">
        <v>47</v>
      </c>
      <c r="M2899">
        <v>405.67999999999995</v>
      </c>
    </row>
    <row r="2900">
      <c r="A2900" s="2">
        <v>45906</v>
      </c>
      <c r="B2900">
        <v>2026.0</v>
      </c>
      <c r="C2900" t="s">
        <v>321</v>
      </c>
      <c r="D2900" t="s">
        <v>316</v>
      </c>
      <c r="E2900" t="s">
        <v>262</v>
      </c>
      <c r="F2900" t="s">
        <v>305</v>
      </c>
      <c r="G2900" t="s">
        <v>10</v>
      </c>
      <c r="H2900">
        <v>3018.0</v>
      </c>
      <c r="I2900" t="s">
        <v>31</v>
      </c>
      <c r="J2900" t="s">
        <v>120</v>
      </c>
      <c r="K2900" t="s">
        <v>95</v>
      </c>
      <c r="L2900" t="s">
        <v>96</v>
      </c>
      <c r="M2900">
        <v>405.97</v>
      </c>
    </row>
    <row r="2901">
      <c r="A2901" s="2">
        <v>45984</v>
      </c>
      <c r="B2901">
        <v>2026.0</v>
      </c>
      <c r="C2901" t="s">
        <v>321</v>
      </c>
      <c r="D2901" t="s">
        <v>316</v>
      </c>
      <c r="E2901" t="s">
        <v>181</v>
      </c>
      <c r="F2901" t="s">
        <v>306</v>
      </c>
      <c r="G2901" t="s">
        <v>11</v>
      </c>
      <c r="H2901">
        <v>4119.0</v>
      </c>
      <c r="I2901" t="s">
        <v>31</v>
      </c>
      <c r="J2901" t="s">
        <v>56</v>
      </c>
      <c r="K2901" t="s">
        <v>95</v>
      </c>
      <c r="L2901" t="s">
        <v>96</v>
      </c>
      <c r="M2901">
        <v>407.3</v>
      </c>
    </row>
    <row r="2902">
      <c r="A2902" s="2">
        <v>45544</v>
      </c>
      <c r="B2902">
        <v>2025.0</v>
      </c>
      <c r="C2902" t="s">
        <v>315</v>
      </c>
      <c r="D2902" t="s">
        <v>316</v>
      </c>
      <c r="E2902" t="s">
        <v>258</v>
      </c>
      <c r="F2902" t="s">
        <v>309</v>
      </c>
      <c r="G2902" t="s">
        <v>14</v>
      </c>
      <c r="H2902">
        <v>870.0</v>
      </c>
      <c r="I2902" t="s">
        <v>31</v>
      </c>
      <c r="J2902" t="s">
        <v>145</v>
      </c>
      <c r="K2902" t="s">
        <v>46</v>
      </c>
      <c r="L2902" t="s">
        <v>47</v>
      </c>
      <c r="M2902">
        <v>407.71</v>
      </c>
    </row>
    <row r="2903">
      <c r="A2903" s="2">
        <v>45948</v>
      </c>
      <c r="B2903">
        <v>2026.0</v>
      </c>
      <c r="C2903" t="s">
        <v>321</v>
      </c>
      <c r="D2903" t="s">
        <v>319</v>
      </c>
      <c r="E2903" t="s">
        <v>118</v>
      </c>
      <c r="F2903" t="s">
        <v>305</v>
      </c>
      <c r="G2903" t="s">
        <v>10</v>
      </c>
      <c r="H2903">
        <v>3076.0</v>
      </c>
      <c r="I2903" t="s">
        <v>31</v>
      </c>
      <c r="J2903" t="s">
        <v>120</v>
      </c>
      <c r="K2903" t="s">
        <v>43</v>
      </c>
      <c r="L2903" t="s">
        <v>44</v>
      </c>
      <c r="M2903">
        <v>408.49</v>
      </c>
    </row>
    <row r="2904">
      <c r="A2904" s="2">
        <v>45599</v>
      </c>
      <c r="B2904">
        <v>2025.0</v>
      </c>
      <c r="C2904" t="s">
        <v>315</v>
      </c>
      <c r="D2904" t="s">
        <v>316</v>
      </c>
      <c r="E2904" t="s">
        <v>179</v>
      </c>
      <c r="F2904" t="s">
        <v>304</v>
      </c>
      <c r="G2904" t="s">
        <v>9</v>
      </c>
      <c r="H2904">
        <v>2015.0</v>
      </c>
      <c r="I2904" t="s">
        <v>31</v>
      </c>
      <c r="J2904" t="s">
        <v>99</v>
      </c>
      <c r="K2904" t="s">
        <v>43</v>
      </c>
      <c r="L2904" t="s">
        <v>44</v>
      </c>
      <c r="M2904">
        <v>409.29999999999995</v>
      </c>
    </row>
    <row r="2905">
      <c r="A2905" s="2">
        <v>45657</v>
      </c>
      <c r="B2905">
        <v>2025.0</v>
      </c>
      <c r="C2905" t="s">
        <v>315</v>
      </c>
      <c r="D2905" t="s">
        <v>319</v>
      </c>
      <c r="E2905" t="s">
        <v>240</v>
      </c>
      <c r="F2905" t="s">
        <v>310</v>
      </c>
      <c r="G2905" t="s">
        <v>15</v>
      </c>
      <c r="H2905">
        <v>7010.0</v>
      </c>
      <c r="I2905" t="s">
        <v>31</v>
      </c>
      <c r="J2905" t="s">
        <v>53</v>
      </c>
      <c r="K2905" t="s">
        <v>38</v>
      </c>
      <c r="L2905" t="s">
        <v>39</v>
      </c>
      <c r="M2905">
        <v>410.28</v>
      </c>
    </row>
    <row r="2906">
      <c r="A2906" s="2">
        <v>45656</v>
      </c>
      <c r="B2906">
        <v>2025.0</v>
      </c>
      <c r="C2906" t="s">
        <v>315</v>
      </c>
      <c r="D2906" t="s">
        <v>316</v>
      </c>
      <c r="E2906" t="s">
        <v>221</v>
      </c>
      <c r="F2906" t="s">
        <v>306</v>
      </c>
      <c r="G2906" t="s">
        <v>11</v>
      </c>
      <c r="H2906">
        <v>4053.0</v>
      </c>
      <c r="I2906" t="s">
        <v>31</v>
      </c>
      <c r="J2906" t="s">
        <v>56</v>
      </c>
      <c r="K2906" t="s">
        <v>43</v>
      </c>
      <c r="L2906" t="s">
        <v>44</v>
      </c>
      <c r="M2906">
        <v>410.50000000000006</v>
      </c>
    </row>
    <row r="2907">
      <c r="A2907" s="2">
        <v>45387</v>
      </c>
      <c r="B2907">
        <v>2024.0</v>
      </c>
      <c r="C2907" t="s">
        <v>318</v>
      </c>
      <c r="D2907" t="s">
        <v>316</v>
      </c>
      <c r="E2907" t="s">
        <v>51</v>
      </c>
      <c r="F2907" t="s">
        <v>310</v>
      </c>
      <c r="G2907" t="s">
        <v>15</v>
      </c>
      <c r="H2907">
        <v>7018.0</v>
      </c>
      <c r="I2907" t="s">
        <v>31</v>
      </c>
      <c r="J2907" t="s">
        <v>53</v>
      </c>
      <c r="K2907" t="s">
        <v>33</v>
      </c>
      <c r="L2907" t="s">
        <v>34</v>
      </c>
      <c r="M2907">
        <v>411.59000000000003</v>
      </c>
    </row>
    <row r="2908">
      <c r="A2908" s="2">
        <v>45355</v>
      </c>
      <c r="B2908">
        <v>2024.0</v>
      </c>
      <c r="C2908" t="s">
        <v>318</v>
      </c>
      <c r="D2908" t="s">
        <v>316</v>
      </c>
      <c r="E2908" t="s">
        <v>260</v>
      </c>
      <c r="F2908" t="s">
        <v>305</v>
      </c>
      <c r="G2908" t="s">
        <v>10</v>
      </c>
      <c r="H2908">
        <v>3179.0</v>
      </c>
      <c r="I2908" t="s">
        <v>31</v>
      </c>
      <c r="J2908" t="s">
        <v>89</v>
      </c>
      <c r="K2908" t="s">
        <v>95</v>
      </c>
      <c r="L2908" t="s">
        <v>96</v>
      </c>
      <c r="M2908">
        <v>411.6</v>
      </c>
    </row>
    <row r="2909">
      <c r="A2909" s="2">
        <v>45385</v>
      </c>
      <c r="B2909">
        <v>2024.0</v>
      </c>
      <c r="C2909" t="s">
        <v>318</v>
      </c>
      <c r="D2909" t="s">
        <v>316</v>
      </c>
      <c r="E2909" t="s">
        <v>59</v>
      </c>
      <c r="F2909" t="s">
        <v>306</v>
      </c>
      <c r="G2909" t="s">
        <v>11</v>
      </c>
      <c r="H2909">
        <v>4509.0</v>
      </c>
      <c r="I2909" t="s">
        <v>31</v>
      </c>
      <c r="J2909" t="s">
        <v>61</v>
      </c>
      <c r="K2909" t="s">
        <v>46</v>
      </c>
      <c r="L2909" t="s">
        <v>47</v>
      </c>
      <c r="M2909">
        <v>411.78</v>
      </c>
    </row>
    <row r="2910">
      <c r="A2910" s="2">
        <v>45411</v>
      </c>
      <c r="B2910">
        <v>2024.0</v>
      </c>
      <c r="C2910" t="s">
        <v>318</v>
      </c>
      <c r="D2910" t="s">
        <v>316</v>
      </c>
      <c r="E2910" t="s">
        <v>262</v>
      </c>
      <c r="F2910" t="s">
        <v>305</v>
      </c>
      <c r="G2910" t="s">
        <v>10</v>
      </c>
      <c r="H2910">
        <v>3018.0</v>
      </c>
      <c r="I2910" t="s">
        <v>31</v>
      </c>
      <c r="J2910" t="s">
        <v>120</v>
      </c>
      <c r="K2910" t="s">
        <v>123</v>
      </c>
      <c r="L2910" t="s">
        <v>124</v>
      </c>
      <c r="M2910">
        <v>412.1600000000001</v>
      </c>
    </row>
    <row r="2911">
      <c r="A2911" s="2">
        <v>45834</v>
      </c>
      <c r="B2911">
        <v>2025.0</v>
      </c>
      <c r="C2911" t="s">
        <v>315</v>
      </c>
      <c r="D2911" t="s">
        <v>316</v>
      </c>
      <c r="E2911" t="s">
        <v>139</v>
      </c>
      <c r="F2911" t="s">
        <v>305</v>
      </c>
      <c r="G2911" t="s">
        <v>10</v>
      </c>
      <c r="H2911">
        <v>3199.0</v>
      </c>
      <c r="I2911" t="s">
        <v>31</v>
      </c>
      <c r="J2911" t="s">
        <v>89</v>
      </c>
      <c r="K2911" t="s">
        <v>112</v>
      </c>
      <c r="L2911" t="s">
        <v>113</v>
      </c>
      <c r="M2911">
        <v>413.14</v>
      </c>
    </row>
    <row r="2912">
      <c r="A2912" s="2">
        <v>45891</v>
      </c>
      <c r="B2912">
        <v>2026.0</v>
      </c>
      <c r="C2912" t="s">
        <v>321</v>
      </c>
      <c r="D2912" t="s">
        <v>316</v>
      </c>
      <c r="E2912" t="s">
        <v>209</v>
      </c>
      <c r="F2912" t="s">
        <v>304</v>
      </c>
      <c r="G2912" t="s">
        <v>9</v>
      </c>
      <c r="H2912">
        <v>2116.0</v>
      </c>
      <c r="I2912" t="s">
        <v>31</v>
      </c>
      <c r="J2912" t="s">
        <v>81</v>
      </c>
      <c r="K2912" t="s">
        <v>38</v>
      </c>
      <c r="L2912" t="s">
        <v>39</v>
      </c>
      <c r="M2912">
        <v>413.26000000000005</v>
      </c>
    </row>
    <row r="2913">
      <c r="A2913" s="2">
        <v>45686</v>
      </c>
      <c r="B2913">
        <v>2025.0</v>
      </c>
      <c r="C2913" t="s">
        <v>315</v>
      </c>
      <c r="D2913" t="s">
        <v>316</v>
      </c>
      <c r="E2913" t="s">
        <v>230</v>
      </c>
      <c r="F2913" t="s">
        <v>308</v>
      </c>
      <c r="G2913" t="s">
        <v>13</v>
      </c>
      <c r="H2913">
        <v>5290.0</v>
      </c>
      <c r="I2913" t="s">
        <v>31</v>
      </c>
      <c r="J2913" t="s">
        <v>227</v>
      </c>
      <c r="K2913" t="s">
        <v>95</v>
      </c>
      <c r="L2913" t="s">
        <v>96</v>
      </c>
      <c r="M2913">
        <v>413.48</v>
      </c>
    </row>
    <row r="2914">
      <c r="A2914" s="2">
        <v>45706</v>
      </c>
      <c r="B2914">
        <v>2025.0</v>
      </c>
      <c r="C2914" t="s">
        <v>315</v>
      </c>
      <c r="D2914" t="s">
        <v>319</v>
      </c>
      <c r="E2914" t="s">
        <v>234</v>
      </c>
      <c r="F2914" t="s">
        <v>304</v>
      </c>
      <c r="G2914" t="s">
        <v>9</v>
      </c>
      <c r="H2914">
        <v>2158.0</v>
      </c>
      <c r="I2914" t="s">
        <v>31</v>
      </c>
      <c r="J2914" t="s">
        <v>81</v>
      </c>
      <c r="K2914" t="s">
        <v>123</v>
      </c>
      <c r="L2914" t="s">
        <v>124</v>
      </c>
      <c r="M2914">
        <v>414.34000000000003</v>
      </c>
    </row>
    <row r="2915">
      <c r="A2915" s="2">
        <v>45702</v>
      </c>
      <c r="B2915">
        <v>2025.0</v>
      </c>
      <c r="C2915" t="s">
        <v>315</v>
      </c>
      <c r="D2915" t="s">
        <v>316</v>
      </c>
      <c r="E2915" t="s">
        <v>121</v>
      </c>
      <c r="F2915" t="s">
        <v>306</v>
      </c>
      <c r="G2915" t="s">
        <v>11</v>
      </c>
      <c r="H2915">
        <v>4566.0</v>
      </c>
      <c r="I2915" t="s">
        <v>31</v>
      </c>
      <c r="J2915" t="s">
        <v>84</v>
      </c>
      <c r="K2915" t="s">
        <v>95</v>
      </c>
      <c r="L2915" t="s">
        <v>96</v>
      </c>
      <c r="M2915">
        <v>414.75</v>
      </c>
    </row>
    <row r="2916">
      <c r="A2916" s="2">
        <v>45420</v>
      </c>
      <c r="B2916">
        <v>2024.0</v>
      </c>
      <c r="C2916" t="s">
        <v>318</v>
      </c>
      <c r="D2916" t="s">
        <v>316</v>
      </c>
      <c r="E2916" t="s">
        <v>248</v>
      </c>
      <c r="F2916" t="s">
        <v>307</v>
      </c>
      <c r="G2916" t="s">
        <v>12</v>
      </c>
      <c r="H2916">
        <v>6112.0</v>
      </c>
      <c r="I2916" t="s">
        <v>31</v>
      </c>
      <c r="J2916" t="s">
        <v>162</v>
      </c>
      <c r="K2916" t="s">
        <v>123</v>
      </c>
      <c r="L2916" t="s">
        <v>124</v>
      </c>
      <c r="M2916">
        <v>414.84</v>
      </c>
    </row>
    <row r="2917">
      <c r="A2917" s="2">
        <v>45319</v>
      </c>
      <c r="B2917">
        <v>2024.0</v>
      </c>
      <c r="C2917" t="s">
        <v>318</v>
      </c>
      <c r="D2917" t="s">
        <v>316</v>
      </c>
      <c r="E2917" t="s">
        <v>167</v>
      </c>
      <c r="F2917" t="s">
        <v>307</v>
      </c>
      <c r="G2917" t="s">
        <v>12</v>
      </c>
      <c r="H2917">
        <v>6030.0</v>
      </c>
      <c r="I2917" t="s">
        <v>31</v>
      </c>
      <c r="J2917" t="s">
        <v>102</v>
      </c>
      <c r="K2917" t="s">
        <v>46</v>
      </c>
      <c r="L2917" t="s">
        <v>47</v>
      </c>
      <c r="M2917">
        <v>415.52</v>
      </c>
    </row>
    <row r="2918">
      <c r="A2918" s="2">
        <v>45904</v>
      </c>
      <c r="B2918">
        <v>2026.0</v>
      </c>
      <c r="C2918" t="s">
        <v>321</v>
      </c>
      <c r="D2918" t="s">
        <v>316</v>
      </c>
      <c r="E2918" t="s">
        <v>97</v>
      </c>
      <c r="F2918" t="s">
        <v>304</v>
      </c>
      <c r="G2918" t="s">
        <v>9</v>
      </c>
      <c r="H2918">
        <v>2067.0</v>
      </c>
      <c r="I2918" t="s">
        <v>31</v>
      </c>
      <c r="J2918" t="s">
        <v>99</v>
      </c>
      <c r="K2918" t="s">
        <v>71</v>
      </c>
      <c r="L2918" t="s">
        <v>72</v>
      </c>
      <c r="M2918">
        <v>415.68</v>
      </c>
    </row>
    <row r="2919">
      <c r="A2919" s="2">
        <v>45448</v>
      </c>
      <c r="B2919">
        <v>2024.0</v>
      </c>
      <c r="C2919" t="s">
        <v>318</v>
      </c>
      <c r="D2919" t="s">
        <v>319</v>
      </c>
      <c r="E2919" t="s">
        <v>92</v>
      </c>
      <c r="F2919" t="s">
        <v>305</v>
      </c>
      <c r="G2919" t="s">
        <v>10</v>
      </c>
      <c r="H2919">
        <v>3690.0</v>
      </c>
      <c r="I2919" t="s">
        <v>31</v>
      </c>
      <c r="J2919" t="s">
        <v>94</v>
      </c>
      <c r="K2919" t="s">
        <v>46</v>
      </c>
      <c r="L2919" t="s">
        <v>47</v>
      </c>
      <c r="M2919">
        <v>415.96000000000004</v>
      </c>
    </row>
    <row r="2920">
      <c r="A2920" s="2">
        <v>45731</v>
      </c>
      <c r="B2920">
        <v>2025.0</v>
      </c>
      <c r="C2920" t="s">
        <v>315</v>
      </c>
      <c r="D2920" t="s">
        <v>319</v>
      </c>
      <c r="E2920" t="s">
        <v>250</v>
      </c>
      <c r="F2920" t="s">
        <v>305</v>
      </c>
      <c r="G2920" t="s">
        <v>10</v>
      </c>
      <c r="H2920">
        <v>3550.0</v>
      </c>
      <c r="I2920" t="s">
        <v>31</v>
      </c>
      <c r="J2920" t="s">
        <v>37</v>
      </c>
      <c r="K2920" t="s">
        <v>112</v>
      </c>
      <c r="L2920" t="s">
        <v>113</v>
      </c>
      <c r="M2920">
        <v>417.07000000000005</v>
      </c>
    </row>
    <row r="2921">
      <c r="A2921" s="2">
        <v>45586</v>
      </c>
      <c r="B2921">
        <v>2025.0</v>
      </c>
      <c r="C2921" t="s">
        <v>315</v>
      </c>
      <c r="D2921" t="s">
        <v>316</v>
      </c>
      <c r="E2921" t="s">
        <v>201</v>
      </c>
      <c r="F2921" t="s">
        <v>305</v>
      </c>
      <c r="G2921" t="s">
        <v>10</v>
      </c>
      <c r="H2921">
        <v>3131.0</v>
      </c>
      <c r="I2921" t="s">
        <v>31</v>
      </c>
      <c r="J2921" t="s">
        <v>89</v>
      </c>
      <c r="K2921" t="s">
        <v>57</v>
      </c>
      <c r="L2921" t="s">
        <v>58</v>
      </c>
      <c r="M2921">
        <v>417.98</v>
      </c>
    </row>
    <row r="2922">
      <c r="A2922" s="2">
        <v>45593</v>
      </c>
      <c r="B2922">
        <v>2025.0</v>
      </c>
      <c r="C2922" t="s">
        <v>315</v>
      </c>
      <c r="D2922" t="s">
        <v>316</v>
      </c>
      <c r="E2922" t="s">
        <v>82</v>
      </c>
      <c r="F2922" t="s">
        <v>306</v>
      </c>
      <c r="G2922" t="s">
        <v>11</v>
      </c>
      <c r="H2922">
        <v>4558.0</v>
      </c>
      <c r="I2922" t="s">
        <v>31</v>
      </c>
      <c r="J2922" t="s">
        <v>84</v>
      </c>
      <c r="K2922" t="s">
        <v>112</v>
      </c>
      <c r="L2922" t="s">
        <v>113</v>
      </c>
      <c r="M2922">
        <v>418.53999999999996</v>
      </c>
    </row>
    <row r="2923">
      <c r="A2923" s="2">
        <v>45615</v>
      </c>
      <c r="B2923">
        <v>2025.0</v>
      </c>
      <c r="C2923" t="s">
        <v>315</v>
      </c>
      <c r="D2923" t="s">
        <v>316</v>
      </c>
      <c r="E2923" t="s">
        <v>246</v>
      </c>
      <c r="F2923" t="s">
        <v>305</v>
      </c>
      <c r="G2923" t="s">
        <v>10</v>
      </c>
      <c r="H2923">
        <v>3551.0</v>
      </c>
      <c r="I2923" t="s">
        <v>31</v>
      </c>
      <c r="J2923" t="s">
        <v>37</v>
      </c>
      <c r="K2923" t="s">
        <v>43</v>
      </c>
      <c r="L2923" t="s">
        <v>44</v>
      </c>
      <c r="M2923">
        <v>419.26000000000005</v>
      </c>
    </row>
    <row r="2924">
      <c r="A2924" s="2">
        <v>45428</v>
      </c>
      <c r="B2924">
        <v>2024.0</v>
      </c>
      <c r="C2924" t="s">
        <v>318</v>
      </c>
      <c r="D2924" t="s">
        <v>316</v>
      </c>
      <c r="E2924" t="s">
        <v>219</v>
      </c>
      <c r="F2924" t="s">
        <v>306</v>
      </c>
      <c r="G2924" t="s">
        <v>11</v>
      </c>
      <c r="H2924">
        <v>4068.0</v>
      </c>
      <c r="I2924" t="s">
        <v>31</v>
      </c>
      <c r="J2924" t="s">
        <v>56</v>
      </c>
      <c r="K2924" t="s">
        <v>95</v>
      </c>
      <c r="L2924" t="s">
        <v>96</v>
      </c>
      <c r="M2924">
        <v>419.45</v>
      </c>
    </row>
    <row r="2925">
      <c r="A2925" s="2">
        <v>45750</v>
      </c>
      <c r="B2925">
        <v>2025.0</v>
      </c>
      <c r="C2925" t="s">
        <v>315</v>
      </c>
      <c r="D2925" t="s">
        <v>316</v>
      </c>
      <c r="E2925" t="s">
        <v>129</v>
      </c>
      <c r="F2925" t="s">
        <v>305</v>
      </c>
      <c r="G2925" t="s">
        <v>10</v>
      </c>
      <c r="H2925">
        <v>3066.0</v>
      </c>
      <c r="I2925" t="s">
        <v>31</v>
      </c>
      <c r="J2925" t="s">
        <v>120</v>
      </c>
      <c r="K2925" t="s">
        <v>43</v>
      </c>
      <c r="L2925" t="s">
        <v>44</v>
      </c>
      <c r="M2925">
        <v>419.62</v>
      </c>
    </row>
    <row r="2926">
      <c r="A2926" s="2">
        <v>46012</v>
      </c>
      <c r="B2926">
        <v>2026.0</v>
      </c>
      <c r="C2926" t="s">
        <v>321</v>
      </c>
      <c r="D2926" t="s">
        <v>319</v>
      </c>
      <c r="E2926" t="s">
        <v>228</v>
      </c>
      <c r="F2926" t="s">
        <v>306</v>
      </c>
      <c r="G2926" t="s">
        <v>11</v>
      </c>
      <c r="H2926">
        <v>4680.0</v>
      </c>
      <c r="I2926" t="s">
        <v>31</v>
      </c>
      <c r="J2926" t="s">
        <v>32</v>
      </c>
      <c r="K2926" t="s">
        <v>38</v>
      </c>
      <c r="L2926" t="s">
        <v>39</v>
      </c>
      <c r="M2926">
        <v>420.28</v>
      </c>
    </row>
    <row r="2927">
      <c r="A2927" s="2">
        <v>45857</v>
      </c>
      <c r="B2927">
        <v>2026.0</v>
      </c>
      <c r="C2927" t="s">
        <v>321</v>
      </c>
      <c r="D2927" t="s">
        <v>316</v>
      </c>
      <c r="E2927" t="s">
        <v>73</v>
      </c>
      <c r="F2927" t="s">
        <v>304</v>
      </c>
      <c r="G2927" t="s">
        <v>9</v>
      </c>
      <c r="H2927">
        <v>2750.0</v>
      </c>
      <c r="I2927" t="s">
        <v>31</v>
      </c>
      <c r="J2927" t="s">
        <v>75</v>
      </c>
      <c r="K2927" t="s">
        <v>123</v>
      </c>
      <c r="L2927" t="s">
        <v>124</v>
      </c>
      <c r="M2927">
        <v>420.39</v>
      </c>
    </row>
    <row r="2928">
      <c r="A2928" s="2">
        <v>45811</v>
      </c>
      <c r="B2928">
        <v>2025.0</v>
      </c>
      <c r="C2928" t="s">
        <v>315</v>
      </c>
      <c r="D2928" t="s">
        <v>316</v>
      </c>
      <c r="E2928" t="s">
        <v>193</v>
      </c>
      <c r="F2928" t="s">
        <v>304</v>
      </c>
      <c r="G2928" t="s">
        <v>9</v>
      </c>
      <c r="H2928">
        <v>2020.0</v>
      </c>
      <c r="I2928" t="s">
        <v>31</v>
      </c>
      <c r="J2928" t="s">
        <v>99</v>
      </c>
      <c r="K2928" t="s">
        <v>43</v>
      </c>
      <c r="L2928" t="s">
        <v>44</v>
      </c>
      <c r="M2928">
        <v>420.66</v>
      </c>
    </row>
    <row r="2929">
      <c r="A2929" s="2">
        <v>45987</v>
      </c>
      <c r="B2929">
        <v>2026.0</v>
      </c>
      <c r="C2929" t="s">
        <v>321</v>
      </c>
      <c r="D2929" t="s">
        <v>316</v>
      </c>
      <c r="E2929" t="s">
        <v>82</v>
      </c>
      <c r="F2929" t="s">
        <v>306</v>
      </c>
      <c r="G2929" t="s">
        <v>11</v>
      </c>
      <c r="H2929">
        <v>4558.0</v>
      </c>
      <c r="I2929" t="s">
        <v>31</v>
      </c>
      <c r="J2929" t="s">
        <v>84</v>
      </c>
      <c r="K2929" t="s">
        <v>95</v>
      </c>
      <c r="L2929" t="s">
        <v>96</v>
      </c>
      <c r="M2929">
        <v>421.01000000000005</v>
      </c>
    </row>
    <row r="2930">
      <c r="A2930" s="2">
        <v>45753</v>
      </c>
      <c r="B2930">
        <v>2025.0</v>
      </c>
      <c r="C2930" t="s">
        <v>315</v>
      </c>
      <c r="D2930" t="s">
        <v>319</v>
      </c>
      <c r="E2930" t="s">
        <v>228</v>
      </c>
      <c r="F2930" t="s">
        <v>306</v>
      </c>
      <c r="G2930" t="s">
        <v>11</v>
      </c>
      <c r="H2930">
        <v>4680.0</v>
      </c>
      <c r="I2930" t="s">
        <v>31</v>
      </c>
      <c r="J2930" t="s">
        <v>32</v>
      </c>
      <c r="K2930" t="s">
        <v>123</v>
      </c>
      <c r="L2930" t="s">
        <v>124</v>
      </c>
      <c r="M2930">
        <v>421.9</v>
      </c>
    </row>
    <row r="2931">
      <c r="A2931" s="2">
        <v>45411</v>
      </c>
      <c r="B2931">
        <v>2024.0</v>
      </c>
      <c r="C2931" t="s">
        <v>318</v>
      </c>
      <c r="D2931" t="s">
        <v>316</v>
      </c>
      <c r="E2931" t="s">
        <v>246</v>
      </c>
      <c r="F2931" t="s">
        <v>305</v>
      </c>
      <c r="G2931" t="s">
        <v>10</v>
      </c>
      <c r="H2931">
        <v>3551.0</v>
      </c>
      <c r="I2931" t="s">
        <v>31</v>
      </c>
      <c r="J2931" t="s">
        <v>37</v>
      </c>
      <c r="K2931" t="s">
        <v>71</v>
      </c>
      <c r="L2931" t="s">
        <v>72</v>
      </c>
      <c r="M2931">
        <v>422.3</v>
      </c>
    </row>
    <row r="2932">
      <c r="A2932" s="2">
        <v>45986</v>
      </c>
      <c r="B2932">
        <v>2026.0</v>
      </c>
      <c r="C2932" t="s">
        <v>321</v>
      </c>
      <c r="D2932" t="s">
        <v>316</v>
      </c>
      <c r="E2932" t="s">
        <v>108</v>
      </c>
      <c r="F2932" t="s">
        <v>304</v>
      </c>
      <c r="G2932" t="s">
        <v>9</v>
      </c>
      <c r="H2932">
        <v>2795.0</v>
      </c>
      <c r="I2932" t="s">
        <v>31</v>
      </c>
      <c r="J2932" t="s">
        <v>75</v>
      </c>
      <c r="K2932" t="s">
        <v>38</v>
      </c>
      <c r="L2932" t="s">
        <v>39</v>
      </c>
      <c r="M2932">
        <v>422.37</v>
      </c>
    </row>
    <row r="2933">
      <c r="A2933" s="2">
        <v>45495</v>
      </c>
      <c r="B2933">
        <v>2025.0</v>
      </c>
      <c r="C2933" t="s">
        <v>315</v>
      </c>
      <c r="D2933" t="s">
        <v>319</v>
      </c>
      <c r="E2933" t="s">
        <v>40</v>
      </c>
      <c r="F2933" t="s">
        <v>308</v>
      </c>
      <c r="G2933" t="s">
        <v>13</v>
      </c>
      <c r="H2933">
        <v>5011.0</v>
      </c>
      <c r="I2933" t="s">
        <v>31</v>
      </c>
      <c r="J2933" t="s">
        <v>42</v>
      </c>
      <c r="K2933" t="s">
        <v>33</v>
      </c>
      <c r="L2933" t="s">
        <v>34</v>
      </c>
      <c r="M2933">
        <v>422.74</v>
      </c>
    </row>
    <row r="2934">
      <c r="A2934" s="2">
        <v>45477</v>
      </c>
      <c r="B2934">
        <v>2025.0</v>
      </c>
      <c r="C2934" t="s">
        <v>315</v>
      </c>
      <c r="D2934" t="s">
        <v>316</v>
      </c>
      <c r="E2934" t="s">
        <v>156</v>
      </c>
      <c r="F2934" t="s">
        <v>304</v>
      </c>
      <c r="G2934" t="s">
        <v>9</v>
      </c>
      <c r="H2934">
        <v>2830.0</v>
      </c>
      <c r="I2934" t="s">
        <v>31</v>
      </c>
      <c r="J2934" t="s">
        <v>75</v>
      </c>
      <c r="K2934" t="s">
        <v>95</v>
      </c>
      <c r="L2934" t="s">
        <v>96</v>
      </c>
      <c r="M2934">
        <v>423.90999999999997</v>
      </c>
    </row>
    <row r="2935">
      <c r="A2935" s="2">
        <v>45452</v>
      </c>
      <c r="B2935">
        <v>2024.0</v>
      </c>
      <c r="C2935" t="s">
        <v>318</v>
      </c>
      <c r="D2935" t="s">
        <v>319</v>
      </c>
      <c r="E2935" t="s">
        <v>29</v>
      </c>
      <c r="F2935" t="s">
        <v>306</v>
      </c>
      <c r="G2935" t="s">
        <v>11</v>
      </c>
      <c r="H2935">
        <v>4703.0</v>
      </c>
      <c r="I2935" t="s">
        <v>31</v>
      </c>
      <c r="J2935" t="s">
        <v>32</v>
      </c>
      <c r="K2935" t="s">
        <v>71</v>
      </c>
      <c r="L2935" t="s">
        <v>72</v>
      </c>
      <c r="M2935">
        <v>425.11</v>
      </c>
    </row>
    <row r="2936">
      <c r="A2936" s="2">
        <v>45305</v>
      </c>
      <c r="B2936">
        <v>2024.0</v>
      </c>
      <c r="C2936" t="s">
        <v>318</v>
      </c>
      <c r="D2936" t="s">
        <v>316</v>
      </c>
      <c r="E2936" t="s">
        <v>173</v>
      </c>
      <c r="F2936" t="s">
        <v>306</v>
      </c>
      <c r="G2936" t="s">
        <v>11</v>
      </c>
      <c r="H2936">
        <v>4220.0</v>
      </c>
      <c r="I2936" t="s">
        <v>31</v>
      </c>
      <c r="J2936" t="s">
        <v>61</v>
      </c>
      <c r="K2936" t="s">
        <v>71</v>
      </c>
      <c r="L2936" t="s">
        <v>72</v>
      </c>
      <c r="M2936">
        <v>425.46999999999997</v>
      </c>
    </row>
    <row r="2937">
      <c r="A2937" s="2">
        <v>45865</v>
      </c>
      <c r="B2937">
        <v>2026.0</v>
      </c>
      <c r="C2937" t="s">
        <v>321</v>
      </c>
      <c r="D2937" t="s">
        <v>316</v>
      </c>
      <c r="E2937" t="s">
        <v>100</v>
      </c>
      <c r="F2937" t="s">
        <v>307</v>
      </c>
      <c r="G2937" t="s">
        <v>12</v>
      </c>
      <c r="H2937">
        <v>6010.0</v>
      </c>
      <c r="I2937" t="s">
        <v>31</v>
      </c>
      <c r="J2937" t="s">
        <v>102</v>
      </c>
      <c r="K2937" t="s">
        <v>123</v>
      </c>
      <c r="L2937" t="s">
        <v>124</v>
      </c>
      <c r="M2937">
        <v>425.74</v>
      </c>
    </row>
    <row r="2938">
      <c r="A2938" s="2">
        <v>45408</v>
      </c>
      <c r="B2938">
        <v>2024.0</v>
      </c>
      <c r="C2938" t="s">
        <v>318</v>
      </c>
      <c r="D2938" t="s">
        <v>319</v>
      </c>
      <c r="E2938" t="s">
        <v>131</v>
      </c>
      <c r="F2938" t="s">
        <v>306</v>
      </c>
      <c r="G2938" t="s">
        <v>11</v>
      </c>
      <c r="H2938">
        <v>4655.0</v>
      </c>
      <c r="I2938" t="s">
        <v>31</v>
      </c>
      <c r="J2938" t="s">
        <v>32</v>
      </c>
      <c r="K2938" t="s">
        <v>123</v>
      </c>
      <c r="L2938" t="s">
        <v>124</v>
      </c>
      <c r="M2938">
        <v>425.7699999999999</v>
      </c>
    </row>
    <row r="2939">
      <c r="A2939" s="2">
        <v>45329</v>
      </c>
      <c r="B2939">
        <v>2024.0</v>
      </c>
      <c r="C2939" t="s">
        <v>318</v>
      </c>
      <c r="D2939" t="s">
        <v>316</v>
      </c>
      <c r="E2939" t="s">
        <v>35</v>
      </c>
      <c r="F2939" t="s">
        <v>305</v>
      </c>
      <c r="G2939" t="s">
        <v>10</v>
      </c>
      <c r="H2939">
        <v>3280.0</v>
      </c>
      <c r="I2939" t="s">
        <v>31</v>
      </c>
      <c r="J2939" t="s">
        <v>37</v>
      </c>
      <c r="K2939" t="s">
        <v>33</v>
      </c>
      <c r="L2939" t="s">
        <v>34</v>
      </c>
      <c r="M2939">
        <v>427.52000000000004</v>
      </c>
    </row>
    <row r="2940">
      <c r="A2940" s="2">
        <v>45484</v>
      </c>
      <c r="B2940">
        <v>2025.0</v>
      </c>
      <c r="C2940" t="s">
        <v>315</v>
      </c>
      <c r="D2940" t="s">
        <v>316</v>
      </c>
      <c r="E2940" t="s">
        <v>211</v>
      </c>
      <c r="F2940" t="s">
        <v>304</v>
      </c>
      <c r="G2940" t="s">
        <v>9</v>
      </c>
      <c r="H2940">
        <v>2650.0</v>
      </c>
      <c r="I2940" t="s">
        <v>31</v>
      </c>
      <c r="J2940" t="s">
        <v>75</v>
      </c>
      <c r="K2940" t="s">
        <v>57</v>
      </c>
      <c r="L2940" t="s">
        <v>58</v>
      </c>
      <c r="M2940">
        <v>427.56000000000006</v>
      </c>
    </row>
    <row r="2941">
      <c r="A2941" s="2">
        <v>45525</v>
      </c>
      <c r="B2941">
        <v>2025.0</v>
      </c>
      <c r="C2941" t="s">
        <v>315</v>
      </c>
      <c r="D2941" t="s">
        <v>316</v>
      </c>
      <c r="E2941" t="s">
        <v>100</v>
      </c>
      <c r="F2941" t="s">
        <v>307</v>
      </c>
      <c r="G2941" t="s">
        <v>12</v>
      </c>
      <c r="H2941">
        <v>6010.0</v>
      </c>
      <c r="I2941" t="s">
        <v>31</v>
      </c>
      <c r="J2941" t="s">
        <v>102</v>
      </c>
      <c r="K2941" t="s">
        <v>71</v>
      </c>
      <c r="L2941" t="s">
        <v>72</v>
      </c>
      <c r="M2941">
        <v>427.57</v>
      </c>
    </row>
    <row r="2942">
      <c r="A2942" s="2">
        <v>45614</v>
      </c>
      <c r="B2942">
        <v>2025.0</v>
      </c>
      <c r="C2942" t="s">
        <v>315</v>
      </c>
      <c r="D2942" t="s">
        <v>316</v>
      </c>
      <c r="E2942" t="s">
        <v>219</v>
      </c>
      <c r="F2942" t="s">
        <v>306</v>
      </c>
      <c r="G2942" t="s">
        <v>11</v>
      </c>
      <c r="H2942">
        <v>4068.0</v>
      </c>
      <c r="I2942" t="s">
        <v>31</v>
      </c>
      <c r="J2942" t="s">
        <v>56</v>
      </c>
      <c r="K2942" t="s">
        <v>33</v>
      </c>
      <c r="L2942" t="s">
        <v>34</v>
      </c>
      <c r="M2942">
        <v>427.8299999999999</v>
      </c>
    </row>
    <row r="2943">
      <c r="A2943" s="2">
        <v>45344</v>
      </c>
      <c r="B2943">
        <v>2024.0</v>
      </c>
      <c r="C2943" t="s">
        <v>318</v>
      </c>
      <c r="D2943" t="s">
        <v>316</v>
      </c>
      <c r="E2943" t="s">
        <v>114</v>
      </c>
      <c r="F2943" t="s">
        <v>304</v>
      </c>
      <c r="G2943" t="s">
        <v>9</v>
      </c>
      <c r="H2943">
        <v>2031.0</v>
      </c>
      <c r="I2943" t="s">
        <v>31</v>
      </c>
      <c r="J2943" t="s">
        <v>99</v>
      </c>
      <c r="K2943" t="s">
        <v>123</v>
      </c>
      <c r="L2943" t="s">
        <v>124</v>
      </c>
      <c r="M2943">
        <v>428.13999999999993</v>
      </c>
    </row>
    <row r="2944">
      <c r="A2944" s="2">
        <v>45314</v>
      </c>
      <c r="B2944">
        <v>2024.0</v>
      </c>
      <c r="C2944" t="s">
        <v>318</v>
      </c>
      <c r="D2944" t="s">
        <v>316</v>
      </c>
      <c r="E2944" t="s">
        <v>183</v>
      </c>
      <c r="F2944" t="s">
        <v>304</v>
      </c>
      <c r="G2944" t="s">
        <v>9</v>
      </c>
      <c r="H2944">
        <v>2480.0</v>
      </c>
      <c r="I2944" t="s">
        <v>31</v>
      </c>
      <c r="J2944" t="s">
        <v>70</v>
      </c>
      <c r="K2944" t="s">
        <v>43</v>
      </c>
      <c r="L2944" t="s">
        <v>44</v>
      </c>
      <c r="M2944">
        <v>428.18</v>
      </c>
    </row>
    <row r="2945">
      <c r="A2945" s="2">
        <v>45395</v>
      </c>
      <c r="B2945">
        <v>2024.0</v>
      </c>
      <c r="C2945" t="s">
        <v>318</v>
      </c>
      <c r="D2945" t="s">
        <v>316</v>
      </c>
      <c r="E2945" t="s">
        <v>129</v>
      </c>
      <c r="F2945" t="s">
        <v>305</v>
      </c>
      <c r="G2945" t="s">
        <v>10</v>
      </c>
      <c r="H2945">
        <v>3066.0</v>
      </c>
      <c r="I2945" t="s">
        <v>31</v>
      </c>
      <c r="J2945" t="s">
        <v>120</v>
      </c>
      <c r="K2945" t="s">
        <v>66</v>
      </c>
      <c r="L2945" t="s">
        <v>67</v>
      </c>
      <c r="M2945">
        <v>428.30999999999995</v>
      </c>
    </row>
    <row r="2946">
      <c r="A2946" s="2">
        <v>45996</v>
      </c>
      <c r="B2946">
        <v>2026.0</v>
      </c>
      <c r="C2946" t="s">
        <v>321</v>
      </c>
      <c r="D2946" t="s">
        <v>316</v>
      </c>
      <c r="E2946" t="s">
        <v>150</v>
      </c>
      <c r="F2946" t="s">
        <v>310</v>
      </c>
      <c r="G2946" t="s">
        <v>15</v>
      </c>
      <c r="H2946">
        <v>7250.0</v>
      </c>
      <c r="I2946" t="s">
        <v>31</v>
      </c>
      <c r="J2946" t="s">
        <v>53</v>
      </c>
      <c r="K2946" t="s">
        <v>43</v>
      </c>
      <c r="L2946" t="s">
        <v>44</v>
      </c>
      <c r="M2946">
        <v>428.57</v>
      </c>
    </row>
    <row r="2947">
      <c r="A2947" s="2">
        <v>45360</v>
      </c>
      <c r="B2947">
        <v>2024.0</v>
      </c>
      <c r="C2947" t="s">
        <v>318</v>
      </c>
      <c r="D2947" t="s">
        <v>316</v>
      </c>
      <c r="E2947" t="s">
        <v>152</v>
      </c>
      <c r="F2947" t="s">
        <v>306</v>
      </c>
      <c r="G2947" t="s">
        <v>11</v>
      </c>
      <c r="H2947">
        <v>4305.0</v>
      </c>
      <c r="I2947" t="s">
        <v>31</v>
      </c>
      <c r="J2947" t="s">
        <v>61</v>
      </c>
      <c r="K2947" t="s">
        <v>33</v>
      </c>
      <c r="L2947" t="s">
        <v>34</v>
      </c>
      <c r="M2947">
        <v>428.84</v>
      </c>
    </row>
    <row r="2948">
      <c r="A2948" s="2">
        <v>45444</v>
      </c>
      <c r="B2948">
        <v>2024.0</v>
      </c>
      <c r="C2948" t="s">
        <v>318</v>
      </c>
      <c r="D2948" t="s">
        <v>319</v>
      </c>
      <c r="E2948" t="s">
        <v>143</v>
      </c>
      <c r="F2948" t="s">
        <v>309</v>
      </c>
      <c r="G2948" t="s">
        <v>14</v>
      </c>
      <c r="H2948">
        <v>800.0</v>
      </c>
      <c r="I2948" t="s">
        <v>31</v>
      </c>
      <c r="J2948" t="s">
        <v>145</v>
      </c>
      <c r="K2948" t="s">
        <v>95</v>
      </c>
      <c r="L2948" t="s">
        <v>96</v>
      </c>
      <c r="M2948">
        <v>429.02</v>
      </c>
    </row>
    <row r="2949">
      <c r="A2949" s="2">
        <v>45881</v>
      </c>
      <c r="B2949">
        <v>2026.0</v>
      </c>
      <c r="C2949" t="s">
        <v>321</v>
      </c>
      <c r="D2949" t="s">
        <v>316</v>
      </c>
      <c r="E2949" t="s">
        <v>79</v>
      </c>
      <c r="F2949" t="s">
        <v>304</v>
      </c>
      <c r="G2949" t="s">
        <v>9</v>
      </c>
      <c r="H2949">
        <v>2141.0</v>
      </c>
      <c r="I2949" t="s">
        <v>31</v>
      </c>
      <c r="J2949" t="s">
        <v>81</v>
      </c>
      <c r="K2949" t="s">
        <v>38</v>
      </c>
      <c r="L2949" t="s">
        <v>39</v>
      </c>
      <c r="M2949">
        <v>429.35</v>
      </c>
    </row>
    <row r="2950">
      <c r="A2950" s="2">
        <v>45518</v>
      </c>
      <c r="B2950">
        <v>2025.0</v>
      </c>
      <c r="C2950" t="s">
        <v>315</v>
      </c>
      <c r="D2950" t="s">
        <v>316</v>
      </c>
      <c r="E2950" t="s">
        <v>137</v>
      </c>
      <c r="F2950" t="s">
        <v>305</v>
      </c>
      <c r="G2950" t="s">
        <v>10</v>
      </c>
      <c r="H2950">
        <v>3134.0</v>
      </c>
      <c r="I2950" t="s">
        <v>31</v>
      </c>
      <c r="J2950" t="s">
        <v>89</v>
      </c>
      <c r="K2950" t="s">
        <v>71</v>
      </c>
      <c r="L2950" t="s">
        <v>72</v>
      </c>
      <c r="M2950">
        <v>430.63</v>
      </c>
    </row>
    <row r="2951">
      <c r="A2951" s="2">
        <v>45641</v>
      </c>
      <c r="B2951">
        <v>2025.0</v>
      </c>
      <c r="C2951" t="s">
        <v>315</v>
      </c>
      <c r="D2951" t="s">
        <v>316</v>
      </c>
      <c r="E2951" t="s">
        <v>248</v>
      </c>
      <c r="F2951" t="s">
        <v>307</v>
      </c>
      <c r="G2951" t="s">
        <v>12</v>
      </c>
      <c r="H2951">
        <v>6112.0</v>
      </c>
      <c r="I2951" t="s">
        <v>31</v>
      </c>
      <c r="J2951" t="s">
        <v>162</v>
      </c>
      <c r="K2951" t="s">
        <v>57</v>
      </c>
      <c r="L2951" t="s">
        <v>58</v>
      </c>
      <c r="M2951">
        <v>430.81000000000006</v>
      </c>
    </row>
    <row r="2952">
      <c r="A2952" s="2">
        <v>45442</v>
      </c>
      <c r="B2952">
        <v>2024.0</v>
      </c>
      <c r="C2952" t="s">
        <v>318</v>
      </c>
      <c r="D2952" t="s">
        <v>316</v>
      </c>
      <c r="E2952" t="s">
        <v>185</v>
      </c>
      <c r="F2952" t="s">
        <v>307</v>
      </c>
      <c r="G2952" t="s">
        <v>12</v>
      </c>
      <c r="H2952">
        <v>6109.0</v>
      </c>
      <c r="I2952" t="s">
        <v>31</v>
      </c>
      <c r="J2952" t="s">
        <v>162</v>
      </c>
      <c r="K2952" t="s">
        <v>95</v>
      </c>
      <c r="L2952" t="s">
        <v>96</v>
      </c>
      <c r="M2952">
        <v>431.25</v>
      </c>
    </row>
    <row r="2953">
      <c r="A2953" s="2">
        <v>45405</v>
      </c>
      <c r="B2953">
        <v>2024.0</v>
      </c>
      <c r="C2953" t="s">
        <v>318</v>
      </c>
      <c r="D2953" t="s">
        <v>316</v>
      </c>
      <c r="E2953" t="s">
        <v>79</v>
      </c>
      <c r="F2953" t="s">
        <v>304</v>
      </c>
      <c r="G2953" t="s">
        <v>9</v>
      </c>
      <c r="H2953">
        <v>2141.0</v>
      </c>
      <c r="I2953" t="s">
        <v>31</v>
      </c>
      <c r="J2953" t="s">
        <v>81</v>
      </c>
      <c r="K2953" t="s">
        <v>33</v>
      </c>
      <c r="L2953" t="s">
        <v>34</v>
      </c>
      <c r="M2953">
        <v>431.38000000000005</v>
      </c>
    </row>
    <row r="2954">
      <c r="A2954" s="2">
        <v>46011</v>
      </c>
      <c r="B2954">
        <v>2026.0</v>
      </c>
      <c r="C2954" t="s">
        <v>321</v>
      </c>
      <c r="D2954" t="s">
        <v>316</v>
      </c>
      <c r="E2954" t="s">
        <v>193</v>
      </c>
      <c r="F2954" t="s">
        <v>304</v>
      </c>
      <c r="G2954" t="s">
        <v>9</v>
      </c>
      <c r="H2954">
        <v>2020.0</v>
      </c>
      <c r="I2954" t="s">
        <v>31</v>
      </c>
      <c r="J2954" t="s">
        <v>99</v>
      </c>
      <c r="K2954" t="s">
        <v>43</v>
      </c>
      <c r="L2954" t="s">
        <v>44</v>
      </c>
      <c r="M2954">
        <v>432.34000000000003</v>
      </c>
    </row>
    <row r="2955">
      <c r="A2955" s="2">
        <v>45586</v>
      </c>
      <c r="B2955">
        <v>2025.0</v>
      </c>
      <c r="C2955" t="s">
        <v>315</v>
      </c>
      <c r="D2955" t="s">
        <v>316</v>
      </c>
      <c r="E2955" t="s">
        <v>187</v>
      </c>
      <c r="F2955" t="s">
        <v>306</v>
      </c>
      <c r="G2955" t="s">
        <v>11</v>
      </c>
      <c r="H2955">
        <v>4870.0</v>
      </c>
      <c r="I2955" t="s">
        <v>31</v>
      </c>
      <c r="J2955" t="s">
        <v>78</v>
      </c>
      <c r="K2955" t="s">
        <v>95</v>
      </c>
      <c r="L2955" t="s">
        <v>96</v>
      </c>
      <c r="M2955">
        <v>432.5</v>
      </c>
    </row>
    <row r="2956">
      <c r="A2956" s="2">
        <v>45865</v>
      </c>
      <c r="B2956">
        <v>2026.0</v>
      </c>
      <c r="C2956" t="s">
        <v>321</v>
      </c>
      <c r="D2956" t="s">
        <v>316</v>
      </c>
      <c r="E2956" t="s">
        <v>139</v>
      </c>
      <c r="F2956" t="s">
        <v>305</v>
      </c>
      <c r="G2956" t="s">
        <v>10</v>
      </c>
      <c r="H2956">
        <v>3199.0</v>
      </c>
      <c r="I2956" t="s">
        <v>31</v>
      </c>
      <c r="J2956" t="s">
        <v>89</v>
      </c>
      <c r="K2956" t="s">
        <v>95</v>
      </c>
      <c r="L2956" t="s">
        <v>96</v>
      </c>
      <c r="M2956">
        <v>432.91</v>
      </c>
    </row>
    <row r="2957">
      <c r="A2957" s="2">
        <v>45876</v>
      </c>
      <c r="B2957">
        <v>2026.0</v>
      </c>
      <c r="C2957" t="s">
        <v>321</v>
      </c>
      <c r="D2957" t="s">
        <v>316</v>
      </c>
      <c r="E2957" t="s">
        <v>177</v>
      </c>
      <c r="F2957" t="s">
        <v>307</v>
      </c>
      <c r="G2957" t="s">
        <v>12</v>
      </c>
      <c r="H2957">
        <v>6330.0</v>
      </c>
      <c r="I2957" t="s">
        <v>31</v>
      </c>
      <c r="J2957" t="s">
        <v>162</v>
      </c>
      <c r="K2957" t="s">
        <v>112</v>
      </c>
      <c r="L2957" t="s">
        <v>113</v>
      </c>
      <c r="M2957">
        <v>433.0</v>
      </c>
    </row>
    <row r="2958">
      <c r="A2958" s="2">
        <v>45372</v>
      </c>
      <c r="B2958">
        <v>2024.0</v>
      </c>
      <c r="C2958" t="s">
        <v>318</v>
      </c>
      <c r="D2958" t="s">
        <v>316</v>
      </c>
      <c r="E2958" t="s">
        <v>209</v>
      </c>
      <c r="F2958" t="s">
        <v>304</v>
      </c>
      <c r="G2958" t="s">
        <v>9</v>
      </c>
      <c r="H2958">
        <v>2116.0</v>
      </c>
      <c r="I2958" t="s">
        <v>31</v>
      </c>
      <c r="J2958" t="s">
        <v>81</v>
      </c>
      <c r="K2958" t="s">
        <v>46</v>
      </c>
      <c r="L2958" t="s">
        <v>47</v>
      </c>
      <c r="M2958">
        <v>433.03999999999996</v>
      </c>
    </row>
    <row r="2959">
      <c r="A2959" s="2">
        <v>45918</v>
      </c>
      <c r="B2959">
        <v>2026.0</v>
      </c>
      <c r="C2959" t="s">
        <v>321</v>
      </c>
      <c r="D2959" t="s">
        <v>319</v>
      </c>
      <c r="E2959" t="s">
        <v>234</v>
      </c>
      <c r="F2959" t="s">
        <v>304</v>
      </c>
      <c r="G2959" t="s">
        <v>9</v>
      </c>
      <c r="H2959">
        <v>2158.0</v>
      </c>
      <c r="I2959" t="s">
        <v>31</v>
      </c>
      <c r="J2959" t="s">
        <v>81</v>
      </c>
      <c r="K2959" t="s">
        <v>46</v>
      </c>
      <c r="L2959" t="s">
        <v>47</v>
      </c>
      <c r="M2959">
        <v>433.6</v>
      </c>
    </row>
    <row r="2960">
      <c r="A2960" s="2">
        <v>45312</v>
      </c>
      <c r="B2960">
        <v>2024.0</v>
      </c>
      <c r="C2960" t="s">
        <v>318</v>
      </c>
      <c r="D2960" t="s">
        <v>316</v>
      </c>
      <c r="E2960" t="s">
        <v>179</v>
      </c>
      <c r="F2960" t="s">
        <v>304</v>
      </c>
      <c r="G2960" t="s">
        <v>9</v>
      </c>
      <c r="H2960">
        <v>2015.0</v>
      </c>
      <c r="I2960" t="s">
        <v>31</v>
      </c>
      <c r="J2960" t="s">
        <v>99</v>
      </c>
      <c r="K2960" t="s">
        <v>46</v>
      </c>
      <c r="L2960" t="s">
        <v>47</v>
      </c>
      <c r="M2960">
        <v>435.28999999999996</v>
      </c>
    </row>
    <row r="2961">
      <c r="A2961" s="2">
        <v>45643</v>
      </c>
      <c r="B2961">
        <v>2025.0</v>
      </c>
      <c r="C2961" t="s">
        <v>315</v>
      </c>
      <c r="D2961" t="s">
        <v>319</v>
      </c>
      <c r="E2961" t="s">
        <v>217</v>
      </c>
      <c r="F2961" t="s">
        <v>305</v>
      </c>
      <c r="G2961" t="s">
        <v>10</v>
      </c>
      <c r="H2961">
        <v>3136.0</v>
      </c>
      <c r="I2961" t="s">
        <v>31</v>
      </c>
      <c r="J2961" t="s">
        <v>89</v>
      </c>
      <c r="K2961" t="s">
        <v>95</v>
      </c>
      <c r="L2961" t="s">
        <v>96</v>
      </c>
      <c r="M2961">
        <v>435.35</v>
      </c>
    </row>
    <row r="2962">
      <c r="A2962" s="2">
        <v>45834</v>
      </c>
      <c r="B2962">
        <v>2025.0</v>
      </c>
      <c r="C2962" t="s">
        <v>315</v>
      </c>
      <c r="D2962" t="s">
        <v>316</v>
      </c>
      <c r="E2962" t="s">
        <v>82</v>
      </c>
      <c r="F2962" t="s">
        <v>306</v>
      </c>
      <c r="G2962" t="s">
        <v>11</v>
      </c>
      <c r="H2962">
        <v>4558.0</v>
      </c>
      <c r="I2962" t="s">
        <v>31</v>
      </c>
      <c r="J2962" t="s">
        <v>84</v>
      </c>
      <c r="K2962" t="s">
        <v>38</v>
      </c>
      <c r="L2962" t="s">
        <v>39</v>
      </c>
      <c r="M2962">
        <v>435.52</v>
      </c>
    </row>
    <row r="2963">
      <c r="A2963" s="2">
        <v>45616</v>
      </c>
      <c r="B2963">
        <v>2025.0</v>
      </c>
      <c r="C2963" t="s">
        <v>315</v>
      </c>
      <c r="D2963" t="s">
        <v>316</v>
      </c>
      <c r="E2963" t="s">
        <v>209</v>
      </c>
      <c r="F2963" t="s">
        <v>304</v>
      </c>
      <c r="G2963" t="s">
        <v>9</v>
      </c>
      <c r="H2963">
        <v>2116.0</v>
      </c>
      <c r="I2963" t="s">
        <v>31</v>
      </c>
      <c r="J2963" t="s">
        <v>81</v>
      </c>
      <c r="K2963" t="s">
        <v>43</v>
      </c>
      <c r="L2963" t="s">
        <v>44</v>
      </c>
      <c r="M2963">
        <v>435.71</v>
      </c>
    </row>
    <row r="2964">
      <c r="A2964" s="2">
        <v>45822</v>
      </c>
      <c r="B2964">
        <v>2025.0</v>
      </c>
      <c r="C2964" t="s">
        <v>315</v>
      </c>
      <c r="D2964" t="s">
        <v>319</v>
      </c>
      <c r="E2964" t="s">
        <v>250</v>
      </c>
      <c r="F2964" t="s">
        <v>305</v>
      </c>
      <c r="G2964" t="s">
        <v>10</v>
      </c>
      <c r="H2964">
        <v>3550.0</v>
      </c>
      <c r="I2964" t="s">
        <v>31</v>
      </c>
      <c r="J2964" t="s">
        <v>37</v>
      </c>
      <c r="K2964" t="s">
        <v>43</v>
      </c>
      <c r="L2964" t="s">
        <v>44</v>
      </c>
      <c r="M2964">
        <v>436.11</v>
      </c>
    </row>
    <row r="2965">
      <c r="A2965" s="2">
        <v>45862</v>
      </c>
      <c r="B2965">
        <v>2026.0</v>
      </c>
      <c r="C2965" t="s">
        <v>321</v>
      </c>
      <c r="D2965" t="s">
        <v>319</v>
      </c>
      <c r="E2965" t="s">
        <v>228</v>
      </c>
      <c r="F2965" t="s">
        <v>306</v>
      </c>
      <c r="G2965" t="s">
        <v>11</v>
      </c>
      <c r="H2965">
        <v>4680.0</v>
      </c>
      <c r="I2965" t="s">
        <v>31</v>
      </c>
      <c r="J2965" t="s">
        <v>32</v>
      </c>
      <c r="K2965" t="s">
        <v>71</v>
      </c>
      <c r="L2965" t="s">
        <v>72</v>
      </c>
      <c r="M2965">
        <v>436.96000000000004</v>
      </c>
    </row>
    <row r="2966">
      <c r="A2966" s="2">
        <v>45665</v>
      </c>
      <c r="B2966">
        <v>2025.0</v>
      </c>
      <c r="C2966" t="s">
        <v>315</v>
      </c>
      <c r="D2966" t="s">
        <v>316</v>
      </c>
      <c r="E2966" t="s">
        <v>135</v>
      </c>
      <c r="F2966" t="s">
        <v>311</v>
      </c>
      <c r="G2966" t="s">
        <v>16</v>
      </c>
      <c r="H2966">
        <v>2609.0</v>
      </c>
      <c r="I2966" t="s">
        <v>31</v>
      </c>
      <c r="J2966" t="s">
        <v>107</v>
      </c>
      <c r="K2966" t="s">
        <v>123</v>
      </c>
      <c r="L2966" t="s">
        <v>124</v>
      </c>
      <c r="M2966">
        <v>437.61</v>
      </c>
    </row>
    <row r="2967">
      <c r="A2967" s="2">
        <v>45341</v>
      </c>
      <c r="B2967">
        <v>2024.0</v>
      </c>
      <c r="C2967" t="s">
        <v>318</v>
      </c>
      <c r="D2967" t="s">
        <v>316</v>
      </c>
      <c r="E2967" t="s">
        <v>230</v>
      </c>
      <c r="F2967" t="s">
        <v>308</v>
      </c>
      <c r="G2967" t="s">
        <v>13</v>
      </c>
      <c r="H2967">
        <v>5290.0</v>
      </c>
      <c r="I2967" t="s">
        <v>31</v>
      </c>
      <c r="J2967" t="s">
        <v>227</v>
      </c>
      <c r="K2967" t="s">
        <v>95</v>
      </c>
      <c r="L2967" t="s">
        <v>96</v>
      </c>
      <c r="M2967">
        <v>438.2099999999999</v>
      </c>
    </row>
    <row r="2968">
      <c r="A2968" s="2">
        <v>45323</v>
      </c>
      <c r="B2968">
        <v>2024.0</v>
      </c>
      <c r="C2968" t="s">
        <v>318</v>
      </c>
      <c r="D2968" t="s">
        <v>316</v>
      </c>
      <c r="E2968" t="s">
        <v>219</v>
      </c>
      <c r="F2968" t="s">
        <v>306</v>
      </c>
      <c r="G2968" t="s">
        <v>11</v>
      </c>
      <c r="H2968">
        <v>4068.0</v>
      </c>
      <c r="I2968" t="s">
        <v>31</v>
      </c>
      <c r="J2968" t="s">
        <v>56</v>
      </c>
      <c r="K2968" t="s">
        <v>38</v>
      </c>
      <c r="L2968" t="s">
        <v>39</v>
      </c>
      <c r="M2968">
        <v>439.62</v>
      </c>
    </row>
    <row r="2969">
      <c r="A2969" s="2">
        <v>45441</v>
      </c>
      <c r="B2969">
        <v>2024.0</v>
      </c>
      <c r="C2969" t="s">
        <v>318</v>
      </c>
      <c r="D2969" t="s">
        <v>316</v>
      </c>
      <c r="E2969" t="s">
        <v>150</v>
      </c>
      <c r="F2969" t="s">
        <v>310</v>
      </c>
      <c r="G2969" t="s">
        <v>15</v>
      </c>
      <c r="H2969">
        <v>7250.0</v>
      </c>
      <c r="I2969" t="s">
        <v>31</v>
      </c>
      <c r="J2969" t="s">
        <v>53</v>
      </c>
      <c r="K2969" t="s">
        <v>112</v>
      </c>
      <c r="L2969" t="s">
        <v>113</v>
      </c>
      <c r="M2969">
        <v>440.28999999999996</v>
      </c>
    </row>
    <row r="2970">
      <c r="A2970" s="2">
        <v>45878</v>
      </c>
      <c r="B2970">
        <v>2026.0</v>
      </c>
      <c r="C2970" t="s">
        <v>321</v>
      </c>
      <c r="D2970" t="s">
        <v>316</v>
      </c>
      <c r="E2970" t="s">
        <v>193</v>
      </c>
      <c r="F2970" t="s">
        <v>304</v>
      </c>
      <c r="G2970" t="s">
        <v>9</v>
      </c>
      <c r="H2970">
        <v>2020.0</v>
      </c>
      <c r="I2970" t="s">
        <v>31</v>
      </c>
      <c r="J2970" t="s">
        <v>99</v>
      </c>
      <c r="K2970" t="s">
        <v>33</v>
      </c>
      <c r="L2970" t="s">
        <v>34</v>
      </c>
      <c r="M2970">
        <v>440.3</v>
      </c>
    </row>
    <row r="2971">
      <c r="A2971" s="2">
        <v>45519</v>
      </c>
      <c r="B2971">
        <v>2025.0</v>
      </c>
      <c r="C2971" t="s">
        <v>315</v>
      </c>
      <c r="D2971" t="s">
        <v>319</v>
      </c>
      <c r="E2971" t="s">
        <v>240</v>
      </c>
      <c r="F2971" t="s">
        <v>310</v>
      </c>
      <c r="G2971" t="s">
        <v>15</v>
      </c>
      <c r="H2971">
        <v>7010.0</v>
      </c>
      <c r="I2971" t="s">
        <v>31</v>
      </c>
      <c r="J2971" t="s">
        <v>53</v>
      </c>
      <c r="K2971" t="s">
        <v>123</v>
      </c>
      <c r="L2971" t="s">
        <v>124</v>
      </c>
      <c r="M2971">
        <v>440.39</v>
      </c>
    </row>
    <row r="2972">
      <c r="A2972" s="2">
        <v>45602</v>
      </c>
      <c r="B2972">
        <v>2025.0</v>
      </c>
      <c r="C2972" t="s">
        <v>315</v>
      </c>
      <c r="D2972" t="s">
        <v>316</v>
      </c>
      <c r="E2972" t="s">
        <v>215</v>
      </c>
      <c r="F2972" t="s">
        <v>310</v>
      </c>
      <c r="G2972" t="s">
        <v>15</v>
      </c>
      <c r="H2972">
        <v>7320.0</v>
      </c>
      <c r="I2972" t="s">
        <v>31</v>
      </c>
      <c r="J2972" t="s">
        <v>53</v>
      </c>
      <c r="K2972" t="s">
        <v>71</v>
      </c>
      <c r="L2972" t="s">
        <v>72</v>
      </c>
      <c r="M2972">
        <v>441.41</v>
      </c>
    </row>
    <row r="2973">
      <c r="A2973" s="2">
        <v>45666</v>
      </c>
      <c r="B2973">
        <v>2025.0</v>
      </c>
      <c r="C2973" t="s">
        <v>315</v>
      </c>
      <c r="D2973" t="s">
        <v>316</v>
      </c>
      <c r="E2973" t="s">
        <v>230</v>
      </c>
      <c r="F2973" t="s">
        <v>308</v>
      </c>
      <c r="G2973" t="s">
        <v>13</v>
      </c>
      <c r="H2973">
        <v>5290.0</v>
      </c>
      <c r="I2973" t="s">
        <v>31</v>
      </c>
      <c r="J2973" t="s">
        <v>227</v>
      </c>
      <c r="K2973" t="s">
        <v>46</v>
      </c>
      <c r="L2973" t="s">
        <v>47</v>
      </c>
      <c r="M2973">
        <v>441.67</v>
      </c>
    </row>
    <row r="2974">
      <c r="A2974" s="2">
        <v>45707</v>
      </c>
      <c r="B2974">
        <v>2025.0</v>
      </c>
      <c r="C2974" t="s">
        <v>315</v>
      </c>
      <c r="D2974" t="s">
        <v>316</v>
      </c>
      <c r="E2974" t="s">
        <v>154</v>
      </c>
      <c r="F2974" t="s">
        <v>306</v>
      </c>
      <c r="G2974" t="s">
        <v>11</v>
      </c>
      <c r="H2974">
        <v>4551.0</v>
      </c>
      <c r="I2974" t="s">
        <v>31</v>
      </c>
      <c r="J2974" t="s">
        <v>84</v>
      </c>
      <c r="K2974" t="s">
        <v>33</v>
      </c>
      <c r="L2974" t="s">
        <v>34</v>
      </c>
      <c r="M2974">
        <v>442.54</v>
      </c>
    </row>
    <row r="2975">
      <c r="A2975" s="2">
        <v>45561</v>
      </c>
      <c r="B2975">
        <v>2025.0</v>
      </c>
      <c r="C2975" t="s">
        <v>315</v>
      </c>
      <c r="D2975" t="s">
        <v>316</v>
      </c>
      <c r="E2975" t="s">
        <v>150</v>
      </c>
      <c r="F2975" t="s">
        <v>310</v>
      </c>
      <c r="G2975" t="s">
        <v>15</v>
      </c>
      <c r="H2975">
        <v>7250.0</v>
      </c>
      <c r="I2975" t="s">
        <v>31</v>
      </c>
      <c r="J2975" t="s">
        <v>53</v>
      </c>
      <c r="K2975" t="s">
        <v>71</v>
      </c>
      <c r="L2975" t="s">
        <v>72</v>
      </c>
      <c r="M2975">
        <v>442.94</v>
      </c>
    </row>
    <row r="2976">
      <c r="A2976" s="2">
        <v>45394</v>
      </c>
      <c r="B2976">
        <v>2024.0</v>
      </c>
      <c r="C2976" t="s">
        <v>318</v>
      </c>
      <c r="D2976" t="s">
        <v>316</v>
      </c>
      <c r="E2976" t="s">
        <v>68</v>
      </c>
      <c r="F2976" t="s">
        <v>304</v>
      </c>
      <c r="G2976" t="s">
        <v>9</v>
      </c>
      <c r="H2976">
        <v>2478.0</v>
      </c>
      <c r="I2976" t="s">
        <v>31</v>
      </c>
      <c r="J2976" t="s">
        <v>70</v>
      </c>
      <c r="K2976" t="s">
        <v>43</v>
      </c>
      <c r="L2976" t="s">
        <v>44</v>
      </c>
      <c r="M2976">
        <v>443.18</v>
      </c>
    </row>
    <row r="2977">
      <c r="A2977" s="2">
        <v>45456</v>
      </c>
      <c r="B2977">
        <v>2024.0</v>
      </c>
      <c r="C2977" t="s">
        <v>318</v>
      </c>
      <c r="D2977" t="s">
        <v>316</v>
      </c>
      <c r="E2977" t="s">
        <v>118</v>
      </c>
      <c r="F2977" t="s">
        <v>305</v>
      </c>
      <c r="G2977" t="s">
        <v>10</v>
      </c>
      <c r="H2977">
        <v>3076.0</v>
      </c>
      <c r="I2977" t="s">
        <v>31</v>
      </c>
      <c r="J2977" t="s">
        <v>120</v>
      </c>
      <c r="K2977" t="s">
        <v>38</v>
      </c>
      <c r="L2977" t="s">
        <v>39</v>
      </c>
      <c r="M2977">
        <v>443.37</v>
      </c>
    </row>
    <row r="2978">
      <c r="A2978" s="2">
        <v>45913</v>
      </c>
      <c r="B2978">
        <v>2026.0</v>
      </c>
      <c r="C2978" t="s">
        <v>321</v>
      </c>
      <c r="D2978" t="s">
        <v>316</v>
      </c>
      <c r="E2978" t="s">
        <v>64</v>
      </c>
      <c r="F2978" t="s">
        <v>306</v>
      </c>
      <c r="G2978" t="s">
        <v>11</v>
      </c>
      <c r="H2978">
        <v>4215.0</v>
      </c>
      <c r="I2978" t="s">
        <v>31</v>
      </c>
      <c r="J2978" t="s">
        <v>61</v>
      </c>
      <c r="K2978" t="s">
        <v>43</v>
      </c>
      <c r="L2978" t="s">
        <v>44</v>
      </c>
      <c r="M2978">
        <v>443.53999999999996</v>
      </c>
    </row>
    <row r="2979">
      <c r="A2979" s="2">
        <v>45760</v>
      </c>
      <c r="B2979">
        <v>2025.0</v>
      </c>
      <c r="C2979" t="s">
        <v>315</v>
      </c>
      <c r="D2979" t="s">
        <v>316</v>
      </c>
      <c r="E2979" t="s">
        <v>150</v>
      </c>
      <c r="F2979" t="s">
        <v>310</v>
      </c>
      <c r="G2979" t="s">
        <v>15</v>
      </c>
      <c r="H2979">
        <v>7250.0</v>
      </c>
      <c r="I2979" t="s">
        <v>31</v>
      </c>
      <c r="J2979" t="s">
        <v>53</v>
      </c>
      <c r="K2979" t="s">
        <v>57</v>
      </c>
      <c r="L2979" t="s">
        <v>58</v>
      </c>
      <c r="M2979">
        <v>444.56</v>
      </c>
    </row>
    <row r="2980">
      <c r="A2980" s="2">
        <v>45977</v>
      </c>
      <c r="B2980">
        <v>2026.0</v>
      </c>
      <c r="C2980" t="s">
        <v>321</v>
      </c>
      <c r="D2980" t="s">
        <v>319</v>
      </c>
      <c r="E2980" t="s">
        <v>217</v>
      </c>
      <c r="F2980" t="s">
        <v>305</v>
      </c>
      <c r="G2980" t="s">
        <v>10</v>
      </c>
      <c r="H2980">
        <v>3136.0</v>
      </c>
      <c r="I2980" t="s">
        <v>31</v>
      </c>
      <c r="J2980" t="s">
        <v>89</v>
      </c>
      <c r="K2980" t="s">
        <v>43</v>
      </c>
      <c r="L2980" t="s">
        <v>44</v>
      </c>
      <c r="M2980">
        <v>444.64</v>
      </c>
    </row>
    <row r="2981">
      <c r="A2981" s="2">
        <v>45952</v>
      </c>
      <c r="B2981">
        <v>2026.0</v>
      </c>
      <c r="C2981" t="s">
        <v>321</v>
      </c>
      <c r="D2981" t="s">
        <v>316</v>
      </c>
      <c r="E2981" t="s">
        <v>121</v>
      </c>
      <c r="F2981" t="s">
        <v>306</v>
      </c>
      <c r="G2981" t="s">
        <v>11</v>
      </c>
      <c r="H2981">
        <v>4566.0</v>
      </c>
      <c r="I2981" t="s">
        <v>31</v>
      </c>
      <c r="J2981" t="s">
        <v>84</v>
      </c>
      <c r="K2981" t="s">
        <v>71</v>
      </c>
      <c r="L2981" t="s">
        <v>72</v>
      </c>
      <c r="M2981">
        <v>445.42</v>
      </c>
    </row>
    <row r="2982">
      <c r="A2982" s="2">
        <v>45499</v>
      </c>
      <c r="B2982">
        <v>2025.0</v>
      </c>
      <c r="C2982" t="s">
        <v>315</v>
      </c>
      <c r="D2982" t="s">
        <v>319</v>
      </c>
      <c r="E2982" t="s">
        <v>223</v>
      </c>
      <c r="F2982" t="s">
        <v>305</v>
      </c>
      <c r="G2982" t="s">
        <v>10</v>
      </c>
      <c r="H2982">
        <v>3915.0</v>
      </c>
      <c r="I2982" t="s">
        <v>31</v>
      </c>
      <c r="J2982" t="s">
        <v>94</v>
      </c>
      <c r="K2982" t="s">
        <v>71</v>
      </c>
      <c r="L2982" t="s">
        <v>72</v>
      </c>
      <c r="M2982">
        <v>445.52</v>
      </c>
    </row>
    <row r="2983">
      <c r="A2983" s="2">
        <v>45591</v>
      </c>
      <c r="B2983">
        <v>2025.0</v>
      </c>
      <c r="C2983" t="s">
        <v>315</v>
      </c>
      <c r="D2983" t="s">
        <v>316</v>
      </c>
      <c r="E2983" t="s">
        <v>152</v>
      </c>
      <c r="F2983" t="s">
        <v>306</v>
      </c>
      <c r="G2983" t="s">
        <v>11</v>
      </c>
      <c r="H2983">
        <v>4305.0</v>
      </c>
      <c r="I2983" t="s">
        <v>31</v>
      </c>
      <c r="J2983" t="s">
        <v>61</v>
      </c>
      <c r="K2983" t="s">
        <v>57</v>
      </c>
      <c r="L2983" t="s">
        <v>58</v>
      </c>
      <c r="M2983">
        <v>445.52</v>
      </c>
    </row>
    <row r="2984">
      <c r="A2984" s="2">
        <v>45866</v>
      </c>
      <c r="B2984">
        <v>2026.0</v>
      </c>
      <c r="C2984" t="s">
        <v>321</v>
      </c>
      <c r="D2984" t="s">
        <v>316</v>
      </c>
      <c r="E2984" t="s">
        <v>163</v>
      </c>
      <c r="F2984" t="s">
        <v>304</v>
      </c>
      <c r="G2984" t="s">
        <v>9</v>
      </c>
      <c r="H2984">
        <v>2154.0</v>
      </c>
      <c r="I2984" t="s">
        <v>31</v>
      </c>
      <c r="J2984" t="s">
        <v>81</v>
      </c>
      <c r="K2984" t="s">
        <v>43</v>
      </c>
      <c r="L2984" t="s">
        <v>44</v>
      </c>
      <c r="M2984">
        <v>445.5200000000001</v>
      </c>
    </row>
    <row r="2985">
      <c r="A2985" s="2">
        <v>45836</v>
      </c>
      <c r="B2985">
        <v>2025.0</v>
      </c>
      <c r="C2985" t="s">
        <v>315</v>
      </c>
      <c r="D2985" t="s">
        <v>316</v>
      </c>
      <c r="E2985" t="s">
        <v>133</v>
      </c>
      <c r="F2985" t="s">
        <v>305</v>
      </c>
      <c r="G2985" t="s">
        <v>10</v>
      </c>
      <c r="H2985">
        <v>3429.0</v>
      </c>
      <c r="I2985" t="s">
        <v>31</v>
      </c>
      <c r="J2985" t="s">
        <v>37</v>
      </c>
      <c r="K2985" t="s">
        <v>38</v>
      </c>
      <c r="L2985" t="s">
        <v>39</v>
      </c>
      <c r="M2985">
        <v>445.87</v>
      </c>
    </row>
    <row r="2986">
      <c r="A2986" s="2">
        <v>45997</v>
      </c>
      <c r="B2986">
        <v>2026.0</v>
      </c>
      <c r="C2986" t="s">
        <v>321</v>
      </c>
      <c r="D2986" t="s">
        <v>319</v>
      </c>
      <c r="E2986" t="s">
        <v>171</v>
      </c>
      <c r="F2986" t="s">
        <v>305</v>
      </c>
      <c r="G2986" t="s">
        <v>10</v>
      </c>
      <c r="H2986">
        <v>3500.0</v>
      </c>
      <c r="I2986" t="s">
        <v>31</v>
      </c>
      <c r="J2986" t="s">
        <v>37</v>
      </c>
      <c r="K2986" t="s">
        <v>123</v>
      </c>
      <c r="L2986" t="s">
        <v>124</v>
      </c>
      <c r="M2986">
        <v>445.95</v>
      </c>
    </row>
    <row r="2987">
      <c r="A2987" s="2">
        <v>45383</v>
      </c>
      <c r="B2987">
        <v>2024.0</v>
      </c>
      <c r="C2987" t="s">
        <v>318</v>
      </c>
      <c r="D2987" t="s">
        <v>316</v>
      </c>
      <c r="E2987" t="s">
        <v>244</v>
      </c>
      <c r="F2987" t="s">
        <v>308</v>
      </c>
      <c r="G2987" t="s">
        <v>13</v>
      </c>
      <c r="H2987">
        <v>5168.0</v>
      </c>
      <c r="I2987" t="s">
        <v>31</v>
      </c>
      <c r="J2987" t="s">
        <v>42</v>
      </c>
      <c r="K2987" t="s">
        <v>46</v>
      </c>
      <c r="L2987" t="s">
        <v>47</v>
      </c>
      <c r="M2987">
        <v>447.42999999999995</v>
      </c>
    </row>
    <row r="2988">
      <c r="A2988" s="2">
        <v>45791</v>
      </c>
      <c r="B2988">
        <v>2025.0</v>
      </c>
      <c r="C2988" t="s">
        <v>315</v>
      </c>
      <c r="D2988" t="s">
        <v>316</v>
      </c>
      <c r="E2988" t="s">
        <v>118</v>
      </c>
      <c r="F2988" t="s">
        <v>305</v>
      </c>
      <c r="G2988" t="s">
        <v>10</v>
      </c>
      <c r="H2988">
        <v>3076.0</v>
      </c>
      <c r="I2988" t="s">
        <v>31</v>
      </c>
      <c r="J2988" t="s">
        <v>120</v>
      </c>
      <c r="K2988" t="s">
        <v>112</v>
      </c>
      <c r="L2988" t="s">
        <v>113</v>
      </c>
      <c r="M2988">
        <v>447.43999999999994</v>
      </c>
    </row>
    <row r="2989">
      <c r="A2989" s="2">
        <v>45994</v>
      </c>
      <c r="B2989">
        <v>2026.0</v>
      </c>
      <c r="C2989" t="s">
        <v>321</v>
      </c>
      <c r="D2989" t="s">
        <v>319</v>
      </c>
      <c r="E2989" t="s">
        <v>189</v>
      </c>
      <c r="F2989" t="s">
        <v>304</v>
      </c>
      <c r="G2989" t="s">
        <v>9</v>
      </c>
      <c r="H2989">
        <v>2131.0</v>
      </c>
      <c r="I2989" t="s">
        <v>31</v>
      </c>
      <c r="J2989" t="s">
        <v>81</v>
      </c>
      <c r="K2989" t="s">
        <v>57</v>
      </c>
      <c r="L2989" t="s">
        <v>58</v>
      </c>
      <c r="M2989">
        <v>447.63</v>
      </c>
    </row>
    <row r="2990">
      <c r="A2990" s="2">
        <v>45901</v>
      </c>
      <c r="B2990">
        <v>2026.0</v>
      </c>
      <c r="C2990" t="s">
        <v>321</v>
      </c>
      <c r="D2990" t="s">
        <v>319</v>
      </c>
      <c r="E2990" t="s">
        <v>250</v>
      </c>
      <c r="F2990" t="s">
        <v>305</v>
      </c>
      <c r="G2990" t="s">
        <v>10</v>
      </c>
      <c r="H2990">
        <v>3550.0</v>
      </c>
      <c r="I2990" t="s">
        <v>31</v>
      </c>
      <c r="J2990" t="s">
        <v>37</v>
      </c>
      <c r="K2990" t="s">
        <v>33</v>
      </c>
      <c r="L2990" t="s">
        <v>34</v>
      </c>
      <c r="M2990">
        <v>447.95</v>
      </c>
    </row>
    <row r="2991">
      <c r="A2991" s="2">
        <v>45298</v>
      </c>
      <c r="B2991">
        <v>2024.0</v>
      </c>
      <c r="C2991" t="s">
        <v>318</v>
      </c>
      <c r="D2991" t="s">
        <v>316</v>
      </c>
      <c r="E2991" t="s">
        <v>121</v>
      </c>
      <c r="F2991" t="s">
        <v>306</v>
      </c>
      <c r="G2991" t="s">
        <v>11</v>
      </c>
      <c r="H2991">
        <v>4566.0</v>
      </c>
      <c r="I2991" t="s">
        <v>31</v>
      </c>
      <c r="J2991" t="s">
        <v>84</v>
      </c>
      <c r="K2991" t="s">
        <v>123</v>
      </c>
      <c r="L2991" t="s">
        <v>124</v>
      </c>
      <c r="M2991">
        <v>449.75</v>
      </c>
    </row>
    <row r="2992">
      <c r="A2992" s="2">
        <v>45375</v>
      </c>
      <c r="B2992">
        <v>2024.0</v>
      </c>
      <c r="C2992" t="s">
        <v>318</v>
      </c>
      <c r="D2992" t="s">
        <v>319</v>
      </c>
      <c r="E2992" t="s">
        <v>146</v>
      </c>
      <c r="F2992" t="s">
        <v>304</v>
      </c>
      <c r="G2992" t="s">
        <v>9</v>
      </c>
      <c r="H2992">
        <v>2790.0</v>
      </c>
      <c r="I2992" t="s">
        <v>31</v>
      </c>
      <c r="J2992" t="s">
        <v>75</v>
      </c>
      <c r="K2992" t="s">
        <v>71</v>
      </c>
      <c r="L2992" t="s">
        <v>72</v>
      </c>
      <c r="M2992">
        <v>450.03</v>
      </c>
    </row>
    <row r="2993">
      <c r="A2993" s="2">
        <v>45919</v>
      </c>
      <c r="B2993">
        <v>2026.0</v>
      </c>
      <c r="C2993" t="s">
        <v>321</v>
      </c>
      <c r="D2993" t="s">
        <v>316</v>
      </c>
      <c r="E2993" t="s">
        <v>203</v>
      </c>
      <c r="F2993" t="s">
        <v>305</v>
      </c>
      <c r="G2993" t="s">
        <v>10</v>
      </c>
      <c r="H2993">
        <v>3175.0</v>
      </c>
      <c r="I2993" t="s">
        <v>31</v>
      </c>
      <c r="J2993" t="s">
        <v>89</v>
      </c>
      <c r="K2993" t="s">
        <v>112</v>
      </c>
      <c r="L2993" t="s">
        <v>113</v>
      </c>
      <c r="M2993">
        <v>450.11</v>
      </c>
    </row>
    <row r="2994">
      <c r="A2994" s="2">
        <v>45444</v>
      </c>
      <c r="B2994">
        <v>2024.0</v>
      </c>
      <c r="C2994" t="s">
        <v>318</v>
      </c>
      <c r="D2994" t="s">
        <v>316</v>
      </c>
      <c r="E2994" t="s">
        <v>179</v>
      </c>
      <c r="F2994" t="s">
        <v>304</v>
      </c>
      <c r="G2994" t="s">
        <v>9</v>
      </c>
      <c r="H2994">
        <v>2015.0</v>
      </c>
      <c r="I2994" t="s">
        <v>31</v>
      </c>
      <c r="J2994" t="s">
        <v>99</v>
      </c>
      <c r="K2994" t="s">
        <v>38</v>
      </c>
      <c r="L2994" t="s">
        <v>39</v>
      </c>
      <c r="M2994">
        <v>450.48</v>
      </c>
    </row>
    <row r="2995">
      <c r="A2995" s="2">
        <v>45404</v>
      </c>
      <c r="B2995">
        <v>2024.0</v>
      </c>
      <c r="C2995" t="s">
        <v>318</v>
      </c>
      <c r="D2995" t="s">
        <v>316</v>
      </c>
      <c r="E2995" t="s">
        <v>121</v>
      </c>
      <c r="F2995" t="s">
        <v>306</v>
      </c>
      <c r="G2995" t="s">
        <v>11</v>
      </c>
      <c r="H2995">
        <v>4566.0</v>
      </c>
      <c r="I2995" t="s">
        <v>31</v>
      </c>
      <c r="J2995" t="s">
        <v>84</v>
      </c>
      <c r="K2995" t="s">
        <v>57</v>
      </c>
      <c r="L2995" t="s">
        <v>58</v>
      </c>
      <c r="M2995">
        <v>451.26</v>
      </c>
    </row>
    <row r="2996">
      <c r="A2996" s="2">
        <v>45339</v>
      </c>
      <c r="B2996">
        <v>2024.0</v>
      </c>
      <c r="C2996" t="s">
        <v>318</v>
      </c>
      <c r="D2996" t="s">
        <v>316</v>
      </c>
      <c r="E2996" t="s">
        <v>232</v>
      </c>
      <c r="F2996" t="s">
        <v>304</v>
      </c>
      <c r="G2996" t="s">
        <v>9</v>
      </c>
      <c r="H2996">
        <v>2800.0</v>
      </c>
      <c r="I2996" t="s">
        <v>31</v>
      </c>
      <c r="J2996" t="s">
        <v>75</v>
      </c>
      <c r="K2996" t="s">
        <v>46</v>
      </c>
      <c r="L2996" t="s">
        <v>47</v>
      </c>
      <c r="M2996">
        <v>451.41</v>
      </c>
    </row>
    <row r="2997">
      <c r="A2997" s="2">
        <v>45448</v>
      </c>
      <c r="B2997">
        <v>2024.0</v>
      </c>
      <c r="C2997" t="s">
        <v>318</v>
      </c>
      <c r="D2997" t="s">
        <v>316</v>
      </c>
      <c r="E2997" t="s">
        <v>48</v>
      </c>
      <c r="F2997" t="s">
        <v>307</v>
      </c>
      <c r="G2997" t="s">
        <v>12</v>
      </c>
      <c r="H2997">
        <v>6725.0</v>
      </c>
      <c r="I2997" t="s">
        <v>31</v>
      </c>
      <c r="J2997" t="s">
        <v>50</v>
      </c>
      <c r="K2997" t="s">
        <v>71</v>
      </c>
      <c r="L2997" t="s">
        <v>72</v>
      </c>
      <c r="M2997">
        <v>451.99</v>
      </c>
    </row>
    <row r="2998">
      <c r="A2998" s="2">
        <v>45906</v>
      </c>
      <c r="B2998">
        <v>2026.0</v>
      </c>
      <c r="C2998" t="s">
        <v>321</v>
      </c>
      <c r="D2998" t="s">
        <v>316</v>
      </c>
      <c r="E2998" t="s">
        <v>129</v>
      </c>
      <c r="F2998" t="s">
        <v>305</v>
      </c>
      <c r="G2998" t="s">
        <v>10</v>
      </c>
      <c r="H2998">
        <v>3066.0</v>
      </c>
      <c r="I2998" t="s">
        <v>31</v>
      </c>
      <c r="J2998" t="s">
        <v>120</v>
      </c>
      <c r="K2998" t="s">
        <v>71</v>
      </c>
      <c r="L2998" t="s">
        <v>72</v>
      </c>
      <c r="M2998">
        <v>452.17</v>
      </c>
    </row>
    <row r="2999">
      <c r="A2999" s="2">
        <v>45670</v>
      </c>
      <c r="B2999">
        <v>2025.0</v>
      </c>
      <c r="C2999" t="s">
        <v>315</v>
      </c>
      <c r="D2999" t="s">
        <v>319</v>
      </c>
      <c r="E2999" t="s">
        <v>228</v>
      </c>
      <c r="F2999" t="s">
        <v>306</v>
      </c>
      <c r="G2999" t="s">
        <v>11</v>
      </c>
      <c r="H2999">
        <v>4680.0</v>
      </c>
      <c r="I2999" t="s">
        <v>31</v>
      </c>
      <c r="J2999" t="s">
        <v>32</v>
      </c>
      <c r="K2999" t="s">
        <v>71</v>
      </c>
      <c r="L2999" t="s">
        <v>72</v>
      </c>
      <c r="M2999">
        <v>452.36</v>
      </c>
    </row>
    <row r="3000">
      <c r="A3000" s="2">
        <v>45322</v>
      </c>
      <c r="B3000">
        <v>2024.0</v>
      </c>
      <c r="C3000" t="s">
        <v>318</v>
      </c>
      <c r="D3000" t="s">
        <v>319</v>
      </c>
      <c r="E3000" t="s">
        <v>146</v>
      </c>
      <c r="F3000" t="s">
        <v>304</v>
      </c>
      <c r="G3000" t="s">
        <v>9</v>
      </c>
      <c r="H3000">
        <v>2790.0</v>
      </c>
      <c r="I3000" t="s">
        <v>31</v>
      </c>
      <c r="J3000" t="s">
        <v>75</v>
      </c>
      <c r="K3000" t="s">
        <v>57</v>
      </c>
      <c r="L3000" t="s">
        <v>58</v>
      </c>
      <c r="M3000">
        <v>452.57000000000005</v>
      </c>
    </row>
    <row r="3001">
      <c r="A3001" s="2">
        <v>45433</v>
      </c>
      <c r="B3001">
        <v>2024.0</v>
      </c>
      <c r="C3001" t="s">
        <v>318</v>
      </c>
      <c r="D3001" t="s">
        <v>316</v>
      </c>
      <c r="E3001" t="s">
        <v>232</v>
      </c>
      <c r="F3001" t="s">
        <v>304</v>
      </c>
      <c r="G3001" t="s">
        <v>9</v>
      </c>
      <c r="H3001">
        <v>2800.0</v>
      </c>
      <c r="I3001" t="s">
        <v>31</v>
      </c>
      <c r="J3001" t="s">
        <v>75</v>
      </c>
      <c r="K3001" t="s">
        <v>43</v>
      </c>
      <c r="L3001" t="s">
        <v>44</v>
      </c>
      <c r="M3001">
        <v>452.96999999999997</v>
      </c>
    </row>
    <row r="3002">
      <c r="A3002" s="2">
        <v>45701</v>
      </c>
      <c r="B3002">
        <v>2025.0</v>
      </c>
      <c r="C3002" t="s">
        <v>315</v>
      </c>
      <c r="D3002" t="s">
        <v>316</v>
      </c>
      <c r="E3002" t="s">
        <v>79</v>
      </c>
      <c r="F3002" t="s">
        <v>304</v>
      </c>
      <c r="G3002" t="s">
        <v>9</v>
      </c>
      <c r="H3002">
        <v>2141.0</v>
      </c>
      <c r="I3002" t="s">
        <v>31</v>
      </c>
      <c r="J3002" t="s">
        <v>81</v>
      </c>
      <c r="K3002" t="s">
        <v>43</v>
      </c>
      <c r="L3002" t="s">
        <v>44</v>
      </c>
      <c r="M3002">
        <v>453.55</v>
      </c>
    </row>
    <row r="3003">
      <c r="A3003" s="2">
        <v>45664</v>
      </c>
      <c r="B3003">
        <v>2025.0</v>
      </c>
      <c r="C3003" t="s">
        <v>315</v>
      </c>
      <c r="D3003" t="s">
        <v>316</v>
      </c>
      <c r="E3003" t="s">
        <v>256</v>
      </c>
      <c r="F3003" t="s">
        <v>304</v>
      </c>
      <c r="G3003" t="s">
        <v>9</v>
      </c>
      <c r="H3003">
        <v>2350.0</v>
      </c>
      <c r="I3003" t="s">
        <v>31</v>
      </c>
      <c r="J3003" t="s">
        <v>70</v>
      </c>
      <c r="K3003" t="s">
        <v>95</v>
      </c>
      <c r="L3003" t="s">
        <v>96</v>
      </c>
      <c r="M3003">
        <v>454.25</v>
      </c>
    </row>
    <row r="3004">
      <c r="A3004" s="2">
        <v>45541</v>
      </c>
      <c r="B3004">
        <v>2025.0</v>
      </c>
      <c r="C3004" t="s">
        <v>315</v>
      </c>
      <c r="D3004" t="s">
        <v>316</v>
      </c>
      <c r="E3004" t="s">
        <v>135</v>
      </c>
      <c r="F3004" t="s">
        <v>311</v>
      </c>
      <c r="G3004" t="s">
        <v>16</v>
      </c>
      <c r="H3004">
        <v>2609.0</v>
      </c>
      <c r="I3004" t="s">
        <v>31</v>
      </c>
      <c r="J3004" t="s">
        <v>107</v>
      </c>
      <c r="K3004" t="s">
        <v>43</v>
      </c>
      <c r="L3004" t="s">
        <v>44</v>
      </c>
      <c r="M3004">
        <v>454.59000000000003</v>
      </c>
    </row>
    <row r="3005">
      <c r="A3005" s="2">
        <v>45482</v>
      </c>
      <c r="B3005">
        <v>2025.0</v>
      </c>
      <c r="C3005" t="s">
        <v>315</v>
      </c>
      <c r="D3005" t="s">
        <v>316</v>
      </c>
      <c r="E3005" t="s">
        <v>114</v>
      </c>
      <c r="F3005" t="s">
        <v>304</v>
      </c>
      <c r="G3005" t="s">
        <v>9</v>
      </c>
      <c r="H3005">
        <v>2031.0</v>
      </c>
      <c r="I3005" t="s">
        <v>31</v>
      </c>
      <c r="J3005" t="s">
        <v>99</v>
      </c>
      <c r="K3005" t="s">
        <v>33</v>
      </c>
      <c r="L3005" t="s">
        <v>34</v>
      </c>
      <c r="M3005">
        <v>454.86000000000007</v>
      </c>
    </row>
    <row r="3006">
      <c r="A3006" s="2">
        <v>45404</v>
      </c>
      <c r="B3006">
        <v>2024.0</v>
      </c>
      <c r="C3006" t="s">
        <v>318</v>
      </c>
      <c r="D3006" t="s">
        <v>319</v>
      </c>
      <c r="E3006" t="s">
        <v>228</v>
      </c>
      <c r="F3006" t="s">
        <v>306</v>
      </c>
      <c r="G3006" t="s">
        <v>11</v>
      </c>
      <c r="H3006">
        <v>4680.0</v>
      </c>
      <c r="I3006" t="s">
        <v>31</v>
      </c>
      <c r="J3006" t="s">
        <v>32</v>
      </c>
      <c r="K3006" t="s">
        <v>112</v>
      </c>
      <c r="L3006" t="s">
        <v>113</v>
      </c>
      <c r="M3006">
        <v>454.93</v>
      </c>
    </row>
    <row r="3007">
      <c r="A3007" s="2">
        <v>45842</v>
      </c>
      <c r="B3007">
        <v>2026.0</v>
      </c>
      <c r="C3007" t="s">
        <v>321</v>
      </c>
      <c r="D3007" t="s">
        <v>316</v>
      </c>
      <c r="E3007" t="s">
        <v>181</v>
      </c>
      <c r="F3007" t="s">
        <v>306</v>
      </c>
      <c r="G3007" t="s">
        <v>11</v>
      </c>
      <c r="H3007">
        <v>4119.0</v>
      </c>
      <c r="I3007" t="s">
        <v>31</v>
      </c>
      <c r="J3007" t="s">
        <v>56</v>
      </c>
      <c r="K3007" t="s">
        <v>123</v>
      </c>
      <c r="L3007" t="s">
        <v>124</v>
      </c>
      <c r="M3007">
        <v>455.02</v>
      </c>
    </row>
    <row r="3008">
      <c r="A3008" s="2">
        <v>45954</v>
      </c>
      <c r="B3008">
        <v>2026.0</v>
      </c>
      <c r="C3008" t="s">
        <v>321</v>
      </c>
      <c r="D3008" t="s">
        <v>316</v>
      </c>
      <c r="E3008" t="s">
        <v>201</v>
      </c>
      <c r="F3008" t="s">
        <v>305</v>
      </c>
      <c r="G3008" t="s">
        <v>10</v>
      </c>
      <c r="H3008">
        <v>3131.0</v>
      </c>
      <c r="I3008" t="s">
        <v>31</v>
      </c>
      <c r="J3008" t="s">
        <v>89</v>
      </c>
      <c r="K3008" t="s">
        <v>95</v>
      </c>
      <c r="L3008" t="s">
        <v>96</v>
      </c>
      <c r="M3008">
        <v>455.37000000000006</v>
      </c>
    </row>
    <row r="3009">
      <c r="A3009" s="2">
        <v>45804</v>
      </c>
      <c r="B3009">
        <v>2025.0</v>
      </c>
      <c r="C3009" t="s">
        <v>315</v>
      </c>
      <c r="D3009" t="s">
        <v>316</v>
      </c>
      <c r="E3009" t="s">
        <v>150</v>
      </c>
      <c r="F3009" t="s">
        <v>310</v>
      </c>
      <c r="G3009" t="s">
        <v>15</v>
      </c>
      <c r="H3009">
        <v>7250.0</v>
      </c>
      <c r="I3009" t="s">
        <v>31</v>
      </c>
      <c r="J3009" t="s">
        <v>53</v>
      </c>
      <c r="K3009" t="s">
        <v>57</v>
      </c>
      <c r="L3009" t="s">
        <v>58</v>
      </c>
      <c r="M3009">
        <v>455.39</v>
      </c>
    </row>
    <row r="3010">
      <c r="A3010" s="2">
        <v>46019</v>
      </c>
      <c r="B3010">
        <v>2026.0</v>
      </c>
      <c r="C3010" t="s">
        <v>321</v>
      </c>
      <c r="D3010" t="s">
        <v>319</v>
      </c>
      <c r="E3010" t="s">
        <v>143</v>
      </c>
      <c r="F3010" t="s">
        <v>309</v>
      </c>
      <c r="G3010" t="s">
        <v>14</v>
      </c>
      <c r="H3010">
        <v>800.0</v>
      </c>
      <c r="I3010" t="s">
        <v>31</v>
      </c>
      <c r="J3010" t="s">
        <v>145</v>
      </c>
      <c r="K3010" t="s">
        <v>112</v>
      </c>
      <c r="L3010" t="s">
        <v>113</v>
      </c>
      <c r="M3010">
        <v>455.71000000000004</v>
      </c>
    </row>
    <row r="3011">
      <c r="A3011" s="2">
        <v>45322</v>
      </c>
      <c r="B3011">
        <v>2024.0</v>
      </c>
      <c r="C3011" t="s">
        <v>318</v>
      </c>
      <c r="D3011" t="s">
        <v>319</v>
      </c>
      <c r="E3011" t="s">
        <v>127</v>
      </c>
      <c r="F3011" t="s">
        <v>306</v>
      </c>
      <c r="G3011" t="s">
        <v>11</v>
      </c>
      <c r="H3011">
        <v>4802.0</v>
      </c>
      <c r="I3011" t="s">
        <v>31</v>
      </c>
      <c r="J3011" t="s">
        <v>78</v>
      </c>
      <c r="K3011" t="s">
        <v>57</v>
      </c>
      <c r="L3011" t="s">
        <v>58</v>
      </c>
      <c r="M3011">
        <v>457.41</v>
      </c>
    </row>
    <row r="3012">
      <c r="A3012" s="2">
        <v>45326</v>
      </c>
      <c r="B3012">
        <v>2024.0</v>
      </c>
      <c r="C3012" t="s">
        <v>318</v>
      </c>
      <c r="D3012" t="s">
        <v>316</v>
      </c>
      <c r="E3012" t="s">
        <v>125</v>
      </c>
      <c r="F3012" t="s">
        <v>305</v>
      </c>
      <c r="G3012" t="s">
        <v>10</v>
      </c>
      <c r="H3012">
        <v>3931.0</v>
      </c>
      <c r="I3012" t="s">
        <v>31</v>
      </c>
      <c r="J3012" t="s">
        <v>94</v>
      </c>
      <c r="K3012" t="s">
        <v>71</v>
      </c>
      <c r="L3012" t="s">
        <v>72</v>
      </c>
      <c r="M3012">
        <v>457.87</v>
      </c>
    </row>
    <row r="3013">
      <c r="A3013" s="2">
        <v>45954</v>
      </c>
      <c r="B3013">
        <v>2026.0</v>
      </c>
      <c r="C3013" t="s">
        <v>321</v>
      </c>
      <c r="D3013" t="s">
        <v>316</v>
      </c>
      <c r="E3013" t="s">
        <v>238</v>
      </c>
      <c r="F3013" t="s">
        <v>308</v>
      </c>
      <c r="G3013" t="s">
        <v>13</v>
      </c>
      <c r="H3013">
        <v>5082.0</v>
      </c>
      <c r="I3013" t="s">
        <v>31</v>
      </c>
      <c r="J3013" t="s">
        <v>42</v>
      </c>
      <c r="K3013" t="s">
        <v>123</v>
      </c>
      <c r="L3013" t="s">
        <v>124</v>
      </c>
      <c r="M3013">
        <v>458.33000000000004</v>
      </c>
    </row>
    <row r="3014">
      <c r="A3014" s="2">
        <v>45437</v>
      </c>
      <c r="B3014">
        <v>2024.0</v>
      </c>
      <c r="C3014" t="s">
        <v>318</v>
      </c>
      <c r="D3014" t="s">
        <v>316</v>
      </c>
      <c r="E3014" t="s">
        <v>131</v>
      </c>
      <c r="F3014" t="s">
        <v>306</v>
      </c>
      <c r="G3014" t="s">
        <v>11</v>
      </c>
      <c r="H3014">
        <v>4655.0</v>
      </c>
      <c r="I3014" t="s">
        <v>31</v>
      </c>
      <c r="J3014" t="s">
        <v>32</v>
      </c>
      <c r="K3014" t="s">
        <v>38</v>
      </c>
      <c r="L3014" t="s">
        <v>39</v>
      </c>
      <c r="M3014">
        <v>458.36</v>
      </c>
    </row>
    <row r="3015">
      <c r="A3015" s="2">
        <v>45578</v>
      </c>
      <c r="B3015">
        <v>2025.0</v>
      </c>
      <c r="C3015" t="s">
        <v>315</v>
      </c>
      <c r="D3015" t="s">
        <v>316</v>
      </c>
      <c r="E3015" t="s">
        <v>256</v>
      </c>
      <c r="F3015" t="s">
        <v>304</v>
      </c>
      <c r="G3015" t="s">
        <v>9</v>
      </c>
      <c r="H3015">
        <v>2350.0</v>
      </c>
      <c r="I3015" t="s">
        <v>31</v>
      </c>
      <c r="J3015" t="s">
        <v>70</v>
      </c>
      <c r="K3015" t="s">
        <v>95</v>
      </c>
      <c r="L3015" t="s">
        <v>96</v>
      </c>
      <c r="M3015">
        <v>459.08</v>
      </c>
    </row>
    <row r="3016">
      <c r="A3016" s="2">
        <v>45656</v>
      </c>
      <c r="B3016">
        <v>2025.0</v>
      </c>
      <c r="C3016" t="s">
        <v>315</v>
      </c>
      <c r="D3016" t="s">
        <v>316</v>
      </c>
      <c r="E3016" t="s">
        <v>51</v>
      </c>
      <c r="F3016" t="s">
        <v>310</v>
      </c>
      <c r="G3016" t="s">
        <v>15</v>
      </c>
      <c r="H3016">
        <v>7018.0</v>
      </c>
      <c r="I3016" t="s">
        <v>31</v>
      </c>
      <c r="J3016" t="s">
        <v>53</v>
      </c>
      <c r="K3016" t="s">
        <v>123</v>
      </c>
      <c r="L3016" t="s">
        <v>124</v>
      </c>
      <c r="M3016">
        <v>459.33</v>
      </c>
    </row>
    <row r="3017">
      <c r="A3017" s="2">
        <v>45401</v>
      </c>
      <c r="B3017">
        <v>2024.0</v>
      </c>
      <c r="C3017" t="s">
        <v>318</v>
      </c>
      <c r="D3017" t="s">
        <v>319</v>
      </c>
      <c r="E3017" t="s">
        <v>156</v>
      </c>
      <c r="F3017" t="s">
        <v>304</v>
      </c>
      <c r="G3017" t="s">
        <v>9</v>
      </c>
      <c r="H3017">
        <v>2830.0</v>
      </c>
      <c r="I3017" t="s">
        <v>31</v>
      </c>
      <c r="J3017" t="s">
        <v>75</v>
      </c>
      <c r="K3017" t="s">
        <v>123</v>
      </c>
      <c r="L3017" t="s">
        <v>124</v>
      </c>
      <c r="M3017">
        <v>459.51</v>
      </c>
    </row>
    <row r="3018">
      <c r="A3018" s="2">
        <v>45616</v>
      </c>
      <c r="B3018">
        <v>2025.0</v>
      </c>
      <c r="C3018" t="s">
        <v>315</v>
      </c>
      <c r="D3018" t="s">
        <v>319</v>
      </c>
      <c r="E3018" t="s">
        <v>201</v>
      </c>
      <c r="F3018" t="s">
        <v>305</v>
      </c>
      <c r="G3018" t="s">
        <v>10</v>
      </c>
      <c r="H3018">
        <v>3131.0</v>
      </c>
      <c r="I3018" t="s">
        <v>31</v>
      </c>
      <c r="J3018" t="s">
        <v>89</v>
      </c>
      <c r="K3018" t="s">
        <v>57</v>
      </c>
      <c r="L3018" t="s">
        <v>58</v>
      </c>
      <c r="M3018">
        <v>459.93</v>
      </c>
    </row>
    <row r="3019">
      <c r="A3019" s="2">
        <v>45584</v>
      </c>
      <c r="B3019">
        <v>2025.0</v>
      </c>
      <c r="C3019" t="s">
        <v>315</v>
      </c>
      <c r="D3019" t="s">
        <v>316</v>
      </c>
      <c r="E3019" t="s">
        <v>73</v>
      </c>
      <c r="F3019" t="s">
        <v>304</v>
      </c>
      <c r="G3019" t="s">
        <v>9</v>
      </c>
      <c r="H3019">
        <v>2750.0</v>
      </c>
      <c r="I3019" t="s">
        <v>31</v>
      </c>
      <c r="J3019" t="s">
        <v>75</v>
      </c>
      <c r="K3019" t="s">
        <v>46</v>
      </c>
      <c r="L3019" t="s">
        <v>47</v>
      </c>
      <c r="M3019">
        <v>460.20000000000005</v>
      </c>
    </row>
    <row r="3020">
      <c r="A3020" s="2">
        <v>46009</v>
      </c>
      <c r="B3020">
        <v>2026.0</v>
      </c>
      <c r="C3020" t="s">
        <v>321</v>
      </c>
      <c r="D3020" t="s">
        <v>319</v>
      </c>
      <c r="E3020" t="s">
        <v>250</v>
      </c>
      <c r="F3020" t="s">
        <v>305</v>
      </c>
      <c r="G3020" t="s">
        <v>10</v>
      </c>
      <c r="H3020">
        <v>3550.0</v>
      </c>
      <c r="I3020" t="s">
        <v>31</v>
      </c>
      <c r="J3020" t="s">
        <v>37</v>
      </c>
      <c r="K3020" t="s">
        <v>46</v>
      </c>
      <c r="L3020" t="s">
        <v>47</v>
      </c>
      <c r="M3020">
        <v>461.3</v>
      </c>
    </row>
    <row r="3021">
      <c r="A3021" s="2">
        <v>45714</v>
      </c>
      <c r="B3021">
        <v>2025.0</v>
      </c>
      <c r="C3021" t="s">
        <v>315</v>
      </c>
      <c r="D3021" t="s">
        <v>316</v>
      </c>
      <c r="E3021" t="s">
        <v>219</v>
      </c>
      <c r="F3021" t="s">
        <v>306</v>
      </c>
      <c r="G3021" t="s">
        <v>11</v>
      </c>
      <c r="H3021">
        <v>4068.0</v>
      </c>
      <c r="I3021" t="s">
        <v>31</v>
      </c>
      <c r="J3021" t="s">
        <v>56</v>
      </c>
      <c r="K3021" t="s">
        <v>43</v>
      </c>
      <c r="L3021" t="s">
        <v>44</v>
      </c>
      <c r="M3021">
        <v>462.24</v>
      </c>
    </row>
    <row r="3022">
      <c r="A3022" s="2">
        <v>45729</v>
      </c>
      <c r="B3022">
        <v>2025.0</v>
      </c>
      <c r="C3022" t="s">
        <v>315</v>
      </c>
      <c r="D3022" t="s">
        <v>316</v>
      </c>
      <c r="E3022" t="s">
        <v>173</v>
      </c>
      <c r="F3022" t="s">
        <v>306</v>
      </c>
      <c r="G3022" t="s">
        <v>11</v>
      </c>
      <c r="H3022">
        <v>4220.0</v>
      </c>
      <c r="I3022" t="s">
        <v>31</v>
      </c>
      <c r="J3022" t="s">
        <v>61</v>
      </c>
      <c r="K3022" t="s">
        <v>71</v>
      </c>
      <c r="L3022" t="s">
        <v>72</v>
      </c>
      <c r="M3022">
        <v>462.49</v>
      </c>
    </row>
    <row r="3023">
      <c r="A3023" s="2">
        <v>45380</v>
      </c>
      <c r="B3023">
        <v>2024.0</v>
      </c>
      <c r="C3023" t="s">
        <v>318</v>
      </c>
      <c r="D3023" t="s">
        <v>316</v>
      </c>
      <c r="E3023" t="s">
        <v>211</v>
      </c>
      <c r="F3023" t="s">
        <v>304</v>
      </c>
      <c r="G3023" t="s">
        <v>9</v>
      </c>
      <c r="H3023">
        <v>2650.0</v>
      </c>
      <c r="I3023" t="s">
        <v>31</v>
      </c>
      <c r="J3023" t="s">
        <v>75</v>
      </c>
      <c r="K3023" t="s">
        <v>33</v>
      </c>
      <c r="L3023" t="s">
        <v>34</v>
      </c>
      <c r="M3023">
        <v>462.54999999999995</v>
      </c>
    </row>
    <row r="3024">
      <c r="A3024" s="2">
        <v>45389</v>
      </c>
      <c r="B3024">
        <v>2024.0</v>
      </c>
      <c r="C3024" t="s">
        <v>318</v>
      </c>
      <c r="D3024" t="s">
        <v>316</v>
      </c>
      <c r="E3024" t="s">
        <v>137</v>
      </c>
      <c r="F3024" t="s">
        <v>305</v>
      </c>
      <c r="G3024" t="s">
        <v>10</v>
      </c>
      <c r="H3024">
        <v>3134.0</v>
      </c>
      <c r="I3024" t="s">
        <v>31</v>
      </c>
      <c r="J3024" t="s">
        <v>89</v>
      </c>
      <c r="K3024" t="s">
        <v>43</v>
      </c>
      <c r="L3024" t="s">
        <v>44</v>
      </c>
      <c r="M3024">
        <v>462.74</v>
      </c>
    </row>
    <row r="3025">
      <c r="A3025" s="2">
        <v>45497</v>
      </c>
      <c r="B3025">
        <v>2025.0</v>
      </c>
      <c r="C3025" t="s">
        <v>315</v>
      </c>
      <c r="D3025" t="s">
        <v>316</v>
      </c>
      <c r="E3025" t="s">
        <v>209</v>
      </c>
      <c r="F3025" t="s">
        <v>304</v>
      </c>
      <c r="G3025" t="s">
        <v>9</v>
      </c>
      <c r="H3025">
        <v>2116.0</v>
      </c>
      <c r="I3025" t="s">
        <v>31</v>
      </c>
      <c r="J3025" t="s">
        <v>81</v>
      </c>
      <c r="K3025" t="s">
        <v>38</v>
      </c>
      <c r="L3025" t="s">
        <v>39</v>
      </c>
      <c r="M3025">
        <v>462.74999999999994</v>
      </c>
    </row>
    <row r="3026">
      <c r="A3026" s="2">
        <v>45470</v>
      </c>
      <c r="B3026">
        <v>2024.0</v>
      </c>
      <c r="C3026" t="s">
        <v>318</v>
      </c>
      <c r="D3026" t="s">
        <v>316</v>
      </c>
      <c r="E3026" t="s">
        <v>90</v>
      </c>
      <c r="F3026" t="s">
        <v>305</v>
      </c>
      <c r="G3026" t="s">
        <v>10</v>
      </c>
      <c r="H3026">
        <v>3353.0</v>
      </c>
      <c r="I3026" t="s">
        <v>31</v>
      </c>
      <c r="J3026" t="s">
        <v>37</v>
      </c>
      <c r="K3026" t="s">
        <v>43</v>
      </c>
      <c r="L3026" t="s">
        <v>44</v>
      </c>
      <c r="M3026">
        <v>463.14</v>
      </c>
    </row>
    <row r="3027">
      <c r="A3027" s="2">
        <v>45743</v>
      </c>
      <c r="B3027">
        <v>2025.0</v>
      </c>
      <c r="C3027" t="s">
        <v>315</v>
      </c>
      <c r="D3027" t="s">
        <v>316</v>
      </c>
      <c r="E3027" t="s">
        <v>114</v>
      </c>
      <c r="F3027" t="s">
        <v>304</v>
      </c>
      <c r="G3027" t="s">
        <v>9</v>
      </c>
      <c r="H3027">
        <v>2031.0</v>
      </c>
      <c r="I3027" t="s">
        <v>31</v>
      </c>
      <c r="J3027" t="s">
        <v>99</v>
      </c>
      <c r="K3027" t="s">
        <v>43</v>
      </c>
      <c r="L3027" t="s">
        <v>44</v>
      </c>
      <c r="M3027">
        <v>463.47999999999996</v>
      </c>
    </row>
    <row r="3028">
      <c r="A3028" s="2">
        <v>45819</v>
      </c>
      <c r="B3028">
        <v>2025.0</v>
      </c>
      <c r="C3028" t="s">
        <v>315</v>
      </c>
      <c r="D3028" t="s">
        <v>316</v>
      </c>
      <c r="E3028" t="s">
        <v>181</v>
      </c>
      <c r="F3028" t="s">
        <v>306</v>
      </c>
      <c r="G3028" t="s">
        <v>11</v>
      </c>
      <c r="H3028">
        <v>4119.0</v>
      </c>
      <c r="I3028" t="s">
        <v>31</v>
      </c>
      <c r="J3028" t="s">
        <v>56</v>
      </c>
      <c r="K3028" t="s">
        <v>43</v>
      </c>
      <c r="L3028" t="s">
        <v>44</v>
      </c>
      <c r="M3028">
        <v>463.95000000000005</v>
      </c>
    </row>
    <row r="3029">
      <c r="A3029" s="2">
        <v>45680</v>
      </c>
      <c r="B3029">
        <v>2025.0</v>
      </c>
      <c r="C3029" t="s">
        <v>315</v>
      </c>
      <c r="D3029" t="s">
        <v>319</v>
      </c>
      <c r="E3029" t="s">
        <v>141</v>
      </c>
      <c r="F3029" t="s">
        <v>304</v>
      </c>
      <c r="G3029" t="s">
        <v>9</v>
      </c>
      <c r="H3029">
        <v>2539.0</v>
      </c>
      <c r="I3029" t="s">
        <v>31</v>
      </c>
      <c r="J3029" t="s">
        <v>107</v>
      </c>
      <c r="K3029" t="s">
        <v>46</v>
      </c>
      <c r="L3029" t="s">
        <v>47</v>
      </c>
      <c r="M3029">
        <v>464.53</v>
      </c>
    </row>
    <row r="3030">
      <c r="A3030" s="2">
        <v>45911</v>
      </c>
      <c r="B3030">
        <v>2026.0</v>
      </c>
      <c r="C3030" t="s">
        <v>321</v>
      </c>
      <c r="D3030" t="s">
        <v>316</v>
      </c>
      <c r="E3030" t="s">
        <v>152</v>
      </c>
      <c r="F3030" t="s">
        <v>306</v>
      </c>
      <c r="G3030" t="s">
        <v>11</v>
      </c>
      <c r="H3030">
        <v>4305.0</v>
      </c>
      <c r="I3030" t="s">
        <v>31</v>
      </c>
      <c r="J3030" t="s">
        <v>61</v>
      </c>
      <c r="K3030" t="s">
        <v>71</v>
      </c>
      <c r="L3030" t="s">
        <v>72</v>
      </c>
      <c r="M3030">
        <v>465.56</v>
      </c>
    </row>
    <row r="3031">
      <c r="A3031" s="2">
        <v>45894</v>
      </c>
      <c r="B3031">
        <v>2026.0</v>
      </c>
      <c r="C3031" t="s">
        <v>321</v>
      </c>
      <c r="D3031" t="s">
        <v>316</v>
      </c>
      <c r="E3031" t="s">
        <v>87</v>
      </c>
      <c r="F3031" t="s">
        <v>305</v>
      </c>
      <c r="G3031" t="s">
        <v>10</v>
      </c>
      <c r="H3031">
        <v>3148.0</v>
      </c>
      <c r="I3031" t="s">
        <v>31</v>
      </c>
      <c r="J3031" t="s">
        <v>89</v>
      </c>
      <c r="K3031" t="s">
        <v>33</v>
      </c>
      <c r="L3031" t="s">
        <v>34</v>
      </c>
      <c r="M3031">
        <v>465.92</v>
      </c>
    </row>
    <row r="3032">
      <c r="A3032" s="2">
        <v>45410</v>
      </c>
      <c r="B3032">
        <v>2024.0</v>
      </c>
      <c r="C3032" t="s">
        <v>318</v>
      </c>
      <c r="D3032" t="s">
        <v>316</v>
      </c>
      <c r="E3032" t="s">
        <v>260</v>
      </c>
      <c r="F3032" t="s">
        <v>305</v>
      </c>
      <c r="G3032" t="s">
        <v>10</v>
      </c>
      <c r="H3032">
        <v>3179.0</v>
      </c>
      <c r="I3032" t="s">
        <v>31</v>
      </c>
      <c r="J3032" t="s">
        <v>89</v>
      </c>
      <c r="K3032" t="s">
        <v>57</v>
      </c>
      <c r="L3032" t="s">
        <v>58</v>
      </c>
      <c r="M3032">
        <v>466.74</v>
      </c>
    </row>
    <row r="3033">
      <c r="A3033" s="2">
        <v>45790</v>
      </c>
      <c r="B3033">
        <v>2025.0</v>
      </c>
      <c r="C3033" t="s">
        <v>315</v>
      </c>
      <c r="D3033" t="s">
        <v>316</v>
      </c>
      <c r="E3033" t="s">
        <v>221</v>
      </c>
      <c r="F3033" t="s">
        <v>306</v>
      </c>
      <c r="G3033" t="s">
        <v>11</v>
      </c>
      <c r="H3033">
        <v>4053.0</v>
      </c>
      <c r="I3033" t="s">
        <v>31</v>
      </c>
      <c r="J3033" t="s">
        <v>56</v>
      </c>
      <c r="K3033" t="s">
        <v>46</v>
      </c>
      <c r="L3033" t="s">
        <v>47</v>
      </c>
      <c r="M3033">
        <v>466.78999999999996</v>
      </c>
    </row>
    <row r="3034">
      <c r="A3034" s="2">
        <v>45889</v>
      </c>
      <c r="B3034">
        <v>2026.0</v>
      </c>
      <c r="C3034" t="s">
        <v>321</v>
      </c>
      <c r="D3034" t="s">
        <v>316</v>
      </c>
      <c r="E3034" t="s">
        <v>110</v>
      </c>
      <c r="F3034" t="s">
        <v>304</v>
      </c>
      <c r="G3034" t="s">
        <v>9</v>
      </c>
      <c r="H3034">
        <v>2101.0</v>
      </c>
      <c r="I3034" t="s">
        <v>31</v>
      </c>
      <c r="J3034" t="s">
        <v>81</v>
      </c>
      <c r="K3034" t="s">
        <v>43</v>
      </c>
      <c r="L3034" t="s">
        <v>44</v>
      </c>
      <c r="M3034">
        <v>467.03999999999996</v>
      </c>
    </row>
    <row r="3035">
      <c r="A3035" s="2">
        <v>45880</v>
      </c>
      <c r="B3035">
        <v>2026.0</v>
      </c>
      <c r="C3035" t="s">
        <v>321</v>
      </c>
      <c r="D3035" t="s">
        <v>319</v>
      </c>
      <c r="E3035" t="s">
        <v>118</v>
      </c>
      <c r="F3035" t="s">
        <v>305</v>
      </c>
      <c r="G3035" t="s">
        <v>10</v>
      </c>
      <c r="H3035">
        <v>3076.0</v>
      </c>
      <c r="I3035" t="s">
        <v>31</v>
      </c>
      <c r="J3035" t="s">
        <v>120</v>
      </c>
      <c r="K3035" t="s">
        <v>123</v>
      </c>
      <c r="L3035" t="s">
        <v>124</v>
      </c>
      <c r="M3035">
        <v>467.08000000000004</v>
      </c>
    </row>
    <row r="3036">
      <c r="A3036" s="2">
        <v>45702</v>
      </c>
      <c r="B3036">
        <v>2025.0</v>
      </c>
      <c r="C3036" t="s">
        <v>315</v>
      </c>
      <c r="D3036" t="s">
        <v>316</v>
      </c>
      <c r="E3036" t="s">
        <v>129</v>
      </c>
      <c r="F3036" t="s">
        <v>305</v>
      </c>
      <c r="G3036" t="s">
        <v>10</v>
      </c>
      <c r="H3036">
        <v>3066.0</v>
      </c>
      <c r="I3036" t="s">
        <v>31</v>
      </c>
      <c r="J3036" t="s">
        <v>120</v>
      </c>
      <c r="K3036" t="s">
        <v>95</v>
      </c>
      <c r="L3036" t="s">
        <v>96</v>
      </c>
      <c r="M3036">
        <v>467.8</v>
      </c>
    </row>
    <row r="3037">
      <c r="A3037" s="2">
        <v>45299</v>
      </c>
      <c r="B3037">
        <v>2024.0</v>
      </c>
      <c r="C3037" t="s">
        <v>318</v>
      </c>
      <c r="D3037" t="s">
        <v>316</v>
      </c>
      <c r="E3037" t="s">
        <v>135</v>
      </c>
      <c r="F3037" t="s">
        <v>311</v>
      </c>
      <c r="G3037" t="s">
        <v>16</v>
      </c>
      <c r="H3037">
        <v>2609.0</v>
      </c>
      <c r="I3037" t="s">
        <v>31</v>
      </c>
      <c r="J3037" t="s">
        <v>107</v>
      </c>
      <c r="K3037" t="s">
        <v>95</v>
      </c>
      <c r="L3037" t="s">
        <v>96</v>
      </c>
      <c r="M3037">
        <v>468.84000000000003</v>
      </c>
    </row>
    <row r="3038">
      <c r="A3038" s="2">
        <v>45319</v>
      </c>
      <c r="B3038">
        <v>2024.0</v>
      </c>
      <c r="C3038" t="s">
        <v>318</v>
      </c>
      <c r="D3038" t="s">
        <v>316</v>
      </c>
      <c r="E3038" t="s">
        <v>209</v>
      </c>
      <c r="F3038" t="s">
        <v>304</v>
      </c>
      <c r="G3038" t="s">
        <v>9</v>
      </c>
      <c r="H3038">
        <v>2116.0</v>
      </c>
      <c r="I3038" t="s">
        <v>31</v>
      </c>
      <c r="J3038" t="s">
        <v>81</v>
      </c>
      <c r="K3038" t="s">
        <v>38</v>
      </c>
      <c r="L3038" t="s">
        <v>39</v>
      </c>
      <c r="M3038">
        <v>469.28000000000003</v>
      </c>
    </row>
    <row r="3039">
      <c r="A3039" s="2">
        <v>45598</v>
      </c>
      <c r="B3039">
        <v>2025.0</v>
      </c>
      <c r="C3039" t="s">
        <v>315</v>
      </c>
      <c r="D3039" t="s">
        <v>316</v>
      </c>
      <c r="E3039" t="s">
        <v>156</v>
      </c>
      <c r="F3039" t="s">
        <v>304</v>
      </c>
      <c r="G3039" t="s">
        <v>9</v>
      </c>
      <c r="H3039">
        <v>2830.0</v>
      </c>
      <c r="I3039" t="s">
        <v>31</v>
      </c>
      <c r="J3039" t="s">
        <v>75</v>
      </c>
      <c r="K3039" t="s">
        <v>38</v>
      </c>
      <c r="L3039" t="s">
        <v>39</v>
      </c>
      <c r="M3039">
        <v>469.70000000000005</v>
      </c>
    </row>
    <row r="3040">
      <c r="A3040" s="2">
        <v>45549</v>
      </c>
      <c r="B3040">
        <v>2025.0</v>
      </c>
      <c r="C3040" t="s">
        <v>315</v>
      </c>
      <c r="D3040" t="s">
        <v>316</v>
      </c>
      <c r="E3040" t="s">
        <v>246</v>
      </c>
      <c r="F3040" t="s">
        <v>305</v>
      </c>
      <c r="G3040" t="s">
        <v>10</v>
      </c>
      <c r="H3040">
        <v>3551.0</v>
      </c>
      <c r="I3040" t="s">
        <v>31</v>
      </c>
      <c r="J3040" t="s">
        <v>37</v>
      </c>
      <c r="K3040" t="s">
        <v>123</v>
      </c>
      <c r="L3040" t="s">
        <v>124</v>
      </c>
      <c r="M3040">
        <v>470.18</v>
      </c>
    </row>
    <row r="3041">
      <c r="A3041" s="2">
        <v>45431</v>
      </c>
      <c r="B3041">
        <v>2024.0</v>
      </c>
      <c r="C3041" t="s">
        <v>318</v>
      </c>
      <c r="D3041" t="s">
        <v>316</v>
      </c>
      <c r="E3041" t="s">
        <v>121</v>
      </c>
      <c r="F3041" t="s">
        <v>306</v>
      </c>
      <c r="G3041" t="s">
        <v>11</v>
      </c>
      <c r="H3041">
        <v>4566.0</v>
      </c>
      <c r="I3041" t="s">
        <v>31</v>
      </c>
      <c r="J3041" t="s">
        <v>84</v>
      </c>
      <c r="K3041" t="s">
        <v>57</v>
      </c>
      <c r="L3041" t="s">
        <v>58</v>
      </c>
      <c r="M3041">
        <v>470.95</v>
      </c>
    </row>
    <row r="3042">
      <c r="A3042" s="2">
        <v>45549</v>
      </c>
      <c r="B3042">
        <v>2025.0</v>
      </c>
      <c r="C3042" t="s">
        <v>315</v>
      </c>
      <c r="D3042" t="s">
        <v>316</v>
      </c>
      <c r="E3042" t="s">
        <v>129</v>
      </c>
      <c r="F3042" t="s">
        <v>305</v>
      </c>
      <c r="G3042" t="s">
        <v>10</v>
      </c>
      <c r="H3042">
        <v>3066.0</v>
      </c>
      <c r="I3042" t="s">
        <v>31</v>
      </c>
      <c r="J3042" t="s">
        <v>120</v>
      </c>
      <c r="K3042" t="s">
        <v>57</v>
      </c>
      <c r="L3042" t="s">
        <v>58</v>
      </c>
      <c r="M3042">
        <v>471.09999999999997</v>
      </c>
    </row>
    <row r="3043">
      <c r="A3043" s="2">
        <v>45846</v>
      </c>
      <c r="B3043">
        <v>2026.0</v>
      </c>
      <c r="C3043" t="s">
        <v>321</v>
      </c>
      <c r="D3043" t="s">
        <v>319</v>
      </c>
      <c r="E3043" t="s">
        <v>234</v>
      </c>
      <c r="F3043" t="s">
        <v>304</v>
      </c>
      <c r="G3043" t="s">
        <v>9</v>
      </c>
      <c r="H3043">
        <v>2158.0</v>
      </c>
      <c r="I3043" t="s">
        <v>31</v>
      </c>
      <c r="J3043" t="s">
        <v>81</v>
      </c>
      <c r="K3043" t="s">
        <v>38</v>
      </c>
      <c r="L3043" t="s">
        <v>39</v>
      </c>
      <c r="M3043">
        <v>471.15</v>
      </c>
    </row>
    <row r="3044">
      <c r="A3044" s="2">
        <v>45370</v>
      </c>
      <c r="B3044">
        <v>2024.0</v>
      </c>
      <c r="C3044" t="s">
        <v>318</v>
      </c>
      <c r="D3044" t="s">
        <v>316</v>
      </c>
      <c r="E3044" t="s">
        <v>156</v>
      </c>
      <c r="F3044" t="s">
        <v>304</v>
      </c>
      <c r="G3044" t="s">
        <v>9</v>
      </c>
      <c r="H3044">
        <v>2830.0</v>
      </c>
      <c r="I3044" t="s">
        <v>31</v>
      </c>
      <c r="J3044" t="s">
        <v>75</v>
      </c>
      <c r="K3044" t="s">
        <v>95</v>
      </c>
      <c r="L3044" t="s">
        <v>96</v>
      </c>
      <c r="M3044">
        <v>471.98999999999995</v>
      </c>
    </row>
    <row r="3045">
      <c r="A3045" s="2">
        <v>45370</v>
      </c>
      <c r="B3045">
        <v>2024.0</v>
      </c>
      <c r="C3045" t="s">
        <v>318</v>
      </c>
      <c r="D3045" t="s">
        <v>316</v>
      </c>
      <c r="E3045" t="s">
        <v>139</v>
      </c>
      <c r="F3045" t="s">
        <v>305</v>
      </c>
      <c r="G3045" t="s">
        <v>10</v>
      </c>
      <c r="H3045">
        <v>3199.0</v>
      </c>
      <c r="I3045" t="s">
        <v>31</v>
      </c>
      <c r="J3045" t="s">
        <v>89</v>
      </c>
      <c r="K3045" t="s">
        <v>57</v>
      </c>
      <c r="L3045" t="s">
        <v>58</v>
      </c>
      <c r="M3045">
        <v>472.0</v>
      </c>
    </row>
    <row r="3046">
      <c r="A3046" s="2">
        <v>45491</v>
      </c>
      <c r="B3046">
        <v>2025.0</v>
      </c>
      <c r="C3046" t="s">
        <v>315</v>
      </c>
      <c r="D3046" t="s">
        <v>316</v>
      </c>
      <c r="E3046" t="s">
        <v>97</v>
      </c>
      <c r="F3046" t="s">
        <v>304</v>
      </c>
      <c r="G3046" t="s">
        <v>9</v>
      </c>
      <c r="H3046">
        <v>2067.0</v>
      </c>
      <c r="I3046" t="s">
        <v>31</v>
      </c>
      <c r="J3046" t="s">
        <v>99</v>
      </c>
      <c r="K3046" t="s">
        <v>112</v>
      </c>
      <c r="L3046" t="s">
        <v>113</v>
      </c>
      <c r="M3046">
        <v>472.71999999999997</v>
      </c>
    </row>
    <row r="3047">
      <c r="A3047" s="2">
        <v>45834</v>
      </c>
      <c r="B3047">
        <v>2025.0</v>
      </c>
      <c r="C3047" t="s">
        <v>315</v>
      </c>
      <c r="D3047" t="s">
        <v>319</v>
      </c>
      <c r="E3047" t="s">
        <v>141</v>
      </c>
      <c r="F3047" t="s">
        <v>304</v>
      </c>
      <c r="G3047" t="s">
        <v>9</v>
      </c>
      <c r="H3047">
        <v>2539.0</v>
      </c>
      <c r="I3047" t="s">
        <v>31</v>
      </c>
      <c r="J3047" t="s">
        <v>107</v>
      </c>
      <c r="K3047" t="s">
        <v>123</v>
      </c>
      <c r="L3047" t="s">
        <v>124</v>
      </c>
      <c r="M3047">
        <v>472.74</v>
      </c>
    </row>
    <row r="3048">
      <c r="A3048" s="2">
        <v>45777</v>
      </c>
      <c r="B3048">
        <v>2025.0</v>
      </c>
      <c r="C3048" t="s">
        <v>315</v>
      </c>
      <c r="D3048" t="s">
        <v>316</v>
      </c>
      <c r="E3048" t="s">
        <v>205</v>
      </c>
      <c r="F3048" t="s">
        <v>305</v>
      </c>
      <c r="G3048" t="s">
        <v>10</v>
      </c>
      <c r="H3048">
        <v>3400.0</v>
      </c>
      <c r="I3048" t="s">
        <v>31</v>
      </c>
      <c r="J3048" t="s">
        <v>37</v>
      </c>
      <c r="K3048" t="s">
        <v>46</v>
      </c>
      <c r="L3048" t="s">
        <v>47</v>
      </c>
      <c r="M3048">
        <v>474.06999999999994</v>
      </c>
    </row>
    <row r="3049">
      <c r="A3049" s="2">
        <v>45740</v>
      </c>
      <c r="B3049">
        <v>2025.0</v>
      </c>
      <c r="C3049" t="s">
        <v>315</v>
      </c>
      <c r="D3049" t="s">
        <v>316</v>
      </c>
      <c r="E3049" t="s">
        <v>179</v>
      </c>
      <c r="F3049" t="s">
        <v>304</v>
      </c>
      <c r="G3049" t="s">
        <v>9</v>
      </c>
      <c r="H3049">
        <v>2015.0</v>
      </c>
      <c r="I3049" t="s">
        <v>31</v>
      </c>
      <c r="J3049" t="s">
        <v>99</v>
      </c>
      <c r="K3049" t="s">
        <v>38</v>
      </c>
      <c r="L3049" t="s">
        <v>39</v>
      </c>
      <c r="M3049">
        <v>475.81000000000006</v>
      </c>
    </row>
    <row r="3050">
      <c r="A3050" s="2">
        <v>45481</v>
      </c>
      <c r="B3050">
        <v>2025.0</v>
      </c>
      <c r="C3050" t="s">
        <v>315</v>
      </c>
      <c r="D3050" t="s">
        <v>316</v>
      </c>
      <c r="E3050" t="s">
        <v>187</v>
      </c>
      <c r="F3050" t="s">
        <v>306</v>
      </c>
      <c r="G3050" t="s">
        <v>11</v>
      </c>
      <c r="H3050">
        <v>4870.0</v>
      </c>
      <c r="I3050" t="s">
        <v>31</v>
      </c>
      <c r="J3050" t="s">
        <v>78</v>
      </c>
      <c r="K3050" t="s">
        <v>123</v>
      </c>
      <c r="L3050" t="s">
        <v>124</v>
      </c>
      <c r="M3050">
        <v>476.36999999999995</v>
      </c>
    </row>
    <row r="3051">
      <c r="A3051" s="2">
        <v>45491</v>
      </c>
      <c r="B3051">
        <v>2025.0</v>
      </c>
      <c r="C3051" t="s">
        <v>315</v>
      </c>
      <c r="D3051" t="s">
        <v>316</v>
      </c>
      <c r="E3051" t="s">
        <v>203</v>
      </c>
      <c r="F3051" t="s">
        <v>305</v>
      </c>
      <c r="G3051" t="s">
        <v>10</v>
      </c>
      <c r="H3051">
        <v>3175.0</v>
      </c>
      <c r="I3051" t="s">
        <v>31</v>
      </c>
      <c r="J3051" t="s">
        <v>89</v>
      </c>
      <c r="K3051" t="s">
        <v>38</v>
      </c>
      <c r="L3051" t="s">
        <v>39</v>
      </c>
      <c r="M3051">
        <v>477.81</v>
      </c>
    </row>
    <row r="3052">
      <c r="A3052" s="2">
        <v>45356</v>
      </c>
      <c r="B3052">
        <v>2024.0</v>
      </c>
      <c r="C3052" t="s">
        <v>318</v>
      </c>
      <c r="D3052" t="s">
        <v>316</v>
      </c>
      <c r="E3052" t="s">
        <v>156</v>
      </c>
      <c r="F3052" t="s">
        <v>304</v>
      </c>
      <c r="G3052" t="s">
        <v>9</v>
      </c>
      <c r="H3052">
        <v>2830.0</v>
      </c>
      <c r="I3052" t="s">
        <v>31</v>
      </c>
      <c r="J3052" t="s">
        <v>75</v>
      </c>
      <c r="K3052" t="s">
        <v>57</v>
      </c>
      <c r="L3052" t="s">
        <v>58</v>
      </c>
      <c r="M3052">
        <v>479.32</v>
      </c>
    </row>
    <row r="3053">
      <c r="A3053" s="2">
        <v>45884</v>
      </c>
      <c r="B3053">
        <v>2026.0</v>
      </c>
      <c r="C3053" t="s">
        <v>321</v>
      </c>
      <c r="D3053" t="s">
        <v>319</v>
      </c>
      <c r="E3053" t="s">
        <v>223</v>
      </c>
      <c r="F3053" t="s">
        <v>305</v>
      </c>
      <c r="G3053" t="s">
        <v>10</v>
      </c>
      <c r="H3053">
        <v>3915.0</v>
      </c>
      <c r="I3053" t="s">
        <v>31</v>
      </c>
      <c r="J3053" t="s">
        <v>94</v>
      </c>
      <c r="K3053" t="s">
        <v>46</v>
      </c>
      <c r="L3053" t="s">
        <v>47</v>
      </c>
      <c r="M3053">
        <v>479.47</v>
      </c>
    </row>
    <row r="3054">
      <c r="A3054" s="2">
        <v>45508</v>
      </c>
      <c r="B3054">
        <v>2025.0</v>
      </c>
      <c r="C3054" t="s">
        <v>315</v>
      </c>
      <c r="D3054" t="s">
        <v>316</v>
      </c>
      <c r="E3054" t="s">
        <v>179</v>
      </c>
      <c r="F3054" t="s">
        <v>304</v>
      </c>
      <c r="G3054" t="s">
        <v>9</v>
      </c>
      <c r="H3054">
        <v>2015.0</v>
      </c>
      <c r="I3054" t="s">
        <v>31</v>
      </c>
      <c r="J3054" t="s">
        <v>99</v>
      </c>
      <c r="K3054" t="s">
        <v>95</v>
      </c>
      <c r="L3054" t="s">
        <v>96</v>
      </c>
      <c r="M3054">
        <v>480.2</v>
      </c>
    </row>
    <row r="3055">
      <c r="A3055" s="2">
        <v>45443</v>
      </c>
      <c r="B3055">
        <v>2024.0</v>
      </c>
      <c r="C3055" t="s">
        <v>318</v>
      </c>
      <c r="D3055" t="s">
        <v>316</v>
      </c>
      <c r="E3055" t="s">
        <v>76</v>
      </c>
      <c r="F3055" t="s">
        <v>306</v>
      </c>
      <c r="G3055" t="s">
        <v>11</v>
      </c>
      <c r="H3055">
        <v>4883.0</v>
      </c>
      <c r="I3055" t="s">
        <v>31</v>
      </c>
      <c r="J3055" t="s">
        <v>78</v>
      </c>
      <c r="K3055" t="s">
        <v>71</v>
      </c>
      <c r="L3055" t="s">
        <v>72</v>
      </c>
      <c r="M3055">
        <v>481.2</v>
      </c>
    </row>
    <row r="3056">
      <c r="A3056" s="2">
        <v>45883</v>
      </c>
      <c r="B3056">
        <v>2026.0</v>
      </c>
      <c r="C3056" t="s">
        <v>321</v>
      </c>
      <c r="D3056" t="s">
        <v>316</v>
      </c>
      <c r="E3056" t="s">
        <v>73</v>
      </c>
      <c r="F3056" t="s">
        <v>304</v>
      </c>
      <c r="G3056" t="s">
        <v>9</v>
      </c>
      <c r="H3056">
        <v>2750.0</v>
      </c>
      <c r="I3056" t="s">
        <v>31</v>
      </c>
      <c r="J3056" t="s">
        <v>75</v>
      </c>
      <c r="K3056" t="s">
        <v>71</v>
      </c>
      <c r="L3056" t="s">
        <v>72</v>
      </c>
      <c r="M3056">
        <v>481.61</v>
      </c>
    </row>
    <row r="3057">
      <c r="A3057" s="2">
        <v>45403</v>
      </c>
      <c r="B3057">
        <v>2024.0</v>
      </c>
      <c r="C3057" t="s">
        <v>318</v>
      </c>
      <c r="D3057" t="s">
        <v>316</v>
      </c>
      <c r="E3057" t="s">
        <v>242</v>
      </c>
      <c r="F3057" t="s">
        <v>305</v>
      </c>
      <c r="G3057" t="s">
        <v>10</v>
      </c>
      <c r="H3057">
        <v>3977.0</v>
      </c>
      <c r="I3057" t="s">
        <v>31</v>
      </c>
      <c r="J3057" t="s">
        <v>94</v>
      </c>
      <c r="K3057" t="s">
        <v>57</v>
      </c>
      <c r="L3057" t="s">
        <v>58</v>
      </c>
      <c r="M3057">
        <v>481.89</v>
      </c>
    </row>
    <row r="3058">
      <c r="A3058" s="2">
        <v>45466</v>
      </c>
      <c r="B3058">
        <v>2024.0</v>
      </c>
      <c r="C3058" t="s">
        <v>318</v>
      </c>
      <c r="D3058" t="s">
        <v>316</v>
      </c>
      <c r="E3058" t="s">
        <v>199</v>
      </c>
      <c r="F3058" t="s">
        <v>308</v>
      </c>
      <c r="G3058" t="s">
        <v>13</v>
      </c>
      <c r="H3058">
        <v>5169.0</v>
      </c>
      <c r="I3058" t="s">
        <v>31</v>
      </c>
      <c r="J3058" t="s">
        <v>42</v>
      </c>
      <c r="K3058" t="s">
        <v>33</v>
      </c>
      <c r="L3058" t="s">
        <v>34</v>
      </c>
      <c r="M3058">
        <v>483.34</v>
      </c>
    </row>
    <row r="3059">
      <c r="A3059" s="2">
        <v>45971</v>
      </c>
      <c r="B3059">
        <v>2026.0</v>
      </c>
      <c r="C3059" t="s">
        <v>321</v>
      </c>
      <c r="D3059" t="s">
        <v>316</v>
      </c>
      <c r="E3059" t="s">
        <v>221</v>
      </c>
      <c r="F3059" t="s">
        <v>306</v>
      </c>
      <c r="G3059" t="s">
        <v>11</v>
      </c>
      <c r="H3059">
        <v>4053.0</v>
      </c>
      <c r="I3059" t="s">
        <v>31</v>
      </c>
      <c r="J3059" t="s">
        <v>56</v>
      </c>
      <c r="K3059" t="s">
        <v>71</v>
      </c>
      <c r="L3059" t="s">
        <v>72</v>
      </c>
      <c r="M3059">
        <v>484.14</v>
      </c>
    </row>
    <row r="3060">
      <c r="A3060" s="2">
        <v>45336</v>
      </c>
      <c r="B3060">
        <v>2024.0</v>
      </c>
      <c r="C3060" t="s">
        <v>318</v>
      </c>
      <c r="D3060" t="s">
        <v>319</v>
      </c>
      <c r="E3060" t="s">
        <v>143</v>
      </c>
      <c r="F3060" t="s">
        <v>309</v>
      </c>
      <c r="G3060" t="s">
        <v>14</v>
      </c>
      <c r="H3060">
        <v>800.0</v>
      </c>
      <c r="I3060" t="s">
        <v>31</v>
      </c>
      <c r="J3060" t="s">
        <v>145</v>
      </c>
      <c r="K3060" t="s">
        <v>43</v>
      </c>
      <c r="L3060" t="s">
        <v>44</v>
      </c>
      <c r="M3060">
        <v>484.4</v>
      </c>
    </row>
    <row r="3061">
      <c r="A3061" s="2">
        <v>45812</v>
      </c>
      <c r="B3061">
        <v>2025.0</v>
      </c>
      <c r="C3061" t="s">
        <v>315</v>
      </c>
      <c r="D3061" t="s">
        <v>319</v>
      </c>
      <c r="E3061" t="s">
        <v>223</v>
      </c>
      <c r="F3061" t="s">
        <v>305</v>
      </c>
      <c r="G3061" t="s">
        <v>10</v>
      </c>
      <c r="H3061">
        <v>3915.0</v>
      </c>
      <c r="I3061" t="s">
        <v>31</v>
      </c>
      <c r="J3061" t="s">
        <v>94</v>
      </c>
      <c r="K3061" t="s">
        <v>57</v>
      </c>
      <c r="L3061" t="s">
        <v>58</v>
      </c>
      <c r="M3061">
        <v>484.84</v>
      </c>
    </row>
    <row r="3062">
      <c r="A3062" s="2">
        <v>45316</v>
      </c>
      <c r="B3062">
        <v>2024.0</v>
      </c>
      <c r="C3062" t="s">
        <v>318</v>
      </c>
      <c r="D3062" t="s">
        <v>319</v>
      </c>
      <c r="E3062" t="s">
        <v>62</v>
      </c>
      <c r="F3062" t="s">
        <v>307</v>
      </c>
      <c r="G3062" t="s">
        <v>12</v>
      </c>
      <c r="H3062">
        <v>6530.0</v>
      </c>
      <c r="I3062" t="s">
        <v>31</v>
      </c>
      <c r="J3062" t="s">
        <v>50</v>
      </c>
      <c r="K3062" t="s">
        <v>71</v>
      </c>
      <c r="L3062" t="s">
        <v>72</v>
      </c>
      <c r="M3062">
        <v>485.51</v>
      </c>
    </row>
    <row r="3063">
      <c r="A3063" s="2">
        <v>45637</v>
      </c>
      <c r="B3063">
        <v>2025.0</v>
      </c>
      <c r="C3063" t="s">
        <v>315</v>
      </c>
      <c r="D3063" t="s">
        <v>319</v>
      </c>
      <c r="E3063" t="s">
        <v>163</v>
      </c>
      <c r="F3063" t="s">
        <v>304</v>
      </c>
      <c r="G3063" t="s">
        <v>9</v>
      </c>
      <c r="H3063">
        <v>2154.0</v>
      </c>
      <c r="I3063" t="s">
        <v>31</v>
      </c>
      <c r="J3063" t="s">
        <v>81</v>
      </c>
      <c r="K3063" t="s">
        <v>95</v>
      </c>
      <c r="L3063" t="s">
        <v>96</v>
      </c>
      <c r="M3063">
        <v>485.62</v>
      </c>
    </row>
    <row r="3064">
      <c r="A3064" s="2">
        <v>45738</v>
      </c>
      <c r="B3064">
        <v>2025.0</v>
      </c>
      <c r="C3064" t="s">
        <v>315</v>
      </c>
      <c r="D3064" t="s">
        <v>319</v>
      </c>
      <c r="E3064" t="s">
        <v>143</v>
      </c>
      <c r="F3064" t="s">
        <v>309</v>
      </c>
      <c r="G3064" t="s">
        <v>14</v>
      </c>
      <c r="H3064">
        <v>800.0</v>
      </c>
      <c r="I3064" t="s">
        <v>31</v>
      </c>
      <c r="J3064" t="s">
        <v>145</v>
      </c>
      <c r="K3064" t="s">
        <v>123</v>
      </c>
      <c r="L3064" t="s">
        <v>124</v>
      </c>
      <c r="M3064">
        <v>485.74</v>
      </c>
    </row>
    <row r="3065">
      <c r="A3065" s="2">
        <v>45957</v>
      </c>
      <c r="B3065">
        <v>2026.0</v>
      </c>
      <c r="C3065" t="s">
        <v>321</v>
      </c>
      <c r="D3065" t="s">
        <v>319</v>
      </c>
      <c r="E3065" t="s">
        <v>213</v>
      </c>
      <c r="F3065" t="s">
        <v>306</v>
      </c>
      <c r="G3065" t="s">
        <v>11</v>
      </c>
      <c r="H3065">
        <v>4740.0</v>
      </c>
      <c r="I3065" t="s">
        <v>31</v>
      </c>
      <c r="J3065" t="s">
        <v>32</v>
      </c>
      <c r="K3065" t="s">
        <v>46</v>
      </c>
      <c r="L3065" t="s">
        <v>47</v>
      </c>
      <c r="M3065">
        <v>486.94</v>
      </c>
    </row>
    <row r="3066">
      <c r="A3066" s="2">
        <v>45975</v>
      </c>
      <c r="B3066">
        <v>2026.0</v>
      </c>
      <c r="C3066" t="s">
        <v>321</v>
      </c>
      <c r="D3066" t="s">
        <v>319</v>
      </c>
      <c r="E3066" t="s">
        <v>171</v>
      </c>
      <c r="F3066" t="s">
        <v>305</v>
      </c>
      <c r="G3066" t="s">
        <v>10</v>
      </c>
      <c r="H3066">
        <v>3500.0</v>
      </c>
      <c r="I3066" t="s">
        <v>31</v>
      </c>
      <c r="J3066" t="s">
        <v>37</v>
      </c>
      <c r="K3066" t="s">
        <v>71</v>
      </c>
      <c r="L3066" t="s">
        <v>72</v>
      </c>
      <c r="M3066">
        <v>487.0400000000001</v>
      </c>
    </row>
    <row r="3067">
      <c r="A3067" s="2">
        <v>45940</v>
      </c>
      <c r="B3067">
        <v>2026.0</v>
      </c>
      <c r="C3067" t="s">
        <v>321</v>
      </c>
      <c r="D3067" t="s">
        <v>316</v>
      </c>
      <c r="E3067" t="s">
        <v>242</v>
      </c>
      <c r="F3067" t="s">
        <v>305</v>
      </c>
      <c r="G3067" t="s">
        <v>10</v>
      </c>
      <c r="H3067">
        <v>3977.0</v>
      </c>
      <c r="I3067" t="s">
        <v>31</v>
      </c>
      <c r="J3067" t="s">
        <v>94</v>
      </c>
      <c r="K3067" t="s">
        <v>95</v>
      </c>
      <c r="L3067" t="s">
        <v>96</v>
      </c>
      <c r="M3067">
        <v>487.23</v>
      </c>
    </row>
    <row r="3068">
      <c r="A3068" s="2">
        <v>45455</v>
      </c>
      <c r="B3068">
        <v>2024.0</v>
      </c>
      <c r="C3068" t="s">
        <v>318</v>
      </c>
      <c r="D3068" t="s">
        <v>319</v>
      </c>
      <c r="E3068" t="s">
        <v>143</v>
      </c>
      <c r="F3068" t="s">
        <v>309</v>
      </c>
      <c r="G3068" t="s">
        <v>14</v>
      </c>
      <c r="H3068">
        <v>800.0</v>
      </c>
      <c r="I3068" t="s">
        <v>31</v>
      </c>
      <c r="J3068" t="s">
        <v>145</v>
      </c>
      <c r="K3068" t="s">
        <v>46</v>
      </c>
      <c r="L3068" t="s">
        <v>47</v>
      </c>
      <c r="M3068">
        <v>487.56</v>
      </c>
    </row>
    <row r="3069">
      <c r="A3069" s="2">
        <v>45703</v>
      </c>
      <c r="B3069">
        <v>2025.0</v>
      </c>
      <c r="C3069" t="s">
        <v>315</v>
      </c>
      <c r="D3069" t="s">
        <v>316</v>
      </c>
      <c r="E3069" t="s">
        <v>187</v>
      </c>
      <c r="F3069" t="s">
        <v>306</v>
      </c>
      <c r="G3069" t="s">
        <v>11</v>
      </c>
      <c r="H3069">
        <v>4870.0</v>
      </c>
      <c r="I3069" t="s">
        <v>31</v>
      </c>
      <c r="J3069" t="s">
        <v>78</v>
      </c>
      <c r="K3069" t="s">
        <v>33</v>
      </c>
      <c r="L3069" t="s">
        <v>34</v>
      </c>
      <c r="M3069">
        <v>487.58</v>
      </c>
    </row>
    <row r="3070">
      <c r="A3070" s="2">
        <v>45530</v>
      </c>
      <c r="B3070">
        <v>2025.0</v>
      </c>
      <c r="C3070" t="s">
        <v>315</v>
      </c>
      <c r="D3070" t="s">
        <v>316</v>
      </c>
      <c r="E3070" t="s">
        <v>148</v>
      </c>
      <c r="F3070" t="s">
        <v>307</v>
      </c>
      <c r="G3070" t="s">
        <v>12</v>
      </c>
      <c r="H3070">
        <v>6450.0</v>
      </c>
      <c r="I3070" t="s">
        <v>31</v>
      </c>
      <c r="J3070" t="s">
        <v>50</v>
      </c>
      <c r="K3070" t="s">
        <v>71</v>
      </c>
      <c r="L3070" t="s">
        <v>72</v>
      </c>
      <c r="M3070">
        <v>487.65999999999997</v>
      </c>
    </row>
    <row r="3071">
      <c r="A3071" s="2">
        <v>45352</v>
      </c>
      <c r="B3071">
        <v>2024.0</v>
      </c>
      <c r="C3071" t="s">
        <v>318</v>
      </c>
      <c r="D3071" t="s">
        <v>316</v>
      </c>
      <c r="E3071" t="s">
        <v>177</v>
      </c>
      <c r="F3071" t="s">
        <v>307</v>
      </c>
      <c r="G3071" t="s">
        <v>12</v>
      </c>
      <c r="H3071">
        <v>6330.0</v>
      </c>
      <c r="I3071" t="s">
        <v>31</v>
      </c>
      <c r="J3071" t="s">
        <v>162</v>
      </c>
      <c r="K3071" t="s">
        <v>33</v>
      </c>
      <c r="L3071" t="s">
        <v>34</v>
      </c>
      <c r="M3071">
        <v>488.77</v>
      </c>
    </row>
    <row r="3072">
      <c r="A3072" s="2">
        <v>45801</v>
      </c>
      <c r="B3072">
        <v>2025.0</v>
      </c>
      <c r="C3072" t="s">
        <v>315</v>
      </c>
      <c r="D3072" t="s">
        <v>319</v>
      </c>
      <c r="E3072" t="s">
        <v>223</v>
      </c>
      <c r="F3072" t="s">
        <v>305</v>
      </c>
      <c r="G3072" t="s">
        <v>10</v>
      </c>
      <c r="H3072">
        <v>3915.0</v>
      </c>
      <c r="I3072" t="s">
        <v>31</v>
      </c>
      <c r="J3072" t="s">
        <v>94</v>
      </c>
      <c r="K3072" t="s">
        <v>57</v>
      </c>
      <c r="L3072" t="s">
        <v>58</v>
      </c>
      <c r="M3072">
        <v>489.06000000000006</v>
      </c>
    </row>
    <row r="3073">
      <c r="A3073" s="2">
        <v>45844</v>
      </c>
      <c r="B3073">
        <v>2026.0</v>
      </c>
      <c r="C3073" t="s">
        <v>321</v>
      </c>
      <c r="D3073" t="s">
        <v>316</v>
      </c>
      <c r="E3073" t="s">
        <v>232</v>
      </c>
      <c r="F3073" t="s">
        <v>304</v>
      </c>
      <c r="G3073" t="s">
        <v>9</v>
      </c>
      <c r="H3073">
        <v>2800.0</v>
      </c>
      <c r="I3073" t="s">
        <v>31</v>
      </c>
      <c r="J3073" t="s">
        <v>75</v>
      </c>
      <c r="K3073" t="s">
        <v>43</v>
      </c>
      <c r="L3073" t="s">
        <v>44</v>
      </c>
      <c r="M3073">
        <v>489.69</v>
      </c>
    </row>
    <row r="3074">
      <c r="A3074" s="2">
        <v>46008</v>
      </c>
      <c r="B3074">
        <v>2026.0</v>
      </c>
      <c r="C3074" t="s">
        <v>321</v>
      </c>
      <c r="D3074" t="s">
        <v>316</v>
      </c>
      <c r="E3074" t="s">
        <v>205</v>
      </c>
      <c r="F3074" t="s">
        <v>305</v>
      </c>
      <c r="G3074" t="s">
        <v>10</v>
      </c>
      <c r="H3074">
        <v>3400.0</v>
      </c>
      <c r="I3074" t="s">
        <v>31</v>
      </c>
      <c r="J3074" t="s">
        <v>37</v>
      </c>
      <c r="K3074" t="s">
        <v>71</v>
      </c>
      <c r="L3074" t="s">
        <v>72</v>
      </c>
      <c r="M3074">
        <v>491.17999999999995</v>
      </c>
    </row>
    <row r="3075">
      <c r="A3075" s="2">
        <v>45945</v>
      </c>
      <c r="B3075">
        <v>2026.0</v>
      </c>
      <c r="C3075" t="s">
        <v>321</v>
      </c>
      <c r="D3075" t="s">
        <v>316</v>
      </c>
      <c r="E3075" t="s">
        <v>232</v>
      </c>
      <c r="F3075" t="s">
        <v>304</v>
      </c>
      <c r="G3075" t="s">
        <v>9</v>
      </c>
      <c r="H3075">
        <v>2800.0</v>
      </c>
      <c r="I3075" t="s">
        <v>31</v>
      </c>
      <c r="J3075" t="s">
        <v>75</v>
      </c>
      <c r="K3075" t="s">
        <v>38</v>
      </c>
      <c r="L3075" t="s">
        <v>39</v>
      </c>
      <c r="M3075">
        <v>491.43</v>
      </c>
    </row>
    <row r="3076">
      <c r="A3076" s="2">
        <v>45624</v>
      </c>
      <c r="B3076">
        <v>2025.0</v>
      </c>
      <c r="C3076" t="s">
        <v>315</v>
      </c>
      <c r="D3076" t="s">
        <v>316</v>
      </c>
      <c r="E3076" t="s">
        <v>258</v>
      </c>
      <c r="F3076" t="s">
        <v>309</v>
      </c>
      <c r="G3076" t="s">
        <v>14</v>
      </c>
      <c r="H3076">
        <v>870.0</v>
      </c>
      <c r="I3076" t="s">
        <v>31</v>
      </c>
      <c r="J3076" t="s">
        <v>145</v>
      </c>
      <c r="K3076" t="s">
        <v>95</v>
      </c>
      <c r="L3076" t="s">
        <v>96</v>
      </c>
      <c r="M3076">
        <v>493.06</v>
      </c>
    </row>
    <row r="3077">
      <c r="A3077" s="2">
        <v>45742</v>
      </c>
      <c r="B3077">
        <v>2025.0</v>
      </c>
      <c r="C3077" t="s">
        <v>315</v>
      </c>
      <c r="D3077" t="s">
        <v>316</v>
      </c>
      <c r="E3077" t="s">
        <v>191</v>
      </c>
      <c r="F3077" t="s">
        <v>305</v>
      </c>
      <c r="G3077" t="s">
        <v>10</v>
      </c>
      <c r="H3077">
        <v>3030.0</v>
      </c>
      <c r="I3077" t="s">
        <v>31</v>
      </c>
      <c r="J3077" t="s">
        <v>120</v>
      </c>
      <c r="K3077" t="s">
        <v>33</v>
      </c>
      <c r="L3077" t="s">
        <v>34</v>
      </c>
      <c r="M3077">
        <v>493.6</v>
      </c>
    </row>
    <row r="3078">
      <c r="A3078" s="2">
        <v>45931</v>
      </c>
      <c r="B3078">
        <v>2026.0</v>
      </c>
      <c r="C3078" t="s">
        <v>321</v>
      </c>
      <c r="D3078" t="s">
        <v>316</v>
      </c>
      <c r="E3078" t="s">
        <v>158</v>
      </c>
      <c r="F3078" t="s">
        <v>306</v>
      </c>
      <c r="G3078" t="s">
        <v>11</v>
      </c>
      <c r="H3078">
        <v>4570.0</v>
      </c>
      <c r="I3078" t="s">
        <v>31</v>
      </c>
      <c r="J3078" t="s">
        <v>84</v>
      </c>
      <c r="K3078" t="s">
        <v>71</v>
      </c>
      <c r="L3078" t="s">
        <v>72</v>
      </c>
      <c r="M3078">
        <v>494.04</v>
      </c>
    </row>
    <row r="3079">
      <c r="A3079" s="2">
        <v>45533</v>
      </c>
      <c r="B3079">
        <v>2025.0</v>
      </c>
      <c r="C3079" t="s">
        <v>315</v>
      </c>
      <c r="D3079" t="s">
        <v>319</v>
      </c>
      <c r="E3079" t="s">
        <v>163</v>
      </c>
      <c r="F3079" t="s">
        <v>304</v>
      </c>
      <c r="G3079" t="s">
        <v>9</v>
      </c>
      <c r="H3079">
        <v>2154.0</v>
      </c>
      <c r="I3079" t="s">
        <v>31</v>
      </c>
      <c r="J3079" t="s">
        <v>81</v>
      </c>
      <c r="K3079" t="s">
        <v>43</v>
      </c>
      <c r="L3079" t="s">
        <v>44</v>
      </c>
      <c r="M3079">
        <v>494.34</v>
      </c>
    </row>
    <row r="3080">
      <c r="A3080" s="2">
        <v>45518</v>
      </c>
      <c r="B3080">
        <v>2025.0</v>
      </c>
      <c r="C3080" t="s">
        <v>315</v>
      </c>
      <c r="D3080" t="s">
        <v>316</v>
      </c>
      <c r="E3080" t="s">
        <v>191</v>
      </c>
      <c r="F3080" t="s">
        <v>305</v>
      </c>
      <c r="G3080" t="s">
        <v>10</v>
      </c>
      <c r="H3080">
        <v>3030.0</v>
      </c>
      <c r="I3080" t="s">
        <v>31</v>
      </c>
      <c r="J3080" t="s">
        <v>120</v>
      </c>
      <c r="K3080" t="s">
        <v>46</v>
      </c>
      <c r="L3080" t="s">
        <v>47</v>
      </c>
      <c r="M3080">
        <v>495.12</v>
      </c>
    </row>
    <row r="3081">
      <c r="A3081" s="2">
        <v>45473</v>
      </c>
      <c r="B3081">
        <v>2024.0</v>
      </c>
      <c r="C3081" t="s">
        <v>318</v>
      </c>
      <c r="D3081" t="s">
        <v>316</v>
      </c>
      <c r="E3081" t="s">
        <v>221</v>
      </c>
      <c r="F3081" t="s">
        <v>306</v>
      </c>
      <c r="G3081" t="s">
        <v>11</v>
      </c>
      <c r="H3081">
        <v>4053.0</v>
      </c>
      <c r="I3081" t="s">
        <v>31</v>
      </c>
      <c r="J3081" t="s">
        <v>56</v>
      </c>
      <c r="K3081" t="s">
        <v>112</v>
      </c>
      <c r="L3081" t="s">
        <v>113</v>
      </c>
      <c r="M3081">
        <v>495.85</v>
      </c>
    </row>
    <row r="3082">
      <c r="A3082" s="2">
        <v>45426</v>
      </c>
      <c r="B3082">
        <v>2024.0</v>
      </c>
      <c r="C3082" t="s">
        <v>318</v>
      </c>
      <c r="D3082" t="s">
        <v>316</v>
      </c>
      <c r="E3082" t="s">
        <v>211</v>
      </c>
      <c r="F3082" t="s">
        <v>304</v>
      </c>
      <c r="G3082" t="s">
        <v>9</v>
      </c>
      <c r="H3082">
        <v>2650.0</v>
      </c>
      <c r="I3082" t="s">
        <v>31</v>
      </c>
      <c r="J3082" t="s">
        <v>75</v>
      </c>
      <c r="K3082" t="s">
        <v>43</v>
      </c>
      <c r="L3082" t="s">
        <v>44</v>
      </c>
      <c r="M3082">
        <v>496.84000000000003</v>
      </c>
    </row>
    <row r="3083">
      <c r="A3083" s="2">
        <v>45806</v>
      </c>
      <c r="B3083">
        <v>2025.0</v>
      </c>
      <c r="C3083" t="s">
        <v>315</v>
      </c>
      <c r="D3083" t="s">
        <v>316</v>
      </c>
      <c r="E3083" t="s">
        <v>258</v>
      </c>
      <c r="F3083" t="s">
        <v>309</v>
      </c>
      <c r="G3083" t="s">
        <v>14</v>
      </c>
      <c r="H3083">
        <v>870.0</v>
      </c>
      <c r="I3083" t="s">
        <v>31</v>
      </c>
      <c r="J3083" t="s">
        <v>145</v>
      </c>
      <c r="K3083" t="s">
        <v>71</v>
      </c>
      <c r="L3083" t="s">
        <v>72</v>
      </c>
      <c r="M3083">
        <v>497.17999999999995</v>
      </c>
    </row>
    <row r="3084">
      <c r="A3084" s="2">
        <v>45390</v>
      </c>
      <c r="B3084">
        <v>2024.0</v>
      </c>
      <c r="C3084" t="s">
        <v>318</v>
      </c>
      <c r="D3084" t="s">
        <v>319</v>
      </c>
      <c r="E3084" t="s">
        <v>234</v>
      </c>
      <c r="F3084" t="s">
        <v>304</v>
      </c>
      <c r="G3084" t="s">
        <v>9</v>
      </c>
      <c r="H3084">
        <v>2158.0</v>
      </c>
      <c r="I3084" t="s">
        <v>31</v>
      </c>
      <c r="J3084" t="s">
        <v>81</v>
      </c>
      <c r="K3084" t="s">
        <v>33</v>
      </c>
      <c r="L3084" t="s">
        <v>34</v>
      </c>
      <c r="M3084">
        <v>498.38</v>
      </c>
    </row>
    <row r="3085">
      <c r="A3085" s="2">
        <v>45939</v>
      </c>
      <c r="B3085">
        <v>2026.0</v>
      </c>
      <c r="C3085" t="s">
        <v>321</v>
      </c>
      <c r="D3085" t="s">
        <v>316</v>
      </c>
      <c r="E3085" t="s">
        <v>225</v>
      </c>
      <c r="F3085" t="s">
        <v>308</v>
      </c>
      <c r="G3085" t="s">
        <v>13</v>
      </c>
      <c r="H3085">
        <v>5607.0</v>
      </c>
      <c r="I3085" t="s">
        <v>31</v>
      </c>
      <c r="J3085" t="s">
        <v>227</v>
      </c>
      <c r="K3085" t="s">
        <v>33</v>
      </c>
      <c r="L3085" t="s">
        <v>34</v>
      </c>
      <c r="M3085">
        <v>498.46000000000004</v>
      </c>
    </row>
    <row r="3086">
      <c r="A3086" s="2">
        <v>45792</v>
      </c>
      <c r="B3086">
        <v>2025.0</v>
      </c>
      <c r="C3086" t="s">
        <v>315</v>
      </c>
      <c r="D3086" t="s">
        <v>316</v>
      </c>
      <c r="E3086" t="s">
        <v>131</v>
      </c>
      <c r="F3086" t="s">
        <v>306</v>
      </c>
      <c r="G3086" t="s">
        <v>11</v>
      </c>
      <c r="H3086">
        <v>4655.0</v>
      </c>
      <c r="I3086" t="s">
        <v>31</v>
      </c>
      <c r="J3086" t="s">
        <v>32</v>
      </c>
      <c r="K3086" t="s">
        <v>71</v>
      </c>
      <c r="L3086" t="s">
        <v>72</v>
      </c>
      <c r="M3086">
        <v>498.64</v>
      </c>
    </row>
    <row r="3087">
      <c r="A3087" s="2">
        <v>45539</v>
      </c>
      <c r="B3087">
        <v>2025.0</v>
      </c>
      <c r="C3087" t="s">
        <v>315</v>
      </c>
      <c r="D3087" t="s">
        <v>316</v>
      </c>
      <c r="E3087" t="s">
        <v>264</v>
      </c>
      <c r="F3087" t="s">
        <v>308</v>
      </c>
      <c r="G3087" t="s">
        <v>13</v>
      </c>
      <c r="H3087">
        <v>5043.0</v>
      </c>
      <c r="I3087" t="s">
        <v>31</v>
      </c>
      <c r="J3087" t="s">
        <v>42</v>
      </c>
      <c r="K3087" t="s">
        <v>46</v>
      </c>
      <c r="L3087" t="s">
        <v>47</v>
      </c>
      <c r="M3087">
        <v>498.73999999999995</v>
      </c>
    </row>
    <row r="3088">
      <c r="A3088" s="2">
        <v>45670</v>
      </c>
      <c r="B3088">
        <v>2025.0</v>
      </c>
      <c r="C3088" t="s">
        <v>315</v>
      </c>
      <c r="D3088" t="s">
        <v>316</v>
      </c>
      <c r="E3088" t="s">
        <v>232</v>
      </c>
      <c r="F3088" t="s">
        <v>304</v>
      </c>
      <c r="G3088" t="s">
        <v>9</v>
      </c>
      <c r="H3088">
        <v>2800.0</v>
      </c>
      <c r="I3088" t="s">
        <v>31</v>
      </c>
      <c r="J3088" t="s">
        <v>75</v>
      </c>
      <c r="K3088" t="s">
        <v>123</v>
      </c>
      <c r="L3088" t="s">
        <v>124</v>
      </c>
      <c r="M3088">
        <v>499.7300000000001</v>
      </c>
    </row>
    <row r="3089">
      <c r="A3089" s="2">
        <v>45707</v>
      </c>
      <c r="B3089">
        <v>2025.0</v>
      </c>
      <c r="C3089" t="s">
        <v>315</v>
      </c>
      <c r="D3089" t="s">
        <v>316</v>
      </c>
      <c r="E3089" t="s">
        <v>236</v>
      </c>
      <c r="F3089" t="s">
        <v>307</v>
      </c>
      <c r="G3089" t="s">
        <v>12</v>
      </c>
      <c r="H3089">
        <v>6052.0</v>
      </c>
      <c r="I3089" t="s">
        <v>31</v>
      </c>
      <c r="J3089" t="s">
        <v>102</v>
      </c>
      <c r="K3089" t="s">
        <v>71</v>
      </c>
      <c r="L3089" t="s">
        <v>72</v>
      </c>
      <c r="M3089">
        <v>500.48</v>
      </c>
    </row>
    <row r="3090">
      <c r="A3090" s="2">
        <v>45933</v>
      </c>
      <c r="B3090">
        <v>2026.0</v>
      </c>
      <c r="C3090" t="s">
        <v>321</v>
      </c>
      <c r="D3090" t="s">
        <v>316</v>
      </c>
      <c r="E3090" t="s">
        <v>179</v>
      </c>
      <c r="F3090" t="s">
        <v>304</v>
      </c>
      <c r="G3090" t="s">
        <v>9</v>
      </c>
      <c r="H3090">
        <v>2015.0</v>
      </c>
      <c r="I3090" t="s">
        <v>31</v>
      </c>
      <c r="J3090" t="s">
        <v>99</v>
      </c>
      <c r="K3090" t="s">
        <v>43</v>
      </c>
      <c r="L3090" t="s">
        <v>44</v>
      </c>
      <c r="M3090">
        <v>500.63</v>
      </c>
    </row>
    <row r="3091">
      <c r="A3091" s="2">
        <v>45726</v>
      </c>
      <c r="B3091">
        <v>2025.0</v>
      </c>
      <c r="C3091" t="s">
        <v>315</v>
      </c>
      <c r="D3091" t="s">
        <v>316</v>
      </c>
      <c r="E3091" t="s">
        <v>242</v>
      </c>
      <c r="F3091" t="s">
        <v>305</v>
      </c>
      <c r="G3091" t="s">
        <v>10</v>
      </c>
      <c r="H3091">
        <v>3977.0</v>
      </c>
      <c r="I3091" t="s">
        <v>31</v>
      </c>
      <c r="J3091" t="s">
        <v>94</v>
      </c>
      <c r="K3091" t="s">
        <v>71</v>
      </c>
      <c r="L3091" t="s">
        <v>72</v>
      </c>
      <c r="M3091">
        <v>501.01</v>
      </c>
    </row>
    <row r="3092">
      <c r="A3092" s="2">
        <v>45689</v>
      </c>
      <c r="B3092">
        <v>2025.0</v>
      </c>
      <c r="C3092" t="s">
        <v>315</v>
      </c>
      <c r="D3092" t="s">
        <v>316</v>
      </c>
      <c r="E3092" t="s">
        <v>252</v>
      </c>
      <c r="F3092" t="s">
        <v>305</v>
      </c>
      <c r="G3092" t="s">
        <v>10</v>
      </c>
      <c r="H3092">
        <v>3630.0</v>
      </c>
      <c r="I3092" t="s">
        <v>31</v>
      </c>
      <c r="J3092" t="s">
        <v>94</v>
      </c>
      <c r="K3092" t="s">
        <v>71</v>
      </c>
      <c r="L3092" t="s">
        <v>72</v>
      </c>
      <c r="M3092">
        <v>501.53000000000003</v>
      </c>
    </row>
    <row r="3093">
      <c r="A3093" s="2">
        <v>45716</v>
      </c>
      <c r="B3093">
        <v>2025.0</v>
      </c>
      <c r="C3093" t="s">
        <v>315</v>
      </c>
      <c r="D3093" t="s">
        <v>316</v>
      </c>
      <c r="E3093" t="s">
        <v>181</v>
      </c>
      <c r="F3093" t="s">
        <v>306</v>
      </c>
      <c r="G3093" t="s">
        <v>11</v>
      </c>
      <c r="H3093">
        <v>4119.0</v>
      </c>
      <c r="I3093" t="s">
        <v>31</v>
      </c>
      <c r="J3093" t="s">
        <v>56</v>
      </c>
      <c r="K3093" t="s">
        <v>33</v>
      </c>
      <c r="L3093" t="s">
        <v>34</v>
      </c>
      <c r="M3093">
        <v>503.37000000000006</v>
      </c>
    </row>
    <row r="3094">
      <c r="A3094" s="2">
        <v>45472</v>
      </c>
      <c r="B3094">
        <v>2024.0</v>
      </c>
      <c r="C3094" t="s">
        <v>318</v>
      </c>
      <c r="D3094" t="s">
        <v>316</v>
      </c>
      <c r="E3094" t="s">
        <v>175</v>
      </c>
      <c r="F3094" t="s">
        <v>311</v>
      </c>
      <c r="G3094" t="s">
        <v>16</v>
      </c>
      <c r="H3094">
        <v>2617.0</v>
      </c>
      <c r="I3094" t="s">
        <v>31</v>
      </c>
      <c r="J3094" t="s">
        <v>107</v>
      </c>
      <c r="K3094" t="s">
        <v>46</v>
      </c>
      <c r="L3094" t="s">
        <v>47</v>
      </c>
      <c r="M3094">
        <v>503.57</v>
      </c>
    </row>
    <row r="3095">
      <c r="A3095" s="2">
        <v>45746</v>
      </c>
      <c r="B3095">
        <v>2025.0</v>
      </c>
      <c r="C3095" t="s">
        <v>315</v>
      </c>
      <c r="D3095" t="s">
        <v>316</v>
      </c>
      <c r="E3095" t="s">
        <v>35</v>
      </c>
      <c r="F3095" t="s">
        <v>305</v>
      </c>
      <c r="G3095" t="s">
        <v>10</v>
      </c>
      <c r="H3095">
        <v>3280.0</v>
      </c>
      <c r="I3095" t="s">
        <v>31</v>
      </c>
      <c r="J3095" t="s">
        <v>37</v>
      </c>
      <c r="K3095" t="s">
        <v>71</v>
      </c>
      <c r="L3095" t="s">
        <v>72</v>
      </c>
      <c r="M3095">
        <v>504.09</v>
      </c>
    </row>
    <row r="3096">
      <c r="A3096" s="2">
        <v>45407</v>
      </c>
      <c r="B3096">
        <v>2024.0</v>
      </c>
      <c r="C3096" t="s">
        <v>318</v>
      </c>
      <c r="D3096" t="s">
        <v>316</v>
      </c>
      <c r="E3096" t="s">
        <v>163</v>
      </c>
      <c r="F3096" t="s">
        <v>304</v>
      </c>
      <c r="G3096" t="s">
        <v>9</v>
      </c>
      <c r="H3096">
        <v>2154.0</v>
      </c>
      <c r="I3096" t="s">
        <v>31</v>
      </c>
      <c r="J3096" t="s">
        <v>81</v>
      </c>
      <c r="K3096" t="s">
        <v>95</v>
      </c>
      <c r="L3096" t="s">
        <v>96</v>
      </c>
      <c r="M3096">
        <v>504.9</v>
      </c>
    </row>
    <row r="3097">
      <c r="A3097" s="2">
        <v>45346</v>
      </c>
      <c r="B3097">
        <v>2024.0</v>
      </c>
      <c r="C3097" t="s">
        <v>318</v>
      </c>
      <c r="D3097" t="s">
        <v>316</v>
      </c>
      <c r="E3097" t="s">
        <v>133</v>
      </c>
      <c r="F3097" t="s">
        <v>305</v>
      </c>
      <c r="G3097" t="s">
        <v>10</v>
      </c>
      <c r="H3097">
        <v>3429.0</v>
      </c>
      <c r="I3097" t="s">
        <v>31</v>
      </c>
      <c r="J3097" t="s">
        <v>37</v>
      </c>
      <c r="K3097" t="s">
        <v>46</v>
      </c>
      <c r="L3097" t="s">
        <v>47</v>
      </c>
      <c r="M3097">
        <v>504.95000000000005</v>
      </c>
    </row>
    <row r="3098">
      <c r="A3098" s="2">
        <v>45420</v>
      </c>
      <c r="B3098">
        <v>2024.0</v>
      </c>
      <c r="C3098" t="s">
        <v>318</v>
      </c>
      <c r="D3098" t="s">
        <v>316</v>
      </c>
      <c r="E3098" t="s">
        <v>183</v>
      </c>
      <c r="F3098" t="s">
        <v>304</v>
      </c>
      <c r="G3098" t="s">
        <v>9</v>
      </c>
      <c r="H3098">
        <v>2480.0</v>
      </c>
      <c r="I3098" t="s">
        <v>31</v>
      </c>
      <c r="J3098" t="s">
        <v>70</v>
      </c>
      <c r="K3098" t="s">
        <v>43</v>
      </c>
      <c r="L3098" t="s">
        <v>44</v>
      </c>
      <c r="M3098">
        <v>506.49000000000007</v>
      </c>
    </row>
    <row r="3099">
      <c r="A3099" s="2">
        <v>45598</v>
      </c>
      <c r="B3099">
        <v>2025.0</v>
      </c>
      <c r="C3099" t="s">
        <v>315</v>
      </c>
      <c r="D3099" t="s">
        <v>316</v>
      </c>
      <c r="E3099" t="s">
        <v>219</v>
      </c>
      <c r="F3099" t="s">
        <v>306</v>
      </c>
      <c r="G3099" t="s">
        <v>11</v>
      </c>
      <c r="H3099">
        <v>4068.0</v>
      </c>
      <c r="I3099" t="s">
        <v>31</v>
      </c>
      <c r="J3099" t="s">
        <v>56</v>
      </c>
      <c r="K3099" t="s">
        <v>71</v>
      </c>
      <c r="L3099" t="s">
        <v>72</v>
      </c>
      <c r="M3099">
        <v>506.61</v>
      </c>
    </row>
    <row r="3100">
      <c r="A3100" s="2">
        <v>45857</v>
      </c>
      <c r="B3100">
        <v>2026.0</v>
      </c>
      <c r="C3100" t="s">
        <v>321</v>
      </c>
      <c r="D3100" t="s">
        <v>316</v>
      </c>
      <c r="E3100" t="s">
        <v>205</v>
      </c>
      <c r="F3100" t="s">
        <v>305</v>
      </c>
      <c r="G3100" t="s">
        <v>10</v>
      </c>
      <c r="H3100">
        <v>3400.0</v>
      </c>
      <c r="I3100" t="s">
        <v>31</v>
      </c>
      <c r="J3100" t="s">
        <v>37</v>
      </c>
      <c r="K3100" t="s">
        <v>33</v>
      </c>
      <c r="L3100" t="s">
        <v>34</v>
      </c>
      <c r="M3100">
        <v>507.3</v>
      </c>
    </row>
    <row r="3101">
      <c r="A3101" s="2">
        <v>45379</v>
      </c>
      <c r="B3101">
        <v>2024.0</v>
      </c>
      <c r="C3101" t="s">
        <v>318</v>
      </c>
      <c r="D3101" t="s">
        <v>316</v>
      </c>
      <c r="E3101" t="s">
        <v>35</v>
      </c>
      <c r="F3101" t="s">
        <v>305</v>
      </c>
      <c r="G3101" t="s">
        <v>10</v>
      </c>
      <c r="H3101">
        <v>3280.0</v>
      </c>
      <c r="I3101" t="s">
        <v>31</v>
      </c>
      <c r="J3101" t="s">
        <v>37</v>
      </c>
      <c r="K3101" t="s">
        <v>38</v>
      </c>
      <c r="L3101" t="s">
        <v>39</v>
      </c>
      <c r="M3101">
        <v>507.41999999999996</v>
      </c>
    </row>
    <row r="3102">
      <c r="A3102" s="2">
        <v>45826</v>
      </c>
      <c r="B3102">
        <v>2025.0</v>
      </c>
      <c r="C3102" t="s">
        <v>315</v>
      </c>
      <c r="D3102" t="s">
        <v>316</v>
      </c>
      <c r="E3102" t="s">
        <v>48</v>
      </c>
      <c r="F3102" t="s">
        <v>307</v>
      </c>
      <c r="G3102" t="s">
        <v>12</v>
      </c>
      <c r="H3102">
        <v>6725.0</v>
      </c>
      <c r="I3102" t="s">
        <v>31</v>
      </c>
      <c r="J3102" t="s">
        <v>50</v>
      </c>
      <c r="K3102" t="s">
        <v>71</v>
      </c>
      <c r="L3102" t="s">
        <v>72</v>
      </c>
      <c r="M3102">
        <v>507.79</v>
      </c>
    </row>
    <row r="3103">
      <c r="A3103" s="2">
        <v>45458</v>
      </c>
      <c r="B3103">
        <v>2024.0</v>
      </c>
      <c r="C3103" t="s">
        <v>318</v>
      </c>
      <c r="D3103" t="s">
        <v>316</v>
      </c>
      <c r="E3103" t="s">
        <v>167</v>
      </c>
      <c r="F3103" t="s">
        <v>307</v>
      </c>
      <c r="G3103" t="s">
        <v>12</v>
      </c>
      <c r="H3103">
        <v>6030.0</v>
      </c>
      <c r="I3103" t="s">
        <v>31</v>
      </c>
      <c r="J3103" t="s">
        <v>102</v>
      </c>
      <c r="K3103" t="s">
        <v>123</v>
      </c>
      <c r="L3103" t="s">
        <v>124</v>
      </c>
      <c r="M3103">
        <v>508.53000000000003</v>
      </c>
    </row>
    <row r="3104">
      <c r="A3104" s="2">
        <v>45298</v>
      </c>
      <c r="B3104">
        <v>2024.0</v>
      </c>
      <c r="C3104" t="s">
        <v>318</v>
      </c>
      <c r="D3104" t="s">
        <v>316</v>
      </c>
      <c r="E3104" t="s">
        <v>125</v>
      </c>
      <c r="F3104" t="s">
        <v>305</v>
      </c>
      <c r="G3104" t="s">
        <v>10</v>
      </c>
      <c r="H3104">
        <v>3931.0</v>
      </c>
      <c r="I3104" t="s">
        <v>31</v>
      </c>
      <c r="J3104" t="s">
        <v>94</v>
      </c>
      <c r="K3104" t="s">
        <v>33</v>
      </c>
      <c r="L3104" t="s">
        <v>34</v>
      </c>
      <c r="M3104">
        <v>510.02000000000004</v>
      </c>
    </row>
    <row r="3105">
      <c r="A3105" s="2">
        <v>45541</v>
      </c>
      <c r="B3105">
        <v>2025.0</v>
      </c>
      <c r="C3105" t="s">
        <v>315</v>
      </c>
      <c r="D3105" t="s">
        <v>319</v>
      </c>
      <c r="E3105" t="s">
        <v>90</v>
      </c>
      <c r="F3105" t="s">
        <v>305</v>
      </c>
      <c r="G3105" t="s">
        <v>10</v>
      </c>
      <c r="H3105">
        <v>3353.0</v>
      </c>
      <c r="I3105" t="s">
        <v>31</v>
      </c>
      <c r="J3105" t="s">
        <v>37</v>
      </c>
      <c r="K3105" t="s">
        <v>57</v>
      </c>
      <c r="L3105" t="s">
        <v>58</v>
      </c>
      <c r="M3105">
        <v>510.05</v>
      </c>
    </row>
    <row r="3106">
      <c r="A3106" s="2">
        <v>45886</v>
      </c>
      <c r="B3106">
        <v>2026.0</v>
      </c>
      <c r="C3106" t="s">
        <v>321</v>
      </c>
      <c r="D3106" t="s">
        <v>319</v>
      </c>
      <c r="E3106" t="s">
        <v>223</v>
      </c>
      <c r="F3106" t="s">
        <v>305</v>
      </c>
      <c r="G3106" t="s">
        <v>10</v>
      </c>
      <c r="H3106">
        <v>3915.0</v>
      </c>
      <c r="I3106" t="s">
        <v>31</v>
      </c>
      <c r="J3106" t="s">
        <v>94</v>
      </c>
      <c r="K3106" t="s">
        <v>123</v>
      </c>
      <c r="L3106" t="s">
        <v>124</v>
      </c>
      <c r="M3106">
        <v>510.09</v>
      </c>
    </row>
    <row r="3107">
      <c r="A3107" s="2">
        <v>45935</v>
      </c>
      <c r="B3107">
        <v>2026.0</v>
      </c>
      <c r="C3107" t="s">
        <v>321</v>
      </c>
      <c r="D3107" t="s">
        <v>316</v>
      </c>
      <c r="E3107" t="s">
        <v>211</v>
      </c>
      <c r="F3107" t="s">
        <v>304</v>
      </c>
      <c r="G3107" t="s">
        <v>9</v>
      </c>
      <c r="H3107">
        <v>2650.0</v>
      </c>
      <c r="I3107" t="s">
        <v>31</v>
      </c>
      <c r="J3107" t="s">
        <v>75</v>
      </c>
      <c r="K3107" t="s">
        <v>43</v>
      </c>
      <c r="L3107" t="s">
        <v>44</v>
      </c>
      <c r="M3107">
        <v>510.34</v>
      </c>
    </row>
    <row r="3108">
      <c r="A3108" s="2">
        <v>45360</v>
      </c>
      <c r="B3108">
        <v>2024.0</v>
      </c>
      <c r="C3108" t="s">
        <v>318</v>
      </c>
      <c r="D3108" t="s">
        <v>319</v>
      </c>
      <c r="E3108" t="s">
        <v>240</v>
      </c>
      <c r="F3108" t="s">
        <v>310</v>
      </c>
      <c r="G3108" t="s">
        <v>15</v>
      </c>
      <c r="H3108">
        <v>7010.0</v>
      </c>
      <c r="I3108" t="s">
        <v>31</v>
      </c>
      <c r="J3108" t="s">
        <v>53</v>
      </c>
      <c r="K3108" t="s">
        <v>71</v>
      </c>
      <c r="L3108" t="s">
        <v>72</v>
      </c>
      <c r="M3108">
        <v>510.4</v>
      </c>
    </row>
    <row r="3109">
      <c r="A3109" s="2">
        <v>46004</v>
      </c>
      <c r="B3109">
        <v>2026.0</v>
      </c>
      <c r="C3109" t="s">
        <v>321</v>
      </c>
      <c r="D3109" t="s">
        <v>316</v>
      </c>
      <c r="E3109" t="s">
        <v>135</v>
      </c>
      <c r="F3109" t="s">
        <v>311</v>
      </c>
      <c r="G3109" t="s">
        <v>16</v>
      </c>
      <c r="H3109">
        <v>2609.0</v>
      </c>
      <c r="I3109" t="s">
        <v>31</v>
      </c>
      <c r="J3109" t="s">
        <v>107</v>
      </c>
      <c r="K3109" t="s">
        <v>57</v>
      </c>
      <c r="L3109" t="s">
        <v>58</v>
      </c>
      <c r="M3109">
        <v>510.53</v>
      </c>
    </row>
    <row r="3110">
      <c r="A3110" s="2">
        <v>45654</v>
      </c>
      <c r="B3110">
        <v>2025.0</v>
      </c>
      <c r="C3110" t="s">
        <v>315</v>
      </c>
      <c r="D3110" t="s">
        <v>316</v>
      </c>
      <c r="E3110" t="s">
        <v>191</v>
      </c>
      <c r="F3110" t="s">
        <v>305</v>
      </c>
      <c r="G3110" t="s">
        <v>10</v>
      </c>
      <c r="H3110">
        <v>3030.0</v>
      </c>
      <c r="I3110" t="s">
        <v>31</v>
      </c>
      <c r="J3110" t="s">
        <v>120</v>
      </c>
      <c r="K3110" t="s">
        <v>57</v>
      </c>
      <c r="L3110" t="s">
        <v>58</v>
      </c>
      <c r="M3110">
        <v>510.80000000000007</v>
      </c>
    </row>
    <row r="3111">
      <c r="A3111" s="2">
        <v>45693</v>
      </c>
      <c r="B3111">
        <v>2025.0</v>
      </c>
      <c r="C3111" t="s">
        <v>315</v>
      </c>
      <c r="D3111" t="s">
        <v>316</v>
      </c>
      <c r="E3111" t="s">
        <v>110</v>
      </c>
      <c r="F3111" t="s">
        <v>304</v>
      </c>
      <c r="G3111" t="s">
        <v>9</v>
      </c>
      <c r="H3111">
        <v>2101.0</v>
      </c>
      <c r="I3111" t="s">
        <v>31</v>
      </c>
      <c r="J3111" t="s">
        <v>81</v>
      </c>
      <c r="K3111" t="s">
        <v>38</v>
      </c>
      <c r="L3111" t="s">
        <v>39</v>
      </c>
      <c r="M3111">
        <v>511.24</v>
      </c>
    </row>
    <row r="3112">
      <c r="A3112" s="2">
        <v>45481</v>
      </c>
      <c r="B3112">
        <v>2025.0</v>
      </c>
      <c r="C3112" t="s">
        <v>315</v>
      </c>
      <c r="D3112" t="s">
        <v>316</v>
      </c>
      <c r="E3112" t="s">
        <v>254</v>
      </c>
      <c r="F3112" t="s">
        <v>308</v>
      </c>
      <c r="G3112" t="s">
        <v>13</v>
      </c>
      <c r="H3112">
        <v>5343.0</v>
      </c>
      <c r="I3112" t="s">
        <v>31</v>
      </c>
      <c r="J3112" t="s">
        <v>227</v>
      </c>
      <c r="K3112" t="s">
        <v>46</v>
      </c>
      <c r="L3112" t="s">
        <v>47</v>
      </c>
      <c r="M3112">
        <v>511.34000000000003</v>
      </c>
    </row>
    <row r="3113">
      <c r="A3113" s="2">
        <v>45494</v>
      </c>
      <c r="B3113">
        <v>2025.0</v>
      </c>
      <c r="C3113" t="s">
        <v>315</v>
      </c>
      <c r="D3113" t="s">
        <v>316</v>
      </c>
      <c r="E3113" t="s">
        <v>181</v>
      </c>
      <c r="F3113" t="s">
        <v>306</v>
      </c>
      <c r="G3113" t="s">
        <v>11</v>
      </c>
      <c r="H3113">
        <v>4119.0</v>
      </c>
      <c r="I3113" t="s">
        <v>31</v>
      </c>
      <c r="J3113" t="s">
        <v>56</v>
      </c>
      <c r="K3113" t="s">
        <v>43</v>
      </c>
      <c r="L3113" t="s">
        <v>44</v>
      </c>
      <c r="M3113">
        <v>512.78</v>
      </c>
    </row>
    <row r="3114">
      <c r="A3114" s="2">
        <v>45759</v>
      </c>
      <c r="B3114">
        <v>2025.0</v>
      </c>
      <c r="C3114" t="s">
        <v>315</v>
      </c>
      <c r="D3114" t="s">
        <v>316</v>
      </c>
      <c r="E3114" t="s">
        <v>211</v>
      </c>
      <c r="F3114" t="s">
        <v>304</v>
      </c>
      <c r="G3114" t="s">
        <v>9</v>
      </c>
      <c r="H3114">
        <v>2650.0</v>
      </c>
      <c r="I3114" t="s">
        <v>31</v>
      </c>
      <c r="J3114" t="s">
        <v>75</v>
      </c>
      <c r="K3114" t="s">
        <v>112</v>
      </c>
      <c r="L3114" t="s">
        <v>113</v>
      </c>
      <c r="M3114">
        <v>514.15</v>
      </c>
    </row>
    <row r="3115">
      <c r="A3115" s="2">
        <v>45406</v>
      </c>
      <c r="B3115">
        <v>2024.0</v>
      </c>
      <c r="C3115" t="s">
        <v>318</v>
      </c>
      <c r="D3115" t="s">
        <v>316</v>
      </c>
      <c r="E3115" t="s">
        <v>225</v>
      </c>
      <c r="F3115" t="s">
        <v>308</v>
      </c>
      <c r="G3115" t="s">
        <v>13</v>
      </c>
      <c r="H3115">
        <v>5607.0</v>
      </c>
      <c r="I3115" t="s">
        <v>31</v>
      </c>
      <c r="J3115" t="s">
        <v>227</v>
      </c>
      <c r="K3115" t="s">
        <v>123</v>
      </c>
      <c r="L3115" t="s">
        <v>124</v>
      </c>
      <c r="M3115">
        <v>514.5</v>
      </c>
    </row>
    <row r="3116">
      <c r="A3116" s="2">
        <v>45326</v>
      </c>
      <c r="B3116">
        <v>2024.0</v>
      </c>
      <c r="C3116" t="s">
        <v>318</v>
      </c>
      <c r="D3116" t="s">
        <v>316</v>
      </c>
      <c r="E3116" t="s">
        <v>150</v>
      </c>
      <c r="F3116" t="s">
        <v>310</v>
      </c>
      <c r="G3116" t="s">
        <v>15</v>
      </c>
      <c r="H3116">
        <v>7250.0</v>
      </c>
      <c r="I3116" t="s">
        <v>31</v>
      </c>
      <c r="J3116" t="s">
        <v>53</v>
      </c>
      <c r="K3116" t="s">
        <v>33</v>
      </c>
      <c r="L3116" t="s">
        <v>34</v>
      </c>
      <c r="M3116">
        <v>514.98</v>
      </c>
    </row>
    <row r="3117">
      <c r="A3117" s="2">
        <v>45951</v>
      </c>
      <c r="B3117">
        <v>2026.0</v>
      </c>
      <c r="C3117" t="s">
        <v>321</v>
      </c>
      <c r="D3117" t="s">
        <v>316</v>
      </c>
      <c r="E3117" t="s">
        <v>87</v>
      </c>
      <c r="F3117" t="s">
        <v>305</v>
      </c>
      <c r="G3117" t="s">
        <v>10</v>
      </c>
      <c r="H3117">
        <v>3148.0</v>
      </c>
      <c r="I3117" t="s">
        <v>31</v>
      </c>
      <c r="J3117" t="s">
        <v>89</v>
      </c>
      <c r="K3117" t="s">
        <v>123</v>
      </c>
      <c r="L3117" t="s">
        <v>124</v>
      </c>
      <c r="M3117">
        <v>515.1700000000001</v>
      </c>
    </row>
    <row r="3118">
      <c r="A3118" s="2">
        <v>45392</v>
      </c>
      <c r="B3118">
        <v>2024.0</v>
      </c>
      <c r="C3118" t="s">
        <v>318</v>
      </c>
      <c r="D3118" t="s">
        <v>319</v>
      </c>
      <c r="E3118" t="s">
        <v>242</v>
      </c>
      <c r="F3118" t="s">
        <v>305</v>
      </c>
      <c r="G3118" t="s">
        <v>10</v>
      </c>
      <c r="H3118">
        <v>3977.0</v>
      </c>
      <c r="I3118" t="s">
        <v>31</v>
      </c>
      <c r="J3118" t="s">
        <v>94</v>
      </c>
      <c r="K3118" t="s">
        <v>43</v>
      </c>
      <c r="L3118" t="s">
        <v>44</v>
      </c>
      <c r="M3118">
        <v>516.3</v>
      </c>
    </row>
    <row r="3119">
      <c r="A3119" s="2">
        <v>45773</v>
      </c>
      <c r="B3119">
        <v>2025.0</v>
      </c>
      <c r="C3119" t="s">
        <v>315</v>
      </c>
      <c r="D3119" t="s">
        <v>316</v>
      </c>
      <c r="E3119" t="s">
        <v>262</v>
      </c>
      <c r="F3119" t="s">
        <v>305</v>
      </c>
      <c r="G3119" t="s">
        <v>10</v>
      </c>
      <c r="H3119">
        <v>3018.0</v>
      </c>
      <c r="I3119" t="s">
        <v>31</v>
      </c>
      <c r="J3119" t="s">
        <v>120</v>
      </c>
      <c r="K3119" t="s">
        <v>38</v>
      </c>
      <c r="L3119" t="s">
        <v>39</v>
      </c>
      <c r="M3119">
        <v>517.26</v>
      </c>
    </row>
    <row r="3120">
      <c r="A3120" s="2">
        <v>45423</v>
      </c>
      <c r="B3120">
        <v>2024.0</v>
      </c>
      <c r="C3120" t="s">
        <v>318</v>
      </c>
      <c r="D3120" t="s">
        <v>316</v>
      </c>
      <c r="E3120" t="s">
        <v>232</v>
      </c>
      <c r="F3120" t="s">
        <v>304</v>
      </c>
      <c r="G3120" t="s">
        <v>9</v>
      </c>
      <c r="H3120">
        <v>2800.0</v>
      </c>
      <c r="I3120" t="s">
        <v>31</v>
      </c>
      <c r="J3120" t="s">
        <v>75</v>
      </c>
      <c r="K3120" t="s">
        <v>43</v>
      </c>
      <c r="L3120" t="s">
        <v>44</v>
      </c>
      <c r="M3120">
        <v>518.5</v>
      </c>
    </row>
    <row r="3121">
      <c r="A3121" s="2">
        <v>45797</v>
      </c>
      <c r="B3121">
        <v>2025.0</v>
      </c>
      <c r="C3121" t="s">
        <v>315</v>
      </c>
      <c r="D3121" t="s">
        <v>319</v>
      </c>
      <c r="E3121" t="s">
        <v>40</v>
      </c>
      <c r="F3121" t="s">
        <v>308</v>
      </c>
      <c r="G3121" t="s">
        <v>13</v>
      </c>
      <c r="H3121">
        <v>5011.0</v>
      </c>
      <c r="I3121" t="s">
        <v>31</v>
      </c>
      <c r="J3121" t="s">
        <v>42</v>
      </c>
      <c r="K3121" t="s">
        <v>123</v>
      </c>
      <c r="L3121" t="s">
        <v>124</v>
      </c>
      <c r="M3121">
        <v>519.22</v>
      </c>
    </row>
    <row r="3122">
      <c r="A3122" s="2">
        <v>45524</v>
      </c>
      <c r="B3122">
        <v>2025.0</v>
      </c>
      <c r="C3122" t="s">
        <v>315</v>
      </c>
      <c r="D3122" t="s">
        <v>316</v>
      </c>
      <c r="E3122" t="s">
        <v>129</v>
      </c>
      <c r="F3122" t="s">
        <v>305</v>
      </c>
      <c r="G3122" t="s">
        <v>10</v>
      </c>
      <c r="H3122">
        <v>3066.0</v>
      </c>
      <c r="I3122" t="s">
        <v>31</v>
      </c>
      <c r="J3122" t="s">
        <v>120</v>
      </c>
      <c r="K3122" t="s">
        <v>46</v>
      </c>
      <c r="L3122" t="s">
        <v>47</v>
      </c>
      <c r="M3122">
        <v>519.4300000000001</v>
      </c>
    </row>
    <row r="3123">
      <c r="A3123" s="2">
        <v>45319</v>
      </c>
      <c r="B3123">
        <v>2024.0</v>
      </c>
      <c r="C3123" t="s">
        <v>318</v>
      </c>
      <c r="D3123" t="s">
        <v>319</v>
      </c>
      <c r="E3123" t="s">
        <v>223</v>
      </c>
      <c r="F3123" t="s">
        <v>305</v>
      </c>
      <c r="G3123" t="s">
        <v>10</v>
      </c>
      <c r="H3123">
        <v>3915.0</v>
      </c>
      <c r="I3123" t="s">
        <v>31</v>
      </c>
      <c r="J3123" t="s">
        <v>94</v>
      </c>
      <c r="K3123" t="s">
        <v>95</v>
      </c>
      <c r="L3123" t="s">
        <v>96</v>
      </c>
      <c r="M3123">
        <v>520.2199999999999</v>
      </c>
    </row>
    <row r="3124">
      <c r="A3124" s="2">
        <v>45854</v>
      </c>
      <c r="B3124">
        <v>2026.0</v>
      </c>
      <c r="C3124" t="s">
        <v>321</v>
      </c>
      <c r="D3124" t="s">
        <v>316</v>
      </c>
      <c r="E3124" t="s">
        <v>105</v>
      </c>
      <c r="F3124" t="s">
        <v>304</v>
      </c>
      <c r="G3124" t="s">
        <v>9</v>
      </c>
      <c r="H3124">
        <v>2541.0</v>
      </c>
      <c r="I3124" t="s">
        <v>31</v>
      </c>
      <c r="J3124" t="s">
        <v>107</v>
      </c>
      <c r="K3124" t="s">
        <v>43</v>
      </c>
      <c r="L3124" t="s">
        <v>44</v>
      </c>
      <c r="M3124">
        <v>521.3499999999999</v>
      </c>
    </row>
    <row r="3125">
      <c r="A3125" s="2">
        <v>45342</v>
      </c>
      <c r="B3125">
        <v>2024.0</v>
      </c>
      <c r="C3125" t="s">
        <v>318</v>
      </c>
      <c r="D3125" t="s">
        <v>316</v>
      </c>
      <c r="E3125" t="s">
        <v>246</v>
      </c>
      <c r="F3125" t="s">
        <v>305</v>
      </c>
      <c r="G3125" t="s">
        <v>10</v>
      </c>
      <c r="H3125">
        <v>3551.0</v>
      </c>
      <c r="I3125" t="s">
        <v>31</v>
      </c>
      <c r="J3125" t="s">
        <v>37</v>
      </c>
      <c r="K3125" t="s">
        <v>43</v>
      </c>
      <c r="L3125" t="s">
        <v>44</v>
      </c>
      <c r="M3125">
        <v>521.3900000000001</v>
      </c>
    </row>
    <row r="3126">
      <c r="A3126" s="2">
        <v>45509</v>
      </c>
      <c r="B3126">
        <v>2025.0</v>
      </c>
      <c r="C3126" t="s">
        <v>315</v>
      </c>
      <c r="D3126" t="s">
        <v>316</v>
      </c>
      <c r="E3126" t="s">
        <v>193</v>
      </c>
      <c r="F3126" t="s">
        <v>304</v>
      </c>
      <c r="G3126" t="s">
        <v>9</v>
      </c>
      <c r="H3126">
        <v>2020.0</v>
      </c>
      <c r="I3126" t="s">
        <v>31</v>
      </c>
      <c r="J3126" t="s">
        <v>99</v>
      </c>
      <c r="K3126" t="s">
        <v>95</v>
      </c>
      <c r="L3126" t="s">
        <v>96</v>
      </c>
      <c r="M3126">
        <v>521.6299999999999</v>
      </c>
    </row>
    <row r="3127">
      <c r="A3127" s="2">
        <v>45699</v>
      </c>
      <c r="B3127">
        <v>2025.0</v>
      </c>
      <c r="C3127" t="s">
        <v>315</v>
      </c>
      <c r="D3127" t="s">
        <v>316</v>
      </c>
      <c r="E3127" t="s">
        <v>163</v>
      </c>
      <c r="F3127" t="s">
        <v>304</v>
      </c>
      <c r="G3127" t="s">
        <v>9</v>
      </c>
      <c r="H3127">
        <v>2154.0</v>
      </c>
      <c r="I3127" t="s">
        <v>31</v>
      </c>
      <c r="J3127" t="s">
        <v>81</v>
      </c>
      <c r="K3127" t="s">
        <v>71</v>
      </c>
      <c r="L3127" t="s">
        <v>72</v>
      </c>
      <c r="M3127">
        <v>521.8199999999999</v>
      </c>
    </row>
    <row r="3128">
      <c r="A3128" s="2">
        <v>45799</v>
      </c>
      <c r="B3128">
        <v>2025.0</v>
      </c>
      <c r="C3128" t="s">
        <v>315</v>
      </c>
      <c r="D3128" t="s">
        <v>319</v>
      </c>
      <c r="E3128" t="s">
        <v>250</v>
      </c>
      <c r="F3128" t="s">
        <v>305</v>
      </c>
      <c r="G3128" t="s">
        <v>10</v>
      </c>
      <c r="H3128">
        <v>3550.0</v>
      </c>
      <c r="I3128" t="s">
        <v>31</v>
      </c>
      <c r="J3128" t="s">
        <v>37</v>
      </c>
      <c r="K3128" t="s">
        <v>43</v>
      </c>
      <c r="L3128" t="s">
        <v>44</v>
      </c>
      <c r="M3128">
        <v>521.99</v>
      </c>
    </row>
    <row r="3129">
      <c r="A3129" s="2">
        <v>45616</v>
      </c>
      <c r="B3129">
        <v>2025.0</v>
      </c>
      <c r="C3129" t="s">
        <v>315</v>
      </c>
      <c r="D3129" t="s">
        <v>316</v>
      </c>
      <c r="E3129" t="s">
        <v>195</v>
      </c>
      <c r="F3129" t="s">
        <v>306</v>
      </c>
      <c r="G3129" t="s">
        <v>11</v>
      </c>
      <c r="H3129">
        <v>4700.0</v>
      </c>
      <c r="I3129" t="s">
        <v>31</v>
      </c>
      <c r="J3129" t="s">
        <v>32</v>
      </c>
      <c r="K3129" t="s">
        <v>71</v>
      </c>
      <c r="L3129" t="s">
        <v>72</v>
      </c>
      <c r="M3129">
        <v>522.95</v>
      </c>
    </row>
    <row r="3130">
      <c r="A3130" s="2">
        <v>45935</v>
      </c>
      <c r="B3130">
        <v>2026.0</v>
      </c>
      <c r="C3130" t="s">
        <v>321</v>
      </c>
      <c r="D3130" t="s">
        <v>316</v>
      </c>
      <c r="E3130" t="s">
        <v>51</v>
      </c>
      <c r="F3130" t="s">
        <v>310</v>
      </c>
      <c r="G3130" t="s">
        <v>15</v>
      </c>
      <c r="H3130">
        <v>7018.0</v>
      </c>
      <c r="I3130" t="s">
        <v>31</v>
      </c>
      <c r="J3130" t="s">
        <v>53</v>
      </c>
      <c r="K3130" t="s">
        <v>95</v>
      </c>
      <c r="L3130" t="s">
        <v>96</v>
      </c>
      <c r="M3130">
        <v>523.21</v>
      </c>
    </row>
    <row r="3131">
      <c r="A3131" s="2">
        <v>45621</v>
      </c>
      <c r="B3131">
        <v>2025.0</v>
      </c>
      <c r="C3131" t="s">
        <v>315</v>
      </c>
      <c r="D3131" t="s">
        <v>316</v>
      </c>
      <c r="E3131" t="s">
        <v>64</v>
      </c>
      <c r="F3131" t="s">
        <v>306</v>
      </c>
      <c r="G3131" t="s">
        <v>11</v>
      </c>
      <c r="H3131">
        <v>4215.0</v>
      </c>
      <c r="I3131" t="s">
        <v>31</v>
      </c>
      <c r="J3131" t="s">
        <v>61</v>
      </c>
      <c r="K3131" t="s">
        <v>57</v>
      </c>
      <c r="L3131" t="s">
        <v>58</v>
      </c>
      <c r="M3131">
        <v>523.76</v>
      </c>
    </row>
    <row r="3132">
      <c r="A3132" s="2">
        <v>45964</v>
      </c>
      <c r="B3132">
        <v>2026.0</v>
      </c>
      <c r="C3132" t="s">
        <v>321</v>
      </c>
      <c r="D3132" t="s">
        <v>316</v>
      </c>
      <c r="E3132" t="s">
        <v>48</v>
      </c>
      <c r="F3132" t="s">
        <v>307</v>
      </c>
      <c r="G3132" t="s">
        <v>12</v>
      </c>
      <c r="H3132">
        <v>6725.0</v>
      </c>
      <c r="I3132" t="s">
        <v>31</v>
      </c>
      <c r="J3132" t="s">
        <v>50</v>
      </c>
      <c r="K3132" t="s">
        <v>46</v>
      </c>
      <c r="L3132" t="s">
        <v>47</v>
      </c>
      <c r="M3132">
        <v>523.9100000000001</v>
      </c>
    </row>
    <row r="3133">
      <c r="A3133" s="2">
        <v>45455</v>
      </c>
      <c r="B3133">
        <v>2024.0</v>
      </c>
      <c r="C3133" t="s">
        <v>318</v>
      </c>
      <c r="D3133" t="s">
        <v>316</v>
      </c>
      <c r="E3133" t="s">
        <v>236</v>
      </c>
      <c r="F3133" t="s">
        <v>307</v>
      </c>
      <c r="G3133" t="s">
        <v>12</v>
      </c>
      <c r="H3133">
        <v>6052.0</v>
      </c>
      <c r="I3133" t="s">
        <v>31</v>
      </c>
      <c r="J3133" t="s">
        <v>102</v>
      </c>
      <c r="K3133" t="s">
        <v>123</v>
      </c>
      <c r="L3133" t="s">
        <v>124</v>
      </c>
      <c r="M3133">
        <v>525.13</v>
      </c>
    </row>
    <row r="3134">
      <c r="A3134" s="2">
        <v>45420</v>
      </c>
      <c r="B3134">
        <v>2024.0</v>
      </c>
      <c r="C3134" t="s">
        <v>318</v>
      </c>
      <c r="D3134" t="s">
        <v>316</v>
      </c>
      <c r="E3134" t="s">
        <v>248</v>
      </c>
      <c r="F3134" t="s">
        <v>307</v>
      </c>
      <c r="G3134" t="s">
        <v>12</v>
      </c>
      <c r="H3134">
        <v>6112.0</v>
      </c>
      <c r="I3134" t="s">
        <v>31</v>
      </c>
      <c r="J3134" t="s">
        <v>162</v>
      </c>
      <c r="K3134" t="s">
        <v>71</v>
      </c>
      <c r="L3134" t="s">
        <v>72</v>
      </c>
      <c r="M3134">
        <v>525.1400000000001</v>
      </c>
    </row>
    <row r="3135">
      <c r="A3135" s="2">
        <v>45347</v>
      </c>
      <c r="B3135">
        <v>2024.0</v>
      </c>
      <c r="C3135" t="s">
        <v>318</v>
      </c>
      <c r="D3135" t="s">
        <v>316</v>
      </c>
      <c r="E3135" t="s">
        <v>221</v>
      </c>
      <c r="F3135" t="s">
        <v>306</v>
      </c>
      <c r="G3135" t="s">
        <v>11</v>
      </c>
      <c r="H3135">
        <v>4053.0</v>
      </c>
      <c r="I3135" t="s">
        <v>31</v>
      </c>
      <c r="J3135" t="s">
        <v>56</v>
      </c>
      <c r="K3135" t="s">
        <v>57</v>
      </c>
      <c r="L3135" t="s">
        <v>58</v>
      </c>
      <c r="M3135">
        <v>525.3800000000001</v>
      </c>
    </row>
    <row r="3136">
      <c r="A3136" s="2">
        <v>45820</v>
      </c>
      <c r="B3136">
        <v>2025.0</v>
      </c>
      <c r="C3136" t="s">
        <v>315</v>
      </c>
      <c r="D3136" t="s">
        <v>316</v>
      </c>
      <c r="E3136" t="s">
        <v>165</v>
      </c>
      <c r="F3136" t="s">
        <v>304</v>
      </c>
      <c r="G3136" t="s">
        <v>9</v>
      </c>
      <c r="H3136">
        <v>2064.0</v>
      </c>
      <c r="I3136" t="s">
        <v>31</v>
      </c>
      <c r="J3136" t="s">
        <v>99</v>
      </c>
      <c r="K3136" t="s">
        <v>71</v>
      </c>
      <c r="L3136" t="s">
        <v>72</v>
      </c>
      <c r="M3136">
        <v>525.5</v>
      </c>
    </row>
    <row r="3137">
      <c r="A3137" s="2">
        <v>45522</v>
      </c>
      <c r="B3137">
        <v>2025.0</v>
      </c>
      <c r="C3137" t="s">
        <v>315</v>
      </c>
      <c r="D3137" t="s">
        <v>316</v>
      </c>
      <c r="E3137" t="s">
        <v>248</v>
      </c>
      <c r="F3137" t="s">
        <v>307</v>
      </c>
      <c r="G3137" t="s">
        <v>12</v>
      </c>
      <c r="H3137">
        <v>6112.0</v>
      </c>
      <c r="I3137" t="s">
        <v>31</v>
      </c>
      <c r="J3137" t="s">
        <v>162</v>
      </c>
      <c r="K3137" t="s">
        <v>95</v>
      </c>
      <c r="L3137" t="s">
        <v>96</v>
      </c>
      <c r="M3137">
        <v>525.99</v>
      </c>
    </row>
    <row r="3138">
      <c r="A3138" s="2">
        <v>45293</v>
      </c>
      <c r="B3138">
        <v>2024.0</v>
      </c>
      <c r="C3138" t="s">
        <v>318</v>
      </c>
      <c r="D3138" t="s">
        <v>316</v>
      </c>
      <c r="E3138" t="s">
        <v>68</v>
      </c>
      <c r="F3138" t="s">
        <v>304</v>
      </c>
      <c r="G3138" t="s">
        <v>9</v>
      </c>
      <c r="H3138">
        <v>2478.0</v>
      </c>
      <c r="I3138" t="s">
        <v>31</v>
      </c>
      <c r="J3138" t="s">
        <v>70</v>
      </c>
      <c r="K3138" t="s">
        <v>71</v>
      </c>
      <c r="L3138" t="s">
        <v>72</v>
      </c>
      <c r="M3138">
        <v>526.89</v>
      </c>
    </row>
    <row r="3139">
      <c r="A3139" s="2">
        <v>45828</v>
      </c>
      <c r="B3139">
        <v>2025.0</v>
      </c>
      <c r="C3139" t="s">
        <v>315</v>
      </c>
      <c r="D3139" t="s">
        <v>316</v>
      </c>
      <c r="E3139" t="s">
        <v>59</v>
      </c>
      <c r="F3139" t="s">
        <v>306</v>
      </c>
      <c r="G3139" t="s">
        <v>11</v>
      </c>
      <c r="H3139">
        <v>4509.0</v>
      </c>
      <c r="I3139" t="s">
        <v>31</v>
      </c>
      <c r="J3139" t="s">
        <v>61</v>
      </c>
      <c r="K3139" t="s">
        <v>43</v>
      </c>
      <c r="L3139" t="s">
        <v>44</v>
      </c>
      <c r="M3139">
        <v>528.56</v>
      </c>
    </row>
    <row r="3140">
      <c r="A3140" s="2">
        <v>45451</v>
      </c>
      <c r="B3140">
        <v>2024.0</v>
      </c>
      <c r="C3140" t="s">
        <v>318</v>
      </c>
      <c r="D3140" t="s">
        <v>316</v>
      </c>
      <c r="E3140" t="s">
        <v>221</v>
      </c>
      <c r="F3140" t="s">
        <v>306</v>
      </c>
      <c r="G3140" t="s">
        <v>11</v>
      </c>
      <c r="H3140">
        <v>4053.0</v>
      </c>
      <c r="I3140" t="s">
        <v>31</v>
      </c>
      <c r="J3140" t="s">
        <v>56</v>
      </c>
      <c r="K3140" t="s">
        <v>95</v>
      </c>
      <c r="L3140" t="s">
        <v>96</v>
      </c>
      <c r="M3140">
        <v>529.62</v>
      </c>
    </row>
    <row r="3141">
      <c r="A3141" s="2">
        <v>45553</v>
      </c>
      <c r="B3141">
        <v>2025.0</v>
      </c>
      <c r="C3141" t="s">
        <v>315</v>
      </c>
      <c r="D3141" t="s">
        <v>316</v>
      </c>
      <c r="E3141" t="s">
        <v>108</v>
      </c>
      <c r="F3141" t="s">
        <v>304</v>
      </c>
      <c r="G3141" t="s">
        <v>9</v>
      </c>
      <c r="H3141">
        <v>2795.0</v>
      </c>
      <c r="I3141" t="s">
        <v>31</v>
      </c>
      <c r="J3141" t="s">
        <v>75</v>
      </c>
      <c r="K3141" t="s">
        <v>43</v>
      </c>
      <c r="L3141" t="s">
        <v>44</v>
      </c>
      <c r="M3141">
        <v>530.09</v>
      </c>
    </row>
    <row r="3142">
      <c r="A3142" s="2">
        <v>45415</v>
      </c>
      <c r="B3142">
        <v>2024.0</v>
      </c>
      <c r="C3142" t="s">
        <v>318</v>
      </c>
      <c r="D3142" t="s">
        <v>316</v>
      </c>
      <c r="E3142" t="s">
        <v>154</v>
      </c>
      <c r="F3142" t="s">
        <v>306</v>
      </c>
      <c r="G3142" t="s">
        <v>11</v>
      </c>
      <c r="H3142">
        <v>4551.0</v>
      </c>
      <c r="I3142" t="s">
        <v>31</v>
      </c>
      <c r="J3142" t="s">
        <v>84</v>
      </c>
      <c r="K3142" t="s">
        <v>43</v>
      </c>
      <c r="L3142" t="s">
        <v>44</v>
      </c>
      <c r="M3142">
        <v>530.3699999999999</v>
      </c>
    </row>
    <row r="3143">
      <c r="A3143" s="2">
        <v>45371</v>
      </c>
      <c r="B3143">
        <v>2024.0</v>
      </c>
      <c r="C3143" t="s">
        <v>318</v>
      </c>
      <c r="D3143" t="s">
        <v>316</v>
      </c>
      <c r="E3143" t="s">
        <v>238</v>
      </c>
      <c r="F3143" t="s">
        <v>308</v>
      </c>
      <c r="G3143" t="s">
        <v>13</v>
      </c>
      <c r="H3143">
        <v>5082.0</v>
      </c>
      <c r="I3143" t="s">
        <v>31</v>
      </c>
      <c r="J3143" t="s">
        <v>42</v>
      </c>
      <c r="K3143" t="s">
        <v>57</v>
      </c>
      <c r="L3143" t="s">
        <v>58</v>
      </c>
      <c r="M3143">
        <v>531.4300000000001</v>
      </c>
    </row>
    <row r="3144">
      <c r="A3144" s="2">
        <v>45397</v>
      </c>
      <c r="B3144">
        <v>2024.0</v>
      </c>
      <c r="C3144" t="s">
        <v>318</v>
      </c>
      <c r="D3144" t="s">
        <v>316</v>
      </c>
      <c r="E3144" t="s">
        <v>183</v>
      </c>
      <c r="F3144" t="s">
        <v>304</v>
      </c>
      <c r="G3144" t="s">
        <v>9</v>
      </c>
      <c r="H3144">
        <v>2480.0</v>
      </c>
      <c r="I3144" t="s">
        <v>31</v>
      </c>
      <c r="J3144" t="s">
        <v>70</v>
      </c>
      <c r="K3144" t="s">
        <v>46</v>
      </c>
      <c r="L3144" t="s">
        <v>47</v>
      </c>
      <c r="M3144">
        <v>532.9200000000001</v>
      </c>
    </row>
    <row r="3145">
      <c r="A3145" s="2">
        <v>45528</v>
      </c>
      <c r="B3145">
        <v>2025.0</v>
      </c>
      <c r="C3145" t="s">
        <v>315</v>
      </c>
      <c r="D3145" t="s">
        <v>316</v>
      </c>
      <c r="E3145" t="s">
        <v>264</v>
      </c>
      <c r="F3145" t="s">
        <v>308</v>
      </c>
      <c r="G3145" t="s">
        <v>13</v>
      </c>
      <c r="H3145">
        <v>5043.0</v>
      </c>
      <c r="I3145" t="s">
        <v>31</v>
      </c>
      <c r="J3145" t="s">
        <v>42</v>
      </c>
      <c r="K3145" t="s">
        <v>123</v>
      </c>
      <c r="L3145" t="s">
        <v>124</v>
      </c>
      <c r="M3145">
        <v>533.44</v>
      </c>
    </row>
    <row r="3146">
      <c r="A3146" s="2">
        <v>45604</v>
      </c>
      <c r="B3146">
        <v>2025.0</v>
      </c>
      <c r="C3146" t="s">
        <v>315</v>
      </c>
      <c r="D3146" t="s">
        <v>316</v>
      </c>
      <c r="E3146" t="s">
        <v>87</v>
      </c>
      <c r="F3146" t="s">
        <v>305</v>
      </c>
      <c r="G3146" t="s">
        <v>10</v>
      </c>
      <c r="H3146">
        <v>3148.0</v>
      </c>
      <c r="I3146" t="s">
        <v>31</v>
      </c>
      <c r="J3146" t="s">
        <v>89</v>
      </c>
      <c r="K3146" t="s">
        <v>38</v>
      </c>
      <c r="L3146" t="s">
        <v>39</v>
      </c>
      <c r="M3146">
        <v>533.91</v>
      </c>
    </row>
    <row r="3147">
      <c r="A3147" s="2">
        <v>45525</v>
      </c>
      <c r="B3147">
        <v>2025.0</v>
      </c>
      <c r="C3147" t="s">
        <v>315</v>
      </c>
      <c r="D3147" t="s">
        <v>319</v>
      </c>
      <c r="E3147" t="s">
        <v>116</v>
      </c>
      <c r="F3147" t="s">
        <v>304</v>
      </c>
      <c r="G3147" t="s">
        <v>9</v>
      </c>
      <c r="H3147">
        <v>2485.0</v>
      </c>
      <c r="I3147" t="s">
        <v>31</v>
      </c>
      <c r="J3147" t="s">
        <v>70</v>
      </c>
      <c r="K3147" t="s">
        <v>71</v>
      </c>
      <c r="L3147" t="s">
        <v>72</v>
      </c>
      <c r="M3147">
        <v>534.0699999999999</v>
      </c>
    </row>
    <row r="3148">
      <c r="A3148" s="2">
        <v>45580</v>
      </c>
      <c r="B3148">
        <v>2025.0</v>
      </c>
      <c r="C3148" t="s">
        <v>315</v>
      </c>
      <c r="D3148" t="s">
        <v>316</v>
      </c>
      <c r="E3148" t="s">
        <v>197</v>
      </c>
      <c r="F3148" t="s">
        <v>304</v>
      </c>
      <c r="G3148" t="s">
        <v>9</v>
      </c>
      <c r="H3148">
        <v>2560.0</v>
      </c>
      <c r="I3148" t="s">
        <v>31</v>
      </c>
      <c r="J3148" t="s">
        <v>107</v>
      </c>
      <c r="K3148" t="s">
        <v>33</v>
      </c>
      <c r="L3148" t="s">
        <v>34</v>
      </c>
      <c r="M3148">
        <v>534.72</v>
      </c>
    </row>
    <row r="3149">
      <c r="A3149" s="2">
        <v>45537</v>
      </c>
      <c r="B3149">
        <v>2025.0</v>
      </c>
      <c r="C3149" t="s">
        <v>315</v>
      </c>
      <c r="D3149" t="s">
        <v>316</v>
      </c>
      <c r="E3149" t="s">
        <v>139</v>
      </c>
      <c r="F3149" t="s">
        <v>305</v>
      </c>
      <c r="G3149" t="s">
        <v>10</v>
      </c>
      <c r="H3149">
        <v>3199.0</v>
      </c>
      <c r="I3149" t="s">
        <v>31</v>
      </c>
      <c r="J3149" t="s">
        <v>89</v>
      </c>
      <c r="K3149" t="s">
        <v>95</v>
      </c>
      <c r="L3149" t="s">
        <v>96</v>
      </c>
      <c r="M3149">
        <v>534.9499999999999</v>
      </c>
    </row>
    <row r="3150">
      <c r="A3150" s="2">
        <v>45884</v>
      </c>
      <c r="B3150">
        <v>2026.0</v>
      </c>
      <c r="C3150" t="s">
        <v>321</v>
      </c>
      <c r="D3150" t="s">
        <v>316</v>
      </c>
      <c r="E3150" t="s">
        <v>158</v>
      </c>
      <c r="F3150" t="s">
        <v>306</v>
      </c>
      <c r="G3150" t="s">
        <v>11</v>
      </c>
      <c r="H3150">
        <v>4570.0</v>
      </c>
      <c r="I3150" t="s">
        <v>31</v>
      </c>
      <c r="J3150" t="s">
        <v>84</v>
      </c>
      <c r="K3150" t="s">
        <v>71</v>
      </c>
      <c r="L3150" t="s">
        <v>72</v>
      </c>
      <c r="M3150">
        <v>535.02</v>
      </c>
    </row>
    <row r="3151">
      <c r="A3151" s="2">
        <v>45452</v>
      </c>
      <c r="B3151">
        <v>2024.0</v>
      </c>
      <c r="C3151" t="s">
        <v>318</v>
      </c>
      <c r="D3151" t="s">
        <v>319</v>
      </c>
      <c r="E3151" t="s">
        <v>207</v>
      </c>
      <c r="F3151" t="s">
        <v>306</v>
      </c>
      <c r="G3151" t="s">
        <v>11</v>
      </c>
      <c r="H3151">
        <v>4825.0</v>
      </c>
      <c r="I3151" t="s">
        <v>31</v>
      </c>
      <c r="J3151" t="s">
        <v>78</v>
      </c>
      <c r="K3151" t="s">
        <v>71</v>
      </c>
      <c r="L3151" t="s">
        <v>72</v>
      </c>
      <c r="M3151">
        <v>535.5699999999999</v>
      </c>
    </row>
    <row r="3152">
      <c r="A3152" s="2">
        <v>45911</v>
      </c>
      <c r="B3152">
        <v>2026.0</v>
      </c>
      <c r="C3152" t="s">
        <v>321</v>
      </c>
      <c r="D3152" t="s">
        <v>316</v>
      </c>
      <c r="E3152" t="s">
        <v>256</v>
      </c>
      <c r="F3152" t="s">
        <v>304</v>
      </c>
      <c r="G3152" t="s">
        <v>9</v>
      </c>
      <c r="H3152">
        <v>2350.0</v>
      </c>
      <c r="I3152" t="s">
        <v>31</v>
      </c>
      <c r="J3152" t="s">
        <v>70</v>
      </c>
      <c r="K3152" t="s">
        <v>38</v>
      </c>
      <c r="L3152" t="s">
        <v>39</v>
      </c>
      <c r="M3152">
        <v>535.75</v>
      </c>
    </row>
    <row r="3153">
      <c r="A3153" s="2">
        <v>45764</v>
      </c>
      <c r="B3153">
        <v>2025.0</v>
      </c>
      <c r="C3153" t="s">
        <v>315</v>
      </c>
      <c r="D3153" t="s">
        <v>316</v>
      </c>
      <c r="E3153" t="s">
        <v>213</v>
      </c>
      <c r="F3153" t="s">
        <v>306</v>
      </c>
      <c r="G3153" t="s">
        <v>11</v>
      </c>
      <c r="H3153">
        <v>4740.0</v>
      </c>
      <c r="I3153" t="s">
        <v>31</v>
      </c>
      <c r="J3153" t="s">
        <v>32</v>
      </c>
      <c r="K3153" t="s">
        <v>57</v>
      </c>
      <c r="L3153" t="s">
        <v>58</v>
      </c>
      <c r="M3153">
        <v>535.94</v>
      </c>
    </row>
    <row r="3154">
      <c r="A3154" s="2">
        <v>45944</v>
      </c>
      <c r="B3154">
        <v>2026.0</v>
      </c>
      <c r="C3154" t="s">
        <v>321</v>
      </c>
      <c r="D3154" t="s">
        <v>319</v>
      </c>
      <c r="E3154" t="s">
        <v>234</v>
      </c>
      <c r="F3154" t="s">
        <v>304</v>
      </c>
      <c r="G3154" t="s">
        <v>9</v>
      </c>
      <c r="H3154">
        <v>2158.0</v>
      </c>
      <c r="I3154" t="s">
        <v>31</v>
      </c>
      <c r="J3154" t="s">
        <v>81</v>
      </c>
      <c r="K3154" t="s">
        <v>71</v>
      </c>
      <c r="L3154" t="s">
        <v>72</v>
      </c>
      <c r="M3154">
        <v>536.36</v>
      </c>
    </row>
    <row r="3155">
      <c r="A3155" s="2">
        <v>45348</v>
      </c>
      <c r="B3155">
        <v>2024.0</v>
      </c>
      <c r="C3155" t="s">
        <v>318</v>
      </c>
      <c r="D3155" t="s">
        <v>316</v>
      </c>
      <c r="E3155" t="s">
        <v>232</v>
      </c>
      <c r="F3155" t="s">
        <v>304</v>
      </c>
      <c r="G3155" t="s">
        <v>9</v>
      </c>
      <c r="H3155">
        <v>2800.0</v>
      </c>
      <c r="I3155" t="s">
        <v>31</v>
      </c>
      <c r="J3155" t="s">
        <v>75</v>
      </c>
      <c r="K3155" t="s">
        <v>38</v>
      </c>
      <c r="L3155" t="s">
        <v>39</v>
      </c>
      <c r="M3155">
        <v>536.4200000000001</v>
      </c>
    </row>
    <row r="3156">
      <c r="A3156" s="2">
        <v>45335</v>
      </c>
      <c r="B3156">
        <v>2024.0</v>
      </c>
      <c r="C3156" t="s">
        <v>318</v>
      </c>
      <c r="D3156" t="s">
        <v>316</v>
      </c>
      <c r="E3156" t="s">
        <v>100</v>
      </c>
      <c r="F3156" t="s">
        <v>307</v>
      </c>
      <c r="G3156" t="s">
        <v>12</v>
      </c>
      <c r="H3156">
        <v>6010.0</v>
      </c>
      <c r="I3156" t="s">
        <v>31</v>
      </c>
      <c r="J3156" t="s">
        <v>102</v>
      </c>
      <c r="K3156" t="s">
        <v>33</v>
      </c>
      <c r="L3156" t="s">
        <v>34</v>
      </c>
      <c r="M3156">
        <v>537.0500000000001</v>
      </c>
    </row>
    <row r="3157">
      <c r="A3157" s="2">
        <v>45327</v>
      </c>
      <c r="B3157">
        <v>2024.0</v>
      </c>
      <c r="C3157" t="s">
        <v>318</v>
      </c>
      <c r="D3157" t="s">
        <v>316</v>
      </c>
      <c r="E3157" t="s">
        <v>238</v>
      </c>
      <c r="F3157" t="s">
        <v>308</v>
      </c>
      <c r="G3157" t="s">
        <v>13</v>
      </c>
      <c r="H3157">
        <v>5082.0</v>
      </c>
      <c r="I3157" t="s">
        <v>31</v>
      </c>
      <c r="J3157" t="s">
        <v>42</v>
      </c>
      <c r="K3157" t="s">
        <v>46</v>
      </c>
      <c r="L3157" t="s">
        <v>47</v>
      </c>
      <c r="M3157">
        <v>537.24</v>
      </c>
    </row>
    <row r="3158">
      <c r="A3158" s="2">
        <v>45671</v>
      </c>
      <c r="B3158">
        <v>2025.0</v>
      </c>
      <c r="C3158" t="s">
        <v>315</v>
      </c>
      <c r="D3158" t="s">
        <v>316</v>
      </c>
      <c r="E3158" t="s">
        <v>230</v>
      </c>
      <c r="F3158" t="s">
        <v>308</v>
      </c>
      <c r="G3158" t="s">
        <v>13</v>
      </c>
      <c r="H3158">
        <v>5290.0</v>
      </c>
      <c r="I3158" t="s">
        <v>31</v>
      </c>
      <c r="J3158" t="s">
        <v>227</v>
      </c>
      <c r="K3158" t="s">
        <v>57</v>
      </c>
      <c r="L3158" t="s">
        <v>58</v>
      </c>
      <c r="M3158">
        <v>537.77</v>
      </c>
    </row>
    <row r="3159">
      <c r="A3159" s="2">
        <v>45588</v>
      </c>
      <c r="B3159">
        <v>2025.0</v>
      </c>
      <c r="C3159" t="s">
        <v>315</v>
      </c>
      <c r="D3159" t="s">
        <v>319</v>
      </c>
      <c r="E3159" t="s">
        <v>223</v>
      </c>
      <c r="F3159" t="s">
        <v>305</v>
      </c>
      <c r="G3159" t="s">
        <v>10</v>
      </c>
      <c r="H3159">
        <v>3915.0</v>
      </c>
      <c r="I3159" t="s">
        <v>31</v>
      </c>
      <c r="J3159" t="s">
        <v>94</v>
      </c>
      <c r="K3159" t="s">
        <v>33</v>
      </c>
      <c r="L3159" t="s">
        <v>34</v>
      </c>
      <c r="M3159">
        <v>538.76</v>
      </c>
    </row>
    <row r="3160">
      <c r="A3160" s="2">
        <v>45593</v>
      </c>
      <c r="B3160">
        <v>2025.0</v>
      </c>
      <c r="C3160" t="s">
        <v>315</v>
      </c>
      <c r="D3160" t="s">
        <v>316</v>
      </c>
      <c r="E3160" t="s">
        <v>199</v>
      </c>
      <c r="F3160" t="s">
        <v>308</v>
      </c>
      <c r="G3160" t="s">
        <v>13</v>
      </c>
      <c r="H3160">
        <v>5169.0</v>
      </c>
      <c r="I3160" t="s">
        <v>31</v>
      </c>
      <c r="J3160" t="s">
        <v>42</v>
      </c>
      <c r="K3160" t="s">
        <v>46</v>
      </c>
      <c r="L3160" t="s">
        <v>47</v>
      </c>
      <c r="M3160">
        <v>539.46</v>
      </c>
    </row>
    <row r="3161">
      <c r="A3161" s="2">
        <v>45359</v>
      </c>
      <c r="B3161">
        <v>2024.0</v>
      </c>
      <c r="C3161" t="s">
        <v>318</v>
      </c>
      <c r="D3161" t="s">
        <v>316</v>
      </c>
      <c r="E3161" t="s">
        <v>68</v>
      </c>
      <c r="F3161" t="s">
        <v>304</v>
      </c>
      <c r="G3161" t="s">
        <v>9</v>
      </c>
      <c r="H3161">
        <v>2478.0</v>
      </c>
      <c r="I3161" t="s">
        <v>31</v>
      </c>
      <c r="J3161" t="s">
        <v>70</v>
      </c>
      <c r="K3161" t="s">
        <v>123</v>
      </c>
      <c r="L3161" t="s">
        <v>124</v>
      </c>
      <c r="M3161">
        <v>539.9100000000001</v>
      </c>
    </row>
    <row r="3162">
      <c r="A3162" s="2">
        <v>45363</v>
      </c>
      <c r="B3162">
        <v>2024.0</v>
      </c>
      <c r="C3162" t="s">
        <v>318</v>
      </c>
      <c r="D3162" t="s">
        <v>316</v>
      </c>
      <c r="E3162" t="s">
        <v>185</v>
      </c>
      <c r="F3162" t="s">
        <v>307</v>
      </c>
      <c r="G3162" t="s">
        <v>12</v>
      </c>
      <c r="H3162">
        <v>6109.0</v>
      </c>
      <c r="I3162" t="s">
        <v>31</v>
      </c>
      <c r="J3162" t="s">
        <v>162</v>
      </c>
      <c r="K3162" t="s">
        <v>38</v>
      </c>
      <c r="L3162" t="s">
        <v>39</v>
      </c>
      <c r="M3162">
        <v>540.04</v>
      </c>
    </row>
    <row r="3163">
      <c r="A3163" s="2">
        <v>45867</v>
      </c>
      <c r="B3163">
        <v>2026.0</v>
      </c>
      <c r="C3163" t="s">
        <v>321</v>
      </c>
      <c r="D3163" t="s">
        <v>316</v>
      </c>
      <c r="E3163" t="s">
        <v>193</v>
      </c>
      <c r="F3163" t="s">
        <v>304</v>
      </c>
      <c r="G3163" t="s">
        <v>9</v>
      </c>
      <c r="H3163">
        <v>2020.0</v>
      </c>
      <c r="I3163" t="s">
        <v>31</v>
      </c>
      <c r="J3163" t="s">
        <v>99</v>
      </c>
      <c r="K3163" t="s">
        <v>38</v>
      </c>
      <c r="L3163" t="s">
        <v>39</v>
      </c>
      <c r="M3163">
        <v>540.88</v>
      </c>
    </row>
    <row r="3164">
      <c r="A3164" s="2">
        <v>45692</v>
      </c>
      <c r="B3164">
        <v>2025.0</v>
      </c>
      <c r="C3164" t="s">
        <v>315</v>
      </c>
      <c r="D3164" t="s">
        <v>316</v>
      </c>
      <c r="E3164" t="s">
        <v>169</v>
      </c>
      <c r="F3164" t="s">
        <v>307</v>
      </c>
      <c r="G3164" t="s">
        <v>12</v>
      </c>
      <c r="H3164">
        <v>6027.0</v>
      </c>
      <c r="I3164" t="s">
        <v>31</v>
      </c>
      <c r="J3164" t="s">
        <v>102</v>
      </c>
      <c r="K3164" t="s">
        <v>57</v>
      </c>
      <c r="L3164" t="s">
        <v>58</v>
      </c>
      <c r="M3164">
        <v>541.1400000000001</v>
      </c>
    </row>
    <row r="3165">
      <c r="A3165" s="2">
        <v>45463</v>
      </c>
      <c r="B3165">
        <v>2024.0</v>
      </c>
      <c r="C3165" t="s">
        <v>318</v>
      </c>
      <c r="D3165" t="s">
        <v>316</v>
      </c>
      <c r="E3165" t="s">
        <v>87</v>
      </c>
      <c r="F3165" t="s">
        <v>305</v>
      </c>
      <c r="G3165" t="s">
        <v>10</v>
      </c>
      <c r="H3165">
        <v>3148.0</v>
      </c>
      <c r="I3165" t="s">
        <v>31</v>
      </c>
      <c r="J3165" t="s">
        <v>89</v>
      </c>
      <c r="K3165" t="s">
        <v>43</v>
      </c>
      <c r="L3165" t="s">
        <v>44</v>
      </c>
      <c r="M3165">
        <v>541.25</v>
      </c>
    </row>
    <row r="3166">
      <c r="A3166" s="2">
        <v>45857</v>
      </c>
      <c r="B3166">
        <v>2026.0</v>
      </c>
      <c r="C3166" t="s">
        <v>321</v>
      </c>
      <c r="D3166" t="s">
        <v>316</v>
      </c>
      <c r="E3166" t="s">
        <v>169</v>
      </c>
      <c r="F3166" t="s">
        <v>307</v>
      </c>
      <c r="G3166" t="s">
        <v>12</v>
      </c>
      <c r="H3166">
        <v>6027.0</v>
      </c>
      <c r="I3166" t="s">
        <v>31</v>
      </c>
      <c r="J3166" t="s">
        <v>102</v>
      </c>
      <c r="K3166" t="s">
        <v>33</v>
      </c>
      <c r="L3166" t="s">
        <v>34</v>
      </c>
      <c r="M3166">
        <v>541.59</v>
      </c>
    </row>
    <row r="3167">
      <c r="A3167" s="2">
        <v>45569</v>
      </c>
      <c r="B3167">
        <v>2025.0</v>
      </c>
      <c r="C3167" t="s">
        <v>315</v>
      </c>
      <c r="D3167" t="s">
        <v>316</v>
      </c>
      <c r="E3167" t="s">
        <v>108</v>
      </c>
      <c r="F3167" t="s">
        <v>304</v>
      </c>
      <c r="G3167" t="s">
        <v>9</v>
      </c>
      <c r="H3167">
        <v>2795.0</v>
      </c>
      <c r="I3167" t="s">
        <v>31</v>
      </c>
      <c r="J3167" t="s">
        <v>75</v>
      </c>
      <c r="K3167" t="s">
        <v>38</v>
      </c>
      <c r="L3167" t="s">
        <v>39</v>
      </c>
      <c r="M3167">
        <v>541.6100000000001</v>
      </c>
    </row>
    <row r="3168">
      <c r="A3168" s="2">
        <v>45429</v>
      </c>
      <c r="B3168">
        <v>2024.0</v>
      </c>
      <c r="C3168" t="s">
        <v>318</v>
      </c>
      <c r="D3168" t="s">
        <v>319</v>
      </c>
      <c r="E3168" t="s">
        <v>85</v>
      </c>
      <c r="F3168" t="s">
        <v>304</v>
      </c>
      <c r="G3168" t="s">
        <v>9</v>
      </c>
      <c r="H3168">
        <v>2120.0</v>
      </c>
      <c r="I3168" t="s">
        <v>31</v>
      </c>
      <c r="J3168" t="s">
        <v>81</v>
      </c>
      <c r="K3168" t="s">
        <v>95</v>
      </c>
      <c r="L3168" t="s">
        <v>96</v>
      </c>
      <c r="M3168">
        <v>541.8</v>
      </c>
    </row>
    <row r="3169">
      <c r="A3169" s="2">
        <v>45578</v>
      </c>
      <c r="B3169">
        <v>2025.0</v>
      </c>
      <c r="C3169" t="s">
        <v>315</v>
      </c>
      <c r="D3169" t="s">
        <v>319</v>
      </c>
      <c r="E3169" t="s">
        <v>171</v>
      </c>
      <c r="F3169" t="s">
        <v>305</v>
      </c>
      <c r="G3169" t="s">
        <v>10</v>
      </c>
      <c r="H3169">
        <v>3500.0</v>
      </c>
      <c r="I3169" t="s">
        <v>31</v>
      </c>
      <c r="J3169" t="s">
        <v>37</v>
      </c>
      <c r="K3169" t="s">
        <v>33</v>
      </c>
      <c r="L3169" t="s">
        <v>34</v>
      </c>
      <c r="M3169">
        <v>543.02</v>
      </c>
    </row>
    <row r="3170">
      <c r="A3170" s="2">
        <v>45434</v>
      </c>
      <c r="B3170">
        <v>2024.0</v>
      </c>
      <c r="C3170" t="s">
        <v>318</v>
      </c>
      <c r="D3170" t="s">
        <v>316</v>
      </c>
      <c r="E3170" t="s">
        <v>35</v>
      </c>
      <c r="F3170" t="s">
        <v>305</v>
      </c>
      <c r="G3170" t="s">
        <v>10</v>
      </c>
      <c r="H3170">
        <v>3280.0</v>
      </c>
      <c r="I3170" t="s">
        <v>31</v>
      </c>
      <c r="J3170" t="s">
        <v>37</v>
      </c>
      <c r="K3170" t="s">
        <v>46</v>
      </c>
      <c r="L3170" t="s">
        <v>47</v>
      </c>
      <c r="M3170">
        <v>544.09</v>
      </c>
    </row>
    <row r="3171">
      <c r="A3171" s="2">
        <v>45303</v>
      </c>
      <c r="B3171">
        <v>2024.0</v>
      </c>
      <c r="C3171" t="s">
        <v>318</v>
      </c>
      <c r="D3171" t="s">
        <v>316</v>
      </c>
      <c r="E3171" t="s">
        <v>97</v>
      </c>
      <c r="F3171" t="s">
        <v>304</v>
      </c>
      <c r="G3171" t="s">
        <v>9</v>
      </c>
      <c r="H3171">
        <v>2067.0</v>
      </c>
      <c r="I3171" t="s">
        <v>31</v>
      </c>
      <c r="J3171" t="s">
        <v>99</v>
      </c>
      <c r="K3171" t="s">
        <v>38</v>
      </c>
      <c r="L3171" t="s">
        <v>39</v>
      </c>
      <c r="M3171">
        <v>544.26</v>
      </c>
    </row>
    <row r="3172">
      <c r="A3172" s="2">
        <v>45754</v>
      </c>
      <c r="B3172">
        <v>2025.0</v>
      </c>
      <c r="C3172" t="s">
        <v>315</v>
      </c>
      <c r="D3172" t="s">
        <v>316</v>
      </c>
      <c r="E3172" t="s">
        <v>238</v>
      </c>
      <c r="F3172" t="s">
        <v>308</v>
      </c>
      <c r="G3172" t="s">
        <v>13</v>
      </c>
      <c r="H3172">
        <v>5082.0</v>
      </c>
      <c r="I3172" t="s">
        <v>31</v>
      </c>
      <c r="J3172" t="s">
        <v>42</v>
      </c>
      <c r="K3172" t="s">
        <v>71</v>
      </c>
      <c r="L3172" t="s">
        <v>72</v>
      </c>
      <c r="M3172">
        <v>546.62</v>
      </c>
    </row>
    <row r="3173">
      <c r="A3173" s="2">
        <v>45760</v>
      </c>
      <c r="B3173">
        <v>2025.0</v>
      </c>
      <c r="C3173" t="s">
        <v>315</v>
      </c>
      <c r="D3173" t="s">
        <v>316</v>
      </c>
      <c r="E3173" t="s">
        <v>242</v>
      </c>
      <c r="F3173" t="s">
        <v>305</v>
      </c>
      <c r="G3173" t="s">
        <v>10</v>
      </c>
      <c r="H3173">
        <v>3977.0</v>
      </c>
      <c r="I3173" t="s">
        <v>31</v>
      </c>
      <c r="J3173" t="s">
        <v>94</v>
      </c>
      <c r="K3173" t="s">
        <v>95</v>
      </c>
      <c r="L3173" t="s">
        <v>96</v>
      </c>
      <c r="M3173">
        <v>547.33</v>
      </c>
    </row>
    <row r="3174">
      <c r="A3174" s="2">
        <v>45981</v>
      </c>
      <c r="B3174">
        <v>2026.0</v>
      </c>
      <c r="C3174" t="s">
        <v>321</v>
      </c>
      <c r="D3174" t="s">
        <v>316</v>
      </c>
      <c r="E3174" t="s">
        <v>238</v>
      </c>
      <c r="F3174" t="s">
        <v>308</v>
      </c>
      <c r="G3174" t="s">
        <v>13</v>
      </c>
      <c r="H3174">
        <v>5082.0</v>
      </c>
      <c r="I3174" t="s">
        <v>31</v>
      </c>
      <c r="J3174" t="s">
        <v>42</v>
      </c>
      <c r="K3174" t="s">
        <v>43</v>
      </c>
      <c r="L3174" t="s">
        <v>44</v>
      </c>
      <c r="M3174">
        <v>548.4300000000001</v>
      </c>
    </row>
    <row r="3175">
      <c r="A3175" s="2">
        <v>45916</v>
      </c>
      <c r="B3175">
        <v>2026.0</v>
      </c>
      <c r="C3175" t="s">
        <v>321</v>
      </c>
      <c r="D3175" t="s">
        <v>316</v>
      </c>
      <c r="E3175" t="s">
        <v>68</v>
      </c>
      <c r="F3175" t="s">
        <v>304</v>
      </c>
      <c r="G3175" t="s">
        <v>9</v>
      </c>
      <c r="H3175">
        <v>2478.0</v>
      </c>
      <c r="I3175" t="s">
        <v>31</v>
      </c>
      <c r="J3175" t="s">
        <v>70</v>
      </c>
      <c r="K3175" t="s">
        <v>71</v>
      </c>
      <c r="L3175" t="s">
        <v>72</v>
      </c>
      <c r="M3175">
        <v>549.59</v>
      </c>
    </row>
    <row r="3176">
      <c r="A3176" s="2">
        <v>45999</v>
      </c>
      <c r="B3176">
        <v>2026.0</v>
      </c>
      <c r="C3176" t="s">
        <v>321</v>
      </c>
      <c r="D3176" t="s">
        <v>316</v>
      </c>
      <c r="E3176" t="s">
        <v>105</v>
      </c>
      <c r="F3176" t="s">
        <v>304</v>
      </c>
      <c r="G3176" t="s">
        <v>9</v>
      </c>
      <c r="H3176">
        <v>2541.0</v>
      </c>
      <c r="I3176" t="s">
        <v>31</v>
      </c>
      <c r="J3176" t="s">
        <v>107</v>
      </c>
      <c r="K3176" t="s">
        <v>112</v>
      </c>
      <c r="L3176" t="s">
        <v>113</v>
      </c>
      <c r="M3176">
        <v>550.4</v>
      </c>
    </row>
    <row r="3177">
      <c r="A3177" s="2">
        <v>46019</v>
      </c>
      <c r="B3177">
        <v>2026.0</v>
      </c>
      <c r="C3177" t="s">
        <v>321</v>
      </c>
      <c r="D3177" t="s">
        <v>316</v>
      </c>
      <c r="E3177" t="s">
        <v>199</v>
      </c>
      <c r="F3177" t="s">
        <v>308</v>
      </c>
      <c r="G3177" t="s">
        <v>13</v>
      </c>
      <c r="H3177">
        <v>5169.0</v>
      </c>
      <c r="I3177" t="s">
        <v>31</v>
      </c>
      <c r="J3177" t="s">
        <v>42</v>
      </c>
      <c r="K3177" t="s">
        <v>71</v>
      </c>
      <c r="L3177" t="s">
        <v>72</v>
      </c>
      <c r="M3177">
        <v>550.46</v>
      </c>
    </row>
    <row r="3178">
      <c r="A3178" s="2">
        <v>45955</v>
      </c>
      <c r="B3178">
        <v>2026.0</v>
      </c>
      <c r="C3178" t="s">
        <v>321</v>
      </c>
      <c r="D3178" t="s">
        <v>316</v>
      </c>
      <c r="E3178" t="s">
        <v>181</v>
      </c>
      <c r="F3178" t="s">
        <v>306</v>
      </c>
      <c r="G3178" t="s">
        <v>11</v>
      </c>
      <c r="H3178">
        <v>4119.0</v>
      </c>
      <c r="I3178" t="s">
        <v>31</v>
      </c>
      <c r="J3178" t="s">
        <v>56</v>
      </c>
      <c r="K3178" t="s">
        <v>33</v>
      </c>
      <c r="L3178" t="s">
        <v>34</v>
      </c>
      <c r="M3178">
        <v>551.24</v>
      </c>
    </row>
    <row r="3179">
      <c r="A3179" s="2">
        <v>45293</v>
      </c>
      <c r="B3179">
        <v>2024.0</v>
      </c>
      <c r="C3179" t="s">
        <v>318</v>
      </c>
      <c r="D3179" t="s">
        <v>316</v>
      </c>
      <c r="E3179" t="s">
        <v>73</v>
      </c>
      <c r="F3179" t="s">
        <v>304</v>
      </c>
      <c r="G3179" t="s">
        <v>9</v>
      </c>
      <c r="H3179">
        <v>2750.0</v>
      </c>
      <c r="I3179" t="s">
        <v>31</v>
      </c>
      <c r="J3179" t="s">
        <v>75</v>
      </c>
      <c r="K3179" t="s">
        <v>57</v>
      </c>
      <c r="L3179" t="s">
        <v>58</v>
      </c>
      <c r="M3179">
        <v>551.4300000000001</v>
      </c>
    </row>
    <row r="3180">
      <c r="A3180" s="2">
        <v>45668</v>
      </c>
      <c r="B3180">
        <v>2025.0</v>
      </c>
      <c r="C3180" t="s">
        <v>315</v>
      </c>
      <c r="D3180" t="s">
        <v>319</v>
      </c>
      <c r="E3180" t="s">
        <v>171</v>
      </c>
      <c r="F3180" t="s">
        <v>305</v>
      </c>
      <c r="G3180" t="s">
        <v>10</v>
      </c>
      <c r="H3180">
        <v>3500.0</v>
      </c>
      <c r="I3180" t="s">
        <v>31</v>
      </c>
      <c r="J3180" t="s">
        <v>37</v>
      </c>
      <c r="K3180" t="s">
        <v>43</v>
      </c>
      <c r="L3180" t="s">
        <v>44</v>
      </c>
      <c r="M3180">
        <v>551.44</v>
      </c>
    </row>
    <row r="3181">
      <c r="A3181" s="2">
        <v>45859</v>
      </c>
      <c r="B3181">
        <v>2026.0</v>
      </c>
      <c r="C3181" t="s">
        <v>321</v>
      </c>
      <c r="D3181" t="s">
        <v>316</v>
      </c>
      <c r="E3181" t="s">
        <v>160</v>
      </c>
      <c r="F3181" t="s">
        <v>307</v>
      </c>
      <c r="G3181" t="s">
        <v>12</v>
      </c>
      <c r="H3181">
        <v>6280.0</v>
      </c>
      <c r="I3181" t="s">
        <v>31</v>
      </c>
      <c r="J3181" t="s">
        <v>162</v>
      </c>
      <c r="K3181" t="s">
        <v>43</v>
      </c>
      <c r="L3181" t="s">
        <v>44</v>
      </c>
      <c r="M3181">
        <v>551.7599999999999</v>
      </c>
    </row>
    <row r="3182">
      <c r="A3182" s="2">
        <v>45467</v>
      </c>
      <c r="B3182">
        <v>2024.0</v>
      </c>
      <c r="C3182" t="s">
        <v>318</v>
      </c>
      <c r="D3182" t="s">
        <v>316</v>
      </c>
      <c r="E3182" t="s">
        <v>264</v>
      </c>
      <c r="F3182" t="s">
        <v>308</v>
      </c>
      <c r="G3182" t="s">
        <v>13</v>
      </c>
      <c r="H3182">
        <v>5043.0</v>
      </c>
      <c r="I3182" t="s">
        <v>31</v>
      </c>
      <c r="J3182" t="s">
        <v>42</v>
      </c>
      <c r="K3182" t="s">
        <v>71</v>
      </c>
      <c r="L3182" t="s">
        <v>72</v>
      </c>
      <c r="M3182">
        <v>552.01</v>
      </c>
    </row>
    <row r="3183">
      <c r="A3183" s="2">
        <v>46014</v>
      </c>
      <c r="B3183">
        <v>2026.0</v>
      </c>
      <c r="C3183" t="s">
        <v>321</v>
      </c>
      <c r="D3183" t="s">
        <v>316</v>
      </c>
      <c r="E3183" t="s">
        <v>59</v>
      </c>
      <c r="F3183" t="s">
        <v>306</v>
      </c>
      <c r="G3183" t="s">
        <v>11</v>
      </c>
      <c r="H3183">
        <v>4509.0</v>
      </c>
      <c r="I3183" t="s">
        <v>31</v>
      </c>
      <c r="J3183" t="s">
        <v>61</v>
      </c>
      <c r="K3183" t="s">
        <v>43</v>
      </c>
      <c r="L3183" t="s">
        <v>44</v>
      </c>
      <c r="M3183">
        <v>552.23</v>
      </c>
    </row>
    <row r="3184">
      <c r="A3184" s="2">
        <v>45856</v>
      </c>
      <c r="B3184">
        <v>2026.0</v>
      </c>
      <c r="C3184" t="s">
        <v>321</v>
      </c>
      <c r="D3184" t="s">
        <v>316</v>
      </c>
      <c r="E3184" t="s">
        <v>175</v>
      </c>
      <c r="F3184" t="s">
        <v>311</v>
      </c>
      <c r="G3184" t="s">
        <v>16</v>
      </c>
      <c r="H3184">
        <v>2617.0</v>
      </c>
      <c r="I3184" t="s">
        <v>31</v>
      </c>
      <c r="J3184" t="s">
        <v>107</v>
      </c>
      <c r="K3184" t="s">
        <v>71</v>
      </c>
      <c r="L3184" t="s">
        <v>72</v>
      </c>
      <c r="M3184">
        <v>552.62</v>
      </c>
    </row>
    <row r="3185">
      <c r="A3185" s="2">
        <v>45685</v>
      </c>
      <c r="B3185">
        <v>2025.0</v>
      </c>
      <c r="C3185" t="s">
        <v>315</v>
      </c>
      <c r="D3185" t="s">
        <v>316</v>
      </c>
      <c r="E3185" t="s">
        <v>256</v>
      </c>
      <c r="F3185" t="s">
        <v>304</v>
      </c>
      <c r="G3185" t="s">
        <v>9</v>
      </c>
      <c r="H3185">
        <v>2350.0</v>
      </c>
      <c r="I3185" t="s">
        <v>31</v>
      </c>
      <c r="J3185" t="s">
        <v>70</v>
      </c>
      <c r="K3185" t="s">
        <v>38</v>
      </c>
      <c r="L3185" t="s">
        <v>39</v>
      </c>
      <c r="M3185">
        <v>555.23</v>
      </c>
    </row>
    <row r="3186">
      <c r="A3186" s="2">
        <v>46017</v>
      </c>
      <c r="B3186">
        <v>2026.0</v>
      </c>
      <c r="C3186" t="s">
        <v>321</v>
      </c>
      <c r="D3186" t="s">
        <v>316</v>
      </c>
      <c r="E3186" t="s">
        <v>129</v>
      </c>
      <c r="F3186" t="s">
        <v>305</v>
      </c>
      <c r="G3186" t="s">
        <v>10</v>
      </c>
      <c r="H3186">
        <v>3066.0</v>
      </c>
      <c r="I3186" t="s">
        <v>31</v>
      </c>
      <c r="J3186" t="s">
        <v>120</v>
      </c>
      <c r="K3186" t="s">
        <v>43</v>
      </c>
      <c r="L3186" t="s">
        <v>44</v>
      </c>
      <c r="M3186">
        <v>555.95</v>
      </c>
    </row>
    <row r="3187">
      <c r="A3187" s="2">
        <v>45859</v>
      </c>
      <c r="B3187">
        <v>2026.0</v>
      </c>
      <c r="C3187" t="s">
        <v>321</v>
      </c>
      <c r="D3187" t="s">
        <v>316</v>
      </c>
      <c r="E3187" t="s">
        <v>225</v>
      </c>
      <c r="F3187" t="s">
        <v>308</v>
      </c>
      <c r="G3187" t="s">
        <v>13</v>
      </c>
      <c r="H3187">
        <v>5607.0</v>
      </c>
      <c r="I3187" t="s">
        <v>31</v>
      </c>
      <c r="J3187" t="s">
        <v>227</v>
      </c>
      <c r="K3187" t="s">
        <v>95</v>
      </c>
      <c r="L3187" t="s">
        <v>96</v>
      </c>
      <c r="M3187">
        <v>559.35</v>
      </c>
    </row>
    <row r="3188">
      <c r="A3188" s="2">
        <v>45880</v>
      </c>
      <c r="B3188">
        <v>2026.0</v>
      </c>
      <c r="C3188" t="s">
        <v>321</v>
      </c>
      <c r="D3188" t="s">
        <v>316</v>
      </c>
      <c r="E3188" t="s">
        <v>248</v>
      </c>
      <c r="F3188" t="s">
        <v>307</v>
      </c>
      <c r="G3188" t="s">
        <v>12</v>
      </c>
      <c r="H3188">
        <v>6112.0</v>
      </c>
      <c r="I3188" t="s">
        <v>31</v>
      </c>
      <c r="J3188" t="s">
        <v>162</v>
      </c>
      <c r="K3188" t="s">
        <v>71</v>
      </c>
      <c r="L3188" t="s">
        <v>72</v>
      </c>
      <c r="M3188">
        <v>560.37</v>
      </c>
    </row>
    <row r="3189">
      <c r="A3189" s="2">
        <v>45580</v>
      </c>
      <c r="B3189">
        <v>2025.0</v>
      </c>
      <c r="C3189" t="s">
        <v>315</v>
      </c>
      <c r="D3189" t="s">
        <v>316</v>
      </c>
      <c r="E3189" t="s">
        <v>97</v>
      </c>
      <c r="F3189" t="s">
        <v>304</v>
      </c>
      <c r="G3189" t="s">
        <v>9</v>
      </c>
      <c r="H3189">
        <v>2067.0</v>
      </c>
      <c r="I3189" t="s">
        <v>31</v>
      </c>
      <c r="J3189" t="s">
        <v>99</v>
      </c>
      <c r="K3189" t="s">
        <v>123</v>
      </c>
      <c r="L3189" t="s">
        <v>124</v>
      </c>
      <c r="M3189">
        <v>561.29</v>
      </c>
    </row>
    <row r="3190">
      <c r="A3190" s="2">
        <v>45445</v>
      </c>
      <c r="B3190">
        <v>2024.0</v>
      </c>
      <c r="C3190" t="s">
        <v>318</v>
      </c>
      <c r="D3190" t="s">
        <v>316</v>
      </c>
      <c r="E3190" t="s">
        <v>158</v>
      </c>
      <c r="F3190" t="s">
        <v>306</v>
      </c>
      <c r="G3190" t="s">
        <v>11</v>
      </c>
      <c r="H3190">
        <v>4570.0</v>
      </c>
      <c r="I3190" t="s">
        <v>31</v>
      </c>
      <c r="J3190" t="s">
        <v>84</v>
      </c>
      <c r="K3190" t="s">
        <v>95</v>
      </c>
      <c r="L3190" t="s">
        <v>96</v>
      </c>
      <c r="M3190">
        <v>561.6700000000001</v>
      </c>
    </row>
    <row r="3191">
      <c r="A3191" s="2">
        <v>45601</v>
      </c>
      <c r="B3191">
        <v>2025.0</v>
      </c>
      <c r="C3191" t="s">
        <v>315</v>
      </c>
      <c r="D3191" t="s">
        <v>316</v>
      </c>
      <c r="E3191" t="s">
        <v>154</v>
      </c>
      <c r="F3191" t="s">
        <v>306</v>
      </c>
      <c r="G3191" t="s">
        <v>11</v>
      </c>
      <c r="H3191">
        <v>4551.0</v>
      </c>
      <c r="I3191" t="s">
        <v>31</v>
      </c>
      <c r="J3191" t="s">
        <v>84</v>
      </c>
      <c r="K3191" t="s">
        <v>38</v>
      </c>
      <c r="L3191" t="s">
        <v>39</v>
      </c>
      <c r="M3191">
        <v>562.51</v>
      </c>
    </row>
    <row r="3192">
      <c r="A3192" s="2">
        <v>45472</v>
      </c>
      <c r="B3192">
        <v>2024.0</v>
      </c>
      <c r="C3192" t="s">
        <v>318</v>
      </c>
      <c r="D3192" t="s">
        <v>316</v>
      </c>
      <c r="E3192" t="s">
        <v>211</v>
      </c>
      <c r="F3192" t="s">
        <v>304</v>
      </c>
      <c r="G3192" t="s">
        <v>9</v>
      </c>
      <c r="H3192">
        <v>2650.0</v>
      </c>
      <c r="I3192" t="s">
        <v>31</v>
      </c>
      <c r="J3192" t="s">
        <v>75</v>
      </c>
      <c r="K3192" t="s">
        <v>38</v>
      </c>
      <c r="L3192" t="s">
        <v>39</v>
      </c>
      <c r="M3192">
        <v>563.3299999999999</v>
      </c>
    </row>
    <row r="3193">
      <c r="A3193" s="2">
        <v>45933</v>
      </c>
      <c r="B3193">
        <v>2026.0</v>
      </c>
      <c r="C3193" t="s">
        <v>321</v>
      </c>
      <c r="D3193" t="s">
        <v>316</v>
      </c>
      <c r="E3193" t="s">
        <v>173</v>
      </c>
      <c r="F3193" t="s">
        <v>306</v>
      </c>
      <c r="G3193" t="s">
        <v>11</v>
      </c>
      <c r="H3193">
        <v>4220.0</v>
      </c>
      <c r="I3193" t="s">
        <v>31</v>
      </c>
      <c r="J3193" t="s">
        <v>61</v>
      </c>
      <c r="K3193" t="s">
        <v>95</v>
      </c>
      <c r="L3193" t="s">
        <v>96</v>
      </c>
      <c r="M3193">
        <v>563.5799999999999</v>
      </c>
    </row>
    <row r="3194">
      <c r="A3194" s="2">
        <v>45708</v>
      </c>
      <c r="B3194">
        <v>2025.0</v>
      </c>
      <c r="C3194" t="s">
        <v>315</v>
      </c>
      <c r="D3194" t="s">
        <v>316</v>
      </c>
      <c r="E3194" t="s">
        <v>29</v>
      </c>
      <c r="F3194" t="s">
        <v>306</v>
      </c>
      <c r="G3194" t="s">
        <v>11</v>
      </c>
      <c r="H3194">
        <v>4703.0</v>
      </c>
      <c r="I3194" t="s">
        <v>31</v>
      </c>
      <c r="J3194" t="s">
        <v>32</v>
      </c>
      <c r="K3194" t="s">
        <v>33</v>
      </c>
      <c r="L3194" t="s">
        <v>34</v>
      </c>
      <c r="M3194">
        <v>565.22</v>
      </c>
    </row>
    <row r="3195">
      <c r="A3195" s="2">
        <v>46021</v>
      </c>
      <c r="B3195">
        <v>2026.0</v>
      </c>
      <c r="C3195" t="s">
        <v>321</v>
      </c>
      <c r="D3195" t="s">
        <v>316</v>
      </c>
      <c r="E3195" t="s">
        <v>221</v>
      </c>
      <c r="F3195" t="s">
        <v>306</v>
      </c>
      <c r="G3195" t="s">
        <v>11</v>
      </c>
      <c r="H3195">
        <v>4053.0</v>
      </c>
      <c r="I3195" t="s">
        <v>31</v>
      </c>
      <c r="J3195" t="s">
        <v>56</v>
      </c>
      <c r="K3195" t="s">
        <v>38</v>
      </c>
      <c r="L3195" t="s">
        <v>39</v>
      </c>
      <c r="M3195">
        <v>565.78</v>
      </c>
    </row>
    <row r="3196">
      <c r="A3196" s="2">
        <v>45485</v>
      </c>
      <c r="B3196">
        <v>2025.0</v>
      </c>
      <c r="C3196" t="s">
        <v>315</v>
      </c>
      <c r="D3196" t="s">
        <v>316</v>
      </c>
      <c r="E3196" t="s">
        <v>221</v>
      </c>
      <c r="F3196" t="s">
        <v>306</v>
      </c>
      <c r="G3196" t="s">
        <v>11</v>
      </c>
      <c r="H3196">
        <v>4053.0</v>
      </c>
      <c r="I3196" t="s">
        <v>31</v>
      </c>
      <c r="J3196" t="s">
        <v>56</v>
      </c>
      <c r="K3196" t="s">
        <v>123</v>
      </c>
      <c r="L3196" t="s">
        <v>124</v>
      </c>
      <c r="M3196">
        <v>566.3300000000002</v>
      </c>
    </row>
    <row r="3197">
      <c r="A3197" s="2">
        <v>45701</v>
      </c>
      <c r="B3197">
        <v>2025.0</v>
      </c>
      <c r="C3197" t="s">
        <v>315</v>
      </c>
      <c r="D3197" t="s">
        <v>319</v>
      </c>
      <c r="E3197" t="s">
        <v>116</v>
      </c>
      <c r="F3197" t="s">
        <v>304</v>
      </c>
      <c r="G3197" t="s">
        <v>9</v>
      </c>
      <c r="H3197">
        <v>2485.0</v>
      </c>
      <c r="I3197" t="s">
        <v>31</v>
      </c>
      <c r="J3197" t="s">
        <v>70</v>
      </c>
      <c r="K3197" t="s">
        <v>33</v>
      </c>
      <c r="L3197" t="s">
        <v>34</v>
      </c>
      <c r="M3197">
        <v>566.74</v>
      </c>
    </row>
    <row r="3198">
      <c r="A3198" s="2">
        <v>45949</v>
      </c>
      <c r="B3198">
        <v>2026.0</v>
      </c>
      <c r="C3198" t="s">
        <v>321</v>
      </c>
      <c r="D3198" t="s">
        <v>316</v>
      </c>
      <c r="E3198" t="s">
        <v>73</v>
      </c>
      <c r="F3198" t="s">
        <v>304</v>
      </c>
      <c r="G3198" t="s">
        <v>9</v>
      </c>
      <c r="H3198">
        <v>2750.0</v>
      </c>
      <c r="I3198" t="s">
        <v>31</v>
      </c>
      <c r="J3198" t="s">
        <v>75</v>
      </c>
      <c r="K3198" t="s">
        <v>95</v>
      </c>
      <c r="L3198" t="s">
        <v>96</v>
      </c>
      <c r="M3198">
        <v>568.37</v>
      </c>
    </row>
    <row r="3199">
      <c r="A3199" s="2">
        <v>45850</v>
      </c>
      <c r="B3199">
        <v>2026.0</v>
      </c>
      <c r="C3199" t="s">
        <v>321</v>
      </c>
      <c r="D3199" t="s">
        <v>316</v>
      </c>
      <c r="E3199" t="s">
        <v>205</v>
      </c>
      <c r="F3199" t="s">
        <v>305</v>
      </c>
      <c r="G3199" t="s">
        <v>10</v>
      </c>
      <c r="H3199">
        <v>3400.0</v>
      </c>
      <c r="I3199" t="s">
        <v>31</v>
      </c>
      <c r="J3199" t="s">
        <v>37</v>
      </c>
      <c r="K3199" t="s">
        <v>71</v>
      </c>
      <c r="L3199" t="s">
        <v>72</v>
      </c>
      <c r="M3199">
        <v>568.6300000000001</v>
      </c>
    </row>
    <row r="3200">
      <c r="A3200" s="2">
        <v>45569</v>
      </c>
      <c r="B3200">
        <v>2025.0</v>
      </c>
      <c r="C3200" t="s">
        <v>315</v>
      </c>
      <c r="D3200" t="s">
        <v>316</v>
      </c>
      <c r="E3200" t="s">
        <v>154</v>
      </c>
      <c r="F3200" t="s">
        <v>306</v>
      </c>
      <c r="G3200" t="s">
        <v>11</v>
      </c>
      <c r="H3200">
        <v>4551.0</v>
      </c>
      <c r="I3200" t="s">
        <v>31</v>
      </c>
      <c r="J3200" t="s">
        <v>84</v>
      </c>
      <c r="K3200" t="s">
        <v>38</v>
      </c>
      <c r="L3200" t="s">
        <v>39</v>
      </c>
      <c r="M3200">
        <v>568.8100000000001</v>
      </c>
    </row>
    <row r="3201">
      <c r="A3201" s="2">
        <v>45523</v>
      </c>
      <c r="B3201">
        <v>2025.0</v>
      </c>
      <c r="C3201" t="s">
        <v>315</v>
      </c>
      <c r="D3201" t="s">
        <v>316</v>
      </c>
      <c r="E3201" t="s">
        <v>125</v>
      </c>
      <c r="F3201" t="s">
        <v>305</v>
      </c>
      <c r="G3201" t="s">
        <v>10</v>
      </c>
      <c r="H3201">
        <v>3931.0</v>
      </c>
      <c r="I3201" t="s">
        <v>31</v>
      </c>
      <c r="J3201" t="s">
        <v>94</v>
      </c>
      <c r="K3201" t="s">
        <v>33</v>
      </c>
      <c r="L3201" t="s">
        <v>34</v>
      </c>
      <c r="M3201">
        <v>568.99</v>
      </c>
    </row>
    <row r="3202">
      <c r="A3202" s="2">
        <v>45336</v>
      </c>
      <c r="B3202">
        <v>2024.0</v>
      </c>
      <c r="C3202" t="s">
        <v>318</v>
      </c>
      <c r="D3202" t="s">
        <v>316</v>
      </c>
      <c r="E3202" t="s">
        <v>232</v>
      </c>
      <c r="F3202" t="s">
        <v>304</v>
      </c>
      <c r="G3202" t="s">
        <v>9</v>
      </c>
      <c r="H3202">
        <v>2800.0</v>
      </c>
      <c r="I3202" t="s">
        <v>31</v>
      </c>
      <c r="J3202" t="s">
        <v>75</v>
      </c>
      <c r="K3202" t="s">
        <v>46</v>
      </c>
      <c r="L3202" t="s">
        <v>47</v>
      </c>
      <c r="M3202">
        <v>569.6700000000001</v>
      </c>
    </row>
    <row r="3203">
      <c r="A3203" s="2">
        <v>45396</v>
      </c>
      <c r="B3203">
        <v>2024.0</v>
      </c>
      <c r="C3203" t="s">
        <v>318</v>
      </c>
      <c r="D3203" t="s">
        <v>316</v>
      </c>
      <c r="E3203" t="s">
        <v>191</v>
      </c>
      <c r="F3203" t="s">
        <v>305</v>
      </c>
      <c r="G3203" t="s">
        <v>10</v>
      </c>
      <c r="H3203">
        <v>3030.0</v>
      </c>
      <c r="I3203" t="s">
        <v>31</v>
      </c>
      <c r="J3203" t="s">
        <v>120</v>
      </c>
      <c r="K3203" t="s">
        <v>71</v>
      </c>
      <c r="L3203" t="s">
        <v>72</v>
      </c>
      <c r="M3203">
        <v>570.9300000000001</v>
      </c>
    </row>
    <row r="3204">
      <c r="A3204" s="2">
        <v>45769</v>
      </c>
      <c r="B3204">
        <v>2025.0</v>
      </c>
      <c r="C3204" t="s">
        <v>315</v>
      </c>
      <c r="D3204" t="s">
        <v>316</v>
      </c>
      <c r="E3204" t="s">
        <v>185</v>
      </c>
      <c r="F3204" t="s">
        <v>307</v>
      </c>
      <c r="G3204" t="s">
        <v>12</v>
      </c>
      <c r="H3204">
        <v>6109.0</v>
      </c>
      <c r="I3204" t="s">
        <v>31</v>
      </c>
      <c r="J3204" t="s">
        <v>162</v>
      </c>
      <c r="K3204" t="s">
        <v>46</v>
      </c>
      <c r="L3204" t="s">
        <v>47</v>
      </c>
      <c r="M3204">
        <v>570.9499999999999</v>
      </c>
    </row>
    <row r="3205">
      <c r="A3205" s="2">
        <v>45494</v>
      </c>
      <c r="B3205">
        <v>2025.0</v>
      </c>
      <c r="C3205" t="s">
        <v>315</v>
      </c>
      <c r="D3205" t="s">
        <v>319</v>
      </c>
      <c r="E3205" t="s">
        <v>223</v>
      </c>
      <c r="F3205" t="s">
        <v>305</v>
      </c>
      <c r="G3205" t="s">
        <v>10</v>
      </c>
      <c r="H3205">
        <v>3915.0</v>
      </c>
      <c r="I3205" t="s">
        <v>31</v>
      </c>
      <c r="J3205" t="s">
        <v>94</v>
      </c>
      <c r="K3205" t="s">
        <v>71</v>
      </c>
      <c r="L3205" t="s">
        <v>72</v>
      </c>
      <c r="M3205">
        <v>571.0</v>
      </c>
    </row>
    <row r="3206">
      <c r="A3206" s="2">
        <v>45345</v>
      </c>
      <c r="B3206">
        <v>2024.0</v>
      </c>
      <c r="C3206" t="s">
        <v>318</v>
      </c>
      <c r="D3206" t="s">
        <v>316</v>
      </c>
      <c r="E3206" t="s">
        <v>246</v>
      </c>
      <c r="F3206" t="s">
        <v>305</v>
      </c>
      <c r="G3206" t="s">
        <v>10</v>
      </c>
      <c r="H3206">
        <v>3551.0</v>
      </c>
      <c r="I3206" t="s">
        <v>31</v>
      </c>
      <c r="J3206" t="s">
        <v>37</v>
      </c>
      <c r="K3206" t="s">
        <v>112</v>
      </c>
      <c r="L3206" t="s">
        <v>113</v>
      </c>
      <c r="M3206">
        <v>571.4599999999999</v>
      </c>
    </row>
    <row r="3207">
      <c r="A3207" s="2">
        <v>45948</v>
      </c>
      <c r="B3207">
        <v>2026.0</v>
      </c>
      <c r="C3207" t="s">
        <v>321</v>
      </c>
      <c r="D3207" t="s">
        <v>316</v>
      </c>
      <c r="E3207" t="s">
        <v>79</v>
      </c>
      <c r="F3207" t="s">
        <v>304</v>
      </c>
      <c r="G3207" t="s">
        <v>9</v>
      </c>
      <c r="H3207">
        <v>2141.0</v>
      </c>
      <c r="I3207" t="s">
        <v>31</v>
      </c>
      <c r="J3207" t="s">
        <v>81</v>
      </c>
      <c r="K3207" t="s">
        <v>57</v>
      </c>
      <c r="L3207" t="s">
        <v>58</v>
      </c>
      <c r="M3207">
        <v>571.76</v>
      </c>
    </row>
    <row r="3208">
      <c r="A3208" s="2">
        <v>45777</v>
      </c>
      <c r="B3208">
        <v>2025.0</v>
      </c>
      <c r="C3208" t="s">
        <v>315</v>
      </c>
      <c r="D3208" t="s">
        <v>319</v>
      </c>
      <c r="E3208" t="s">
        <v>143</v>
      </c>
      <c r="F3208" t="s">
        <v>309</v>
      </c>
      <c r="G3208" t="s">
        <v>14</v>
      </c>
      <c r="H3208">
        <v>800.0</v>
      </c>
      <c r="I3208" t="s">
        <v>31</v>
      </c>
      <c r="J3208" t="s">
        <v>145</v>
      </c>
      <c r="K3208" t="s">
        <v>57</v>
      </c>
      <c r="L3208" t="s">
        <v>58</v>
      </c>
      <c r="M3208">
        <v>571.99</v>
      </c>
    </row>
    <row r="3209">
      <c r="A3209" s="2">
        <v>45345</v>
      </c>
      <c r="B3209">
        <v>2024.0</v>
      </c>
      <c r="C3209" t="s">
        <v>318</v>
      </c>
      <c r="D3209" t="s">
        <v>316</v>
      </c>
      <c r="E3209" t="s">
        <v>105</v>
      </c>
      <c r="F3209" t="s">
        <v>304</v>
      </c>
      <c r="G3209" t="s">
        <v>9</v>
      </c>
      <c r="H3209">
        <v>2541.0</v>
      </c>
      <c r="I3209" t="s">
        <v>31</v>
      </c>
      <c r="J3209" t="s">
        <v>107</v>
      </c>
      <c r="K3209" t="s">
        <v>46</v>
      </c>
      <c r="L3209" t="s">
        <v>47</v>
      </c>
      <c r="M3209">
        <v>573.83</v>
      </c>
    </row>
    <row r="3210">
      <c r="A3210" s="2">
        <v>45965</v>
      </c>
      <c r="B3210">
        <v>2026.0</v>
      </c>
      <c r="C3210" t="s">
        <v>321</v>
      </c>
      <c r="D3210" t="s">
        <v>319</v>
      </c>
      <c r="E3210" t="s">
        <v>90</v>
      </c>
      <c r="F3210" t="s">
        <v>305</v>
      </c>
      <c r="G3210" t="s">
        <v>10</v>
      </c>
      <c r="H3210">
        <v>3353.0</v>
      </c>
      <c r="I3210" t="s">
        <v>31</v>
      </c>
      <c r="J3210" t="s">
        <v>37</v>
      </c>
      <c r="K3210" t="s">
        <v>38</v>
      </c>
      <c r="L3210" t="s">
        <v>39</v>
      </c>
      <c r="M3210">
        <v>574.99</v>
      </c>
    </row>
    <row r="3211">
      <c r="A3211" s="2">
        <v>45981</v>
      </c>
      <c r="B3211">
        <v>2026.0</v>
      </c>
      <c r="C3211" t="s">
        <v>321</v>
      </c>
      <c r="D3211" t="s">
        <v>316</v>
      </c>
      <c r="E3211" t="s">
        <v>125</v>
      </c>
      <c r="F3211" t="s">
        <v>305</v>
      </c>
      <c r="G3211" t="s">
        <v>10</v>
      </c>
      <c r="H3211">
        <v>3931.0</v>
      </c>
      <c r="I3211" t="s">
        <v>31</v>
      </c>
      <c r="J3211" t="s">
        <v>94</v>
      </c>
      <c r="K3211" t="s">
        <v>57</v>
      </c>
      <c r="L3211" t="s">
        <v>58</v>
      </c>
      <c r="M3211">
        <v>574.99</v>
      </c>
    </row>
    <row r="3212">
      <c r="A3212" s="2">
        <v>45983</v>
      </c>
      <c r="B3212">
        <v>2026.0</v>
      </c>
      <c r="C3212" t="s">
        <v>321</v>
      </c>
      <c r="D3212" t="s">
        <v>316</v>
      </c>
      <c r="E3212" t="s">
        <v>129</v>
      </c>
      <c r="F3212" t="s">
        <v>305</v>
      </c>
      <c r="G3212" t="s">
        <v>10</v>
      </c>
      <c r="H3212">
        <v>3066.0</v>
      </c>
      <c r="I3212" t="s">
        <v>31</v>
      </c>
      <c r="J3212" t="s">
        <v>120</v>
      </c>
      <c r="K3212" t="s">
        <v>38</v>
      </c>
      <c r="L3212" t="s">
        <v>39</v>
      </c>
      <c r="M3212">
        <v>575.21</v>
      </c>
    </row>
    <row r="3213">
      <c r="A3213" s="2">
        <v>45326</v>
      </c>
      <c r="B3213">
        <v>2024.0</v>
      </c>
      <c r="C3213" t="s">
        <v>318</v>
      </c>
      <c r="D3213" t="s">
        <v>316</v>
      </c>
      <c r="E3213" t="s">
        <v>179</v>
      </c>
      <c r="F3213" t="s">
        <v>304</v>
      </c>
      <c r="G3213" t="s">
        <v>9</v>
      </c>
      <c r="H3213">
        <v>2015.0</v>
      </c>
      <c r="I3213" t="s">
        <v>31</v>
      </c>
      <c r="J3213" t="s">
        <v>99</v>
      </c>
      <c r="K3213" t="s">
        <v>43</v>
      </c>
      <c r="L3213" t="s">
        <v>44</v>
      </c>
      <c r="M3213">
        <v>575.4300000000001</v>
      </c>
    </row>
    <row r="3214">
      <c r="A3214" s="2">
        <v>45619</v>
      </c>
      <c r="B3214">
        <v>2025.0</v>
      </c>
      <c r="C3214" t="s">
        <v>315</v>
      </c>
      <c r="D3214" t="s">
        <v>319</v>
      </c>
      <c r="E3214" t="s">
        <v>148</v>
      </c>
      <c r="F3214" t="s">
        <v>307</v>
      </c>
      <c r="G3214" t="s">
        <v>12</v>
      </c>
      <c r="H3214">
        <v>6450.0</v>
      </c>
      <c r="I3214" t="s">
        <v>31</v>
      </c>
      <c r="J3214" t="s">
        <v>50</v>
      </c>
      <c r="K3214" t="s">
        <v>33</v>
      </c>
      <c r="L3214" t="s">
        <v>34</v>
      </c>
      <c r="M3214">
        <v>575.44</v>
      </c>
    </row>
    <row r="3215">
      <c r="A3215" s="2">
        <v>45481</v>
      </c>
      <c r="B3215">
        <v>2025.0</v>
      </c>
      <c r="C3215" t="s">
        <v>315</v>
      </c>
      <c r="D3215" t="s">
        <v>316</v>
      </c>
      <c r="E3215" t="s">
        <v>68</v>
      </c>
      <c r="F3215" t="s">
        <v>304</v>
      </c>
      <c r="G3215" t="s">
        <v>9</v>
      </c>
      <c r="H3215">
        <v>2478.0</v>
      </c>
      <c r="I3215" t="s">
        <v>31</v>
      </c>
      <c r="J3215" t="s">
        <v>70</v>
      </c>
      <c r="K3215" t="s">
        <v>46</v>
      </c>
      <c r="L3215" t="s">
        <v>47</v>
      </c>
      <c r="M3215">
        <v>576.19</v>
      </c>
    </row>
    <row r="3216">
      <c r="A3216" s="2">
        <v>45413</v>
      </c>
      <c r="B3216">
        <v>2024.0</v>
      </c>
      <c r="C3216" t="s">
        <v>318</v>
      </c>
      <c r="D3216" t="s">
        <v>316</v>
      </c>
      <c r="E3216" t="s">
        <v>205</v>
      </c>
      <c r="F3216" t="s">
        <v>305</v>
      </c>
      <c r="G3216" t="s">
        <v>10</v>
      </c>
      <c r="H3216">
        <v>3400.0</v>
      </c>
      <c r="I3216" t="s">
        <v>31</v>
      </c>
      <c r="J3216" t="s">
        <v>37</v>
      </c>
      <c r="K3216" t="s">
        <v>95</v>
      </c>
      <c r="L3216" t="s">
        <v>96</v>
      </c>
      <c r="M3216">
        <v>576.84</v>
      </c>
    </row>
    <row r="3217">
      <c r="A3217" s="2">
        <v>45339</v>
      </c>
      <c r="B3217">
        <v>2024.0</v>
      </c>
      <c r="C3217" t="s">
        <v>318</v>
      </c>
      <c r="D3217" t="s">
        <v>316</v>
      </c>
      <c r="E3217" t="s">
        <v>250</v>
      </c>
      <c r="F3217" t="s">
        <v>305</v>
      </c>
      <c r="G3217" t="s">
        <v>10</v>
      </c>
      <c r="H3217">
        <v>3550.0</v>
      </c>
      <c r="I3217" t="s">
        <v>31</v>
      </c>
      <c r="J3217" t="s">
        <v>37</v>
      </c>
      <c r="K3217" t="s">
        <v>95</v>
      </c>
      <c r="L3217" t="s">
        <v>96</v>
      </c>
      <c r="M3217">
        <v>577.17</v>
      </c>
    </row>
    <row r="3218">
      <c r="A3218" s="2">
        <v>46020</v>
      </c>
      <c r="B3218">
        <v>2026.0</v>
      </c>
      <c r="C3218" t="s">
        <v>321</v>
      </c>
      <c r="D3218" t="s">
        <v>316</v>
      </c>
      <c r="E3218" t="s">
        <v>254</v>
      </c>
      <c r="F3218" t="s">
        <v>308</v>
      </c>
      <c r="G3218" t="s">
        <v>13</v>
      </c>
      <c r="H3218">
        <v>5343.0</v>
      </c>
      <c r="I3218" t="s">
        <v>31</v>
      </c>
      <c r="J3218" t="s">
        <v>227</v>
      </c>
      <c r="K3218" t="s">
        <v>71</v>
      </c>
      <c r="L3218" t="s">
        <v>72</v>
      </c>
      <c r="M3218">
        <v>577.27</v>
      </c>
    </row>
    <row r="3219">
      <c r="A3219" s="2">
        <v>45597</v>
      </c>
      <c r="B3219">
        <v>2025.0</v>
      </c>
      <c r="C3219" t="s">
        <v>315</v>
      </c>
      <c r="D3219" t="s">
        <v>316</v>
      </c>
      <c r="E3219" t="s">
        <v>195</v>
      </c>
      <c r="F3219" t="s">
        <v>306</v>
      </c>
      <c r="G3219" t="s">
        <v>11</v>
      </c>
      <c r="H3219">
        <v>4700.0</v>
      </c>
      <c r="I3219" t="s">
        <v>31</v>
      </c>
      <c r="J3219" t="s">
        <v>32</v>
      </c>
      <c r="K3219" t="s">
        <v>71</v>
      </c>
      <c r="L3219" t="s">
        <v>72</v>
      </c>
      <c r="M3219">
        <v>578.9100000000001</v>
      </c>
    </row>
    <row r="3220">
      <c r="A3220" s="2">
        <v>45688</v>
      </c>
      <c r="B3220">
        <v>2025.0</v>
      </c>
      <c r="C3220" t="s">
        <v>315</v>
      </c>
      <c r="D3220" t="s">
        <v>316</v>
      </c>
      <c r="E3220" t="s">
        <v>133</v>
      </c>
      <c r="F3220" t="s">
        <v>305</v>
      </c>
      <c r="G3220" t="s">
        <v>10</v>
      </c>
      <c r="H3220">
        <v>3429.0</v>
      </c>
      <c r="I3220" t="s">
        <v>31</v>
      </c>
      <c r="J3220" t="s">
        <v>37</v>
      </c>
      <c r="K3220" t="s">
        <v>57</v>
      </c>
      <c r="L3220" t="s">
        <v>58</v>
      </c>
      <c r="M3220">
        <v>579.8900000000001</v>
      </c>
    </row>
    <row r="3221">
      <c r="A3221" s="2">
        <v>45400</v>
      </c>
      <c r="B3221">
        <v>2024.0</v>
      </c>
      <c r="C3221" t="s">
        <v>318</v>
      </c>
      <c r="D3221" t="s">
        <v>319</v>
      </c>
      <c r="E3221" t="s">
        <v>240</v>
      </c>
      <c r="F3221" t="s">
        <v>310</v>
      </c>
      <c r="G3221" t="s">
        <v>15</v>
      </c>
      <c r="H3221">
        <v>7010.0</v>
      </c>
      <c r="I3221" t="s">
        <v>31</v>
      </c>
      <c r="J3221" t="s">
        <v>53</v>
      </c>
      <c r="K3221" t="s">
        <v>33</v>
      </c>
      <c r="L3221" t="s">
        <v>34</v>
      </c>
      <c r="M3221">
        <v>580.65</v>
      </c>
    </row>
    <row r="3222">
      <c r="A3222" s="2">
        <v>45952</v>
      </c>
      <c r="B3222">
        <v>2026.0</v>
      </c>
      <c r="C3222" t="s">
        <v>321</v>
      </c>
      <c r="D3222" t="s">
        <v>316</v>
      </c>
      <c r="E3222" t="s">
        <v>236</v>
      </c>
      <c r="F3222" t="s">
        <v>307</v>
      </c>
      <c r="G3222" t="s">
        <v>12</v>
      </c>
      <c r="H3222">
        <v>6052.0</v>
      </c>
      <c r="I3222" t="s">
        <v>31</v>
      </c>
      <c r="J3222" t="s">
        <v>102</v>
      </c>
      <c r="K3222" t="s">
        <v>95</v>
      </c>
      <c r="L3222" t="s">
        <v>96</v>
      </c>
      <c r="M3222">
        <v>580.8000000000001</v>
      </c>
    </row>
    <row r="3223">
      <c r="A3223" s="2">
        <v>45469</v>
      </c>
      <c r="B3223">
        <v>2024.0</v>
      </c>
      <c r="C3223" t="s">
        <v>318</v>
      </c>
      <c r="D3223" t="s">
        <v>319</v>
      </c>
      <c r="E3223" t="s">
        <v>217</v>
      </c>
      <c r="F3223" t="s">
        <v>305</v>
      </c>
      <c r="G3223" t="s">
        <v>10</v>
      </c>
      <c r="H3223">
        <v>3136.0</v>
      </c>
      <c r="I3223" t="s">
        <v>31</v>
      </c>
      <c r="J3223" t="s">
        <v>89</v>
      </c>
      <c r="K3223" t="s">
        <v>46</v>
      </c>
      <c r="L3223" t="s">
        <v>47</v>
      </c>
      <c r="M3223">
        <v>581.9</v>
      </c>
    </row>
    <row r="3224">
      <c r="A3224" s="2">
        <v>45823</v>
      </c>
      <c r="B3224">
        <v>2025.0</v>
      </c>
      <c r="C3224" t="s">
        <v>315</v>
      </c>
      <c r="D3224" t="s">
        <v>319</v>
      </c>
      <c r="E3224" t="s">
        <v>250</v>
      </c>
      <c r="F3224" t="s">
        <v>305</v>
      </c>
      <c r="G3224" t="s">
        <v>10</v>
      </c>
      <c r="H3224">
        <v>3550.0</v>
      </c>
      <c r="I3224" t="s">
        <v>31</v>
      </c>
      <c r="J3224" t="s">
        <v>37</v>
      </c>
      <c r="K3224" t="s">
        <v>123</v>
      </c>
      <c r="L3224" t="s">
        <v>124</v>
      </c>
      <c r="M3224">
        <v>583.53</v>
      </c>
    </row>
    <row r="3225">
      <c r="A3225" s="2">
        <v>45331</v>
      </c>
      <c r="B3225">
        <v>2024.0</v>
      </c>
      <c r="C3225" t="s">
        <v>318</v>
      </c>
      <c r="D3225" t="s">
        <v>316</v>
      </c>
      <c r="E3225" t="s">
        <v>193</v>
      </c>
      <c r="F3225" t="s">
        <v>304</v>
      </c>
      <c r="G3225" t="s">
        <v>9</v>
      </c>
      <c r="H3225">
        <v>2020.0</v>
      </c>
      <c r="I3225" t="s">
        <v>31</v>
      </c>
      <c r="J3225" t="s">
        <v>99</v>
      </c>
      <c r="K3225" t="s">
        <v>123</v>
      </c>
      <c r="L3225" t="s">
        <v>124</v>
      </c>
      <c r="M3225">
        <v>584.04</v>
      </c>
    </row>
    <row r="3226">
      <c r="A3226" s="2">
        <v>45570</v>
      </c>
      <c r="B3226">
        <v>2025.0</v>
      </c>
      <c r="C3226" t="s">
        <v>315</v>
      </c>
      <c r="D3226" t="s">
        <v>316</v>
      </c>
      <c r="E3226" t="s">
        <v>205</v>
      </c>
      <c r="F3226" t="s">
        <v>305</v>
      </c>
      <c r="G3226" t="s">
        <v>10</v>
      </c>
      <c r="H3226">
        <v>3400.0</v>
      </c>
      <c r="I3226" t="s">
        <v>31</v>
      </c>
      <c r="J3226" t="s">
        <v>37</v>
      </c>
      <c r="K3226" t="s">
        <v>46</v>
      </c>
      <c r="L3226" t="s">
        <v>47</v>
      </c>
      <c r="M3226">
        <v>584.13</v>
      </c>
    </row>
    <row r="3227">
      <c r="A3227" s="2">
        <v>45777</v>
      </c>
      <c r="B3227">
        <v>2025.0</v>
      </c>
      <c r="C3227" t="s">
        <v>315</v>
      </c>
      <c r="D3227" t="s">
        <v>319</v>
      </c>
      <c r="E3227" t="s">
        <v>262</v>
      </c>
      <c r="F3227" t="s">
        <v>305</v>
      </c>
      <c r="G3227" t="s">
        <v>10</v>
      </c>
      <c r="H3227">
        <v>3018.0</v>
      </c>
      <c r="I3227" t="s">
        <v>31</v>
      </c>
      <c r="J3227" t="s">
        <v>120</v>
      </c>
      <c r="K3227" t="s">
        <v>95</v>
      </c>
      <c r="L3227" t="s">
        <v>96</v>
      </c>
      <c r="M3227">
        <v>584.9599999999999</v>
      </c>
    </row>
    <row r="3228">
      <c r="A3228" s="2">
        <v>45476</v>
      </c>
      <c r="B3228">
        <v>2025.0</v>
      </c>
      <c r="C3228" t="s">
        <v>315</v>
      </c>
      <c r="D3228" t="s">
        <v>316</v>
      </c>
      <c r="E3228" t="s">
        <v>48</v>
      </c>
      <c r="F3228" t="s">
        <v>307</v>
      </c>
      <c r="G3228" t="s">
        <v>12</v>
      </c>
      <c r="H3228">
        <v>6725.0</v>
      </c>
      <c r="I3228" t="s">
        <v>31</v>
      </c>
      <c r="J3228" t="s">
        <v>50</v>
      </c>
      <c r="K3228" t="s">
        <v>71</v>
      </c>
      <c r="L3228" t="s">
        <v>72</v>
      </c>
      <c r="M3228">
        <v>588.0</v>
      </c>
    </row>
    <row r="3229">
      <c r="A3229" s="2">
        <v>45766</v>
      </c>
      <c r="B3229">
        <v>2025.0</v>
      </c>
      <c r="C3229" t="s">
        <v>315</v>
      </c>
      <c r="D3229" t="s">
        <v>319</v>
      </c>
      <c r="E3229" t="s">
        <v>217</v>
      </c>
      <c r="F3229" t="s">
        <v>305</v>
      </c>
      <c r="G3229" t="s">
        <v>10</v>
      </c>
      <c r="H3229">
        <v>3136.0</v>
      </c>
      <c r="I3229" t="s">
        <v>31</v>
      </c>
      <c r="J3229" t="s">
        <v>89</v>
      </c>
      <c r="K3229" t="s">
        <v>57</v>
      </c>
      <c r="L3229" t="s">
        <v>58</v>
      </c>
      <c r="M3229">
        <v>589.8199999999999</v>
      </c>
    </row>
    <row r="3230">
      <c r="A3230" s="2">
        <v>45710</v>
      </c>
      <c r="B3230">
        <v>2025.0</v>
      </c>
      <c r="C3230" t="s">
        <v>315</v>
      </c>
      <c r="D3230" t="s">
        <v>316</v>
      </c>
      <c r="E3230" t="s">
        <v>177</v>
      </c>
      <c r="F3230" t="s">
        <v>307</v>
      </c>
      <c r="G3230" t="s">
        <v>12</v>
      </c>
      <c r="H3230">
        <v>6330.0</v>
      </c>
      <c r="I3230" t="s">
        <v>31</v>
      </c>
      <c r="J3230" t="s">
        <v>162</v>
      </c>
      <c r="K3230" t="s">
        <v>66</v>
      </c>
      <c r="L3230" t="s">
        <v>67</v>
      </c>
      <c r="M3230">
        <v>591.76</v>
      </c>
    </row>
    <row r="3231">
      <c r="A3231" s="2">
        <v>45865</v>
      </c>
      <c r="B3231">
        <v>2026.0</v>
      </c>
      <c r="C3231" t="s">
        <v>321</v>
      </c>
      <c r="D3231" t="s">
        <v>316</v>
      </c>
      <c r="E3231" t="s">
        <v>209</v>
      </c>
      <c r="F3231" t="s">
        <v>304</v>
      </c>
      <c r="G3231" t="s">
        <v>9</v>
      </c>
      <c r="H3231">
        <v>2116.0</v>
      </c>
      <c r="I3231" t="s">
        <v>31</v>
      </c>
      <c r="J3231" t="s">
        <v>81</v>
      </c>
      <c r="K3231" t="s">
        <v>123</v>
      </c>
      <c r="L3231" t="s">
        <v>124</v>
      </c>
      <c r="M3231">
        <v>592.06</v>
      </c>
    </row>
    <row r="3232">
      <c r="A3232" s="2">
        <v>45681</v>
      </c>
      <c r="B3232">
        <v>2025.0</v>
      </c>
      <c r="C3232" t="s">
        <v>315</v>
      </c>
      <c r="D3232" t="s">
        <v>316</v>
      </c>
      <c r="E3232" t="s">
        <v>215</v>
      </c>
      <c r="F3232" t="s">
        <v>310</v>
      </c>
      <c r="G3232" t="s">
        <v>15</v>
      </c>
      <c r="H3232">
        <v>7320.0</v>
      </c>
      <c r="I3232" t="s">
        <v>31</v>
      </c>
      <c r="J3232" t="s">
        <v>53</v>
      </c>
      <c r="K3232" t="s">
        <v>33</v>
      </c>
      <c r="L3232" t="s">
        <v>34</v>
      </c>
      <c r="M3232">
        <v>592.31</v>
      </c>
    </row>
    <row r="3233">
      <c r="A3233" s="2">
        <v>45430</v>
      </c>
      <c r="B3233">
        <v>2024.0</v>
      </c>
      <c r="C3233" t="s">
        <v>318</v>
      </c>
      <c r="D3233" t="s">
        <v>316</v>
      </c>
      <c r="E3233" t="s">
        <v>181</v>
      </c>
      <c r="F3233" t="s">
        <v>306</v>
      </c>
      <c r="G3233" t="s">
        <v>11</v>
      </c>
      <c r="H3233">
        <v>4119.0</v>
      </c>
      <c r="I3233" t="s">
        <v>31</v>
      </c>
      <c r="J3233" t="s">
        <v>56</v>
      </c>
      <c r="K3233" t="s">
        <v>43</v>
      </c>
      <c r="L3233" t="s">
        <v>44</v>
      </c>
      <c r="M3233">
        <v>592.81</v>
      </c>
    </row>
    <row r="3234">
      <c r="A3234" s="2">
        <v>45384</v>
      </c>
      <c r="B3234">
        <v>2024.0</v>
      </c>
      <c r="C3234" t="s">
        <v>318</v>
      </c>
      <c r="D3234" t="s">
        <v>319</v>
      </c>
      <c r="E3234" t="s">
        <v>217</v>
      </c>
      <c r="F3234" t="s">
        <v>305</v>
      </c>
      <c r="G3234" t="s">
        <v>10</v>
      </c>
      <c r="H3234">
        <v>3136.0</v>
      </c>
      <c r="I3234" t="s">
        <v>31</v>
      </c>
      <c r="J3234" t="s">
        <v>89</v>
      </c>
      <c r="K3234" t="s">
        <v>43</v>
      </c>
      <c r="L3234" t="s">
        <v>44</v>
      </c>
      <c r="M3234">
        <v>593.6</v>
      </c>
    </row>
    <row r="3235">
      <c r="A3235" s="2">
        <v>45771</v>
      </c>
      <c r="B3235">
        <v>2025.0</v>
      </c>
      <c r="C3235" t="s">
        <v>315</v>
      </c>
      <c r="D3235" t="s">
        <v>316</v>
      </c>
      <c r="E3235" t="s">
        <v>203</v>
      </c>
      <c r="F3235" t="s">
        <v>305</v>
      </c>
      <c r="G3235" t="s">
        <v>10</v>
      </c>
      <c r="H3235">
        <v>3175.0</v>
      </c>
      <c r="I3235" t="s">
        <v>31</v>
      </c>
      <c r="J3235" t="s">
        <v>89</v>
      </c>
      <c r="K3235" t="s">
        <v>57</v>
      </c>
      <c r="L3235" t="s">
        <v>58</v>
      </c>
      <c r="M3235">
        <v>594.3900000000001</v>
      </c>
    </row>
    <row r="3236">
      <c r="A3236" s="2">
        <v>45935</v>
      </c>
      <c r="B3236">
        <v>2026.0</v>
      </c>
      <c r="C3236" t="s">
        <v>321</v>
      </c>
      <c r="D3236" t="s">
        <v>319</v>
      </c>
      <c r="E3236" t="s">
        <v>171</v>
      </c>
      <c r="F3236" t="s">
        <v>305</v>
      </c>
      <c r="G3236" t="s">
        <v>10</v>
      </c>
      <c r="H3236">
        <v>3500.0</v>
      </c>
      <c r="I3236" t="s">
        <v>31</v>
      </c>
      <c r="J3236" t="s">
        <v>37</v>
      </c>
      <c r="K3236" t="s">
        <v>46</v>
      </c>
      <c r="L3236" t="s">
        <v>47</v>
      </c>
      <c r="M3236">
        <v>594.49</v>
      </c>
    </row>
    <row r="3237">
      <c r="A3237" s="2">
        <v>45446</v>
      </c>
      <c r="B3237">
        <v>2024.0</v>
      </c>
      <c r="C3237" t="s">
        <v>318</v>
      </c>
      <c r="D3237" t="s">
        <v>316</v>
      </c>
      <c r="E3237" t="s">
        <v>118</v>
      </c>
      <c r="F3237" t="s">
        <v>305</v>
      </c>
      <c r="G3237" t="s">
        <v>10</v>
      </c>
      <c r="H3237">
        <v>3076.0</v>
      </c>
      <c r="I3237" t="s">
        <v>31</v>
      </c>
      <c r="J3237" t="s">
        <v>120</v>
      </c>
      <c r="K3237" t="s">
        <v>43</v>
      </c>
      <c r="L3237" t="s">
        <v>44</v>
      </c>
      <c r="M3237">
        <v>595.03</v>
      </c>
    </row>
    <row r="3238">
      <c r="A3238" s="2">
        <v>45317</v>
      </c>
      <c r="B3238">
        <v>2024.0</v>
      </c>
      <c r="C3238" t="s">
        <v>318</v>
      </c>
      <c r="D3238" t="s">
        <v>316</v>
      </c>
      <c r="E3238" t="s">
        <v>97</v>
      </c>
      <c r="F3238" t="s">
        <v>304</v>
      </c>
      <c r="G3238" t="s">
        <v>9</v>
      </c>
      <c r="H3238">
        <v>2067.0</v>
      </c>
      <c r="I3238" t="s">
        <v>31</v>
      </c>
      <c r="J3238" t="s">
        <v>99</v>
      </c>
      <c r="K3238" t="s">
        <v>66</v>
      </c>
      <c r="L3238" t="s">
        <v>67</v>
      </c>
      <c r="M3238">
        <v>595.94</v>
      </c>
    </row>
    <row r="3239">
      <c r="A3239" s="2">
        <v>45559</v>
      </c>
      <c r="B3239">
        <v>2025.0</v>
      </c>
      <c r="C3239" t="s">
        <v>315</v>
      </c>
      <c r="D3239" t="s">
        <v>316</v>
      </c>
      <c r="E3239" t="s">
        <v>225</v>
      </c>
      <c r="F3239" t="s">
        <v>308</v>
      </c>
      <c r="G3239" t="s">
        <v>13</v>
      </c>
      <c r="H3239">
        <v>5607.0</v>
      </c>
      <c r="I3239" t="s">
        <v>31</v>
      </c>
      <c r="J3239" t="s">
        <v>227</v>
      </c>
      <c r="K3239" t="s">
        <v>71</v>
      </c>
      <c r="L3239" t="s">
        <v>72</v>
      </c>
      <c r="M3239">
        <v>596.99</v>
      </c>
    </row>
    <row r="3240">
      <c r="A3240" s="2">
        <v>45293</v>
      </c>
      <c r="B3240">
        <v>2024.0</v>
      </c>
      <c r="C3240" t="s">
        <v>318</v>
      </c>
      <c r="D3240" t="s">
        <v>316</v>
      </c>
      <c r="E3240" t="s">
        <v>76</v>
      </c>
      <c r="F3240" t="s">
        <v>306</v>
      </c>
      <c r="G3240" t="s">
        <v>11</v>
      </c>
      <c r="H3240">
        <v>4883.0</v>
      </c>
      <c r="I3240" t="s">
        <v>31</v>
      </c>
      <c r="J3240" t="s">
        <v>78</v>
      </c>
      <c r="K3240" t="s">
        <v>33</v>
      </c>
      <c r="L3240" t="s">
        <v>34</v>
      </c>
      <c r="M3240">
        <v>597.02</v>
      </c>
    </row>
    <row r="3241">
      <c r="A3241" s="2">
        <v>45851</v>
      </c>
      <c r="B3241">
        <v>2026.0</v>
      </c>
      <c r="C3241" t="s">
        <v>321</v>
      </c>
      <c r="D3241" t="s">
        <v>319</v>
      </c>
      <c r="E3241" t="s">
        <v>108</v>
      </c>
      <c r="F3241" t="s">
        <v>304</v>
      </c>
      <c r="G3241" t="s">
        <v>9</v>
      </c>
      <c r="H3241">
        <v>2795.0</v>
      </c>
      <c r="I3241" t="s">
        <v>31</v>
      </c>
      <c r="J3241" t="s">
        <v>75</v>
      </c>
      <c r="K3241" t="s">
        <v>123</v>
      </c>
      <c r="L3241" t="s">
        <v>124</v>
      </c>
      <c r="M3241">
        <v>597.21</v>
      </c>
    </row>
    <row r="3242">
      <c r="A3242" s="2">
        <v>45428</v>
      </c>
      <c r="B3242">
        <v>2024.0</v>
      </c>
      <c r="C3242" t="s">
        <v>318</v>
      </c>
      <c r="D3242" t="s">
        <v>316</v>
      </c>
      <c r="E3242" t="s">
        <v>76</v>
      </c>
      <c r="F3242" t="s">
        <v>306</v>
      </c>
      <c r="G3242" t="s">
        <v>11</v>
      </c>
      <c r="H3242">
        <v>4883.0</v>
      </c>
      <c r="I3242" t="s">
        <v>31</v>
      </c>
      <c r="J3242" t="s">
        <v>78</v>
      </c>
      <c r="K3242" t="s">
        <v>71</v>
      </c>
      <c r="L3242" t="s">
        <v>72</v>
      </c>
      <c r="M3242">
        <v>597.24</v>
      </c>
    </row>
    <row r="3243">
      <c r="A3243" s="2">
        <v>46010</v>
      </c>
      <c r="B3243">
        <v>2026.0</v>
      </c>
      <c r="C3243" t="s">
        <v>321</v>
      </c>
      <c r="D3243" t="s">
        <v>316</v>
      </c>
      <c r="E3243" t="s">
        <v>100</v>
      </c>
      <c r="F3243" t="s">
        <v>307</v>
      </c>
      <c r="G3243" t="s">
        <v>12</v>
      </c>
      <c r="H3243">
        <v>6010.0</v>
      </c>
      <c r="I3243" t="s">
        <v>31</v>
      </c>
      <c r="J3243" t="s">
        <v>102</v>
      </c>
      <c r="K3243" t="s">
        <v>57</v>
      </c>
      <c r="L3243" t="s">
        <v>58</v>
      </c>
      <c r="M3243">
        <v>598.03</v>
      </c>
    </row>
    <row r="3244">
      <c r="A3244" s="2">
        <v>45327</v>
      </c>
      <c r="B3244">
        <v>2024.0</v>
      </c>
      <c r="C3244" t="s">
        <v>318</v>
      </c>
      <c r="D3244" t="s">
        <v>316</v>
      </c>
      <c r="E3244" t="s">
        <v>197</v>
      </c>
      <c r="F3244" t="s">
        <v>304</v>
      </c>
      <c r="G3244" t="s">
        <v>9</v>
      </c>
      <c r="H3244">
        <v>2560.0</v>
      </c>
      <c r="I3244" t="s">
        <v>31</v>
      </c>
      <c r="J3244" t="s">
        <v>107</v>
      </c>
      <c r="K3244" t="s">
        <v>123</v>
      </c>
      <c r="L3244" t="s">
        <v>124</v>
      </c>
      <c r="M3244">
        <v>598.1</v>
      </c>
    </row>
    <row r="3245">
      <c r="A3245" s="2">
        <v>45429</v>
      </c>
      <c r="B3245">
        <v>2024.0</v>
      </c>
      <c r="C3245" t="s">
        <v>318</v>
      </c>
      <c r="D3245" t="s">
        <v>316</v>
      </c>
      <c r="E3245" t="s">
        <v>232</v>
      </c>
      <c r="F3245" t="s">
        <v>304</v>
      </c>
      <c r="G3245" t="s">
        <v>9</v>
      </c>
      <c r="H3245">
        <v>2800.0</v>
      </c>
      <c r="I3245" t="s">
        <v>31</v>
      </c>
      <c r="J3245" t="s">
        <v>75</v>
      </c>
      <c r="K3245" t="s">
        <v>123</v>
      </c>
      <c r="L3245" t="s">
        <v>124</v>
      </c>
      <c r="M3245">
        <v>598.52</v>
      </c>
    </row>
    <row r="3246">
      <c r="A3246" s="2">
        <v>45330</v>
      </c>
      <c r="B3246">
        <v>2024.0</v>
      </c>
      <c r="C3246" t="s">
        <v>318</v>
      </c>
      <c r="D3246" t="s">
        <v>316</v>
      </c>
      <c r="E3246" t="s">
        <v>73</v>
      </c>
      <c r="F3246" t="s">
        <v>304</v>
      </c>
      <c r="G3246" t="s">
        <v>9</v>
      </c>
      <c r="H3246">
        <v>2750.0</v>
      </c>
      <c r="I3246" t="s">
        <v>31</v>
      </c>
      <c r="J3246" t="s">
        <v>75</v>
      </c>
      <c r="K3246" t="s">
        <v>57</v>
      </c>
      <c r="L3246" t="s">
        <v>58</v>
      </c>
      <c r="M3246">
        <v>598.93</v>
      </c>
    </row>
    <row r="3247">
      <c r="A3247" s="2">
        <v>45818</v>
      </c>
      <c r="B3247">
        <v>2025.0</v>
      </c>
      <c r="C3247" t="s">
        <v>315</v>
      </c>
      <c r="D3247" t="s">
        <v>316</v>
      </c>
      <c r="E3247" t="s">
        <v>177</v>
      </c>
      <c r="F3247" t="s">
        <v>307</v>
      </c>
      <c r="G3247" t="s">
        <v>12</v>
      </c>
      <c r="H3247">
        <v>6330.0</v>
      </c>
      <c r="I3247" t="s">
        <v>31</v>
      </c>
      <c r="J3247" t="s">
        <v>162</v>
      </c>
      <c r="K3247" t="s">
        <v>43</v>
      </c>
      <c r="L3247" t="s">
        <v>44</v>
      </c>
      <c r="M3247">
        <v>599.03</v>
      </c>
    </row>
    <row r="3248">
      <c r="A3248" s="2">
        <v>45358</v>
      </c>
      <c r="B3248">
        <v>2024.0</v>
      </c>
      <c r="C3248" t="s">
        <v>318</v>
      </c>
      <c r="D3248" t="s">
        <v>316</v>
      </c>
      <c r="E3248" t="s">
        <v>108</v>
      </c>
      <c r="F3248" t="s">
        <v>304</v>
      </c>
      <c r="G3248" t="s">
        <v>9</v>
      </c>
      <c r="H3248">
        <v>2795.0</v>
      </c>
      <c r="I3248" t="s">
        <v>31</v>
      </c>
      <c r="J3248" t="s">
        <v>75</v>
      </c>
      <c r="K3248" t="s">
        <v>71</v>
      </c>
      <c r="L3248" t="s">
        <v>72</v>
      </c>
      <c r="M3248">
        <v>600.72</v>
      </c>
    </row>
    <row r="3249">
      <c r="A3249" s="2">
        <v>46019</v>
      </c>
      <c r="B3249">
        <v>2026.0</v>
      </c>
      <c r="C3249" t="s">
        <v>321</v>
      </c>
      <c r="D3249" t="s">
        <v>316</v>
      </c>
      <c r="E3249" t="s">
        <v>203</v>
      </c>
      <c r="F3249" t="s">
        <v>305</v>
      </c>
      <c r="G3249" t="s">
        <v>10</v>
      </c>
      <c r="H3249">
        <v>3175.0</v>
      </c>
      <c r="I3249" t="s">
        <v>31</v>
      </c>
      <c r="J3249" t="s">
        <v>89</v>
      </c>
      <c r="K3249" t="s">
        <v>38</v>
      </c>
      <c r="L3249" t="s">
        <v>39</v>
      </c>
      <c r="M3249">
        <v>600.96</v>
      </c>
    </row>
    <row r="3250">
      <c r="A3250" s="2">
        <v>45954</v>
      </c>
      <c r="B3250">
        <v>2026.0</v>
      </c>
      <c r="C3250" t="s">
        <v>321</v>
      </c>
      <c r="D3250" t="s">
        <v>316</v>
      </c>
      <c r="E3250" t="s">
        <v>175</v>
      </c>
      <c r="F3250" t="s">
        <v>311</v>
      </c>
      <c r="G3250" t="s">
        <v>16</v>
      </c>
      <c r="H3250">
        <v>2617.0</v>
      </c>
      <c r="I3250" t="s">
        <v>31</v>
      </c>
      <c r="J3250" t="s">
        <v>107</v>
      </c>
      <c r="K3250" t="s">
        <v>33</v>
      </c>
      <c r="L3250" t="s">
        <v>34</v>
      </c>
      <c r="M3250">
        <v>601.51</v>
      </c>
    </row>
    <row r="3251">
      <c r="A3251" s="2">
        <v>45444</v>
      </c>
      <c r="B3251">
        <v>2024.0</v>
      </c>
      <c r="C3251" t="s">
        <v>318</v>
      </c>
      <c r="D3251" t="s">
        <v>316</v>
      </c>
      <c r="E3251" t="s">
        <v>223</v>
      </c>
      <c r="F3251" t="s">
        <v>305</v>
      </c>
      <c r="G3251" t="s">
        <v>10</v>
      </c>
      <c r="H3251">
        <v>3915.0</v>
      </c>
      <c r="I3251" t="s">
        <v>31</v>
      </c>
      <c r="J3251" t="s">
        <v>94</v>
      </c>
      <c r="K3251" t="s">
        <v>123</v>
      </c>
      <c r="L3251" t="s">
        <v>124</v>
      </c>
      <c r="M3251">
        <v>602.6999999999999</v>
      </c>
    </row>
    <row r="3252">
      <c r="A3252" s="2">
        <v>45662</v>
      </c>
      <c r="B3252">
        <v>2025.0</v>
      </c>
      <c r="C3252" t="s">
        <v>315</v>
      </c>
      <c r="D3252" t="s">
        <v>316</v>
      </c>
      <c r="E3252" t="s">
        <v>133</v>
      </c>
      <c r="F3252" t="s">
        <v>305</v>
      </c>
      <c r="G3252" t="s">
        <v>10</v>
      </c>
      <c r="H3252">
        <v>3429.0</v>
      </c>
      <c r="I3252" t="s">
        <v>31</v>
      </c>
      <c r="J3252" t="s">
        <v>37</v>
      </c>
      <c r="K3252" t="s">
        <v>43</v>
      </c>
      <c r="L3252" t="s">
        <v>44</v>
      </c>
      <c r="M3252">
        <v>603.4300000000001</v>
      </c>
    </row>
    <row r="3253">
      <c r="A3253" s="2">
        <v>45788</v>
      </c>
      <c r="B3253">
        <v>2025.0</v>
      </c>
      <c r="C3253" t="s">
        <v>315</v>
      </c>
      <c r="D3253" t="s">
        <v>316</v>
      </c>
      <c r="E3253" t="s">
        <v>169</v>
      </c>
      <c r="F3253" t="s">
        <v>307</v>
      </c>
      <c r="G3253" t="s">
        <v>12</v>
      </c>
      <c r="H3253">
        <v>6027.0</v>
      </c>
      <c r="I3253" t="s">
        <v>31</v>
      </c>
      <c r="J3253" t="s">
        <v>102</v>
      </c>
      <c r="K3253" t="s">
        <v>95</v>
      </c>
      <c r="L3253" t="s">
        <v>96</v>
      </c>
      <c r="M3253">
        <v>604.0600000000001</v>
      </c>
    </row>
    <row r="3254">
      <c r="A3254" s="2">
        <v>45544</v>
      </c>
      <c r="B3254">
        <v>2025.0</v>
      </c>
      <c r="C3254" t="s">
        <v>315</v>
      </c>
      <c r="D3254" t="s">
        <v>319</v>
      </c>
      <c r="E3254" t="s">
        <v>103</v>
      </c>
      <c r="F3254" t="s">
        <v>307</v>
      </c>
      <c r="G3254" t="s">
        <v>12</v>
      </c>
      <c r="H3254">
        <v>6021.0</v>
      </c>
      <c r="I3254" t="s">
        <v>31</v>
      </c>
      <c r="J3254" t="s">
        <v>102</v>
      </c>
      <c r="K3254" t="s">
        <v>95</v>
      </c>
      <c r="L3254" t="s">
        <v>96</v>
      </c>
      <c r="M3254">
        <v>604.12</v>
      </c>
    </row>
    <row r="3255">
      <c r="A3255" s="2">
        <v>45469</v>
      </c>
      <c r="B3255">
        <v>2024.0</v>
      </c>
      <c r="C3255" t="s">
        <v>318</v>
      </c>
      <c r="D3255" t="s">
        <v>316</v>
      </c>
      <c r="E3255" t="s">
        <v>209</v>
      </c>
      <c r="F3255" t="s">
        <v>304</v>
      </c>
      <c r="G3255" t="s">
        <v>9</v>
      </c>
      <c r="H3255">
        <v>2116.0</v>
      </c>
      <c r="I3255" t="s">
        <v>31</v>
      </c>
      <c r="J3255" t="s">
        <v>81</v>
      </c>
      <c r="K3255" t="s">
        <v>112</v>
      </c>
      <c r="L3255" t="s">
        <v>113</v>
      </c>
      <c r="M3255">
        <v>604.28</v>
      </c>
    </row>
    <row r="3256">
      <c r="A3256" s="2">
        <v>45979</v>
      </c>
      <c r="B3256">
        <v>2026.0</v>
      </c>
      <c r="C3256" t="s">
        <v>321</v>
      </c>
      <c r="D3256" t="s">
        <v>316</v>
      </c>
      <c r="E3256" t="s">
        <v>254</v>
      </c>
      <c r="F3256" t="s">
        <v>308</v>
      </c>
      <c r="G3256" t="s">
        <v>13</v>
      </c>
      <c r="H3256">
        <v>5343.0</v>
      </c>
      <c r="I3256" t="s">
        <v>31</v>
      </c>
      <c r="J3256" t="s">
        <v>227</v>
      </c>
      <c r="K3256" t="s">
        <v>33</v>
      </c>
      <c r="L3256" t="s">
        <v>34</v>
      </c>
      <c r="M3256">
        <v>604.4900000000001</v>
      </c>
    </row>
    <row r="3257">
      <c r="A3257" s="2">
        <v>45851</v>
      </c>
      <c r="B3257">
        <v>2026.0</v>
      </c>
      <c r="C3257" t="s">
        <v>321</v>
      </c>
      <c r="D3257" t="s">
        <v>316</v>
      </c>
      <c r="E3257" t="s">
        <v>105</v>
      </c>
      <c r="F3257" t="s">
        <v>304</v>
      </c>
      <c r="G3257" t="s">
        <v>9</v>
      </c>
      <c r="H3257">
        <v>2541.0</v>
      </c>
      <c r="I3257" t="s">
        <v>31</v>
      </c>
      <c r="J3257" t="s">
        <v>107</v>
      </c>
      <c r="K3257" t="s">
        <v>57</v>
      </c>
      <c r="L3257" t="s">
        <v>58</v>
      </c>
      <c r="M3257">
        <v>605.5400000000001</v>
      </c>
    </row>
    <row r="3258">
      <c r="A3258" s="2">
        <v>45638</v>
      </c>
      <c r="B3258">
        <v>2025.0</v>
      </c>
      <c r="C3258" t="s">
        <v>315</v>
      </c>
      <c r="D3258" t="s">
        <v>319</v>
      </c>
      <c r="E3258" t="s">
        <v>143</v>
      </c>
      <c r="F3258" t="s">
        <v>309</v>
      </c>
      <c r="G3258" t="s">
        <v>14</v>
      </c>
      <c r="H3258">
        <v>800.0</v>
      </c>
      <c r="I3258" t="s">
        <v>31</v>
      </c>
      <c r="J3258" t="s">
        <v>145</v>
      </c>
      <c r="K3258" t="s">
        <v>123</v>
      </c>
      <c r="L3258" t="s">
        <v>124</v>
      </c>
      <c r="M3258">
        <v>605.6300000000001</v>
      </c>
    </row>
    <row r="3259">
      <c r="A3259" s="2">
        <v>45967</v>
      </c>
      <c r="B3259">
        <v>2026.0</v>
      </c>
      <c r="C3259" t="s">
        <v>321</v>
      </c>
      <c r="D3259" t="s">
        <v>319</v>
      </c>
      <c r="E3259" t="s">
        <v>213</v>
      </c>
      <c r="F3259" t="s">
        <v>306</v>
      </c>
      <c r="G3259" t="s">
        <v>11</v>
      </c>
      <c r="H3259">
        <v>4740.0</v>
      </c>
      <c r="I3259" t="s">
        <v>31</v>
      </c>
      <c r="J3259" t="s">
        <v>32</v>
      </c>
      <c r="K3259" t="s">
        <v>57</v>
      </c>
      <c r="L3259" t="s">
        <v>58</v>
      </c>
      <c r="M3259">
        <v>605.92</v>
      </c>
    </row>
    <row r="3260">
      <c r="A3260" s="2">
        <v>45409</v>
      </c>
      <c r="B3260">
        <v>2024.0</v>
      </c>
      <c r="C3260" t="s">
        <v>318</v>
      </c>
      <c r="D3260" t="s">
        <v>316</v>
      </c>
      <c r="E3260" t="s">
        <v>209</v>
      </c>
      <c r="F3260" t="s">
        <v>304</v>
      </c>
      <c r="G3260" t="s">
        <v>9</v>
      </c>
      <c r="H3260">
        <v>2116.0</v>
      </c>
      <c r="I3260" t="s">
        <v>31</v>
      </c>
      <c r="J3260" t="s">
        <v>81</v>
      </c>
      <c r="K3260" t="s">
        <v>43</v>
      </c>
      <c r="L3260" t="s">
        <v>44</v>
      </c>
      <c r="M3260">
        <v>606.0799999999999</v>
      </c>
    </row>
    <row r="3261">
      <c r="A3261" s="2">
        <v>45816</v>
      </c>
      <c r="B3261">
        <v>2025.0</v>
      </c>
      <c r="C3261" t="s">
        <v>315</v>
      </c>
      <c r="D3261" t="s">
        <v>316</v>
      </c>
      <c r="E3261" t="s">
        <v>156</v>
      </c>
      <c r="F3261" t="s">
        <v>304</v>
      </c>
      <c r="G3261" t="s">
        <v>9</v>
      </c>
      <c r="H3261">
        <v>2830.0</v>
      </c>
      <c r="I3261" t="s">
        <v>31</v>
      </c>
      <c r="J3261" t="s">
        <v>75</v>
      </c>
      <c r="K3261" t="s">
        <v>43</v>
      </c>
      <c r="L3261" t="s">
        <v>44</v>
      </c>
      <c r="M3261">
        <v>606.91</v>
      </c>
    </row>
    <row r="3262">
      <c r="A3262" s="2">
        <v>45407</v>
      </c>
      <c r="B3262">
        <v>2024.0</v>
      </c>
      <c r="C3262" t="s">
        <v>318</v>
      </c>
      <c r="D3262" t="s">
        <v>316</v>
      </c>
      <c r="E3262" t="s">
        <v>118</v>
      </c>
      <c r="F3262" t="s">
        <v>305</v>
      </c>
      <c r="G3262" t="s">
        <v>10</v>
      </c>
      <c r="H3262">
        <v>3076.0</v>
      </c>
      <c r="I3262" t="s">
        <v>31</v>
      </c>
      <c r="J3262" t="s">
        <v>120</v>
      </c>
      <c r="K3262" t="s">
        <v>33</v>
      </c>
      <c r="L3262" t="s">
        <v>34</v>
      </c>
      <c r="M3262">
        <v>606.93</v>
      </c>
    </row>
    <row r="3263">
      <c r="A3263" s="2">
        <v>45624</v>
      </c>
      <c r="B3263">
        <v>2025.0</v>
      </c>
      <c r="C3263" t="s">
        <v>315</v>
      </c>
      <c r="D3263" t="s">
        <v>316</v>
      </c>
      <c r="E3263" t="s">
        <v>236</v>
      </c>
      <c r="F3263" t="s">
        <v>307</v>
      </c>
      <c r="G3263" t="s">
        <v>12</v>
      </c>
      <c r="H3263">
        <v>6052.0</v>
      </c>
      <c r="I3263" t="s">
        <v>31</v>
      </c>
      <c r="J3263" t="s">
        <v>102</v>
      </c>
      <c r="K3263" t="s">
        <v>71</v>
      </c>
      <c r="L3263" t="s">
        <v>72</v>
      </c>
      <c r="M3263">
        <v>608.13</v>
      </c>
    </row>
    <row r="3264">
      <c r="A3264" s="2">
        <v>45630</v>
      </c>
      <c r="B3264">
        <v>2025.0</v>
      </c>
      <c r="C3264" t="s">
        <v>315</v>
      </c>
      <c r="D3264" t="s">
        <v>316</v>
      </c>
      <c r="E3264" t="s">
        <v>256</v>
      </c>
      <c r="F3264" t="s">
        <v>304</v>
      </c>
      <c r="G3264" t="s">
        <v>9</v>
      </c>
      <c r="H3264">
        <v>2350.0</v>
      </c>
      <c r="I3264" t="s">
        <v>31</v>
      </c>
      <c r="J3264" t="s">
        <v>70</v>
      </c>
      <c r="K3264" t="s">
        <v>43</v>
      </c>
      <c r="L3264" t="s">
        <v>44</v>
      </c>
      <c r="M3264">
        <v>608.35</v>
      </c>
    </row>
    <row r="3265">
      <c r="A3265" s="2">
        <v>45993</v>
      </c>
      <c r="B3265">
        <v>2026.0</v>
      </c>
      <c r="C3265" t="s">
        <v>321</v>
      </c>
      <c r="D3265" t="s">
        <v>319</v>
      </c>
      <c r="E3265" t="s">
        <v>125</v>
      </c>
      <c r="F3265" t="s">
        <v>305</v>
      </c>
      <c r="G3265" t="s">
        <v>10</v>
      </c>
      <c r="H3265">
        <v>3931.0</v>
      </c>
      <c r="I3265" t="s">
        <v>31</v>
      </c>
      <c r="J3265" t="s">
        <v>94</v>
      </c>
      <c r="K3265" t="s">
        <v>71</v>
      </c>
      <c r="L3265" t="s">
        <v>72</v>
      </c>
      <c r="M3265">
        <v>609.24</v>
      </c>
    </row>
    <row r="3266">
      <c r="A3266" s="2">
        <v>45409</v>
      </c>
      <c r="B3266">
        <v>2024.0</v>
      </c>
      <c r="C3266" t="s">
        <v>318</v>
      </c>
      <c r="D3266" t="s">
        <v>316</v>
      </c>
      <c r="E3266" t="s">
        <v>264</v>
      </c>
      <c r="F3266" t="s">
        <v>308</v>
      </c>
      <c r="G3266" t="s">
        <v>13</v>
      </c>
      <c r="H3266">
        <v>5043.0</v>
      </c>
      <c r="I3266" t="s">
        <v>31</v>
      </c>
      <c r="J3266" t="s">
        <v>42</v>
      </c>
      <c r="K3266" t="s">
        <v>95</v>
      </c>
      <c r="L3266" t="s">
        <v>96</v>
      </c>
      <c r="M3266">
        <v>609.69</v>
      </c>
    </row>
    <row r="3267">
      <c r="A3267" s="2">
        <v>45707</v>
      </c>
      <c r="B3267">
        <v>2025.0</v>
      </c>
      <c r="C3267" t="s">
        <v>315</v>
      </c>
      <c r="D3267" t="s">
        <v>316</v>
      </c>
      <c r="E3267" t="s">
        <v>211</v>
      </c>
      <c r="F3267" t="s">
        <v>304</v>
      </c>
      <c r="G3267" t="s">
        <v>9</v>
      </c>
      <c r="H3267">
        <v>2650.0</v>
      </c>
      <c r="I3267" t="s">
        <v>31</v>
      </c>
      <c r="J3267" t="s">
        <v>75</v>
      </c>
      <c r="K3267" t="s">
        <v>43</v>
      </c>
      <c r="L3267" t="s">
        <v>44</v>
      </c>
      <c r="M3267">
        <v>610.6499999999999</v>
      </c>
    </row>
    <row r="3268">
      <c r="A3268" s="2">
        <v>45651</v>
      </c>
      <c r="B3268">
        <v>2025.0</v>
      </c>
      <c r="C3268" t="s">
        <v>315</v>
      </c>
      <c r="D3268" t="s">
        <v>316</v>
      </c>
      <c r="E3268" t="s">
        <v>175</v>
      </c>
      <c r="F3268" t="s">
        <v>311</v>
      </c>
      <c r="G3268" t="s">
        <v>16</v>
      </c>
      <c r="H3268">
        <v>2617.0</v>
      </c>
      <c r="I3268" t="s">
        <v>31</v>
      </c>
      <c r="J3268" t="s">
        <v>107</v>
      </c>
      <c r="K3268" t="s">
        <v>43</v>
      </c>
      <c r="L3268" t="s">
        <v>44</v>
      </c>
      <c r="M3268">
        <v>611.34</v>
      </c>
    </row>
    <row r="3269">
      <c r="A3269" s="2">
        <v>45920</v>
      </c>
      <c r="B3269">
        <v>2026.0</v>
      </c>
      <c r="C3269" t="s">
        <v>321</v>
      </c>
      <c r="D3269" t="s">
        <v>319</v>
      </c>
      <c r="E3269" t="s">
        <v>54</v>
      </c>
      <c r="F3269" t="s">
        <v>306</v>
      </c>
      <c r="G3269" t="s">
        <v>11</v>
      </c>
      <c r="H3269">
        <v>4012.0</v>
      </c>
      <c r="I3269" t="s">
        <v>31</v>
      </c>
      <c r="J3269" t="s">
        <v>56</v>
      </c>
      <c r="K3269" t="s">
        <v>57</v>
      </c>
      <c r="L3269" t="s">
        <v>58</v>
      </c>
      <c r="M3269">
        <v>611.4999999999999</v>
      </c>
    </row>
    <row r="3270">
      <c r="A3270" s="2">
        <v>45841</v>
      </c>
      <c r="B3270">
        <v>2026.0</v>
      </c>
      <c r="C3270" t="s">
        <v>321</v>
      </c>
      <c r="D3270" t="s">
        <v>316</v>
      </c>
      <c r="E3270" t="s">
        <v>131</v>
      </c>
      <c r="F3270" t="s">
        <v>306</v>
      </c>
      <c r="G3270" t="s">
        <v>11</v>
      </c>
      <c r="H3270">
        <v>4655.0</v>
      </c>
      <c r="I3270" t="s">
        <v>31</v>
      </c>
      <c r="J3270" t="s">
        <v>32</v>
      </c>
      <c r="K3270" t="s">
        <v>71</v>
      </c>
      <c r="L3270" t="s">
        <v>72</v>
      </c>
      <c r="M3270">
        <v>611.59</v>
      </c>
    </row>
    <row r="3271">
      <c r="A3271" s="2">
        <v>45743</v>
      </c>
      <c r="B3271">
        <v>2025.0</v>
      </c>
      <c r="C3271" t="s">
        <v>315</v>
      </c>
      <c r="D3271" t="s">
        <v>316</v>
      </c>
      <c r="E3271" t="s">
        <v>221</v>
      </c>
      <c r="F3271" t="s">
        <v>306</v>
      </c>
      <c r="G3271" t="s">
        <v>11</v>
      </c>
      <c r="H3271">
        <v>4053.0</v>
      </c>
      <c r="I3271" t="s">
        <v>31</v>
      </c>
      <c r="J3271" t="s">
        <v>56</v>
      </c>
      <c r="K3271" t="s">
        <v>38</v>
      </c>
      <c r="L3271" t="s">
        <v>39</v>
      </c>
      <c r="M3271">
        <v>612.3199999999999</v>
      </c>
    </row>
    <row r="3272">
      <c r="A3272" s="2">
        <v>45677</v>
      </c>
      <c r="B3272">
        <v>2025.0</v>
      </c>
      <c r="C3272" t="s">
        <v>315</v>
      </c>
      <c r="D3272" t="s">
        <v>319</v>
      </c>
      <c r="E3272" t="s">
        <v>146</v>
      </c>
      <c r="F3272" t="s">
        <v>304</v>
      </c>
      <c r="G3272" t="s">
        <v>9</v>
      </c>
      <c r="H3272">
        <v>2790.0</v>
      </c>
      <c r="I3272" t="s">
        <v>31</v>
      </c>
      <c r="J3272" t="s">
        <v>75</v>
      </c>
      <c r="K3272" t="s">
        <v>38</v>
      </c>
      <c r="L3272" t="s">
        <v>39</v>
      </c>
      <c r="M3272">
        <v>612.42</v>
      </c>
    </row>
    <row r="3273">
      <c r="A3273" s="2">
        <v>45533</v>
      </c>
      <c r="B3273">
        <v>2025.0</v>
      </c>
      <c r="C3273" t="s">
        <v>315</v>
      </c>
      <c r="D3273" t="s">
        <v>316</v>
      </c>
      <c r="E3273" t="s">
        <v>51</v>
      </c>
      <c r="F3273" t="s">
        <v>310</v>
      </c>
      <c r="G3273" t="s">
        <v>15</v>
      </c>
      <c r="H3273">
        <v>7018.0</v>
      </c>
      <c r="I3273" t="s">
        <v>31</v>
      </c>
      <c r="J3273" t="s">
        <v>53</v>
      </c>
      <c r="K3273" t="s">
        <v>71</v>
      </c>
      <c r="L3273" t="s">
        <v>72</v>
      </c>
      <c r="M3273">
        <v>612.62</v>
      </c>
    </row>
    <row r="3274">
      <c r="A3274" s="2">
        <v>45965</v>
      </c>
      <c r="B3274">
        <v>2026.0</v>
      </c>
      <c r="C3274" t="s">
        <v>321</v>
      </c>
      <c r="D3274" t="s">
        <v>316</v>
      </c>
      <c r="E3274" t="s">
        <v>219</v>
      </c>
      <c r="F3274" t="s">
        <v>306</v>
      </c>
      <c r="G3274" t="s">
        <v>11</v>
      </c>
      <c r="H3274">
        <v>4068.0</v>
      </c>
      <c r="I3274" t="s">
        <v>31</v>
      </c>
      <c r="J3274" t="s">
        <v>56</v>
      </c>
      <c r="K3274" t="s">
        <v>38</v>
      </c>
      <c r="L3274" t="s">
        <v>39</v>
      </c>
      <c r="M3274">
        <v>615.9300000000001</v>
      </c>
    </row>
    <row r="3275">
      <c r="A3275" s="2">
        <v>45515</v>
      </c>
      <c r="B3275">
        <v>2025.0</v>
      </c>
      <c r="C3275" t="s">
        <v>315</v>
      </c>
      <c r="D3275" t="s">
        <v>319</v>
      </c>
      <c r="E3275" t="s">
        <v>40</v>
      </c>
      <c r="F3275" t="s">
        <v>308</v>
      </c>
      <c r="G3275" t="s">
        <v>13</v>
      </c>
      <c r="H3275">
        <v>5011.0</v>
      </c>
      <c r="I3275" t="s">
        <v>31</v>
      </c>
      <c r="J3275" t="s">
        <v>42</v>
      </c>
      <c r="K3275" t="s">
        <v>33</v>
      </c>
      <c r="L3275" t="s">
        <v>34</v>
      </c>
      <c r="M3275">
        <v>616.6400000000001</v>
      </c>
    </row>
    <row r="3276">
      <c r="A3276" s="2">
        <v>45557</v>
      </c>
      <c r="B3276">
        <v>2025.0</v>
      </c>
      <c r="C3276" t="s">
        <v>315</v>
      </c>
      <c r="D3276" t="s">
        <v>319</v>
      </c>
      <c r="E3276" t="s">
        <v>228</v>
      </c>
      <c r="F3276" t="s">
        <v>306</v>
      </c>
      <c r="G3276" t="s">
        <v>11</v>
      </c>
      <c r="H3276">
        <v>4680.0</v>
      </c>
      <c r="I3276" t="s">
        <v>31</v>
      </c>
      <c r="J3276" t="s">
        <v>32</v>
      </c>
      <c r="K3276" t="s">
        <v>57</v>
      </c>
      <c r="L3276" t="s">
        <v>58</v>
      </c>
      <c r="M3276">
        <v>616.9200000000001</v>
      </c>
    </row>
    <row r="3277">
      <c r="A3277" s="2">
        <v>45923</v>
      </c>
      <c r="B3277">
        <v>2026.0</v>
      </c>
      <c r="C3277" t="s">
        <v>321</v>
      </c>
      <c r="D3277" t="s">
        <v>316</v>
      </c>
      <c r="E3277" t="s">
        <v>137</v>
      </c>
      <c r="F3277" t="s">
        <v>305</v>
      </c>
      <c r="G3277" t="s">
        <v>10</v>
      </c>
      <c r="H3277">
        <v>3134.0</v>
      </c>
      <c r="I3277" t="s">
        <v>31</v>
      </c>
      <c r="J3277" t="s">
        <v>89</v>
      </c>
      <c r="K3277" t="s">
        <v>57</v>
      </c>
      <c r="L3277" t="s">
        <v>58</v>
      </c>
      <c r="M3277">
        <v>617.74</v>
      </c>
    </row>
    <row r="3278">
      <c r="A3278" s="2">
        <v>45990</v>
      </c>
      <c r="B3278">
        <v>2026.0</v>
      </c>
      <c r="C3278" t="s">
        <v>321</v>
      </c>
      <c r="D3278" t="s">
        <v>319</v>
      </c>
      <c r="E3278" t="s">
        <v>143</v>
      </c>
      <c r="F3278" t="s">
        <v>309</v>
      </c>
      <c r="G3278" t="s">
        <v>14</v>
      </c>
      <c r="H3278">
        <v>800.0</v>
      </c>
      <c r="I3278" t="s">
        <v>31</v>
      </c>
      <c r="J3278" t="s">
        <v>145</v>
      </c>
      <c r="K3278" t="s">
        <v>112</v>
      </c>
      <c r="L3278" t="s">
        <v>113</v>
      </c>
      <c r="M3278">
        <v>617.9300000000001</v>
      </c>
    </row>
    <row r="3279">
      <c r="A3279" s="2">
        <v>45847</v>
      </c>
      <c r="B3279">
        <v>2026.0</v>
      </c>
      <c r="C3279" t="s">
        <v>321</v>
      </c>
      <c r="D3279" t="s">
        <v>319</v>
      </c>
      <c r="E3279" t="s">
        <v>127</v>
      </c>
      <c r="F3279" t="s">
        <v>306</v>
      </c>
      <c r="G3279" t="s">
        <v>11</v>
      </c>
      <c r="H3279">
        <v>4802.0</v>
      </c>
      <c r="I3279" t="s">
        <v>31</v>
      </c>
      <c r="J3279" t="s">
        <v>78</v>
      </c>
      <c r="K3279" t="s">
        <v>71</v>
      </c>
      <c r="L3279" t="s">
        <v>72</v>
      </c>
      <c r="M3279">
        <v>618.4</v>
      </c>
    </row>
    <row r="3280">
      <c r="A3280" s="2">
        <v>46010</v>
      </c>
      <c r="B3280">
        <v>2026.0</v>
      </c>
      <c r="C3280" t="s">
        <v>321</v>
      </c>
      <c r="D3280" t="s">
        <v>316</v>
      </c>
      <c r="E3280" t="s">
        <v>165</v>
      </c>
      <c r="F3280" t="s">
        <v>304</v>
      </c>
      <c r="G3280" t="s">
        <v>9</v>
      </c>
      <c r="H3280">
        <v>2064.0</v>
      </c>
      <c r="I3280" t="s">
        <v>31</v>
      </c>
      <c r="J3280" t="s">
        <v>99</v>
      </c>
      <c r="K3280" t="s">
        <v>71</v>
      </c>
      <c r="L3280" t="s">
        <v>72</v>
      </c>
      <c r="M3280">
        <v>621.74</v>
      </c>
    </row>
    <row r="3281">
      <c r="A3281" s="2">
        <v>45681</v>
      </c>
      <c r="B3281">
        <v>2025.0</v>
      </c>
      <c r="C3281" t="s">
        <v>315</v>
      </c>
      <c r="D3281" t="s">
        <v>316</v>
      </c>
      <c r="E3281" t="s">
        <v>154</v>
      </c>
      <c r="F3281" t="s">
        <v>306</v>
      </c>
      <c r="G3281" t="s">
        <v>11</v>
      </c>
      <c r="H3281">
        <v>4551.0</v>
      </c>
      <c r="I3281" t="s">
        <v>31</v>
      </c>
      <c r="J3281" t="s">
        <v>84</v>
      </c>
      <c r="K3281" t="s">
        <v>95</v>
      </c>
      <c r="L3281" t="s">
        <v>96</v>
      </c>
      <c r="M3281">
        <v>623.13</v>
      </c>
    </row>
    <row r="3282">
      <c r="A3282" s="2">
        <v>45597</v>
      </c>
      <c r="B3282">
        <v>2025.0</v>
      </c>
      <c r="C3282" t="s">
        <v>315</v>
      </c>
      <c r="D3282" t="s">
        <v>316</v>
      </c>
      <c r="E3282" t="s">
        <v>177</v>
      </c>
      <c r="F3282" t="s">
        <v>307</v>
      </c>
      <c r="G3282" t="s">
        <v>12</v>
      </c>
      <c r="H3282">
        <v>6330.0</v>
      </c>
      <c r="I3282" t="s">
        <v>31</v>
      </c>
      <c r="J3282" t="s">
        <v>162</v>
      </c>
      <c r="K3282" t="s">
        <v>33</v>
      </c>
      <c r="L3282" t="s">
        <v>34</v>
      </c>
      <c r="M3282">
        <v>623.51</v>
      </c>
    </row>
    <row r="3283">
      <c r="A3283" s="2">
        <v>45867</v>
      </c>
      <c r="B3283">
        <v>2026.0</v>
      </c>
      <c r="C3283" t="s">
        <v>321</v>
      </c>
      <c r="D3283" t="s">
        <v>316</v>
      </c>
      <c r="E3283" t="s">
        <v>167</v>
      </c>
      <c r="F3283" t="s">
        <v>307</v>
      </c>
      <c r="G3283" t="s">
        <v>12</v>
      </c>
      <c r="H3283">
        <v>6030.0</v>
      </c>
      <c r="I3283" t="s">
        <v>31</v>
      </c>
      <c r="J3283" t="s">
        <v>102</v>
      </c>
      <c r="K3283" t="s">
        <v>43</v>
      </c>
      <c r="L3283" t="s">
        <v>44</v>
      </c>
      <c r="M3283">
        <v>623.55</v>
      </c>
    </row>
    <row r="3284">
      <c r="A3284" s="2">
        <v>45460</v>
      </c>
      <c r="B3284">
        <v>2024.0</v>
      </c>
      <c r="C3284" t="s">
        <v>318</v>
      </c>
      <c r="D3284" t="s">
        <v>316</v>
      </c>
      <c r="E3284" t="s">
        <v>167</v>
      </c>
      <c r="F3284" t="s">
        <v>307</v>
      </c>
      <c r="G3284" t="s">
        <v>12</v>
      </c>
      <c r="H3284">
        <v>6030.0</v>
      </c>
      <c r="I3284" t="s">
        <v>31</v>
      </c>
      <c r="J3284" t="s">
        <v>102</v>
      </c>
      <c r="K3284" t="s">
        <v>46</v>
      </c>
      <c r="L3284" t="s">
        <v>47</v>
      </c>
      <c r="M3284">
        <v>624.29</v>
      </c>
    </row>
    <row r="3285">
      <c r="A3285" s="2">
        <v>45662</v>
      </c>
      <c r="B3285">
        <v>2025.0</v>
      </c>
      <c r="C3285" t="s">
        <v>315</v>
      </c>
      <c r="D3285" t="s">
        <v>316</v>
      </c>
      <c r="E3285" t="s">
        <v>82</v>
      </c>
      <c r="F3285" t="s">
        <v>306</v>
      </c>
      <c r="G3285" t="s">
        <v>11</v>
      </c>
      <c r="H3285">
        <v>4558.0</v>
      </c>
      <c r="I3285" t="s">
        <v>31</v>
      </c>
      <c r="J3285" t="s">
        <v>84</v>
      </c>
      <c r="K3285" t="s">
        <v>33</v>
      </c>
      <c r="L3285" t="s">
        <v>34</v>
      </c>
      <c r="M3285">
        <v>624.8100000000001</v>
      </c>
    </row>
    <row r="3286">
      <c r="A3286" s="2">
        <v>45638</v>
      </c>
      <c r="B3286">
        <v>2025.0</v>
      </c>
      <c r="C3286" t="s">
        <v>315</v>
      </c>
      <c r="D3286" t="s">
        <v>316</v>
      </c>
      <c r="E3286" t="s">
        <v>51</v>
      </c>
      <c r="F3286" t="s">
        <v>310</v>
      </c>
      <c r="G3286" t="s">
        <v>15</v>
      </c>
      <c r="H3286">
        <v>7018.0</v>
      </c>
      <c r="I3286" t="s">
        <v>31</v>
      </c>
      <c r="J3286" t="s">
        <v>53</v>
      </c>
      <c r="K3286" t="s">
        <v>95</v>
      </c>
      <c r="L3286" t="s">
        <v>96</v>
      </c>
      <c r="M3286">
        <v>625.03</v>
      </c>
    </row>
    <row r="3287">
      <c r="A3287" s="2">
        <v>45480</v>
      </c>
      <c r="B3287">
        <v>2025.0</v>
      </c>
      <c r="C3287" t="s">
        <v>315</v>
      </c>
      <c r="D3287" t="s">
        <v>316</v>
      </c>
      <c r="E3287" t="s">
        <v>76</v>
      </c>
      <c r="F3287" t="s">
        <v>306</v>
      </c>
      <c r="G3287" t="s">
        <v>11</v>
      </c>
      <c r="H3287">
        <v>4883.0</v>
      </c>
      <c r="I3287" t="s">
        <v>31</v>
      </c>
      <c r="J3287" t="s">
        <v>78</v>
      </c>
      <c r="K3287" t="s">
        <v>46</v>
      </c>
      <c r="L3287" t="s">
        <v>47</v>
      </c>
      <c r="M3287">
        <v>625.29</v>
      </c>
    </row>
    <row r="3288">
      <c r="A3288" s="2">
        <v>45375</v>
      </c>
      <c r="B3288">
        <v>2024.0</v>
      </c>
      <c r="C3288" t="s">
        <v>318</v>
      </c>
      <c r="D3288" t="s">
        <v>316</v>
      </c>
      <c r="E3288" t="s">
        <v>173</v>
      </c>
      <c r="F3288" t="s">
        <v>306</v>
      </c>
      <c r="G3288" t="s">
        <v>11</v>
      </c>
      <c r="H3288">
        <v>4220.0</v>
      </c>
      <c r="I3288" t="s">
        <v>31</v>
      </c>
      <c r="J3288" t="s">
        <v>61</v>
      </c>
      <c r="K3288" t="s">
        <v>123</v>
      </c>
      <c r="L3288" t="s">
        <v>124</v>
      </c>
      <c r="M3288">
        <v>625.7700000000001</v>
      </c>
    </row>
    <row r="3289">
      <c r="A3289" s="2">
        <v>45452</v>
      </c>
      <c r="B3289">
        <v>2024.0</v>
      </c>
      <c r="C3289" t="s">
        <v>318</v>
      </c>
      <c r="D3289" t="s">
        <v>319</v>
      </c>
      <c r="E3289" t="s">
        <v>40</v>
      </c>
      <c r="F3289" t="s">
        <v>308</v>
      </c>
      <c r="G3289" t="s">
        <v>13</v>
      </c>
      <c r="H3289">
        <v>5011.0</v>
      </c>
      <c r="I3289" t="s">
        <v>31</v>
      </c>
      <c r="J3289" t="s">
        <v>42</v>
      </c>
      <c r="K3289" t="s">
        <v>95</v>
      </c>
      <c r="L3289" t="s">
        <v>96</v>
      </c>
      <c r="M3289">
        <v>626.12</v>
      </c>
    </row>
    <row r="3290">
      <c r="A3290" s="2">
        <v>45470</v>
      </c>
      <c r="B3290">
        <v>2024.0</v>
      </c>
      <c r="C3290" t="s">
        <v>318</v>
      </c>
      <c r="D3290" t="s">
        <v>316</v>
      </c>
      <c r="E3290" t="s">
        <v>59</v>
      </c>
      <c r="F3290" t="s">
        <v>306</v>
      </c>
      <c r="G3290" t="s">
        <v>11</v>
      </c>
      <c r="H3290">
        <v>4509.0</v>
      </c>
      <c r="I3290" t="s">
        <v>31</v>
      </c>
      <c r="J3290" t="s">
        <v>61</v>
      </c>
      <c r="K3290" t="s">
        <v>38</v>
      </c>
      <c r="L3290" t="s">
        <v>39</v>
      </c>
      <c r="M3290">
        <v>627.1300000000001</v>
      </c>
    </row>
    <row r="3291">
      <c r="A3291" s="2">
        <v>45371</v>
      </c>
      <c r="B3291">
        <v>2024.0</v>
      </c>
      <c r="C3291" t="s">
        <v>318</v>
      </c>
      <c r="D3291" t="s">
        <v>316</v>
      </c>
      <c r="E3291" t="s">
        <v>158</v>
      </c>
      <c r="F3291" t="s">
        <v>306</v>
      </c>
      <c r="G3291" t="s">
        <v>11</v>
      </c>
      <c r="H3291">
        <v>4570.0</v>
      </c>
      <c r="I3291" t="s">
        <v>31</v>
      </c>
      <c r="J3291" t="s">
        <v>84</v>
      </c>
      <c r="K3291" t="s">
        <v>57</v>
      </c>
      <c r="L3291" t="s">
        <v>58</v>
      </c>
      <c r="M3291">
        <v>627.5100000000001</v>
      </c>
    </row>
    <row r="3292">
      <c r="A3292" s="2">
        <v>45531</v>
      </c>
      <c r="B3292">
        <v>2025.0</v>
      </c>
      <c r="C3292" t="s">
        <v>315</v>
      </c>
      <c r="D3292" t="s">
        <v>316</v>
      </c>
      <c r="E3292" t="s">
        <v>187</v>
      </c>
      <c r="F3292" t="s">
        <v>306</v>
      </c>
      <c r="G3292" t="s">
        <v>11</v>
      </c>
      <c r="H3292">
        <v>4870.0</v>
      </c>
      <c r="I3292" t="s">
        <v>31</v>
      </c>
      <c r="J3292" t="s">
        <v>78</v>
      </c>
      <c r="K3292" t="s">
        <v>46</v>
      </c>
      <c r="L3292" t="s">
        <v>47</v>
      </c>
      <c r="M3292">
        <v>627.5799999999999</v>
      </c>
    </row>
    <row r="3293">
      <c r="A3293" s="2">
        <v>45390</v>
      </c>
      <c r="B3293">
        <v>2024.0</v>
      </c>
      <c r="C3293" t="s">
        <v>318</v>
      </c>
      <c r="D3293" t="s">
        <v>316</v>
      </c>
      <c r="E3293" t="s">
        <v>262</v>
      </c>
      <c r="F3293" t="s">
        <v>305</v>
      </c>
      <c r="G3293" t="s">
        <v>10</v>
      </c>
      <c r="H3293">
        <v>3018.0</v>
      </c>
      <c r="I3293" t="s">
        <v>31</v>
      </c>
      <c r="J3293" t="s">
        <v>120</v>
      </c>
      <c r="K3293" t="s">
        <v>33</v>
      </c>
      <c r="L3293" t="s">
        <v>34</v>
      </c>
      <c r="M3293">
        <v>628.27</v>
      </c>
    </row>
    <row r="3294">
      <c r="A3294" s="2">
        <v>45654</v>
      </c>
      <c r="B3294">
        <v>2025.0</v>
      </c>
      <c r="C3294" t="s">
        <v>315</v>
      </c>
      <c r="D3294" t="s">
        <v>316</v>
      </c>
      <c r="E3294" t="s">
        <v>238</v>
      </c>
      <c r="F3294" t="s">
        <v>308</v>
      </c>
      <c r="G3294" t="s">
        <v>13</v>
      </c>
      <c r="H3294">
        <v>5082.0</v>
      </c>
      <c r="I3294" t="s">
        <v>31</v>
      </c>
      <c r="J3294" t="s">
        <v>42</v>
      </c>
      <c r="K3294" t="s">
        <v>33</v>
      </c>
      <c r="L3294" t="s">
        <v>34</v>
      </c>
      <c r="M3294">
        <v>628.34</v>
      </c>
    </row>
    <row r="3295">
      <c r="A3295" s="2">
        <v>45444</v>
      </c>
      <c r="B3295">
        <v>2024.0</v>
      </c>
      <c r="C3295" t="s">
        <v>318</v>
      </c>
      <c r="D3295" t="s">
        <v>316</v>
      </c>
      <c r="E3295" t="s">
        <v>173</v>
      </c>
      <c r="F3295" t="s">
        <v>306</v>
      </c>
      <c r="G3295" t="s">
        <v>11</v>
      </c>
      <c r="H3295">
        <v>4220.0</v>
      </c>
      <c r="I3295" t="s">
        <v>31</v>
      </c>
      <c r="J3295" t="s">
        <v>61</v>
      </c>
      <c r="K3295" t="s">
        <v>57</v>
      </c>
      <c r="L3295" t="s">
        <v>58</v>
      </c>
      <c r="M3295">
        <v>630.22</v>
      </c>
    </row>
    <row r="3296">
      <c r="A3296" s="2">
        <v>45469</v>
      </c>
      <c r="B3296">
        <v>2024.0</v>
      </c>
      <c r="C3296" t="s">
        <v>318</v>
      </c>
      <c r="D3296" t="s">
        <v>316</v>
      </c>
      <c r="E3296" t="s">
        <v>165</v>
      </c>
      <c r="F3296" t="s">
        <v>304</v>
      </c>
      <c r="G3296" t="s">
        <v>9</v>
      </c>
      <c r="H3296">
        <v>2064.0</v>
      </c>
      <c r="I3296" t="s">
        <v>31</v>
      </c>
      <c r="J3296" t="s">
        <v>99</v>
      </c>
      <c r="K3296" t="s">
        <v>95</v>
      </c>
      <c r="L3296" t="s">
        <v>96</v>
      </c>
      <c r="M3296">
        <v>631.07</v>
      </c>
    </row>
    <row r="3297">
      <c r="A3297" s="2">
        <v>45417</v>
      </c>
      <c r="B3297">
        <v>2024.0</v>
      </c>
      <c r="C3297" t="s">
        <v>318</v>
      </c>
      <c r="D3297" t="s">
        <v>316</v>
      </c>
      <c r="E3297" t="s">
        <v>163</v>
      </c>
      <c r="F3297" t="s">
        <v>304</v>
      </c>
      <c r="G3297" t="s">
        <v>9</v>
      </c>
      <c r="H3297">
        <v>2154.0</v>
      </c>
      <c r="I3297" t="s">
        <v>31</v>
      </c>
      <c r="J3297" t="s">
        <v>81</v>
      </c>
      <c r="K3297" t="s">
        <v>38</v>
      </c>
      <c r="L3297" t="s">
        <v>39</v>
      </c>
      <c r="M3297">
        <v>631.58</v>
      </c>
    </row>
    <row r="3298">
      <c r="A3298" s="2">
        <v>45456</v>
      </c>
      <c r="B3298">
        <v>2024.0</v>
      </c>
      <c r="C3298" t="s">
        <v>318</v>
      </c>
      <c r="D3298" t="s">
        <v>319</v>
      </c>
      <c r="E3298" t="s">
        <v>54</v>
      </c>
      <c r="F3298" t="s">
        <v>306</v>
      </c>
      <c r="G3298" t="s">
        <v>11</v>
      </c>
      <c r="H3298">
        <v>4012.0</v>
      </c>
      <c r="I3298" t="s">
        <v>31</v>
      </c>
      <c r="J3298" t="s">
        <v>56</v>
      </c>
      <c r="K3298" t="s">
        <v>46</v>
      </c>
      <c r="L3298" t="s">
        <v>47</v>
      </c>
      <c r="M3298">
        <v>632.49</v>
      </c>
    </row>
    <row r="3299">
      <c r="A3299" s="2">
        <v>45662</v>
      </c>
      <c r="B3299">
        <v>2025.0</v>
      </c>
      <c r="C3299" t="s">
        <v>315</v>
      </c>
      <c r="D3299" t="s">
        <v>319</v>
      </c>
      <c r="E3299" t="s">
        <v>143</v>
      </c>
      <c r="F3299" t="s">
        <v>309</v>
      </c>
      <c r="G3299" t="s">
        <v>14</v>
      </c>
      <c r="H3299">
        <v>800.0</v>
      </c>
      <c r="I3299" t="s">
        <v>31</v>
      </c>
      <c r="J3299" t="s">
        <v>145</v>
      </c>
      <c r="K3299" t="s">
        <v>43</v>
      </c>
      <c r="L3299" t="s">
        <v>44</v>
      </c>
      <c r="M3299">
        <v>632.6700000000001</v>
      </c>
    </row>
    <row r="3300">
      <c r="A3300" s="2">
        <v>45359</v>
      </c>
      <c r="B3300">
        <v>2024.0</v>
      </c>
      <c r="C3300" t="s">
        <v>318</v>
      </c>
      <c r="D3300" t="s">
        <v>316</v>
      </c>
      <c r="E3300" t="s">
        <v>121</v>
      </c>
      <c r="F3300" t="s">
        <v>306</v>
      </c>
      <c r="G3300" t="s">
        <v>11</v>
      </c>
      <c r="H3300">
        <v>4566.0</v>
      </c>
      <c r="I3300" t="s">
        <v>31</v>
      </c>
      <c r="J3300" t="s">
        <v>84</v>
      </c>
      <c r="K3300" t="s">
        <v>46</v>
      </c>
      <c r="L3300" t="s">
        <v>47</v>
      </c>
      <c r="M3300">
        <v>632.79</v>
      </c>
    </row>
    <row r="3301">
      <c r="A3301" s="2">
        <v>45594</v>
      </c>
      <c r="B3301">
        <v>2025.0</v>
      </c>
      <c r="C3301" t="s">
        <v>315</v>
      </c>
      <c r="D3301" t="s">
        <v>319</v>
      </c>
      <c r="E3301" t="s">
        <v>143</v>
      </c>
      <c r="F3301" t="s">
        <v>309</v>
      </c>
      <c r="G3301" t="s">
        <v>14</v>
      </c>
      <c r="H3301">
        <v>800.0</v>
      </c>
      <c r="I3301" t="s">
        <v>31</v>
      </c>
      <c r="J3301" t="s">
        <v>145</v>
      </c>
      <c r="K3301" t="s">
        <v>33</v>
      </c>
      <c r="L3301" t="s">
        <v>34</v>
      </c>
      <c r="M3301">
        <v>633.75</v>
      </c>
    </row>
    <row r="3302">
      <c r="A3302" s="2">
        <v>45716</v>
      </c>
      <c r="B3302">
        <v>2025.0</v>
      </c>
      <c r="C3302" t="s">
        <v>315</v>
      </c>
      <c r="D3302" t="s">
        <v>316</v>
      </c>
      <c r="E3302" t="s">
        <v>199</v>
      </c>
      <c r="F3302" t="s">
        <v>308</v>
      </c>
      <c r="G3302" t="s">
        <v>13</v>
      </c>
      <c r="H3302">
        <v>5169.0</v>
      </c>
      <c r="I3302" t="s">
        <v>31</v>
      </c>
      <c r="J3302" t="s">
        <v>42</v>
      </c>
      <c r="K3302" t="s">
        <v>95</v>
      </c>
      <c r="L3302" t="s">
        <v>96</v>
      </c>
      <c r="M3302">
        <v>634.0</v>
      </c>
    </row>
    <row r="3303">
      <c r="A3303" s="2">
        <v>45292</v>
      </c>
      <c r="B3303">
        <v>2024.0</v>
      </c>
      <c r="C3303" t="s">
        <v>318</v>
      </c>
      <c r="D3303" t="s">
        <v>316</v>
      </c>
      <c r="E3303" t="s">
        <v>48</v>
      </c>
      <c r="F3303" t="s">
        <v>307</v>
      </c>
      <c r="G3303" t="s">
        <v>12</v>
      </c>
      <c r="H3303">
        <v>6725.0</v>
      </c>
      <c r="I3303" t="s">
        <v>31</v>
      </c>
      <c r="J3303" t="s">
        <v>50</v>
      </c>
      <c r="K3303" t="s">
        <v>33</v>
      </c>
      <c r="L3303" t="s">
        <v>34</v>
      </c>
      <c r="M3303">
        <v>635.04</v>
      </c>
    </row>
    <row r="3304">
      <c r="A3304" s="2">
        <v>45584</v>
      </c>
      <c r="B3304">
        <v>2025.0</v>
      </c>
      <c r="C3304" t="s">
        <v>315</v>
      </c>
      <c r="D3304" t="s">
        <v>316</v>
      </c>
      <c r="E3304" t="s">
        <v>183</v>
      </c>
      <c r="F3304" t="s">
        <v>304</v>
      </c>
      <c r="G3304" t="s">
        <v>9</v>
      </c>
      <c r="H3304">
        <v>2480.0</v>
      </c>
      <c r="I3304" t="s">
        <v>31</v>
      </c>
      <c r="J3304" t="s">
        <v>70</v>
      </c>
      <c r="K3304" t="s">
        <v>43</v>
      </c>
      <c r="L3304" t="s">
        <v>44</v>
      </c>
      <c r="M3304">
        <v>635.62</v>
      </c>
    </row>
    <row r="3305">
      <c r="A3305" s="2">
        <v>45580</v>
      </c>
      <c r="B3305">
        <v>2025.0</v>
      </c>
      <c r="C3305" t="s">
        <v>315</v>
      </c>
      <c r="D3305" t="s">
        <v>316</v>
      </c>
      <c r="E3305" t="s">
        <v>114</v>
      </c>
      <c r="F3305" t="s">
        <v>304</v>
      </c>
      <c r="G3305" t="s">
        <v>9</v>
      </c>
      <c r="H3305">
        <v>2031.0</v>
      </c>
      <c r="I3305" t="s">
        <v>31</v>
      </c>
      <c r="J3305" t="s">
        <v>99</v>
      </c>
      <c r="K3305" t="s">
        <v>71</v>
      </c>
      <c r="L3305" t="s">
        <v>72</v>
      </c>
      <c r="M3305">
        <v>636.04</v>
      </c>
    </row>
    <row r="3306">
      <c r="A3306" s="2">
        <v>45912</v>
      </c>
      <c r="B3306">
        <v>2026.0</v>
      </c>
      <c r="C3306" t="s">
        <v>321</v>
      </c>
      <c r="D3306" t="s">
        <v>319</v>
      </c>
      <c r="E3306" t="s">
        <v>146</v>
      </c>
      <c r="F3306" t="s">
        <v>304</v>
      </c>
      <c r="G3306" t="s">
        <v>9</v>
      </c>
      <c r="H3306">
        <v>2790.0</v>
      </c>
      <c r="I3306" t="s">
        <v>31</v>
      </c>
      <c r="J3306" t="s">
        <v>75</v>
      </c>
      <c r="K3306" t="s">
        <v>123</v>
      </c>
      <c r="L3306" t="s">
        <v>124</v>
      </c>
      <c r="M3306">
        <v>636.2</v>
      </c>
    </row>
    <row r="3307">
      <c r="A3307" s="2">
        <v>45409</v>
      </c>
      <c r="B3307">
        <v>2024.0</v>
      </c>
      <c r="C3307" t="s">
        <v>318</v>
      </c>
      <c r="D3307" t="s">
        <v>319</v>
      </c>
      <c r="E3307" t="s">
        <v>118</v>
      </c>
      <c r="F3307" t="s">
        <v>305</v>
      </c>
      <c r="G3307" t="s">
        <v>10</v>
      </c>
      <c r="H3307">
        <v>3076.0</v>
      </c>
      <c r="I3307" t="s">
        <v>31</v>
      </c>
      <c r="J3307" t="s">
        <v>120</v>
      </c>
      <c r="K3307" t="s">
        <v>123</v>
      </c>
      <c r="L3307" t="s">
        <v>124</v>
      </c>
      <c r="M3307">
        <v>638.17</v>
      </c>
    </row>
    <row r="3308">
      <c r="A3308" s="2">
        <v>45572</v>
      </c>
      <c r="B3308">
        <v>2025.0</v>
      </c>
      <c r="C3308" t="s">
        <v>315</v>
      </c>
      <c r="D3308" t="s">
        <v>316</v>
      </c>
      <c r="E3308" t="s">
        <v>193</v>
      </c>
      <c r="F3308" t="s">
        <v>304</v>
      </c>
      <c r="G3308" t="s">
        <v>9</v>
      </c>
      <c r="H3308">
        <v>2020.0</v>
      </c>
      <c r="I3308" t="s">
        <v>31</v>
      </c>
      <c r="J3308" t="s">
        <v>99</v>
      </c>
      <c r="K3308" t="s">
        <v>66</v>
      </c>
      <c r="L3308" t="s">
        <v>67</v>
      </c>
      <c r="M3308">
        <v>639.1400000000001</v>
      </c>
    </row>
    <row r="3309">
      <c r="A3309" s="2">
        <v>45591</v>
      </c>
      <c r="B3309">
        <v>2025.0</v>
      </c>
      <c r="C3309" t="s">
        <v>315</v>
      </c>
      <c r="D3309" t="s">
        <v>316</v>
      </c>
      <c r="E3309" t="s">
        <v>73</v>
      </c>
      <c r="F3309" t="s">
        <v>304</v>
      </c>
      <c r="G3309" t="s">
        <v>9</v>
      </c>
      <c r="H3309">
        <v>2750.0</v>
      </c>
      <c r="I3309" t="s">
        <v>31</v>
      </c>
      <c r="J3309" t="s">
        <v>75</v>
      </c>
      <c r="K3309" t="s">
        <v>95</v>
      </c>
      <c r="L3309" t="s">
        <v>96</v>
      </c>
      <c r="M3309">
        <v>639.4300000000001</v>
      </c>
    </row>
    <row r="3310">
      <c r="A3310" s="2">
        <v>45552</v>
      </c>
      <c r="B3310">
        <v>2025.0</v>
      </c>
      <c r="C3310" t="s">
        <v>315</v>
      </c>
      <c r="D3310" t="s">
        <v>316</v>
      </c>
      <c r="E3310" t="s">
        <v>264</v>
      </c>
      <c r="F3310" t="s">
        <v>308</v>
      </c>
      <c r="G3310" t="s">
        <v>13</v>
      </c>
      <c r="H3310">
        <v>5043.0</v>
      </c>
      <c r="I3310" t="s">
        <v>31</v>
      </c>
      <c r="J3310" t="s">
        <v>42</v>
      </c>
      <c r="K3310" t="s">
        <v>57</v>
      </c>
      <c r="L3310" t="s">
        <v>58</v>
      </c>
      <c r="M3310">
        <v>639.89</v>
      </c>
    </row>
    <row r="3311">
      <c r="A3311" s="2">
        <v>45422</v>
      </c>
      <c r="B3311">
        <v>2024.0</v>
      </c>
      <c r="C3311" t="s">
        <v>318</v>
      </c>
      <c r="D3311" t="s">
        <v>316</v>
      </c>
      <c r="E3311" t="s">
        <v>118</v>
      </c>
      <c r="F3311" t="s">
        <v>305</v>
      </c>
      <c r="G3311" t="s">
        <v>10</v>
      </c>
      <c r="H3311">
        <v>3076.0</v>
      </c>
      <c r="I3311" t="s">
        <v>31</v>
      </c>
      <c r="J3311" t="s">
        <v>120</v>
      </c>
      <c r="K3311" t="s">
        <v>95</v>
      </c>
      <c r="L3311" t="s">
        <v>96</v>
      </c>
      <c r="M3311">
        <v>640.4000000000001</v>
      </c>
    </row>
    <row r="3312">
      <c r="A3312" s="2">
        <v>45467</v>
      </c>
      <c r="B3312">
        <v>2024.0</v>
      </c>
      <c r="C3312" t="s">
        <v>318</v>
      </c>
      <c r="D3312" t="s">
        <v>316</v>
      </c>
      <c r="E3312" t="s">
        <v>156</v>
      </c>
      <c r="F3312" t="s">
        <v>304</v>
      </c>
      <c r="G3312" t="s">
        <v>9</v>
      </c>
      <c r="H3312">
        <v>2830.0</v>
      </c>
      <c r="I3312" t="s">
        <v>31</v>
      </c>
      <c r="J3312" t="s">
        <v>75</v>
      </c>
      <c r="K3312" t="s">
        <v>123</v>
      </c>
      <c r="L3312" t="s">
        <v>124</v>
      </c>
      <c r="M3312">
        <v>640.53</v>
      </c>
    </row>
    <row r="3313">
      <c r="A3313" s="2">
        <v>45614</v>
      </c>
      <c r="B3313">
        <v>2025.0</v>
      </c>
      <c r="C3313" t="s">
        <v>315</v>
      </c>
      <c r="D3313" t="s">
        <v>316</v>
      </c>
      <c r="E3313" t="s">
        <v>87</v>
      </c>
      <c r="F3313" t="s">
        <v>305</v>
      </c>
      <c r="G3313" t="s">
        <v>10</v>
      </c>
      <c r="H3313">
        <v>3148.0</v>
      </c>
      <c r="I3313" t="s">
        <v>31</v>
      </c>
      <c r="J3313" t="s">
        <v>89</v>
      </c>
      <c r="K3313" t="s">
        <v>43</v>
      </c>
      <c r="L3313" t="s">
        <v>44</v>
      </c>
      <c r="M3313">
        <v>641.5799999999999</v>
      </c>
    </row>
    <row r="3314">
      <c r="A3314" s="2">
        <v>45699</v>
      </c>
      <c r="B3314">
        <v>2025.0</v>
      </c>
      <c r="C3314" t="s">
        <v>315</v>
      </c>
      <c r="D3314" t="s">
        <v>316</v>
      </c>
      <c r="E3314" t="s">
        <v>64</v>
      </c>
      <c r="F3314" t="s">
        <v>306</v>
      </c>
      <c r="G3314" t="s">
        <v>11</v>
      </c>
      <c r="H3314">
        <v>4215.0</v>
      </c>
      <c r="I3314" t="s">
        <v>31</v>
      </c>
      <c r="J3314" t="s">
        <v>61</v>
      </c>
      <c r="K3314" t="s">
        <v>43</v>
      </c>
      <c r="L3314" t="s">
        <v>44</v>
      </c>
      <c r="M3314">
        <v>641.61</v>
      </c>
    </row>
    <row r="3315">
      <c r="A3315" s="2">
        <v>45619</v>
      </c>
      <c r="B3315">
        <v>2025.0</v>
      </c>
      <c r="C3315" t="s">
        <v>315</v>
      </c>
      <c r="D3315" t="s">
        <v>316</v>
      </c>
      <c r="E3315" t="s">
        <v>163</v>
      </c>
      <c r="F3315" t="s">
        <v>304</v>
      </c>
      <c r="G3315" t="s">
        <v>9</v>
      </c>
      <c r="H3315">
        <v>2154.0</v>
      </c>
      <c r="I3315" t="s">
        <v>31</v>
      </c>
      <c r="J3315" t="s">
        <v>81</v>
      </c>
      <c r="K3315" t="s">
        <v>43</v>
      </c>
      <c r="L3315" t="s">
        <v>44</v>
      </c>
      <c r="M3315">
        <v>641.63</v>
      </c>
    </row>
    <row r="3316">
      <c r="A3316" s="2">
        <v>45998</v>
      </c>
      <c r="B3316">
        <v>2026.0</v>
      </c>
      <c r="C3316" t="s">
        <v>321</v>
      </c>
      <c r="D3316" t="s">
        <v>319</v>
      </c>
      <c r="E3316" t="s">
        <v>262</v>
      </c>
      <c r="F3316" t="s">
        <v>305</v>
      </c>
      <c r="G3316" t="s">
        <v>10</v>
      </c>
      <c r="H3316">
        <v>3018.0</v>
      </c>
      <c r="I3316" t="s">
        <v>31</v>
      </c>
      <c r="J3316" t="s">
        <v>120</v>
      </c>
      <c r="K3316" t="s">
        <v>38</v>
      </c>
      <c r="L3316" t="s">
        <v>39</v>
      </c>
      <c r="M3316">
        <v>642.3000000000001</v>
      </c>
    </row>
    <row r="3317">
      <c r="A3317" s="2">
        <v>45444</v>
      </c>
      <c r="B3317">
        <v>2024.0</v>
      </c>
      <c r="C3317" t="s">
        <v>318</v>
      </c>
      <c r="D3317" t="s">
        <v>316</v>
      </c>
      <c r="E3317" t="s">
        <v>125</v>
      </c>
      <c r="F3317" t="s">
        <v>305</v>
      </c>
      <c r="G3317" t="s">
        <v>10</v>
      </c>
      <c r="H3317">
        <v>3931.0</v>
      </c>
      <c r="I3317" t="s">
        <v>31</v>
      </c>
      <c r="J3317" t="s">
        <v>94</v>
      </c>
      <c r="K3317" t="s">
        <v>95</v>
      </c>
      <c r="L3317" t="s">
        <v>96</v>
      </c>
      <c r="M3317">
        <v>643.35</v>
      </c>
    </row>
    <row r="3318">
      <c r="A3318" s="2">
        <v>45389</v>
      </c>
      <c r="B3318">
        <v>2024.0</v>
      </c>
      <c r="C3318" t="s">
        <v>318</v>
      </c>
      <c r="D3318" t="s">
        <v>316</v>
      </c>
      <c r="E3318" t="s">
        <v>76</v>
      </c>
      <c r="F3318" t="s">
        <v>306</v>
      </c>
      <c r="G3318" t="s">
        <v>11</v>
      </c>
      <c r="H3318">
        <v>4883.0</v>
      </c>
      <c r="I3318" t="s">
        <v>31</v>
      </c>
      <c r="J3318" t="s">
        <v>78</v>
      </c>
      <c r="K3318" t="s">
        <v>46</v>
      </c>
      <c r="L3318" t="s">
        <v>47</v>
      </c>
      <c r="M3318">
        <v>643.77</v>
      </c>
    </row>
    <row r="3319">
      <c r="A3319" s="2">
        <v>45930</v>
      </c>
      <c r="B3319">
        <v>2026.0</v>
      </c>
      <c r="C3319" t="s">
        <v>321</v>
      </c>
      <c r="D3319" t="s">
        <v>319</v>
      </c>
      <c r="E3319" t="s">
        <v>103</v>
      </c>
      <c r="F3319" t="s">
        <v>307</v>
      </c>
      <c r="G3319" t="s">
        <v>12</v>
      </c>
      <c r="H3319">
        <v>6021.0</v>
      </c>
      <c r="I3319" t="s">
        <v>31</v>
      </c>
      <c r="J3319" t="s">
        <v>102</v>
      </c>
      <c r="K3319" t="s">
        <v>71</v>
      </c>
      <c r="L3319" t="s">
        <v>72</v>
      </c>
      <c r="M3319">
        <v>646.7199999999999</v>
      </c>
    </row>
    <row r="3320">
      <c r="A3320" s="2">
        <v>45456</v>
      </c>
      <c r="B3320">
        <v>2024.0</v>
      </c>
      <c r="C3320" t="s">
        <v>318</v>
      </c>
      <c r="D3320" t="s">
        <v>316</v>
      </c>
      <c r="E3320" t="s">
        <v>205</v>
      </c>
      <c r="F3320" t="s">
        <v>305</v>
      </c>
      <c r="G3320" t="s">
        <v>10</v>
      </c>
      <c r="H3320">
        <v>3400.0</v>
      </c>
      <c r="I3320" t="s">
        <v>31</v>
      </c>
      <c r="J3320" t="s">
        <v>37</v>
      </c>
      <c r="K3320" t="s">
        <v>57</v>
      </c>
      <c r="L3320" t="s">
        <v>58</v>
      </c>
      <c r="M3320">
        <v>646.9100000000001</v>
      </c>
    </row>
    <row r="3321">
      <c r="A3321" s="2">
        <v>45428</v>
      </c>
      <c r="B3321">
        <v>2024.0</v>
      </c>
      <c r="C3321" t="s">
        <v>318</v>
      </c>
      <c r="D3321" t="s">
        <v>319</v>
      </c>
      <c r="E3321" t="s">
        <v>258</v>
      </c>
      <c r="F3321" t="s">
        <v>309</v>
      </c>
      <c r="G3321" t="s">
        <v>14</v>
      </c>
      <c r="H3321">
        <v>870.0</v>
      </c>
      <c r="I3321" t="s">
        <v>31</v>
      </c>
      <c r="J3321" t="s">
        <v>145</v>
      </c>
      <c r="K3321" t="s">
        <v>46</v>
      </c>
      <c r="L3321" t="s">
        <v>47</v>
      </c>
      <c r="M3321">
        <v>647.3100000000002</v>
      </c>
    </row>
    <row r="3322">
      <c r="A3322" s="2">
        <v>45894</v>
      </c>
      <c r="B3322">
        <v>2026.0</v>
      </c>
      <c r="C3322" t="s">
        <v>321</v>
      </c>
      <c r="D3322" t="s">
        <v>319</v>
      </c>
      <c r="E3322" t="s">
        <v>62</v>
      </c>
      <c r="F3322" t="s">
        <v>307</v>
      </c>
      <c r="G3322" t="s">
        <v>12</v>
      </c>
      <c r="H3322">
        <v>6530.0</v>
      </c>
      <c r="I3322" t="s">
        <v>31</v>
      </c>
      <c r="J3322" t="s">
        <v>50</v>
      </c>
      <c r="K3322" t="s">
        <v>43</v>
      </c>
      <c r="L3322" t="s">
        <v>44</v>
      </c>
      <c r="M3322">
        <v>648.24</v>
      </c>
    </row>
    <row r="3323">
      <c r="A3323" s="2">
        <v>45899</v>
      </c>
      <c r="B3323">
        <v>2026.0</v>
      </c>
      <c r="C3323" t="s">
        <v>321</v>
      </c>
      <c r="D3323" t="s">
        <v>319</v>
      </c>
      <c r="E3323" t="s">
        <v>189</v>
      </c>
      <c r="F3323" t="s">
        <v>304</v>
      </c>
      <c r="G3323" t="s">
        <v>9</v>
      </c>
      <c r="H3323">
        <v>2131.0</v>
      </c>
      <c r="I3323" t="s">
        <v>31</v>
      </c>
      <c r="J3323" t="s">
        <v>81</v>
      </c>
      <c r="K3323" t="s">
        <v>33</v>
      </c>
      <c r="L3323" t="s">
        <v>34</v>
      </c>
      <c r="M3323">
        <v>649.99</v>
      </c>
    </row>
    <row r="3324">
      <c r="A3324" s="2">
        <v>45420</v>
      </c>
      <c r="B3324">
        <v>2024.0</v>
      </c>
      <c r="C3324" t="s">
        <v>318</v>
      </c>
      <c r="D3324" t="s">
        <v>319</v>
      </c>
      <c r="E3324" t="s">
        <v>143</v>
      </c>
      <c r="F3324" t="s">
        <v>309</v>
      </c>
      <c r="G3324" t="s">
        <v>14</v>
      </c>
      <c r="H3324">
        <v>800.0</v>
      </c>
      <c r="I3324" t="s">
        <v>31</v>
      </c>
      <c r="J3324" t="s">
        <v>145</v>
      </c>
      <c r="K3324" t="s">
        <v>38</v>
      </c>
      <c r="L3324" t="s">
        <v>39</v>
      </c>
      <c r="M3324">
        <v>650.32</v>
      </c>
    </row>
    <row r="3325">
      <c r="A3325" s="2">
        <v>45481</v>
      </c>
      <c r="B3325">
        <v>2025.0</v>
      </c>
      <c r="C3325" t="s">
        <v>315</v>
      </c>
      <c r="D3325" t="s">
        <v>319</v>
      </c>
      <c r="E3325" t="s">
        <v>82</v>
      </c>
      <c r="F3325" t="s">
        <v>306</v>
      </c>
      <c r="G3325" t="s">
        <v>11</v>
      </c>
      <c r="H3325">
        <v>4558.0</v>
      </c>
      <c r="I3325" t="s">
        <v>31</v>
      </c>
      <c r="J3325" t="s">
        <v>84</v>
      </c>
      <c r="K3325" t="s">
        <v>71</v>
      </c>
      <c r="L3325" t="s">
        <v>72</v>
      </c>
      <c r="M3325">
        <v>650.62</v>
      </c>
    </row>
    <row r="3326">
      <c r="A3326" s="2">
        <v>45726</v>
      </c>
      <c r="B3326">
        <v>2025.0</v>
      </c>
      <c r="C3326" t="s">
        <v>315</v>
      </c>
      <c r="D3326" t="s">
        <v>316</v>
      </c>
      <c r="E3326" t="s">
        <v>252</v>
      </c>
      <c r="F3326" t="s">
        <v>305</v>
      </c>
      <c r="G3326" t="s">
        <v>10</v>
      </c>
      <c r="H3326">
        <v>3630.0</v>
      </c>
      <c r="I3326" t="s">
        <v>31</v>
      </c>
      <c r="J3326" t="s">
        <v>94</v>
      </c>
      <c r="K3326" t="s">
        <v>46</v>
      </c>
      <c r="L3326" t="s">
        <v>47</v>
      </c>
      <c r="M3326">
        <v>651.2</v>
      </c>
    </row>
    <row r="3327">
      <c r="A3327" s="2">
        <v>45330</v>
      </c>
      <c r="B3327">
        <v>2024.0</v>
      </c>
      <c r="C3327" t="s">
        <v>318</v>
      </c>
      <c r="D3327" t="s">
        <v>316</v>
      </c>
      <c r="E3327" t="s">
        <v>48</v>
      </c>
      <c r="F3327" t="s">
        <v>307</v>
      </c>
      <c r="G3327" t="s">
        <v>12</v>
      </c>
      <c r="H3327">
        <v>6725.0</v>
      </c>
      <c r="I3327" t="s">
        <v>31</v>
      </c>
      <c r="J3327" t="s">
        <v>50</v>
      </c>
      <c r="K3327" t="s">
        <v>95</v>
      </c>
      <c r="L3327" t="s">
        <v>96</v>
      </c>
      <c r="M3327">
        <v>652.0700000000002</v>
      </c>
    </row>
    <row r="3328">
      <c r="A3328" s="2">
        <v>45871</v>
      </c>
      <c r="B3328">
        <v>2026.0</v>
      </c>
      <c r="C3328" t="s">
        <v>321</v>
      </c>
      <c r="D3328" t="s">
        <v>316</v>
      </c>
      <c r="E3328" t="s">
        <v>244</v>
      </c>
      <c r="F3328" t="s">
        <v>308</v>
      </c>
      <c r="G3328" t="s">
        <v>13</v>
      </c>
      <c r="H3328">
        <v>5168.0</v>
      </c>
      <c r="I3328" t="s">
        <v>31</v>
      </c>
      <c r="J3328" t="s">
        <v>42</v>
      </c>
      <c r="K3328" t="s">
        <v>71</v>
      </c>
      <c r="L3328" t="s">
        <v>72</v>
      </c>
      <c r="M3328">
        <v>652.14</v>
      </c>
    </row>
    <row r="3329">
      <c r="A3329" s="2">
        <v>45560</v>
      </c>
      <c r="B3329">
        <v>2025.0</v>
      </c>
      <c r="C3329" t="s">
        <v>315</v>
      </c>
      <c r="D3329" t="s">
        <v>316</v>
      </c>
      <c r="E3329" t="s">
        <v>203</v>
      </c>
      <c r="F3329" t="s">
        <v>305</v>
      </c>
      <c r="G3329" t="s">
        <v>10</v>
      </c>
      <c r="H3329">
        <v>3175.0</v>
      </c>
      <c r="I3329" t="s">
        <v>31</v>
      </c>
      <c r="J3329" t="s">
        <v>89</v>
      </c>
      <c r="K3329" t="s">
        <v>43</v>
      </c>
      <c r="L3329" t="s">
        <v>44</v>
      </c>
      <c r="M3329">
        <v>653.3</v>
      </c>
    </row>
    <row r="3330">
      <c r="A3330" s="2">
        <v>45369</v>
      </c>
      <c r="B3330">
        <v>2024.0</v>
      </c>
      <c r="C3330" t="s">
        <v>318</v>
      </c>
      <c r="D3330" t="s">
        <v>319</v>
      </c>
      <c r="E3330" t="s">
        <v>92</v>
      </c>
      <c r="F3330" t="s">
        <v>305</v>
      </c>
      <c r="G3330" t="s">
        <v>10</v>
      </c>
      <c r="H3330">
        <v>3690.0</v>
      </c>
      <c r="I3330" t="s">
        <v>31</v>
      </c>
      <c r="J3330" t="s">
        <v>94</v>
      </c>
      <c r="K3330" t="s">
        <v>123</v>
      </c>
      <c r="L3330" t="s">
        <v>124</v>
      </c>
      <c r="M3330">
        <v>653.3</v>
      </c>
    </row>
    <row r="3331">
      <c r="A3331" s="2">
        <v>45422</v>
      </c>
      <c r="B3331">
        <v>2024.0</v>
      </c>
      <c r="C3331" t="s">
        <v>318</v>
      </c>
      <c r="D3331" t="s">
        <v>316</v>
      </c>
      <c r="E3331" t="s">
        <v>125</v>
      </c>
      <c r="F3331" t="s">
        <v>305</v>
      </c>
      <c r="G3331" t="s">
        <v>10</v>
      </c>
      <c r="H3331">
        <v>3931.0</v>
      </c>
      <c r="I3331" t="s">
        <v>31</v>
      </c>
      <c r="J3331" t="s">
        <v>94</v>
      </c>
      <c r="K3331" t="s">
        <v>57</v>
      </c>
      <c r="L3331" t="s">
        <v>58</v>
      </c>
      <c r="M3331">
        <v>653.88</v>
      </c>
    </row>
    <row r="3332">
      <c r="A3332" s="2">
        <v>45853</v>
      </c>
      <c r="B3332">
        <v>2026.0</v>
      </c>
      <c r="C3332" t="s">
        <v>321</v>
      </c>
      <c r="D3332" t="s">
        <v>319</v>
      </c>
      <c r="E3332" t="s">
        <v>76</v>
      </c>
      <c r="F3332" t="s">
        <v>306</v>
      </c>
      <c r="G3332" t="s">
        <v>11</v>
      </c>
      <c r="H3332">
        <v>4883.0</v>
      </c>
      <c r="I3332" t="s">
        <v>31</v>
      </c>
      <c r="J3332" t="s">
        <v>78</v>
      </c>
      <c r="K3332" t="s">
        <v>57</v>
      </c>
      <c r="L3332" t="s">
        <v>58</v>
      </c>
      <c r="M3332">
        <v>654.07</v>
      </c>
    </row>
    <row r="3333">
      <c r="A3333" s="2">
        <v>45768</v>
      </c>
      <c r="B3333">
        <v>2025.0</v>
      </c>
      <c r="C3333" t="s">
        <v>315</v>
      </c>
      <c r="D3333" t="s">
        <v>316</v>
      </c>
      <c r="E3333" t="s">
        <v>165</v>
      </c>
      <c r="F3333" t="s">
        <v>304</v>
      </c>
      <c r="G3333" t="s">
        <v>9</v>
      </c>
      <c r="H3333">
        <v>2064.0</v>
      </c>
      <c r="I3333" t="s">
        <v>31</v>
      </c>
      <c r="J3333" t="s">
        <v>99</v>
      </c>
      <c r="K3333" t="s">
        <v>57</v>
      </c>
      <c r="L3333" t="s">
        <v>58</v>
      </c>
      <c r="M3333">
        <v>654.53</v>
      </c>
    </row>
    <row r="3334">
      <c r="A3334" s="2">
        <v>45476</v>
      </c>
      <c r="B3334">
        <v>2025.0</v>
      </c>
      <c r="C3334" t="s">
        <v>315</v>
      </c>
      <c r="D3334" t="s">
        <v>316</v>
      </c>
      <c r="E3334" t="s">
        <v>131</v>
      </c>
      <c r="F3334" t="s">
        <v>306</v>
      </c>
      <c r="G3334" t="s">
        <v>11</v>
      </c>
      <c r="H3334">
        <v>4655.0</v>
      </c>
      <c r="I3334" t="s">
        <v>31</v>
      </c>
      <c r="J3334" t="s">
        <v>32</v>
      </c>
      <c r="K3334" t="s">
        <v>33</v>
      </c>
      <c r="L3334" t="s">
        <v>34</v>
      </c>
      <c r="M3334">
        <v>655.3</v>
      </c>
    </row>
    <row r="3335">
      <c r="A3335" s="2">
        <v>45924</v>
      </c>
      <c r="B3335">
        <v>2026.0</v>
      </c>
      <c r="C3335" t="s">
        <v>321</v>
      </c>
      <c r="D3335" t="s">
        <v>319</v>
      </c>
      <c r="E3335" t="s">
        <v>82</v>
      </c>
      <c r="F3335" t="s">
        <v>306</v>
      </c>
      <c r="G3335" t="s">
        <v>11</v>
      </c>
      <c r="H3335">
        <v>4558.0</v>
      </c>
      <c r="I3335" t="s">
        <v>31</v>
      </c>
      <c r="J3335" t="s">
        <v>84</v>
      </c>
      <c r="K3335" t="s">
        <v>43</v>
      </c>
      <c r="L3335" t="s">
        <v>44</v>
      </c>
      <c r="M3335">
        <v>655.54</v>
      </c>
    </row>
    <row r="3336">
      <c r="A3336" s="2">
        <v>45397</v>
      </c>
      <c r="B3336">
        <v>2024.0</v>
      </c>
      <c r="C3336" t="s">
        <v>318</v>
      </c>
      <c r="D3336" t="s">
        <v>316</v>
      </c>
      <c r="E3336" t="s">
        <v>242</v>
      </c>
      <c r="F3336" t="s">
        <v>305</v>
      </c>
      <c r="G3336" t="s">
        <v>10</v>
      </c>
      <c r="H3336">
        <v>3977.0</v>
      </c>
      <c r="I3336" t="s">
        <v>31</v>
      </c>
      <c r="J3336" t="s">
        <v>94</v>
      </c>
      <c r="K3336" t="s">
        <v>57</v>
      </c>
      <c r="L3336" t="s">
        <v>58</v>
      </c>
      <c r="M3336">
        <v>655.78</v>
      </c>
    </row>
    <row r="3337">
      <c r="A3337" s="2">
        <v>46015</v>
      </c>
      <c r="B3337">
        <v>2026.0</v>
      </c>
      <c r="C3337" t="s">
        <v>321</v>
      </c>
      <c r="D3337" t="s">
        <v>316</v>
      </c>
      <c r="E3337" t="s">
        <v>195</v>
      </c>
      <c r="F3337" t="s">
        <v>306</v>
      </c>
      <c r="G3337" t="s">
        <v>11</v>
      </c>
      <c r="H3337">
        <v>4700.0</v>
      </c>
      <c r="I3337" t="s">
        <v>31</v>
      </c>
      <c r="J3337" t="s">
        <v>32</v>
      </c>
      <c r="K3337" t="s">
        <v>57</v>
      </c>
      <c r="L3337" t="s">
        <v>58</v>
      </c>
      <c r="M3337">
        <v>655.81</v>
      </c>
    </row>
    <row r="3338">
      <c r="A3338" s="2">
        <v>45767</v>
      </c>
      <c r="B3338">
        <v>2025.0</v>
      </c>
      <c r="C3338" t="s">
        <v>315</v>
      </c>
      <c r="D3338" t="s">
        <v>316</v>
      </c>
      <c r="E3338" t="s">
        <v>191</v>
      </c>
      <c r="F3338" t="s">
        <v>305</v>
      </c>
      <c r="G3338" t="s">
        <v>10</v>
      </c>
      <c r="H3338">
        <v>3030.0</v>
      </c>
      <c r="I3338" t="s">
        <v>31</v>
      </c>
      <c r="J3338" t="s">
        <v>120</v>
      </c>
      <c r="K3338" t="s">
        <v>57</v>
      </c>
      <c r="L3338" t="s">
        <v>58</v>
      </c>
      <c r="M3338">
        <v>658.26</v>
      </c>
    </row>
    <row r="3339">
      <c r="A3339" s="2">
        <v>45808</v>
      </c>
      <c r="B3339">
        <v>2025.0</v>
      </c>
      <c r="C3339" t="s">
        <v>315</v>
      </c>
      <c r="D3339" t="s">
        <v>316</v>
      </c>
      <c r="E3339" t="s">
        <v>232</v>
      </c>
      <c r="F3339" t="s">
        <v>304</v>
      </c>
      <c r="G3339" t="s">
        <v>9</v>
      </c>
      <c r="H3339">
        <v>2800.0</v>
      </c>
      <c r="I3339" t="s">
        <v>31</v>
      </c>
      <c r="J3339" t="s">
        <v>75</v>
      </c>
      <c r="K3339" t="s">
        <v>57</v>
      </c>
      <c r="L3339" t="s">
        <v>58</v>
      </c>
      <c r="M3339">
        <v>658.8299999999999</v>
      </c>
    </row>
    <row r="3340">
      <c r="A3340" s="2">
        <v>45888</v>
      </c>
      <c r="B3340">
        <v>2026.0</v>
      </c>
      <c r="C3340" t="s">
        <v>321</v>
      </c>
      <c r="D3340" t="s">
        <v>316</v>
      </c>
      <c r="E3340" t="s">
        <v>238</v>
      </c>
      <c r="F3340" t="s">
        <v>308</v>
      </c>
      <c r="G3340" t="s">
        <v>13</v>
      </c>
      <c r="H3340">
        <v>5082.0</v>
      </c>
      <c r="I3340" t="s">
        <v>31</v>
      </c>
      <c r="J3340" t="s">
        <v>42</v>
      </c>
      <c r="K3340" t="s">
        <v>71</v>
      </c>
      <c r="L3340" t="s">
        <v>72</v>
      </c>
      <c r="M3340">
        <v>659.45</v>
      </c>
    </row>
    <row r="3341">
      <c r="A3341" s="2">
        <v>45381</v>
      </c>
      <c r="B3341">
        <v>2024.0</v>
      </c>
      <c r="C3341" t="s">
        <v>318</v>
      </c>
      <c r="D3341" t="s">
        <v>316</v>
      </c>
      <c r="E3341" t="s">
        <v>221</v>
      </c>
      <c r="F3341" t="s">
        <v>306</v>
      </c>
      <c r="G3341" t="s">
        <v>11</v>
      </c>
      <c r="H3341">
        <v>4053.0</v>
      </c>
      <c r="I3341" t="s">
        <v>31</v>
      </c>
      <c r="J3341" t="s">
        <v>56</v>
      </c>
      <c r="K3341" t="s">
        <v>112</v>
      </c>
      <c r="L3341" t="s">
        <v>113</v>
      </c>
      <c r="M3341">
        <v>659.7099999999999</v>
      </c>
    </row>
    <row r="3342">
      <c r="A3342" s="2">
        <v>45400</v>
      </c>
      <c r="B3342">
        <v>2024.0</v>
      </c>
      <c r="C3342" t="s">
        <v>318</v>
      </c>
      <c r="D3342" t="s">
        <v>316</v>
      </c>
      <c r="E3342" t="s">
        <v>234</v>
      </c>
      <c r="F3342" t="s">
        <v>304</v>
      </c>
      <c r="G3342" t="s">
        <v>9</v>
      </c>
      <c r="H3342">
        <v>2158.0</v>
      </c>
      <c r="I3342" t="s">
        <v>31</v>
      </c>
      <c r="J3342" t="s">
        <v>81</v>
      </c>
      <c r="K3342" t="s">
        <v>43</v>
      </c>
      <c r="L3342" t="s">
        <v>44</v>
      </c>
      <c r="M3342">
        <v>660.34</v>
      </c>
    </row>
    <row r="3343">
      <c r="A3343" s="2">
        <v>46002</v>
      </c>
      <c r="B3343">
        <v>2026.0</v>
      </c>
      <c r="C3343" t="s">
        <v>321</v>
      </c>
      <c r="D3343" t="s">
        <v>316</v>
      </c>
      <c r="E3343" t="s">
        <v>201</v>
      </c>
      <c r="F3343" t="s">
        <v>305</v>
      </c>
      <c r="G3343" t="s">
        <v>10</v>
      </c>
      <c r="H3343">
        <v>3131.0</v>
      </c>
      <c r="I3343" t="s">
        <v>31</v>
      </c>
      <c r="J3343" t="s">
        <v>89</v>
      </c>
      <c r="K3343" t="s">
        <v>57</v>
      </c>
      <c r="L3343" t="s">
        <v>58</v>
      </c>
      <c r="M3343">
        <v>660.6600000000001</v>
      </c>
    </row>
    <row r="3344">
      <c r="A3344" s="2">
        <v>45460</v>
      </c>
      <c r="B3344">
        <v>2024.0</v>
      </c>
      <c r="C3344" t="s">
        <v>318</v>
      </c>
      <c r="D3344" t="s">
        <v>316</v>
      </c>
      <c r="E3344" t="s">
        <v>114</v>
      </c>
      <c r="F3344" t="s">
        <v>304</v>
      </c>
      <c r="G3344" t="s">
        <v>9</v>
      </c>
      <c r="H3344">
        <v>2031.0</v>
      </c>
      <c r="I3344" t="s">
        <v>31</v>
      </c>
      <c r="J3344" t="s">
        <v>99</v>
      </c>
      <c r="K3344" t="s">
        <v>43</v>
      </c>
      <c r="L3344" t="s">
        <v>44</v>
      </c>
      <c r="M3344">
        <v>661.5600000000001</v>
      </c>
    </row>
    <row r="3345">
      <c r="A3345" s="2">
        <v>45657</v>
      </c>
      <c r="B3345">
        <v>2025.0</v>
      </c>
      <c r="C3345" t="s">
        <v>315</v>
      </c>
      <c r="D3345" t="s">
        <v>316</v>
      </c>
      <c r="E3345" t="s">
        <v>177</v>
      </c>
      <c r="F3345" t="s">
        <v>307</v>
      </c>
      <c r="G3345" t="s">
        <v>12</v>
      </c>
      <c r="H3345">
        <v>6330.0</v>
      </c>
      <c r="I3345" t="s">
        <v>31</v>
      </c>
      <c r="J3345" t="s">
        <v>162</v>
      </c>
      <c r="K3345" t="s">
        <v>43</v>
      </c>
      <c r="L3345" t="s">
        <v>44</v>
      </c>
      <c r="M3345">
        <v>661.89</v>
      </c>
    </row>
    <row r="3346">
      <c r="A3346" s="2">
        <v>45623</v>
      </c>
      <c r="B3346">
        <v>2025.0</v>
      </c>
      <c r="C3346" t="s">
        <v>315</v>
      </c>
      <c r="D3346" t="s">
        <v>319</v>
      </c>
      <c r="E3346" t="s">
        <v>250</v>
      </c>
      <c r="F3346" t="s">
        <v>305</v>
      </c>
      <c r="G3346" t="s">
        <v>10</v>
      </c>
      <c r="H3346">
        <v>3550.0</v>
      </c>
      <c r="I3346" t="s">
        <v>31</v>
      </c>
      <c r="J3346" t="s">
        <v>37</v>
      </c>
      <c r="K3346" t="s">
        <v>43</v>
      </c>
      <c r="L3346" t="s">
        <v>44</v>
      </c>
      <c r="M3346">
        <v>662.0999999999999</v>
      </c>
    </row>
    <row r="3347">
      <c r="A3347" s="2">
        <v>45349</v>
      </c>
      <c r="B3347">
        <v>2024.0</v>
      </c>
      <c r="C3347" t="s">
        <v>318</v>
      </c>
      <c r="D3347" t="s">
        <v>319</v>
      </c>
      <c r="E3347" t="s">
        <v>76</v>
      </c>
      <c r="F3347" t="s">
        <v>306</v>
      </c>
      <c r="G3347" t="s">
        <v>11</v>
      </c>
      <c r="H3347">
        <v>4883.0</v>
      </c>
      <c r="I3347" t="s">
        <v>31</v>
      </c>
      <c r="J3347" t="s">
        <v>78</v>
      </c>
      <c r="K3347" t="s">
        <v>43</v>
      </c>
      <c r="L3347" t="s">
        <v>44</v>
      </c>
      <c r="M3347">
        <v>664.64</v>
      </c>
    </row>
    <row r="3348">
      <c r="A3348" s="2">
        <v>45939</v>
      </c>
      <c r="B3348">
        <v>2026.0</v>
      </c>
      <c r="C3348" t="s">
        <v>321</v>
      </c>
      <c r="D3348" t="s">
        <v>316</v>
      </c>
      <c r="E3348" t="s">
        <v>248</v>
      </c>
      <c r="F3348" t="s">
        <v>307</v>
      </c>
      <c r="G3348" t="s">
        <v>12</v>
      </c>
      <c r="H3348">
        <v>6112.0</v>
      </c>
      <c r="I3348" t="s">
        <v>31</v>
      </c>
      <c r="J3348" t="s">
        <v>162</v>
      </c>
      <c r="K3348" t="s">
        <v>46</v>
      </c>
      <c r="L3348" t="s">
        <v>47</v>
      </c>
      <c r="M3348">
        <v>665.1100000000001</v>
      </c>
    </row>
    <row r="3349">
      <c r="A3349" s="2">
        <v>45411</v>
      </c>
      <c r="B3349">
        <v>2024.0</v>
      </c>
      <c r="C3349" t="s">
        <v>318</v>
      </c>
      <c r="D3349" t="s">
        <v>316</v>
      </c>
      <c r="E3349" t="s">
        <v>125</v>
      </c>
      <c r="F3349" t="s">
        <v>305</v>
      </c>
      <c r="G3349" t="s">
        <v>10</v>
      </c>
      <c r="H3349">
        <v>3931.0</v>
      </c>
      <c r="I3349" t="s">
        <v>31</v>
      </c>
      <c r="J3349" t="s">
        <v>94</v>
      </c>
      <c r="K3349" t="s">
        <v>46</v>
      </c>
      <c r="L3349" t="s">
        <v>47</v>
      </c>
      <c r="M3349">
        <v>665.34</v>
      </c>
    </row>
    <row r="3350">
      <c r="A3350" s="2">
        <v>45437</v>
      </c>
      <c r="B3350">
        <v>2024.0</v>
      </c>
      <c r="C3350" t="s">
        <v>318</v>
      </c>
      <c r="D3350" t="s">
        <v>316</v>
      </c>
      <c r="E3350" t="s">
        <v>187</v>
      </c>
      <c r="F3350" t="s">
        <v>306</v>
      </c>
      <c r="G3350" t="s">
        <v>11</v>
      </c>
      <c r="H3350">
        <v>4870.0</v>
      </c>
      <c r="I3350" t="s">
        <v>31</v>
      </c>
      <c r="J3350" t="s">
        <v>78</v>
      </c>
      <c r="K3350" t="s">
        <v>71</v>
      </c>
      <c r="L3350" t="s">
        <v>72</v>
      </c>
      <c r="M3350">
        <v>665.9300000000001</v>
      </c>
    </row>
    <row r="3351">
      <c r="A3351" s="2">
        <v>45661</v>
      </c>
      <c r="B3351">
        <v>2025.0</v>
      </c>
      <c r="C3351" t="s">
        <v>315</v>
      </c>
      <c r="D3351" t="s">
        <v>319</v>
      </c>
      <c r="E3351" t="s">
        <v>92</v>
      </c>
      <c r="F3351" t="s">
        <v>305</v>
      </c>
      <c r="G3351" t="s">
        <v>10</v>
      </c>
      <c r="H3351">
        <v>3690.0</v>
      </c>
      <c r="I3351" t="s">
        <v>31</v>
      </c>
      <c r="J3351" t="s">
        <v>94</v>
      </c>
      <c r="K3351" t="s">
        <v>33</v>
      </c>
      <c r="L3351" t="s">
        <v>34</v>
      </c>
      <c r="M3351">
        <v>667.46</v>
      </c>
    </row>
    <row r="3352">
      <c r="A3352" s="2">
        <v>45442</v>
      </c>
      <c r="B3352">
        <v>2024.0</v>
      </c>
      <c r="C3352" t="s">
        <v>318</v>
      </c>
      <c r="D3352" t="s">
        <v>316</v>
      </c>
      <c r="E3352" t="s">
        <v>165</v>
      </c>
      <c r="F3352" t="s">
        <v>304</v>
      </c>
      <c r="G3352" t="s">
        <v>9</v>
      </c>
      <c r="H3352">
        <v>2064.0</v>
      </c>
      <c r="I3352" t="s">
        <v>31</v>
      </c>
      <c r="J3352" t="s">
        <v>99</v>
      </c>
      <c r="K3352" t="s">
        <v>71</v>
      </c>
      <c r="L3352" t="s">
        <v>72</v>
      </c>
      <c r="M3352">
        <v>671.42</v>
      </c>
    </row>
    <row r="3353">
      <c r="A3353" s="2">
        <v>45726</v>
      </c>
      <c r="B3353">
        <v>2025.0</v>
      </c>
      <c r="C3353" t="s">
        <v>315</v>
      </c>
      <c r="D3353" t="s">
        <v>316</v>
      </c>
      <c r="E3353" t="s">
        <v>105</v>
      </c>
      <c r="F3353" t="s">
        <v>304</v>
      </c>
      <c r="G3353" t="s">
        <v>9</v>
      </c>
      <c r="H3353">
        <v>2541.0</v>
      </c>
      <c r="I3353" t="s">
        <v>31</v>
      </c>
      <c r="J3353" t="s">
        <v>107</v>
      </c>
      <c r="K3353" t="s">
        <v>43</v>
      </c>
      <c r="L3353" t="s">
        <v>44</v>
      </c>
      <c r="M3353">
        <v>671.75</v>
      </c>
    </row>
    <row r="3354">
      <c r="A3354" s="2">
        <v>46017</v>
      </c>
      <c r="B3354">
        <v>2026.0</v>
      </c>
      <c r="C3354" t="s">
        <v>321</v>
      </c>
      <c r="D3354" t="s">
        <v>319</v>
      </c>
      <c r="E3354" t="s">
        <v>143</v>
      </c>
      <c r="F3354" t="s">
        <v>309</v>
      </c>
      <c r="G3354" t="s">
        <v>14</v>
      </c>
      <c r="H3354">
        <v>800.0</v>
      </c>
      <c r="I3354" t="s">
        <v>31</v>
      </c>
      <c r="J3354" t="s">
        <v>145</v>
      </c>
      <c r="K3354" t="s">
        <v>71</v>
      </c>
      <c r="L3354" t="s">
        <v>72</v>
      </c>
      <c r="M3354">
        <v>672.3499999999999</v>
      </c>
    </row>
    <row r="3355">
      <c r="A3355" s="2">
        <v>45331</v>
      </c>
      <c r="B3355">
        <v>2024.0</v>
      </c>
      <c r="C3355" t="s">
        <v>318</v>
      </c>
      <c r="D3355" t="s">
        <v>316</v>
      </c>
      <c r="E3355" t="s">
        <v>242</v>
      </c>
      <c r="F3355" t="s">
        <v>305</v>
      </c>
      <c r="G3355" t="s">
        <v>10</v>
      </c>
      <c r="H3355">
        <v>3977.0</v>
      </c>
      <c r="I3355" t="s">
        <v>31</v>
      </c>
      <c r="J3355" t="s">
        <v>94</v>
      </c>
      <c r="K3355" t="s">
        <v>43</v>
      </c>
      <c r="L3355" t="s">
        <v>44</v>
      </c>
      <c r="M3355">
        <v>673.7299999999999</v>
      </c>
    </row>
    <row r="3356">
      <c r="A3356" s="2">
        <v>45889</v>
      </c>
      <c r="B3356">
        <v>2026.0</v>
      </c>
      <c r="C3356" t="s">
        <v>321</v>
      </c>
      <c r="D3356" t="s">
        <v>316</v>
      </c>
      <c r="E3356" t="s">
        <v>209</v>
      </c>
      <c r="F3356" t="s">
        <v>304</v>
      </c>
      <c r="G3356" t="s">
        <v>9</v>
      </c>
      <c r="H3356">
        <v>2116.0</v>
      </c>
      <c r="I3356" t="s">
        <v>31</v>
      </c>
      <c r="J3356" t="s">
        <v>81</v>
      </c>
      <c r="K3356" t="s">
        <v>43</v>
      </c>
      <c r="L3356" t="s">
        <v>44</v>
      </c>
      <c r="M3356">
        <v>673.93</v>
      </c>
    </row>
    <row r="3357">
      <c r="A3357" s="2">
        <v>45339</v>
      </c>
      <c r="B3357">
        <v>2024.0</v>
      </c>
      <c r="C3357" t="s">
        <v>318</v>
      </c>
      <c r="D3357" t="s">
        <v>319</v>
      </c>
      <c r="E3357" t="s">
        <v>141</v>
      </c>
      <c r="F3357" t="s">
        <v>304</v>
      </c>
      <c r="G3357" t="s">
        <v>9</v>
      </c>
      <c r="H3357">
        <v>2539.0</v>
      </c>
      <c r="I3357" t="s">
        <v>31</v>
      </c>
      <c r="J3357" t="s">
        <v>107</v>
      </c>
      <c r="K3357" t="s">
        <v>71</v>
      </c>
      <c r="L3357" t="s">
        <v>72</v>
      </c>
      <c r="M3357">
        <v>674.38</v>
      </c>
    </row>
    <row r="3358">
      <c r="A3358" s="2">
        <v>45677</v>
      </c>
      <c r="B3358">
        <v>2025.0</v>
      </c>
      <c r="C3358" t="s">
        <v>315</v>
      </c>
      <c r="D3358" t="s">
        <v>319</v>
      </c>
      <c r="E3358" t="s">
        <v>127</v>
      </c>
      <c r="F3358" t="s">
        <v>306</v>
      </c>
      <c r="G3358" t="s">
        <v>11</v>
      </c>
      <c r="H3358">
        <v>4802.0</v>
      </c>
      <c r="I3358" t="s">
        <v>31</v>
      </c>
      <c r="J3358" t="s">
        <v>78</v>
      </c>
      <c r="K3358" t="s">
        <v>57</v>
      </c>
      <c r="L3358" t="s">
        <v>58</v>
      </c>
      <c r="M3358">
        <v>674.89</v>
      </c>
    </row>
    <row r="3359">
      <c r="A3359" s="2">
        <v>45616</v>
      </c>
      <c r="B3359">
        <v>2025.0</v>
      </c>
      <c r="C3359" t="s">
        <v>315</v>
      </c>
      <c r="D3359" t="s">
        <v>316</v>
      </c>
      <c r="E3359" t="s">
        <v>29</v>
      </c>
      <c r="F3359" t="s">
        <v>306</v>
      </c>
      <c r="G3359" t="s">
        <v>11</v>
      </c>
      <c r="H3359">
        <v>4703.0</v>
      </c>
      <c r="I3359" t="s">
        <v>31</v>
      </c>
      <c r="J3359" t="s">
        <v>32</v>
      </c>
      <c r="K3359" t="s">
        <v>57</v>
      </c>
      <c r="L3359" t="s">
        <v>58</v>
      </c>
      <c r="M3359">
        <v>675.86</v>
      </c>
    </row>
    <row r="3360">
      <c r="A3360" s="2">
        <v>45730</v>
      </c>
      <c r="B3360">
        <v>2025.0</v>
      </c>
      <c r="C3360" t="s">
        <v>315</v>
      </c>
      <c r="D3360" t="s">
        <v>316</v>
      </c>
      <c r="E3360" t="s">
        <v>152</v>
      </c>
      <c r="F3360" t="s">
        <v>306</v>
      </c>
      <c r="G3360" t="s">
        <v>11</v>
      </c>
      <c r="H3360">
        <v>4305.0</v>
      </c>
      <c r="I3360" t="s">
        <v>31</v>
      </c>
      <c r="J3360" t="s">
        <v>61</v>
      </c>
      <c r="K3360" t="s">
        <v>57</v>
      </c>
      <c r="L3360" t="s">
        <v>58</v>
      </c>
      <c r="M3360">
        <v>678.63</v>
      </c>
    </row>
    <row r="3361">
      <c r="A3361" s="2">
        <v>45910</v>
      </c>
      <c r="B3361">
        <v>2026.0</v>
      </c>
      <c r="C3361" t="s">
        <v>321</v>
      </c>
      <c r="D3361" t="s">
        <v>319</v>
      </c>
      <c r="E3361" t="s">
        <v>250</v>
      </c>
      <c r="F3361" t="s">
        <v>305</v>
      </c>
      <c r="G3361" t="s">
        <v>10</v>
      </c>
      <c r="H3361">
        <v>3550.0</v>
      </c>
      <c r="I3361" t="s">
        <v>31</v>
      </c>
      <c r="J3361" t="s">
        <v>37</v>
      </c>
      <c r="K3361" t="s">
        <v>123</v>
      </c>
      <c r="L3361" t="s">
        <v>124</v>
      </c>
      <c r="M3361">
        <v>680.9900000000001</v>
      </c>
    </row>
    <row r="3362">
      <c r="A3362" s="2">
        <v>45475</v>
      </c>
      <c r="B3362">
        <v>2025.0</v>
      </c>
      <c r="C3362" t="s">
        <v>315</v>
      </c>
      <c r="D3362" t="s">
        <v>316</v>
      </c>
      <c r="E3362" t="s">
        <v>59</v>
      </c>
      <c r="F3362" t="s">
        <v>306</v>
      </c>
      <c r="G3362" t="s">
        <v>11</v>
      </c>
      <c r="H3362">
        <v>4509.0</v>
      </c>
      <c r="I3362" t="s">
        <v>31</v>
      </c>
      <c r="J3362" t="s">
        <v>61</v>
      </c>
      <c r="K3362" t="s">
        <v>43</v>
      </c>
      <c r="L3362" t="s">
        <v>44</v>
      </c>
      <c r="M3362">
        <v>682.0699999999999</v>
      </c>
    </row>
    <row r="3363">
      <c r="A3363" s="2">
        <v>45943</v>
      </c>
      <c r="B3363">
        <v>2026.0</v>
      </c>
      <c r="C3363" t="s">
        <v>321</v>
      </c>
      <c r="D3363" t="s">
        <v>316</v>
      </c>
      <c r="E3363" t="s">
        <v>87</v>
      </c>
      <c r="F3363" t="s">
        <v>305</v>
      </c>
      <c r="G3363" t="s">
        <v>10</v>
      </c>
      <c r="H3363">
        <v>3148.0</v>
      </c>
      <c r="I3363" t="s">
        <v>31</v>
      </c>
      <c r="J3363" t="s">
        <v>89</v>
      </c>
      <c r="K3363" t="s">
        <v>71</v>
      </c>
      <c r="L3363" t="s">
        <v>72</v>
      </c>
      <c r="M3363">
        <v>682.81</v>
      </c>
    </row>
    <row r="3364">
      <c r="A3364" s="2">
        <v>45827</v>
      </c>
      <c r="B3364">
        <v>2025.0</v>
      </c>
      <c r="C3364" t="s">
        <v>315</v>
      </c>
      <c r="D3364" t="s">
        <v>316</v>
      </c>
      <c r="E3364" t="s">
        <v>129</v>
      </c>
      <c r="F3364" t="s">
        <v>305</v>
      </c>
      <c r="G3364" t="s">
        <v>10</v>
      </c>
      <c r="H3364">
        <v>3066.0</v>
      </c>
      <c r="I3364" t="s">
        <v>31</v>
      </c>
      <c r="J3364" t="s">
        <v>120</v>
      </c>
      <c r="K3364" t="s">
        <v>123</v>
      </c>
      <c r="L3364" t="s">
        <v>124</v>
      </c>
      <c r="M3364">
        <v>684.4499999999999</v>
      </c>
    </row>
    <row r="3365">
      <c r="A3365" s="2">
        <v>45491</v>
      </c>
      <c r="B3365">
        <v>2025.0</v>
      </c>
      <c r="C3365" t="s">
        <v>315</v>
      </c>
      <c r="D3365" t="s">
        <v>316</v>
      </c>
      <c r="E3365" t="s">
        <v>131</v>
      </c>
      <c r="F3365" t="s">
        <v>306</v>
      </c>
      <c r="G3365" t="s">
        <v>11</v>
      </c>
      <c r="H3365">
        <v>4655.0</v>
      </c>
      <c r="I3365" t="s">
        <v>31</v>
      </c>
      <c r="J3365" t="s">
        <v>32</v>
      </c>
      <c r="K3365" t="s">
        <v>95</v>
      </c>
      <c r="L3365" t="s">
        <v>96</v>
      </c>
      <c r="M3365">
        <v>684.5</v>
      </c>
    </row>
    <row r="3366">
      <c r="A3366" s="2">
        <v>45396</v>
      </c>
      <c r="B3366">
        <v>2024.0</v>
      </c>
      <c r="C3366" t="s">
        <v>318</v>
      </c>
      <c r="D3366" t="s">
        <v>319</v>
      </c>
      <c r="E3366" t="s">
        <v>146</v>
      </c>
      <c r="F3366" t="s">
        <v>304</v>
      </c>
      <c r="G3366" t="s">
        <v>9</v>
      </c>
      <c r="H3366">
        <v>2790.0</v>
      </c>
      <c r="I3366" t="s">
        <v>31</v>
      </c>
      <c r="J3366" t="s">
        <v>75</v>
      </c>
      <c r="K3366" t="s">
        <v>123</v>
      </c>
      <c r="L3366" t="s">
        <v>124</v>
      </c>
      <c r="M3366">
        <v>685.08</v>
      </c>
    </row>
    <row r="3367">
      <c r="A3367" s="2">
        <v>45397</v>
      </c>
      <c r="B3367">
        <v>2024.0</v>
      </c>
      <c r="C3367" t="s">
        <v>318</v>
      </c>
      <c r="D3367" t="s">
        <v>316</v>
      </c>
      <c r="E3367" t="s">
        <v>79</v>
      </c>
      <c r="F3367" t="s">
        <v>304</v>
      </c>
      <c r="G3367" t="s">
        <v>9</v>
      </c>
      <c r="H3367">
        <v>2141.0</v>
      </c>
      <c r="I3367" t="s">
        <v>31</v>
      </c>
      <c r="J3367" t="s">
        <v>81</v>
      </c>
      <c r="K3367" t="s">
        <v>71</v>
      </c>
      <c r="L3367" t="s">
        <v>72</v>
      </c>
      <c r="M3367">
        <v>685.12</v>
      </c>
    </row>
    <row r="3368">
      <c r="A3368" s="2">
        <v>45760</v>
      </c>
      <c r="B3368">
        <v>2025.0</v>
      </c>
      <c r="C3368" t="s">
        <v>315</v>
      </c>
      <c r="D3368" t="s">
        <v>316</v>
      </c>
      <c r="E3368" t="s">
        <v>219</v>
      </c>
      <c r="F3368" t="s">
        <v>306</v>
      </c>
      <c r="G3368" t="s">
        <v>11</v>
      </c>
      <c r="H3368">
        <v>4068.0</v>
      </c>
      <c r="I3368" t="s">
        <v>31</v>
      </c>
      <c r="J3368" t="s">
        <v>56</v>
      </c>
      <c r="K3368" t="s">
        <v>123</v>
      </c>
      <c r="L3368" t="s">
        <v>124</v>
      </c>
      <c r="M3368">
        <v>686.7199999999998</v>
      </c>
    </row>
    <row r="3369">
      <c r="A3369" s="2">
        <v>45981</v>
      </c>
      <c r="B3369">
        <v>2026.0</v>
      </c>
      <c r="C3369" t="s">
        <v>321</v>
      </c>
      <c r="D3369" t="s">
        <v>316</v>
      </c>
      <c r="E3369" t="s">
        <v>160</v>
      </c>
      <c r="F3369" t="s">
        <v>307</v>
      </c>
      <c r="G3369" t="s">
        <v>12</v>
      </c>
      <c r="H3369">
        <v>6280.0</v>
      </c>
      <c r="I3369" t="s">
        <v>31</v>
      </c>
      <c r="J3369" t="s">
        <v>162</v>
      </c>
      <c r="K3369" t="s">
        <v>123</v>
      </c>
      <c r="L3369" t="s">
        <v>124</v>
      </c>
      <c r="M3369">
        <v>686.9300000000001</v>
      </c>
    </row>
    <row r="3370">
      <c r="A3370" s="2">
        <v>45619</v>
      </c>
      <c r="B3370">
        <v>2025.0</v>
      </c>
      <c r="C3370" t="s">
        <v>315</v>
      </c>
      <c r="D3370" t="s">
        <v>319</v>
      </c>
      <c r="E3370" t="s">
        <v>177</v>
      </c>
      <c r="F3370" t="s">
        <v>307</v>
      </c>
      <c r="G3370" t="s">
        <v>12</v>
      </c>
      <c r="H3370">
        <v>6330.0</v>
      </c>
      <c r="I3370" t="s">
        <v>31</v>
      </c>
      <c r="J3370" t="s">
        <v>162</v>
      </c>
      <c r="K3370" t="s">
        <v>95</v>
      </c>
      <c r="L3370" t="s">
        <v>96</v>
      </c>
      <c r="M3370">
        <v>687.4599999999999</v>
      </c>
    </row>
    <row r="3371">
      <c r="A3371" s="2">
        <v>45391</v>
      </c>
      <c r="B3371">
        <v>2024.0</v>
      </c>
      <c r="C3371" t="s">
        <v>318</v>
      </c>
      <c r="D3371" t="s">
        <v>316</v>
      </c>
      <c r="E3371" t="s">
        <v>209</v>
      </c>
      <c r="F3371" t="s">
        <v>304</v>
      </c>
      <c r="G3371" t="s">
        <v>9</v>
      </c>
      <c r="H3371">
        <v>2116.0</v>
      </c>
      <c r="I3371" t="s">
        <v>31</v>
      </c>
      <c r="J3371" t="s">
        <v>81</v>
      </c>
      <c r="K3371" t="s">
        <v>43</v>
      </c>
      <c r="L3371" t="s">
        <v>44</v>
      </c>
      <c r="M3371">
        <v>688.07</v>
      </c>
    </row>
    <row r="3372">
      <c r="A3372" s="2">
        <v>45980</v>
      </c>
      <c r="B3372">
        <v>2026.0</v>
      </c>
      <c r="C3372" t="s">
        <v>321</v>
      </c>
      <c r="D3372" t="s">
        <v>316</v>
      </c>
      <c r="E3372" t="s">
        <v>221</v>
      </c>
      <c r="F3372" t="s">
        <v>306</v>
      </c>
      <c r="G3372" t="s">
        <v>11</v>
      </c>
      <c r="H3372">
        <v>4053.0</v>
      </c>
      <c r="I3372" t="s">
        <v>31</v>
      </c>
      <c r="J3372" t="s">
        <v>56</v>
      </c>
      <c r="K3372" t="s">
        <v>123</v>
      </c>
      <c r="L3372" t="s">
        <v>124</v>
      </c>
      <c r="M3372">
        <v>688.1500000000001</v>
      </c>
    </row>
    <row r="3373">
      <c r="A3373" s="2">
        <v>45448</v>
      </c>
      <c r="B3373">
        <v>2024.0</v>
      </c>
      <c r="C3373" t="s">
        <v>318</v>
      </c>
      <c r="D3373" t="s">
        <v>319</v>
      </c>
      <c r="E3373" t="s">
        <v>262</v>
      </c>
      <c r="F3373" t="s">
        <v>305</v>
      </c>
      <c r="G3373" t="s">
        <v>10</v>
      </c>
      <c r="H3373">
        <v>3018.0</v>
      </c>
      <c r="I3373" t="s">
        <v>31</v>
      </c>
      <c r="J3373" t="s">
        <v>120</v>
      </c>
      <c r="K3373" t="s">
        <v>112</v>
      </c>
      <c r="L3373" t="s">
        <v>113</v>
      </c>
      <c r="M3373">
        <v>690.1500000000001</v>
      </c>
    </row>
    <row r="3374">
      <c r="A3374" s="2">
        <v>45836</v>
      </c>
      <c r="B3374">
        <v>2025.0</v>
      </c>
      <c r="C3374" t="s">
        <v>315</v>
      </c>
      <c r="D3374" t="s">
        <v>316</v>
      </c>
      <c r="E3374" t="s">
        <v>225</v>
      </c>
      <c r="F3374" t="s">
        <v>308</v>
      </c>
      <c r="G3374" t="s">
        <v>13</v>
      </c>
      <c r="H3374">
        <v>5607.0</v>
      </c>
      <c r="I3374" t="s">
        <v>31</v>
      </c>
      <c r="J3374" t="s">
        <v>227</v>
      </c>
      <c r="K3374" t="s">
        <v>57</v>
      </c>
      <c r="L3374" t="s">
        <v>58</v>
      </c>
      <c r="M3374">
        <v>690.91</v>
      </c>
    </row>
    <row r="3375">
      <c r="A3375" s="2">
        <v>45699</v>
      </c>
      <c r="B3375">
        <v>2025.0</v>
      </c>
      <c r="C3375" t="s">
        <v>315</v>
      </c>
      <c r="D3375" t="s">
        <v>316</v>
      </c>
      <c r="E3375" t="s">
        <v>105</v>
      </c>
      <c r="F3375" t="s">
        <v>304</v>
      </c>
      <c r="G3375" t="s">
        <v>9</v>
      </c>
      <c r="H3375">
        <v>2541.0</v>
      </c>
      <c r="I3375" t="s">
        <v>31</v>
      </c>
      <c r="J3375" t="s">
        <v>107</v>
      </c>
      <c r="K3375" t="s">
        <v>38</v>
      </c>
      <c r="L3375" t="s">
        <v>39</v>
      </c>
      <c r="M3375">
        <v>692.31</v>
      </c>
    </row>
    <row r="3376">
      <c r="A3376" s="2">
        <v>45916</v>
      </c>
      <c r="B3376">
        <v>2026.0</v>
      </c>
      <c r="C3376" t="s">
        <v>321</v>
      </c>
      <c r="D3376" t="s">
        <v>319</v>
      </c>
      <c r="E3376" t="s">
        <v>92</v>
      </c>
      <c r="F3376" t="s">
        <v>305</v>
      </c>
      <c r="G3376" t="s">
        <v>10</v>
      </c>
      <c r="H3376">
        <v>3690.0</v>
      </c>
      <c r="I3376" t="s">
        <v>31</v>
      </c>
      <c r="J3376" t="s">
        <v>94</v>
      </c>
      <c r="K3376" t="s">
        <v>71</v>
      </c>
      <c r="L3376" t="s">
        <v>72</v>
      </c>
      <c r="M3376">
        <v>693.95</v>
      </c>
    </row>
    <row r="3377">
      <c r="A3377" s="2">
        <v>45514</v>
      </c>
      <c r="B3377">
        <v>2025.0</v>
      </c>
      <c r="C3377" t="s">
        <v>315</v>
      </c>
      <c r="D3377" t="s">
        <v>316</v>
      </c>
      <c r="E3377" t="s">
        <v>211</v>
      </c>
      <c r="F3377" t="s">
        <v>304</v>
      </c>
      <c r="G3377" t="s">
        <v>9</v>
      </c>
      <c r="H3377">
        <v>2650.0</v>
      </c>
      <c r="I3377" t="s">
        <v>31</v>
      </c>
      <c r="J3377" t="s">
        <v>75</v>
      </c>
      <c r="K3377" t="s">
        <v>38</v>
      </c>
      <c r="L3377" t="s">
        <v>39</v>
      </c>
      <c r="M3377">
        <v>694.9799999999999</v>
      </c>
    </row>
    <row r="3378">
      <c r="A3378" s="2">
        <v>45442</v>
      </c>
      <c r="B3378">
        <v>2024.0</v>
      </c>
      <c r="C3378" t="s">
        <v>318</v>
      </c>
      <c r="D3378" t="s">
        <v>316</v>
      </c>
      <c r="E3378" t="s">
        <v>139</v>
      </c>
      <c r="F3378" t="s">
        <v>305</v>
      </c>
      <c r="G3378" t="s">
        <v>10</v>
      </c>
      <c r="H3378">
        <v>3199.0</v>
      </c>
      <c r="I3378" t="s">
        <v>31</v>
      </c>
      <c r="J3378" t="s">
        <v>89</v>
      </c>
      <c r="K3378" t="s">
        <v>112</v>
      </c>
      <c r="L3378" t="s">
        <v>113</v>
      </c>
      <c r="M3378">
        <v>695.35</v>
      </c>
    </row>
    <row r="3379">
      <c r="A3379" s="2">
        <v>45553</v>
      </c>
      <c r="B3379">
        <v>2025.0</v>
      </c>
      <c r="C3379" t="s">
        <v>315</v>
      </c>
      <c r="D3379" t="s">
        <v>319</v>
      </c>
      <c r="E3379" t="s">
        <v>85</v>
      </c>
      <c r="F3379" t="s">
        <v>304</v>
      </c>
      <c r="G3379" t="s">
        <v>9</v>
      </c>
      <c r="H3379">
        <v>2120.0</v>
      </c>
      <c r="I3379" t="s">
        <v>31</v>
      </c>
      <c r="J3379" t="s">
        <v>81</v>
      </c>
      <c r="K3379" t="s">
        <v>33</v>
      </c>
      <c r="L3379" t="s">
        <v>34</v>
      </c>
      <c r="M3379">
        <v>695.35</v>
      </c>
    </row>
    <row r="3380">
      <c r="A3380" s="2">
        <v>45890</v>
      </c>
      <c r="B3380">
        <v>2026.0</v>
      </c>
      <c r="C3380" t="s">
        <v>321</v>
      </c>
      <c r="D3380" t="s">
        <v>319</v>
      </c>
      <c r="E3380" t="s">
        <v>116</v>
      </c>
      <c r="F3380" t="s">
        <v>304</v>
      </c>
      <c r="G3380" t="s">
        <v>9</v>
      </c>
      <c r="H3380">
        <v>2485.0</v>
      </c>
      <c r="I3380" t="s">
        <v>31</v>
      </c>
      <c r="J3380" t="s">
        <v>70</v>
      </c>
      <c r="K3380" t="s">
        <v>71</v>
      </c>
      <c r="L3380" t="s">
        <v>72</v>
      </c>
      <c r="M3380">
        <v>696.71</v>
      </c>
    </row>
    <row r="3381">
      <c r="A3381" s="2">
        <v>45856</v>
      </c>
      <c r="B3381">
        <v>2026.0</v>
      </c>
      <c r="C3381" t="s">
        <v>321</v>
      </c>
      <c r="D3381" t="s">
        <v>316</v>
      </c>
      <c r="E3381" t="s">
        <v>262</v>
      </c>
      <c r="F3381" t="s">
        <v>305</v>
      </c>
      <c r="G3381" t="s">
        <v>10</v>
      </c>
      <c r="H3381">
        <v>3018.0</v>
      </c>
      <c r="I3381" t="s">
        <v>31</v>
      </c>
      <c r="J3381" t="s">
        <v>120</v>
      </c>
      <c r="K3381" t="s">
        <v>43</v>
      </c>
      <c r="L3381" t="s">
        <v>44</v>
      </c>
      <c r="M3381">
        <v>698.61</v>
      </c>
    </row>
    <row r="3382">
      <c r="A3382" s="2">
        <v>45944</v>
      </c>
      <c r="B3382">
        <v>2026.0</v>
      </c>
      <c r="C3382" t="s">
        <v>321</v>
      </c>
      <c r="D3382" t="s">
        <v>316</v>
      </c>
      <c r="E3382" t="s">
        <v>246</v>
      </c>
      <c r="F3382" t="s">
        <v>305</v>
      </c>
      <c r="G3382" t="s">
        <v>10</v>
      </c>
      <c r="H3382">
        <v>3551.0</v>
      </c>
      <c r="I3382" t="s">
        <v>31</v>
      </c>
      <c r="J3382" t="s">
        <v>37</v>
      </c>
      <c r="K3382" t="s">
        <v>71</v>
      </c>
      <c r="L3382" t="s">
        <v>72</v>
      </c>
      <c r="M3382">
        <v>698.73</v>
      </c>
    </row>
    <row r="3383">
      <c r="A3383" s="2">
        <v>45786</v>
      </c>
      <c r="B3383">
        <v>2025.0</v>
      </c>
      <c r="C3383" t="s">
        <v>315</v>
      </c>
      <c r="D3383" t="s">
        <v>316</v>
      </c>
      <c r="E3383" t="s">
        <v>171</v>
      </c>
      <c r="F3383" t="s">
        <v>305</v>
      </c>
      <c r="G3383" t="s">
        <v>10</v>
      </c>
      <c r="H3383">
        <v>3500.0</v>
      </c>
      <c r="I3383" t="s">
        <v>31</v>
      </c>
      <c r="J3383" t="s">
        <v>37</v>
      </c>
      <c r="K3383" t="s">
        <v>57</v>
      </c>
      <c r="L3383" t="s">
        <v>58</v>
      </c>
      <c r="M3383">
        <v>698.73</v>
      </c>
    </row>
    <row r="3384">
      <c r="A3384" s="2">
        <v>46017</v>
      </c>
      <c r="B3384">
        <v>2026.0</v>
      </c>
      <c r="C3384" t="s">
        <v>321</v>
      </c>
      <c r="D3384" t="s">
        <v>316</v>
      </c>
      <c r="E3384" t="s">
        <v>187</v>
      </c>
      <c r="F3384" t="s">
        <v>306</v>
      </c>
      <c r="G3384" t="s">
        <v>11</v>
      </c>
      <c r="H3384">
        <v>4870.0</v>
      </c>
      <c r="I3384" t="s">
        <v>31</v>
      </c>
      <c r="J3384" t="s">
        <v>78</v>
      </c>
      <c r="K3384" t="s">
        <v>57</v>
      </c>
      <c r="L3384" t="s">
        <v>58</v>
      </c>
      <c r="M3384">
        <v>699.1500000000001</v>
      </c>
    </row>
    <row r="3385">
      <c r="A3385" s="2">
        <v>45597</v>
      </c>
      <c r="B3385">
        <v>2025.0</v>
      </c>
      <c r="C3385" t="s">
        <v>315</v>
      </c>
      <c r="D3385" t="s">
        <v>316</v>
      </c>
      <c r="E3385" t="s">
        <v>154</v>
      </c>
      <c r="F3385" t="s">
        <v>306</v>
      </c>
      <c r="G3385" t="s">
        <v>11</v>
      </c>
      <c r="H3385">
        <v>4551.0</v>
      </c>
      <c r="I3385" t="s">
        <v>31</v>
      </c>
      <c r="J3385" t="s">
        <v>84</v>
      </c>
      <c r="K3385" t="s">
        <v>43</v>
      </c>
      <c r="L3385" t="s">
        <v>44</v>
      </c>
      <c r="M3385">
        <v>699.9499999999999</v>
      </c>
    </row>
    <row r="3386">
      <c r="A3386" s="2">
        <v>45508</v>
      </c>
      <c r="B3386">
        <v>2025.0</v>
      </c>
      <c r="C3386" t="s">
        <v>315</v>
      </c>
      <c r="D3386" t="s">
        <v>316</v>
      </c>
      <c r="E3386" t="s">
        <v>264</v>
      </c>
      <c r="F3386" t="s">
        <v>308</v>
      </c>
      <c r="G3386" t="s">
        <v>13</v>
      </c>
      <c r="H3386">
        <v>5043.0</v>
      </c>
      <c r="I3386" t="s">
        <v>31</v>
      </c>
      <c r="J3386" t="s">
        <v>42</v>
      </c>
      <c r="K3386" t="s">
        <v>57</v>
      </c>
      <c r="L3386" t="s">
        <v>58</v>
      </c>
      <c r="M3386">
        <v>700.16</v>
      </c>
    </row>
    <row r="3387">
      <c r="A3387" s="2">
        <v>45711</v>
      </c>
      <c r="B3387">
        <v>2025.0</v>
      </c>
      <c r="C3387" t="s">
        <v>315</v>
      </c>
      <c r="D3387" t="s">
        <v>316</v>
      </c>
      <c r="E3387" t="s">
        <v>97</v>
      </c>
      <c r="F3387" t="s">
        <v>304</v>
      </c>
      <c r="G3387" t="s">
        <v>9</v>
      </c>
      <c r="H3387">
        <v>2067.0</v>
      </c>
      <c r="I3387" t="s">
        <v>31</v>
      </c>
      <c r="J3387" t="s">
        <v>99</v>
      </c>
      <c r="K3387" t="s">
        <v>43</v>
      </c>
      <c r="L3387" t="s">
        <v>44</v>
      </c>
      <c r="M3387">
        <v>700.3799999999999</v>
      </c>
    </row>
    <row r="3388">
      <c r="A3388" s="2">
        <v>45488</v>
      </c>
      <c r="B3388">
        <v>2025.0</v>
      </c>
      <c r="C3388" t="s">
        <v>315</v>
      </c>
      <c r="D3388" t="s">
        <v>316</v>
      </c>
      <c r="E3388" t="s">
        <v>105</v>
      </c>
      <c r="F3388" t="s">
        <v>304</v>
      </c>
      <c r="G3388" t="s">
        <v>9</v>
      </c>
      <c r="H3388">
        <v>2541.0</v>
      </c>
      <c r="I3388" t="s">
        <v>31</v>
      </c>
      <c r="J3388" t="s">
        <v>107</v>
      </c>
      <c r="K3388" t="s">
        <v>123</v>
      </c>
      <c r="L3388" t="s">
        <v>124</v>
      </c>
      <c r="M3388">
        <v>701.1499999999999</v>
      </c>
    </row>
    <row r="3389">
      <c r="A3389" s="2">
        <v>45333</v>
      </c>
      <c r="B3389">
        <v>2024.0</v>
      </c>
      <c r="C3389" t="s">
        <v>318</v>
      </c>
      <c r="D3389" t="s">
        <v>316</v>
      </c>
      <c r="E3389" t="s">
        <v>183</v>
      </c>
      <c r="F3389" t="s">
        <v>304</v>
      </c>
      <c r="G3389" t="s">
        <v>9</v>
      </c>
      <c r="H3389">
        <v>2480.0</v>
      </c>
      <c r="I3389" t="s">
        <v>31</v>
      </c>
      <c r="J3389" t="s">
        <v>70</v>
      </c>
      <c r="K3389" t="s">
        <v>123</v>
      </c>
      <c r="L3389" t="s">
        <v>124</v>
      </c>
      <c r="M3389">
        <v>701.6700000000001</v>
      </c>
    </row>
    <row r="3390">
      <c r="A3390" s="2">
        <v>45518</v>
      </c>
      <c r="B3390">
        <v>2025.0</v>
      </c>
      <c r="C3390" t="s">
        <v>315</v>
      </c>
      <c r="D3390" t="s">
        <v>316</v>
      </c>
      <c r="E3390" t="s">
        <v>48</v>
      </c>
      <c r="F3390" t="s">
        <v>307</v>
      </c>
      <c r="G3390" t="s">
        <v>12</v>
      </c>
      <c r="H3390">
        <v>6725.0</v>
      </c>
      <c r="I3390" t="s">
        <v>31</v>
      </c>
      <c r="J3390" t="s">
        <v>50</v>
      </c>
      <c r="K3390" t="s">
        <v>95</v>
      </c>
      <c r="L3390" t="s">
        <v>96</v>
      </c>
      <c r="M3390">
        <v>702.3299999999999</v>
      </c>
    </row>
    <row r="3391">
      <c r="A3391" s="2">
        <v>45980</v>
      </c>
      <c r="B3391">
        <v>2026.0</v>
      </c>
      <c r="C3391" t="s">
        <v>321</v>
      </c>
      <c r="D3391" t="s">
        <v>319</v>
      </c>
      <c r="E3391" t="s">
        <v>250</v>
      </c>
      <c r="F3391" t="s">
        <v>305</v>
      </c>
      <c r="G3391" t="s">
        <v>10</v>
      </c>
      <c r="H3391">
        <v>3550.0</v>
      </c>
      <c r="I3391" t="s">
        <v>31</v>
      </c>
      <c r="J3391" t="s">
        <v>37</v>
      </c>
      <c r="K3391" t="s">
        <v>43</v>
      </c>
      <c r="L3391" t="s">
        <v>44</v>
      </c>
      <c r="M3391">
        <v>702.54</v>
      </c>
    </row>
    <row r="3392">
      <c r="A3392" s="2">
        <v>45323</v>
      </c>
      <c r="B3392">
        <v>2024.0</v>
      </c>
      <c r="C3392" t="s">
        <v>318</v>
      </c>
      <c r="D3392" t="s">
        <v>316</v>
      </c>
      <c r="E3392" t="s">
        <v>185</v>
      </c>
      <c r="F3392" t="s">
        <v>307</v>
      </c>
      <c r="G3392" t="s">
        <v>12</v>
      </c>
      <c r="H3392">
        <v>6109.0</v>
      </c>
      <c r="I3392" t="s">
        <v>31</v>
      </c>
      <c r="J3392" t="s">
        <v>162</v>
      </c>
      <c r="K3392" t="s">
        <v>95</v>
      </c>
      <c r="L3392" t="s">
        <v>96</v>
      </c>
      <c r="M3392">
        <v>703.34</v>
      </c>
    </row>
    <row r="3393">
      <c r="A3393" s="2">
        <v>45920</v>
      </c>
      <c r="B3393">
        <v>2026.0</v>
      </c>
      <c r="C3393" t="s">
        <v>321</v>
      </c>
      <c r="D3393" t="s">
        <v>316</v>
      </c>
      <c r="E3393" t="s">
        <v>213</v>
      </c>
      <c r="F3393" t="s">
        <v>306</v>
      </c>
      <c r="G3393" t="s">
        <v>11</v>
      </c>
      <c r="H3393">
        <v>4740.0</v>
      </c>
      <c r="I3393" t="s">
        <v>31</v>
      </c>
      <c r="J3393" t="s">
        <v>32</v>
      </c>
      <c r="K3393" t="s">
        <v>71</v>
      </c>
      <c r="L3393" t="s">
        <v>72</v>
      </c>
      <c r="M3393">
        <v>704.46</v>
      </c>
    </row>
    <row r="3394">
      <c r="A3394" s="2">
        <v>45802</v>
      </c>
      <c r="B3394">
        <v>2025.0</v>
      </c>
      <c r="C3394" t="s">
        <v>315</v>
      </c>
      <c r="D3394" t="s">
        <v>316</v>
      </c>
      <c r="E3394" t="s">
        <v>121</v>
      </c>
      <c r="F3394" t="s">
        <v>306</v>
      </c>
      <c r="G3394" t="s">
        <v>11</v>
      </c>
      <c r="H3394">
        <v>4566.0</v>
      </c>
      <c r="I3394" t="s">
        <v>31</v>
      </c>
      <c r="J3394" t="s">
        <v>84</v>
      </c>
      <c r="K3394" t="s">
        <v>33</v>
      </c>
      <c r="L3394" t="s">
        <v>34</v>
      </c>
      <c r="M3394">
        <v>705.05</v>
      </c>
    </row>
    <row r="3395">
      <c r="A3395" s="2">
        <v>45820</v>
      </c>
      <c r="B3395">
        <v>2025.0</v>
      </c>
      <c r="C3395" t="s">
        <v>315</v>
      </c>
      <c r="D3395" t="s">
        <v>319</v>
      </c>
      <c r="E3395" t="s">
        <v>92</v>
      </c>
      <c r="F3395" t="s">
        <v>305</v>
      </c>
      <c r="G3395" t="s">
        <v>10</v>
      </c>
      <c r="H3395">
        <v>3690.0</v>
      </c>
      <c r="I3395" t="s">
        <v>31</v>
      </c>
      <c r="J3395" t="s">
        <v>94</v>
      </c>
      <c r="K3395" t="s">
        <v>71</v>
      </c>
      <c r="L3395" t="s">
        <v>72</v>
      </c>
      <c r="M3395">
        <v>706.39</v>
      </c>
    </row>
    <row r="3396">
      <c r="A3396" s="2">
        <v>45698</v>
      </c>
      <c r="B3396">
        <v>2025.0</v>
      </c>
      <c r="C3396" t="s">
        <v>315</v>
      </c>
      <c r="D3396" t="s">
        <v>319</v>
      </c>
      <c r="E3396" t="s">
        <v>262</v>
      </c>
      <c r="F3396" t="s">
        <v>305</v>
      </c>
      <c r="G3396" t="s">
        <v>10</v>
      </c>
      <c r="H3396">
        <v>3018.0</v>
      </c>
      <c r="I3396" t="s">
        <v>31</v>
      </c>
      <c r="J3396" t="s">
        <v>120</v>
      </c>
      <c r="K3396" t="s">
        <v>38</v>
      </c>
      <c r="L3396" t="s">
        <v>39</v>
      </c>
      <c r="M3396">
        <v>706.49</v>
      </c>
    </row>
    <row r="3397">
      <c r="A3397" s="2">
        <v>45432</v>
      </c>
      <c r="B3397">
        <v>2024.0</v>
      </c>
      <c r="C3397" t="s">
        <v>318</v>
      </c>
      <c r="D3397" t="s">
        <v>319</v>
      </c>
      <c r="E3397" t="s">
        <v>127</v>
      </c>
      <c r="F3397" t="s">
        <v>306</v>
      </c>
      <c r="G3397" t="s">
        <v>11</v>
      </c>
      <c r="H3397">
        <v>4802.0</v>
      </c>
      <c r="I3397" t="s">
        <v>31</v>
      </c>
      <c r="J3397" t="s">
        <v>78</v>
      </c>
      <c r="K3397" t="s">
        <v>95</v>
      </c>
      <c r="L3397" t="s">
        <v>96</v>
      </c>
      <c r="M3397">
        <v>710.89</v>
      </c>
    </row>
    <row r="3398">
      <c r="A3398" s="2">
        <v>45541</v>
      </c>
      <c r="B3398">
        <v>2025.0</v>
      </c>
      <c r="C3398" t="s">
        <v>315</v>
      </c>
      <c r="D3398" t="s">
        <v>316</v>
      </c>
      <c r="E3398" t="s">
        <v>62</v>
      </c>
      <c r="F3398" t="s">
        <v>307</v>
      </c>
      <c r="G3398" t="s">
        <v>12</v>
      </c>
      <c r="H3398">
        <v>6530.0</v>
      </c>
      <c r="I3398" t="s">
        <v>31</v>
      </c>
      <c r="J3398" t="s">
        <v>50</v>
      </c>
      <c r="K3398" t="s">
        <v>38</v>
      </c>
      <c r="L3398" t="s">
        <v>39</v>
      </c>
      <c r="M3398">
        <v>715.0</v>
      </c>
    </row>
    <row r="3399">
      <c r="A3399" s="2">
        <v>45562</v>
      </c>
      <c r="B3399">
        <v>2025.0</v>
      </c>
      <c r="C3399" t="s">
        <v>315</v>
      </c>
      <c r="D3399" t="s">
        <v>316</v>
      </c>
      <c r="E3399" t="s">
        <v>137</v>
      </c>
      <c r="F3399" t="s">
        <v>305</v>
      </c>
      <c r="G3399" t="s">
        <v>10</v>
      </c>
      <c r="H3399">
        <v>3134.0</v>
      </c>
      <c r="I3399" t="s">
        <v>31</v>
      </c>
      <c r="J3399" t="s">
        <v>89</v>
      </c>
      <c r="K3399" t="s">
        <v>95</v>
      </c>
      <c r="L3399" t="s">
        <v>96</v>
      </c>
      <c r="M3399">
        <v>715.37</v>
      </c>
    </row>
    <row r="3400">
      <c r="A3400" s="2">
        <v>45346</v>
      </c>
      <c r="B3400">
        <v>2024.0</v>
      </c>
      <c r="C3400" t="s">
        <v>318</v>
      </c>
      <c r="D3400" t="s">
        <v>316</v>
      </c>
      <c r="E3400" t="s">
        <v>209</v>
      </c>
      <c r="F3400" t="s">
        <v>304</v>
      </c>
      <c r="G3400" t="s">
        <v>9</v>
      </c>
      <c r="H3400">
        <v>2116.0</v>
      </c>
      <c r="I3400" t="s">
        <v>31</v>
      </c>
      <c r="J3400" t="s">
        <v>81</v>
      </c>
      <c r="K3400" t="s">
        <v>123</v>
      </c>
      <c r="L3400" t="s">
        <v>124</v>
      </c>
      <c r="M3400">
        <v>715.6199999999999</v>
      </c>
    </row>
    <row r="3401">
      <c r="A3401" s="2">
        <v>45905</v>
      </c>
      <c r="B3401">
        <v>2026.0</v>
      </c>
      <c r="C3401" t="s">
        <v>321</v>
      </c>
      <c r="D3401" t="s">
        <v>319</v>
      </c>
      <c r="E3401" t="s">
        <v>250</v>
      </c>
      <c r="F3401" t="s">
        <v>305</v>
      </c>
      <c r="G3401" t="s">
        <v>10</v>
      </c>
      <c r="H3401">
        <v>3550.0</v>
      </c>
      <c r="I3401" t="s">
        <v>31</v>
      </c>
      <c r="J3401" t="s">
        <v>37</v>
      </c>
      <c r="K3401" t="s">
        <v>57</v>
      </c>
      <c r="L3401" t="s">
        <v>58</v>
      </c>
      <c r="M3401">
        <v>715.88</v>
      </c>
    </row>
    <row r="3402">
      <c r="A3402" s="2">
        <v>45338</v>
      </c>
      <c r="B3402">
        <v>2024.0</v>
      </c>
      <c r="C3402" t="s">
        <v>318</v>
      </c>
      <c r="D3402" t="s">
        <v>316</v>
      </c>
      <c r="E3402" t="s">
        <v>29</v>
      </c>
      <c r="F3402" t="s">
        <v>306</v>
      </c>
      <c r="G3402" t="s">
        <v>11</v>
      </c>
      <c r="H3402">
        <v>4703.0</v>
      </c>
      <c r="I3402" t="s">
        <v>31</v>
      </c>
      <c r="J3402" t="s">
        <v>32</v>
      </c>
      <c r="K3402" t="s">
        <v>46</v>
      </c>
      <c r="L3402" t="s">
        <v>47</v>
      </c>
      <c r="M3402">
        <v>716.45</v>
      </c>
    </row>
    <row r="3403">
      <c r="A3403" s="2">
        <v>45579</v>
      </c>
      <c r="B3403">
        <v>2025.0</v>
      </c>
      <c r="C3403" t="s">
        <v>315</v>
      </c>
      <c r="D3403" t="s">
        <v>316</v>
      </c>
      <c r="E3403" t="s">
        <v>160</v>
      </c>
      <c r="F3403" t="s">
        <v>307</v>
      </c>
      <c r="G3403" t="s">
        <v>12</v>
      </c>
      <c r="H3403">
        <v>6280.0</v>
      </c>
      <c r="I3403" t="s">
        <v>31</v>
      </c>
      <c r="J3403" t="s">
        <v>162</v>
      </c>
      <c r="K3403" t="s">
        <v>123</v>
      </c>
      <c r="L3403" t="s">
        <v>124</v>
      </c>
      <c r="M3403">
        <v>716.6700000000001</v>
      </c>
    </row>
    <row r="3404">
      <c r="A3404" s="2">
        <v>45829</v>
      </c>
      <c r="B3404">
        <v>2025.0</v>
      </c>
      <c r="C3404" t="s">
        <v>315</v>
      </c>
      <c r="D3404" t="s">
        <v>316</v>
      </c>
      <c r="E3404" t="s">
        <v>199</v>
      </c>
      <c r="F3404" t="s">
        <v>308</v>
      </c>
      <c r="G3404" t="s">
        <v>13</v>
      </c>
      <c r="H3404">
        <v>5169.0</v>
      </c>
      <c r="I3404" t="s">
        <v>31</v>
      </c>
      <c r="J3404" t="s">
        <v>42</v>
      </c>
      <c r="K3404" t="s">
        <v>71</v>
      </c>
      <c r="L3404" t="s">
        <v>72</v>
      </c>
      <c r="M3404">
        <v>717.45</v>
      </c>
    </row>
    <row r="3405">
      <c r="A3405" s="2">
        <v>45666</v>
      </c>
      <c r="B3405">
        <v>2025.0</v>
      </c>
      <c r="C3405" t="s">
        <v>315</v>
      </c>
      <c r="D3405" t="s">
        <v>316</v>
      </c>
      <c r="E3405" t="s">
        <v>264</v>
      </c>
      <c r="F3405" t="s">
        <v>308</v>
      </c>
      <c r="G3405" t="s">
        <v>13</v>
      </c>
      <c r="H3405">
        <v>5043.0</v>
      </c>
      <c r="I3405" t="s">
        <v>31</v>
      </c>
      <c r="J3405" t="s">
        <v>42</v>
      </c>
      <c r="K3405" t="s">
        <v>57</v>
      </c>
      <c r="L3405" t="s">
        <v>58</v>
      </c>
      <c r="M3405">
        <v>718.24</v>
      </c>
    </row>
    <row r="3406">
      <c r="A3406" s="2">
        <v>45626</v>
      </c>
      <c r="B3406">
        <v>2025.0</v>
      </c>
      <c r="C3406" t="s">
        <v>315</v>
      </c>
      <c r="D3406" t="s">
        <v>319</v>
      </c>
      <c r="E3406" t="s">
        <v>256</v>
      </c>
      <c r="F3406" t="s">
        <v>304</v>
      </c>
      <c r="G3406" t="s">
        <v>9</v>
      </c>
      <c r="H3406">
        <v>2350.0</v>
      </c>
      <c r="I3406" t="s">
        <v>31</v>
      </c>
      <c r="J3406" t="s">
        <v>70</v>
      </c>
      <c r="K3406" t="s">
        <v>43</v>
      </c>
      <c r="L3406" t="s">
        <v>44</v>
      </c>
      <c r="M3406">
        <v>721.0199999999999</v>
      </c>
    </row>
    <row r="3407">
      <c r="A3407" s="2">
        <v>45514</v>
      </c>
      <c r="B3407">
        <v>2025.0</v>
      </c>
      <c r="C3407" t="s">
        <v>315</v>
      </c>
      <c r="D3407" t="s">
        <v>316</v>
      </c>
      <c r="E3407" t="s">
        <v>225</v>
      </c>
      <c r="F3407" t="s">
        <v>308</v>
      </c>
      <c r="G3407" t="s">
        <v>13</v>
      </c>
      <c r="H3407">
        <v>5607.0</v>
      </c>
      <c r="I3407" t="s">
        <v>31</v>
      </c>
      <c r="J3407" t="s">
        <v>227</v>
      </c>
      <c r="K3407" t="s">
        <v>95</v>
      </c>
      <c r="L3407" t="s">
        <v>96</v>
      </c>
      <c r="M3407">
        <v>721.04</v>
      </c>
    </row>
    <row r="3408">
      <c r="A3408" s="2">
        <v>45846</v>
      </c>
      <c r="B3408">
        <v>2026.0</v>
      </c>
      <c r="C3408" t="s">
        <v>321</v>
      </c>
      <c r="D3408" t="s">
        <v>316</v>
      </c>
      <c r="E3408" t="s">
        <v>163</v>
      </c>
      <c r="F3408" t="s">
        <v>304</v>
      </c>
      <c r="G3408" t="s">
        <v>9</v>
      </c>
      <c r="H3408">
        <v>2154.0</v>
      </c>
      <c r="I3408" t="s">
        <v>31</v>
      </c>
      <c r="J3408" t="s">
        <v>81</v>
      </c>
      <c r="K3408" t="s">
        <v>43</v>
      </c>
      <c r="L3408" t="s">
        <v>44</v>
      </c>
      <c r="M3408">
        <v>721.23</v>
      </c>
    </row>
    <row r="3409">
      <c r="A3409" s="2">
        <v>45504</v>
      </c>
      <c r="B3409">
        <v>2025.0</v>
      </c>
      <c r="C3409" t="s">
        <v>315</v>
      </c>
      <c r="D3409" t="s">
        <v>316</v>
      </c>
      <c r="E3409" t="s">
        <v>232</v>
      </c>
      <c r="F3409" t="s">
        <v>304</v>
      </c>
      <c r="G3409" t="s">
        <v>9</v>
      </c>
      <c r="H3409">
        <v>2800.0</v>
      </c>
      <c r="I3409" t="s">
        <v>31</v>
      </c>
      <c r="J3409" t="s">
        <v>75</v>
      </c>
      <c r="K3409" t="s">
        <v>71</v>
      </c>
      <c r="L3409" t="s">
        <v>72</v>
      </c>
      <c r="M3409">
        <v>721.4000000000001</v>
      </c>
    </row>
    <row r="3410">
      <c r="A3410" s="2">
        <v>45453</v>
      </c>
      <c r="B3410">
        <v>2024.0</v>
      </c>
      <c r="C3410" t="s">
        <v>318</v>
      </c>
      <c r="D3410" t="s">
        <v>316</v>
      </c>
      <c r="E3410" t="s">
        <v>105</v>
      </c>
      <c r="F3410" t="s">
        <v>304</v>
      </c>
      <c r="G3410" t="s">
        <v>9</v>
      </c>
      <c r="H3410">
        <v>2541.0</v>
      </c>
      <c r="I3410" t="s">
        <v>31</v>
      </c>
      <c r="J3410" t="s">
        <v>107</v>
      </c>
      <c r="K3410" t="s">
        <v>43</v>
      </c>
      <c r="L3410" t="s">
        <v>44</v>
      </c>
      <c r="M3410">
        <v>721.7</v>
      </c>
    </row>
    <row r="3411">
      <c r="A3411" s="2">
        <v>45581</v>
      </c>
      <c r="B3411">
        <v>2025.0</v>
      </c>
      <c r="C3411" t="s">
        <v>315</v>
      </c>
      <c r="D3411" t="s">
        <v>316</v>
      </c>
      <c r="E3411" t="s">
        <v>171</v>
      </c>
      <c r="F3411" t="s">
        <v>305</v>
      </c>
      <c r="G3411" t="s">
        <v>10</v>
      </c>
      <c r="H3411">
        <v>3500.0</v>
      </c>
      <c r="I3411" t="s">
        <v>31</v>
      </c>
      <c r="J3411" t="s">
        <v>37</v>
      </c>
      <c r="K3411" t="s">
        <v>71</v>
      </c>
      <c r="L3411" t="s">
        <v>72</v>
      </c>
      <c r="M3411">
        <v>722.3299999999999</v>
      </c>
    </row>
    <row r="3412">
      <c r="A3412" s="2">
        <v>45708</v>
      </c>
      <c r="B3412">
        <v>2025.0</v>
      </c>
      <c r="C3412" t="s">
        <v>315</v>
      </c>
      <c r="D3412" t="s">
        <v>316</v>
      </c>
      <c r="E3412" t="s">
        <v>207</v>
      </c>
      <c r="F3412" t="s">
        <v>306</v>
      </c>
      <c r="G3412" t="s">
        <v>11</v>
      </c>
      <c r="H3412">
        <v>4825.0</v>
      </c>
      <c r="I3412" t="s">
        <v>31</v>
      </c>
      <c r="J3412" t="s">
        <v>78</v>
      </c>
      <c r="K3412" t="s">
        <v>57</v>
      </c>
      <c r="L3412" t="s">
        <v>58</v>
      </c>
      <c r="M3412">
        <v>723.5300000000001</v>
      </c>
    </row>
    <row r="3413">
      <c r="A3413" s="2">
        <v>45557</v>
      </c>
      <c r="B3413">
        <v>2025.0</v>
      </c>
      <c r="C3413" t="s">
        <v>315</v>
      </c>
      <c r="D3413" t="s">
        <v>316</v>
      </c>
      <c r="E3413" t="s">
        <v>244</v>
      </c>
      <c r="F3413" t="s">
        <v>308</v>
      </c>
      <c r="G3413" t="s">
        <v>13</v>
      </c>
      <c r="H3413">
        <v>5168.0</v>
      </c>
      <c r="I3413" t="s">
        <v>31</v>
      </c>
      <c r="J3413" t="s">
        <v>42</v>
      </c>
      <c r="K3413" t="s">
        <v>33</v>
      </c>
      <c r="L3413" t="s">
        <v>34</v>
      </c>
      <c r="M3413">
        <v>724.4</v>
      </c>
    </row>
    <row r="3414">
      <c r="A3414" s="2">
        <v>45728</v>
      </c>
      <c r="B3414">
        <v>2025.0</v>
      </c>
      <c r="C3414" t="s">
        <v>315</v>
      </c>
      <c r="D3414" t="s">
        <v>316</v>
      </c>
      <c r="E3414" t="s">
        <v>150</v>
      </c>
      <c r="F3414" t="s">
        <v>310</v>
      </c>
      <c r="G3414" t="s">
        <v>15</v>
      </c>
      <c r="H3414">
        <v>7250.0</v>
      </c>
      <c r="I3414" t="s">
        <v>31</v>
      </c>
      <c r="J3414" t="s">
        <v>53</v>
      </c>
      <c r="K3414" t="s">
        <v>71</v>
      </c>
      <c r="L3414" t="s">
        <v>72</v>
      </c>
      <c r="M3414">
        <v>724.6600000000001</v>
      </c>
    </row>
    <row r="3415">
      <c r="A3415" s="2">
        <v>45932</v>
      </c>
      <c r="B3415">
        <v>2026.0</v>
      </c>
      <c r="C3415" t="s">
        <v>321</v>
      </c>
      <c r="D3415" t="s">
        <v>316</v>
      </c>
      <c r="E3415" t="s">
        <v>256</v>
      </c>
      <c r="F3415" t="s">
        <v>304</v>
      </c>
      <c r="G3415" t="s">
        <v>9</v>
      </c>
      <c r="H3415">
        <v>2350.0</v>
      </c>
      <c r="I3415" t="s">
        <v>31</v>
      </c>
      <c r="J3415" t="s">
        <v>70</v>
      </c>
      <c r="K3415" t="s">
        <v>123</v>
      </c>
      <c r="L3415" t="s">
        <v>124</v>
      </c>
      <c r="M3415">
        <v>724.6799999999998</v>
      </c>
    </row>
    <row r="3416">
      <c r="A3416" s="2">
        <v>45950</v>
      </c>
      <c r="B3416">
        <v>2026.0</v>
      </c>
      <c r="C3416" t="s">
        <v>321</v>
      </c>
      <c r="D3416" t="s">
        <v>316</v>
      </c>
      <c r="E3416" t="s">
        <v>152</v>
      </c>
      <c r="F3416" t="s">
        <v>306</v>
      </c>
      <c r="G3416" t="s">
        <v>11</v>
      </c>
      <c r="H3416">
        <v>4305.0</v>
      </c>
      <c r="I3416" t="s">
        <v>31</v>
      </c>
      <c r="J3416" t="s">
        <v>61</v>
      </c>
      <c r="K3416" t="s">
        <v>57</v>
      </c>
      <c r="L3416" t="s">
        <v>58</v>
      </c>
      <c r="M3416">
        <v>724.75</v>
      </c>
    </row>
    <row r="3417">
      <c r="A3417" s="2">
        <v>45904</v>
      </c>
      <c r="B3417">
        <v>2026.0</v>
      </c>
      <c r="C3417" t="s">
        <v>321</v>
      </c>
      <c r="D3417" t="s">
        <v>319</v>
      </c>
      <c r="E3417" t="s">
        <v>141</v>
      </c>
      <c r="F3417" t="s">
        <v>304</v>
      </c>
      <c r="G3417" t="s">
        <v>9</v>
      </c>
      <c r="H3417">
        <v>2539.0</v>
      </c>
      <c r="I3417" t="s">
        <v>31</v>
      </c>
      <c r="J3417" t="s">
        <v>107</v>
      </c>
      <c r="K3417" t="s">
        <v>95</v>
      </c>
      <c r="L3417" t="s">
        <v>96</v>
      </c>
      <c r="M3417">
        <v>726.35</v>
      </c>
    </row>
    <row r="3418">
      <c r="A3418" s="2">
        <v>45308</v>
      </c>
      <c r="B3418">
        <v>2024.0</v>
      </c>
      <c r="C3418" t="s">
        <v>318</v>
      </c>
      <c r="D3418" t="s">
        <v>316</v>
      </c>
      <c r="E3418" t="s">
        <v>139</v>
      </c>
      <c r="F3418" t="s">
        <v>305</v>
      </c>
      <c r="G3418" t="s">
        <v>10</v>
      </c>
      <c r="H3418">
        <v>3199.0</v>
      </c>
      <c r="I3418" t="s">
        <v>31</v>
      </c>
      <c r="J3418" t="s">
        <v>89</v>
      </c>
      <c r="K3418" t="s">
        <v>43</v>
      </c>
      <c r="L3418" t="s">
        <v>44</v>
      </c>
      <c r="M3418">
        <v>726.38</v>
      </c>
    </row>
    <row r="3419">
      <c r="A3419" s="2">
        <v>45699</v>
      </c>
      <c r="B3419">
        <v>2025.0</v>
      </c>
      <c r="C3419" t="s">
        <v>315</v>
      </c>
      <c r="D3419" t="s">
        <v>316</v>
      </c>
      <c r="E3419" t="s">
        <v>108</v>
      </c>
      <c r="F3419" t="s">
        <v>304</v>
      </c>
      <c r="G3419" t="s">
        <v>9</v>
      </c>
      <c r="H3419">
        <v>2795.0</v>
      </c>
      <c r="I3419" t="s">
        <v>31</v>
      </c>
      <c r="J3419" t="s">
        <v>75</v>
      </c>
      <c r="K3419" t="s">
        <v>123</v>
      </c>
      <c r="L3419" t="s">
        <v>124</v>
      </c>
      <c r="M3419">
        <v>727.3299999999998</v>
      </c>
    </row>
    <row r="3420">
      <c r="A3420" s="2">
        <v>45355</v>
      </c>
      <c r="B3420">
        <v>2024.0</v>
      </c>
      <c r="C3420" t="s">
        <v>318</v>
      </c>
      <c r="D3420" t="s">
        <v>316</v>
      </c>
      <c r="E3420" t="s">
        <v>156</v>
      </c>
      <c r="F3420" t="s">
        <v>304</v>
      </c>
      <c r="G3420" t="s">
        <v>9</v>
      </c>
      <c r="H3420">
        <v>2830.0</v>
      </c>
      <c r="I3420" t="s">
        <v>31</v>
      </c>
      <c r="J3420" t="s">
        <v>75</v>
      </c>
      <c r="K3420" t="s">
        <v>71</v>
      </c>
      <c r="L3420" t="s">
        <v>72</v>
      </c>
      <c r="M3420">
        <v>728.1600000000001</v>
      </c>
    </row>
    <row r="3421">
      <c r="A3421" s="2">
        <v>45385</v>
      </c>
      <c r="B3421">
        <v>2024.0</v>
      </c>
      <c r="C3421" t="s">
        <v>318</v>
      </c>
      <c r="D3421" t="s">
        <v>316</v>
      </c>
      <c r="E3421" t="s">
        <v>197</v>
      </c>
      <c r="F3421" t="s">
        <v>304</v>
      </c>
      <c r="G3421" t="s">
        <v>9</v>
      </c>
      <c r="H3421">
        <v>2560.0</v>
      </c>
      <c r="I3421" t="s">
        <v>31</v>
      </c>
      <c r="J3421" t="s">
        <v>107</v>
      </c>
      <c r="K3421" t="s">
        <v>43</v>
      </c>
      <c r="L3421" t="s">
        <v>44</v>
      </c>
      <c r="M3421">
        <v>729.09</v>
      </c>
    </row>
    <row r="3422">
      <c r="A3422" s="2">
        <v>45474</v>
      </c>
      <c r="B3422">
        <v>2025.0</v>
      </c>
      <c r="C3422" t="s">
        <v>315</v>
      </c>
      <c r="D3422" t="s">
        <v>316</v>
      </c>
      <c r="E3422" t="s">
        <v>179</v>
      </c>
      <c r="F3422" t="s">
        <v>304</v>
      </c>
      <c r="G3422" t="s">
        <v>9</v>
      </c>
      <c r="H3422">
        <v>2015.0</v>
      </c>
      <c r="I3422" t="s">
        <v>31</v>
      </c>
      <c r="J3422" t="s">
        <v>99</v>
      </c>
      <c r="K3422" t="s">
        <v>123</v>
      </c>
      <c r="L3422" t="s">
        <v>124</v>
      </c>
      <c r="M3422">
        <v>729.36</v>
      </c>
    </row>
    <row r="3423">
      <c r="A3423" s="2">
        <v>45770</v>
      </c>
      <c r="B3423">
        <v>2025.0</v>
      </c>
      <c r="C3423" t="s">
        <v>315</v>
      </c>
      <c r="D3423" t="s">
        <v>316</v>
      </c>
      <c r="E3423" t="s">
        <v>177</v>
      </c>
      <c r="F3423" t="s">
        <v>307</v>
      </c>
      <c r="G3423" t="s">
        <v>12</v>
      </c>
      <c r="H3423">
        <v>6330.0</v>
      </c>
      <c r="I3423" t="s">
        <v>31</v>
      </c>
      <c r="J3423" t="s">
        <v>162</v>
      </c>
      <c r="K3423" t="s">
        <v>112</v>
      </c>
      <c r="L3423" t="s">
        <v>113</v>
      </c>
      <c r="M3423">
        <v>731.02</v>
      </c>
    </row>
    <row r="3424">
      <c r="A3424" s="2">
        <v>45922</v>
      </c>
      <c r="B3424">
        <v>2026.0</v>
      </c>
      <c r="C3424" t="s">
        <v>321</v>
      </c>
      <c r="D3424" t="s">
        <v>316</v>
      </c>
      <c r="E3424" t="s">
        <v>110</v>
      </c>
      <c r="F3424" t="s">
        <v>304</v>
      </c>
      <c r="G3424" t="s">
        <v>9</v>
      </c>
      <c r="H3424">
        <v>2101.0</v>
      </c>
      <c r="I3424" t="s">
        <v>31</v>
      </c>
      <c r="J3424" t="s">
        <v>81</v>
      </c>
      <c r="K3424" t="s">
        <v>71</v>
      </c>
      <c r="L3424" t="s">
        <v>72</v>
      </c>
      <c r="M3424">
        <v>731.5799999999999</v>
      </c>
    </row>
    <row r="3425">
      <c r="A3425" s="2">
        <v>45400</v>
      </c>
      <c r="B3425">
        <v>2024.0</v>
      </c>
      <c r="C3425" t="s">
        <v>318</v>
      </c>
      <c r="D3425" t="s">
        <v>316</v>
      </c>
      <c r="E3425" t="s">
        <v>35</v>
      </c>
      <c r="F3425" t="s">
        <v>305</v>
      </c>
      <c r="G3425" t="s">
        <v>10</v>
      </c>
      <c r="H3425">
        <v>3280.0</v>
      </c>
      <c r="I3425" t="s">
        <v>31</v>
      </c>
      <c r="J3425" t="s">
        <v>37</v>
      </c>
      <c r="K3425" t="s">
        <v>46</v>
      </c>
      <c r="L3425" t="s">
        <v>47</v>
      </c>
      <c r="M3425">
        <v>733.47</v>
      </c>
    </row>
    <row r="3426">
      <c r="A3426" s="2">
        <v>45439</v>
      </c>
      <c r="B3426">
        <v>2024.0</v>
      </c>
      <c r="C3426" t="s">
        <v>318</v>
      </c>
      <c r="D3426" t="s">
        <v>319</v>
      </c>
      <c r="E3426" t="s">
        <v>82</v>
      </c>
      <c r="F3426" t="s">
        <v>306</v>
      </c>
      <c r="G3426" t="s">
        <v>11</v>
      </c>
      <c r="H3426">
        <v>4558.0</v>
      </c>
      <c r="I3426" t="s">
        <v>31</v>
      </c>
      <c r="J3426" t="s">
        <v>84</v>
      </c>
      <c r="K3426" t="s">
        <v>38</v>
      </c>
      <c r="L3426" t="s">
        <v>39</v>
      </c>
      <c r="M3426">
        <v>733.96</v>
      </c>
    </row>
    <row r="3427">
      <c r="A3427" s="2">
        <v>45942</v>
      </c>
      <c r="B3427">
        <v>2026.0</v>
      </c>
      <c r="C3427" t="s">
        <v>321</v>
      </c>
      <c r="D3427" t="s">
        <v>316</v>
      </c>
      <c r="E3427" t="s">
        <v>79</v>
      </c>
      <c r="F3427" t="s">
        <v>304</v>
      </c>
      <c r="G3427" t="s">
        <v>9</v>
      </c>
      <c r="H3427">
        <v>2141.0</v>
      </c>
      <c r="I3427" t="s">
        <v>31</v>
      </c>
      <c r="J3427" t="s">
        <v>81</v>
      </c>
      <c r="K3427" t="s">
        <v>46</v>
      </c>
      <c r="L3427" t="s">
        <v>47</v>
      </c>
      <c r="M3427">
        <v>734.98</v>
      </c>
    </row>
    <row r="3428">
      <c r="A3428" s="2">
        <v>45543</v>
      </c>
      <c r="B3428">
        <v>2025.0</v>
      </c>
      <c r="C3428" t="s">
        <v>315</v>
      </c>
      <c r="D3428" t="s">
        <v>316</v>
      </c>
      <c r="E3428" t="s">
        <v>114</v>
      </c>
      <c r="F3428" t="s">
        <v>304</v>
      </c>
      <c r="G3428" t="s">
        <v>9</v>
      </c>
      <c r="H3428">
        <v>2031.0</v>
      </c>
      <c r="I3428" t="s">
        <v>31</v>
      </c>
      <c r="J3428" t="s">
        <v>99</v>
      </c>
      <c r="K3428" t="s">
        <v>123</v>
      </c>
      <c r="L3428" t="s">
        <v>124</v>
      </c>
      <c r="M3428">
        <v>738.8599999999999</v>
      </c>
    </row>
    <row r="3429">
      <c r="A3429" s="2">
        <v>45981</v>
      </c>
      <c r="B3429">
        <v>2026.0</v>
      </c>
      <c r="C3429" t="s">
        <v>321</v>
      </c>
      <c r="D3429" t="s">
        <v>319</v>
      </c>
      <c r="E3429" t="s">
        <v>85</v>
      </c>
      <c r="F3429" t="s">
        <v>304</v>
      </c>
      <c r="G3429" t="s">
        <v>9</v>
      </c>
      <c r="H3429">
        <v>2120.0</v>
      </c>
      <c r="I3429" t="s">
        <v>31</v>
      </c>
      <c r="J3429" t="s">
        <v>81</v>
      </c>
      <c r="K3429" t="s">
        <v>71</v>
      </c>
      <c r="L3429" t="s">
        <v>72</v>
      </c>
      <c r="M3429">
        <v>739.6099999999999</v>
      </c>
    </row>
    <row r="3430">
      <c r="A3430" s="2">
        <v>45705</v>
      </c>
      <c r="B3430">
        <v>2025.0</v>
      </c>
      <c r="C3430" t="s">
        <v>315</v>
      </c>
      <c r="D3430" t="s">
        <v>316</v>
      </c>
      <c r="E3430" t="s">
        <v>35</v>
      </c>
      <c r="F3430" t="s">
        <v>305</v>
      </c>
      <c r="G3430" t="s">
        <v>10</v>
      </c>
      <c r="H3430">
        <v>3280.0</v>
      </c>
      <c r="I3430" t="s">
        <v>31</v>
      </c>
      <c r="J3430" t="s">
        <v>37</v>
      </c>
      <c r="K3430" t="s">
        <v>123</v>
      </c>
      <c r="L3430" t="s">
        <v>124</v>
      </c>
      <c r="M3430">
        <v>739.65</v>
      </c>
    </row>
    <row r="3431">
      <c r="A3431" s="2">
        <v>45337</v>
      </c>
      <c r="B3431">
        <v>2024.0</v>
      </c>
      <c r="C3431" t="s">
        <v>318</v>
      </c>
      <c r="D3431" t="s">
        <v>316</v>
      </c>
      <c r="E3431" t="s">
        <v>246</v>
      </c>
      <c r="F3431" t="s">
        <v>305</v>
      </c>
      <c r="G3431" t="s">
        <v>10</v>
      </c>
      <c r="H3431">
        <v>3551.0</v>
      </c>
      <c r="I3431" t="s">
        <v>31</v>
      </c>
      <c r="J3431" t="s">
        <v>37</v>
      </c>
      <c r="K3431" t="s">
        <v>71</v>
      </c>
      <c r="L3431" t="s">
        <v>72</v>
      </c>
      <c r="M3431">
        <v>740.32</v>
      </c>
    </row>
    <row r="3432">
      <c r="A3432" s="2">
        <v>45657</v>
      </c>
      <c r="B3432">
        <v>2025.0</v>
      </c>
      <c r="C3432" t="s">
        <v>315</v>
      </c>
      <c r="D3432" t="s">
        <v>316</v>
      </c>
      <c r="E3432" t="s">
        <v>264</v>
      </c>
      <c r="F3432" t="s">
        <v>308</v>
      </c>
      <c r="G3432" t="s">
        <v>13</v>
      </c>
      <c r="H3432">
        <v>5043.0</v>
      </c>
      <c r="I3432" t="s">
        <v>31</v>
      </c>
      <c r="J3432" t="s">
        <v>42</v>
      </c>
      <c r="K3432" t="s">
        <v>95</v>
      </c>
      <c r="L3432" t="s">
        <v>96</v>
      </c>
      <c r="M3432">
        <v>741.2800000000001</v>
      </c>
    </row>
    <row r="3433">
      <c r="A3433" s="2">
        <v>45665</v>
      </c>
      <c r="B3433">
        <v>2025.0</v>
      </c>
      <c r="C3433" t="s">
        <v>315</v>
      </c>
      <c r="D3433" t="s">
        <v>319</v>
      </c>
      <c r="E3433" t="s">
        <v>135</v>
      </c>
      <c r="F3433" t="s">
        <v>311</v>
      </c>
      <c r="G3433" t="s">
        <v>16</v>
      </c>
      <c r="H3433">
        <v>2609.0</v>
      </c>
      <c r="I3433" t="s">
        <v>31</v>
      </c>
      <c r="J3433" t="s">
        <v>107</v>
      </c>
      <c r="K3433" t="s">
        <v>57</v>
      </c>
      <c r="L3433" t="s">
        <v>58</v>
      </c>
      <c r="M3433">
        <v>741.8399999999999</v>
      </c>
    </row>
    <row r="3434">
      <c r="A3434" s="2">
        <v>45516</v>
      </c>
      <c r="B3434">
        <v>2025.0</v>
      </c>
      <c r="C3434" t="s">
        <v>315</v>
      </c>
      <c r="D3434" t="s">
        <v>319</v>
      </c>
      <c r="E3434" t="s">
        <v>143</v>
      </c>
      <c r="F3434" t="s">
        <v>309</v>
      </c>
      <c r="G3434" t="s">
        <v>14</v>
      </c>
      <c r="H3434">
        <v>800.0</v>
      </c>
      <c r="I3434" t="s">
        <v>31</v>
      </c>
      <c r="J3434" t="s">
        <v>145</v>
      </c>
      <c r="K3434" t="s">
        <v>43</v>
      </c>
      <c r="L3434" t="s">
        <v>44</v>
      </c>
      <c r="M3434">
        <v>742.08</v>
      </c>
    </row>
    <row r="3435">
      <c r="A3435" s="2">
        <v>45669</v>
      </c>
      <c r="B3435">
        <v>2025.0</v>
      </c>
      <c r="C3435" t="s">
        <v>315</v>
      </c>
      <c r="D3435" t="s">
        <v>316</v>
      </c>
      <c r="E3435" t="s">
        <v>73</v>
      </c>
      <c r="F3435" t="s">
        <v>304</v>
      </c>
      <c r="G3435" t="s">
        <v>9</v>
      </c>
      <c r="H3435">
        <v>2750.0</v>
      </c>
      <c r="I3435" t="s">
        <v>31</v>
      </c>
      <c r="J3435" t="s">
        <v>75</v>
      </c>
      <c r="K3435" t="s">
        <v>71</v>
      </c>
      <c r="L3435" t="s">
        <v>72</v>
      </c>
      <c r="M3435">
        <v>742.91</v>
      </c>
    </row>
    <row r="3436">
      <c r="A3436" s="2">
        <v>45512</v>
      </c>
      <c r="B3436">
        <v>2025.0</v>
      </c>
      <c r="C3436" t="s">
        <v>315</v>
      </c>
      <c r="D3436" t="s">
        <v>316</v>
      </c>
      <c r="E3436" t="s">
        <v>118</v>
      </c>
      <c r="F3436" t="s">
        <v>305</v>
      </c>
      <c r="G3436" t="s">
        <v>10</v>
      </c>
      <c r="H3436">
        <v>3076.0</v>
      </c>
      <c r="I3436" t="s">
        <v>31</v>
      </c>
      <c r="J3436" t="s">
        <v>120</v>
      </c>
      <c r="K3436" t="s">
        <v>71</v>
      </c>
      <c r="L3436" t="s">
        <v>72</v>
      </c>
      <c r="M3436">
        <v>743.15</v>
      </c>
    </row>
    <row r="3437">
      <c r="A3437" s="2">
        <v>45552</v>
      </c>
      <c r="B3437">
        <v>2025.0</v>
      </c>
      <c r="C3437" t="s">
        <v>315</v>
      </c>
      <c r="D3437" t="s">
        <v>316</v>
      </c>
      <c r="E3437" t="s">
        <v>160</v>
      </c>
      <c r="F3437" t="s">
        <v>307</v>
      </c>
      <c r="G3437" t="s">
        <v>12</v>
      </c>
      <c r="H3437">
        <v>6280.0</v>
      </c>
      <c r="I3437" t="s">
        <v>31</v>
      </c>
      <c r="J3437" t="s">
        <v>162</v>
      </c>
      <c r="K3437" t="s">
        <v>43</v>
      </c>
      <c r="L3437" t="s">
        <v>44</v>
      </c>
      <c r="M3437">
        <v>744.12</v>
      </c>
    </row>
    <row r="3438">
      <c r="A3438" s="2">
        <v>45538</v>
      </c>
      <c r="B3438">
        <v>2025.0</v>
      </c>
      <c r="C3438" t="s">
        <v>315</v>
      </c>
      <c r="D3438" t="s">
        <v>319</v>
      </c>
      <c r="E3438" t="s">
        <v>148</v>
      </c>
      <c r="F3438" t="s">
        <v>307</v>
      </c>
      <c r="G3438" t="s">
        <v>12</v>
      </c>
      <c r="H3438">
        <v>6450.0</v>
      </c>
      <c r="I3438" t="s">
        <v>31</v>
      </c>
      <c r="J3438" t="s">
        <v>50</v>
      </c>
      <c r="K3438" t="s">
        <v>57</v>
      </c>
      <c r="L3438" t="s">
        <v>58</v>
      </c>
      <c r="M3438">
        <v>744.77</v>
      </c>
    </row>
    <row r="3439">
      <c r="A3439" s="2">
        <v>45816</v>
      </c>
      <c r="B3439">
        <v>2025.0</v>
      </c>
      <c r="C3439" t="s">
        <v>315</v>
      </c>
      <c r="D3439" t="s">
        <v>319</v>
      </c>
      <c r="E3439" t="s">
        <v>234</v>
      </c>
      <c r="F3439" t="s">
        <v>304</v>
      </c>
      <c r="G3439" t="s">
        <v>9</v>
      </c>
      <c r="H3439">
        <v>2158.0</v>
      </c>
      <c r="I3439" t="s">
        <v>31</v>
      </c>
      <c r="J3439" t="s">
        <v>81</v>
      </c>
      <c r="K3439" t="s">
        <v>57</v>
      </c>
      <c r="L3439" t="s">
        <v>58</v>
      </c>
      <c r="M3439">
        <v>744.88</v>
      </c>
    </row>
    <row r="3440">
      <c r="A3440" s="2">
        <v>45542</v>
      </c>
      <c r="B3440">
        <v>2025.0</v>
      </c>
      <c r="C3440" t="s">
        <v>315</v>
      </c>
      <c r="D3440" t="s">
        <v>316</v>
      </c>
      <c r="E3440" t="s">
        <v>185</v>
      </c>
      <c r="F3440" t="s">
        <v>307</v>
      </c>
      <c r="G3440" t="s">
        <v>12</v>
      </c>
      <c r="H3440">
        <v>6109.0</v>
      </c>
      <c r="I3440" t="s">
        <v>31</v>
      </c>
      <c r="J3440" t="s">
        <v>162</v>
      </c>
      <c r="K3440" t="s">
        <v>71</v>
      </c>
      <c r="L3440" t="s">
        <v>72</v>
      </c>
      <c r="M3440">
        <v>744.9899999999999</v>
      </c>
    </row>
    <row r="3441">
      <c r="A3441" s="2">
        <v>45577</v>
      </c>
      <c r="B3441">
        <v>2025.0</v>
      </c>
      <c r="C3441" t="s">
        <v>315</v>
      </c>
      <c r="D3441" t="s">
        <v>319</v>
      </c>
      <c r="E3441" t="s">
        <v>82</v>
      </c>
      <c r="F3441" t="s">
        <v>306</v>
      </c>
      <c r="G3441" t="s">
        <v>11</v>
      </c>
      <c r="H3441">
        <v>4558.0</v>
      </c>
      <c r="I3441" t="s">
        <v>31</v>
      </c>
      <c r="J3441" t="s">
        <v>84</v>
      </c>
      <c r="K3441" t="s">
        <v>38</v>
      </c>
      <c r="L3441" t="s">
        <v>39</v>
      </c>
      <c r="M3441">
        <v>745.32</v>
      </c>
    </row>
    <row r="3442">
      <c r="A3442" s="2">
        <v>45684</v>
      </c>
      <c r="B3442">
        <v>2025.0</v>
      </c>
      <c r="C3442" t="s">
        <v>315</v>
      </c>
      <c r="D3442" t="s">
        <v>319</v>
      </c>
      <c r="E3442" t="s">
        <v>234</v>
      </c>
      <c r="F3442" t="s">
        <v>304</v>
      </c>
      <c r="G3442" t="s">
        <v>9</v>
      </c>
      <c r="H3442">
        <v>2158.0</v>
      </c>
      <c r="I3442" t="s">
        <v>31</v>
      </c>
      <c r="J3442" t="s">
        <v>81</v>
      </c>
      <c r="K3442" t="s">
        <v>57</v>
      </c>
      <c r="L3442" t="s">
        <v>58</v>
      </c>
      <c r="M3442">
        <v>746.06</v>
      </c>
    </row>
    <row r="3443">
      <c r="A3443" s="2">
        <v>45362</v>
      </c>
      <c r="B3443">
        <v>2024.0</v>
      </c>
      <c r="C3443" t="s">
        <v>318</v>
      </c>
      <c r="D3443" t="s">
        <v>316</v>
      </c>
      <c r="E3443" t="s">
        <v>64</v>
      </c>
      <c r="F3443" t="s">
        <v>306</v>
      </c>
      <c r="G3443" t="s">
        <v>11</v>
      </c>
      <c r="H3443">
        <v>4215.0</v>
      </c>
      <c r="I3443" t="s">
        <v>31</v>
      </c>
      <c r="J3443" t="s">
        <v>61</v>
      </c>
      <c r="K3443" t="s">
        <v>38</v>
      </c>
      <c r="L3443" t="s">
        <v>39</v>
      </c>
      <c r="M3443">
        <v>747.07</v>
      </c>
    </row>
    <row r="3444">
      <c r="A3444" s="2">
        <v>45346</v>
      </c>
      <c r="B3444">
        <v>2024.0</v>
      </c>
      <c r="C3444" t="s">
        <v>318</v>
      </c>
      <c r="D3444" t="s">
        <v>316</v>
      </c>
      <c r="E3444" t="s">
        <v>181</v>
      </c>
      <c r="F3444" t="s">
        <v>306</v>
      </c>
      <c r="G3444" t="s">
        <v>11</v>
      </c>
      <c r="H3444">
        <v>4119.0</v>
      </c>
      <c r="I3444" t="s">
        <v>31</v>
      </c>
      <c r="J3444" t="s">
        <v>56</v>
      </c>
      <c r="K3444" t="s">
        <v>57</v>
      </c>
      <c r="L3444" t="s">
        <v>58</v>
      </c>
      <c r="M3444">
        <v>747.11</v>
      </c>
    </row>
    <row r="3445">
      <c r="A3445" s="2">
        <v>45718</v>
      </c>
      <c r="B3445">
        <v>2025.0</v>
      </c>
      <c r="C3445" t="s">
        <v>315</v>
      </c>
      <c r="D3445" t="s">
        <v>316</v>
      </c>
      <c r="E3445" t="s">
        <v>248</v>
      </c>
      <c r="F3445" t="s">
        <v>307</v>
      </c>
      <c r="G3445" t="s">
        <v>12</v>
      </c>
      <c r="H3445">
        <v>6112.0</v>
      </c>
      <c r="I3445" t="s">
        <v>31</v>
      </c>
      <c r="J3445" t="s">
        <v>162</v>
      </c>
      <c r="K3445" t="s">
        <v>123</v>
      </c>
      <c r="L3445" t="s">
        <v>124</v>
      </c>
      <c r="M3445">
        <v>747.3000000000001</v>
      </c>
    </row>
    <row r="3446">
      <c r="A3446" s="2">
        <v>45641</v>
      </c>
      <c r="B3446">
        <v>2025.0</v>
      </c>
      <c r="C3446" t="s">
        <v>315</v>
      </c>
      <c r="D3446" t="s">
        <v>316</v>
      </c>
      <c r="E3446" t="s">
        <v>175</v>
      </c>
      <c r="F3446" t="s">
        <v>311</v>
      </c>
      <c r="G3446" t="s">
        <v>16</v>
      </c>
      <c r="H3446">
        <v>2617.0</v>
      </c>
      <c r="I3446" t="s">
        <v>31</v>
      </c>
      <c r="J3446" t="s">
        <v>107</v>
      </c>
      <c r="K3446" t="s">
        <v>46</v>
      </c>
      <c r="L3446" t="s">
        <v>47</v>
      </c>
      <c r="M3446">
        <v>747.34</v>
      </c>
    </row>
    <row r="3447">
      <c r="A3447" s="2">
        <v>45917</v>
      </c>
      <c r="B3447">
        <v>2026.0</v>
      </c>
      <c r="C3447" t="s">
        <v>321</v>
      </c>
      <c r="D3447" t="s">
        <v>316</v>
      </c>
      <c r="E3447" t="s">
        <v>238</v>
      </c>
      <c r="F3447" t="s">
        <v>308</v>
      </c>
      <c r="G3447" t="s">
        <v>13</v>
      </c>
      <c r="H3447">
        <v>5082.0</v>
      </c>
      <c r="I3447" t="s">
        <v>31</v>
      </c>
      <c r="J3447" t="s">
        <v>42</v>
      </c>
      <c r="K3447" t="s">
        <v>95</v>
      </c>
      <c r="L3447" t="s">
        <v>96</v>
      </c>
      <c r="M3447">
        <v>747.4200000000001</v>
      </c>
    </row>
    <row r="3448">
      <c r="A3448" s="2">
        <v>45751</v>
      </c>
      <c r="B3448">
        <v>2025.0</v>
      </c>
      <c r="C3448" t="s">
        <v>315</v>
      </c>
      <c r="D3448" t="s">
        <v>316</v>
      </c>
      <c r="E3448" t="s">
        <v>234</v>
      </c>
      <c r="F3448" t="s">
        <v>304</v>
      </c>
      <c r="G3448" t="s">
        <v>9</v>
      </c>
      <c r="H3448">
        <v>2158.0</v>
      </c>
      <c r="I3448" t="s">
        <v>31</v>
      </c>
      <c r="J3448" t="s">
        <v>81</v>
      </c>
      <c r="K3448" t="s">
        <v>71</v>
      </c>
      <c r="L3448" t="s">
        <v>72</v>
      </c>
      <c r="M3448">
        <v>747.94</v>
      </c>
    </row>
    <row r="3449">
      <c r="A3449" s="2">
        <v>45683</v>
      </c>
      <c r="B3449">
        <v>2025.0</v>
      </c>
      <c r="C3449" t="s">
        <v>315</v>
      </c>
      <c r="D3449" t="s">
        <v>316</v>
      </c>
      <c r="E3449" t="s">
        <v>76</v>
      </c>
      <c r="F3449" t="s">
        <v>306</v>
      </c>
      <c r="G3449" t="s">
        <v>11</v>
      </c>
      <c r="H3449">
        <v>4883.0</v>
      </c>
      <c r="I3449" t="s">
        <v>31</v>
      </c>
      <c r="J3449" t="s">
        <v>78</v>
      </c>
      <c r="K3449" t="s">
        <v>95</v>
      </c>
      <c r="L3449" t="s">
        <v>96</v>
      </c>
      <c r="M3449">
        <v>748.4300000000001</v>
      </c>
    </row>
    <row r="3450">
      <c r="A3450" s="2">
        <v>45620</v>
      </c>
      <c r="B3450">
        <v>2025.0</v>
      </c>
      <c r="C3450" t="s">
        <v>315</v>
      </c>
      <c r="D3450" t="s">
        <v>316</v>
      </c>
      <c r="E3450" t="s">
        <v>195</v>
      </c>
      <c r="F3450" t="s">
        <v>306</v>
      </c>
      <c r="G3450" t="s">
        <v>11</v>
      </c>
      <c r="H3450">
        <v>4700.0</v>
      </c>
      <c r="I3450" t="s">
        <v>31</v>
      </c>
      <c r="J3450" t="s">
        <v>32</v>
      </c>
      <c r="K3450" t="s">
        <v>123</v>
      </c>
      <c r="L3450" t="s">
        <v>124</v>
      </c>
      <c r="M3450">
        <v>749.04</v>
      </c>
    </row>
    <row r="3451">
      <c r="A3451" s="2">
        <v>45829</v>
      </c>
      <c r="B3451">
        <v>2025.0</v>
      </c>
      <c r="C3451" t="s">
        <v>315</v>
      </c>
      <c r="D3451" t="s">
        <v>316</v>
      </c>
      <c r="E3451" t="s">
        <v>73</v>
      </c>
      <c r="F3451" t="s">
        <v>304</v>
      </c>
      <c r="G3451" t="s">
        <v>9</v>
      </c>
      <c r="H3451">
        <v>2750.0</v>
      </c>
      <c r="I3451" t="s">
        <v>31</v>
      </c>
      <c r="J3451" t="s">
        <v>75</v>
      </c>
      <c r="K3451" t="s">
        <v>43</v>
      </c>
      <c r="L3451" t="s">
        <v>44</v>
      </c>
      <c r="M3451">
        <v>749.25</v>
      </c>
    </row>
    <row r="3452">
      <c r="A3452" s="2">
        <v>45328</v>
      </c>
      <c r="B3452">
        <v>2024.0</v>
      </c>
      <c r="C3452" t="s">
        <v>318</v>
      </c>
      <c r="D3452" t="s">
        <v>316</v>
      </c>
      <c r="E3452" t="s">
        <v>219</v>
      </c>
      <c r="F3452" t="s">
        <v>306</v>
      </c>
      <c r="G3452" t="s">
        <v>11</v>
      </c>
      <c r="H3452">
        <v>4068.0</v>
      </c>
      <c r="I3452" t="s">
        <v>31</v>
      </c>
      <c r="J3452" t="s">
        <v>56</v>
      </c>
      <c r="K3452" t="s">
        <v>43</v>
      </c>
      <c r="L3452" t="s">
        <v>44</v>
      </c>
      <c r="M3452">
        <v>749.56</v>
      </c>
    </row>
    <row r="3453">
      <c r="A3453" s="2">
        <v>45362</v>
      </c>
      <c r="B3453">
        <v>2024.0</v>
      </c>
      <c r="C3453" t="s">
        <v>318</v>
      </c>
      <c r="D3453" t="s">
        <v>316</v>
      </c>
      <c r="E3453" t="s">
        <v>213</v>
      </c>
      <c r="F3453" t="s">
        <v>306</v>
      </c>
      <c r="G3453" t="s">
        <v>11</v>
      </c>
      <c r="H3453">
        <v>4740.0</v>
      </c>
      <c r="I3453" t="s">
        <v>31</v>
      </c>
      <c r="J3453" t="s">
        <v>32</v>
      </c>
      <c r="K3453" t="s">
        <v>33</v>
      </c>
      <c r="L3453" t="s">
        <v>34</v>
      </c>
      <c r="M3453">
        <v>749.75</v>
      </c>
    </row>
    <row r="3454">
      <c r="A3454" s="2">
        <v>45453</v>
      </c>
      <c r="B3454">
        <v>2024.0</v>
      </c>
      <c r="C3454" t="s">
        <v>318</v>
      </c>
      <c r="D3454" t="s">
        <v>319</v>
      </c>
      <c r="E3454" t="s">
        <v>217</v>
      </c>
      <c r="F3454" t="s">
        <v>305</v>
      </c>
      <c r="G3454" t="s">
        <v>10</v>
      </c>
      <c r="H3454">
        <v>3136.0</v>
      </c>
      <c r="I3454" t="s">
        <v>31</v>
      </c>
      <c r="J3454" t="s">
        <v>89</v>
      </c>
      <c r="K3454" t="s">
        <v>33</v>
      </c>
      <c r="L3454" t="s">
        <v>34</v>
      </c>
      <c r="M3454">
        <v>750.6</v>
      </c>
    </row>
    <row r="3455">
      <c r="A3455" s="2">
        <v>46017</v>
      </c>
      <c r="B3455">
        <v>2026.0</v>
      </c>
      <c r="C3455" t="s">
        <v>321</v>
      </c>
      <c r="D3455" t="s">
        <v>316</v>
      </c>
      <c r="E3455" t="s">
        <v>90</v>
      </c>
      <c r="F3455" t="s">
        <v>305</v>
      </c>
      <c r="G3455" t="s">
        <v>10</v>
      </c>
      <c r="H3455">
        <v>3353.0</v>
      </c>
      <c r="I3455" t="s">
        <v>31</v>
      </c>
      <c r="J3455" t="s">
        <v>37</v>
      </c>
      <c r="K3455" t="s">
        <v>123</v>
      </c>
      <c r="L3455" t="s">
        <v>124</v>
      </c>
      <c r="M3455">
        <v>751.21</v>
      </c>
    </row>
    <row r="3456">
      <c r="A3456" s="2">
        <v>45907</v>
      </c>
      <c r="B3456">
        <v>2026.0</v>
      </c>
      <c r="C3456" t="s">
        <v>321</v>
      </c>
      <c r="D3456" t="s">
        <v>316</v>
      </c>
      <c r="E3456" t="s">
        <v>211</v>
      </c>
      <c r="F3456" t="s">
        <v>304</v>
      </c>
      <c r="G3456" t="s">
        <v>9</v>
      </c>
      <c r="H3456">
        <v>2650.0</v>
      </c>
      <c r="I3456" t="s">
        <v>31</v>
      </c>
      <c r="J3456" t="s">
        <v>75</v>
      </c>
      <c r="K3456" t="s">
        <v>123</v>
      </c>
      <c r="L3456" t="s">
        <v>124</v>
      </c>
      <c r="M3456">
        <v>756.5500000000001</v>
      </c>
    </row>
    <row r="3457">
      <c r="A3457" s="2">
        <v>45774</v>
      </c>
      <c r="B3457">
        <v>2025.0</v>
      </c>
      <c r="C3457" t="s">
        <v>315</v>
      </c>
      <c r="D3457" t="s">
        <v>319</v>
      </c>
      <c r="E3457" t="s">
        <v>90</v>
      </c>
      <c r="F3457" t="s">
        <v>305</v>
      </c>
      <c r="G3457" t="s">
        <v>10</v>
      </c>
      <c r="H3457">
        <v>3353.0</v>
      </c>
      <c r="I3457" t="s">
        <v>31</v>
      </c>
      <c r="J3457" t="s">
        <v>37</v>
      </c>
      <c r="K3457" t="s">
        <v>38</v>
      </c>
      <c r="L3457" t="s">
        <v>39</v>
      </c>
      <c r="M3457">
        <v>756.94</v>
      </c>
    </row>
    <row r="3458">
      <c r="A3458" s="2">
        <v>45561</v>
      </c>
      <c r="B3458">
        <v>2025.0</v>
      </c>
      <c r="C3458" t="s">
        <v>315</v>
      </c>
      <c r="D3458" t="s">
        <v>316</v>
      </c>
      <c r="E3458" t="s">
        <v>183</v>
      </c>
      <c r="F3458" t="s">
        <v>304</v>
      </c>
      <c r="G3458" t="s">
        <v>9</v>
      </c>
      <c r="H3458">
        <v>2480.0</v>
      </c>
      <c r="I3458" t="s">
        <v>31</v>
      </c>
      <c r="J3458" t="s">
        <v>70</v>
      </c>
      <c r="K3458" t="s">
        <v>71</v>
      </c>
      <c r="L3458" t="s">
        <v>72</v>
      </c>
      <c r="M3458">
        <v>759.59</v>
      </c>
    </row>
    <row r="3459">
      <c r="A3459" s="2">
        <v>45543</v>
      </c>
      <c r="B3459">
        <v>2025.0</v>
      </c>
      <c r="C3459" t="s">
        <v>315</v>
      </c>
      <c r="D3459" t="s">
        <v>316</v>
      </c>
      <c r="E3459" t="s">
        <v>197</v>
      </c>
      <c r="F3459" t="s">
        <v>304</v>
      </c>
      <c r="G3459" t="s">
        <v>9</v>
      </c>
      <c r="H3459">
        <v>2560.0</v>
      </c>
      <c r="I3459" t="s">
        <v>31</v>
      </c>
      <c r="J3459" t="s">
        <v>107</v>
      </c>
      <c r="K3459" t="s">
        <v>38</v>
      </c>
      <c r="L3459" t="s">
        <v>39</v>
      </c>
      <c r="M3459">
        <v>761.5200000000001</v>
      </c>
    </row>
    <row r="3460">
      <c r="A3460" s="2">
        <v>45487</v>
      </c>
      <c r="B3460">
        <v>2025.0</v>
      </c>
      <c r="C3460" t="s">
        <v>315</v>
      </c>
      <c r="D3460" t="s">
        <v>316</v>
      </c>
      <c r="E3460" t="s">
        <v>197</v>
      </c>
      <c r="F3460" t="s">
        <v>304</v>
      </c>
      <c r="G3460" t="s">
        <v>9</v>
      </c>
      <c r="H3460">
        <v>2560.0</v>
      </c>
      <c r="I3460" t="s">
        <v>31</v>
      </c>
      <c r="J3460" t="s">
        <v>107</v>
      </c>
      <c r="K3460" t="s">
        <v>43</v>
      </c>
      <c r="L3460" t="s">
        <v>44</v>
      </c>
      <c r="M3460">
        <v>761.6600000000001</v>
      </c>
    </row>
    <row r="3461">
      <c r="A3461" s="2">
        <v>45554</v>
      </c>
      <c r="B3461">
        <v>2025.0</v>
      </c>
      <c r="C3461" t="s">
        <v>315</v>
      </c>
      <c r="D3461" t="s">
        <v>316</v>
      </c>
      <c r="E3461" t="s">
        <v>35</v>
      </c>
      <c r="F3461" t="s">
        <v>305</v>
      </c>
      <c r="G3461" t="s">
        <v>10</v>
      </c>
      <c r="H3461">
        <v>3280.0</v>
      </c>
      <c r="I3461" t="s">
        <v>31</v>
      </c>
      <c r="J3461" t="s">
        <v>37</v>
      </c>
      <c r="K3461" t="s">
        <v>71</v>
      </c>
      <c r="L3461" t="s">
        <v>72</v>
      </c>
      <c r="M3461">
        <v>762.1500000000001</v>
      </c>
    </row>
    <row r="3462">
      <c r="A3462" s="2">
        <v>46003</v>
      </c>
      <c r="B3462">
        <v>2026.0</v>
      </c>
      <c r="C3462" t="s">
        <v>321</v>
      </c>
      <c r="D3462" t="s">
        <v>316</v>
      </c>
      <c r="E3462" t="s">
        <v>73</v>
      </c>
      <c r="F3462" t="s">
        <v>304</v>
      </c>
      <c r="G3462" t="s">
        <v>9</v>
      </c>
      <c r="H3462">
        <v>2750.0</v>
      </c>
      <c r="I3462" t="s">
        <v>31</v>
      </c>
      <c r="J3462" t="s">
        <v>75</v>
      </c>
      <c r="K3462" t="s">
        <v>71</v>
      </c>
      <c r="L3462" t="s">
        <v>72</v>
      </c>
      <c r="M3462">
        <v>763.2700000000001</v>
      </c>
    </row>
    <row r="3463">
      <c r="A3463" s="2">
        <v>45750</v>
      </c>
      <c r="B3463">
        <v>2025.0</v>
      </c>
      <c r="C3463" t="s">
        <v>315</v>
      </c>
      <c r="D3463" t="s">
        <v>316</v>
      </c>
      <c r="E3463" t="s">
        <v>68</v>
      </c>
      <c r="F3463" t="s">
        <v>304</v>
      </c>
      <c r="G3463" t="s">
        <v>9</v>
      </c>
      <c r="H3463">
        <v>2478.0</v>
      </c>
      <c r="I3463" t="s">
        <v>31</v>
      </c>
      <c r="J3463" t="s">
        <v>70</v>
      </c>
      <c r="K3463" t="s">
        <v>57</v>
      </c>
      <c r="L3463" t="s">
        <v>58</v>
      </c>
      <c r="M3463">
        <v>764.81</v>
      </c>
    </row>
    <row r="3464">
      <c r="A3464" s="2">
        <v>45566</v>
      </c>
      <c r="B3464">
        <v>2025.0</v>
      </c>
      <c r="C3464" t="s">
        <v>315</v>
      </c>
      <c r="D3464" t="s">
        <v>316</v>
      </c>
      <c r="E3464" t="s">
        <v>252</v>
      </c>
      <c r="F3464" t="s">
        <v>305</v>
      </c>
      <c r="G3464" t="s">
        <v>10</v>
      </c>
      <c r="H3464">
        <v>3630.0</v>
      </c>
      <c r="I3464" t="s">
        <v>31</v>
      </c>
      <c r="J3464" t="s">
        <v>94</v>
      </c>
      <c r="K3464" t="s">
        <v>57</v>
      </c>
      <c r="L3464" t="s">
        <v>58</v>
      </c>
      <c r="M3464">
        <v>764.92</v>
      </c>
    </row>
    <row r="3465">
      <c r="A3465" s="2">
        <v>45466</v>
      </c>
      <c r="B3465">
        <v>2024.0</v>
      </c>
      <c r="C3465" t="s">
        <v>318</v>
      </c>
      <c r="D3465" t="s">
        <v>316</v>
      </c>
      <c r="E3465" t="s">
        <v>256</v>
      </c>
      <c r="F3465" t="s">
        <v>304</v>
      </c>
      <c r="G3465" t="s">
        <v>9</v>
      </c>
      <c r="H3465">
        <v>2350.0</v>
      </c>
      <c r="I3465" t="s">
        <v>31</v>
      </c>
      <c r="J3465" t="s">
        <v>70</v>
      </c>
      <c r="K3465" t="s">
        <v>95</v>
      </c>
      <c r="L3465" t="s">
        <v>96</v>
      </c>
      <c r="M3465">
        <v>767.4499999999999</v>
      </c>
    </row>
    <row r="3466">
      <c r="A3466" s="2">
        <v>45401</v>
      </c>
      <c r="B3466">
        <v>2024.0</v>
      </c>
      <c r="C3466" t="s">
        <v>318</v>
      </c>
      <c r="D3466" t="s">
        <v>316</v>
      </c>
      <c r="E3466" t="s">
        <v>150</v>
      </c>
      <c r="F3466" t="s">
        <v>310</v>
      </c>
      <c r="G3466" t="s">
        <v>15</v>
      </c>
      <c r="H3466">
        <v>7250.0</v>
      </c>
      <c r="I3466" t="s">
        <v>31</v>
      </c>
      <c r="J3466" t="s">
        <v>53</v>
      </c>
      <c r="K3466" t="s">
        <v>123</v>
      </c>
      <c r="L3466" t="s">
        <v>124</v>
      </c>
      <c r="M3466">
        <v>768.2</v>
      </c>
    </row>
    <row r="3467">
      <c r="A3467" s="2">
        <v>45946</v>
      </c>
      <c r="B3467">
        <v>2026.0</v>
      </c>
      <c r="C3467" t="s">
        <v>321</v>
      </c>
      <c r="D3467" t="s">
        <v>316</v>
      </c>
      <c r="E3467" t="s">
        <v>183</v>
      </c>
      <c r="F3467" t="s">
        <v>304</v>
      </c>
      <c r="G3467" t="s">
        <v>9</v>
      </c>
      <c r="H3467">
        <v>2480.0</v>
      </c>
      <c r="I3467" t="s">
        <v>31</v>
      </c>
      <c r="J3467" t="s">
        <v>70</v>
      </c>
      <c r="K3467" t="s">
        <v>123</v>
      </c>
      <c r="L3467" t="s">
        <v>124</v>
      </c>
      <c r="M3467">
        <v>769.59</v>
      </c>
    </row>
    <row r="3468">
      <c r="A3468" s="2">
        <v>45497</v>
      </c>
      <c r="B3468">
        <v>2025.0</v>
      </c>
      <c r="C3468" t="s">
        <v>315</v>
      </c>
      <c r="D3468" t="s">
        <v>316</v>
      </c>
      <c r="E3468" t="s">
        <v>203</v>
      </c>
      <c r="F3468" t="s">
        <v>305</v>
      </c>
      <c r="G3468" t="s">
        <v>10</v>
      </c>
      <c r="H3468">
        <v>3175.0</v>
      </c>
      <c r="I3468" t="s">
        <v>31</v>
      </c>
      <c r="J3468" t="s">
        <v>89</v>
      </c>
      <c r="K3468" t="s">
        <v>43</v>
      </c>
      <c r="L3468" t="s">
        <v>44</v>
      </c>
      <c r="M3468">
        <v>769.93</v>
      </c>
    </row>
    <row r="3469">
      <c r="A3469" s="2">
        <v>45479</v>
      </c>
      <c r="B3469">
        <v>2025.0</v>
      </c>
      <c r="C3469" t="s">
        <v>315</v>
      </c>
      <c r="D3469" t="s">
        <v>316</v>
      </c>
      <c r="E3469" t="s">
        <v>139</v>
      </c>
      <c r="F3469" t="s">
        <v>305</v>
      </c>
      <c r="G3469" t="s">
        <v>10</v>
      </c>
      <c r="H3469">
        <v>3199.0</v>
      </c>
      <c r="I3469" t="s">
        <v>31</v>
      </c>
      <c r="J3469" t="s">
        <v>89</v>
      </c>
      <c r="K3469" t="s">
        <v>33</v>
      </c>
      <c r="L3469" t="s">
        <v>34</v>
      </c>
      <c r="M3469">
        <v>770.3399999999999</v>
      </c>
    </row>
    <row r="3470">
      <c r="A3470" s="2">
        <v>45953</v>
      </c>
      <c r="B3470">
        <v>2026.0</v>
      </c>
      <c r="C3470" t="s">
        <v>321</v>
      </c>
      <c r="D3470" t="s">
        <v>316</v>
      </c>
      <c r="E3470" t="s">
        <v>248</v>
      </c>
      <c r="F3470" t="s">
        <v>307</v>
      </c>
      <c r="G3470" t="s">
        <v>12</v>
      </c>
      <c r="H3470">
        <v>6112.0</v>
      </c>
      <c r="I3470" t="s">
        <v>31</v>
      </c>
      <c r="J3470" t="s">
        <v>162</v>
      </c>
      <c r="K3470" t="s">
        <v>57</v>
      </c>
      <c r="L3470" t="s">
        <v>58</v>
      </c>
      <c r="M3470">
        <v>771.1899999999999</v>
      </c>
    </row>
    <row r="3471">
      <c r="A3471" s="2">
        <v>45811</v>
      </c>
      <c r="B3471">
        <v>2025.0</v>
      </c>
      <c r="C3471" t="s">
        <v>315</v>
      </c>
      <c r="D3471" t="s">
        <v>316</v>
      </c>
      <c r="E3471" t="s">
        <v>203</v>
      </c>
      <c r="F3471" t="s">
        <v>305</v>
      </c>
      <c r="G3471" t="s">
        <v>10</v>
      </c>
      <c r="H3471">
        <v>3175.0</v>
      </c>
      <c r="I3471" t="s">
        <v>31</v>
      </c>
      <c r="J3471" t="s">
        <v>89</v>
      </c>
      <c r="K3471" t="s">
        <v>38</v>
      </c>
      <c r="L3471" t="s">
        <v>39</v>
      </c>
      <c r="M3471">
        <v>771.22</v>
      </c>
    </row>
    <row r="3472">
      <c r="A3472" s="2">
        <v>45701</v>
      </c>
      <c r="B3472">
        <v>2025.0</v>
      </c>
      <c r="C3472" t="s">
        <v>315</v>
      </c>
      <c r="D3472" t="s">
        <v>316</v>
      </c>
      <c r="E3472" t="s">
        <v>135</v>
      </c>
      <c r="F3472" t="s">
        <v>311</v>
      </c>
      <c r="G3472" t="s">
        <v>16</v>
      </c>
      <c r="H3472">
        <v>2609.0</v>
      </c>
      <c r="I3472" t="s">
        <v>31</v>
      </c>
      <c r="J3472" t="s">
        <v>107</v>
      </c>
      <c r="K3472" t="s">
        <v>33</v>
      </c>
      <c r="L3472" t="s">
        <v>34</v>
      </c>
      <c r="M3472">
        <v>771.8100000000001</v>
      </c>
    </row>
    <row r="3473">
      <c r="A3473" s="2">
        <v>45504</v>
      </c>
      <c r="B3473">
        <v>2025.0</v>
      </c>
      <c r="C3473" t="s">
        <v>315</v>
      </c>
      <c r="D3473" t="s">
        <v>319</v>
      </c>
      <c r="E3473" t="s">
        <v>141</v>
      </c>
      <c r="F3473" t="s">
        <v>304</v>
      </c>
      <c r="G3473" t="s">
        <v>9</v>
      </c>
      <c r="H3473">
        <v>2539.0</v>
      </c>
      <c r="I3473" t="s">
        <v>31</v>
      </c>
      <c r="J3473" t="s">
        <v>107</v>
      </c>
      <c r="K3473" t="s">
        <v>95</v>
      </c>
      <c r="L3473" t="s">
        <v>96</v>
      </c>
      <c r="M3473">
        <v>773.53</v>
      </c>
    </row>
    <row r="3474">
      <c r="A3474" s="2">
        <v>45929</v>
      </c>
      <c r="B3474">
        <v>2026.0</v>
      </c>
      <c r="C3474" t="s">
        <v>321</v>
      </c>
      <c r="D3474" t="s">
        <v>316</v>
      </c>
      <c r="E3474" t="s">
        <v>79</v>
      </c>
      <c r="F3474" t="s">
        <v>304</v>
      </c>
      <c r="G3474" t="s">
        <v>9</v>
      </c>
      <c r="H3474">
        <v>2141.0</v>
      </c>
      <c r="I3474" t="s">
        <v>31</v>
      </c>
      <c r="J3474" t="s">
        <v>81</v>
      </c>
      <c r="K3474" t="s">
        <v>95</v>
      </c>
      <c r="L3474" t="s">
        <v>96</v>
      </c>
      <c r="M3474">
        <v>776.77</v>
      </c>
    </row>
    <row r="3475">
      <c r="A3475" s="2">
        <v>45843</v>
      </c>
      <c r="B3475">
        <v>2026.0</v>
      </c>
      <c r="C3475" t="s">
        <v>321</v>
      </c>
      <c r="D3475" t="s">
        <v>319</v>
      </c>
      <c r="E3475" t="s">
        <v>189</v>
      </c>
      <c r="F3475" t="s">
        <v>304</v>
      </c>
      <c r="G3475" t="s">
        <v>9</v>
      </c>
      <c r="H3475">
        <v>2131.0</v>
      </c>
      <c r="I3475" t="s">
        <v>31</v>
      </c>
      <c r="J3475" t="s">
        <v>81</v>
      </c>
      <c r="K3475" t="s">
        <v>43</v>
      </c>
      <c r="L3475" t="s">
        <v>44</v>
      </c>
      <c r="M3475">
        <v>777.14</v>
      </c>
    </row>
    <row r="3476">
      <c r="A3476" s="2">
        <v>45644</v>
      </c>
      <c r="B3476">
        <v>2025.0</v>
      </c>
      <c r="C3476" t="s">
        <v>315</v>
      </c>
      <c r="D3476" t="s">
        <v>316</v>
      </c>
      <c r="E3476" t="s">
        <v>225</v>
      </c>
      <c r="F3476" t="s">
        <v>308</v>
      </c>
      <c r="G3476" t="s">
        <v>13</v>
      </c>
      <c r="H3476">
        <v>5607.0</v>
      </c>
      <c r="I3476" t="s">
        <v>31</v>
      </c>
      <c r="J3476" t="s">
        <v>227</v>
      </c>
      <c r="K3476" t="s">
        <v>46</v>
      </c>
      <c r="L3476" t="s">
        <v>47</v>
      </c>
      <c r="M3476">
        <v>777.87</v>
      </c>
    </row>
    <row r="3477">
      <c r="A3477" s="2">
        <v>45501</v>
      </c>
      <c r="B3477">
        <v>2025.0</v>
      </c>
      <c r="C3477" t="s">
        <v>315</v>
      </c>
      <c r="D3477" t="s">
        <v>319</v>
      </c>
      <c r="E3477" t="s">
        <v>62</v>
      </c>
      <c r="F3477" t="s">
        <v>307</v>
      </c>
      <c r="G3477" t="s">
        <v>12</v>
      </c>
      <c r="H3477">
        <v>6530.0</v>
      </c>
      <c r="I3477" t="s">
        <v>31</v>
      </c>
      <c r="J3477" t="s">
        <v>50</v>
      </c>
      <c r="K3477" t="s">
        <v>112</v>
      </c>
      <c r="L3477" t="s">
        <v>113</v>
      </c>
      <c r="M3477">
        <v>778.5600000000001</v>
      </c>
    </row>
    <row r="3478">
      <c r="A3478" s="2">
        <v>45533</v>
      </c>
      <c r="B3478">
        <v>2025.0</v>
      </c>
      <c r="C3478" t="s">
        <v>315</v>
      </c>
      <c r="D3478" t="s">
        <v>316</v>
      </c>
      <c r="E3478" t="s">
        <v>219</v>
      </c>
      <c r="F3478" t="s">
        <v>306</v>
      </c>
      <c r="G3478" t="s">
        <v>11</v>
      </c>
      <c r="H3478">
        <v>4068.0</v>
      </c>
      <c r="I3478" t="s">
        <v>31</v>
      </c>
      <c r="J3478" t="s">
        <v>56</v>
      </c>
      <c r="K3478" t="s">
        <v>57</v>
      </c>
      <c r="L3478" t="s">
        <v>58</v>
      </c>
      <c r="M3478">
        <v>779.41</v>
      </c>
    </row>
    <row r="3479">
      <c r="A3479" s="2">
        <v>45594</v>
      </c>
      <c r="B3479">
        <v>2025.0</v>
      </c>
      <c r="C3479" t="s">
        <v>315</v>
      </c>
      <c r="D3479" t="s">
        <v>316</v>
      </c>
      <c r="E3479" t="s">
        <v>54</v>
      </c>
      <c r="F3479" t="s">
        <v>306</v>
      </c>
      <c r="G3479" t="s">
        <v>11</v>
      </c>
      <c r="H3479">
        <v>4012.0</v>
      </c>
      <c r="I3479" t="s">
        <v>31</v>
      </c>
      <c r="J3479" t="s">
        <v>56</v>
      </c>
      <c r="K3479" t="s">
        <v>33</v>
      </c>
      <c r="L3479" t="s">
        <v>34</v>
      </c>
      <c r="M3479">
        <v>779.49</v>
      </c>
    </row>
    <row r="3480">
      <c r="A3480" s="2">
        <v>45653</v>
      </c>
      <c r="B3480">
        <v>2025.0</v>
      </c>
      <c r="C3480" t="s">
        <v>315</v>
      </c>
      <c r="D3480" t="s">
        <v>316</v>
      </c>
      <c r="E3480" t="s">
        <v>171</v>
      </c>
      <c r="F3480" t="s">
        <v>305</v>
      </c>
      <c r="G3480" t="s">
        <v>10</v>
      </c>
      <c r="H3480">
        <v>3500.0</v>
      </c>
      <c r="I3480" t="s">
        <v>31</v>
      </c>
      <c r="J3480" t="s">
        <v>37</v>
      </c>
      <c r="K3480" t="s">
        <v>123</v>
      </c>
      <c r="L3480" t="s">
        <v>124</v>
      </c>
      <c r="M3480">
        <v>780.2199999999999</v>
      </c>
    </row>
    <row r="3481">
      <c r="A3481" s="2">
        <v>45502</v>
      </c>
      <c r="B3481">
        <v>2025.0</v>
      </c>
      <c r="C3481" t="s">
        <v>315</v>
      </c>
      <c r="D3481" t="s">
        <v>319</v>
      </c>
      <c r="E3481" t="s">
        <v>148</v>
      </c>
      <c r="F3481" t="s">
        <v>307</v>
      </c>
      <c r="G3481" t="s">
        <v>12</v>
      </c>
      <c r="H3481">
        <v>6450.0</v>
      </c>
      <c r="I3481" t="s">
        <v>31</v>
      </c>
      <c r="J3481" t="s">
        <v>50</v>
      </c>
      <c r="K3481" t="s">
        <v>46</v>
      </c>
      <c r="L3481" t="s">
        <v>47</v>
      </c>
      <c r="M3481">
        <v>780.5600000000001</v>
      </c>
    </row>
    <row r="3482">
      <c r="A3482" s="2">
        <v>45325</v>
      </c>
      <c r="B3482">
        <v>2024.0</v>
      </c>
      <c r="C3482" t="s">
        <v>318</v>
      </c>
      <c r="D3482" t="s">
        <v>316</v>
      </c>
      <c r="E3482" t="s">
        <v>191</v>
      </c>
      <c r="F3482" t="s">
        <v>305</v>
      </c>
      <c r="G3482" t="s">
        <v>10</v>
      </c>
      <c r="H3482">
        <v>3030.0</v>
      </c>
      <c r="I3482" t="s">
        <v>31</v>
      </c>
      <c r="J3482" t="s">
        <v>120</v>
      </c>
      <c r="K3482" t="s">
        <v>95</v>
      </c>
      <c r="L3482" t="s">
        <v>96</v>
      </c>
      <c r="M3482">
        <v>786.1600000000001</v>
      </c>
    </row>
    <row r="3483">
      <c r="A3483" s="2">
        <v>45548</v>
      </c>
      <c r="B3483">
        <v>2025.0</v>
      </c>
      <c r="C3483" t="s">
        <v>315</v>
      </c>
      <c r="D3483" t="s">
        <v>316</v>
      </c>
      <c r="E3483" t="s">
        <v>221</v>
      </c>
      <c r="F3483" t="s">
        <v>306</v>
      </c>
      <c r="G3483" t="s">
        <v>11</v>
      </c>
      <c r="H3483">
        <v>4053.0</v>
      </c>
      <c r="I3483" t="s">
        <v>31</v>
      </c>
      <c r="J3483" t="s">
        <v>56</v>
      </c>
      <c r="K3483" t="s">
        <v>43</v>
      </c>
      <c r="L3483" t="s">
        <v>44</v>
      </c>
      <c r="M3483">
        <v>786.3800000000001</v>
      </c>
    </row>
    <row r="3484">
      <c r="A3484" s="2">
        <v>45350</v>
      </c>
      <c r="B3484">
        <v>2024.0</v>
      </c>
      <c r="C3484" t="s">
        <v>318</v>
      </c>
      <c r="D3484" t="s">
        <v>316</v>
      </c>
      <c r="E3484" t="s">
        <v>244</v>
      </c>
      <c r="F3484" t="s">
        <v>308</v>
      </c>
      <c r="G3484" t="s">
        <v>13</v>
      </c>
      <c r="H3484">
        <v>5168.0</v>
      </c>
      <c r="I3484" t="s">
        <v>31</v>
      </c>
      <c r="J3484" t="s">
        <v>42</v>
      </c>
      <c r="K3484" t="s">
        <v>57</v>
      </c>
      <c r="L3484" t="s">
        <v>58</v>
      </c>
      <c r="M3484">
        <v>786.86</v>
      </c>
    </row>
    <row r="3485">
      <c r="A3485" s="2">
        <v>45466</v>
      </c>
      <c r="B3485">
        <v>2024.0</v>
      </c>
      <c r="C3485" t="s">
        <v>318</v>
      </c>
      <c r="D3485" t="s">
        <v>319</v>
      </c>
      <c r="E3485" t="s">
        <v>62</v>
      </c>
      <c r="F3485" t="s">
        <v>307</v>
      </c>
      <c r="G3485" t="s">
        <v>12</v>
      </c>
      <c r="H3485">
        <v>6530.0</v>
      </c>
      <c r="I3485" t="s">
        <v>31</v>
      </c>
      <c r="J3485" t="s">
        <v>50</v>
      </c>
      <c r="K3485" t="s">
        <v>123</v>
      </c>
      <c r="L3485" t="s">
        <v>124</v>
      </c>
      <c r="M3485">
        <v>787.0800000000002</v>
      </c>
    </row>
    <row r="3486">
      <c r="A3486" s="2">
        <v>45302</v>
      </c>
      <c r="B3486">
        <v>2024.0</v>
      </c>
      <c r="C3486" t="s">
        <v>318</v>
      </c>
      <c r="D3486" t="s">
        <v>316</v>
      </c>
      <c r="E3486" t="s">
        <v>160</v>
      </c>
      <c r="F3486" t="s">
        <v>307</v>
      </c>
      <c r="G3486" t="s">
        <v>12</v>
      </c>
      <c r="H3486">
        <v>6280.0</v>
      </c>
      <c r="I3486" t="s">
        <v>31</v>
      </c>
      <c r="J3486" t="s">
        <v>162</v>
      </c>
      <c r="K3486" t="s">
        <v>43</v>
      </c>
      <c r="L3486" t="s">
        <v>44</v>
      </c>
      <c r="M3486">
        <v>787.3199999999999</v>
      </c>
    </row>
    <row r="3487">
      <c r="A3487" s="2">
        <v>45596</v>
      </c>
      <c r="B3487">
        <v>2025.0</v>
      </c>
      <c r="C3487" t="s">
        <v>315</v>
      </c>
      <c r="D3487" t="s">
        <v>316</v>
      </c>
      <c r="E3487" t="s">
        <v>116</v>
      </c>
      <c r="F3487" t="s">
        <v>304</v>
      </c>
      <c r="G3487" t="s">
        <v>9</v>
      </c>
      <c r="H3487">
        <v>2485.0</v>
      </c>
      <c r="I3487" t="s">
        <v>31</v>
      </c>
      <c r="J3487" t="s">
        <v>70</v>
      </c>
      <c r="K3487" t="s">
        <v>46</v>
      </c>
      <c r="L3487" t="s">
        <v>47</v>
      </c>
      <c r="M3487">
        <v>787.88</v>
      </c>
    </row>
    <row r="3488">
      <c r="A3488" s="2">
        <v>45987</v>
      </c>
      <c r="B3488">
        <v>2026.0</v>
      </c>
      <c r="C3488" t="s">
        <v>321</v>
      </c>
      <c r="D3488" t="s">
        <v>316</v>
      </c>
      <c r="E3488" t="s">
        <v>179</v>
      </c>
      <c r="F3488" t="s">
        <v>304</v>
      </c>
      <c r="G3488" t="s">
        <v>9</v>
      </c>
      <c r="H3488">
        <v>2015.0</v>
      </c>
      <c r="I3488" t="s">
        <v>31</v>
      </c>
      <c r="J3488" t="s">
        <v>99</v>
      </c>
      <c r="K3488" t="s">
        <v>123</v>
      </c>
      <c r="L3488" t="s">
        <v>124</v>
      </c>
      <c r="M3488">
        <v>789.65</v>
      </c>
    </row>
    <row r="3489">
      <c r="A3489" s="2">
        <v>45414</v>
      </c>
      <c r="B3489">
        <v>2024.0</v>
      </c>
      <c r="C3489" t="s">
        <v>318</v>
      </c>
      <c r="D3489" t="s">
        <v>319</v>
      </c>
      <c r="E3489" t="s">
        <v>189</v>
      </c>
      <c r="F3489" t="s">
        <v>304</v>
      </c>
      <c r="G3489" t="s">
        <v>9</v>
      </c>
      <c r="H3489">
        <v>2131.0</v>
      </c>
      <c r="I3489" t="s">
        <v>31</v>
      </c>
      <c r="J3489" t="s">
        <v>81</v>
      </c>
      <c r="K3489" t="s">
        <v>123</v>
      </c>
      <c r="L3489" t="s">
        <v>124</v>
      </c>
      <c r="M3489">
        <v>791.3899999999999</v>
      </c>
    </row>
    <row r="3490">
      <c r="A3490" s="2">
        <v>45562</v>
      </c>
      <c r="B3490">
        <v>2025.0</v>
      </c>
      <c r="C3490" t="s">
        <v>315</v>
      </c>
      <c r="D3490" t="s">
        <v>316</v>
      </c>
      <c r="E3490" t="s">
        <v>87</v>
      </c>
      <c r="F3490" t="s">
        <v>305</v>
      </c>
      <c r="G3490" t="s">
        <v>10</v>
      </c>
      <c r="H3490">
        <v>3148.0</v>
      </c>
      <c r="I3490" t="s">
        <v>31</v>
      </c>
      <c r="J3490" t="s">
        <v>89</v>
      </c>
      <c r="K3490" t="s">
        <v>123</v>
      </c>
      <c r="L3490" t="s">
        <v>124</v>
      </c>
      <c r="M3490">
        <v>791.57</v>
      </c>
    </row>
    <row r="3491">
      <c r="A3491" s="2">
        <v>45487</v>
      </c>
      <c r="B3491">
        <v>2025.0</v>
      </c>
      <c r="C3491" t="s">
        <v>315</v>
      </c>
      <c r="D3491" t="s">
        <v>316</v>
      </c>
      <c r="E3491" t="s">
        <v>246</v>
      </c>
      <c r="F3491" t="s">
        <v>305</v>
      </c>
      <c r="G3491" t="s">
        <v>10</v>
      </c>
      <c r="H3491">
        <v>3551.0</v>
      </c>
      <c r="I3491" t="s">
        <v>31</v>
      </c>
      <c r="J3491" t="s">
        <v>37</v>
      </c>
      <c r="K3491" t="s">
        <v>71</v>
      </c>
      <c r="L3491" t="s">
        <v>72</v>
      </c>
      <c r="M3491">
        <v>792.0499999999998</v>
      </c>
    </row>
    <row r="3492">
      <c r="A3492" s="2">
        <v>45818</v>
      </c>
      <c r="B3492">
        <v>2025.0</v>
      </c>
      <c r="C3492" t="s">
        <v>315</v>
      </c>
      <c r="D3492" t="s">
        <v>316</v>
      </c>
      <c r="E3492" t="s">
        <v>154</v>
      </c>
      <c r="F3492" t="s">
        <v>306</v>
      </c>
      <c r="G3492" t="s">
        <v>11</v>
      </c>
      <c r="H3492">
        <v>4551.0</v>
      </c>
      <c r="I3492" t="s">
        <v>31</v>
      </c>
      <c r="J3492" t="s">
        <v>84</v>
      </c>
      <c r="K3492" t="s">
        <v>123</v>
      </c>
      <c r="L3492" t="s">
        <v>124</v>
      </c>
      <c r="M3492">
        <v>795.3100000000001</v>
      </c>
    </row>
    <row r="3493">
      <c r="A3493" s="2">
        <v>45847</v>
      </c>
      <c r="B3493">
        <v>2026.0</v>
      </c>
      <c r="C3493" t="s">
        <v>321</v>
      </c>
      <c r="D3493" t="s">
        <v>316</v>
      </c>
      <c r="E3493" t="s">
        <v>244</v>
      </c>
      <c r="F3493" t="s">
        <v>308</v>
      </c>
      <c r="G3493" t="s">
        <v>13</v>
      </c>
      <c r="H3493">
        <v>5168.0</v>
      </c>
      <c r="I3493" t="s">
        <v>31</v>
      </c>
      <c r="J3493" t="s">
        <v>42</v>
      </c>
      <c r="K3493" t="s">
        <v>123</v>
      </c>
      <c r="L3493" t="s">
        <v>124</v>
      </c>
      <c r="M3493">
        <v>795.65</v>
      </c>
    </row>
    <row r="3494">
      <c r="A3494" s="2">
        <v>45492</v>
      </c>
      <c r="B3494">
        <v>2025.0</v>
      </c>
      <c r="C3494" t="s">
        <v>315</v>
      </c>
      <c r="D3494" t="s">
        <v>319</v>
      </c>
      <c r="E3494" t="s">
        <v>228</v>
      </c>
      <c r="F3494" t="s">
        <v>306</v>
      </c>
      <c r="G3494" t="s">
        <v>11</v>
      </c>
      <c r="H3494">
        <v>4680.0</v>
      </c>
      <c r="I3494" t="s">
        <v>31</v>
      </c>
      <c r="J3494" t="s">
        <v>32</v>
      </c>
      <c r="K3494" t="s">
        <v>71</v>
      </c>
      <c r="L3494" t="s">
        <v>72</v>
      </c>
      <c r="M3494">
        <v>796.52</v>
      </c>
    </row>
    <row r="3495">
      <c r="A3495" s="2">
        <v>46014</v>
      </c>
      <c r="B3495">
        <v>2026.0</v>
      </c>
      <c r="C3495" t="s">
        <v>321</v>
      </c>
      <c r="D3495" t="s">
        <v>316</v>
      </c>
      <c r="E3495" t="s">
        <v>211</v>
      </c>
      <c r="F3495" t="s">
        <v>304</v>
      </c>
      <c r="G3495" t="s">
        <v>9</v>
      </c>
      <c r="H3495">
        <v>2650.0</v>
      </c>
      <c r="I3495" t="s">
        <v>31</v>
      </c>
      <c r="J3495" t="s">
        <v>75</v>
      </c>
      <c r="K3495" t="s">
        <v>123</v>
      </c>
      <c r="L3495" t="s">
        <v>124</v>
      </c>
      <c r="M3495">
        <v>796.7600000000003</v>
      </c>
    </row>
    <row r="3496">
      <c r="A3496" s="2">
        <v>45879</v>
      </c>
      <c r="B3496">
        <v>2026.0</v>
      </c>
      <c r="C3496" t="s">
        <v>321</v>
      </c>
      <c r="D3496" t="s">
        <v>316</v>
      </c>
      <c r="E3496" t="s">
        <v>59</v>
      </c>
      <c r="F3496" t="s">
        <v>306</v>
      </c>
      <c r="G3496" t="s">
        <v>11</v>
      </c>
      <c r="H3496">
        <v>4509.0</v>
      </c>
      <c r="I3496" t="s">
        <v>31</v>
      </c>
      <c r="J3496" t="s">
        <v>61</v>
      </c>
      <c r="K3496" t="s">
        <v>43</v>
      </c>
      <c r="L3496" t="s">
        <v>44</v>
      </c>
      <c r="M3496">
        <v>797.2</v>
      </c>
    </row>
    <row r="3497">
      <c r="A3497" s="2">
        <v>45754</v>
      </c>
      <c r="B3497">
        <v>2025.0</v>
      </c>
      <c r="C3497" t="s">
        <v>315</v>
      </c>
      <c r="D3497" t="s">
        <v>319</v>
      </c>
      <c r="E3497" t="s">
        <v>217</v>
      </c>
      <c r="F3497" t="s">
        <v>305</v>
      </c>
      <c r="G3497" t="s">
        <v>10</v>
      </c>
      <c r="H3497">
        <v>3136.0</v>
      </c>
      <c r="I3497" t="s">
        <v>31</v>
      </c>
      <c r="J3497" t="s">
        <v>89</v>
      </c>
      <c r="K3497" t="s">
        <v>71</v>
      </c>
      <c r="L3497" t="s">
        <v>72</v>
      </c>
      <c r="M3497">
        <v>797.62</v>
      </c>
    </row>
    <row r="3498">
      <c r="A3498" s="2">
        <v>45392</v>
      </c>
      <c r="B3498">
        <v>2024.0</v>
      </c>
      <c r="C3498" t="s">
        <v>318</v>
      </c>
      <c r="D3498" t="s">
        <v>316</v>
      </c>
      <c r="E3498" t="s">
        <v>97</v>
      </c>
      <c r="F3498" t="s">
        <v>304</v>
      </c>
      <c r="G3498" t="s">
        <v>9</v>
      </c>
      <c r="H3498">
        <v>2067.0</v>
      </c>
      <c r="I3498" t="s">
        <v>31</v>
      </c>
      <c r="J3498" t="s">
        <v>99</v>
      </c>
      <c r="K3498" t="s">
        <v>112</v>
      </c>
      <c r="L3498" t="s">
        <v>113</v>
      </c>
      <c r="M3498">
        <v>797.7500000000001</v>
      </c>
    </row>
    <row r="3499">
      <c r="A3499" s="2">
        <v>45673</v>
      </c>
      <c r="B3499">
        <v>2025.0</v>
      </c>
      <c r="C3499" t="s">
        <v>315</v>
      </c>
      <c r="D3499" t="s">
        <v>316</v>
      </c>
      <c r="E3499" t="s">
        <v>110</v>
      </c>
      <c r="F3499" t="s">
        <v>304</v>
      </c>
      <c r="G3499" t="s">
        <v>9</v>
      </c>
      <c r="H3499">
        <v>2101.0</v>
      </c>
      <c r="I3499" t="s">
        <v>31</v>
      </c>
      <c r="J3499" t="s">
        <v>81</v>
      </c>
      <c r="K3499" t="s">
        <v>38</v>
      </c>
      <c r="L3499" t="s">
        <v>39</v>
      </c>
      <c r="M3499">
        <v>798.23</v>
      </c>
    </row>
    <row r="3500">
      <c r="A3500" s="2">
        <v>45559</v>
      </c>
      <c r="B3500">
        <v>2025.0</v>
      </c>
      <c r="C3500" t="s">
        <v>315</v>
      </c>
      <c r="D3500" t="s">
        <v>316</v>
      </c>
      <c r="E3500" t="s">
        <v>232</v>
      </c>
      <c r="F3500" t="s">
        <v>304</v>
      </c>
      <c r="G3500" t="s">
        <v>9</v>
      </c>
      <c r="H3500">
        <v>2800.0</v>
      </c>
      <c r="I3500" t="s">
        <v>31</v>
      </c>
      <c r="J3500" t="s">
        <v>75</v>
      </c>
      <c r="K3500" t="s">
        <v>33</v>
      </c>
      <c r="L3500" t="s">
        <v>34</v>
      </c>
      <c r="M3500">
        <v>798.24</v>
      </c>
    </row>
    <row r="3501">
      <c r="A3501" s="2">
        <v>45450</v>
      </c>
      <c r="B3501">
        <v>2024.0</v>
      </c>
      <c r="C3501" t="s">
        <v>318</v>
      </c>
      <c r="D3501" t="s">
        <v>316</v>
      </c>
      <c r="E3501" t="s">
        <v>152</v>
      </c>
      <c r="F3501" t="s">
        <v>306</v>
      </c>
      <c r="G3501" t="s">
        <v>11</v>
      </c>
      <c r="H3501">
        <v>4305.0</v>
      </c>
      <c r="I3501" t="s">
        <v>31</v>
      </c>
      <c r="J3501" t="s">
        <v>61</v>
      </c>
      <c r="K3501" t="s">
        <v>95</v>
      </c>
      <c r="L3501" t="s">
        <v>96</v>
      </c>
      <c r="M3501">
        <v>798.52</v>
      </c>
    </row>
    <row r="3502">
      <c r="A3502" s="2">
        <v>45508</v>
      </c>
      <c r="B3502">
        <v>2025.0</v>
      </c>
      <c r="C3502" t="s">
        <v>315</v>
      </c>
      <c r="D3502" t="s">
        <v>319</v>
      </c>
      <c r="E3502" t="s">
        <v>163</v>
      </c>
      <c r="F3502" t="s">
        <v>304</v>
      </c>
      <c r="G3502" t="s">
        <v>9</v>
      </c>
      <c r="H3502">
        <v>2154.0</v>
      </c>
      <c r="I3502" t="s">
        <v>31</v>
      </c>
      <c r="J3502" t="s">
        <v>81</v>
      </c>
      <c r="K3502" t="s">
        <v>123</v>
      </c>
      <c r="L3502" t="s">
        <v>124</v>
      </c>
      <c r="M3502">
        <v>799.67</v>
      </c>
    </row>
    <row r="3503">
      <c r="A3503" s="2">
        <v>45581</v>
      </c>
      <c r="B3503">
        <v>2025.0</v>
      </c>
      <c r="C3503" t="s">
        <v>315</v>
      </c>
      <c r="D3503" t="s">
        <v>316</v>
      </c>
      <c r="E3503" t="s">
        <v>108</v>
      </c>
      <c r="F3503" t="s">
        <v>304</v>
      </c>
      <c r="G3503" t="s">
        <v>9</v>
      </c>
      <c r="H3503">
        <v>2795.0</v>
      </c>
      <c r="I3503" t="s">
        <v>31</v>
      </c>
      <c r="J3503" t="s">
        <v>75</v>
      </c>
      <c r="K3503" t="s">
        <v>71</v>
      </c>
      <c r="L3503" t="s">
        <v>72</v>
      </c>
      <c r="M3503">
        <v>800.1</v>
      </c>
    </row>
    <row r="3504">
      <c r="A3504" s="2">
        <v>45648</v>
      </c>
      <c r="B3504">
        <v>2025.0</v>
      </c>
      <c r="C3504" t="s">
        <v>315</v>
      </c>
      <c r="D3504" t="s">
        <v>316</v>
      </c>
      <c r="E3504" t="s">
        <v>87</v>
      </c>
      <c r="F3504" t="s">
        <v>305</v>
      </c>
      <c r="G3504" t="s">
        <v>10</v>
      </c>
      <c r="H3504">
        <v>3148.0</v>
      </c>
      <c r="I3504" t="s">
        <v>31</v>
      </c>
      <c r="J3504" t="s">
        <v>89</v>
      </c>
      <c r="K3504" t="s">
        <v>112</v>
      </c>
      <c r="L3504" t="s">
        <v>113</v>
      </c>
      <c r="M3504">
        <v>800.23</v>
      </c>
    </row>
    <row r="3505">
      <c r="A3505" s="2">
        <v>45880</v>
      </c>
      <c r="B3505">
        <v>2026.0</v>
      </c>
      <c r="C3505" t="s">
        <v>321</v>
      </c>
      <c r="D3505" t="s">
        <v>316</v>
      </c>
      <c r="E3505" t="s">
        <v>223</v>
      </c>
      <c r="F3505" t="s">
        <v>305</v>
      </c>
      <c r="G3505" t="s">
        <v>10</v>
      </c>
      <c r="H3505">
        <v>3915.0</v>
      </c>
      <c r="I3505" t="s">
        <v>31</v>
      </c>
      <c r="J3505" t="s">
        <v>94</v>
      </c>
      <c r="K3505" t="s">
        <v>95</v>
      </c>
      <c r="L3505" t="s">
        <v>96</v>
      </c>
      <c r="M3505">
        <v>801.37</v>
      </c>
    </row>
    <row r="3506">
      <c r="A3506" s="2">
        <v>45774</v>
      </c>
      <c r="B3506">
        <v>2025.0</v>
      </c>
      <c r="C3506" t="s">
        <v>315</v>
      </c>
      <c r="D3506" t="s">
        <v>316</v>
      </c>
      <c r="E3506" t="s">
        <v>160</v>
      </c>
      <c r="F3506" t="s">
        <v>307</v>
      </c>
      <c r="G3506" t="s">
        <v>12</v>
      </c>
      <c r="H3506">
        <v>6280.0</v>
      </c>
      <c r="I3506" t="s">
        <v>31</v>
      </c>
      <c r="J3506" t="s">
        <v>162</v>
      </c>
      <c r="K3506" t="s">
        <v>112</v>
      </c>
      <c r="L3506" t="s">
        <v>113</v>
      </c>
      <c r="M3506">
        <v>801.4800000000001</v>
      </c>
    </row>
    <row r="3507">
      <c r="A3507" s="2">
        <v>45357</v>
      </c>
      <c r="B3507">
        <v>2024.0</v>
      </c>
      <c r="C3507" t="s">
        <v>318</v>
      </c>
      <c r="D3507" t="s">
        <v>316</v>
      </c>
      <c r="E3507" t="s">
        <v>133</v>
      </c>
      <c r="F3507" t="s">
        <v>305</v>
      </c>
      <c r="G3507" t="s">
        <v>10</v>
      </c>
      <c r="H3507">
        <v>3429.0</v>
      </c>
      <c r="I3507" t="s">
        <v>31</v>
      </c>
      <c r="J3507" t="s">
        <v>37</v>
      </c>
      <c r="K3507" t="s">
        <v>33</v>
      </c>
      <c r="L3507" t="s">
        <v>34</v>
      </c>
      <c r="M3507">
        <v>801.6800000000001</v>
      </c>
    </row>
    <row r="3508">
      <c r="A3508" s="2">
        <v>45845</v>
      </c>
      <c r="B3508">
        <v>2026.0</v>
      </c>
      <c r="C3508" t="s">
        <v>321</v>
      </c>
      <c r="D3508" t="s">
        <v>316</v>
      </c>
      <c r="E3508" t="s">
        <v>262</v>
      </c>
      <c r="F3508" t="s">
        <v>305</v>
      </c>
      <c r="G3508" t="s">
        <v>10</v>
      </c>
      <c r="H3508">
        <v>3018.0</v>
      </c>
      <c r="I3508" t="s">
        <v>31</v>
      </c>
      <c r="J3508" t="s">
        <v>120</v>
      </c>
      <c r="K3508" t="s">
        <v>123</v>
      </c>
      <c r="L3508" t="s">
        <v>124</v>
      </c>
      <c r="M3508">
        <v>801.97</v>
      </c>
    </row>
    <row r="3509">
      <c r="A3509" s="2">
        <v>45771</v>
      </c>
      <c r="B3509">
        <v>2025.0</v>
      </c>
      <c r="C3509" t="s">
        <v>315</v>
      </c>
      <c r="D3509" t="s">
        <v>316</v>
      </c>
      <c r="E3509" t="s">
        <v>135</v>
      </c>
      <c r="F3509" t="s">
        <v>311</v>
      </c>
      <c r="G3509" t="s">
        <v>16</v>
      </c>
      <c r="H3509">
        <v>2609.0</v>
      </c>
      <c r="I3509" t="s">
        <v>31</v>
      </c>
      <c r="J3509" t="s">
        <v>107</v>
      </c>
      <c r="K3509" t="s">
        <v>71</v>
      </c>
      <c r="L3509" t="s">
        <v>72</v>
      </c>
      <c r="M3509">
        <v>802.67</v>
      </c>
    </row>
    <row r="3510">
      <c r="A3510" s="2">
        <v>45408</v>
      </c>
      <c r="B3510">
        <v>2024.0</v>
      </c>
      <c r="C3510" t="s">
        <v>318</v>
      </c>
      <c r="D3510" t="s">
        <v>319</v>
      </c>
      <c r="E3510" t="s">
        <v>100</v>
      </c>
      <c r="F3510" t="s">
        <v>307</v>
      </c>
      <c r="G3510" t="s">
        <v>12</v>
      </c>
      <c r="H3510">
        <v>6010.0</v>
      </c>
      <c r="I3510" t="s">
        <v>31</v>
      </c>
      <c r="J3510" t="s">
        <v>102</v>
      </c>
      <c r="K3510" t="s">
        <v>71</v>
      </c>
      <c r="L3510" t="s">
        <v>72</v>
      </c>
      <c r="M3510">
        <v>802.7500000000001</v>
      </c>
    </row>
    <row r="3511">
      <c r="A3511" s="2">
        <v>45650</v>
      </c>
      <c r="B3511">
        <v>2025.0</v>
      </c>
      <c r="C3511" t="s">
        <v>315</v>
      </c>
      <c r="D3511" t="s">
        <v>319</v>
      </c>
      <c r="E3511" t="s">
        <v>82</v>
      </c>
      <c r="F3511" t="s">
        <v>306</v>
      </c>
      <c r="G3511" t="s">
        <v>11</v>
      </c>
      <c r="H3511">
        <v>4558.0</v>
      </c>
      <c r="I3511" t="s">
        <v>31</v>
      </c>
      <c r="J3511" t="s">
        <v>84</v>
      </c>
      <c r="K3511" t="s">
        <v>43</v>
      </c>
      <c r="L3511" t="s">
        <v>44</v>
      </c>
      <c r="M3511">
        <v>803.27</v>
      </c>
    </row>
    <row r="3512">
      <c r="A3512" s="2">
        <v>45543</v>
      </c>
      <c r="B3512">
        <v>2025.0</v>
      </c>
      <c r="C3512" t="s">
        <v>315</v>
      </c>
      <c r="D3512" t="s">
        <v>319</v>
      </c>
      <c r="E3512" t="s">
        <v>92</v>
      </c>
      <c r="F3512" t="s">
        <v>305</v>
      </c>
      <c r="G3512" t="s">
        <v>10</v>
      </c>
      <c r="H3512">
        <v>3690.0</v>
      </c>
      <c r="I3512" t="s">
        <v>31</v>
      </c>
      <c r="J3512" t="s">
        <v>94</v>
      </c>
      <c r="K3512" t="s">
        <v>57</v>
      </c>
      <c r="L3512" t="s">
        <v>58</v>
      </c>
      <c r="M3512">
        <v>803.6199999999999</v>
      </c>
    </row>
    <row r="3513">
      <c r="A3513" s="2">
        <v>45723</v>
      </c>
      <c r="B3513">
        <v>2025.0</v>
      </c>
      <c r="C3513" t="s">
        <v>315</v>
      </c>
      <c r="D3513" t="s">
        <v>316</v>
      </c>
      <c r="E3513" t="s">
        <v>181</v>
      </c>
      <c r="F3513" t="s">
        <v>306</v>
      </c>
      <c r="G3513" t="s">
        <v>11</v>
      </c>
      <c r="H3513">
        <v>4119.0</v>
      </c>
      <c r="I3513" t="s">
        <v>31</v>
      </c>
      <c r="J3513" t="s">
        <v>56</v>
      </c>
      <c r="K3513" t="s">
        <v>43</v>
      </c>
      <c r="L3513" t="s">
        <v>44</v>
      </c>
      <c r="M3513">
        <v>803.81</v>
      </c>
    </row>
    <row r="3514">
      <c r="A3514" s="2">
        <v>45341</v>
      </c>
      <c r="B3514">
        <v>2024.0</v>
      </c>
      <c r="C3514" t="s">
        <v>318</v>
      </c>
      <c r="D3514" t="s">
        <v>316</v>
      </c>
      <c r="E3514" t="s">
        <v>181</v>
      </c>
      <c r="F3514" t="s">
        <v>306</v>
      </c>
      <c r="G3514" t="s">
        <v>11</v>
      </c>
      <c r="H3514">
        <v>4119.0</v>
      </c>
      <c r="I3514" t="s">
        <v>31</v>
      </c>
      <c r="J3514" t="s">
        <v>56</v>
      </c>
      <c r="K3514" t="s">
        <v>123</v>
      </c>
      <c r="L3514" t="s">
        <v>124</v>
      </c>
      <c r="M3514">
        <v>807.6699999999998</v>
      </c>
    </row>
    <row r="3515">
      <c r="A3515" s="2">
        <v>45776</v>
      </c>
      <c r="B3515">
        <v>2025.0</v>
      </c>
      <c r="C3515" t="s">
        <v>315</v>
      </c>
      <c r="D3515" t="s">
        <v>316</v>
      </c>
      <c r="E3515" t="s">
        <v>118</v>
      </c>
      <c r="F3515" t="s">
        <v>305</v>
      </c>
      <c r="G3515" t="s">
        <v>10</v>
      </c>
      <c r="H3515">
        <v>3076.0</v>
      </c>
      <c r="I3515" t="s">
        <v>31</v>
      </c>
      <c r="J3515" t="s">
        <v>120</v>
      </c>
      <c r="K3515" t="s">
        <v>57</v>
      </c>
      <c r="L3515" t="s">
        <v>58</v>
      </c>
      <c r="M3515">
        <v>808.07</v>
      </c>
    </row>
    <row r="3516">
      <c r="A3516" s="2">
        <v>46000</v>
      </c>
      <c r="B3516">
        <v>2026.0</v>
      </c>
      <c r="C3516" t="s">
        <v>321</v>
      </c>
      <c r="D3516" t="s">
        <v>316</v>
      </c>
      <c r="E3516" t="s">
        <v>35</v>
      </c>
      <c r="F3516" t="s">
        <v>305</v>
      </c>
      <c r="G3516" t="s">
        <v>10</v>
      </c>
      <c r="H3516">
        <v>3280.0</v>
      </c>
      <c r="I3516" t="s">
        <v>31</v>
      </c>
      <c r="J3516" t="s">
        <v>37</v>
      </c>
      <c r="K3516" t="s">
        <v>43</v>
      </c>
      <c r="L3516" t="s">
        <v>44</v>
      </c>
      <c r="M3516">
        <v>809.27</v>
      </c>
    </row>
    <row r="3517">
      <c r="A3517" s="2">
        <v>45527</v>
      </c>
      <c r="B3517">
        <v>2025.0</v>
      </c>
      <c r="C3517" t="s">
        <v>315</v>
      </c>
      <c r="D3517" t="s">
        <v>316</v>
      </c>
      <c r="E3517" t="s">
        <v>191</v>
      </c>
      <c r="F3517" t="s">
        <v>305</v>
      </c>
      <c r="G3517" t="s">
        <v>10</v>
      </c>
      <c r="H3517">
        <v>3030.0</v>
      </c>
      <c r="I3517" t="s">
        <v>31</v>
      </c>
      <c r="J3517" t="s">
        <v>120</v>
      </c>
      <c r="K3517" t="s">
        <v>95</v>
      </c>
      <c r="L3517" t="s">
        <v>96</v>
      </c>
      <c r="M3517">
        <v>809.3100000000001</v>
      </c>
    </row>
    <row r="3518">
      <c r="A3518" s="2">
        <v>45676</v>
      </c>
      <c r="B3518">
        <v>2025.0</v>
      </c>
      <c r="C3518" t="s">
        <v>315</v>
      </c>
      <c r="D3518" t="s">
        <v>319</v>
      </c>
      <c r="E3518" t="s">
        <v>90</v>
      </c>
      <c r="F3518" t="s">
        <v>305</v>
      </c>
      <c r="G3518" t="s">
        <v>10</v>
      </c>
      <c r="H3518">
        <v>3353.0</v>
      </c>
      <c r="I3518" t="s">
        <v>31</v>
      </c>
      <c r="J3518" t="s">
        <v>37</v>
      </c>
      <c r="K3518" t="s">
        <v>43</v>
      </c>
      <c r="L3518" t="s">
        <v>44</v>
      </c>
      <c r="M3518">
        <v>809.47</v>
      </c>
    </row>
    <row r="3519">
      <c r="A3519" s="2">
        <v>45336</v>
      </c>
      <c r="B3519">
        <v>2024.0</v>
      </c>
      <c r="C3519" t="s">
        <v>318</v>
      </c>
      <c r="D3519" t="s">
        <v>316</v>
      </c>
      <c r="E3519" t="s">
        <v>213</v>
      </c>
      <c r="F3519" t="s">
        <v>306</v>
      </c>
      <c r="G3519" t="s">
        <v>11</v>
      </c>
      <c r="H3519">
        <v>4740.0</v>
      </c>
      <c r="I3519" t="s">
        <v>31</v>
      </c>
      <c r="J3519" t="s">
        <v>32</v>
      </c>
      <c r="K3519" t="s">
        <v>43</v>
      </c>
      <c r="L3519" t="s">
        <v>44</v>
      </c>
      <c r="M3519">
        <v>811.31</v>
      </c>
    </row>
    <row r="3520">
      <c r="A3520" s="2">
        <v>45967</v>
      </c>
      <c r="B3520">
        <v>2026.0</v>
      </c>
      <c r="C3520" t="s">
        <v>321</v>
      </c>
      <c r="D3520" t="s">
        <v>319</v>
      </c>
      <c r="E3520" t="s">
        <v>240</v>
      </c>
      <c r="F3520" t="s">
        <v>310</v>
      </c>
      <c r="G3520" t="s">
        <v>15</v>
      </c>
      <c r="H3520">
        <v>7010.0</v>
      </c>
      <c r="I3520" t="s">
        <v>31</v>
      </c>
      <c r="J3520" t="s">
        <v>53</v>
      </c>
      <c r="K3520" t="s">
        <v>71</v>
      </c>
      <c r="L3520" t="s">
        <v>72</v>
      </c>
      <c r="M3520">
        <v>812.1899999999999</v>
      </c>
    </row>
    <row r="3521">
      <c r="A3521" s="2">
        <v>45408</v>
      </c>
      <c r="B3521">
        <v>2024.0</v>
      </c>
      <c r="C3521" t="s">
        <v>318</v>
      </c>
      <c r="D3521" t="s">
        <v>316</v>
      </c>
      <c r="E3521" t="s">
        <v>59</v>
      </c>
      <c r="F3521" t="s">
        <v>306</v>
      </c>
      <c r="G3521" t="s">
        <v>11</v>
      </c>
      <c r="H3521">
        <v>4509.0</v>
      </c>
      <c r="I3521" t="s">
        <v>31</v>
      </c>
      <c r="J3521" t="s">
        <v>61</v>
      </c>
      <c r="K3521" t="s">
        <v>71</v>
      </c>
      <c r="L3521" t="s">
        <v>72</v>
      </c>
      <c r="M3521">
        <v>813.89</v>
      </c>
    </row>
    <row r="3522">
      <c r="A3522" s="2">
        <v>45439</v>
      </c>
      <c r="B3522">
        <v>2024.0</v>
      </c>
      <c r="C3522" t="s">
        <v>318</v>
      </c>
      <c r="D3522" t="s">
        <v>316</v>
      </c>
      <c r="E3522" t="s">
        <v>171</v>
      </c>
      <c r="F3522" t="s">
        <v>305</v>
      </c>
      <c r="G3522" t="s">
        <v>10</v>
      </c>
      <c r="H3522">
        <v>3500.0</v>
      </c>
      <c r="I3522" t="s">
        <v>31</v>
      </c>
      <c r="J3522" t="s">
        <v>37</v>
      </c>
      <c r="K3522" t="s">
        <v>95</v>
      </c>
      <c r="L3522" t="s">
        <v>96</v>
      </c>
      <c r="M3522">
        <v>815.31</v>
      </c>
    </row>
    <row r="3523">
      <c r="A3523" s="2">
        <v>45795</v>
      </c>
      <c r="B3523">
        <v>2025.0</v>
      </c>
      <c r="C3523" t="s">
        <v>315</v>
      </c>
      <c r="D3523" t="s">
        <v>316</v>
      </c>
      <c r="E3523" t="s">
        <v>64</v>
      </c>
      <c r="F3523" t="s">
        <v>306</v>
      </c>
      <c r="G3523" t="s">
        <v>11</v>
      </c>
      <c r="H3523">
        <v>4215.0</v>
      </c>
      <c r="I3523" t="s">
        <v>31</v>
      </c>
      <c r="J3523" t="s">
        <v>61</v>
      </c>
      <c r="K3523" t="s">
        <v>123</v>
      </c>
      <c r="L3523" t="s">
        <v>124</v>
      </c>
      <c r="M3523">
        <v>815.6099999999998</v>
      </c>
    </row>
    <row r="3524">
      <c r="A3524" s="2">
        <v>45557</v>
      </c>
      <c r="B3524">
        <v>2025.0</v>
      </c>
      <c r="C3524" t="s">
        <v>315</v>
      </c>
      <c r="D3524" t="s">
        <v>319</v>
      </c>
      <c r="E3524" t="s">
        <v>127</v>
      </c>
      <c r="F3524" t="s">
        <v>306</v>
      </c>
      <c r="G3524" t="s">
        <v>11</v>
      </c>
      <c r="H3524">
        <v>4802.0</v>
      </c>
      <c r="I3524" t="s">
        <v>31</v>
      </c>
      <c r="J3524" t="s">
        <v>78</v>
      </c>
      <c r="K3524" t="s">
        <v>71</v>
      </c>
      <c r="L3524" t="s">
        <v>72</v>
      </c>
      <c r="M3524">
        <v>816.8900000000001</v>
      </c>
    </row>
    <row r="3525">
      <c r="A3525" s="2">
        <v>45962</v>
      </c>
      <c r="B3525">
        <v>2026.0</v>
      </c>
      <c r="C3525" t="s">
        <v>321</v>
      </c>
      <c r="D3525" t="s">
        <v>319</v>
      </c>
      <c r="E3525" t="s">
        <v>177</v>
      </c>
      <c r="F3525" t="s">
        <v>307</v>
      </c>
      <c r="G3525" t="s">
        <v>12</v>
      </c>
      <c r="H3525">
        <v>6330.0</v>
      </c>
      <c r="I3525" t="s">
        <v>31</v>
      </c>
      <c r="J3525" t="s">
        <v>162</v>
      </c>
      <c r="K3525" t="s">
        <v>38</v>
      </c>
      <c r="L3525" t="s">
        <v>39</v>
      </c>
      <c r="M3525">
        <v>816.9800000000001</v>
      </c>
    </row>
    <row r="3526">
      <c r="A3526" s="2">
        <v>45993</v>
      </c>
      <c r="B3526">
        <v>2026.0</v>
      </c>
      <c r="C3526" t="s">
        <v>321</v>
      </c>
      <c r="D3526" t="s">
        <v>316</v>
      </c>
      <c r="E3526" t="s">
        <v>154</v>
      </c>
      <c r="F3526" t="s">
        <v>306</v>
      </c>
      <c r="G3526" t="s">
        <v>11</v>
      </c>
      <c r="H3526">
        <v>4551.0</v>
      </c>
      <c r="I3526" t="s">
        <v>31</v>
      </c>
      <c r="J3526" t="s">
        <v>84</v>
      </c>
      <c r="K3526" t="s">
        <v>123</v>
      </c>
      <c r="L3526" t="s">
        <v>124</v>
      </c>
      <c r="M3526">
        <v>817.6100000000001</v>
      </c>
    </row>
    <row r="3527">
      <c r="A3527" s="2">
        <v>45363</v>
      </c>
      <c r="B3527">
        <v>2024.0</v>
      </c>
      <c r="C3527" t="s">
        <v>318</v>
      </c>
      <c r="D3527" t="s">
        <v>319</v>
      </c>
      <c r="E3527" t="s">
        <v>262</v>
      </c>
      <c r="F3527" t="s">
        <v>305</v>
      </c>
      <c r="G3527" t="s">
        <v>10</v>
      </c>
      <c r="H3527">
        <v>3018.0</v>
      </c>
      <c r="I3527" t="s">
        <v>31</v>
      </c>
      <c r="J3527" t="s">
        <v>120</v>
      </c>
      <c r="K3527" t="s">
        <v>57</v>
      </c>
      <c r="L3527" t="s">
        <v>58</v>
      </c>
      <c r="M3527">
        <v>817.7000000000002</v>
      </c>
    </row>
    <row r="3528">
      <c r="A3528" s="2">
        <v>45357</v>
      </c>
      <c r="B3528">
        <v>2024.0</v>
      </c>
      <c r="C3528" t="s">
        <v>318</v>
      </c>
      <c r="D3528" t="s">
        <v>316</v>
      </c>
      <c r="E3528" t="s">
        <v>221</v>
      </c>
      <c r="F3528" t="s">
        <v>306</v>
      </c>
      <c r="G3528" t="s">
        <v>11</v>
      </c>
      <c r="H3528">
        <v>4053.0</v>
      </c>
      <c r="I3528" t="s">
        <v>31</v>
      </c>
      <c r="J3528" t="s">
        <v>56</v>
      </c>
      <c r="K3528" t="s">
        <v>43</v>
      </c>
      <c r="L3528" t="s">
        <v>44</v>
      </c>
      <c r="M3528">
        <v>818.34</v>
      </c>
    </row>
    <row r="3529">
      <c r="A3529" s="2">
        <v>45949</v>
      </c>
      <c r="B3529">
        <v>2026.0</v>
      </c>
      <c r="C3529" t="s">
        <v>321</v>
      </c>
      <c r="D3529" t="s">
        <v>316</v>
      </c>
      <c r="E3529" t="s">
        <v>51</v>
      </c>
      <c r="F3529" t="s">
        <v>310</v>
      </c>
      <c r="G3529" t="s">
        <v>15</v>
      </c>
      <c r="H3529">
        <v>7018.0</v>
      </c>
      <c r="I3529" t="s">
        <v>31</v>
      </c>
      <c r="J3529" t="s">
        <v>53</v>
      </c>
      <c r="K3529" t="s">
        <v>123</v>
      </c>
      <c r="L3529" t="s">
        <v>124</v>
      </c>
      <c r="M3529">
        <v>819.13</v>
      </c>
    </row>
    <row r="3530">
      <c r="A3530" s="2">
        <v>45875</v>
      </c>
      <c r="B3530">
        <v>2026.0</v>
      </c>
      <c r="C3530" t="s">
        <v>321</v>
      </c>
      <c r="D3530" t="s">
        <v>316</v>
      </c>
      <c r="E3530" t="s">
        <v>97</v>
      </c>
      <c r="F3530" t="s">
        <v>304</v>
      </c>
      <c r="G3530" t="s">
        <v>9</v>
      </c>
      <c r="H3530">
        <v>2067.0</v>
      </c>
      <c r="I3530" t="s">
        <v>31</v>
      </c>
      <c r="J3530" t="s">
        <v>99</v>
      </c>
      <c r="K3530" t="s">
        <v>95</v>
      </c>
      <c r="L3530" t="s">
        <v>96</v>
      </c>
      <c r="M3530">
        <v>819.1400000000001</v>
      </c>
    </row>
    <row r="3531">
      <c r="A3531" s="2">
        <v>45953</v>
      </c>
      <c r="B3531">
        <v>2026.0</v>
      </c>
      <c r="C3531" t="s">
        <v>321</v>
      </c>
      <c r="D3531" t="s">
        <v>316</v>
      </c>
      <c r="E3531" t="s">
        <v>264</v>
      </c>
      <c r="F3531" t="s">
        <v>308</v>
      </c>
      <c r="G3531" t="s">
        <v>13</v>
      </c>
      <c r="H3531">
        <v>5043.0</v>
      </c>
      <c r="I3531" t="s">
        <v>31</v>
      </c>
      <c r="J3531" t="s">
        <v>42</v>
      </c>
      <c r="K3531" t="s">
        <v>71</v>
      </c>
      <c r="L3531" t="s">
        <v>72</v>
      </c>
      <c r="M3531">
        <v>819.16</v>
      </c>
    </row>
    <row r="3532">
      <c r="A3532" s="2">
        <v>45796</v>
      </c>
      <c r="B3532">
        <v>2025.0</v>
      </c>
      <c r="C3532" t="s">
        <v>315</v>
      </c>
      <c r="D3532" t="s">
        <v>316</v>
      </c>
      <c r="E3532" t="s">
        <v>160</v>
      </c>
      <c r="F3532" t="s">
        <v>307</v>
      </c>
      <c r="G3532" t="s">
        <v>12</v>
      </c>
      <c r="H3532">
        <v>6280.0</v>
      </c>
      <c r="I3532" t="s">
        <v>31</v>
      </c>
      <c r="J3532" t="s">
        <v>162</v>
      </c>
      <c r="K3532" t="s">
        <v>66</v>
      </c>
      <c r="L3532" t="s">
        <v>67</v>
      </c>
      <c r="M3532">
        <v>821.3599999999999</v>
      </c>
    </row>
    <row r="3533">
      <c r="A3533" s="2">
        <v>45310</v>
      </c>
      <c r="B3533">
        <v>2024.0</v>
      </c>
      <c r="C3533" t="s">
        <v>318</v>
      </c>
      <c r="D3533" t="s">
        <v>316</v>
      </c>
      <c r="E3533" t="s">
        <v>195</v>
      </c>
      <c r="F3533" t="s">
        <v>306</v>
      </c>
      <c r="G3533" t="s">
        <v>11</v>
      </c>
      <c r="H3533">
        <v>4700.0</v>
      </c>
      <c r="I3533" t="s">
        <v>31</v>
      </c>
      <c r="J3533" t="s">
        <v>32</v>
      </c>
      <c r="K3533" t="s">
        <v>57</v>
      </c>
      <c r="L3533" t="s">
        <v>58</v>
      </c>
      <c r="M3533">
        <v>827.26</v>
      </c>
    </row>
    <row r="3534">
      <c r="A3534" s="2">
        <v>45942</v>
      </c>
      <c r="B3534">
        <v>2026.0</v>
      </c>
      <c r="C3534" t="s">
        <v>321</v>
      </c>
      <c r="D3534" t="s">
        <v>316</v>
      </c>
      <c r="E3534" t="s">
        <v>254</v>
      </c>
      <c r="F3534" t="s">
        <v>308</v>
      </c>
      <c r="G3534" t="s">
        <v>13</v>
      </c>
      <c r="H3534">
        <v>5343.0</v>
      </c>
      <c r="I3534" t="s">
        <v>31</v>
      </c>
      <c r="J3534" t="s">
        <v>227</v>
      </c>
      <c r="K3534" t="s">
        <v>95</v>
      </c>
      <c r="L3534" t="s">
        <v>96</v>
      </c>
      <c r="M3534">
        <v>829.82</v>
      </c>
    </row>
    <row r="3535">
      <c r="A3535" s="2">
        <v>45913</v>
      </c>
      <c r="B3535">
        <v>2026.0</v>
      </c>
      <c r="C3535" t="s">
        <v>321</v>
      </c>
      <c r="D3535" t="s">
        <v>316</v>
      </c>
      <c r="E3535" t="s">
        <v>199</v>
      </c>
      <c r="F3535" t="s">
        <v>308</v>
      </c>
      <c r="G3535" t="s">
        <v>13</v>
      </c>
      <c r="H3535">
        <v>5169.0</v>
      </c>
      <c r="I3535" t="s">
        <v>31</v>
      </c>
      <c r="J3535" t="s">
        <v>42</v>
      </c>
      <c r="K3535" t="s">
        <v>57</v>
      </c>
      <c r="L3535" t="s">
        <v>58</v>
      </c>
      <c r="M3535">
        <v>833.6999999999999</v>
      </c>
    </row>
    <row r="3536">
      <c r="A3536" s="2">
        <v>45758</v>
      </c>
      <c r="B3536">
        <v>2025.0</v>
      </c>
      <c r="C3536" t="s">
        <v>315</v>
      </c>
      <c r="D3536" t="s">
        <v>316</v>
      </c>
      <c r="E3536" t="s">
        <v>154</v>
      </c>
      <c r="F3536" t="s">
        <v>306</v>
      </c>
      <c r="G3536" t="s">
        <v>11</v>
      </c>
      <c r="H3536">
        <v>4551.0</v>
      </c>
      <c r="I3536" t="s">
        <v>31</v>
      </c>
      <c r="J3536" t="s">
        <v>84</v>
      </c>
      <c r="K3536" t="s">
        <v>112</v>
      </c>
      <c r="L3536" t="s">
        <v>113</v>
      </c>
      <c r="M3536">
        <v>833.85</v>
      </c>
    </row>
    <row r="3537">
      <c r="A3537" s="2">
        <v>45393</v>
      </c>
      <c r="B3537">
        <v>2024.0</v>
      </c>
      <c r="C3537" t="s">
        <v>318</v>
      </c>
      <c r="D3537" t="s">
        <v>316</v>
      </c>
      <c r="E3537" t="s">
        <v>167</v>
      </c>
      <c r="F3537" t="s">
        <v>307</v>
      </c>
      <c r="G3537" t="s">
        <v>12</v>
      </c>
      <c r="H3537">
        <v>6030.0</v>
      </c>
      <c r="I3537" t="s">
        <v>31</v>
      </c>
      <c r="J3537" t="s">
        <v>102</v>
      </c>
      <c r="K3537" t="s">
        <v>57</v>
      </c>
      <c r="L3537" t="s">
        <v>58</v>
      </c>
      <c r="M3537">
        <v>833.92</v>
      </c>
    </row>
    <row r="3538">
      <c r="A3538" s="2">
        <v>45395</v>
      </c>
      <c r="B3538">
        <v>2024.0</v>
      </c>
      <c r="C3538" t="s">
        <v>318</v>
      </c>
      <c r="D3538" t="s">
        <v>316</v>
      </c>
      <c r="E3538" t="s">
        <v>68</v>
      </c>
      <c r="F3538" t="s">
        <v>304</v>
      </c>
      <c r="G3538" t="s">
        <v>9</v>
      </c>
      <c r="H3538">
        <v>2478.0</v>
      </c>
      <c r="I3538" t="s">
        <v>31</v>
      </c>
      <c r="J3538" t="s">
        <v>70</v>
      </c>
      <c r="K3538" t="s">
        <v>57</v>
      </c>
      <c r="L3538" t="s">
        <v>58</v>
      </c>
      <c r="M3538">
        <v>837.2700000000001</v>
      </c>
    </row>
    <row r="3539">
      <c r="A3539" s="2">
        <v>45764</v>
      </c>
      <c r="B3539">
        <v>2025.0</v>
      </c>
      <c r="C3539" t="s">
        <v>315</v>
      </c>
      <c r="D3539" t="s">
        <v>316</v>
      </c>
      <c r="E3539" t="s">
        <v>110</v>
      </c>
      <c r="F3539" t="s">
        <v>304</v>
      </c>
      <c r="G3539" t="s">
        <v>9</v>
      </c>
      <c r="H3539">
        <v>2101.0</v>
      </c>
      <c r="I3539" t="s">
        <v>31</v>
      </c>
      <c r="J3539" t="s">
        <v>81</v>
      </c>
      <c r="K3539" t="s">
        <v>123</v>
      </c>
      <c r="L3539" t="s">
        <v>124</v>
      </c>
      <c r="M3539">
        <v>837.6400000000001</v>
      </c>
    </row>
    <row r="3540">
      <c r="A3540" s="2">
        <v>45478</v>
      </c>
      <c r="B3540">
        <v>2025.0</v>
      </c>
      <c r="C3540" t="s">
        <v>315</v>
      </c>
      <c r="D3540" t="s">
        <v>316</v>
      </c>
      <c r="E3540" t="s">
        <v>203</v>
      </c>
      <c r="F3540" t="s">
        <v>305</v>
      </c>
      <c r="G3540" t="s">
        <v>10</v>
      </c>
      <c r="H3540">
        <v>3175.0</v>
      </c>
      <c r="I3540" t="s">
        <v>31</v>
      </c>
      <c r="J3540" t="s">
        <v>89</v>
      </c>
      <c r="K3540" t="s">
        <v>43</v>
      </c>
      <c r="L3540" t="s">
        <v>44</v>
      </c>
      <c r="M3540">
        <v>842.62</v>
      </c>
    </row>
    <row r="3541">
      <c r="A3541" s="2">
        <v>45461</v>
      </c>
      <c r="B3541">
        <v>2024.0</v>
      </c>
      <c r="C3541" t="s">
        <v>318</v>
      </c>
      <c r="D3541" t="s">
        <v>319</v>
      </c>
      <c r="E3541" t="s">
        <v>250</v>
      </c>
      <c r="F3541" t="s">
        <v>305</v>
      </c>
      <c r="G3541" t="s">
        <v>10</v>
      </c>
      <c r="H3541">
        <v>3550.0</v>
      </c>
      <c r="I3541" t="s">
        <v>31</v>
      </c>
      <c r="J3541" t="s">
        <v>37</v>
      </c>
      <c r="K3541" t="s">
        <v>71</v>
      </c>
      <c r="L3541" t="s">
        <v>72</v>
      </c>
      <c r="M3541">
        <v>843.84</v>
      </c>
    </row>
    <row r="3542">
      <c r="A3542" s="2">
        <v>46004</v>
      </c>
      <c r="B3542">
        <v>2026.0</v>
      </c>
      <c r="C3542" t="s">
        <v>321</v>
      </c>
      <c r="D3542" t="s">
        <v>316</v>
      </c>
      <c r="E3542" t="s">
        <v>154</v>
      </c>
      <c r="F3542" t="s">
        <v>306</v>
      </c>
      <c r="G3542" t="s">
        <v>11</v>
      </c>
      <c r="H3542">
        <v>4551.0</v>
      </c>
      <c r="I3542" t="s">
        <v>31</v>
      </c>
      <c r="J3542" t="s">
        <v>84</v>
      </c>
      <c r="K3542" t="s">
        <v>71</v>
      </c>
      <c r="L3542" t="s">
        <v>72</v>
      </c>
      <c r="M3542">
        <v>844.2299999999999</v>
      </c>
    </row>
    <row r="3543">
      <c r="A3543" s="2">
        <v>45892</v>
      </c>
      <c r="B3543">
        <v>2026.0</v>
      </c>
      <c r="C3543" t="s">
        <v>321</v>
      </c>
      <c r="D3543" t="s">
        <v>319</v>
      </c>
      <c r="E3543" t="s">
        <v>108</v>
      </c>
      <c r="F3543" t="s">
        <v>304</v>
      </c>
      <c r="G3543" t="s">
        <v>9</v>
      </c>
      <c r="H3543">
        <v>2795.0</v>
      </c>
      <c r="I3543" t="s">
        <v>31</v>
      </c>
      <c r="J3543" t="s">
        <v>75</v>
      </c>
      <c r="K3543" t="s">
        <v>95</v>
      </c>
      <c r="L3543" t="s">
        <v>96</v>
      </c>
      <c r="M3543">
        <v>844.36</v>
      </c>
    </row>
    <row r="3544">
      <c r="A3544" s="2">
        <v>45976</v>
      </c>
      <c r="B3544">
        <v>2026.0</v>
      </c>
      <c r="C3544" t="s">
        <v>321</v>
      </c>
      <c r="D3544" t="s">
        <v>316</v>
      </c>
      <c r="E3544" t="s">
        <v>181</v>
      </c>
      <c r="F3544" t="s">
        <v>306</v>
      </c>
      <c r="G3544" t="s">
        <v>11</v>
      </c>
      <c r="H3544">
        <v>4119.0</v>
      </c>
      <c r="I3544" t="s">
        <v>31</v>
      </c>
      <c r="J3544" t="s">
        <v>56</v>
      </c>
      <c r="K3544" t="s">
        <v>123</v>
      </c>
      <c r="L3544" t="s">
        <v>124</v>
      </c>
      <c r="M3544">
        <v>845.6000000000001</v>
      </c>
    </row>
    <row r="3545">
      <c r="A3545" s="2">
        <v>45834</v>
      </c>
      <c r="B3545">
        <v>2025.0</v>
      </c>
      <c r="C3545" t="s">
        <v>315</v>
      </c>
      <c r="D3545" t="s">
        <v>316</v>
      </c>
      <c r="E3545" t="s">
        <v>68</v>
      </c>
      <c r="F3545" t="s">
        <v>304</v>
      </c>
      <c r="G3545" t="s">
        <v>9</v>
      </c>
      <c r="H3545">
        <v>2478.0</v>
      </c>
      <c r="I3545" t="s">
        <v>31</v>
      </c>
      <c r="J3545" t="s">
        <v>70</v>
      </c>
      <c r="K3545" t="s">
        <v>46</v>
      </c>
      <c r="L3545" t="s">
        <v>47</v>
      </c>
      <c r="M3545">
        <v>845.8299999999999</v>
      </c>
    </row>
    <row r="3546">
      <c r="A3546" s="2">
        <v>45527</v>
      </c>
      <c r="B3546">
        <v>2025.0</v>
      </c>
      <c r="C3546" t="s">
        <v>315</v>
      </c>
      <c r="D3546" t="s">
        <v>316</v>
      </c>
      <c r="E3546" t="s">
        <v>133</v>
      </c>
      <c r="F3546" t="s">
        <v>305</v>
      </c>
      <c r="G3546" t="s">
        <v>10</v>
      </c>
      <c r="H3546">
        <v>3429.0</v>
      </c>
      <c r="I3546" t="s">
        <v>31</v>
      </c>
      <c r="J3546" t="s">
        <v>37</v>
      </c>
      <c r="K3546" t="s">
        <v>71</v>
      </c>
      <c r="L3546" t="s">
        <v>72</v>
      </c>
      <c r="M3546">
        <v>846.9000000000001</v>
      </c>
    </row>
    <row r="3547">
      <c r="A3547" s="2">
        <v>45563</v>
      </c>
      <c r="B3547">
        <v>2025.0</v>
      </c>
      <c r="C3547" t="s">
        <v>315</v>
      </c>
      <c r="D3547" t="s">
        <v>316</v>
      </c>
      <c r="E3547" t="s">
        <v>211</v>
      </c>
      <c r="F3547" t="s">
        <v>304</v>
      </c>
      <c r="G3547" t="s">
        <v>9</v>
      </c>
      <c r="H3547">
        <v>2650.0</v>
      </c>
      <c r="I3547" t="s">
        <v>31</v>
      </c>
      <c r="J3547" t="s">
        <v>75</v>
      </c>
      <c r="K3547" t="s">
        <v>33</v>
      </c>
      <c r="L3547" t="s">
        <v>34</v>
      </c>
      <c r="M3547">
        <v>847.17</v>
      </c>
    </row>
    <row r="3548">
      <c r="A3548" s="2">
        <v>45716</v>
      </c>
      <c r="B3548">
        <v>2025.0</v>
      </c>
      <c r="C3548" t="s">
        <v>315</v>
      </c>
      <c r="D3548" t="s">
        <v>316</v>
      </c>
      <c r="E3548" t="s">
        <v>250</v>
      </c>
      <c r="F3548" t="s">
        <v>305</v>
      </c>
      <c r="G3548" t="s">
        <v>10</v>
      </c>
      <c r="H3548">
        <v>3550.0</v>
      </c>
      <c r="I3548" t="s">
        <v>31</v>
      </c>
      <c r="J3548" t="s">
        <v>37</v>
      </c>
      <c r="K3548" t="s">
        <v>95</v>
      </c>
      <c r="L3548" t="s">
        <v>96</v>
      </c>
      <c r="M3548">
        <v>848.59</v>
      </c>
    </row>
    <row r="3549">
      <c r="A3549" s="2">
        <v>45873</v>
      </c>
      <c r="B3549">
        <v>2026.0</v>
      </c>
      <c r="C3549" t="s">
        <v>321</v>
      </c>
      <c r="D3549" t="s">
        <v>319</v>
      </c>
      <c r="E3549" t="s">
        <v>207</v>
      </c>
      <c r="F3549" t="s">
        <v>306</v>
      </c>
      <c r="G3549" t="s">
        <v>11</v>
      </c>
      <c r="H3549">
        <v>4825.0</v>
      </c>
      <c r="I3549" t="s">
        <v>31</v>
      </c>
      <c r="J3549" t="s">
        <v>78</v>
      </c>
      <c r="K3549" t="s">
        <v>57</v>
      </c>
      <c r="L3549" t="s">
        <v>58</v>
      </c>
      <c r="M3549">
        <v>848.8199999999999</v>
      </c>
    </row>
    <row r="3550">
      <c r="A3550" s="2">
        <v>45524</v>
      </c>
      <c r="B3550">
        <v>2025.0</v>
      </c>
      <c r="C3550" t="s">
        <v>315</v>
      </c>
      <c r="D3550" t="s">
        <v>316</v>
      </c>
      <c r="E3550" t="s">
        <v>181</v>
      </c>
      <c r="F3550" t="s">
        <v>306</v>
      </c>
      <c r="G3550" t="s">
        <v>11</v>
      </c>
      <c r="H3550">
        <v>4119.0</v>
      </c>
      <c r="I3550" t="s">
        <v>31</v>
      </c>
      <c r="J3550" t="s">
        <v>56</v>
      </c>
      <c r="K3550" t="s">
        <v>38</v>
      </c>
      <c r="L3550" t="s">
        <v>39</v>
      </c>
      <c r="M3550">
        <v>850.4300000000001</v>
      </c>
    </row>
    <row r="3551">
      <c r="A3551" s="2">
        <v>45503</v>
      </c>
      <c r="B3551">
        <v>2025.0</v>
      </c>
      <c r="C3551" t="s">
        <v>315</v>
      </c>
      <c r="D3551" t="s">
        <v>316</v>
      </c>
      <c r="E3551" t="s">
        <v>207</v>
      </c>
      <c r="F3551" t="s">
        <v>306</v>
      </c>
      <c r="G3551" t="s">
        <v>11</v>
      </c>
      <c r="H3551">
        <v>4825.0</v>
      </c>
      <c r="I3551" t="s">
        <v>31</v>
      </c>
      <c r="J3551" t="s">
        <v>78</v>
      </c>
      <c r="K3551" t="s">
        <v>95</v>
      </c>
      <c r="L3551" t="s">
        <v>96</v>
      </c>
      <c r="M3551">
        <v>850.7299999999999</v>
      </c>
    </row>
    <row r="3552">
      <c r="A3552" s="2">
        <v>45781</v>
      </c>
      <c r="B3552">
        <v>2025.0</v>
      </c>
      <c r="C3552" t="s">
        <v>315</v>
      </c>
      <c r="D3552" t="s">
        <v>319</v>
      </c>
      <c r="E3552" t="s">
        <v>54</v>
      </c>
      <c r="F3552" t="s">
        <v>306</v>
      </c>
      <c r="G3552" t="s">
        <v>11</v>
      </c>
      <c r="H3552">
        <v>4012.0</v>
      </c>
      <c r="I3552" t="s">
        <v>31</v>
      </c>
      <c r="J3552" t="s">
        <v>56</v>
      </c>
      <c r="K3552" t="s">
        <v>95</v>
      </c>
      <c r="L3552" t="s">
        <v>96</v>
      </c>
      <c r="M3552">
        <v>852.9000000000001</v>
      </c>
    </row>
    <row r="3553">
      <c r="A3553" s="2">
        <v>45523</v>
      </c>
      <c r="B3553">
        <v>2025.0</v>
      </c>
      <c r="C3553" t="s">
        <v>315</v>
      </c>
      <c r="D3553" t="s">
        <v>319</v>
      </c>
      <c r="E3553" t="s">
        <v>262</v>
      </c>
      <c r="F3553" t="s">
        <v>305</v>
      </c>
      <c r="G3553" t="s">
        <v>10</v>
      </c>
      <c r="H3553">
        <v>3018.0</v>
      </c>
      <c r="I3553" t="s">
        <v>31</v>
      </c>
      <c r="J3553" t="s">
        <v>120</v>
      </c>
      <c r="K3553" t="s">
        <v>46</v>
      </c>
      <c r="L3553" t="s">
        <v>47</v>
      </c>
      <c r="M3553">
        <v>853.53</v>
      </c>
    </row>
    <row r="3554">
      <c r="A3554" s="2">
        <v>45322</v>
      </c>
      <c r="B3554">
        <v>2024.0</v>
      </c>
      <c r="C3554" t="s">
        <v>318</v>
      </c>
      <c r="D3554" t="s">
        <v>316</v>
      </c>
      <c r="E3554" t="s">
        <v>156</v>
      </c>
      <c r="F3554" t="s">
        <v>304</v>
      </c>
      <c r="G3554" t="s">
        <v>9</v>
      </c>
      <c r="H3554">
        <v>2830.0</v>
      </c>
      <c r="I3554" t="s">
        <v>31</v>
      </c>
      <c r="J3554" t="s">
        <v>75</v>
      </c>
      <c r="K3554" t="s">
        <v>112</v>
      </c>
      <c r="L3554" t="s">
        <v>113</v>
      </c>
      <c r="M3554">
        <v>855.3700000000001</v>
      </c>
    </row>
    <row r="3555">
      <c r="A3555" s="2">
        <v>45890</v>
      </c>
      <c r="B3555">
        <v>2026.0</v>
      </c>
      <c r="C3555" t="s">
        <v>321</v>
      </c>
      <c r="D3555" t="s">
        <v>316</v>
      </c>
      <c r="E3555" t="s">
        <v>201</v>
      </c>
      <c r="F3555" t="s">
        <v>305</v>
      </c>
      <c r="G3555" t="s">
        <v>10</v>
      </c>
      <c r="H3555">
        <v>3131.0</v>
      </c>
      <c r="I3555" t="s">
        <v>31</v>
      </c>
      <c r="J3555" t="s">
        <v>89</v>
      </c>
      <c r="K3555" t="s">
        <v>71</v>
      </c>
      <c r="L3555" t="s">
        <v>72</v>
      </c>
      <c r="M3555">
        <v>858.84</v>
      </c>
    </row>
    <row r="3556">
      <c r="A3556" s="2">
        <v>45744</v>
      </c>
      <c r="B3556">
        <v>2025.0</v>
      </c>
      <c r="C3556" t="s">
        <v>315</v>
      </c>
      <c r="D3556" t="s">
        <v>319</v>
      </c>
      <c r="E3556" t="s">
        <v>90</v>
      </c>
      <c r="F3556" t="s">
        <v>305</v>
      </c>
      <c r="G3556" t="s">
        <v>10</v>
      </c>
      <c r="H3556">
        <v>3353.0</v>
      </c>
      <c r="I3556" t="s">
        <v>31</v>
      </c>
      <c r="J3556" t="s">
        <v>37</v>
      </c>
      <c r="K3556" t="s">
        <v>123</v>
      </c>
      <c r="L3556" t="s">
        <v>124</v>
      </c>
      <c r="M3556">
        <v>858.8899999999999</v>
      </c>
    </row>
    <row r="3557">
      <c r="A3557" s="2">
        <v>45402</v>
      </c>
      <c r="B3557">
        <v>2024.0</v>
      </c>
      <c r="C3557" t="s">
        <v>318</v>
      </c>
      <c r="D3557" t="s">
        <v>319</v>
      </c>
      <c r="E3557" t="s">
        <v>258</v>
      </c>
      <c r="F3557" t="s">
        <v>309</v>
      </c>
      <c r="G3557" t="s">
        <v>14</v>
      </c>
      <c r="H3557">
        <v>870.0</v>
      </c>
      <c r="I3557" t="s">
        <v>31</v>
      </c>
      <c r="J3557" t="s">
        <v>145</v>
      </c>
      <c r="K3557" t="s">
        <v>57</v>
      </c>
      <c r="L3557" t="s">
        <v>58</v>
      </c>
      <c r="M3557">
        <v>858.9</v>
      </c>
    </row>
    <row r="3558">
      <c r="A3558" s="2">
        <v>45342</v>
      </c>
      <c r="B3558">
        <v>2024.0</v>
      </c>
      <c r="C3558" t="s">
        <v>318</v>
      </c>
      <c r="D3558" t="s">
        <v>316</v>
      </c>
      <c r="E3558" t="s">
        <v>195</v>
      </c>
      <c r="F3558" t="s">
        <v>306</v>
      </c>
      <c r="G3558" t="s">
        <v>11</v>
      </c>
      <c r="H3558">
        <v>4700.0</v>
      </c>
      <c r="I3558" t="s">
        <v>31</v>
      </c>
      <c r="J3558" t="s">
        <v>32</v>
      </c>
      <c r="K3558" t="s">
        <v>33</v>
      </c>
      <c r="L3558" t="s">
        <v>34</v>
      </c>
      <c r="M3558">
        <v>858.96</v>
      </c>
    </row>
    <row r="3559">
      <c r="A3559" s="2">
        <v>45530</v>
      </c>
      <c r="B3559">
        <v>2025.0</v>
      </c>
      <c r="C3559" t="s">
        <v>315</v>
      </c>
      <c r="D3559" t="s">
        <v>316</v>
      </c>
      <c r="E3559" t="s">
        <v>129</v>
      </c>
      <c r="F3559" t="s">
        <v>305</v>
      </c>
      <c r="G3559" t="s">
        <v>10</v>
      </c>
      <c r="H3559">
        <v>3066.0</v>
      </c>
      <c r="I3559" t="s">
        <v>31</v>
      </c>
      <c r="J3559" t="s">
        <v>120</v>
      </c>
      <c r="K3559" t="s">
        <v>43</v>
      </c>
      <c r="L3559" t="s">
        <v>44</v>
      </c>
      <c r="M3559">
        <v>860.8800000000001</v>
      </c>
    </row>
    <row r="3560">
      <c r="A3560" s="2">
        <v>45548</v>
      </c>
      <c r="B3560">
        <v>2025.0</v>
      </c>
      <c r="C3560" t="s">
        <v>315</v>
      </c>
      <c r="D3560" t="s">
        <v>316</v>
      </c>
      <c r="E3560" t="s">
        <v>225</v>
      </c>
      <c r="F3560" t="s">
        <v>308</v>
      </c>
      <c r="G3560" t="s">
        <v>13</v>
      </c>
      <c r="H3560">
        <v>5607.0</v>
      </c>
      <c r="I3560" t="s">
        <v>31</v>
      </c>
      <c r="J3560" t="s">
        <v>227</v>
      </c>
      <c r="K3560" t="s">
        <v>57</v>
      </c>
      <c r="L3560" t="s">
        <v>58</v>
      </c>
      <c r="M3560">
        <v>861.8199999999999</v>
      </c>
    </row>
    <row r="3561">
      <c r="A3561" s="2">
        <v>45776</v>
      </c>
      <c r="B3561">
        <v>2025.0</v>
      </c>
      <c r="C3561" t="s">
        <v>315</v>
      </c>
      <c r="D3561" t="s">
        <v>316</v>
      </c>
      <c r="E3561" t="s">
        <v>163</v>
      </c>
      <c r="F3561" t="s">
        <v>304</v>
      </c>
      <c r="G3561" t="s">
        <v>9</v>
      </c>
      <c r="H3561">
        <v>2154.0</v>
      </c>
      <c r="I3561" t="s">
        <v>31</v>
      </c>
      <c r="J3561" t="s">
        <v>81</v>
      </c>
      <c r="K3561" t="s">
        <v>123</v>
      </c>
      <c r="L3561" t="s">
        <v>124</v>
      </c>
      <c r="M3561">
        <v>865.6599999999999</v>
      </c>
    </row>
    <row r="3562">
      <c r="A3562" s="2">
        <v>45439</v>
      </c>
      <c r="B3562">
        <v>2024.0</v>
      </c>
      <c r="C3562" t="s">
        <v>318</v>
      </c>
      <c r="D3562" t="s">
        <v>316</v>
      </c>
      <c r="E3562" t="s">
        <v>114</v>
      </c>
      <c r="F3562" t="s">
        <v>304</v>
      </c>
      <c r="G3562" t="s">
        <v>9</v>
      </c>
      <c r="H3562">
        <v>2031.0</v>
      </c>
      <c r="I3562" t="s">
        <v>31</v>
      </c>
      <c r="J3562" t="s">
        <v>99</v>
      </c>
      <c r="K3562" t="s">
        <v>43</v>
      </c>
      <c r="L3562" t="s">
        <v>44</v>
      </c>
      <c r="M3562">
        <v>866.4300000000001</v>
      </c>
    </row>
    <row r="3563">
      <c r="A3563" s="2">
        <v>45895</v>
      </c>
      <c r="B3563">
        <v>2026.0</v>
      </c>
      <c r="C3563" t="s">
        <v>321</v>
      </c>
      <c r="D3563" t="s">
        <v>316</v>
      </c>
      <c r="E3563" t="s">
        <v>167</v>
      </c>
      <c r="F3563" t="s">
        <v>307</v>
      </c>
      <c r="G3563" t="s">
        <v>12</v>
      </c>
      <c r="H3563">
        <v>6030.0</v>
      </c>
      <c r="I3563" t="s">
        <v>31</v>
      </c>
      <c r="J3563" t="s">
        <v>102</v>
      </c>
      <c r="K3563" t="s">
        <v>33</v>
      </c>
      <c r="L3563" t="s">
        <v>34</v>
      </c>
      <c r="M3563">
        <v>866.95</v>
      </c>
    </row>
    <row r="3564">
      <c r="A3564" s="2">
        <v>45890</v>
      </c>
      <c r="B3564">
        <v>2026.0</v>
      </c>
      <c r="C3564" t="s">
        <v>321</v>
      </c>
      <c r="D3564" t="s">
        <v>316</v>
      </c>
      <c r="E3564" t="s">
        <v>154</v>
      </c>
      <c r="F3564" t="s">
        <v>306</v>
      </c>
      <c r="G3564" t="s">
        <v>11</v>
      </c>
      <c r="H3564">
        <v>4551.0</v>
      </c>
      <c r="I3564" t="s">
        <v>31</v>
      </c>
      <c r="J3564" t="s">
        <v>84</v>
      </c>
      <c r="K3564" t="s">
        <v>43</v>
      </c>
      <c r="L3564" t="s">
        <v>44</v>
      </c>
      <c r="M3564">
        <v>869.4300000000001</v>
      </c>
    </row>
    <row r="3565">
      <c r="A3565" s="2">
        <v>45391</v>
      </c>
      <c r="B3565">
        <v>2024.0</v>
      </c>
      <c r="C3565" t="s">
        <v>318</v>
      </c>
      <c r="D3565" t="s">
        <v>319</v>
      </c>
      <c r="E3565" t="s">
        <v>127</v>
      </c>
      <c r="F3565" t="s">
        <v>306</v>
      </c>
      <c r="G3565" t="s">
        <v>11</v>
      </c>
      <c r="H3565">
        <v>4802.0</v>
      </c>
      <c r="I3565" t="s">
        <v>31</v>
      </c>
      <c r="J3565" t="s">
        <v>78</v>
      </c>
      <c r="K3565" t="s">
        <v>33</v>
      </c>
      <c r="L3565" t="s">
        <v>34</v>
      </c>
      <c r="M3565">
        <v>870.4499999999999</v>
      </c>
    </row>
    <row r="3566">
      <c r="A3566" s="2">
        <v>45689</v>
      </c>
      <c r="B3566">
        <v>2025.0</v>
      </c>
      <c r="C3566" t="s">
        <v>315</v>
      </c>
      <c r="D3566" t="s">
        <v>316</v>
      </c>
      <c r="E3566" t="s">
        <v>169</v>
      </c>
      <c r="F3566" t="s">
        <v>307</v>
      </c>
      <c r="G3566" t="s">
        <v>12</v>
      </c>
      <c r="H3566">
        <v>6027.0</v>
      </c>
      <c r="I3566" t="s">
        <v>31</v>
      </c>
      <c r="J3566" t="s">
        <v>102</v>
      </c>
      <c r="K3566" t="s">
        <v>71</v>
      </c>
      <c r="L3566" t="s">
        <v>72</v>
      </c>
      <c r="M3566">
        <v>870.48</v>
      </c>
    </row>
    <row r="3567">
      <c r="A3567" s="2">
        <v>45935</v>
      </c>
      <c r="B3567">
        <v>2026.0</v>
      </c>
      <c r="C3567" t="s">
        <v>321</v>
      </c>
      <c r="D3567" t="s">
        <v>316</v>
      </c>
      <c r="E3567" t="s">
        <v>121</v>
      </c>
      <c r="F3567" t="s">
        <v>306</v>
      </c>
      <c r="G3567" t="s">
        <v>11</v>
      </c>
      <c r="H3567">
        <v>4566.0</v>
      </c>
      <c r="I3567" t="s">
        <v>31</v>
      </c>
      <c r="J3567" t="s">
        <v>84</v>
      </c>
      <c r="K3567" t="s">
        <v>46</v>
      </c>
      <c r="L3567" t="s">
        <v>47</v>
      </c>
      <c r="M3567">
        <v>872.4900000000001</v>
      </c>
    </row>
    <row r="3568">
      <c r="A3568" s="2">
        <v>45756</v>
      </c>
      <c r="B3568">
        <v>2025.0</v>
      </c>
      <c r="C3568" t="s">
        <v>315</v>
      </c>
      <c r="D3568" t="s">
        <v>316</v>
      </c>
      <c r="E3568" t="s">
        <v>64</v>
      </c>
      <c r="F3568" t="s">
        <v>306</v>
      </c>
      <c r="G3568" t="s">
        <v>11</v>
      </c>
      <c r="H3568">
        <v>4215.0</v>
      </c>
      <c r="I3568" t="s">
        <v>31</v>
      </c>
      <c r="J3568" t="s">
        <v>61</v>
      </c>
      <c r="K3568" t="s">
        <v>43</v>
      </c>
      <c r="L3568" t="s">
        <v>44</v>
      </c>
      <c r="M3568">
        <v>872.9100000000001</v>
      </c>
    </row>
    <row r="3569">
      <c r="A3569" s="2">
        <v>45765</v>
      </c>
      <c r="B3569">
        <v>2025.0</v>
      </c>
      <c r="C3569" t="s">
        <v>315</v>
      </c>
      <c r="D3569" t="s">
        <v>316</v>
      </c>
      <c r="E3569" t="s">
        <v>154</v>
      </c>
      <c r="F3569" t="s">
        <v>306</v>
      </c>
      <c r="G3569" t="s">
        <v>11</v>
      </c>
      <c r="H3569">
        <v>4551.0</v>
      </c>
      <c r="I3569" t="s">
        <v>31</v>
      </c>
      <c r="J3569" t="s">
        <v>84</v>
      </c>
      <c r="K3569" t="s">
        <v>57</v>
      </c>
      <c r="L3569" t="s">
        <v>58</v>
      </c>
      <c r="M3569">
        <v>873.34</v>
      </c>
    </row>
    <row r="3570">
      <c r="A3570" s="2">
        <v>45824</v>
      </c>
      <c r="B3570">
        <v>2025.0</v>
      </c>
      <c r="C3570" t="s">
        <v>315</v>
      </c>
      <c r="D3570" t="s">
        <v>319</v>
      </c>
      <c r="E3570" t="s">
        <v>82</v>
      </c>
      <c r="F3570" t="s">
        <v>306</v>
      </c>
      <c r="G3570" t="s">
        <v>11</v>
      </c>
      <c r="H3570">
        <v>4558.0</v>
      </c>
      <c r="I3570" t="s">
        <v>31</v>
      </c>
      <c r="J3570" t="s">
        <v>84</v>
      </c>
      <c r="K3570" t="s">
        <v>57</v>
      </c>
      <c r="L3570" t="s">
        <v>58</v>
      </c>
      <c r="M3570">
        <v>873.59</v>
      </c>
    </row>
    <row r="3571">
      <c r="A3571" s="2">
        <v>45885</v>
      </c>
      <c r="B3571">
        <v>2026.0</v>
      </c>
      <c r="C3571" t="s">
        <v>321</v>
      </c>
      <c r="D3571" t="s">
        <v>316</v>
      </c>
      <c r="E3571" t="s">
        <v>110</v>
      </c>
      <c r="F3571" t="s">
        <v>304</v>
      </c>
      <c r="G3571" t="s">
        <v>9</v>
      </c>
      <c r="H3571">
        <v>2101.0</v>
      </c>
      <c r="I3571" t="s">
        <v>31</v>
      </c>
      <c r="J3571" t="s">
        <v>81</v>
      </c>
      <c r="K3571" t="s">
        <v>123</v>
      </c>
      <c r="L3571" t="s">
        <v>124</v>
      </c>
      <c r="M3571">
        <v>875.0</v>
      </c>
    </row>
    <row r="3572">
      <c r="A3572" s="2">
        <v>45456</v>
      </c>
      <c r="B3572">
        <v>2024.0</v>
      </c>
      <c r="C3572" t="s">
        <v>318</v>
      </c>
      <c r="D3572" t="s">
        <v>319</v>
      </c>
      <c r="E3572" t="s">
        <v>127</v>
      </c>
      <c r="F3572" t="s">
        <v>306</v>
      </c>
      <c r="G3572" t="s">
        <v>11</v>
      </c>
      <c r="H3572">
        <v>4802.0</v>
      </c>
      <c r="I3572" t="s">
        <v>31</v>
      </c>
      <c r="J3572" t="s">
        <v>78</v>
      </c>
      <c r="K3572" t="s">
        <v>71</v>
      </c>
      <c r="L3572" t="s">
        <v>72</v>
      </c>
      <c r="M3572">
        <v>876.85</v>
      </c>
    </row>
    <row r="3573">
      <c r="A3573" s="2">
        <v>45430</v>
      </c>
      <c r="B3573">
        <v>2024.0</v>
      </c>
      <c r="C3573" t="s">
        <v>318</v>
      </c>
      <c r="D3573" t="s">
        <v>316</v>
      </c>
      <c r="E3573" t="s">
        <v>185</v>
      </c>
      <c r="F3573" t="s">
        <v>307</v>
      </c>
      <c r="G3573" t="s">
        <v>12</v>
      </c>
      <c r="H3573">
        <v>6109.0</v>
      </c>
      <c r="I3573" t="s">
        <v>31</v>
      </c>
      <c r="J3573" t="s">
        <v>162</v>
      </c>
      <c r="K3573" t="s">
        <v>57</v>
      </c>
      <c r="L3573" t="s">
        <v>58</v>
      </c>
      <c r="M3573">
        <v>877.0699999999999</v>
      </c>
    </row>
    <row r="3574">
      <c r="A3574" s="2">
        <v>45780</v>
      </c>
      <c r="B3574">
        <v>2025.0</v>
      </c>
      <c r="C3574" t="s">
        <v>315</v>
      </c>
      <c r="D3574" t="s">
        <v>316</v>
      </c>
      <c r="E3574" t="s">
        <v>114</v>
      </c>
      <c r="F3574" t="s">
        <v>304</v>
      </c>
      <c r="G3574" t="s">
        <v>9</v>
      </c>
      <c r="H3574">
        <v>2031.0</v>
      </c>
      <c r="I3574" t="s">
        <v>31</v>
      </c>
      <c r="J3574" t="s">
        <v>99</v>
      </c>
      <c r="K3574" t="s">
        <v>38</v>
      </c>
      <c r="L3574" t="s">
        <v>39</v>
      </c>
      <c r="M3574">
        <v>878.53</v>
      </c>
    </row>
    <row r="3575">
      <c r="A3575" s="2">
        <v>45652</v>
      </c>
      <c r="B3575">
        <v>2025.0</v>
      </c>
      <c r="C3575" t="s">
        <v>315</v>
      </c>
      <c r="D3575" t="s">
        <v>316</v>
      </c>
      <c r="E3575" t="s">
        <v>131</v>
      </c>
      <c r="F3575" t="s">
        <v>306</v>
      </c>
      <c r="G3575" t="s">
        <v>11</v>
      </c>
      <c r="H3575">
        <v>4655.0</v>
      </c>
      <c r="I3575" t="s">
        <v>31</v>
      </c>
      <c r="J3575" t="s">
        <v>32</v>
      </c>
      <c r="K3575" t="s">
        <v>57</v>
      </c>
      <c r="L3575" t="s">
        <v>58</v>
      </c>
      <c r="M3575">
        <v>879.85</v>
      </c>
    </row>
    <row r="3576">
      <c r="A3576" s="2">
        <v>45540</v>
      </c>
      <c r="B3576">
        <v>2025.0</v>
      </c>
      <c r="C3576" t="s">
        <v>315</v>
      </c>
      <c r="D3576" t="s">
        <v>316</v>
      </c>
      <c r="E3576" t="s">
        <v>73</v>
      </c>
      <c r="F3576" t="s">
        <v>304</v>
      </c>
      <c r="G3576" t="s">
        <v>9</v>
      </c>
      <c r="H3576">
        <v>2750.0</v>
      </c>
      <c r="I3576" t="s">
        <v>31</v>
      </c>
      <c r="J3576" t="s">
        <v>75</v>
      </c>
      <c r="K3576" t="s">
        <v>57</v>
      </c>
      <c r="L3576" t="s">
        <v>58</v>
      </c>
      <c r="M3576">
        <v>879.87</v>
      </c>
    </row>
    <row r="3577">
      <c r="A3577" s="2">
        <v>45640</v>
      </c>
      <c r="B3577">
        <v>2025.0</v>
      </c>
      <c r="C3577" t="s">
        <v>315</v>
      </c>
      <c r="D3577" t="s">
        <v>316</v>
      </c>
      <c r="E3577" t="s">
        <v>125</v>
      </c>
      <c r="F3577" t="s">
        <v>305</v>
      </c>
      <c r="G3577" t="s">
        <v>10</v>
      </c>
      <c r="H3577">
        <v>3931.0</v>
      </c>
      <c r="I3577" t="s">
        <v>31</v>
      </c>
      <c r="J3577" t="s">
        <v>94</v>
      </c>
      <c r="K3577" t="s">
        <v>95</v>
      </c>
      <c r="L3577" t="s">
        <v>96</v>
      </c>
      <c r="M3577">
        <v>882.53</v>
      </c>
    </row>
    <row r="3578">
      <c r="A3578" s="2">
        <v>45947</v>
      </c>
      <c r="B3578">
        <v>2026.0</v>
      </c>
      <c r="C3578" t="s">
        <v>321</v>
      </c>
      <c r="D3578" t="s">
        <v>316</v>
      </c>
      <c r="E3578" t="s">
        <v>82</v>
      </c>
      <c r="F3578" t="s">
        <v>306</v>
      </c>
      <c r="G3578" t="s">
        <v>11</v>
      </c>
      <c r="H3578">
        <v>4558.0</v>
      </c>
      <c r="I3578" t="s">
        <v>31</v>
      </c>
      <c r="J3578" t="s">
        <v>84</v>
      </c>
      <c r="K3578" t="s">
        <v>123</v>
      </c>
      <c r="L3578" t="s">
        <v>124</v>
      </c>
      <c r="M3578">
        <v>882.84</v>
      </c>
    </row>
    <row r="3579">
      <c r="A3579" s="2">
        <v>45431</v>
      </c>
      <c r="B3579">
        <v>2024.0</v>
      </c>
      <c r="C3579" t="s">
        <v>318</v>
      </c>
      <c r="D3579" t="s">
        <v>316</v>
      </c>
      <c r="E3579" t="s">
        <v>201</v>
      </c>
      <c r="F3579" t="s">
        <v>305</v>
      </c>
      <c r="G3579" t="s">
        <v>10</v>
      </c>
      <c r="H3579">
        <v>3131.0</v>
      </c>
      <c r="I3579" t="s">
        <v>31</v>
      </c>
      <c r="J3579" t="s">
        <v>89</v>
      </c>
      <c r="K3579" t="s">
        <v>71</v>
      </c>
      <c r="L3579" t="s">
        <v>72</v>
      </c>
      <c r="M3579">
        <v>884.3199999999999</v>
      </c>
    </row>
    <row r="3580">
      <c r="A3580" s="2">
        <v>45763</v>
      </c>
      <c r="B3580">
        <v>2025.0</v>
      </c>
      <c r="C3580" t="s">
        <v>315</v>
      </c>
      <c r="D3580" t="s">
        <v>316</v>
      </c>
      <c r="E3580" t="s">
        <v>59</v>
      </c>
      <c r="F3580" t="s">
        <v>306</v>
      </c>
      <c r="G3580" t="s">
        <v>11</v>
      </c>
      <c r="H3580">
        <v>4509.0</v>
      </c>
      <c r="I3580" t="s">
        <v>31</v>
      </c>
      <c r="J3580" t="s">
        <v>61</v>
      </c>
      <c r="K3580" t="s">
        <v>123</v>
      </c>
      <c r="L3580" t="s">
        <v>124</v>
      </c>
      <c r="M3580">
        <v>886.6699999999997</v>
      </c>
    </row>
    <row r="3581">
      <c r="A3581" s="2">
        <v>45681</v>
      </c>
      <c r="B3581">
        <v>2025.0</v>
      </c>
      <c r="C3581" t="s">
        <v>315</v>
      </c>
      <c r="D3581" t="s">
        <v>319</v>
      </c>
      <c r="E3581" t="s">
        <v>100</v>
      </c>
      <c r="F3581" t="s">
        <v>307</v>
      </c>
      <c r="G3581" t="s">
        <v>12</v>
      </c>
      <c r="H3581">
        <v>6010.0</v>
      </c>
      <c r="I3581" t="s">
        <v>31</v>
      </c>
      <c r="J3581" t="s">
        <v>102</v>
      </c>
      <c r="K3581" t="s">
        <v>95</v>
      </c>
      <c r="L3581" t="s">
        <v>96</v>
      </c>
      <c r="M3581">
        <v>887.64</v>
      </c>
    </row>
    <row r="3582">
      <c r="A3582" s="2">
        <v>45972</v>
      </c>
      <c r="B3582">
        <v>2026.0</v>
      </c>
      <c r="C3582" t="s">
        <v>321</v>
      </c>
      <c r="D3582" t="s">
        <v>316</v>
      </c>
      <c r="E3582" t="s">
        <v>139</v>
      </c>
      <c r="F3582" t="s">
        <v>305</v>
      </c>
      <c r="G3582" t="s">
        <v>10</v>
      </c>
      <c r="H3582">
        <v>3199.0</v>
      </c>
      <c r="I3582" t="s">
        <v>31</v>
      </c>
      <c r="J3582" t="s">
        <v>89</v>
      </c>
      <c r="K3582" t="s">
        <v>43</v>
      </c>
      <c r="L3582" t="s">
        <v>44</v>
      </c>
      <c r="M3582">
        <v>887.9299999999998</v>
      </c>
    </row>
    <row r="3583">
      <c r="A3583" s="2">
        <v>45841</v>
      </c>
      <c r="B3583">
        <v>2026.0</v>
      </c>
      <c r="C3583" t="s">
        <v>321</v>
      </c>
      <c r="D3583" t="s">
        <v>316</v>
      </c>
      <c r="E3583" t="s">
        <v>254</v>
      </c>
      <c r="F3583" t="s">
        <v>308</v>
      </c>
      <c r="G3583" t="s">
        <v>13</v>
      </c>
      <c r="H3583">
        <v>5343.0</v>
      </c>
      <c r="I3583" t="s">
        <v>31</v>
      </c>
      <c r="J3583" t="s">
        <v>227</v>
      </c>
      <c r="K3583" t="s">
        <v>95</v>
      </c>
      <c r="L3583" t="s">
        <v>96</v>
      </c>
      <c r="M3583">
        <v>888.1000000000001</v>
      </c>
    </row>
    <row r="3584">
      <c r="A3584" s="2">
        <v>45729</v>
      </c>
      <c r="B3584">
        <v>2025.0</v>
      </c>
      <c r="C3584" t="s">
        <v>315</v>
      </c>
      <c r="D3584" t="s">
        <v>316</v>
      </c>
      <c r="E3584" t="s">
        <v>232</v>
      </c>
      <c r="F3584" t="s">
        <v>304</v>
      </c>
      <c r="G3584" t="s">
        <v>9</v>
      </c>
      <c r="H3584">
        <v>2800.0</v>
      </c>
      <c r="I3584" t="s">
        <v>31</v>
      </c>
      <c r="J3584" t="s">
        <v>75</v>
      </c>
      <c r="K3584" t="s">
        <v>66</v>
      </c>
      <c r="L3584" t="s">
        <v>67</v>
      </c>
      <c r="M3584">
        <v>891.4000000000001</v>
      </c>
    </row>
    <row r="3585">
      <c r="A3585" s="2">
        <v>45546</v>
      </c>
      <c r="B3585">
        <v>2025.0</v>
      </c>
      <c r="C3585" t="s">
        <v>315</v>
      </c>
      <c r="D3585" t="s">
        <v>316</v>
      </c>
      <c r="E3585" t="s">
        <v>105</v>
      </c>
      <c r="F3585" t="s">
        <v>304</v>
      </c>
      <c r="G3585" t="s">
        <v>9</v>
      </c>
      <c r="H3585">
        <v>2541.0</v>
      </c>
      <c r="I3585" t="s">
        <v>31</v>
      </c>
      <c r="J3585" t="s">
        <v>107</v>
      </c>
      <c r="K3585" t="s">
        <v>43</v>
      </c>
      <c r="L3585" t="s">
        <v>44</v>
      </c>
      <c r="M3585">
        <v>892.1100000000001</v>
      </c>
    </row>
    <row r="3586">
      <c r="A3586" s="2">
        <v>45292</v>
      </c>
      <c r="B3586">
        <v>2024.0</v>
      </c>
      <c r="C3586" t="s">
        <v>318</v>
      </c>
      <c r="D3586" t="s">
        <v>316</v>
      </c>
      <c r="E3586" t="s">
        <v>51</v>
      </c>
      <c r="F3586" t="s">
        <v>310</v>
      </c>
      <c r="G3586" t="s">
        <v>15</v>
      </c>
      <c r="H3586">
        <v>7018.0</v>
      </c>
      <c r="I3586" t="s">
        <v>31</v>
      </c>
      <c r="J3586" t="s">
        <v>53</v>
      </c>
      <c r="K3586" t="s">
        <v>46</v>
      </c>
      <c r="L3586" t="s">
        <v>47</v>
      </c>
      <c r="M3586">
        <v>893.23</v>
      </c>
    </row>
    <row r="3587">
      <c r="A3587" s="2">
        <v>45473</v>
      </c>
      <c r="B3587">
        <v>2024.0</v>
      </c>
      <c r="C3587" t="s">
        <v>318</v>
      </c>
      <c r="D3587" t="s">
        <v>316</v>
      </c>
      <c r="E3587" t="s">
        <v>76</v>
      </c>
      <c r="F3587" t="s">
        <v>306</v>
      </c>
      <c r="G3587" t="s">
        <v>11</v>
      </c>
      <c r="H3587">
        <v>4883.0</v>
      </c>
      <c r="I3587" t="s">
        <v>31</v>
      </c>
      <c r="J3587" t="s">
        <v>78</v>
      </c>
      <c r="K3587" t="s">
        <v>57</v>
      </c>
      <c r="L3587" t="s">
        <v>58</v>
      </c>
      <c r="M3587">
        <v>893.95</v>
      </c>
    </row>
    <row r="3588">
      <c r="A3588" s="2">
        <v>45860</v>
      </c>
      <c r="B3588">
        <v>2026.0</v>
      </c>
      <c r="C3588" t="s">
        <v>321</v>
      </c>
      <c r="D3588" t="s">
        <v>316</v>
      </c>
      <c r="E3588" t="s">
        <v>175</v>
      </c>
      <c r="F3588" t="s">
        <v>311</v>
      </c>
      <c r="G3588" t="s">
        <v>16</v>
      </c>
      <c r="H3588">
        <v>2617.0</v>
      </c>
      <c r="I3588" t="s">
        <v>31</v>
      </c>
      <c r="J3588" t="s">
        <v>107</v>
      </c>
      <c r="K3588" t="s">
        <v>33</v>
      </c>
      <c r="L3588" t="s">
        <v>34</v>
      </c>
      <c r="M3588">
        <v>893.9899999999998</v>
      </c>
    </row>
    <row r="3589">
      <c r="A3589" s="2">
        <v>45524</v>
      </c>
      <c r="B3589">
        <v>2025.0</v>
      </c>
      <c r="C3589" t="s">
        <v>315</v>
      </c>
      <c r="D3589" t="s">
        <v>316</v>
      </c>
      <c r="E3589" t="s">
        <v>193</v>
      </c>
      <c r="F3589" t="s">
        <v>304</v>
      </c>
      <c r="G3589" t="s">
        <v>9</v>
      </c>
      <c r="H3589">
        <v>2020.0</v>
      </c>
      <c r="I3589" t="s">
        <v>31</v>
      </c>
      <c r="J3589" t="s">
        <v>99</v>
      </c>
      <c r="K3589" t="s">
        <v>57</v>
      </c>
      <c r="L3589" t="s">
        <v>58</v>
      </c>
      <c r="M3589">
        <v>894.97</v>
      </c>
    </row>
    <row r="3590">
      <c r="A3590" s="2">
        <v>45400</v>
      </c>
      <c r="B3590">
        <v>2024.0</v>
      </c>
      <c r="C3590" t="s">
        <v>318</v>
      </c>
      <c r="D3590" t="s">
        <v>319</v>
      </c>
      <c r="E3590" t="s">
        <v>242</v>
      </c>
      <c r="F3590" t="s">
        <v>305</v>
      </c>
      <c r="G3590" t="s">
        <v>10</v>
      </c>
      <c r="H3590">
        <v>3977.0</v>
      </c>
      <c r="I3590" t="s">
        <v>31</v>
      </c>
      <c r="J3590" t="s">
        <v>94</v>
      </c>
      <c r="K3590" t="s">
        <v>71</v>
      </c>
      <c r="L3590" t="s">
        <v>72</v>
      </c>
      <c r="M3590">
        <v>895.24</v>
      </c>
    </row>
    <row r="3591">
      <c r="A3591" s="2">
        <v>45586</v>
      </c>
      <c r="B3591">
        <v>2025.0</v>
      </c>
      <c r="C3591" t="s">
        <v>315</v>
      </c>
      <c r="D3591" t="s">
        <v>316</v>
      </c>
      <c r="E3591" t="s">
        <v>62</v>
      </c>
      <c r="F3591" t="s">
        <v>307</v>
      </c>
      <c r="G3591" t="s">
        <v>12</v>
      </c>
      <c r="H3591">
        <v>6530.0</v>
      </c>
      <c r="I3591" t="s">
        <v>31</v>
      </c>
      <c r="J3591" t="s">
        <v>50</v>
      </c>
      <c r="K3591" t="s">
        <v>43</v>
      </c>
      <c r="L3591" t="s">
        <v>44</v>
      </c>
      <c r="M3591">
        <v>895.9200000000001</v>
      </c>
    </row>
    <row r="3592">
      <c r="A3592" s="2">
        <v>45368</v>
      </c>
      <c r="B3592">
        <v>2024.0</v>
      </c>
      <c r="C3592" t="s">
        <v>318</v>
      </c>
      <c r="D3592" t="s">
        <v>316</v>
      </c>
      <c r="E3592" t="s">
        <v>246</v>
      </c>
      <c r="F3592" t="s">
        <v>305</v>
      </c>
      <c r="G3592" t="s">
        <v>10</v>
      </c>
      <c r="H3592">
        <v>3551.0</v>
      </c>
      <c r="I3592" t="s">
        <v>31</v>
      </c>
      <c r="J3592" t="s">
        <v>37</v>
      </c>
      <c r="K3592" t="s">
        <v>38</v>
      </c>
      <c r="L3592" t="s">
        <v>39</v>
      </c>
      <c r="M3592">
        <v>896.08</v>
      </c>
    </row>
    <row r="3593">
      <c r="A3593" s="2">
        <v>45435</v>
      </c>
      <c r="B3593">
        <v>2024.0</v>
      </c>
      <c r="C3593" t="s">
        <v>318</v>
      </c>
      <c r="D3593" t="s">
        <v>316</v>
      </c>
      <c r="E3593" t="s">
        <v>114</v>
      </c>
      <c r="F3593" t="s">
        <v>304</v>
      </c>
      <c r="G3593" t="s">
        <v>9</v>
      </c>
      <c r="H3593">
        <v>2031.0</v>
      </c>
      <c r="I3593" t="s">
        <v>31</v>
      </c>
      <c r="J3593" t="s">
        <v>99</v>
      </c>
      <c r="K3593" t="s">
        <v>71</v>
      </c>
      <c r="L3593" t="s">
        <v>72</v>
      </c>
      <c r="M3593">
        <v>898.7</v>
      </c>
    </row>
    <row r="3594">
      <c r="A3594" s="2">
        <v>45404</v>
      </c>
      <c r="B3594">
        <v>2024.0</v>
      </c>
      <c r="C3594" t="s">
        <v>318</v>
      </c>
      <c r="D3594" t="s">
        <v>319</v>
      </c>
      <c r="E3594" t="s">
        <v>103</v>
      </c>
      <c r="F3594" t="s">
        <v>307</v>
      </c>
      <c r="G3594" t="s">
        <v>12</v>
      </c>
      <c r="H3594">
        <v>6021.0</v>
      </c>
      <c r="I3594" t="s">
        <v>31</v>
      </c>
      <c r="J3594" t="s">
        <v>102</v>
      </c>
      <c r="K3594" t="s">
        <v>57</v>
      </c>
      <c r="L3594" t="s">
        <v>58</v>
      </c>
      <c r="M3594">
        <v>898.84</v>
      </c>
    </row>
    <row r="3595">
      <c r="A3595" s="2">
        <v>45909</v>
      </c>
      <c r="B3595">
        <v>2026.0</v>
      </c>
      <c r="C3595" t="s">
        <v>321</v>
      </c>
      <c r="D3595" t="s">
        <v>316</v>
      </c>
      <c r="E3595" t="s">
        <v>165</v>
      </c>
      <c r="F3595" t="s">
        <v>304</v>
      </c>
      <c r="G3595" t="s">
        <v>9</v>
      </c>
      <c r="H3595">
        <v>2064.0</v>
      </c>
      <c r="I3595" t="s">
        <v>31</v>
      </c>
      <c r="J3595" t="s">
        <v>99</v>
      </c>
      <c r="K3595" t="s">
        <v>57</v>
      </c>
      <c r="L3595" t="s">
        <v>58</v>
      </c>
      <c r="M3595">
        <v>898.8599999999999</v>
      </c>
    </row>
    <row r="3596">
      <c r="A3596" s="2">
        <v>45535</v>
      </c>
      <c r="B3596">
        <v>2025.0</v>
      </c>
      <c r="C3596" t="s">
        <v>315</v>
      </c>
      <c r="D3596" t="s">
        <v>319</v>
      </c>
      <c r="E3596" t="s">
        <v>76</v>
      </c>
      <c r="F3596" t="s">
        <v>306</v>
      </c>
      <c r="G3596" t="s">
        <v>11</v>
      </c>
      <c r="H3596">
        <v>4883.0</v>
      </c>
      <c r="I3596" t="s">
        <v>31</v>
      </c>
      <c r="J3596" t="s">
        <v>78</v>
      </c>
      <c r="K3596" t="s">
        <v>57</v>
      </c>
      <c r="L3596" t="s">
        <v>58</v>
      </c>
      <c r="M3596">
        <v>899.55</v>
      </c>
    </row>
    <row r="3597">
      <c r="A3597" s="2">
        <v>45702</v>
      </c>
      <c r="B3597">
        <v>2025.0</v>
      </c>
      <c r="C3597" t="s">
        <v>315</v>
      </c>
      <c r="D3597" t="s">
        <v>319</v>
      </c>
      <c r="E3597" t="s">
        <v>250</v>
      </c>
      <c r="F3597" t="s">
        <v>305</v>
      </c>
      <c r="G3597" t="s">
        <v>10</v>
      </c>
      <c r="H3597">
        <v>3550.0</v>
      </c>
      <c r="I3597" t="s">
        <v>31</v>
      </c>
      <c r="J3597" t="s">
        <v>37</v>
      </c>
      <c r="K3597" t="s">
        <v>38</v>
      </c>
      <c r="L3597" t="s">
        <v>39</v>
      </c>
      <c r="M3597">
        <v>901.2899999999998</v>
      </c>
    </row>
    <row r="3598">
      <c r="A3598" s="2">
        <v>45898</v>
      </c>
      <c r="B3598">
        <v>2026.0</v>
      </c>
      <c r="C3598" t="s">
        <v>321</v>
      </c>
      <c r="D3598" t="s">
        <v>316</v>
      </c>
      <c r="E3598" t="s">
        <v>64</v>
      </c>
      <c r="F3598" t="s">
        <v>306</v>
      </c>
      <c r="G3598" t="s">
        <v>11</v>
      </c>
      <c r="H3598">
        <v>4215.0</v>
      </c>
      <c r="I3598" t="s">
        <v>31</v>
      </c>
      <c r="J3598" t="s">
        <v>61</v>
      </c>
      <c r="K3598" t="s">
        <v>112</v>
      </c>
      <c r="L3598" t="s">
        <v>113</v>
      </c>
      <c r="M3598">
        <v>902.49</v>
      </c>
    </row>
    <row r="3599">
      <c r="A3599" s="2">
        <v>45770</v>
      </c>
      <c r="B3599">
        <v>2025.0</v>
      </c>
      <c r="C3599" t="s">
        <v>315</v>
      </c>
      <c r="D3599" t="s">
        <v>316</v>
      </c>
      <c r="E3599" t="s">
        <v>203</v>
      </c>
      <c r="F3599" t="s">
        <v>305</v>
      </c>
      <c r="G3599" t="s">
        <v>10</v>
      </c>
      <c r="H3599">
        <v>3175.0</v>
      </c>
      <c r="I3599" t="s">
        <v>31</v>
      </c>
      <c r="J3599" t="s">
        <v>89</v>
      </c>
      <c r="K3599" t="s">
        <v>57</v>
      </c>
      <c r="L3599" t="s">
        <v>58</v>
      </c>
      <c r="M3599">
        <v>903.78</v>
      </c>
    </row>
    <row r="3600">
      <c r="A3600" s="2">
        <v>45964</v>
      </c>
      <c r="B3600">
        <v>2026.0</v>
      </c>
      <c r="C3600" t="s">
        <v>321</v>
      </c>
      <c r="D3600" t="s">
        <v>319</v>
      </c>
      <c r="E3600" t="s">
        <v>250</v>
      </c>
      <c r="F3600" t="s">
        <v>305</v>
      </c>
      <c r="G3600" t="s">
        <v>10</v>
      </c>
      <c r="H3600">
        <v>3550.0</v>
      </c>
      <c r="I3600" t="s">
        <v>31</v>
      </c>
      <c r="J3600" t="s">
        <v>37</v>
      </c>
      <c r="K3600" t="s">
        <v>66</v>
      </c>
      <c r="L3600" t="s">
        <v>67</v>
      </c>
      <c r="M3600">
        <v>903.89</v>
      </c>
    </row>
    <row r="3601">
      <c r="A3601" s="2">
        <v>45501</v>
      </c>
      <c r="B3601">
        <v>2025.0</v>
      </c>
      <c r="C3601" t="s">
        <v>315</v>
      </c>
      <c r="D3601" t="s">
        <v>316</v>
      </c>
      <c r="E3601" t="s">
        <v>197</v>
      </c>
      <c r="F3601" t="s">
        <v>304</v>
      </c>
      <c r="G3601" t="s">
        <v>9</v>
      </c>
      <c r="H3601">
        <v>2560.0</v>
      </c>
      <c r="I3601" t="s">
        <v>31</v>
      </c>
      <c r="J3601" t="s">
        <v>107</v>
      </c>
      <c r="K3601" t="s">
        <v>38</v>
      </c>
      <c r="L3601" t="s">
        <v>39</v>
      </c>
      <c r="M3601">
        <v>903.99</v>
      </c>
    </row>
    <row r="3602">
      <c r="A3602" s="2">
        <v>45765</v>
      </c>
      <c r="B3602">
        <v>2025.0</v>
      </c>
      <c r="C3602" t="s">
        <v>315</v>
      </c>
      <c r="D3602" t="s">
        <v>319</v>
      </c>
      <c r="E3602" t="s">
        <v>242</v>
      </c>
      <c r="F3602" t="s">
        <v>305</v>
      </c>
      <c r="G3602" t="s">
        <v>10</v>
      </c>
      <c r="H3602">
        <v>3977.0</v>
      </c>
      <c r="I3602" t="s">
        <v>31</v>
      </c>
      <c r="J3602" t="s">
        <v>94</v>
      </c>
      <c r="K3602" t="s">
        <v>46</v>
      </c>
      <c r="L3602" t="s">
        <v>47</v>
      </c>
      <c r="M3602">
        <v>906.0799999999999</v>
      </c>
    </row>
    <row r="3603">
      <c r="A3603" s="2">
        <v>45755</v>
      </c>
      <c r="B3603">
        <v>2025.0</v>
      </c>
      <c r="C3603" t="s">
        <v>315</v>
      </c>
      <c r="D3603" t="s">
        <v>319</v>
      </c>
      <c r="E3603" t="s">
        <v>62</v>
      </c>
      <c r="F3603" t="s">
        <v>307</v>
      </c>
      <c r="G3603" t="s">
        <v>12</v>
      </c>
      <c r="H3603">
        <v>6530.0</v>
      </c>
      <c r="I3603" t="s">
        <v>31</v>
      </c>
      <c r="J3603" t="s">
        <v>50</v>
      </c>
      <c r="K3603" t="s">
        <v>43</v>
      </c>
      <c r="L3603" t="s">
        <v>44</v>
      </c>
      <c r="M3603">
        <v>908.5100000000001</v>
      </c>
    </row>
    <row r="3604">
      <c r="A3604" s="2">
        <v>45316</v>
      </c>
      <c r="B3604">
        <v>2024.0</v>
      </c>
      <c r="C3604" t="s">
        <v>318</v>
      </c>
      <c r="D3604" t="s">
        <v>316</v>
      </c>
      <c r="E3604" t="s">
        <v>195</v>
      </c>
      <c r="F3604" t="s">
        <v>306</v>
      </c>
      <c r="G3604" t="s">
        <v>11</v>
      </c>
      <c r="H3604">
        <v>4700.0</v>
      </c>
      <c r="I3604" t="s">
        <v>31</v>
      </c>
      <c r="J3604" t="s">
        <v>32</v>
      </c>
      <c r="K3604" t="s">
        <v>46</v>
      </c>
      <c r="L3604" t="s">
        <v>47</v>
      </c>
      <c r="M3604">
        <v>912.27</v>
      </c>
    </row>
    <row r="3605">
      <c r="A3605" s="2">
        <v>45350</v>
      </c>
      <c r="B3605">
        <v>2024.0</v>
      </c>
      <c r="C3605" t="s">
        <v>318</v>
      </c>
      <c r="D3605" t="s">
        <v>316</v>
      </c>
      <c r="E3605" t="s">
        <v>173</v>
      </c>
      <c r="F3605" t="s">
        <v>306</v>
      </c>
      <c r="G3605" t="s">
        <v>11</v>
      </c>
      <c r="H3605">
        <v>4220.0</v>
      </c>
      <c r="I3605" t="s">
        <v>31</v>
      </c>
      <c r="J3605" t="s">
        <v>61</v>
      </c>
      <c r="K3605" t="s">
        <v>123</v>
      </c>
      <c r="L3605" t="s">
        <v>124</v>
      </c>
      <c r="M3605">
        <v>915.3199999999998</v>
      </c>
    </row>
    <row r="3606">
      <c r="A3606" s="2">
        <v>45791</v>
      </c>
      <c r="B3606">
        <v>2025.0</v>
      </c>
      <c r="C3606" t="s">
        <v>315</v>
      </c>
      <c r="D3606" t="s">
        <v>316</v>
      </c>
      <c r="E3606" t="s">
        <v>110</v>
      </c>
      <c r="F3606" t="s">
        <v>304</v>
      </c>
      <c r="G3606" t="s">
        <v>9</v>
      </c>
      <c r="H3606">
        <v>2101.0</v>
      </c>
      <c r="I3606" t="s">
        <v>31</v>
      </c>
      <c r="J3606" t="s">
        <v>81</v>
      </c>
      <c r="K3606" t="s">
        <v>57</v>
      </c>
      <c r="L3606" t="s">
        <v>58</v>
      </c>
      <c r="M3606">
        <v>915.68</v>
      </c>
    </row>
    <row r="3607">
      <c r="A3607" s="2">
        <v>45922</v>
      </c>
      <c r="B3607">
        <v>2026.0</v>
      </c>
      <c r="C3607" t="s">
        <v>321</v>
      </c>
      <c r="D3607" t="s">
        <v>316</v>
      </c>
      <c r="E3607" t="s">
        <v>185</v>
      </c>
      <c r="F3607" t="s">
        <v>307</v>
      </c>
      <c r="G3607" t="s">
        <v>12</v>
      </c>
      <c r="H3607">
        <v>6109.0</v>
      </c>
      <c r="I3607" t="s">
        <v>31</v>
      </c>
      <c r="J3607" t="s">
        <v>162</v>
      </c>
      <c r="K3607" t="s">
        <v>57</v>
      </c>
      <c r="L3607" t="s">
        <v>58</v>
      </c>
      <c r="M3607">
        <v>915.6800000000001</v>
      </c>
    </row>
    <row r="3608">
      <c r="A3608" s="2">
        <v>45688</v>
      </c>
      <c r="B3608">
        <v>2025.0</v>
      </c>
      <c r="C3608" t="s">
        <v>315</v>
      </c>
      <c r="D3608" t="s">
        <v>316</v>
      </c>
      <c r="E3608" t="s">
        <v>232</v>
      </c>
      <c r="F3608" t="s">
        <v>304</v>
      </c>
      <c r="G3608" t="s">
        <v>9</v>
      </c>
      <c r="H3608">
        <v>2800.0</v>
      </c>
      <c r="I3608" t="s">
        <v>31</v>
      </c>
      <c r="J3608" t="s">
        <v>75</v>
      </c>
      <c r="K3608" t="s">
        <v>112</v>
      </c>
      <c r="L3608" t="s">
        <v>113</v>
      </c>
      <c r="M3608">
        <v>915.76</v>
      </c>
    </row>
    <row r="3609">
      <c r="A3609" s="2">
        <v>45586</v>
      </c>
      <c r="B3609">
        <v>2025.0</v>
      </c>
      <c r="C3609" t="s">
        <v>315</v>
      </c>
      <c r="D3609" t="s">
        <v>316</v>
      </c>
      <c r="E3609" t="s">
        <v>197</v>
      </c>
      <c r="F3609" t="s">
        <v>304</v>
      </c>
      <c r="G3609" t="s">
        <v>9</v>
      </c>
      <c r="H3609">
        <v>2560.0</v>
      </c>
      <c r="I3609" t="s">
        <v>31</v>
      </c>
      <c r="J3609" t="s">
        <v>107</v>
      </c>
      <c r="K3609" t="s">
        <v>123</v>
      </c>
      <c r="L3609" t="s">
        <v>124</v>
      </c>
      <c r="M3609">
        <v>918.0199999999998</v>
      </c>
    </row>
    <row r="3610">
      <c r="A3610" s="2">
        <v>45509</v>
      </c>
      <c r="B3610">
        <v>2025.0</v>
      </c>
      <c r="C3610" t="s">
        <v>315</v>
      </c>
      <c r="D3610" t="s">
        <v>319</v>
      </c>
      <c r="E3610" t="s">
        <v>92</v>
      </c>
      <c r="F3610" t="s">
        <v>305</v>
      </c>
      <c r="G3610" t="s">
        <v>10</v>
      </c>
      <c r="H3610">
        <v>3690.0</v>
      </c>
      <c r="I3610" t="s">
        <v>31</v>
      </c>
      <c r="J3610" t="s">
        <v>94</v>
      </c>
      <c r="K3610" t="s">
        <v>57</v>
      </c>
      <c r="L3610" t="s">
        <v>58</v>
      </c>
      <c r="M3610">
        <v>918.2399999999999</v>
      </c>
    </row>
    <row r="3611">
      <c r="A3611" s="2">
        <v>45473</v>
      </c>
      <c r="B3611">
        <v>2024.0</v>
      </c>
      <c r="C3611" t="s">
        <v>318</v>
      </c>
      <c r="D3611" t="s">
        <v>319</v>
      </c>
      <c r="E3611" t="s">
        <v>165</v>
      </c>
      <c r="F3611" t="s">
        <v>304</v>
      </c>
      <c r="G3611" t="s">
        <v>9</v>
      </c>
      <c r="H3611">
        <v>2064.0</v>
      </c>
      <c r="I3611" t="s">
        <v>31</v>
      </c>
      <c r="J3611" t="s">
        <v>99</v>
      </c>
      <c r="K3611" t="s">
        <v>95</v>
      </c>
      <c r="L3611" t="s">
        <v>96</v>
      </c>
      <c r="M3611">
        <v>918.24</v>
      </c>
    </row>
    <row r="3612">
      <c r="A3612" s="2">
        <v>45953</v>
      </c>
      <c r="B3612">
        <v>2026.0</v>
      </c>
      <c r="C3612" t="s">
        <v>321</v>
      </c>
      <c r="D3612" t="s">
        <v>316</v>
      </c>
      <c r="E3612" t="s">
        <v>87</v>
      </c>
      <c r="F3612" t="s">
        <v>305</v>
      </c>
      <c r="G3612" t="s">
        <v>10</v>
      </c>
      <c r="H3612">
        <v>3148.0</v>
      </c>
      <c r="I3612" t="s">
        <v>31</v>
      </c>
      <c r="J3612" t="s">
        <v>89</v>
      </c>
      <c r="K3612" t="s">
        <v>43</v>
      </c>
      <c r="L3612" t="s">
        <v>44</v>
      </c>
      <c r="M3612">
        <v>920.1700000000001</v>
      </c>
    </row>
    <row r="3613">
      <c r="A3613" s="2">
        <v>45646</v>
      </c>
      <c r="B3613">
        <v>2025.0</v>
      </c>
      <c r="C3613" t="s">
        <v>315</v>
      </c>
      <c r="D3613" t="s">
        <v>316</v>
      </c>
      <c r="E3613" t="s">
        <v>197</v>
      </c>
      <c r="F3613" t="s">
        <v>304</v>
      </c>
      <c r="G3613" t="s">
        <v>9</v>
      </c>
      <c r="H3613">
        <v>2560.0</v>
      </c>
      <c r="I3613" t="s">
        <v>31</v>
      </c>
      <c r="J3613" t="s">
        <v>107</v>
      </c>
      <c r="K3613" t="s">
        <v>43</v>
      </c>
      <c r="L3613" t="s">
        <v>44</v>
      </c>
      <c r="M3613">
        <v>921.4599999999999</v>
      </c>
    </row>
    <row r="3614">
      <c r="A3614" s="2">
        <v>45838</v>
      </c>
      <c r="B3614">
        <v>2025.0</v>
      </c>
      <c r="C3614" t="s">
        <v>315</v>
      </c>
      <c r="D3614" t="s">
        <v>316</v>
      </c>
      <c r="E3614" t="s">
        <v>110</v>
      </c>
      <c r="F3614" t="s">
        <v>304</v>
      </c>
      <c r="G3614" t="s">
        <v>9</v>
      </c>
      <c r="H3614">
        <v>2101.0</v>
      </c>
      <c r="I3614" t="s">
        <v>31</v>
      </c>
      <c r="J3614" t="s">
        <v>81</v>
      </c>
      <c r="K3614" t="s">
        <v>43</v>
      </c>
      <c r="L3614" t="s">
        <v>44</v>
      </c>
      <c r="M3614">
        <v>921.67</v>
      </c>
    </row>
    <row r="3615">
      <c r="A3615" s="2">
        <v>45943</v>
      </c>
      <c r="B3615">
        <v>2026.0</v>
      </c>
      <c r="C3615" t="s">
        <v>321</v>
      </c>
      <c r="D3615" t="s">
        <v>316</v>
      </c>
      <c r="E3615" t="s">
        <v>156</v>
      </c>
      <c r="F3615" t="s">
        <v>304</v>
      </c>
      <c r="G3615" t="s">
        <v>9</v>
      </c>
      <c r="H3615">
        <v>2830.0</v>
      </c>
      <c r="I3615" t="s">
        <v>31</v>
      </c>
      <c r="J3615" t="s">
        <v>75</v>
      </c>
      <c r="K3615" t="s">
        <v>95</v>
      </c>
      <c r="L3615" t="s">
        <v>96</v>
      </c>
      <c r="M3615">
        <v>922.07</v>
      </c>
    </row>
    <row r="3616">
      <c r="A3616" s="2">
        <v>45536</v>
      </c>
      <c r="B3616">
        <v>2025.0</v>
      </c>
      <c r="C3616" t="s">
        <v>315</v>
      </c>
      <c r="D3616" t="s">
        <v>319</v>
      </c>
      <c r="E3616" t="s">
        <v>143</v>
      </c>
      <c r="F3616" t="s">
        <v>309</v>
      </c>
      <c r="G3616" t="s">
        <v>14</v>
      </c>
      <c r="H3616">
        <v>800.0</v>
      </c>
      <c r="I3616" t="s">
        <v>31</v>
      </c>
      <c r="J3616" t="s">
        <v>145</v>
      </c>
      <c r="K3616" t="s">
        <v>38</v>
      </c>
      <c r="L3616" t="s">
        <v>39</v>
      </c>
      <c r="M3616">
        <v>922.41</v>
      </c>
    </row>
    <row r="3617">
      <c r="A3617" s="2">
        <v>45923</v>
      </c>
      <c r="B3617">
        <v>2026.0</v>
      </c>
      <c r="C3617" t="s">
        <v>321</v>
      </c>
      <c r="D3617" t="s">
        <v>316</v>
      </c>
      <c r="E3617" t="s">
        <v>97</v>
      </c>
      <c r="F3617" t="s">
        <v>304</v>
      </c>
      <c r="G3617" t="s">
        <v>9</v>
      </c>
      <c r="H3617">
        <v>2067.0</v>
      </c>
      <c r="I3617" t="s">
        <v>31</v>
      </c>
      <c r="J3617" t="s">
        <v>99</v>
      </c>
      <c r="K3617" t="s">
        <v>43</v>
      </c>
      <c r="L3617" t="s">
        <v>44</v>
      </c>
      <c r="M3617">
        <v>924.9000000000001</v>
      </c>
    </row>
    <row r="3618">
      <c r="A3618" s="2">
        <v>45800</v>
      </c>
      <c r="B3618">
        <v>2025.0</v>
      </c>
      <c r="C3618" t="s">
        <v>315</v>
      </c>
      <c r="D3618" t="s">
        <v>319</v>
      </c>
      <c r="E3618" t="s">
        <v>143</v>
      </c>
      <c r="F3618" t="s">
        <v>309</v>
      </c>
      <c r="G3618" t="s">
        <v>14</v>
      </c>
      <c r="H3618">
        <v>800.0</v>
      </c>
      <c r="I3618" t="s">
        <v>31</v>
      </c>
      <c r="J3618" t="s">
        <v>145</v>
      </c>
      <c r="K3618" t="s">
        <v>71</v>
      </c>
      <c r="L3618" t="s">
        <v>72</v>
      </c>
      <c r="M3618">
        <v>926.1999999999999</v>
      </c>
    </row>
    <row r="3619">
      <c r="A3619" s="2">
        <v>46021</v>
      </c>
      <c r="B3619">
        <v>2026.0</v>
      </c>
      <c r="C3619" t="s">
        <v>321</v>
      </c>
      <c r="D3619" t="s">
        <v>316</v>
      </c>
      <c r="E3619" t="s">
        <v>97</v>
      </c>
      <c r="F3619" t="s">
        <v>304</v>
      </c>
      <c r="G3619" t="s">
        <v>9</v>
      </c>
      <c r="H3619">
        <v>2067.0</v>
      </c>
      <c r="I3619" t="s">
        <v>31</v>
      </c>
      <c r="J3619" t="s">
        <v>99</v>
      </c>
      <c r="K3619" t="s">
        <v>123</v>
      </c>
      <c r="L3619" t="s">
        <v>124</v>
      </c>
      <c r="M3619">
        <v>928.5600000000002</v>
      </c>
    </row>
    <row r="3620">
      <c r="A3620" s="2">
        <v>45531</v>
      </c>
      <c r="B3620">
        <v>2025.0</v>
      </c>
      <c r="C3620" t="s">
        <v>315</v>
      </c>
      <c r="D3620" t="s">
        <v>316</v>
      </c>
      <c r="E3620" t="s">
        <v>129</v>
      </c>
      <c r="F3620" t="s">
        <v>305</v>
      </c>
      <c r="G3620" t="s">
        <v>10</v>
      </c>
      <c r="H3620">
        <v>3066.0</v>
      </c>
      <c r="I3620" t="s">
        <v>31</v>
      </c>
      <c r="J3620" t="s">
        <v>120</v>
      </c>
      <c r="K3620" t="s">
        <v>123</v>
      </c>
      <c r="L3620" t="s">
        <v>124</v>
      </c>
      <c r="M3620">
        <v>928.6899999999998</v>
      </c>
    </row>
    <row r="3621">
      <c r="A3621" s="2">
        <v>45726</v>
      </c>
      <c r="B3621">
        <v>2025.0</v>
      </c>
      <c r="C3621" t="s">
        <v>315</v>
      </c>
      <c r="D3621" t="s">
        <v>316</v>
      </c>
      <c r="E3621" t="s">
        <v>238</v>
      </c>
      <c r="F3621" t="s">
        <v>308</v>
      </c>
      <c r="G3621" t="s">
        <v>13</v>
      </c>
      <c r="H3621">
        <v>5082.0</v>
      </c>
      <c r="I3621" t="s">
        <v>31</v>
      </c>
      <c r="J3621" t="s">
        <v>42</v>
      </c>
      <c r="K3621" t="s">
        <v>95</v>
      </c>
      <c r="L3621" t="s">
        <v>96</v>
      </c>
      <c r="M3621">
        <v>929.83</v>
      </c>
    </row>
    <row r="3622">
      <c r="A3622" s="2">
        <v>45853</v>
      </c>
      <c r="B3622">
        <v>2026.0</v>
      </c>
      <c r="C3622" t="s">
        <v>321</v>
      </c>
      <c r="D3622" t="s">
        <v>316</v>
      </c>
      <c r="E3622" t="s">
        <v>87</v>
      </c>
      <c r="F3622" t="s">
        <v>305</v>
      </c>
      <c r="G3622" t="s">
        <v>10</v>
      </c>
      <c r="H3622">
        <v>3148.0</v>
      </c>
      <c r="I3622" t="s">
        <v>31</v>
      </c>
      <c r="J3622" t="s">
        <v>89</v>
      </c>
      <c r="K3622" t="s">
        <v>57</v>
      </c>
      <c r="L3622" t="s">
        <v>58</v>
      </c>
      <c r="M3622">
        <v>931.8099999999997</v>
      </c>
    </row>
    <row r="3623">
      <c r="A3623" s="2">
        <v>45595</v>
      </c>
      <c r="B3623">
        <v>2025.0</v>
      </c>
      <c r="C3623" t="s">
        <v>315</v>
      </c>
      <c r="D3623" t="s">
        <v>316</v>
      </c>
      <c r="E3623" t="s">
        <v>250</v>
      </c>
      <c r="F3623" t="s">
        <v>305</v>
      </c>
      <c r="G3623" t="s">
        <v>10</v>
      </c>
      <c r="H3623">
        <v>3550.0</v>
      </c>
      <c r="I3623" t="s">
        <v>31</v>
      </c>
      <c r="J3623" t="s">
        <v>37</v>
      </c>
      <c r="K3623" t="s">
        <v>112</v>
      </c>
      <c r="L3623" t="s">
        <v>113</v>
      </c>
      <c r="M3623">
        <v>931.8399999999999</v>
      </c>
    </row>
    <row r="3624">
      <c r="A3624" s="2">
        <v>45465</v>
      </c>
      <c r="B3624">
        <v>2024.0</v>
      </c>
      <c r="C3624" t="s">
        <v>318</v>
      </c>
      <c r="D3624" t="s">
        <v>319</v>
      </c>
      <c r="E3624" t="s">
        <v>177</v>
      </c>
      <c r="F3624" t="s">
        <v>307</v>
      </c>
      <c r="G3624" t="s">
        <v>12</v>
      </c>
      <c r="H3624">
        <v>6330.0</v>
      </c>
      <c r="I3624" t="s">
        <v>31</v>
      </c>
      <c r="J3624" t="s">
        <v>162</v>
      </c>
      <c r="K3624" t="s">
        <v>38</v>
      </c>
      <c r="L3624" t="s">
        <v>39</v>
      </c>
      <c r="M3624">
        <v>932.9200000000001</v>
      </c>
    </row>
    <row r="3625">
      <c r="A3625" s="2">
        <v>45978</v>
      </c>
      <c r="B3625">
        <v>2026.0</v>
      </c>
      <c r="C3625" t="s">
        <v>321</v>
      </c>
      <c r="D3625" t="s">
        <v>316</v>
      </c>
      <c r="E3625" t="s">
        <v>211</v>
      </c>
      <c r="F3625" t="s">
        <v>304</v>
      </c>
      <c r="G3625" t="s">
        <v>9</v>
      </c>
      <c r="H3625">
        <v>2650.0</v>
      </c>
      <c r="I3625" t="s">
        <v>31</v>
      </c>
      <c r="J3625" t="s">
        <v>75</v>
      </c>
      <c r="K3625" t="s">
        <v>57</v>
      </c>
      <c r="L3625" t="s">
        <v>58</v>
      </c>
      <c r="M3625">
        <v>933.9399999999999</v>
      </c>
    </row>
    <row r="3626">
      <c r="A3626" s="2">
        <v>45455</v>
      </c>
      <c r="B3626">
        <v>2024.0</v>
      </c>
      <c r="C3626" t="s">
        <v>318</v>
      </c>
      <c r="D3626" t="s">
        <v>316</v>
      </c>
      <c r="E3626" t="s">
        <v>114</v>
      </c>
      <c r="F3626" t="s">
        <v>304</v>
      </c>
      <c r="G3626" t="s">
        <v>9</v>
      </c>
      <c r="H3626">
        <v>2031.0</v>
      </c>
      <c r="I3626" t="s">
        <v>31</v>
      </c>
      <c r="J3626" t="s">
        <v>99</v>
      </c>
      <c r="K3626" t="s">
        <v>71</v>
      </c>
      <c r="L3626" t="s">
        <v>72</v>
      </c>
      <c r="M3626">
        <v>934.16</v>
      </c>
    </row>
    <row r="3627">
      <c r="A3627" s="2">
        <v>45457</v>
      </c>
      <c r="B3627">
        <v>2024.0</v>
      </c>
      <c r="C3627" t="s">
        <v>318</v>
      </c>
      <c r="D3627" t="s">
        <v>316</v>
      </c>
      <c r="E3627" t="s">
        <v>209</v>
      </c>
      <c r="F3627" t="s">
        <v>304</v>
      </c>
      <c r="G3627" t="s">
        <v>9</v>
      </c>
      <c r="H3627">
        <v>2116.0</v>
      </c>
      <c r="I3627" t="s">
        <v>31</v>
      </c>
      <c r="J3627" t="s">
        <v>81</v>
      </c>
      <c r="K3627" t="s">
        <v>66</v>
      </c>
      <c r="L3627" t="s">
        <v>67</v>
      </c>
      <c r="M3627">
        <v>935.17</v>
      </c>
    </row>
    <row r="3628">
      <c r="A3628" s="2">
        <v>45803</v>
      </c>
      <c r="B3628">
        <v>2025.0</v>
      </c>
      <c r="C3628" t="s">
        <v>315</v>
      </c>
      <c r="D3628" t="s">
        <v>316</v>
      </c>
      <c r="E3628" t="s">
        <v>150</v>
      </c>
      <c r="F3628" t="s">
        <v>310</v>
      </c>
      <c r="G3628" t="s">
        <v>15</v>
      </c>
      <c r="H3628">
        <v>7250.0</v>
      </c>
      <c r="I3628" t="s">
        <v>31</v>
      </c>
      <c r="J3628" t="s">
        <v>53</v>
      </c>
      <c r="K3628" t="s">
        <v>95</v>
      </c>
      <c r="L3628" t="s">
        <v>96</v>
      </c>
      <c r="M3628">
        <v>939.8299999999999</v>
      </c>
    </row>
    <row r="3629">
      <c r="A3629" s="2">
        <v>45712</v>
      </c>
      <c r="B3629">
        <v>2025.0</v>
      </c>
      <c r="C3629" t="s">
        <v>315</v>
      </c>
      <c r="D3629" t="s">
        <v>319</v>
      </c>
      <c r="E3629" t="s">
        <v>262</v>
      </c>
      <c r="F3629" t="s">
        <v>305</v>
      </c>
      <c r="G3629" t="s">
        <v>10</v>
      </c>
      <c r="H3629">
        <v>3018.0</v>
      </c>
      <c r="I3629" t="s">
        <v>31</v>
      </c>
      <c r="J3629" t="s">
        <v>120</v>
      </c>
      <c r="K3629" t="s">
        <v>43</v>
      </c>
      <c r="L3629" t="s">
        <v>44</v>
      </c>
      <c r="M3629">
        <v>940.2099999999999</v>
      </c>
    </row>
    <row r="3630">
      <c r="A3630" s="2">
        <v>45804</v>
      </c>
      <c r="B3630">
        <v>2025.0</v>
      </c>
      <c r="C3630" t="s">
        <v>315</v>
      </c>
      <c r="D3630" t="s">
        <v>316</v>
      </c>
      <c r="E3630" t="s">
        <v>163</v>
      </c>
      <c r="F3630" t="s">
        <v>304</v>
      </c>
      <c r="G3630" t="s">
        <v>9</v>
      </c>
      <c r="H3630">
        <v>2154.0</v>
      </c>
      <c r="I3630" t="s">
        <v>31</v>
      </c>
      <c r="J3630" t="s">
        <v>81</v>
      </c>
      <c r="K3630" t="s">
        <v>66</v>
      </c>
      <c r="L3630" t="s">
        <v>67</v>
      </c>
      <c r="M3630">
        <v>940.6999999999999</v>
      </c>
    </row>
    <row r="3631">
      <c r="A3631" s="2">
        <v>45555</v>
      </c>
      <c r="B3631">
        <v>2025.0</v>
      </c>
      <c r="C3631" t="s">
        <v>315</v>
      </c>
      <c r="D3631" t="s">
        <v>316</v>
      </c>
      <c r="E3631" t="s">
        <v>207</v>
      </c>
      <c r="F3631" t="s">
        <v>306</v>
      </c>
      <c r="G3631" t="s">
        <v>11</v>
      </c>
      <c r="H3631">
        <v>4825.0</v>
      </c>
      <c r="I3631" t="s">
        <v>31</v>
      </c>
      <c r="J3631" t="s">
        <v>78</v>
      </c>
      <c r="K3631" t="s">
        <v>95</v>
      </c>
      <c r="L3631" t="s">
        <v>96</v>
      </c>
      <c r="M3631">
        <v>940.89</v>
      </c>
    </row>
    <row r="3632">
      <c r="A3632" s="2">
        <v>45592</v>
      </c>
      <c r="B3632">
        <v>2025.0</v>
      </c>
      <c r="C3632" t="s">
        <v>315</v>
      </c>
      <c r="D3632" t="s">
        <v>316</v>
      </c>
      <c r="E3632" t="s">
        <v>197</v>
      </c>
      <c r="F3632" t="s">
        <v>304</v>
      </c>
      <c r="G3632" t="s">
        <v>9</v>
      </c>
      <c r="H3632">
        <v>2560.0</v>
      </c>
      <c r="I3632" t="s">
        <v>31</v>
      </c>
      <c r="J3632" t="s">
        <v>107</v>
      </c>
      <c r="K3632" t="s">
        <v>57</v>
      </c>
      <c r="L3632" t="s">
        <v>58</v>
      </c>
      <c r="M3632">
        <v>941.62</v>
      </c>
    </row>
    <row r="3633">
      <c r="A3633" s="2">
        <v>45783</v>
      </c>
      <c r="B3633">
        <v>2025.0</v>
      </c>
      <c r="C3633" t="s">
        <v>315</v>
      </c>
      <c r="D3633" t="s">
        <v>319</v>
      </c>
      <c r="E3633" t="s">
        <v>62</v>
      </c>
      <c r="F3633" t="s">
        <v>307</v>
      </c>
      <c r="G3633" t="s">
        <v>12</v>
      </c>
      <c r="H3633">
        <v>6530.0</v>
      </c>
      <c r="I3633" t="s">
        <v>31</v>
      </c>
      <c r="J3633" t="s">
        <v>50</v>
      </c>
      <c r="K3633" t="s">
        <v>71</v>
      </c>
      <c r="L3633" t="s">
        <v>72</v>
      </c>
      <c r="M3633">
        <v>942.92</v>
      </c>
    </row>
    <row r="3634">
      <c r="A3634" s="2">
        <v>45727</v>
      </c>
      <c r="B3634">
        <v>2025.0</v>
      </c>
      <c r="C3634" t="s">
        <v>315</v>
      </c>
      <c r="D3634" t="s">
        <v>316</v>
      </c>
      <c r="E3634" t="s">
        <v>199</v>
      </c>
      <c r="F3634" t="s">
        <v>308</v>
      </c>
      <c r="G3634" t="s">
        <v>13</v>
      </c>
      <c r="H3634">
        <v>5169.0</v>
      </c>
      <c r="I3634" t="s">
        <v>31</v>
      </c>
      <c r="J3634" t="s">
        <v>42</v>
      </c>
      <c r="K3634" t="s">
        <v>95</v>
      </c>
      <c r="L3634" t="s">
        <v>96</v>
      </c>
      <c r="M3634">
        <v>942.95</v>
      </c>
    </row>
    <row r="3635">
      <c r="A3635" s="2">
        <v>45770</v>
      </c>
      <c r="B3635">
        <v>2025.0</v>
      </c>
      <c r="C3635" t="s">
        <v>315</v>
      </c>
      <c r="D3635" t="s">
        <v>319</v>
      </c>
      <c r="E3635" t="s">
        <v>85</v>
      </c>
      <c r="F3635" t="s">
        <v>304</v>
      </c>
      <c r="G3635" t="s">
        <v>9</v>
      </c>
      <c r="H3635">
        <v>2120.0</v>
      </c>
      <c r="I3635" t="s">
        <v>31</v>
      </c>
      <c r="J3635" t="s">
        <v>81</v>
      </c>
      <c r="K3635" t="s">
        <v>95</v>
      </c>
      <c r="L3635" t="s">
        <v>96</v>
      </c>
      <c r="M3635">
        <v>943.72</v>
      </c>
    </row>
    <row r="3636">
      <c r="A3636" s="2">
        <v>45367</v>
      </c>
      <c r="B3636">
        <v>2024.0</v>
      </c>
      <c r="C3636" t="s">
        <v>318</v>
      </c>
      <c r="D3636" t="s">
        <v>316</v>
      </c>
      <c r="E3636" t="s">
        <v>118</v>
      </c>
      <c r="F3636" t="s">
        <v>305</v>
      </c>
      <c r="G3636" t="s">
        <v>10</v>
      </c>
      <c r="H3636">
        <v>3076.0</v>
      </c>
      <c r="I3636" t="s">
        <v>31</v>
      </c>
      <c r="J3636" t="s">
        <v>120</v>
      </c>
      <c r="K3636" t="s">
        <v>43</v>
      </c>
      <c r="L3636" t="s">
        <v>44</v>
      </c>
      <c r="M3636">
        <v>945.3</v>
      </c>
    </row>
    <row r="3637">
      <c r="A3637" s="2">
        <v>45336</v>
      </c>
      <c r="B3637">
        <v>2024.0</v>
      </c>
      <c r="C3637" t="s">
        <v>318</v>
      </c>
      <c r="D3637" t="s">
        <v>316</v>
      </c>
      <c r="E3637" t="s">
        <v>156</v>
      </c>
      <c r="F3637" t="s">
        <v>304</v>
      </c>
      <c r="G3637" t="s">
        <v>9</v>
      </c>
      <c r="H3637">
        <v>2830.0</v>
      </c>
      <c r="I3637" t="s">
        <v>31</v>
      </c>
      <c r="J3637" t="s">
        <v>75</v>
      </c>
      <c r="K3637" t="s">
        <v>112</v>
      </c>
      <c r="L3637" t="s">
        <v>113</v>
      </c>
      <c r="M3637">
        <v>946.7900000000001</v>
      </c>
    </row>
    <row r="3638">
      <c r="A3638" s="2">
        <v>45343</v>
      </c>
      <c r="B3638">
        <v>2024.0</v>
      </c>
      <c r="C3638" t="s">
        <v>318</v>
      </c>
      <c r="D3638" t="s">
        <v>316</v>
      </c>
      <c r="E3638" t="s">
        <v>201</v>
      </c>
      <c r="F3638" t="s">
        <v>305</v>
      </c>
      <c r="G3638" t="s">
        <v>10</v>
      </c>
      <c r="H3638">
        <v>3131.0</v>
      </c>
      <c r="I3638" t="s">
        <v>31</v>
      </c>
      <c r="J3638" t="s">
        <v>89</v>
      </c>
      <c r="K3638" t="s">
        <v>33</v>
      </c>
      <c r="L3638" t="s">
        <v>34</v>
      </c>
      <c r="M3638">
        <v>948.54</v>
      </c>
    </row>
    <row r="3639">
      <c r="A3639" s="2">
        <v>45500</v>
      </c>
      <c r="B3639">
        <v>2025.0</v>
      </c>
      <c r="C3639" t="s">
        <v>315</v>
      </c>
      <c r="D3639" t="s">
        <v>316</v>
      </c>
      <c r="E3639" t="s">
        <v>189</v>
      </c>
      <c r="F3639" t="s">
        <v>304</v>
      </c>
      <c r="G3639" t="s">
        <v>9</v>
      </c>
      <c r="H3639">
        <v>2131.0</v>
      </c>
      <c r="I3639" t="s">
        <v>31</v>
      </c>
      <c r="J3639" t="s">
        <v>81</v>
      </c>
      <c r="K3639" t="s">
        <v>57</v>
      </c>
      <c r="L3639" t="s">
        <v>58</v>
      </c>
      <c r="M3639">
        <v>948.81</v>
      </c>
    </row>
    <row r="3640">
      <c r="A3640" s="2">
        <v>45603</v>
      </c>
      <c r="B3640">
        <v>2025.0</v>
      </c>
      <c r="C3640" t="s">
        <v>315</v>
      </c>
      <c r="D3640" t="s">
        <v>316</v>
      </c>
      <c r="E3640" t="s">
        <v>108</v>
      </c>
      <c r="F3640" t="s">
        <v>304</v>
      </c>
      <c r="G3640" t="s">
        <v>9</v>
      </c>
      <c r="H3640">
        <v>2795.0</v>
      </c>
      <c r="I3640" t="s">
        <v>31</v>
      </c>
      <c r="J3640" t="s">
        <v>75</v>
      </c>
      <c r="K3640" t="s">
        <v>66</v>
      </c>
      <c r="L3640" t="s">
        <v>67</v>
      </c>
      <c r="M3640">
        <v>951.57</v>
      </c>
    </row>
    <row r="3641">
      <c r="A3641" s="2">
        <v>45905</v>
      </c>
      <c r="B3641">
        <v>2026.0</v>
      </c>
      <c r="C3641" t="s">
        <v>321</v>
      </c>
      <c r="D3641" t="s">
        <v>316</v>
      </c>
      <c r="E3641" t="s">
        <v>177</v>
      </c>
      <c r="F3641" t="s">
        <v>307</v>
      </c>
      <c r="G3641" t="s">
        <v>12</v>
      </c>
      <c r="H3641">
        <v>6330.0</v>
      </c>
      <c r="I3641" t="s">
        <v>31</v>
      </c>
      <c r="J3641" t="s">
        <v>162</v>
      </c>
      <c r="K3641" t="s">
        <v>123</v>
      </c>
      <c r="L3641" t="s">
        <v>124</v>
      </c>
      <c r="M3641">
        <v>951.8399999999996</v>
      </c>
    </row>
    <row r="3642">
      <c r="A3642" s="2">
        <v>45353</v>
      </c>
      <c r="B3642">
        <v>2024.0</v>
      </c>
      <c r="C3642" t="s">
        <v>318</v>
      </c>
      <c r="D3642" t="s">
        <v>316</v>
      </c>
      <c r="E3642" t="s">
        <v>221</v>
      </c>
      <c r="F3642" t="s">
        <v>306</v>
      </c>
      <c r="G3642" t="s">
        <v>11</v>
      </c>
      <c r="H3642">
        <v>4053.0</v>
      </c>
      <c r="I3642" t="s">
        <v>31</v>
      </c>
      <c r="J3642" t="s">
        <v>56</v>
      </c>
      <c r="K3642" t="s">
        <v>66</v>
      </c>
      <c r="L3642" t="s">
        <v>67</v>
      </c>
      <c r="M3642">
        <v>951.94</v>
      </c>
    </row>
    <row r="3643">
      <c r="A3643" s="2">
        <v>45998</v>
      </c>
      <c r="B3643">
        <v>2026.0</v>
      </c>
      <c r="C3643" t="s">
        <v>321</v>
      </c>
      <c r="D3643" t="s">
        <v>316</v>
      </c>
      <c r="E3643" t="s">
        <v>181</v>
      </c>
      <c r="F3643" t="s">
        <v>306</v>
      </c>
      <c r="G3643" t="s">
        <v>11</v>
      </c>
      <c r="H3643">
        <v>4119.0</v>
      </c>
      <c r="I3643" t="s">
        <v>31</v>
      </c>
      <c r="J3643" t="s">
        <v>56</v>
      </c>
      <c r="K3643" t="s">
        <v>43</v>
      </c>
      <c r="L3643" t="s">
        <v>44</v>
      </c>
      <c r="M3643">
        <v>954.6399999999999</v>
      </c>
    </row>
    <row r="3644">
      <c r="A3644" s="2">
        <v>45612</v>
      </c>
      <c r="B3644">
        <v>2025.0</v>
      </c>
      <c r="C3644" t="s">
        <v>315</v>
      </c>
      <c r="D3644" t="s">
        <v>316</v>
      </c>
      <c r="E3644" t="s">
        <v>137</v>
      </c>
      <c r="F3644" t="s">
        <v>305</v>
      </c>
      <c r="G3644" t="s">
        <v>10</v>
      </c>
      <c r="H3644">
        <v>3134.0</v>
      </c>
      <c r="I3644" t="s">
        <v>31</v>
      </c>
      <c r="J3644" t="s">
        <v>89</v>
      </c>
      <c r="K3644" t="s">
        <v>71</v>
      </c>
      <c r="L3644" t="s">
        <v>72</v>
      </c>
      <c r="M3644">
        <v>956.9</v>
      </c>
    </row>
    <row r="3645">
      <c r="A3645" s="2">
        <v>45878</v>
      </c>
      <c r="B3645">
        <v>2026.0</v>
      </c>
      <c r="C3645" t="s">
        <v>321</v>
      </c>
      <c r="D3645" t="s">
        <v>316</v>
      </c>
      <c r="E3645" t="s">
        <v>59</v>
      </c>
      <c r="F3645" t="s">
        <v>306</v>
      </c>
      <c r="G3645" t="s">
        <v>11</v>
      </c>
      <c r="H3645">
        <v>4509.0</v>
      </c>
      <c r="I3645" t="s">
        <v>31</v>
      </c>
      <c r="J3645" t="s">
        <v>61</v>
      </c>
      <c r="K3645" t="s">
        <v>123</v>
      </c>
      <c r="L3645" t="s">
        <v>124</v>
      </c>
      <c r="M3645">
        <v>963.6900000000003</v>
      </c>
    </row>
    <row r="3646">
      <c r="A3646" s="2">
        <v>45784</v>
      </c>
      <c r="B3646">
        <v>2025.0</v>
      </c>
      <c r="C3646" t="s">
        <v>315</v>
      </c>
      <c r="D3646" t="s">
        <v>316</v>
      </c>
      <c r="E3646" t="s">
        <v>228</v>
      </c>
      <c r="F3646" t="s">
        <v>306</v>
      </c>
      <c r="G3646" t="s">
        <v>11</v>
      </c>
      <c r="H3646">
        <v>4680.0</v>
      </c>
      <c r="I3646" t="s">
        <v>31</v>
      </c>
      <c r="J3646" t="s">
        <v>32</v>
      </c>
      <c r="K3646" t="s">
        <v>95</v>
      </c>
      <c r="L3646" t="s">
        <v>96</v>
      </c>
      <c r="M3646">
        <v>965.06</v>
      </c>
    </row>
    <row r="3647">
      <c r="A3647" s="2">
        <v>45852</v>
      </c>
      <c r="B3647">
        <v>2026.0</v>
      </c>
      <c r="C3647" t="s">
        <v>321</v>
      </c>
      <c r="D3647" t="s">
        <v>316</v>
      </c>
      <c r="E3647" t="s">
        <v>82</v>
      </c>
      <c r="F3647" t="s">
        <v>306</v>
      </c>
      <c r="G3647" t="s">
        <v>11</v>
      </c>
      <c r="H3647">
        <v>4558.0</v>
      </c>
      <c r="I3647" t="s">
        <v>31</v>
      </c>
      <c r="J3647" t="s">
        <v>84</v>
      </c>
      <c r="K3647" t="s">
        <v>123</v>
      </c>
      <c r="L3647" t="s">
        <v>124</v>
      </c>
      <c r="M3647">
        <v>965.9399999999997</v>
      </c>
    </row>
    <row r="3648">
      <c r="A3648" s="2">
        <v>45624</v>
      </c>
      <c r="B3648">
        <v>2025.0</v>
      </c>
      <c r="C3648" t="s">
        <v>315</v>
      </c>
      <c r="D3648" t="s">
        <v>316</v>
      </c>
      <c r="E3648" t="s">
        <v>87</v>
      </c>
      <c r="F3648" t="s">
        <v>305</v>
      </c>
      <c r="G3648" t="s">
        <v>10</v>
      </c>
      <c r="H3648">
        <v>3148.0</v>
      </c>
      <c r="I3648" t="s">
        <v>31</v>
      </c>
      <c r="J3648" t="s">
        <v>89</v>
      </c>
      <c r="K3648" t="s">
        <v>38</v>
      </c>
      <c r="L3648" t="s">
        <v>39</v>
      </c>
      <c r="M3648">
        <v>966.8600000000001</v>
      </c>
    </row>
    <row r="3649">
      <c r="A3649" s="2">
        <v>45848</v>
      </c>
      <c r="B3649">
        <v>2026.0</v>
      </c>
      <c r="C3649" t="s">
        <v>321</v>
      </c>
      <c r="D3649" t="s">
        <v>316</v>
      </c>
      <c r="E3649" t="s">
        <v>169</v>
      </c>
      <c r="F3649" t="s">
        <v>307</v>
      </c>
      <c r="G3649" t="s">
        <v>12</v>
      </c>
      <c r="H3649">
        <v>6027.0</v>
      </c>
      <c r="I3649" t="s">
        <v>31</v>
      </c>
      <c r="J3649" t="s">
        <v>102</v>
      </c>
      <c r="K3649" t="s">
        <v>46</v>
      </c>
      <c r="L3649" t="s">
        <v>47</v>
      </c>
      <c r="M3649">
        <v>967.21</v>
      </c>
    </row>
    <row r="3650">
      <c r="A3650" s="2">
        <v>45419</v>
      </c>
      <c r="B3650">
        <v>2024.0</v>
      </c>
      <c r="C3650" t="s">
        <v>318</v>
      </c>
      <c r="D3650" t="s">
        <v>316</v>
      </c>
      <c r="E3650" t="s">
        <v>183</v>
      </c>
      <c r="F3650" t="s">
        <v>304</v>
      </c>
      <c r="G3650" t="s">
        <v>9</v>
      </c>
      <c r="H3650">
        <v>2480.0</v>
      </c>
      <c r="I3650" t="s">
        <v>31</v>
      </c>
      <c r="J3650" t="s">
        <v>70</v>
      </c>
      <c r="K3650" t="s">
        <v>38</v>
      </c>
      <c r="L3650" t="s">
        <v>39</v>
      </c>
      <c r="M3650">
        <v>972.0400000000001</v>
      </c>
    </row>
    <row r="3651">
      <c r="A3651" s="2">
        <v>45573</v>
      </c>
      <c r="B3651">
        <v>2025.0</v>
      </c>
      <c r="C3651" t="s">
        <v>315</v>
      </c>
      <c r="D3651" t="s">
        <v>316</v>
      </c>
      <c r="E3651" t="s">
        <v>252</v>
      </c>
      <c r="F3651" t="s">
        <v>305</v>
      </c>
      <c r="G3651" t="s">
        <v>10</v>
      </c>
      <c r="H3651">
        <v>3630.0</v>
      </c>
      <c r="I3651" t="s">
        <v>31</v>
      </c>
      <c r="J3651" t="s">
        <v>94</v>
      </c>
      <c r="K3651" t="s">
        <v>33</v>
      </c>
      <c r="L3651" t="s">
        <v>34</v>
      </c>
      <c r="M3651">
        <v>975.3700000000001</v>
      </c>
    </row>
    <row r="3652">
      <c r="A3652" s="2">
        <v>45450</v>
      </c>
      <c r="B3652">
        <v>2024.0</v>
      </c>
      <c r="C3652" t="s">
        <v>318</v>
      </c>
      <c r="D3652" t="s">
        <v>319</v>
      </c>
      <c r="E3652" t="s">
        <v>189</v>
      </c>
      <c r="F3652" t="s">
        <v>304</v>
      </c>
      <c r="G3652" t="s">
        <v>9</v>
      </c>
      <c r="H3652">
        <v>2131.0</v>
      </c>
      <c r="I3652" t="s">
        <v>31</v>
      </c>
      <c r="J3652" t="s">
        <v>81</v>
      </c>
      <c r="K3652" t="s">
        <v>71</v>
      </c>
      <c r="L3652" t="s">
        <v>72</v>
      </c>
      <c r="M3652">
        <v>975.4200000000001</v>
      </c>
    </row>
    <row r="3653">
      <c r="A3653" s="2">
        <v>45602</v>
      </c>
      <c r="B3653">
        <v>2025.0</v>
      </c>
      <c r="C3653" t="s">
        <v>315</v>
      </c>
      <c r="D3653" t="s">
        <v>316</v>
      </c>
      <c r="E3653" t="s">
        <v>68</v>
      </c>
      <c r="F3653" t="s">
        <v>304</v>
      </c>
      <c r="G3653" t="s">
        <v>9</v>
      </c>
      <c r="H3653">
        <v>2478.0</v>
      </c>
      <c r="I3653" t="s">
        <v>31</v>
      </c>
      <c r="J3653" t="s">
        <v>70</v>
      </c>
      <c r="K3653" t="s">
        <v>33</v>
      </c>
      <c r="L3653" t="s">
        <v>34</v>
      </c>
      <c r="M3653">
        <v>975.5199999999999</v>
      </c>
    </row>
    <row r="3654">
      <c r="A3654" s="2">
        <v>45778</v>
      </c>
      <c r="B3654">
        <v>2025.0</v>
      </c>
      <c r="C3654" t="s">
        <v>315</v>
      </c>
      <c r="D3654" t="s">
        <v>316</v>
      </c>
      <c r="E3654" t="s">
        <v>116</v>
      </c>
      <c r="F3654" t="s">
        <v>304</v>
      </c>
      <c r="G3654" t="s">
        <v>9</v>
      </c>
      <c r="H3654">
        <v>2485.0</v>
      </c>
      <c r="I3654" t="s">
        <v>31</v>
      </c>
      <c r="J3654" t="s">
        <v>70</v>
      </c>
      <c r="K3654" t="s">
        <v>95</v>
      </c>
      <c r="L3654" t="s">
        <v>96</v>
      </c>
      <c r="M3654">
        <v>976.41</v>
      </c>
    </row>
    <row r="3655">
      <c r="A3655" s="2">
        <v>45392</v>
      </c>
      <c r="B3655">
        <v>2024.0</v>
      </c>
      <c r="C3655" t="s">
        <v>318</v>
      </c>
      <c r="D3655" t="s">
        <v>316</v>
      </c>
      <c r="E3655" t="s">
        <v>133</v>
      </c>
      <c r="F3655" t="s">
        <v>305</v>
      </c>
      <c r="G3655" t="s">
        <v>10</v>
      </c>
      <c r="H3655">
        <v>3429.0</v>
      </c>
      <c r="I3655" t="s">
        <v>31</v>
      </c>
      <c r="J3655" t="s">
        <v>37</v>
      </c>
      <c r="K3655" t="s">
        <v>95</v>
      </c>
      <c r="L3655" t="s">
        <v>96</v>
      </c>
      <c r="M3655">
        <v>977.03</v>
      </c>
    </row>
    <row r="3656">
      <c r="A3656" s="2">
        <v>45937</v>
      </c>
      <c r="B3656">
        <v>2026.0</v>
      </c>
      <c r="C3656" t="s">
        <v>321</v>
      </c>
      <c r="D3656" t="s">
        <v>319</v>
      </c>
      <c r="E3656" t="s">
        <v>203</v>
      </c>
      <c r="F3656" t="s">
        <v>305</v>
      </c>
      <c r="G3656" t="s">
        <v>10</v>
      </c>
      <c r="H3656">
        <v>3175.0</v>
      </c>
      <c r="I3656" t="s">
        <v>31</v>
      </c>
      <c r="J3656" t="s">
        <v>89</v>
      </c>
      <c r="K3656" t="s">
        <v>123</v>
      </c>
      <c r="L3656" t="s">
        <v>124</v>
      </c>
      <c r="M3656">
        <v>977.4899999999999</v>
      </c>
    </row>
    <row r="3657">
      <c r="A3657" s="2">
        <v>45609</v>
      </c>
      <c r="B3657">
        <v>2025.0</v>
      </c>
      <c r="C3657" t="s">
        <v>315</v>
      </c>
      <c r="D3657" t="s">
        <v>316</v>
      </c>
      <c r="E3657" t="s">
        <v>177</v>
      </c>
      <c r="F3657" t="s">
        <v>307</v>
      </c>
      <c r="G3657" t="s">
        <v>12</v>
      </c>
      <c r="H3657">
        <v>6330.0</v>
      </c>
      <c r="I3657" t="s">
        <v>31</v>
      </c>
      <c r="J3657" t="s">
        <v>162</v>
      </c>
      <c r="K3657" t="s">
        <v>43</v>
      </c>
      <c r="L3657" t="s">
        <v>44</v>
      </c>
      <c r="M3657">
        <v>979.46</v>
      </c>
    </row>
    <row r="3658">
      <c r="A3658" s="2">
        <v>45778</v>
      </c>
      <c r="B3658">
        <v>2025.0</v>
      </c>
      <c r="C3658" t="s">
        <v>315</v>
      </c>
      <c r="D3658" t="s">
        <v>316</v>
      </c>
      <c r="E3658" t="s">
        <v>110</v>
      </c>
      <c r="F3658" t="s">
        <v>304</v>
      </c>
      <c r="G3658" t="s">
        <v>9</v>
      </c>
      <c r="H3658">
        <v>2101.0</v>
      </c>
      <c r="I3658" t="s">
        <v>31</v>
      </c>
      <c r="J3658" t="s">
        <v>81</v>
      </c>
      <c r="K3658" t="s">
        <v>43</v>
      </c>
      <c r="L3658" t="s">
        <v>44</v>
      </c>
      <c r="M3658">
        <v>979.8399999999999</v>
      </c>
    </row>
    <row r="3659">
      <c r="A3659" s="2">
        <v>45506</v>
      </c>
      <c r="B3659">
        <v>2025.0</v>
      </c>
      <c r="C3659" t="s">
        <v>315</v>
      </c>
      <c r="D3659" t="s">
        <v>316</v>
      </c>
      <c r="E3659" t="s">
        <v>169</v>
      </c>
      <c r="F3659" t="s">
        <v>307</v>
      </c>
      <c r="G3659" t="s">
        <v>12</v>
      </c>
      <c r="H3659">
        <v>6027.0</v>
      </c>
      <c r="I3659" t="s">
        <v>31</v>
      </c>
      <c r="J3659" t="s">
        <v>102</v>
      </c>
      <c r="K3659" t="s">
        <v>57</v>
      </c>
      <c r="L3659" t="s">
        <v>58</v>
      </c>
      <c r="M3659">
        <v>981.6800000000001</v>
      </c>
    </row>
    <row r="3660">
      <c r="A3660" s="2">
        <v>45373</v>
      </c>
      <c r="B3660">
        <v>2024.0</v>
      </c>
      <c r="C3660" t="s">
        <v>318</v>
      </c>
      <c r="D3660" t="s">
        <v>316</v>
      </c>
      <c r="E3660" t="s">
        <v>139</v>
      </c>
      <c r="F3660" t="s">
        <v>305</v>
      </c>
      <c r="G3660" t="s">
        <v>10</v>
      </c>
      <c r="H3660">
        <v>3199.0</v>
      </c>
      <c r="I3660" t="s">
        <v>31</v>
      </c>
      <c r="J3660" t="s">
        <v>89</v>
      </c>
      <c r="K3660" t="s">
        <v>43</v>
      </c>
      <c r="L3660" t="s">
        <v>44</v>
      </c>
      <c r="M3660">
        <v>981.7900000000001</v>
      </c>
    </row>
    <row r="3661">
      <c r="A3661" s="2">
        <v>45788</v>
      </c>
      <c r="B3661">
        <v>2025.0</v>
      </c>
      <c r="C3661" t="s">
        <v>315</v>
      </c>
      <c r="D3661" t="s">
        <v>316</v>
      </c>
      <c r="E3661" t="s">
        <v>139</v>
      </c>
      <c r="F3661" t="s">
        <v>305</v>
      </c>
      <c r="G3661" t="s">
        <v>10</v>
      </c>
      <c r="H3661">
        <v>3199.0</v>
      </c>
      <c r="I3661" t="s">
        <v>31</v>
      </c>
      <c r="J3661" t="s">
        <v>89</v>
      </c>
      <c r="K3661" t="s">
        <v>38</v>
      </c>
      <c r="L3661" t="s">
        <v>39</v>
      </c>
      <c r="M3661">
        <v>982.1899999999998</v>
      </c>
    </row>
    <row r="3662">
      <c r="A3662" s="2">
        <v>45312</v>
      </c>
      <c r="B3662">
        <v>2024.0</v>
      </c>
      <c r="C3662" t="s">
        <v>318</v>
      </c>
      <c r="D3662" t="s">
        <v>316</v>
      </c>
      <c r="E3662" t="s">
        <v>187</v>
      </c>
      <c r="F3662" t="s">
        <v>306</v>
      </c>
      <c r="G3662" t="s">
        <v>11</v>
      </c>
      <c r="H3662">
        <v>4870.0</v>
      </c>
      <c r="I3662" t="s">
        <v>31</v>
      </c>
      <c r="J3662" t="s">
        <v>78</v>
      </c>
      <c r="K3662" t="s">
        <v>95</v>
      </c>
      <c r="L3662" t="s">
        <v>96</v>
      </c>
      <c r="M3662">
        <v>983.5500000000001</v>
      </c>
    </row>
    <row r="3663">
      <c r="A3663" s="2">
        <v>45999</v>
      </c>
      <c r="B3663">
        <v>2026.0</v>
      </c>
      <c r="C3663" t="s">
        <v>321</v>
      </c>
      <c r="D3663" t="s">
        <v>319</v>
      </c>
      <c r="E3663" t="s">
        <v>209</v>
      </c>
      <c r="F3663" t="s">
        <v>304</v>
      </c>
      <c r="G3663" t="s">
        <v>9</v>
      </c>
      <c r="H3663">
        <v>2116.0</v>
      </c>
      <c r="I3663" t="s">
        <v>31</v>
      </c>
      <c r="J3663" t="s">
        <v>81</v>
      </c>
      <c r="K3663" t="s">
        <v>57</v>
      </c>
      <c r="L3663" t="s">
        <v>58</v>
      </c>
      <c r="M3663">
        <v>983.78</v>
      </c>
    </row>
    <row r="3664">
      <c r="A3664" s="2">
        <v>45335</v>
      </c>
      <c r="B3664">
        <v>2024.0</v>
      </c>
      <c r="C3664" t="s">
        <v>318</v>
      </c>
      <c r="D3664" t="s">
        <v>316</v>
      </c>
      <c r="E3664" t="s">
        <v>131</v>
      </c>
      <c r="F3664" t="s">
        <v>306</v>
      </c>
      <c r="G3664" t="s">
        <v>11</v>
      </c>
      <c r="H3664">
        <v>4655.0</v>
      </c>
      <c r="I3664" t="s">
        <v>31</v>
      </c>
      <c r="J3664" t="s">
        <v>32</v>
      </c>
      <c r="K3664" t="s">
        <v>46</v>
      </c>
      <c r="L3664" t="s">
        <v>47</v>
      </c>
      <c r="M3664">
        <v>983.98</v>
      </c>
    </row>
    <row r="3665">
      <c r="A3665" s="2">
        <v>45938</v>
      </c>
      <c r="B3665">
        <v>2026.0</v>
      </c>
      <c r="C3665" t="s">
        <v>321</v>
      </c>
      <c r="D3665" t="s">
        <v>316</v>
      </c>
      <c r="E3665" t="s">
        <v>156</v>
      </c>
      <c r="F3665" t="s">
        <v>304</v>
      </c>
      <c r="G3665" t="s">
        <v>9</v>
      </c>
      <c r="H3665">
        <v>2830.0</v>
      </c>
      <c r="I3665" t="s">
        <v>31</v>
      </c>
      <c r="J3665" t="s">
        <v>75</v>
      </c>
      <c r="K3665" t="s">
        <v>71</v>
      </c>
      <c r="L3665" t="s">
        <v>72</v>
      </c>
      <c r="M3665">
        <v>984.29</v>
      </c>
    </row>
    <row r="3666">
      <c r="A3666" s="2">
        <v>45383</v>
      </c>
      <c r="B3666">
        <v>2024.0</v>
      </c>
      <c r="C3666" t="s">
        <v>318</v>
      </c>
      <c r="D3666" t="s">
        <v>316</v>
      </c>
      <c r="E3666" t="s">
        <v>234</v>
      </c>
      <c r="F3666" t="s">
        <v>304</v>
      </c>
      <c r="G3666" t="s">
        <v>9</v>
      </c>
      <c r="H3666">
        <v>2158.0</v>
      </c>
      <c r="I3666" t="s">
        <v>31</v>
      </c>
      <c r="J3666" t="s">
        <v>81</v>
      </c>
      <c r="K3666" t="s">
        <v>33</v>
      </c>
      <c r="L3666" t="s">
        <v>34</v>
      </c>
      <c r="M3666">
        <v>984.48</v>
      </c>
    </row>
    <row r="3667">
      <c r="A3667" s="2">
        <v>45773</v>
      </c>
      <c r="B3667">
        <v>2025.0</v>
      </c>
      <c r="C3667" t="s">
        <v>315</v>
      </c>
      <c r="D3667" t="s">
        <v>316</v>
      </c>
      <c r="E3667" t="s">
        <v>197</v>
      </c>
      <c r="F3667" t="s">
        <v>304</v>
      </c>
      <c r="G3667" t="s">
        <v>9</v>
      </c>
      <c r="H3667">
        <v>2560.0</v>
      </c>
      <c r="I3667" t="s">
        <v>31</v>
      </c>
      <c r="J3667" t="s">
        <v>107</v>
      </c>
      <c r="K3667" t="s">
        <v>46</v>
      </c>
      <c r="L3667" t="s">
        <v>47</v>
      </c>
      <c r="M3667">
        <v>986.02</v>
      </c>
    </row>
    <row r="3668">
      <c r="A3668" s="2">
        <v>45863</v>
      </c>
      <c r="B3668">
        <v>2026.0</v>
      </c>
      <c r="C3668" t="s">
        <v>321</v>
      </c>
      <c r="D3668" t="s">
        <v>316</v>
      </c>
      <c r="E3668" t="s">
        <v>131</v>
      </c>
      <c r="F3668" t="s">
        <v>306</v>
      </c>
      <c r="G3668" t="s">
        <v>11</v>
      </c>
      <c r="H3668">
        <v>4655.0</v>
      </c>
      <c r="I3668" t="s">
        <v>31</v>
      </c>
      <c r="J3668" t="s">
        <v>32</v>
      </c>
      <c r="K3668" t="s">
        <v>57</v>
      </c>
      <c r="L3668" t="s">
        <v>58</v>
      </c>
      <c r="M3668">
        <v>988.03</v>
      </c>
    </row>
    <row r="3669">
      <c r="A3669" s="2">
        <v>45840</v>
      </c>
      <c r="B3669">
        <v>2026.0</v>
      </c>
      <c r="C3669" t="s">
        <v>321</v>
      </c>
      <c r="D3669" t="s">
        <v>316</v>
      </c>
      <c r="E3669" t="s">
        <v>246</v>
      </c>
      <c r="F3669" t="s">
        <v>305</v>
      </c>
      <c r="G3669" t="s">
        <v>10</v>
      </c>
      <c r="H3669">
        <v>3551.0</v>
      </c>
      <c r="I3669" t="s">
        <v>31</v>
      </c>
      <c r="J3669" t="s">
        <v>37</v>
      </c>
      <c r="K3669" t="s">
        <v>43</v>
      </c>
      <c r="L3669" t="s">
        <v>44</v>
      </c>
      <c r="M3669">
        <v>989.2</v>
      </c>
    </row>
    <row r="3670">
      <c r="A3670" s="2">
        <v>45627</v>
      </c>
      <c r="B3670">
        <v>2025.0</v>
      </c>
      <c r="C3670" t="s">
        <v>315</v>
      </c>
      <c r="D3670" t="s">
        <v>316</v>
      </c>
      <c r="E3670" t="s">
        <v>73</v>
      </c>
      <c r="F3670" t="s">
        <v>304</v>
      </c>
      <c r="G3670" t="s">
        <v>9</v>
      </c>
      <c r="H3670">
        <v>2750.0</v>
      </c>
      <c r="I3670" t="s">
        <v>31</v>
      </c>
      <c r="J3670" t="s">
        <v>75</v>
      </c>
      <c r="K3670" t="s">
        <v>46</v>
      </c>
      <c r="L3670" t="s">
        <v>47</v>
      </c>
      <c r="M3670">
        <v>990.4000000000001</v>
      </c>
    </row>
    <row r="3671">
      <c r="A3671" s="2">
        <v>45829</v>
      </c>
      <c r="B3671">
        <v>2025.0</v>
      </c>
      <c r="C3671" t="s">
        <v>315</v>
      </c>
      <c r="D3671" t="s">
        <v>316</v>
      </c>
      <c r="E3671" t="s">
        <v>203</v>
      </c>
      <c r="F3671" t="s">
        <v>305</v>
      </c>
      <c r="G3671" t="s">
        <v>10</v>
      </c>
      <c r="H3671">
        <v>3175.0</v>
      </c>
      <c r="I3671" t="s">
        <v>31</v>
      </c>
      <c r="J3671" t="s">
        <v>89</v>
      </c>
      <c r="K3671" t="s">
        <v>123</v>
      </c>
      <c r="L3671" t="s">
        <v>124</v>
      </c>
      <c r="M3671">
        <v>991.1499999999997</v>
      </c>
    </row>
    <row r="3672">
      <c r="A3672" s="2">
        <v>45986</v>
      </c>
      <c r="B3672">
        <v>2026.0</v>
      </c>
      <c r="C3672" t="s">
        <v>321</v>
      </c>
      <c r="D3672" t="s">
        <v>319</v>
      </c>
      <c r="E3672" t="s">
        <v>127</v>
      </c>
      <c r="F3672" t="s">
        <v>306</v>
      </c>
      <c r="G3672" t="s">
        <v>11</v>
      </c>
      <c r="H3672">
        <v>4802.0</v>
      </c>
      <c r="I3672" t="s">
        <v>31</v>
      </c>
      <c r="J3672" t="s">
        <v>78</v>
      </c>
      <c r="K3672" t="s">
        <v>57</v>
      </c>
      <c r="L3672" t="s">
        <v>58</v>
      </c>
      <c r="M3672">
        <v>991.59</v>
      </c>
    </row>
    <row r="3673">
      <c r="A3673" s="2">
        <v>45654</v>
      </c>
      <c r="B3673">
        <v>2025.0</v>
      </c>
      <c r="C3673" t="s">
        <v>315</v>
      </c>
      <c r="D3673" t="s">
        <v>316</v>
      </c>
      <c r="E3673" t="s">
        <v>54</v>
      </c>
      <c r="F3673" t="s">
        <v>306</v>
      </c>
      <c r="G3673" t="s">
        <v>11</v>
      </c>
      <c r="H3673">
        <v>4012.0</v>
      </c>
      <c r="I3673" t="s">
        <v>31</v>
      </c>
      <c r="J3673" t="s">
        <v>56</v>
      </c>
      <c r="K3673" t="s">
        <v>71</v>
      </c>
      <c r="L3673" t="s">
        <v>72</v>
      </c>
      <c r="M3673">
        <v>995.3000000000001</v>
      </c>
    </row>
    <row r="3674">
      <c r="A3674" s="2">
        <v>45888</v>
      </c>
      <c r="B3674">
        <v>2026.0</v>
      </c>
      <c r="C3674" t="s">
        <v>321</v>
      </c>
      <c r="D3674" t="s">
        <v>319</v>
      </c>
      <c r="E3674" t="s">
        <v>262</v>
      </c>
      <c r="F3674" t="s">
        <v>305</v>
      </c>
      <c r="G3674" t="s">
        <v>10</v>
      </c>
      <c r="H3674">
        <v>3018.0</v>
      </c>
      <c r="I3674" t="s">
        <v>31</v>
      </c>
      <c r="J3674" t="s">
        <v>120</v>
      </c>
      <c r="K3674" t="s">
        <v>71</v>
      </c>
      <c r="L3674" t="s">
        <v>72</v>
      </c>
      <c r="M3674">
        <v>995.43</v>
      </c>
    </row>
    <row r="3675">
      <c r="A3675" s="2">
        <v>45856</v>
      </c>
      <c r="B3675">
        <v>2026.0</v>
      </c>
      <c r="C3675" t="s">
        <v>321</v>
      </c>
      <c r="D3675" t="s">
        <v>316</v>
      </c>
      <c r="E3675" t="s">
        <v>85</v>
      </c>
      <c r="F3675" t="s">
        <v>304</v>
      </c>
      <c r="G3675" t="s">
        <v>9</v>
      </c>
      <c r="H3675">
        <v>2120.0</v>
      </c>
      <c r="I3675" t="s">
        <v>31</v>
      </c>
      <c r="J3675" t="s">
        <v>81</v>
      </c>
      <c r="K3675" t="s">
        <v>57</v>
      </c>
      <c r="L3675" t="s">
        <v>58</v>
      </c>
      <c r="M3675">
        <v>1002.6700000000001</v>
      </c>
    </row>
    <row r="3676">
      <c r="A3676" s="2">
        <v>45823</v>
      </c>
      <c r="B3676">
        <v>2025.0</v>
      </c>
      <c r="C3676" t="s">
        <v>315</v>
      </c>
      <c r="D3676" t="s">
        <v>316</v>
      </c>
      <c r="E3676" t="s">
        <v>215</v>
      </c>
      <c r="F3676" t="s">
        <v>310</v>
      </c>
      <c r="G3676" t="s">
        <v>15</v>
      </c>
      <c r="H3676">
        <v>7320.0</v>
      </c>
      <c r="I3676" t="s">
        <v>31</v>
      </c>
      <c r="J3676" t="s">
        <v>53</v>
      </c>
      <c r="K3676" t="s">
        <v>57</v>
      </c>
      <c r="L3676" t="s">
        <v>58</v>
      </c>
      <c r="M3676">
        <v>1003.5</v>
      </c>
    </row>
    <row r="3677">
      <c r="A3677" s="2">
        <v>45702</v>
      </c>
      <c r="B3677">
        <v>2025.0</v>
      </c>
      <c r="C3677" t="s">
        <v>315</v>
      </c>
      <c r="D3677" t="s">
        <v>316</v>
      </c>
      <c r="E3677" t="s">
        <v>223</v>
      </c>
      <c r="F3677" t="s">
        <v>305</v>
      </c>
      <c r="G3677" t="s">
        <v>10</v>
      </c>
      <c r="H3677">
        <v>3915.0</v>
      </c>
      <c r="I3677" t="s">
        <v>31</v>
      </c>
      <c r="J3677" t="s">
        <v>94</v>
      </c>
      <c r="K3677" t="s">
        <v>71</v>
      </c>
      <c r="L3677" t="s">
        <v>72</v>
      </c>
      <c r="M3677">
        <v>1005.53</v>
      </c>
    </row>
    <row r="3678">
      <c r="A3678" s="2">
        <v>45470</v>
      </c>
      <c r="B3678">
        <v>2024.0</v>
      </c>
      <c r="C3678" t="s">
        <v>318</v>
      </c>
      <c r="D3678" t="s">
        <v>316</v>
      </c>
      <c r="E3678" t="s">
        <v>173</v>
      </c>
      <c r="F3678" t="s">
        <v>306</v>
      </c>
      <c r="G3678" t="s">
        <v>11</v>
      </c>
      <c r="H3678">
        <v>4220.0</v>
      </c>
      <c r="I3678" t="s">
        <v>31</v>
      </c>
      <c r="J3678" t="s">
        <v>61</v>
      </c>
      <c r="K3678" t="s">
        <v>46</v>
      </c>
      <c r="L3678" t="s">
        <v>47</v>
      </c>
      <c r="M3678">
        <v>1006.6500000000001</v>
      </c>
    </row>
    <row r="3679">
      <c r="A3679" s="2">
        <v>45734</v>
      </c>
      <c r="B3679">
        <v>2025.0</v>
      </c>
      <c r="C3679" t="s">
        <v>315</v>
      </c>
      <c r="D3679" t="s">
        <v>319</v>
      </c>
      <c r="E3679" t="s">
        <v>90</v>
      </c>
      <c r="F3679" t="s">
        <v>305</v>
      </c>
      <c r="G3679" t="s">
        <v>10</v>
      </c>
      <c r="H3679">
        <v>3353.0</v>
      </c>
      <c r="I3679" t="s">
        <v>31</v>
      </c>
      <c r="J3679" t="s">
        <v>37</v>
      </c>
      <c r="K3679" t="s">
        <v>57</v>
      </c>
      <c r="L3679" t="s">
        <v>58</v>
      </c>
      <c r="M3679">
        <v>1007.1499999999999</v>
      </c>
    </row>
    <row r="3680">
      <c r="A3680" s="2">
        <v>45829</v>
      </c>
      <c r="B3680">
        <v>2025.0</v>
      </c>
      <c r="C3680" t="s">
        <v>315</v>
      </c>
      <c r="D3680" t="s">
        <v>316</v>
      </c>
      <c r="E3680" t="s">
        <v>236</v>
      </c>
      <c r="F3680" t="s">
        <v>307</v>
      </c>
      <c r="G3680" t="s">
        <v>12</v>
      </c>
      <c r="H3680">
        <v>6052.0</v>
      </c>
      <c r="I3680" t="s">
        <v>31</v>
      </c>
      <c r="J3680" t="s">
        <v>102</v>
      </c>
      <c r="K3680" t="s">
        <v>46</v>
      </c>
      <c r="L3680" t="s">
        <v>47</v>
      </c>
      <c r="M3680">
        <v>1007.7</v>
      </c>
    </row>
    <row r="3681">
      <c r="A3681" s="2">
        <v>45790</v>
      </c>
      <c r="B3681">
        <v>2025.0</v>
      </c>
      <c r="C3681" t="s">
        <v>315</v>
      </c>
      <c r="D3681" t="s">
        <v>319</v>
      </c>
      <c r="E3681" t="s">
        <v>100</v>
      </c>
      <c r="F3681" t="s">
        <v>307</v>
      </c>
      <c r="G3681" t="s">
        <v>12</v>
      </c>
      <c r="H3681">
        <v>6010.0</v>
      </c>
      <c r="I3681" t="s">
        <v>31</v>
      </c>
      <c r="J3681" t="s">
        <v>102</v>
      </c>
      <c r="K3681" t="s">
        <v>46</v>
      </c>
      <c r="L3681" t="s">
        <v>47</v>
      </c>
      <c r="M3681">
        <v>1010.25</v>
      </c>
    </row>
    <row r="3682">
      <c r="A3682" s="2">
        <v>45848</v>
      </c>
      <c r="B3682">
        <v>2026.0</v>
      </c>
      <c r="C3682" t="s">
        <v>321</v>
      </c>
      <c r="D3682" t="s">
        <v>319</v>
      </c>
      <c r="E3682" t="s">
        <v>82</v>
      </c>
      <c r="F3682" t="s">
        <v>306</v>
      </c>
      <c r="G3682" t="s">
        <v>11</v>
      </c>
      <c r="H3682">
        <v>4558.0</v>
      </c>
      <c r="I3682" t="s">
        <v>31</v>
      </c>
      <c r="J3682" t="s">
        <v>84</v>
      </c>
      <c r="K3682" t="s">
        <v>71</v>
      </c>
      <c r="L3682" t="s">
        <v>72</v>
      </c>
      <c r="M3682">
        <v>1013.1399999999999</v>
      </c>
    </row>
    <row r="3683">
      <c r="A3683" s="2">
        <v>45918</v>
      </c>
      <c r="B3683">
        <v>2026.0</v>
      </c>
      <c r="C3683" t="s">
        <v>321</v>
      </c>
      <c r="D3683" t="s">
        <v>316</v>
      </c>
      <c r="E3683" t="s">
        <v>160</v>
      </c>
      <c r="F3683" t="s">
        <v>307</v>
      </c>
      <c r="G3683" t="s">
        <v>12</v>
      </c>
      <c r="H3683">
        <v>6280.0</v>
      </c>
      <c r="I3683" t="s">
        <v>31</v>
      </c>
      <c r="J3683" t="s">
        <v>162</v>
      </c>
      <c r="K3683" t="s">
        <v>71</v>
      </c>
      <c r="L3683" t="s">
        <v>72</v>
      </c>
      <c r="M3683">
        <v>1013.6600000000001</v>
      </c>
    </row>
    <row r="3684">
      <c r="A3684" s="2">
        <v>45322</v>
      </c>
      <c r="B3684">
        <v>2024.0</v>
      </c>
      <c r="C3684" t="s">
        <v>318</v>
      </c>
      <c r="D3684" t="s">
        <v>316</v>
      </c>
      <c r="E3684" t="s">
        <v>139</v>
      </c>
      <c r="F3684" t="s">
        <v>305</v>
      </c>
      <c r="G3684" t="s">
        <v>10</v>
      </c>
      <c r="H3684">
        <v>3199.0</v>
      </c>
      <c r="I3684" t="s">
        <v>31</v>
      </c>
      <c r="J3684" t="s">
        <v>89</v>
      </c>
      <c r="K3684" t="s">
        <v>38</v>
      </c>
      <c r="L3684" t="s">
        <v>39</v>
      </c>
      <c r="M3684">
        <v>1014.3299999999999</v>
      </c>
    </row>
    <row r="3685">
      <c r="A3685" s="2">
        <v>45602</v>
      </c>
      <c r="B3685">
        <v>2025.0</v>
      </c>
      <c r="C3685" t="s">
        <v>315</v>
      </c>
      <c r="D3685" t="s">
        <v>316</v>
      </c>
      <c r="E3685" t="s">
        <v>264</v>
      </c>
      <c r="F3685" t="s">
        <v>308</v>
      </c>
      <c r="G3685" t="s">
        <v>13</v>
      </c>
      <c r="H3685">
        <v>5043.0</v>
      </c>
      <c r="I3685" t="s">
        <v>31</v>
      </c>
      <c r="J3685" t="s">
        <v>42</v>
      </c>
      <c r="K3685" t="s">
        <v>33</v>
      </c>
      <c r="L3685" t="s">
        <v>34</v>
      </c>
      <c r="M3685">
        <v>1017.76</v>
      </c>
    </row>
    <row r="3686">
      <c r="A3686" s="2">
        <v>45424</v>
      </c>
      <c r="B3686">
        <v>2024.0</v>
      </c>
      <c r="C3686" t="s">
        <v>318</v>
      </c>
      <c r="D3686" t="s">
        <v>316</v>
      </c>
      <c r="E3686" t="s">
        <v>193</v>
      </c>
      <c r="F3686" t="s">
        <v>304</v>
      </c>
      <c r="G3686" t="s">
        <v>9</v>
      </c>
      <c r="H3686">
        <v>2020.0</v>
      </c>
      <c r="I3686" t="s">
        <v>31</v>
      </c>
      <c r="J3686" t="s">
        <v>99</v>
      </c>
      <c r="K3686" t="s">
        <v>46</v>
      </c>
      <c r="L3686" t="s">
        <v>47</v>
      </c>
      <c r="M3686">
        <v>1021.88</v>
      </c>
    </row>
    <row r="3687">
      <c r="A3687" s="2">
        <v>45530</v>
      </c>
      <c r="B3687">
        <v>2025.0</v>
      </c>
      <c r="C3687" t="s">
        <v>315</v>
      </c>
      <c r="D3687" t="s">
        <v>319</v>
      </c>
      <c r="E3687" t="s">
        <v>240</v>
      </c>
      <c r="F3687" t="s">
        <v>310</v>
      </c>
      <c r="G3687" t="s">
        <v>15</v>
      </c>
      <c r="H3687">
        <v>7010.0</v>
      </c>
      <c r="I3687" t="s">
        <v>31</v>
      </c>
      <c r="J3687" t="s">
        <v>53</v>
      </c>
      <c r="K3687" t="s">
        <v>95</v>
      </c>
      <c r="L3687" t="s">
        <v>96</v>
      </c>
      <c r="M3687">
        <v>1024.46</v>
      </c>
    </row>
    <row r="3688">
      <c r="A3688" s="2">
        <v>45575</v>
      </c>
      <c r="B3688">
        <v>2025.0</v>
      </c>
      <c r="C3688" t="s">
        <v>315</v>
      </c>
      <c r="D3688" t="s">
        <v>316</v>
      </c>
      <c r="E3688" t="s">
        <v>260</v>
      </c>
      <c r="F3688" t="s">
        <v>305</v>
      </c>
      <c r="G3688" t="s">
        <v>10</v>
      </c>
      <c r="H3688">
        <v>3179.0</v>
      </c>
      <c r="I3688" t="s">
        <v>31</v>
      </c>
      <c r="J3688" t="s">
        <v>89</v>
      </c>
      <c r="K3688" t="s">
        <v>95</v>
      </c>
      <c r="L3688" t="s">
        <v>96</v>
      </c>
      <c r="M3688">
        <v>1024.88</v>
      </c>
    </row>
    <row r="3689">
      <c r="A3689" s="2">
        <v>45843</v>
      </c>
      <c r="B3689">
        <v>2026.0</v>
      </c>
      <c r="C3689" t="s">
        <v>321</v>
      </c>
      <c r="D3689" t="s">
        <v>316</v>
      </c>
      <c r="E3689" t="s">
        <v>175</v>
      </c>
      <c r="F3689" t="s">
        <v>311</v>
      </c>
      <c r="G3689" t="s">
        <v>16</v>
      </c>
      <c r="H3689">
        <v>2617.0</v>
      </c>
      <c r="I3689" t="s">
        <v>31</v>
      </c>
      <c r="J3689" t="s">
        <v>107</v>
      </c>
      <c r="K3689" t="s">
        <v>71</v>
      </c>
      <c r="L3689" t="s">
        <v>72</v>
      </c>
      <c r="M3689">
        <v>1025.23</v>
      </c>
    </row>
    <row r="3690">
      <c r="A3690" s="2">
        <v>45322</v>
      </c>
      <c r="B3690">
        <v>2024.0</v>
      </c>
      <c r="C3690" t="s">
        <v>318</v>
      </c>
      <c r="D3690" t="s">
        <v>319</v>
      </c>
      <c r="E3690" t="s">
        <v>146</v>
      </c>
      <c r="F3690" t="s">
        <v>304</v>
      </c>
      <c r="G3690" t="s">
        <v>9</v>
      </c>
      <c r="H3690">
        <v>2790.0</v>
      </c>
      <c r="I3690" t="s">
        <v>31</v>
      </c>
      <c r="J3690" t="s">
        <v>75</v>
      </c>
      <c r="K3690" t="s">
        <v>71</v>
      </c>
      <c r="L3690" t="s">
        <v>72</v>
      </c>
      <c r="M3690">
        <v>1028.55</v>
      </c>
    </row>
    <row r="3691">
      <c r="A3691" s="2">
        <v>45883</v>
      </c>
      <c r="B3691">
        <v>2026.0</v>
      </c>
      <c r="C3691" t="s">
        <v>321</v>
      </c>
      <c r="D3691" t="s">
        <v>316</v>
      </c>
      <c r="E3691" t="s">
        <v>79</v>
      </c>
      <c r="F3691" t="s">
        <v>304</v>
      </c>
      <c r="G3691" t="s">
        <v>9</v>
      </c>
      <c r="H3691">
        <v>2141.0</v>
      </c>
      <c r="I3691" t="s">
        <v>31</v>
      </c>
      <c r="J3691" t="s">
        <v>81</v>
      </c>
      <c r="K3691" t="s">
        <v>71</v>
      </c>
      <c r="L3691" t="s">
        <v>72</v>
      </c>
      <c r="M3691">
        <v>1029.47</v>
      </c>
    </row>
    <row r="3692">
      <c r="A3692" s="2">
        <v>45830</v>
      </c>
      <c r="B3692">
        <v>2025.0</v>
      </c>
      <c r="C3692" t="s">
        <v>315</v>
      </c>
      <c r="D3692" t="s">
        <v>316</v>
      </c>
      <c r="E3692" t="s">
        <v>59</v>
      </c>
      <c r="F3692" t="s">
        <v>306</v>
      </c>
      <c r="G3692" t="s">
        <v>11</v>
      </c>
      <c r="H3692">
        <v>4509.0</v>
      </c>
      <c r="I3692" t="s">
        <v>31</v>
      </c>
      <c r="J3692" t="s">
        <v>61</v>
      </c>
      <c r="K3692" t="s">
        <v>38</v>
      </c>
      <c r="L3692" t="s">
        <v>39</v>
      </c>
      <c r="M3692">
        <v>1034.22</v>
      </c>
    </row>
    <row r="3693">
      <c r="A3693" s="2">
        <v>45983</v>
      </c>
      <c r="B3693">
        <v>2026.0</v>
      </c>
      <c r="C3693" t="s">
        <v>321</v>
      </c>
      <c r="D3693" t="s">
        <v>316</v>
      </c>
      <c r="E3693" t="s">
        <v>133</v>
      </c>
      <c r="F3693" t="s">
        <v>305</v>
      </c>
      <c r="G3693" t="s">
        <v>10</v>
      </c>
      <c r="H3693">
        <v>3429.0</v>
      </c>
      <c r="I3693" t="s">
        <v>31</v>
      </c>
      <c r="J3693" t="s">
        <v>37</v>
      </c>
      <c r="K3693" t="s">
        <v>95</v>
      </c>
      <c r="L3693" t="s">
        <v>96</v>
      </c>
      <c r="M3693">
        <v>1034.95</v>
      </c>
    </row>
    <row r="3694">
      <c r="A3694" s="2">
        <v>45473</v>
      </c>
      <c r="B3694">
        <v>2024.0</v>
      </c>
      <c r="C3694" t="s">
        <v>318</v>
      </c>
      <c r="D3694" t="s">
        <v>316</v>
      </c>
      <c r="E3694" t="s">
        <v>158</v>
      </c>
      <c r="F3694" t="s">
        <v>306</v>
      </c>
      <c r="G3694" t="s">
        <v>11</v>
      </c>
      <c r="H3694">
        <v>4570.0</v>
      </c>
      <c r="I3694" t="s">
        <v>31</v>
      </c>
      <c r="J3694" t="s">
        <v>84</v>
      </c>
      <c r="K3694" t="s">
        <v>46</v>
      </c>
      <c r="L3694" t="s">
        <v>47</v>
      </c>
      <c r="M3694">
        <v>1037.0300000000002</v>
      </c>
    </row>
    <row r="3695">
      <c r="A3695" s="2">
        <v>45764</v>
      </c>
      <c r="B3695">
        <v>2025.0</v>
      </c>
      <c r="C3695" t="s">
        <v>315</v>
      </c>
      <c r="D3695" t="s">
        <v>316</v>
      </c>
      <c r="E3695" t="s">
        <v>193</v>
      </c>
      <c r="F3695" t="s">
        <v>304</v>
      </c>
      <c r="G3695" t="s">
        <v>9</v>
      </c>
      <c r="H3695">
        <v>2020.0</v>
      </c>
      <c r="I3695" t="s">
        <v>31</v>
      </c>
      <c r="J3695" t="s">
        <v>99</v>
      </c>
      <c r="K3695" t="s">
        <v>71</v>
      </c>
      <c r="L3695" t="s">
        <v>72</v>
      </c>
      <c r="M3695">
        <v>1040.91</v>
      </c>
    </row>
    <row r="3696">
      <c r="A3696" s="2">
        <v>45699</v>
      </c>
      <c r="B3696">
        <v>2025.0</v>
      </c>
      <c r="C3696" t="s">
        <v>315</v>
      </c>
      <c r="D3696" t="s">
        <v>316</v>
      </c>
      <c r="E3696" t="s">
        <v>64</v>
      </c>
      <c r="F3696" t="s">
        <v>306</v>
      </c>
      <c r="G3696" t="s">
        <v>11</v>
      </c>
      <c r="H3696">
        <v>4215.0</v>
      </c>
      <c r="I3696" t="s">
        <v>31</v>
      </c>
      <c r="J3696" t="s">
        <v>61</v>
      </c>
      <c r="K3696" t="s">
        <v>46</v>
      </c>
      <c r="L3696" t="s">
        <v>47</v>
      </c>
      <c r="M3696">
        <v>1043.78</v>
      </c>
    </row>
    <row r="3697">
      <c r="A3697" s="2">
        <v>45482</v>
      </c>
      <c r="B3697">
        <v>2025.0</v>
      </c>
      <c r="C3697" t="s">
        <v>315</v>
      </c>
      <c r="D3697" t="s">
        <v>316</v>
      </c>
      <c r="E3697" t="s">
        <v>62</v>
      </c>
      <c r="F3697" t="s">
        <v>307</v>
      </c>
      <c r="G3697" t="s">
        <v>12</v>
      </c>
      <c r="H3697">
        <v>6530.0</v>
      </c>
      <c r="I3697" t="s">
        <v>31</v>
      </c>
      <c r="J3697" t="s">
        <v>50</v>
      </c>
      <c r="K3697" t="s">
        <v>46</v>
      </c>
      <c r="L3697" t="s">
        <v>47</v>
      </c>
      <c r="M3697">
        <v>1045.5699999999997</v>
      </c>
    </row>
    <row r="3698">
      <c r="A3698" s="2">
        <v>45644</v>
      </c>
      <c r="B3698">
        <v>2025.0</v>
      </c>
      <c r="C3698" t="s">
        <v>315</v>
      </c>
      <c r="D3698" t="s">
        <v>316</v>
      </c>
      <c r="E3698" t="s">
        <v>129</v>
      </c>
      <c r="F3698" t="s">
        <v>305</v>
      </c>
      <c r="G3698" t="s">
        <v>10</v>
      </c>
      <c r="H3698">
        <v>3066.0</v>
      </c>
      <c r="I3698" t="s">
        <v>31</v>
      </c>
      <c r="J3698" t="s">
        <v>120</v>
      </c>
      <c r="K3698" t="s">
        <v>38</v>
      </c>
      <c r="L3698" t="s">
        <v>39</v>
      </c>
      <c r="M3698">
        <v>1047.31</v>
      </c>
    </row>
    <row r="3699">
      <c r="A3699" s="2">
        <v>45352</v>
      </c>
      <c r="B3699">
        <v>2024.0</v>
      </c>
      <c r="C3699" t="s">
        <v>318</v>
      </c>
      <c r="D3699" t="s">
        <v>316</v>
      </c>
      <c r="E3699" t="s">
        <v>173</v>
      </c>
      <c r="F3699" t="s">
        <v>306</v>
      </c>
      <c r="G3699" t="s">
        <v>11</v>
      </c>
      <c r="H3699">
        <v>4220.0</v>
      </c>
      <c r="I3699" t="s">
        <v>31</v>
      </c>
      <c r="J3699" t="s">
        <v>61</v>
      </c>
      <c r="K3699" t="s">
        <v>71</v>
      </c>
      <c r="L3699" t="s">
        <v>72</v>
      </c>
      <c r="M3699">
        <v>1047.9899999999998</v>
      </c>
    </row>
    <row r="3700">
      <c r="A3700" s="2">
        <v>45678</v>
      </c>
      <c r="B3700">
        <v>2025.0</v>
      </c>
      <c r="C3700" t="s">
        <v>315</v>
      </c>
      <c r="D3700" t="s">
        <v>316</v>
      </c>
      <c r="E3700" t="s">
        <v>232</v>
      </c>
      <c r="F3700" t="s">
        <v>304</v>
      </c>
      <c r="G3700" t="s">
        <v>9</v>
      </c>
      <c r="H3700">
        <v>2800.0</v>
      </c>
      <c r="I3700" t="s">
        <v>31</v>
      </c>
      <c r="J3700" t="s">
        <v>75</v>
      </c>
      <c r="K3700" t="s">
        <v>112</v>
      </c>
      <c r="L3700" t="s">
        <v>113</v>
      </c>
      <c r="M3700">
        <v>1048.3099999999997</v>
      </c>
    </row>
    <row r="3701">
      <c r="A3701" s="2">
        <v>45730</v>
      </c>
      <c r="B3701">
        <v>2025.0</v>
      </c>
      <c r="C3701" t="s">
        <v>315</v>
      </c>
      <c r="D3701" t="s">
        <v>316</v>
      </c>
      <c r="E3701" t="s">
        <v>35</v>
      </c>
      <c r="F3701" t="s">
        <v>305</v>
      </c>
      <c r="G3701" t="s">
        <v>10</v>
      </c>
      <c r="H3701">
        <v>3280.0</v>
      </c>
      <c r="I3701" t="s">
        <v>31</v>
      </c>
      <c r="J3701" t="s">
        <v>37</v>
      </c>
      <c r="K3701" t="s">
        <v>71</v>
      </c>
      <c r="L3701" t="s">
        <v>72</v>
      </c>
      <c r="M3701">
        <v>1049.07</v>
      </c>
    </row>
    <row r="3702">
      <c r="A3702" s="2">
        <v>45702</v>
      </c>
      <c r="B3702">
        <v>2025.0</v>
      </c>
      <c r="C3702" t="s">
        <v>315</v>
      </c>
      <c r="D3702" t="s">
        <v>316</v>
      </c>
      <c r="E3702" t="s">
        <v>203</v>
      </c>
      <c r="F3702" t="s">
        <v>305</v>
      </c>
      <c r="G3702" t="s">
        <v>10</v>
      </c>
      <c r="H3702">
        <v>3175.0</v>
      </c>
      <c r="I3702" t="s">
        <v>31</v>
      </c>
      <c r="J3702" t="s">
        <v>89</v>
      </c>
      <c r="K3702" t="s">
        <v>71</v>
      </c>
      <c r="L3702" t="s">
        <v>72</v>
      </c>
      <c r="M3702">
        <v>1050.08</v>
      </c>
    </row>
    <row r="3703">
      <c r="A3703" s="2">
        <v>45804</v>
      </c>
      <c r="B3703">
        <v>2025.0</v>
      </c>
      <c r="C3703" t="s">
        <v>315</v>
      </c>
      <c r="D3703" t="s">
        <v>319</v>
      </c>
      <c r="E3703" t="s">
        <v>189</v>
      </c>
      <c r="F3703" t="s">
        <v>304</v>
      </c>
      <c r="G3703" t="s">
        <v>9</v>
      </c>
      <c r="H3703">
        <v>2131.0</v>
      </c>
      <c r="I3703" t="s">
        <v>31</v>
      </c>
      <c r="J3703" t="s">
        <v>81</v>
      </c>
      <c r="K3703" t="s">
        <v>95</v>
      </c>
      <c r="L3703" t="s">
        <v>96</v>
      </c>
      <c r="M3703">
        <v>1053.53</v>
      </c>
    </row>
    <row r="3704">
      <c r="A3704" s="2">
        <v>45329</v>
      </c>
      <c r="B3704">
        <v>2024.0</v>
      </c>
      <c r="C3704" t="s">
        <v>318</v>
      </c>
      <c r="D3704" t="s">
        <v>316</v>
      </c>
      <c r="E3704" t="s">
        <v>137</v>
      </c>
      <c r="F3704" t="s">
        <v>305</v>
      </c>
      <c r="G3704" t="s">
        <v>10</v>
      </c>
      <c r="H3704">
        <v>3134.0</v>
      </c>
      <c r="I3704" t="s">
        <v>31</v>
      </c>
      <c r="J3704" t="s">
        <v>89</v>
      </c>
      <c r="K3704" t="s">
        <v>46</v>
      </c>
      <c r="L3704" t="s">
        <v>47</v>
      </c>
      <c r="M3704">
        <v>1058.18</v>
      </c>
    </row>
    <row r="3705">
      <c r="A3705" s="2">
        <v>45326</v>
      </c>
      <c r="B3705">
        <v>2024.0</v>
      </c>
      <c r="C3705" t="s">
        <v>318</v>
      </c>
      <c r="D3705" t="s">
        <v>316</v>
      </c>
      <c r="E3705" t="s">
        <v>236</v>
      </c>
      <c r="F3705" t="s">
        <v>307</v>
      </c>
      <c r="G3705" t="s">
        <v>12</v>
      </c>
      <c r="H3705">
        <v>6052.0</v>
      </c>
      <c r="I3705" t="s">
        <v>31</v>
      </c>
      <c r="J3705" t="s">
        <v>102</v>
      </c>
      <c r="K3705" t="s">
        <v>57</v>
      </c>
      <c r="L3705" t="s">
        <v>58</v>
      </c>
      <c r="M3705">
        <v>1059.79</v>
      </c>
    </row>
    <row r="3706">
      <c r="A3706" s="2">
        <v>45917</v>
      </c>
      <c r="B3706">
        <v>2026.0</v>
      </c>
      <c r="C3706" t="s">
        <v>321</v>
      </c>
      <c r="D3706" t="s">
        <v>319</v>
      </c>
      <c r="E3706" t="s">
        <v>116</v>
      </c>
      <c r="F3706" t="s">
        <v>304</v>
      </c>
      <c r="G3706" t="s">
        <v>9</v>
      </c>
      <c r="H3706">
        <v>2485.0</v>
      </c>
      <c r="I3706" t="s">
        <v>31</v>
      </c>
      <c r="J3706" t="s">
        <v>70</v>
      </c>
      <c r="K3706" t="s">
        <v>57</v>
      </c>
      <c r="L3706" t="s">
        <v>58</v>
      </c>
      <c r="M3706">
        <v>1059.84</v>
      </c>
    </row>
    <row r="3707">
      <c r="A3707" s="2">
        <v>45393</v>
      </c>
      <c r="B3707">
        <v>2024.0</v>
      </c>
      <c r="C3707" t="s">
        <v>318</v>
      </c>
      <c r="D3707" t="s">
        <v>319</v>
      </c>
      <c r="E3707" t="s">
        <v>256</v>
      </c>
      <c r="F3707" t="s">
        <v>304</v>
      </c>
      <c r="G3707" t="s">
        <v>9</v>
      </c>
      <c r="H3707">
        <v>2350.0</v>
      </c>
      <c r="I3707" t="s">
        <v>31</v>
      </c>
      <c r="J3707" t="s">
        <v>70</v>
      </c>
      <c r="K3707" t="s">
        <v>43</v>
      </c>
      <c r="L3707" t="s">
        <v>44</v>
      </c>
      <c r="M3707">
        <v>1063.3899999999999</v>
      </c>
    </row>
    <row r="3708">
      <c r="A3708" s="2">
        <v>45790</v>
      </c>
      <c r="B3708">
        <v>2025.0</v>
      </c>
      <c r="C3708" t="s">
        <v>315</v>
      </c>
      <c r="D3708" t="s">
        <v>316</v>
      </c>
      <c r="E3708" t="s">
        <v>59</v>
      </c>
      <c r="F3708" t="s">
        <v>306</v>
      </c>
      <c r="G3708" t="s">
        <v>11</v>
      </c>
      <c r="H3708">
        <v>4509.0</v>
      </c>
      <c r="I3708" t="s">
        <v>31</v>
      </c>
      <c r="J3708" t="s">
        <v>61</v>
      </c>
      <c r="K3708" t="s">
        <v>57</v>
      </c>
      <c r="L3708" t="s">
        <v>58</v>
      </c>
      <c r="M3708">
        <v>1065.18</v>
      </c>
    </row>
    <row r="3709">
      <c r="A3709" s="2">
        <v>45449</v>
      </c>
      <c r="B3709">
        <v>2024.0</v>
      </c>
      <c r="C3709" t="s">
        <v>318</v>
      </c>
      <c r="D3709" t="s">
        <v>316</v>
      </c>
      <c r="E3709" t="s">
        <v>64</v>
      </c>
      <c r="F3709" t="s">
        <v>306</v>
      </c>
      <c r="G3709" t="s">
        <v>11</v>
      </c>
      <c r="H3709">
        <v>4215.0</v>
      </c>
      <c r="I3709" t="s">
        <v>31</v>
      </c>
      <c r="J3709" t="s">
        <v>61</v>
      </c>
      <c r="K3709" t="s">
        <v>43</v>
      </c>
      <c r="L3709" t="s">
        <v>44</v>
      </c>
      <c r="M3709">
        <v>1065.98</v>
      </c>
    </row>
    <row r="3710">
      <c r="A3710" s="2">
        <v>45735</v>
      </c>
      <c r="B3710">
        <v>2025.0</v>
      </c>
      <c r="C3710" t="s">
        <v>315</v>
      </c>
      <c r="D3710" t="s">
        <v>316</v>
      </c>
      <c r="E3710" t="s">
        <v>177</v>
      </c>
      <c r="F3710" t="s">
        <v>307</v>
      </c>
      <c r="G3710" t="s">
        <v>12</v>
      </c>
      <c r="H3710">
        <v>6330.0</v>
      </c>
      <c r="I3710" t="s">
        <v>31</v>
      </c>
      <c r="J3710" t="s">
        <v>162</v>
      </c>
      <c r="K3710" t="s">
        <v>95</v>
      </c>
      <c r="L3710" t="s">
        <v>96</v>
      </c>
      <c r="M3710">
        <v>1066.8999999999999</v>
      </c>
    </row>
    <row r="3711">
      <c r="A3711" s="2">
        <v>45988</v>
      </c>
      <c r="B3711">
        <v>2026.0</v>
      </c>
      <c r="C3711" t="s">
        <v>321</v>
      </c>
      <c r="D3711" t="s">
        <v>316</v>
      </c>
      <c r="E3711" t="s">
        <v>114</v>
      </c>
      <c r="F3711" t="s">
        <v>304</v>
      </c>
      <c r="G3711" t="s">
        <v>9</v>
      </c>
      <c r="H3711">
        <v>2031.0</v>
      </c>
      <c r="I3711" t="s">
        <v>31</v>
      </c>
      <c r="J3711" t="s">
        <v>99</v>
      </c>
      <c r="K3711" t="s">
        <v>43</v>
      </c>
      <c r="L3711" t="s">
        <v>44</v>
      </c>
      <c r="M3711">
        <v>1067.18</v>
      </c>
    </row>
    <row r="3712">
      <c r="A3712" s="2">
        <v>45432</v>
      </c>
      <c r="B3712">
        <v>2024.0</v>
      </c>
      <c r="C3712" t="s">
        <v>318</v>
      </c>
      <c r="D3712" t="s">
        <v>316</v>
      </c>
      <c r="E3712" t="s">
        <v>183</v>
      </c>
      <c r="F3712" t="s">
        <v>304</v>
      </c>
      <c r="G3712" t="s">
        <v>9</v>
      </c>
      <c r="H3712">
        <v>2480.0</v>
      </c>
      <c r="I3712" t="s">
        <v>31</v>
      </c>
      <c r="J3712" t="s">
        <v>70</v>
      </c>
      <c r="K3712" t="s">
        <v>57</v>
      </c>
      <c r="L3712" t="s">
        <v>58</v>
      </c>
      <c r="M3712">
        <v>1068.93</v>
      </c>
    </row>
    <row r="3713">
      <c r="A3713" s="2">
        <v>46019</v>
      </c>
      <c r="B3713">
        <v>2026.0</v>
      </c>
      <c r="C3713" t="s">
        <v>321</v>
      </c>
      <c r="D3713" t="s">
        <v>319</v>
      </c>
      <c r="E3713" t="s">
        <v>141</v>
      </c>
      <c r="F3713" t="s">
        <v>304</v>
      </c>
      <c r="G3713" t="s">
        <v>9</v>
      </c>
      <c r="H3713">
        <v>2539.0</v>
      </c>
      <c r="I3713" t="s">
        <v>31</v>
      </c>
      <c r="J3713" t="s">
        <v>107</v>
      </c>
      <c r="K3713" t="s">
        <v>57</v>
      </c>
      <c r="L3713" t="s">
        <v>58</v>
      </c>
      <c r="M3713">
        <v>1070.1</v>
      </c>
    </row>
    <row r="3714">
      <c r="A3714" s="2">
        <v>45528</v>
      </c>
      <c r="B3714">
        <v>2025.0</v>
      </c>
      <c r="C3714" t="s">
        <v>315</v>
      </c>
      <c r="D3714" t="s">
        <v>316</v>
      </c>
      <c r="E3714" t="s">
        <v>187</v>
      </c>
      <c r="F3714" t="s">
        <v>306</v>
      </c>
      <c r="G3714" t="s">
        <v>11</v>
      </c>
      <c r="H3714">
        <v>4870.0</v>
      </c>
      <c r="I3714" t="s">
        <v>31</v>
      </c>
      <c r="J3714" t="s">
        <v>78</v>
      </c>
      <c r="K3714" t="s">
        <v>71</v>
      </c>
      <c r="L3714" t="s">
        <v>72</v>
      </c>
      <c r="M3714">
        <v>1072.78</v>
      </c>
    </row>
    <row r="3715">
      <c r="A3715" s="2">
        <v>45648</v>
      </c>
      <c r="B3715">
        <v>2025.0</v>
      </c>
      <c r="C3715" t="s">
        <v>315</v>
      </c>
      <c r="D3715" t="s">
        <v>316</v>
      </c>
      <c r="E3715" t="s">
        <v>82</v>
      </c>
      <c r="F3715" t="s">
        <v>306</v>
      </c>
      <c r="G3715" t="s">
        <v>11</v>
      </c>
      <c r="H3715">
        <v>4558.0</v>
      </c>
      <c r="I3715" t="s">
        <v>31</v>
      </c>
      <c r="J3715" t="s">
        <v>84</v>
      </c>
      <c r="K3715" t="s">
        <v>66</v>
      </c>
      <c r="L3715" t="s">
        <v>67</v>
      </c>
      <c r="M3715">
        <v>1076.07</v>
      </c>
    </row>
    <row r="3716">
      <c r="A3716" s="2">
        <v>45554</v>
      </c>
      <c r="B3716">
        <v>2025.0</v>
      </c>
      <c r="C3716" t="s">
        <v>315</v>
      </c>
      <c r="D3716" t="s">
        <v>316</v>
      </c>
      <c r="E3716" t="s">
        <v>29</v>
      </c>
      <c r="F3716" t="s">
        <v>306</v>
      </c>
      <c r="G3716" t="s">
        <v>11</v>
      </c>
      <c r="H3716">
        <v>4703.0</v>
      </c>
      <c r="I3716" t="s">
        <v>31</v>
      </c>
      <c r="J3716" t="s">
        <v>32</v>
      </c>
      <c r="K3716" t="s">
        <v>71</v>
      </c>
      <c r="L3716" t="s">
        <v>72</v>
      </c>
      <c r="M3716">
        <v>1077.06</v>
      </c>
    </row>
    <row r="3717">
      <c r="A3717" s="2">
        <v>45706</v>
      </c>
      <c r="B3717">
        <v>2025.0</v>
      </c>
      <c r="C3717" t="s">
        <v>315</v>
      </c>
      <c r="D3717" t="s">
        <v>316</v>
      </c>
      <c r="E3717" t="s">
        <v>97</v>
      </c>
      <c r="F3717" t="s">
        <v>304</v>
      </c>
      <c r="G3717" t="s">
        <v>9</v>
      </c>
      <c r="H3717">
        <v>2067.0</v>
      </c>
      <c r="I3717" t="s">
        <v>31</v>
      </c>
      <c r="J3717" t="s">
        <v>99</v>
      </c>
      <c r="K3717" t="s">
        <v>43</v>
      </c>
      <c r="L3717" t="s">
        <v>44</v>
      </c>
      <c r="M3717">
        <v>1077.37</v>
      </c>
    </row>
    <row r="3718">
      <c r="A3718" s="2">
        <v>45547</v>
      </c>
      <c r="B3718">
        <v>2025.0</v>
      </c>
      <c r="C3718" t="s">
        <v>315</v>
      </c>
      <c r="D3718" t="s">
        <v>316</v>
      </c>
      <c r="E3718" t="s">
        <v>248</v>
      </c>
      <c r="F3718" t="s">
        <v>307</v>
      </c>
      <c r="G3718" t="s">
        <v>12</v>
      </c>
      <c r="H3718">
        <v>6112.0</v>
      </c>
      <c r="I3718" t="s">
        <v>31</v>
      </c>
      <c r="J3718" t="s">
        <v>162</v>
      </c>
      <c r="K3718" t="s">
        <v>57</v>
      </c>
      <c r="L3718" t="s">
        <v>58</v>
      </c>
      <c r="M3718">
        <v>1079.81</v>
      </c>
    </row>
    <row r="3719">
      <c r="A3719" s="2">
        <v>45528</v>
      </c>
      <c r="B3719">
        <v>2025.0</v>
      </c>
      <c r="C3719" t="s">
        <v>315</v>
      </c>
      <c r="D3719" t="s">
        <v>316</v>
      </c>
      <c r="E3719" t="s">
        <v>223</v>
      </c>
      <c r="F3719" t="s">
        <v>305</v>
      </c>
      <c r="G3719" t="s">
        <v>10</v>
      </c>
      <c r="H3719">
        <v>3915.0</v>
      </c>
      <c r="I3719" t="s">
        <v>31</v>
      </c>
      <c r="J3719" t="s">
        <v>94</v>
      </c>
      <c r="K3719" t="s">
        <v>46</v>
      </c>
      <c r="L3719" t="s">
        <v>47</v>
      </c>
      <c r="M3719">
        <v>1080.56</v>
      </c>
    </row>
    <row r="3720">
      <c r="A3720" s="2">
        <v>45739</v>
      </c>
      <c r="B3720">
        <v>2025.0</v>
      </c>
      <c r="C3720" t="s">
        <v>315</v>
      </c>
      <c r="D3720" t="s">
        <v>316</v>
      </c>
      <c r="E3720" t="s">
        <v>116</v>
      </c>
      <c r="F3720" t="s">
        <v>304</v>
      </c>
      <c r="G3720" t="s">
        <v>9</v>
      </c>
      <c r="H3720">
        <v>2485.0</v>
      </c>
      <c r="I3720" t="s">
        <v>31</v>
      </c>
      <c r="J3720" t="s">
        <v>70</v>
      </c>
      <c r="K3720" t="s">
        <v>95</v>
      </c>
      <c r="L3720" t="s">
        <v>96</v>
      </c>
      <c r="M3720">
        <v>1084.98</v>
      </c>
    </row>
    <row r="3721">
      <c r="A3721" s="2">
        <v>45706</v>
      </c>
      <c r="B3721">
        <v>2025.0</v>
      </c>
      <c r="C3721" t="s">
        <v>315</v>
      </c>
      <c r="D3721" t="s">
        <v>316</v>
      </c>
      <c r="E3721" t="s">
        <v>250</v>
      </c>
      <c r="F3721" t="s">
        <v>305</v>
      </c>
      <c r="G3721" t="s">
        <v>10</v>
      </c>
      <c r="H3721">
        <v>3550.0</v>
      </c>
      <c r="I3721" t="s">
        <v>31</v>
      </c>
      <c r="J3721" t="s">
        <v>37</v>
      </c>
      <c r="K3721" t="s">
        <v>71</v>
      </c>
      <c r="L3721" t="s">
        <v>72</v>
      </c>
      <c r="M3721">
        <v>1085.72</v>
      </c>
    </row>
    <row r="3722">
      <c r="A3722" s="2">
        <v>45730</v>
      </c>
      <c r="B3722">
        <v>2025.0</v>
      </c>
      <c r="C3722" t="s">
        <v>315</v>
      </c>
      <c r="D3722" t="s">
        <v>316</v>
      </c>
      <c r="E3722" t="s">
        <v>85</v>
      </c>
      <c r="F3722" t="s">
        <v>304</v>
      </c>
      <c r="G3722" t="s">
        <v>9</v>
      </c>
      <c r="H3722">
        <v>2120.0</v>
      </c>
      <c r="I3722" t="s">
        <v>31</v>
      </c>
      <c r="J3722" t="s">
        <v>81</v>
      </c>
      <c r="K3722" t="s">
        <v>46</v>
      </c>
      <c r="L3722" t="s">
        <v>47</v>
      </c>
      <c r="M3722">
        <v>1088.4699999999998</v>
      </c>
    </row>
    <row r="3723">
      <c r="A3723" s="2">
        <v>45755</v>
      </c>
      <c r="B3723">
        <v>2025.0</v>
      </c>
      <c r="C3723" t="s">
        <v>315</v>
      </c>
      <c r="D3723" t="s">
        <v>316</v>
      </c>
      <c r="E3723" t="s">
        <v>254</v>
      </c>
      <c r="F3723" t="s">
        <v>308</v>
      </c>
      <c r="G3723" t="s">
        <v>13</v>
      </c>
      <c r="H3723">
        <v>5343.0</v>
      </c>
      <c r="I3723" t="s">
        <v>31</v>
      </c>
      <c r="J3723" t="s">
        <v>227</v>
      </c>
      <c r="K3723" t="s">
        <v>57</v>
      </c>
      <c r="L3723" t="s">
        <v>58</v>
      </c>
      <c r="M3723">
        <v>1088.77</v>
      </c>
    </row>
    <row r="3724">
      <c r="A3724" s="2">
        <v>45501</v>
      </c>
      <c r="B3724">
        <v>2025.0</v>
      </c>
      <c r="C3724" t="s">
        <v>315</v>
      </c>
      <c r="D3724" t="s">
        <v>316</v>
      </c>
      <c r="E3724" t="s">
        <v>244</v>
      </c>
      <c r="F3724" t="s">
        <v>308</v>
      </c>
      <c r="G3724" t="s">
        <v>13</v>
      </c>
      <c r="H3724">
        <v>5168.0</v>
      </c>
      <c r="I3724" t="s">
        <v>31</v>
      </c>
      <c r="J3724" t="s">
        <v>42</v>
      </c>
      <c r="K3724" t="s">
        <v>95</v>
      </c>
      <c r="L3724" t="s">
        <v>96</v>
      </c>
      <c r="M3724">
        <v>1089.15</v>
      </c>
    </row>
    <row r="3725">
      <c r="A3725" s="2">
        <v>45811</v>
      </c>
      <c r="B3725">
        <v>2025.0</v>
      </c>
      <c r="C3725" t="s">
        <v>315</v>
      </c>
      <c r="D3725" t="s">
        <v>319</v>
      </c>
      <c r="E3725" t="s">
        <v>127</v>
      </c>
      <c r="F3725" t="s">
        <v>306</v>
      </c>
      <c r="G3725" t="s">
        <v>11</v>
      </c>
      <c r="H3725">
        <v>4802.0</v>
      </c>
      <c r="I3725" t="s">
        <v>31</v>
      </c>
      <c r="J3725" t="s">
        <v>78</v>
      </c>
      <c r="K3725" t="s">
        <v>71</v>
      </c>
      <c r="L3725" t="s">
        <v>72</v>
      </c>
      <c r="M3725">
        <v>1090.05</v>
      </c>
    </row>
    <row r="3726">
      <c r="A3726" s="2">
        <v>45997</v>
      </c>
      <c r="B3726">
        <v>2026.0</v>
      </c>
      <c r="C3726" t="s">
        <v>321</v>
      </c>
      <c r="D3726" t="s">
        <v>319</v>
      </c>
      <c r="E3726" t="s">
        <v>141</v>
      </c>
      <c r="F3726" t="s">
        <v>304</v>
      </c>
      <c r="G3726" t="s">
        <v>9</v>
      </c>
      <c r="H3726">
        <v>2539.0</v>
      </c>
      <c r="I3726" t="s">
        <v>31</v>
      </c>
      <c r="J3726" t="s">
        <v>107</v>
      </c>
      <c r="K3726" t="s">
        <v>71</v>
      </c>
      <c r="L3726" t="s">
        <v>72</v>
      </c>
      <c r="M3726">
        <v>1091.2200000000003</v>
      </c>
    </row>
    <row r="3727">
      <c r="A3727" s="2">
        <v>45807</v>
      </c>
      <c r="B3727">
        <v>2025.0</v>
      </c>
      <c r="C3727" t="s">
        <v>315</v>
      </c>
      <c r="D3727" t="s">
        <v>319</v>
      </c>
      <c r="E3727" t="s">
        <v>146</v>
      </c>
      <c r="F3727" t="s">
        <v>304</v>
      </c>
      <c r="G3727" t="s">
        <v>9</v>
      </c>
      <c r="H3727">
        <v>2790.0</v>
      </c>
      <c r="I3727" t="s">
        <v>31</v>
      </c>
      <c r="J3727" t="s">
        <v>75</v>
      </c>
      <c r="K3727" t="s">
        <v>33</v>
      </c>
      <c r="L3727" t="s">
        <v>34</v>
      </c>
      <c r="M3727">
        <v>1093.4399999999998</v>
      </c>
    </row>
    <row r="3728">
      <c r="A3728" s="2">
        <v>45442</v>
      </c>
      <c r="B3728">
        <v>2024.0</v>
      </c>
      <c r="C3728" t="s">
        <v>318</v>
      </c>
      <c r="D3728" t="s">
        <v>316</v>
      </c>
      <c r="E3728" t="s">
        <v>181</v>
      </c>
      <c r="F3728" t="s">
        <v>306</v>
      </c>
      <c r="G3728" t="s">
        <v>11</v>
      </c>
      <c r="H3728">
        <v>4119.0</v>
      </c>
      <c r="I3728" t="s">
        <v>31</v>
      </c>
      <c r="J3728" t="s">
        <v>56</v>
      </c>
      <c r="K3728" t="s">
        <v>66</v>
      </c>
      <c r="L3728" t="s">
        <v>67</v>
      </c>
      <c r="M3728">
        <v>1093.68</v>
      </c>
    </row>
    <row r="3729">
      <c r="A3729" s="2">
        <v>45789</v>
      </c>
      <c r="B3729">
        <v>2025.0</v>
      </c>
      <c r="C3729" t="s">
        <v>315</v>
      </c>
      <c r="D3729" t="s">
        <v>316</v>
      </c>
      <c r="E3729" t="s">
        <v>64</v>
      </c>
      <c r="F3729" t="s">
        <v>306</v>
      </c>
      <c r="G3729" t="s">
        <v>11</v>
      </c>
      <c r="H3729">
        <v>4215.0</v>
      </c>
      <c r="I3729" t="s">
        <v>31</v>
      </c>
      <c r="J3729" t="s">
        <v>61</v>
      </c>
      <c r="K3729" t="s">
        <v>43</v>
      </c>
      <c r="L3729" t="s">
        <v>44</v>
      </c>
      <c r="M3729">
        <v>1094.07</v>
      </c>
    </row>
    <row r="3730">
      <c r="A3730" s="2">
        <v>45915</v>
      </c>
      <c r="B3730">
        <v>2026.0</v>
      </c>
      <c r="C3730" t="s">
        <v>321</v>
      </c>
      <c r="D3730" t="s">
        <v>319</v>
      </c>
      <c r="E3730" t="s">
        <v>103</v>
      </c>
      <c r="F3730" t="s">
        <v>307</v>
      </c>
      <c r="G3730" t="s">
        <v>12</v>
      </c>
      <c r="H3730">
        <v>6021.0</v>
      </c>
      <c r="I3730" t="s">
        <v>31</v>
      </c>
      <c r="J3730" t="s">
        <v>102</v>
      </c>
      <c r="K3730" t="s">
        <v>57</v>
      </c>
      <c r="L3730" t="s">
        <v>58</v>
      </c>
      <c r="M3730">
        <v>1095.78</v>
      </c>
    </row>
    <row r="3731">
      <c r="A3731" s="2">
        <v>45497</v>
      </c>
      <c r="B3731">
        <v>2025.0</v>
      </c>
      <c r="C3731" t="s">
        <v>315</v>
      </c>
      <c r="D3731" t="s">
        <v>316</v>
      </c>
      <c r="E3731" t="s">
        <v>87</v>
      </c>
      <c r="F3731" t="s">
        <v>305</v>
      </c>
      <c r="G3731" t="s">
        <v>10</v>
      </c>
      <c r="H3731">
        <v>3148.0</v>
      </c>
      <c r="I3731" t="s">
        <v>31</v>
      </c>
      <c r="J3731" t="s">
        <v>89</v>
      </c>
      <c r="K3731" t="s">
        <v>95</v>
      </c>
      <c r="L3731" t="s">
        <v>96</v>
      </c>
      <c r="M3731">
        <v>1096.19</v>
      </c>
    </row>
    <row r="3732">
      <c r="A3732" s="2">
        <v>45501</v>
      </c>
      <c r="B3732">
        <v>2025.0</v>
      </c>
      <c r="C3732" t="s">
        <v>315</v>
      </c>
      <c r="D3732" t="s">
        <v>316</v>
      </c>
      <c r="E3732" t="s">
        <v>139</v>
      </c>
      <c r="F3732" t="s">
        <v>305</v>
      </c>
      <c r="G3732" t="s">
        <v>10</v>
      </c>
      <c r="H3732">
        <v>3199.0</v>
      </c>
      <c r="I3732" t="s">
        <v>31</v>
      </c>
      <c r="J3732" t="s">
        <v>89</v>
      </c>
      <c r="K3732" t="s">
        <v>43</v>
      </c>
      <c r="L3732" t="s">
        <v>44</v>
      </c>
      <c r="M3732">
        <v>1099.27</v>
      </c>
    </row>
    <row r="3733">
      <c r="A3733" s="2">
        <v>45568</v>
      </c>
      <c r="B3733">
        <v>2025.0</v>
      </c>
      <c r="C3733" t="s">
        <v>315</v>
      </c>
      <c r="D3733" t="s">
        <v>316</v>
      </c>
      <c r="E3733" t="s">
        <v>40</v>
      </c>
      <c r="F3733" t="s">
        <v>308</v>
      </c>
      <c r="G3733" t="s">
        <v>13</v>
      </c>
      <c r="H3733">
        <v>5011.0</v>
      </c>
      <c r="I3733" t="s">
        <v>31</v>
      </c>
      <c r="J3733" t="s">
        <v>42</v>
      </c>
      <c r="K3733" t="s">
        <v>95</v>
      </c>
      <c r="L3733" t="s">
        <v>96</v>
      </c>
      <c r="M3733">
        <v>1100.4099999999999</v>
      </c>
    </row>
    <row r="3734">
      <c r="A3734" s="2">
        <v>45894</v>
      </c>
      <c r="B3734">
        <v>2026.0</v>
      </c>
      <c r="C3734" t="s">
        <v>321</v>
      </c>
      <c r="D3734" t="s">
        <v>316</v>
      </c>
      <c r="E3734" t="s">
        <v>191</v>
      </c>
      <c r="F3734" t="s">
        <v>305</v>
      </c>
      <c r="G3734" t="s">
        <v>10</v>
      </c>
      <c r="H3734">
        <v>3030.0</v>
      </c>
      <c r="I3734" t="s">
        <v>31</v>
      </c>
      <c r="J3734" t="s">
        <v>120</v>
      </c>
      <c r="K3734" t="s">
        <v>46</v>
      </c>
      <c r="L3734" t="s">
        <v>47</v>
      </c>
      <c r="M3734">
        <v>1101.09</v>
      </c>
    </row>
    <row r="3735">
      <c r="A3735" s="2">
        <v>45994</v>
      </c>
      <c r="B3735">
        <v>2026.0</v>
      </c>
      <c r="C3735" t="s">
        <v>321</v>
      </c>
      <c r="D3735" t="s">
        <v>316</v>
      </c>
      <c r="E3735" t="s">
        <v>236</v>
      </c>
      <c r="F3735" t="s">
        <v>307</v>
      </c>
      <c r="G3735" t="s">
        <v>12</v>
      </c>
      <c r="H3735">
        <v>6052.0</v>
      </c>
      <c r="I3735" t="s">
        <v>31</v>
      </c>
      <c r="J3735" t="s">
        <v>102</v>
      </c>
      <c r="K3735" t="s">
        <v>57</v>
      </c>
      <c r="L3735" t="s">
        <v>58</v>
      </c>
      <c r="M3735">
        <v>1105.31</v>
      </c>
    </row>
    <row r="3736">
      <c r="A3736" s="2">
        <v>45403</v>
      </c>
      <c r="B3736">
        <v>2024.0</v>
      </c>
      <c r="C3736" t="s">
        <v>318</v>
      </c>
      <c r="D3736" t="s">
        <v>316</v>
      </c>
      <c r="E3736" t="s">
        <v>97</v>
      </c>
      <c r="F3736" t="s">
        <v>304</v>
      </c>
      <c r="G3736" t="s">
        <v>9</v>
      </c>
      <c r="H3736">
        <v>2067.0</v>
      </c>
      <c r="I3736" t="s">
        <v>31</v>
      </c>
      <c r="J3736" t="s">
        <v>99</v>
      </c>
      <c r="K3736" t="s">
        <v>43</v>
      </c>
      <c r="L3736" t="s">
        <v>44</v>
      </c>
      <c r="M3736">
        <v>1105.97</v>
      </c>
    </row>
    <row r="3737">
      <c r="A3737" s="2">
        <v>45806</v>
      </c>
      <c r="B3737">
        <v>2025.0</v>
      </c>
      <c r="C3737" t="s">
        <v>315</v>
      </c>
      <c r="D3737" t="s">
        <v>316</v>
      </c>
      <c r="E3737" t="s">
        <v>64</v>
      </c>
      <c r="F3737" t="s">
        <v>306</v>
      </c>
      <c r="G3737" t="s">
        <v>11</v>
      </c>
      <c r="H3737">
        <v>4215.0</v>
      </c>
      <c r="I3737" t="s">
        <v>31</v>
      </c>
      <c r="J3737" t="s">
        <v>61</v>
      </c>
      <c r="K3737" t="s">
        <v>71</v>
      </c>
      <c r="L3737" t="s">
        <v>72</v>
      </c>
      <c r="M3737">
        <v>1106.07</v>
      </c>
    </row>
    <row r="3738">
      <c r="A3738" s="2">
        <v>45322</v>
      </c>
      <c r="B3738">
        <v>2024.0</v>
      </c>
      <c r="C3738" t="s">
        <v>318</v>
      </c>
      <c r="D3738" t="s">
        <v>316</v>
      </c>
      <c r="E3738" t="s">
        <v>201</v>
      </c>
      <c r="F3738" t="s">
        <v>305</v>
      </c>
      <c r="G3738" t="s">
        <v>10</v>
      </c>
      <c r="H3738">
        <v>3131.0</v>
      </c>
      <c r="I3738" t="s">
        <v>31</v>
      </c>
      <c r="J3738" t="s">
        <v>89</v>
      </c>
      <c r="K3738" t="s">
        <v>95</v>
      </c>
      <c r="L3738" t="s">
        <v>96</v>
      </c>
      <c r="M3738">
        <v>1107.77</v>
      </c>
    </row>
    <row r="3739">
      <c r="A3739" s="2">
        <v>45305</v>
      </c>
      <c r="B3739">
        <v>2024.0</v>
      </c>
      <c r="C3739" t="s">
        <v>318</v>
      </c>
      <c r="D3739" t="s">
        <v>319</v>
      </c>
      <c r="E3739" t="s">
        <v>177</v>
      </c>
      <c r="F3739" t="s">
        <v>307</v>
      </c>
      <c r="G3739" t="s">
        <v>12</v>
      </c>
      <c r="H3739">
        <v>6330.0</v>
      </c>
      <c r="I3739" t="s">
        <v>31</v>
      </c>
      <c r="J3739" t="s">
        <v>162</v>
      </c>
      <c r="K3739" t="s">
        <v>43</v>
      </c>
      <c r="L3739" t="s">
        <v>44</v>
      </c>
      <c r="M3739">
        <v>1111.06</v>
      </c>
    </row>
    <row r="3740">
      <c r="A3740" s="2">
        <v>45545</v>
      </c>
      <c r="B3740">
        <v>2025.0</v>
      </c>
      <c r="C3740" t="s">
        <v>315</v>
      </c>
      <c r="D3740" t="s">
        <v>316</v>
      </c>
      <c r="E3740" t="s">
        <v>48</v>
      </c>
      <c r="F3740" t="s">
        <v>307</v>
      </c>
      <c r="G3740" t="s">
        <v>12</v>
      </c>
      <c r="H3740">
        <v>6725.0</v>
      </c>
      <c r="I3740" t="s">
        <v>31</v>
      </c>
      <c r="J3740" t="s">
        <v>50</v>
      </c>
      <c r="K3740" t="s">
        <v>57</v>
      </c>
      <c r="L3740" t="s">
        <v>58</v>
      </c>
      <c r="M3740">
        <v>1115.38</v>
      </c>
    </row>
    <row r="3741">
      <c r="A3741" s="2">
        <v>45715</v>
      </c>
      <c r="B3741">
        <v>2025.0</v>
      </c>
      <c r="C3741" t="s">
        <v>315</v>
      </c>
      <c r="D3741" t="s">
        <v>316</v>
      </c>
      <c r="E3741" t="s">
        <v>156</v>
      </c>
      <c r="F3741" t="s">
        <v>304</v>
      </c>
      <c r="G3741" t="s">
        <v>9</v>
      </c>
      <c r="H3741">
        <v>2830.0</v>
      </c>
      <c r="I3741" t="s">
        <v>31</v>
      </c>
      <c r="J3741" t="s">
        <v>75</v>
      </c>
      <c r="K3741" t="s">
        <v>66</v>
      </c>
      <c r="L3741" t="s">
        <v>67</v>
      </c>
      <c r="M3741">
        <v>1115.45</v>
      </c>
    </row>
    <row r="3742">
      <c r="A3742" s="2">
        <v>45428</v>
      </c>
      <c r="B3742">
        <v>2024.0</v>
      </c>
      <c r="C3742" t="s">
        <v>318</v>
      </c>
      <c r="D3742" t="s">
        <v>316</v>
      </c>
      <c r="E3742" t="s">
        <v>173</v>
      </c>
      <c r="F3742" t="s">
        <v>306</v>
      </c>
      <c r="G3742" t="s">
        <v>11</v>
      </c>
      <c r="H3742">
        <v>4220.0</v>
      </c>
      <c r="I3742" t="s">
        <v>31</v>
      </c>
      <c r="J3742" t="s">
        <v>61</v>
      </c>
      <c r="K3742" t="s">
        <v>33</v>
      </c>
      <c r="L3742" t="s">
        <v>34</v>
      </c>
      <c r="M3742">
        <v>1115.72</v>
      </c>
    </row>
    <row r="3743">
      <c r="A3743" s="2">
        <v>45419</v>
      </c>
      <c r="B3743">
        <v>2024.0</v>
      </c>
      <c r="C3743" t="s">
        <v>318</v>
      </c>
      <c r="D3743" t="s">
        <v>316</v>
      </c>
      <c r="E3743" t="s">
        <v>179</v>
      </c>
      <c r="F3743" t="s">
        <v>304</v>
      </c>
      <c r="G3743" t="s">
        <v>9</v>
      </c>
      <c r="H3743">
        <v>2015.0</v>
      </c>
      <c r="I3743" t="s">
        <v>31</v>
      </c>
      <c r="J3743" t="s">
        <v>99</v>
      </c>
      <c r="K3743" t="s">
        <v>38</v>
      </c>
      <c r="L3743" t="s">
        <v>39</v>
      </c>
      <c r="M3743">
        <v>1115.99</v>
      </c>
    </row>
    <row r="3744">
      <c r="A3744" s="2">
        <v>45906</v>
      </c>
      <c r="B3744">
        <v>2026.0</v>
      </c>
      <c r="C3744" t="s">
        <v>321</v>
      </c>
      <c r="D3744" t="s">
        <v>316</v>
      </c>
      <c r="E3744" t="s">
        <v>207</v>
      </c>
      <c r="F3744" t="s">
        <v>306</v>
      </c>
      <c r="G3744" t="s">
        <v>11</v>
      </c>
      <c r="H3744">
        <v>4825.0</v>
      </c>
      <c r="I3744" t="s">
        <v>31</v>
      </c>
      <c r="J3744" t="s">
        <v>78</v>
      </c>
      <c r="K3744" t="s">
        <v>46</v>
      </c>
      <c r="L3744" t="s">
        <v>47</v>
      </c>
      <c r="M3744">
        <v>1119.66</v>
      </c>
    </row>
    <row r="3745">
      <c r="A3745" s="2">
        <v>45785</v>
      </c>
      <c r="B3745">
        <v>2025.0</v>
      </c>
      <c r="C3745" t="s">
        <v>315</v>
      </c>
      <c r="D3745" t="s">
        <v>319</v>
      </c>
      <c r="E3745" t="s">
        <v>148</v>
      </c>
      <c r="F3745" t="s">
        <v>307</v>
      </c>
      <c r="G3745" t="s">
        <v>12</v>
      </c>
      <c r="H3745">
        <v>6450.0</v>
      </c>
      <c r="I3745" t="s">
        <v>31</v>
      </c>
      <c r="J3745" t="s">
        <v>50</v>
      </c>
      <c r="K3745" t="s">
        <v>71</v>
      </c>
      <c r="L3745" t="s">
        <v>72</v>
      </c>
      <c r="M3745">
        <v>1120.5</v>
      </c>
    </row>
    <row r="3746">
      <c r="A3746" s="2">
        <v>45830</v>
      </c>
      <c r="B3746">
        <v>2025.0</v>
      </c>
      <c r="C3746" t="s">
        <v>315</v>
      </c>
      <c r="D3746" t="s">
        <v>316</v>
      </c>
      <c r="E3746" t="s">
        <v>225</v>
      </c>
      <c r="F3746" t="s">
        <v>308</v>
      </c>
      <c r="G3746" t="s">
        <v>13</v>
      </c>
      <c r="H3746">
        <v>5607.0</v>
      </c>
      <c r="I3746" t="s">
        <v>31</v>
      </c>
      <c r="J3746" t="s">
        <v>227</v>
      </c>
      <c r="K3746" t="s">
        <v>71</v>
      </c>
      <c r="L3746" t="s">
        <v>72</v>
      </c>
      <c r="M3746">
        <v>1120.91</v>
      </c>
    </row>
    <row r="3747">
      <c r="A3747" s="2">
        <v>45538</v>
      </c>
      <c r="B3747">
        <v>2025.0</v>
      </c>
      <c r="C3747" t="s">
        <v>315</v>
      </c>
      <c r="D3747" t="s">
        <v>316</v>
      </c>
      <c r="E3747" t="s">
        <v>68</v>
      </c>
      <c r="F3747" t="s">
        <v>304</v>
      </c>
      <c r="G3747" t="s">
        <v>9</v>
      </c>
      <c r="H3747">
        <v>2478.0</v>
      </c>
      <c r="I3747" t="s">
        <v>31</v>
      </c>
      <c r="J3747" t="s">
        <v>70</v>
      </c>
      <c r="K3747" t="s">
        <v>71</v>
      </c>
      <c r="L3747" t="s">
        <v>72</v>
      </c>
      <c r="M3747">
        <v>1123.33</v>
      </c>
    </row>
    <row r="3748">
      <c r="A3748" s="2">
        <v>45613</v>
      </c>
      <c r="B3748">
        <v>2025.0</v>
      </c>
      <c r="C3748" t="s">
        <v>315</v>
      </c>
      <c r="D3748" t="s">
        <v>319</v>
      </c>
      <c r="E3748" t="s">
        <v>258</v>
      </c>
      <c r="F3748" t="s">
        <v>309</v>
      </c>
      <c r="G3748" t="s">
        <v>14</v>
      </c>
      <c r="H3748">
        <v>870.0</v>
      </c>
      <c r="I3748" t="s">
        <v>31</v>
      </c>
      <c r="J3748" t="s">
        <v>145</v>
      </c>
      <c r="K3748" t="s">
        <v>71</v>
      </c>
      <c r="L3748" t="s">
        <v>72</v>
      </c>
      <c r="M3748">
        <v>1124.42</v>
      </c>
    </row>
    <row r="3749">
      <c r="A3749" s="2">
        <v>45794</v>
      </c>
      <c r="B3749">
        <v>2025.0</v>
      </c>
      <c r="C3749" t="s">
        <v>315</v>
      </c>
      <c r="D3749" t="s">
        <v>319</v>
      </c>
      <c r="E3749" t="s">
        <v>189</v>
      </c>
      <c r="F3749" t="s">
        <v>304</v>
      </c>
      <c r="G3749" t="s">
        <v>9</v>
      </c>
      <c r="H3749">
        <v>2131.0</v>
      </c>
      <c r="I3749" t="s">
        <v>31</v>
      </c>
      <c r="J3749" t="s">
        <v>81</v>
      </c>
      <c r="K3749" t="s">
        <v>46</v>
      </c>
      <c r="L3749" t="s">
        <v>47</v>
      </c>
      <c r="M3749">
        <v>1126.35</v>
      </c>
    </row>
    <row r="3750">
      <c r="A3750" s="2">
        <v>45608</v>
      </c>
      <c r="B3750">
        <v>2025.0</v>
      </c>
      <c r="C3750" t="s">
        <v>315</v>
      </c>
      <c r="D3750" t="s">
        <v>316</v>
      </c>
      <c r="E3750" t="s">
        <v>131</v>
      </c>
      <c r="F3750" t="s">
        <v>306</v>
      </c>
      <c r="G3750" t="s">
        <v>11</v>
      </c>
      <c r="H3750">
        <v>4655.0</v>
      </c>
      <c r="I3750" t="s">
        <v>31</v>
      </c>
      <c r="J3750" t="s">
        <v>32</v>
      </c>
      <c r="K3750" t="s">
        <v>57</v>
      </c>
      <c r="L3750" t="s">
        <v>58</v>
      </c>
      <c r="M3750">
        <v>1127.54</v>
      </c>
    </row>
    <row r="3751">
      <c r="A3751" s="2">
        <v>45943</v>
      </c>
      <c r="B3751">
        <v>2026.0</v>
      </c>
      <c r="C3751" t="s">
        <v>321</v>
      </c>
      <c r="D3751" t="s">
        <v>316</v>
      </c>
      <c r="E3751" t="s">
        <v>199</v>
      </c>
      <c r="F3751" t="s">
        <v>308</v>
      </c>
      <c r="G3751" t="s">
        <v>13</v>
      </c>
      <c r="H3751">
        <v>5169.0</v>
      </c>
      <c r="I3751" t="s">
        <v>31</v>
      </c>
      <c r="J3751" t="s">
        <v>42</v>
      </c>
      <c r="K3751" t="s">
        <v>46</v>
      </c>
      <c r="L3751" t="s">
        <v>47</v>
      </c>
      <c r="M3751">
        <v>1130.88</v>
      </c>
    </row>
    <row r="3752">
      <c r="A3752" s="2">
        <v>45409</v>
      </c>
      <c r="B3752">
        <v>2024.0</v>
      </c>
      <c r="C3752" t="s">
        <v>318</v>
      </c>
      <c r="D3752" t="s">
        <v>316</v>
      </c>
      <c r="E3752" t="s">
        <v>230</v>
      </c>
      <c r="F3752" t="s">
        <v>308</v>
      </c>
      <c r="G3752" t="s">
        <v>13</v>
      </c>
      <c r="H3752">
        <v>5290.0</v>
      </c>
      <c r="I3752" t="s">
        <v>31</v>
      </c>
      <c r="J3752" t="s">
        <v>227</v>
      </c>
      <c r="K3752" t="s">
        <v>71</v>
      </c>
      <c r="L3752" t="s">
        <v>72</v>
      </c>
      <c r="M3752">
        <v>1131.2800000000002</v>
      </c>
    </row>
    <row r="3753">
      <c r="A3753" s="2">
        <v>45309</v>
      </c>
      <c r="B3753">
        <v>2024.0</v>
      </c>
      <c r="C3753" t="s">
        <v>318</v>
      </c>
      <c r="D3753" t="s">
        <v>316</v>
      </c>
      <c r="E3753" t="s">
        <v>139</v>
      </c>
      <c r="F3753" t="s">
        <v>305</v>
      </c>
      <c r="G3753" t="s">
        <v>10</v>
      </c>
      <c r="H3753">
        <v>3199.0</v>
      </c>
      <c r="I3753" t="s">
        <v>31</v>
      </c>
      <c r="J3753" t="s">
        <v>89</v>
      </c>
      <c r="K3753" t="s">
        <v>123</v>
      </c>
      <c r="L3753" t="s">
        <v>124</v>
      </c>
      <c r="M3753">
        <v>1131.7300000000002</v>
      </c>
    </row>
    <row r="3754">
      <c r="A3754" s="2">
        <v>45465</v>
      </c>
      <c r="B3754">
        <v>2024.0</v>
      </c>
      <c r="C3754" t="s">
        <v>318</v>
      </c>
      <c r="D3754" t="s">
        <v>316</v>
      </c>
      <c r="E3754" t="s">
        <v>193</v>
      </c>
      <c r="F3754" t="s">
        <v>304</v>
      </c>
      <c r="G3754" t="s">
        <v>9</v>
      </c>
      <c r="H3754">
        <v>2020.0</v>
      </c>
      <c r="I3754" t="s">
        <v>31</v>
      </c>
      <c r="J3754" t="s">
        <v>99</v>
      </c>
      <c r="K3754" t="s">
        <v>112</v>
      </c>
      <c r="L3754" t="s">
        <v>113</v>
      </c>
      <c r="M3754">
        <v>1133.63</v>
      </c>
    </row>
    <row r="3755">
      <c r="A3755" s="2">
        <v>45625</v>
      </c>
      <c r="B3755">
        <v>2025.0</v>
      </c>
      <c r="C3755" t="s">
        <v>315</v>
      </c>
      <c r="D3755" t="s">
        <v>316</v>
      </c>
      <c r="E3755" t="s">
        <v>73</v>
      </c>
      <c r="F3755" t="s">
        <v>304</v>
      </c>
      <c r="G3755" t="s">
        <v>9</v>
      </c>
      <c r="H3755">
        <v>2750.0</v>
      </c>
      <c r="I3755" t="s">
        <v>31</v>
      </c>
      <c r="J3755" t="s">
        <v>75</v>
      </c>
      <c r="K3755" t="s">
        <v>33</v>
      </c>
      <c r="L3755" t="s">
        <v>34</v>
      </c>
      <c r="M3755">
        <v>1135.11</v>
      </c>
    </row>
    <row r="3756">
      <c r="A3756" s="2">
        <v>45461</v>
      </c>
      <c r="B3756">
        <v>2024.0</v>
      </c>
      <c r="C3756" t="s">
        <v>318</v>
      </c>
      <c r="D3756" t="s">
        <v>319</v>
      </c>
      <c r="E3756" t="s">
        <v>141</v>
      </c>
      <c r="F3756" t="s">
        <v>304</v>
      </c>
      <c r="G3756" t="s">
        <v>9</v>
      </c>
      <c r="H3756">
        <v>2539.0</v>
      </c>
      <c r="I3756" t="s">
        <v>31</v>
      </c>
      <c r="J3756" t="s">
        <v>107</v>
      </c>
      <c r="K3756" t="s">
        <v>33</v>
      </c>
      <c r="L3756" t="s">
        <v>34</v>
      </c>
      <c r="M3756">
        <v>1135.7600000000002</v>
      </c>
    </row>
    <row r="3757">
      <c r="A3757" s="2">
        <v>45420</v>
      </c>
      <c r="B3757">
        <v>2024.0</v>
      </c>
      <c r="C3757" t="s">
        <v>318</v>
      </c>
      <c r="D3757" t="s">
        <v>316</v>
      </c>
      <c r="E3757" t="s">
        <v>215</v>
      </c>
      <c r="F3757" t="s">
        <v>310</v>
      </c>
      <c r="G3757" t="s">
        <v>15</v>
      </c>
      <c r="H3757">
        <v>7320.0</v>
      </c>
      <c r="I3757" t="s">
        <v>31</v>
      </c>
      <c r="J3757" t="s">
        <v>53</v>
      </c>
      <c r="K3757" t="s">
        <v>95</v>
      </c>
      <c r="L3757" t="s">
        <v>96</v>
      </c>
      <c r="M3757">
        <v>1136.53</v>
      </c>
    </row>
    <row r="3758">
      <c r="A3758" s="2">
        <v>45401</v>
      </c>
      <c r="B3758">
        <v>2024.0</v>
      </c>
      <c r="C3758" t="s">
        <v>318</v>
      </c>
      <c r="D3758" t="s">
        <v>316</v>
      </c>
      <c r="E3758" t="s">
        <v>110</v>
      </c>
      <c r="F3758" t="s">
        <v>304</v>
      </c>
      <c r="G3758" t="s">
        <v>9</v>
      </c>
      <c r="H3758">
        <v>2101.0</v>
      </c>
      <c r="I3758" t="s">
        <v>31</v>
      </c>
      <c r="J3758" t="s">
        <v>81</v>
      </c>
      <c r="K3758" t="s">
        <v>43</v>
      </c>
      <c r="L3758" t="s">
        <v>44</v>
      </c>
      <c r="M3758">
        <v>1137.77</v>
      </c>
    </row>
    <row r="3759">
      <c r="A3759" s="2">
        <v>45991</v>
      </c>
      <c r="B3759">
        <v>2026.0</v>
      </c>
      <c r="C3759" t="s">
        <v>321</v>
      </c>
      <c r="D3759" t="s">
        <v>316</v>
      </c>
      <c r="E3759" t="s">
        <v>87</v>
      </c>
      <c r="F3759" t="s">
        <v>305</v>
      </c>
      <c r="G3759" t="s">
        <v>10</v>
      </c>
      <c r="H3759">
        <v>3148.0</v>
      </c>
      <c r="I3759" t="s">
        <v>31</v>
      </c>
      <c r="J3759" t="s">
        <v>89</v>
      </c>
      <c r="K3759" t="s">
        <v>95</v>
      </c>
      <c r="L3759" t="s">
        <v>96</v>
      </c>
      <c r="M3759">
        <v>1138.04</v>
      </c>
    </row>
    <row r="3760">
      <c r="A3760" s="2">
        <v>45872</v>
      </c>
      <c r="B3760">
        <v>2026.0</v>
      </c>
      <c r="C3760" t="s">
        <v>321</v>
      </c>
      <c r="D3760" t="s">
        <v>319</v>
      </c>
      <c r="E3760" t="s">
        <v>146</v>
      </c>
      <c r="F3760" t="s">
        <v>304</v>
      </c>
      <c r="G3760" t="s">
        <v>9</v>
      </c>
      <c r="H3760">
        <v>2790.0</v>
      </c>
      <c r="I3760" t="s">
        <v>31</v>
      </c>
      <c r="J3760" t="s">
        <v>75</v>
      </c>
      <c r="K3760" t="s">
        <v>46</v>
      </c>
      <c r="L3760" t="s">
        <v>47</v>
      </c>
      <c r="M3760">
        <v>1138.8799999999999</v>
      </c>
    </row>
    <row r="3761">
      <c r="A3761" s="2">
        <v>45727</v>
      </c>
      <c r="B3761">
        <v>2025.0</v>
      </c>
      <c r="C3761" t="s">
        <v>315</v>
      </c>
      <c r="D3761" t="s">
        <v>316</v>
      </c>
      <c r="E3761" t="s">
        <v>260</v>
      </c>
      <c r="F3761" t="s">
        <v>305</v>
      </c>
      <c r="G3761" t="s">
        <v>10</v>
      </c>
      <c r="H3761">
        <v>3179.0</v>
      </c>
      <c r="I3761" t="s">
        <v>31</v>
      </c>
      <c r="J3761" t="s">
        <v>89</v>
      </c>
      <c r="K3761" t="s">
        <v>57</v>
      </c>
      <c r="L3761" t="s">
        <v>58</v>
      </c>
      <c r="M3761">
        <v>1139.74</v>
      </c>
    </row>
    <row r="3762">
      <c r="A3762" s="2">
        <v>45716</v>
      </c>
      <c r="B3762">
        <v>2025.0</v>
      </c>
      <c r="C3762" t="s">
        <v>315</v>
      </c>
      <c r="D3762" t="s">
        <v>316</v>
      </c>
      <c r="E3762" t="s">
        <v>51</v>
      </c>
      <c r="F3762" t="s">
        <v>310</v>
      </c>
      <c r="G3762" t="s">
        <v>15</v>
      </c>
      <c r="H3762">
        <v>7018.0</v>
      </c>
      <c r="I3762" t="s">
        <v>31</v>
      </c>
      <c r="J3762" t="s">
        <v>53</v>
      </c>
      <c r="K3762" t="s">
        <v>71</v>
      </c>
      <c r="L3762" t="s">
        <v>72</v>
      </c>
      <c r="M3762">
        <v>1140.44</v>
      </c>
    </row>
    <row r="3763">
      <c r="A3763" s="2">
        <v>45406</v>
      </c>
      <c r="B3763">
        <v>2024.0</v>
      </c>
      <c r="C3763" t="s">
        <v>318</v>
      </c>
      <c r="D3763" t="s">
        <v>316</v>
      </c>
      <c r="E3763" t="s">
        <v>79</v>
      </c>
      <c r="F3763" t="s">
        <v>304</v>
      </c>
      <c r="G3763" t="s">
        <v>9</v>
      </c>
      <c r="H3763">
        <v>2141.0</v>
      </c>
      <c r="I3763" t="s">
        <v>31</v>
      </c>
      <c r="J3763" t="s">
        <v>81</v>
      </c>
      <c r="K3763" t="s">
        <v>71</v>
      </c>
      <c r="L3763" t="s">
        <v>72</v>
      </c>
      <c r="M3763">
        <v>1141.2800000000002</v>
      </c>
    </row>
    <row r="3764">
      <c r="A3764" s="2">
        <v>45652</v>
      </c>
      <c r="B3764">
        <v>2025.0</v>
      </c>
      <c r="C3764" t="s">
        <v>315</v>
      </c>
      <c r="D3764" t="s">
        <v>316</v>
      </c>
      <c r="E3764" t="s">
        <v>105</v>
      </c>
      <c r="F3764" t="s">
        <v>304</v>
      </c>
      <c r="G3764" t="s">
        <v>9</v>
      </c>
      <c r="H3764">
        <v>2541.0</v>
      </c>
      <c r="I3764" t="s">
        <v>31</v>
      </c>
      <c r="J3764" t="s">
        <v>107</v>
      </c>
      <c r="K3764" t="s">
        <v>38</v>
      </c>
      <c r="L3764" t="s">
        <v>39</v>
      </c>
      <c r="M3764">
        <v>1141.61</v>
      </c>
    </row>
    <row r="3765">
      <c r="A3765" s="2">
        <v>45828</v>
      </c>
      <c r="B3765">
        <v>2025.0</v>
      </c>
      <c r="C3765" t="s">
        <v>315</v>
      </c>
      <c r="D3765" t="s">
        <v>316</v>
      </c>
      <c r="E3765" t="s">
        <v>254</v>
      </c>
      <c r="F3765" t="s">
        <v>308</v>
      </c>
      <c r="G3765" t="s">
        <v>13</v>
      </c>
      <c r="H3765">
        <v>5343.0</v>
      </c>
      <c r="I3765" t="s">
        <v>31</v>
      </c>
      <c r="J3765" t="s">
        <v>227</v>
      </c>
      <c r="K3765" t="s">
        <v>46</v>
      </c>
      <c r="L3765" t="s">
        <v>47</v>
      </c>
      <c r="M3765">
        <v>1150.03</v>
      </c>
    </row>
    <row r="3766">
      <c r="A3766" s="2">
        <v>45469</v>
      </c>
      <c r="B3766">
        <v>2024.0</v>
      </c>
      <c r="C3766" t="s">
        <v>318</v>
      </c>
      <c r="D3766" t="s">
        <v>316</v>
      </c>
      <c r="E3766" t="s">
        <v>135</v>
      </c>
      <c r="F3766" t="s">
        <v>311</v>
      </c>
      <c r="G3766" t="s">
        <v>16</v>
      </c>
      <c r="H3766">
        <v>2609.0</v>
      </c>
      <c r="I3766" t="s">
        <v>31</v>
      </c>
      <c r="J3766" t="s">
        <v>107</v>
      </c>
      <c r="K3766" t="s">
        <v>46</v>
      </c>
      <c r="L3766" t="s">
        <v>47</v>
      </c>
      <c r="M3766">
        <v>1150.03</v>
      </c>
    </row>
    <row r="3767">
      <c r="A3767" s="2">
        <v>45453</v>
      </c>
      <c r="B3767">
        <v>2024.0</v>
      </c>
      <c r="C3767" t="s">
        <v>318</v>
      </c>
      <c r="D3767" t="s">
        <v>316</v>
      </c>
      <c r="E3767" t="s">
        <v>79</v>
      </c>
      <c r="F3767" t="s">
        <v>304</v>
      </c>
      <c r="G3767" t="s">
        <v>9</v>
      </c>
      <c r="H3767">
        <v>2141.0</v>
      </c>
      <c r="I3767" t="s">
        <v>31</v>
      </c>
      <c r="J3767" t="s">
        <v>81</v>
      </c>
      <c r="K3767" t="s">
        <v>33</v>
      </c>
      <c r="L3767" t="s">
        <v>34</v>
      </c>
      <c r="M3767">
        <v>1151.59</v>
      </c>
    </row>
    <row r="3768">
      <c r="A3768" s="2">
        <v>45520</v>
      </c>
      <c r="B3768">
        <v>2025.0</v>
      </c>
      <c r="C3768" t="s">
        <v>315</v>
      </c>
      <c r="D3768" t="s">
        <v>319</v>
      </c>
      <c r="E3768" t="s">
        <v>262</v>
      </c>
      <c r="F3768" t="s">
        <v>305</v>
      </c>
      <c r="G3768" t="s">
        <v>10</v>
      </c>
      <c r="H3768">
        <v>3018.0</v>
      </c>
      <c r="I3768" t="s">
        <v>31</v>
      </c>
      <c r="J3768" t="s">
        <v>120</v>
      </c>
      <c r="K3768" t="s">
        <v>95</v>
      </c>
      <c r="L3768" t="s">
        <v>96</v>
      </c>
      <c r="M3768">
        <v>1152.65</v>
      </c>
    </row>
    <row r="3769">
      <c r="A3769" s="2">
        <v>45884</v>
      </c>
      <c r="B3769">
        <v>2026.0</v>
      </c>
      <c r="C3769" t="s">
        <v>321</v>
      </c>
      <c r="D3769" t="s">
        <v>316</v>
      </c>
      <c r="E3769" t="s">
        <v>64</v>
      </c>
      <c r="F3769" t="s">
        <v>306</v>
      </c>
      <c r="G3769" t="s">
        <v>11</v>
      </c>
      <c r="H3769">
        <v>4215.0</v>
      </c>
      <c r="I3769" t="s">
        <v>31</v>
      </c>
      <c r="J3769" t="s">
        <v>61</v>
      </c>
      <c r="K3769" t="s">
        <v>71</v>
      </c>
      <c r="L3769" t="s">
        <v>72</v>
      </c>
      <c r="M3769">
        <v>1158.8400000000001</v>
      </c>
    </row>
    <row r="3770">
      <c r="A3770" s="2">
        <v>45341</v>
      </c>
      <c r="B3770">
        <v>2024.0</v>
      </c>
      <c r="C3770" t="s">
        <v>318</v>
      </c>
      <c r="D3770" t="s">
        <v>316</v>
      </c>
      <c r="E3770" t="s">
        <v>139</v>
      </c>
      <c r="F3770" t="s">
        <v>305</v>
      </c>
      <c r="G3770" t="s">
        <v>10</v>
      </c>
      <c r="H3770">
        <v>3199.0</v>
      </c>
      <c r="I3770" t="s">
        <v>31</v>
      </c>
      <c r="J3770" t="s">
        <v>89</v>
      </c>
      <c r="K3770" t="s">
        <v>112</v>
      </c>
      <c r="L3770" t="s">
        <v>113</v>
      </c>
      <c r="M3770">
        <v>1159.49</v>
      </c>
    </row>
    <row r="3771">
      <c r="A3771" s="2">
        <v>45543</v>
      </c>
      <c r="B3771">
        <v>2025.0</v>
      </c>
      <c r="C3771" t="s">
        <v>315</v>
      </c>
      <c r="D3771" t="s">
        <v>316</v>
      </c>
      <c r="E3771" t="s">
        <v>152</v>
      </c>
      <c r="F3771" t="s">
        <v>306</v>
      </c>
      <c r="G3771" t="s">
        <v>11</v>
      </c>
      <c r="H3771">
        <v>4305.0</v>
      </c>
      <c r="I3771" t="s">
        <v>31</v>
      </c>
      <c r="J3771" t="s">
        <v>61</v>
      </c>
      <c r="K3771" t="s">
        <v>46</v>
      </c>
      <c r="L3771" t="s">
        <v>47</v>
      </c>
      <c r="M3771">
        <v>1163.9799999999998</v>
      </c>
    </row>
    <row r="3772">
      <c r="A3772" s="2">
        <v>45702</v>
      </c>
      <c r="B3772">
        <v>2025.0</v>
      </c>
      <c r="C3772" t="s">
        <v>315</v>
      </c>
      <c r="D3772" t="s">
        <v>316</v>
      </c>
      <c r="E3772" t="s">
        <v>129</v>
      </c>
      <c r="F3772" t="s">
        <v>305</v>
      </c>
      <c r="G3772" t="s">
        <v>10</v>
      </c>
      <c r="H3772">
        <v>3066.0</v>
      </c>
      <c r="I3772" t="s">
        <v>31</v>
      </c>
      <c r="J3772" t="s">
        <v>120</v>
      </c>
      <c r="K3772" t="s">
        <v>71</v>
      </c>
      <c r="L3772" t="s">
        <v>72</v>
      </c>
      <c r="M3772">
        <v>1167.53</v>
      </c>
    </row>
    <row r="3773">
      <c r="A3773" s="2">
        <v>45896</v>
      </c>
      <c r="B3773">
        <v>2026.0</v>
      </c>
      <c r="C3773" t="s">
        <v>321</v>
      </c>
      <c r="D3773" t="s">
        <v>316</v>
      </c>
      <c r="E3773" t="s">
        <v>118</v>
      </c>
      <c r="F3773" t="s">
        <v>305</v>
      </c>
      <c r="G3773" t="s">
        <v>10</v>
      </c>
      <c r="H3773">
        <v>3076.0</v>
      </c>
      <c r="I3773" t="s">
        <v>31</v>
      </c>
      <c r="J3773" t="s">
        <v>120</v>
      </c>
      <c r="K3773" t="s">
        <v>112</v>
      </c>
      <c r="L3773" t="s">
        <v>113</v>
      </c>
      <c r="M3773">
        <v>1167.8700000000003</v>
      </c>
    </row>
    <row r="3774">
      <c r="A3774" s="2">
        <v>45828</v>
      </c>
      <c r="B3774">
        <v>2025.0</v>
      </c>
      <c r="C3774" t="s">
        <v>315</v>
      </c>
      <c r="D3774" t="s">
        <v>316</v>
      </c>
      <c r="E3774" t="s">
        <v>219</v>
      </c>
      <c r="F3774" t="s">
        <v>306</v>
      </c>
      <c r="G3774" t="s">
        <v>11</v>
      </c>
      <c r="H3774">
        <v>4068.0</v>
      </c>
      <c r="I3774" t="s">
        <v>31</v>
      </c>
      <c r="J3774" t="s">
        <v>56</v>
      </c>
      <c r="K3774" t="s">
        <v>43</v>
      </c>
      <c r="L3774" t="s">
        <v>44</v>
      </c>
      <c r="M3774">
        <v>1171.06</v>
      </c>
    </row>
    <row r="3775">
      <c r="A3775" s="2">
        <v>45925</v>
      </c>
      <c r="B3775">
        <v>2026.0</v>
      </c>
      <c r="C3775" t="s">
        <v>321</v>
      </c>
      <c r="D3775" t="s">
        <v>316</v>
      </c>
      <c r="E3775" t="s">
        <v>228</v>
      </c>
      <c r="F3775" t="s">
        <v>306</v>
      </c>
      <c r="G3775" t="s">
        <v>11</v>
      </c>
      <c r="H3775">
        <v>4680.0</v>
      </c>
      <c r="I3775" t="s">
        <v>31</v>
      </c>
      <c r="J3775" t="s">
        <v>32</v>
      </c>
      <c r="K3775" t="s">
        <v>57</v>
      </c>
      <c r="L3775" t="s">
        <v>58</v>
      </c>
      <c r="M3775">
        <v>1173.55</v>
      </c>
    </row>
    <row r="3776">
      <c r="A3776" s="2">
        <v>45481</v>
      </c>
      <c r="B3776">
        <v>2025.0</v>
      </c>
      <c r="C3776" t="s">
        <v>315</v>
      </c>
      <c r="D3776" t="s">
        <v>316</v>
      </c>
      <c r="E3776" t="s">
        <v>181</v>
      </c>
      <c r="F3776" t="s">
        <v>306</v>
      </c>
      <c r="G3776" t="s">
        <v>11</v>
      </c>
      <c r="H3776">
        <v>4119.0</v>
      </c>
      <c r="I3776" t="s">
        <v>31</v>
      </c>
      <c r="J3776" t="s">
        <v>56</v>
      </c>
      <c r="K3776" t="s">
        <v>71</v>
      </c>
      <c r="L3776" t="s">
        <v>72</v>
      </c>
      <c r="M3776">
        <v>1174.28</v>
      </c>
    </row>
    <row r="3777">
      <c r="A3777" s="2">
        <v>45754</v>
      </c>
      <c r="B3777">
        <v>2025.0</v>
      </c>
      <c r="C3777" t="s">
        <v>315</v>
      </c>
      <c r="D3777" t="s">
        <v>316</v>
      </c>
      <c r="E3777" t="s">
        <v>244</v>
      </c>
      <c r="F3777" t="s">
        <v>308</v>
      </c>
      <c r="G3777" t="s">
        <v>13</v>
      </c>
      <c r="H3777">
        <v>5168.0</v>
      </c>
      <c r="I3777" t="s">
        <v>31</v>
      </c>
      <c r="J3777" t="s">
        <v>42</v>
      </c>
      <c r="K3777" t="s">
        <v>57</v>
      </c>
      <c r="L3777" t="s">
        <v>58</v>
      </c>
      <c r="M3777">
        <v>1174.5700000000002</v>
      </c>
    </row>
    <row r="3778">
      <c r="A3778" s="2">
        <v>45339</v>
      </c>
      <c r="B3778">
        <v>2024.0</v>
      </c>
      <c r="C3778" t="s">
        <v>318</v>
      </c>
      <c r="D3778" t="s">
        <v>316</v>
      </c>
      <c r="E3778" t="s">
        <v>35</v>
      </c>
      <c r="F3778" t="s">
        <v>305</v>
      </c>
      <c r="G3778" t="s">
        <v>10</v>
      </c>
      <c r="H3778">
        <v>3280.0</v>
      </c>
      <c r="I3778" t="s">
        <v>31</v>
      </c>
      <c r="J3778" t="s">
        <v>37</v>
      </c>
      <c r="K3778" t="s">
        <v>33</v>
      </c>
      <c r="L3778" t="s">
        <v>34</v>
      </c>
      <c r="M3778">
        <v>1175.09</v>
      </c>
    </row>
    <row r="3779">
      <c r="A3779" s="2">
        <v>45817</v>
      </c>
      <c r="B3779">
        <v>2025.0</v>
      </c>
      <c r="C3779" t="s">
        <v>315</v>
      </c>
      <c r="D3779" t="s">
        <v>316</v>
      </c>
      <c r="E3779" t="s">
        <v>59</v>
      </c>
      <c r="F3779" t="s">
        <v>306</v>
      </c>
      <c r="G3779" t="s">
        <v>11</v>
      </c>
      <c r="H3779">
        <v>4509.0</v>
      </c>
      <c r="I3779" t="s">
        <v>31</v>
      </c>
      <c r="J3779" t="s">
        <v>61</v>
      </c>
      <c r="K3779" t="s">
        <v>71</v>
      </c>
      <c r="L3779" t="s">
        <v>72</v>
      </c>
      <c r="M3779">
        <v>1175.16</v>
      </c>
    </row>
    <row r="3780">
      <c r="A3780" s="2">
        <v>45891</v>
      </c>
      <c r="B3780">
        <v>2026.0</v>
      </c>
      <c r="C3780" t="s">
        <v>321</v>
      </c>
      <c r="D3780" t="s">
        <v>316</v>
      </c>
      <c r="E3780" t="s">
        <v>125</v>
      </c>
      <c r="F3780" t="s">
        <v>305</v>
      </c>
      <c r="G3780" t="s">
        <v>10</v>
      </c>
      <c r="H3780">
        <v>3931.0</v>
      </c>
      <c r="I3780" t="s">
        <v>31</v>
      </c>
      <c r="J3780" t="s">
        <v>94</v>
      </c>
      <c r="K3780" t="s">
        <v>57</v>
      </c>
      <c r="L3780" t="s">
        <v>58</v>
      </c>
      <c r="M3780">
        <v>1178.76</v>
      </c>
    </row>
    <row r="3781">
      <c r="A3781" s="2">
        <v>45723</v>
      </c>
      <c r="B3781">
        <v>2025.0</v>
      </c>
      <c r="C3781" t="s">
        <v>315</v>
      </c>
      <c r="D3781" t="s">
        <v>316</v>
      </c>
      <c r="E3781" t="s">
        <v>156</v>
      </c>
      <c r="F3781" t="s">
        <v>304</v>
      </c>
      <c r="G3781" t="s">
        <v>9</v>
      </c>
      <c r="H3781">
        <v>2830.0</v>
      </c>
      <c r="I3781" t="s">
        <v>31</v>
      </c>
      <c r="J3781" t="s">
        <v>75</v>
      </c>
      <c r="K3781" t="s">
        <v>46</v>
      </c>
      <c r="L3781" t="s">
        <v>47</v>
      </c>
      <c r="M3781">
        <v>1180.13</v>
      </c>
    </row>
    <row r="3782">
      <c r="A3782" s="2">
        <v>45292</v>
      </c>
      <c r="B3782">
        <v>2024.0</v>
      </c>
      <c r="C3782" t="s">
        <v>318</v>
      </c>
      <c r="D3782" t="s">
        <v>319</v>
      </c>
      <c r="E3782" t="s">
        <v>54</v>
      </c>
      <c r="F3782" t="s">
        <v>306</v>
      </c>
      <c r="G3782" t="s">
        <v>11</v>
      </c>
      <c r="H3782">
        <v>4012.0</v>
      </c>
      <c r="I3782" t="s">
        <v>31</v>
      </c>
      <c r="J3782" t="s">
        <v>56</v>
      </c>
      <c r="K3782" t="s">
        <v>57</v>
      </c>
      <c r="L3782" t="s">
        <v>58</v>
      </c>
      <c r="M3782">
        <v>1180.27</v>
      </c>
    </row>
    <row r="3783">
      <c r="A3783" s="2">
        <v>45492</v>
      </c>
      <c r="B3783">
        <v>2025.0</v>
      </c>
      <c r="C3783" t="s">
        <v>315</v>
      </c>
      <c r="D3783" t="s">
        <v>316</v>
      </c>
      <c r="E3783" t="s">
        <v>246</v>
      </c>
      <c r="F3783" t="s">
        <v>305</v>
      </c>
      <c r="G3783" t="s">
        <v>10</v>
      </c>
      <c r="H3783">
        <v>3551.0</v>
      </c>
      <c r="I3783" t="s">
        <v>31</v>
      </c>
      <c r="J3783" t="s">
        <v>37</v>
      </c>
      <c r="K3783" t="s">
        <v>66</v>
      </c>
      <c r="L3783" t="s">
        <v>67</v>
      </c>
      <c r="M3783">
        <v>1184.68</v>
      </c>
    </row>
    <row r="3784">
      <c r="A3784" s="2">
        <v>45305</v>
      </c>
      <c r="B3784">
        <v>2024.0</v>
      </c>
      <c r="C3784" t="s">
        <v>318</v>
      </c>
      <c r="D3784" t="s">
        <v>316</v>
      </c>
      <c r="E3784" t="s">
        <v>62</v>
      </c>
      <c r="F3784" t="s">
        <v>307</v>
      </c>
      <c r="G3784" t="s">
        <v>12</v>
      </c>
      <c r="H3784">
        <v>6530.0</v>
      </c>
      <c r="I3784" t="s">
        <v>31</v>
      </c>
      <c r="J3784" t="s">
        <v>50</v>
      </c>
      <c r="K3784" t="s">
        <v>71</v>
      </c>
      <c r="L3784" t="s">
        <v>72</v>
      </c>
      <c r="M3784">
        <v>1188.6799999999998</v>
      </c>
    </row>
    <row r="3785">
      <c r="A3785" s="2">
        <v>45891</v>
      </c>
      <c r="B3785">
        <v>2026.0</v>
      </c>
      <c r="C3785" t="s">
        <v>321</v>
      </c>
      <c r="D3785" t="s">
        <v>319</v>
      </c>
      <c r="E3785" t="s">
        <v>90</v>
      </c>
      <c r="F3785" t="s">
        <v>305</v>
      </c>
      <c r="G3785" t="s">
        <v>10</v>
      </c>
      <c r="H3785">
        <v>3353.0</v>
      </c>
      <c r="I3785" t="s">
        <v>31</v>
      </c>
      <c r="J3785" t="s">
        <v>37</v>
      </c>
      <c r="K3785" t="s">
        <v>43</v>
      </c>
      <c r="L3785" t="s">
        <v>44</v>
      </c>
      <c r="M3785">
        <v>1189.83</v>
      </c>
    </row>
    <row r="3786">
      <c r="A3786" s="2">
        <v>45793</v>
      </c>
      <c r="B3786">
        <v>2025.0</v>
      </c>
      <c r="C3786" t="s">
        <v>315</v>
      </c>
      <c r="D3786" t="s">
        <v>316</v>
      </c>
      <c r="E3786" t="s">
        <v>167</v>
      </c>
      <c r="F3786" t="s">
        <v>307</v>
      </c>
      <c r="G3786" t="s">
        <v>12</v>
      </c>
      <c r="H3786">
        <v>6030.0</v>
      </c>
      <c r="I3786" t="s">
        <v>31</v>
      </c>
      <c r="J3786" t="s">
        <v>102</v>
      </c>
      <c r="K3786" t="s">
        <v>71</v>
      </c>
      <c r="L3786" t="s">
        <v>72</v>
      </c>
      <c r="M3786">
        <v>1190.6799999999998</v>
      </c>
    </row>
    <row r="3787">
      <c r="A3787" s="2">
        <v>45354</v>
      </c>
      <c r="B3787">
        <v>2024.0</v>
      </c>
      <c r="C3787" t="s">
        <v>318</v>
      </c>
      <c r="D3787" t="s">
        <v>316</v>
      </c>
      <c r="E3787" t="s">
        <v>108</v>
      </c>
      <c r="F3787" t="s">
        <v>304</v>
      </c>
      <c r="G3787" t="s">
        <v>9</v>
      </c>
      <c r="H3787">
        <v>2795.0</v>
      </c>
      <c r="I3787" t="s">
        <v>31</v>
      </c>
      <c r="J3787" t="s">
        <v>75</v>
      </c>
      <c r="K3787" t="s">
        <v>43</v>
      </c>
      <c r="L3787" t="s">
        <v>44</v>
      </c>
      <c r="M3787">
        <v>1191.03</v>
      </c>
    </row>
    <row r="3788">
      <c r="A3788" s="2">
        <v>45341</v>
      </c>
      <c r="B3788">
        <v>2024.0</v>
      </c>
      <c r="C3788" t="s">
        <v>318</v>
      </c>
      <c r="D3788" t="s">
        <v>319</v>
      </c>
      <c r="E3788" t="s">
        <v>127</v>
      </c>
      <c r="F3788" t="s">
        <v>306</v>
      </c>
      <c r="G3788" t="s">
        <v>11</v>
      </c>
      <c r="H3788">
        <v>4802.0</v>
      </c>
      <c r="I3788" t="s">
        <v>31</v>
      </c>
      <c r="J3788" t="s">
        <v>78</v>
      </c>
      <c r="K3788" t="s">
        <v>95</v>
      </c>
      <c r="L3788" t="s">
        <v>96</v>
      </c>
      <c r="M3788">
        <v>1191.32</v>
      </c>
    </row>
    <row r="3789">
      <c r="A3789" s="2">
        <v>45844</v>
      </c>
      <c r="B3789">
        <v>2026.0</v>
      </c>
      <c r="C3789" t="s">
        <v>321</v>
      </c>
      <c r="D3789" t="s">
        <v>316</v>
      </c>
      <c r="E3789" t="s">
        <v>211</v>
      </c>
      <c r="F3789" t="s">
        <v>304</v>
      </c>
      <c r="G3789" t="s">
        <v>9</v>
      </c>
      <c r="H3789">
        <v>2650.0</v>
      </c>
      <c r="I3789" t="s">
        <v>31</v>
      </c>
      <c r="J3789" t="s">
        <v>75</v>
      </c>
      <c r="K3789" t="s">
        <v>66</v>
      </c>
      <c r="L3789" t="s">
        <v>67</v>
      </c>
      <c r="M3789">
        <v>1191.7600000000002</v>
      </c>
    </row>
    <row r="3790">
      <c r="A3790" s="2">
        <v>45761</v>
      </c>
      <c r="B3790">
        <v>2025.0</v>
      </c>
      <c r="C3790" t="s">
        <v>315</v>
      </c>
      <c r="D3790" t="s">
        <v>316</v>
      </c>
      <c r="E3790" t="s">
        <v>183</v>
      </c>
      <c r="F3790" t="s">
        <v>304</v>
      </c>
      <c r="G3790" t="s">
        <v>9</v>
      </c>
      <c r="H3790">
        <v>2480.0</v>
      </c>
      <c r="I3790" t="s">
        <v>31</v>
      </c>
      <c r="J3790" t="s">
        <v>70</v>
      </c>
      <c r="K3790" t="s">
        <v>43</v>
      </c>
      <c r="L3790" t="s">
        <v>44</v>
      </c>
      <c r="M3790">
        <v>1194.6299999999999</v>
      </c>
    </row>
    <row r="3791">
      <c r="A3791" s="2">
        <v>45310</v>
      </c>
      <c r="B3791">
        <v>2024.0</v>
      </c>
      <c r="C3791" t="s">
        <v>318</v>
      </c>
      <c r="D3791" t="s">
        <v>319</v>
      </c>
      <c r="E3791" t="s">
        <v>189</v>
      </c>
      <c r="F3791" t="s">
        <v>304</v>
      </c>
      <c r="G3791" t="s">
        <v>9</v>
      </c>
      <c r="H3791">
        <v>2131.0</v>
      </c>
      <c r="I3791" t="s">
        <v>31</v>
      </c>
      <c r="J3791" t="s">
        <v>81</v>
      </c>
      <c r="K3791" t="s">
        <v>95</v>
      </c>
      <c r="L3791" t="s">
        <v>96</v>
      </c>
      <c r="M3791">
        <v>1198.1999999999998</v>
      </c>
    </row>
    <row r="3792">
      <c r="A3792" s="2">
        <v>45664</v>
      </c>
      <c r="B3792">
        <v>2025.0</v>
      </c>
      <c r="C3792" t="s">
        <v>315</v>
      </c>
      <c r="D3792" t="s">
        <v>316</v>
      </c>
      <c r="E3792" t="s">
        <v>87</v>
      </c>
      <c r="F3792" t="s">
        <v>305</v>
      </c>
      <c r="G3792" t="s">
        <v>10</v>
      </c>
      <c r="H3792">
        <v>3148.0</v>
      </c>
      <c r="I3792" t="s">
        <v>31</v>
      </c>
      <c r="J3792" t="s">
        <v>89</v>
      </c>
      <c r="K3792" t="s">
        <v>112</v>
      </c>
      <c r="L3792" t="s">
        <v>113</v>
      </c>
      <c r="M3792">
        <v>1198.24</v>
      </c>
    </row>
    <row r="3793">
      <c r="A3793" s="2">
        <v>45843</v>
      </c>
      <c r="B3793">
        <v>2026.0</v>
      </c>
      <c r="C3793" t="s">
        <v>321</v>
      </c>
      <c r="D3793" t="s">
        <v>316</v>
      </c>
      <c r="E3793" t="s">
        <v>219</v>
      </c>
      <c r="F3793" t="s">
        <v>306</v>
      </c>
      <c r="G3793" t="s">
        <v>11</v>
      </c>
      <c r="H3793">
        <v>4068.0</v>
      </c>
      <c r="I3793" t="s">
        <v>31</v>
      </c>
      <c r="J3793" t="s">
        <v>56</v>
      </c>
      <c r="K3793" t="s">
        <v>66</v>
      </c>
      <c r="L3793" t="s">
        <v>67</v>
      </c>
      <c r="M3793">
        <v>1199.75</v>
      </c>
    </row>
    <row r="3794">
      <c r="A3794" s="2">
        <v>45960</v>
      </c>
      <c r="B3794">
        <v>2026.0</v>
      </c>
      <c r="C3794" t="s">
        <v>321</v>
      </c>
      <c r="D3794" t="s">
        <v>316</v>
      </c>
      <c r="E3794" t="s">
        <v>87</v>
      </c>
      <c r="F3794" t="s">
        <v>305</v>
      </c>
      <c r="G3794" t="s">
        <v>10</v>
      </c>
      <c r="H3794">
        <v>3148.0</v>
      </c>
      <c r="I3794" t="s">
        <v>31</v>
      </c>
      <c r="J3794" t="s">
        <v>89</v>
      </c>
      <c r="K3794" t="s">
        <v>43</v>
      </c>
      <c r="L3794" t="s">
        <v>44</v>
      </c>
      <c r="M3794">
        <v>1203.66</v>
      </c>
    </row>
    <row r="3795">
      <c r="A3795" s="2">
        <v>45975</v>
      </c>
      <c r="B3795">
        <v>2026.0</v>
      </c>
      <c r="C3795" t="s">
        <v>321</v>
      </c>
      <c r="D3795" t="s">
        <v>316</v>
      </c>
      <c r="E3795" t="s">
        <v>29</v>
      </c>
      <c r="F3795" t="s">
        <v>306</v>
      </c>
      <c r="G3795" t="s">
        <v>11</v>
      </c>
      <c r="H3795">
        <v>4703.0</v>
      </c>
      <c r="I3795" t="s">
        <v>31</v>
      </c>
      <c r="J3795" t="s">
        <v>32</v>
      </c>
      <c r="K3795" t="s">
        <v>46</v>
      </c>
      <c r="L3795" t="s">
        <v>47</v>
      </c>
      <c r="M3795">
        <v>1207.02</v>
      </c>
    </row>
    <row r="3796">
      <c r="A3796" s="2">
        <v>45363</v>
      </c>
      <c r="B3796">
        <v>2024.0</v>
      </c>
      <c r="C3796" t="s">
        <v>318</v>
      </c>
      <c r="D3796" t="s">
        <v>316</v>
      </c>
      <c r="E3796" t="s">
        <v>219</v>
      </c>
      <c r="F3796" t="s">
        <v>306</v>
      </c>
      <c r="G3796" t="s">
        <v>11</v>
      </c>
      <c r="H3796">
        <v>4068.0</v>
      </c>
      <c r="I3796" t="s">
        <v>31</v>
      </c>
      <c r="J3796" t="s">
        <v>56</v>
      </c>
      <c r="K3796" t="s">
        <v>43</v>
      </c>
      <c r="L3796" t="s">
        <v>44</v>
      </c>
      <c r="M3796">
        <v>1207.94</v>
      </c>
    </row>
    <row r="3797">
      <c r="A3797" s="2">
        <v>45845</v>
      </c>
      <c r="B3797">
        <v>2026.0</v>
      </c>
      <c r="C3797" t="s">
        <v>321</v>
      </c>
      <c r="D3797" t="s">
        <v>316</v>
      </c>
      <c r="E3797" t="s">
        <v>219</v>
      </c>
      <c r="F3797" t="s">
        <v>306</v>
      </c>
      <c r="G3797" t="s">
        <v>11</v>
      </c>
      <c r="H3797">
        <v>4068.0</v>
      </c>
      <c r="I3797" t="s">
        <v>31</v>
      </c>
      <c r="J3797" t="s">
        <v>56</v>
      </c>
      <c r="K3797" t="s">
        <v>112</v>
      </c>
      <c r="L3797" t="s">
        <v>113</v>
      </c>
      <c r="M3797">
        <v>1209.15</v>
      </c>
    </row>
    <row r="3798">
      <c r="A3798" s="2">
        <v>45811</v>
      </c>
      <c r="B3798">
        <v>2025.0</v>
      </c>
      <c r="C3798" t="s">
        <v>315</v>
      </c>
      <c r="D3798" t="s">
        <v>319</v>
      </c>
      <c r="E3798" t="s">
        <v>141</v>
      </c>
      <c r="F3798" t="s">
        <v>304</v>
      </c>
      <c r="G3798" t="s">
        <v>9</v>
      </c>
      <c r="H3798">
        <v>2539.0</v>
      </c>
      <c r="I3798" t="s">
        <v>31</v>
      </c>
      <c r="J3798" t="s">
        <v>107</v>
      </c>
      <c r="K3798" t="s">
        <v>46</v>
      </c>
      <c r="L3798" t="s">
        <v>47</v>
      </c>
      <c r="M3798">
        <v>1211.14</v>
      </c>
    </row>
    <row r="3799">
      <c r="A3799" s="2">
        <v>45878</v>
      </c>
      <c r="B3799">
        <v>2026.0</v>
      </c>
      <c r="C3799" t="s">
        <v>321</v>
      </c>
      <c r="D3799" t="s">
        <v>316</v>
      </c>
      <c r="E3799" t="s">
        <v>87</v>
      </c>
      <c r="F3799" t="s">
        <v>305</v>
      </c>
      <c r="G3799" t="s">
        <v>10</v>
      </c>
      <c r="H3799">
        <v>3148.0</v>
      </c>
      <c r="I3799" t="s">
        <v>31</v>
      </c>
      <c r="J3799" t="s">
        <v>89</v>
      </c>
      <c r="K3799" t="s">
        <v>43</v>
      </c>
      <c r="L3799" t="s">
        <v>44</v>
      </c>
      <c r="M3799">
        <v>1211.68</v>
      </c>
    </row>
    <row r="3800">
      <c r="A3800" s="2">
        <v>45656</v>
      </c>
      <c r="B3800">
        <v>2025.0</v>
      </c>
      <c r="C3800" t="s">
        <v>315</v>
      </c>
      <c r="D3800" t="s">
        <v>316</v>
      </c>
      <c r="E3800" t="s">
        <v>160</v>
      </c>
      <c r="F3800" t="s">
        <v>307</v>
      </c>
      <c r="G3800" t="s">
        <v>12</v>
      </c>
      <c r="H3800">
        <v>6280.0</v>
      </c>
      <c r="I3800" t="s">
        <v>31</v>
      </c>
      <c r="J3800" t="s">
        <v>162</v>
      </c>
      <c r="K3800" t="s">
        <v>38</v>
      </c>
      <c r="L3800" t="s">
        <v>39</v>
      </c>
      <c r="M3800">
        <v>1212.09</v>
      </c>
    </row>
    <row r="3801">
      <c r="A3801" s="2">
        <v>45761</v>
      </c>
      <c r="B3801">
        <v>2025.0</v>
      </c>
      <c r="C3801" t="s">
        <v>315</v>
      </c>
      <c r="D3801" t="s">
        <v>316</v>
      </c>
      <c r="E3801" t="s">
        <v>197</v>
      </c>
      <c r="F3801" t="s">
        <v>304</v>
      </c>
      <c r="G3801" t="s">
        <v>9</v>
      </c>
      <c r="H3801">
        <v>2560.0</v>
      </c>
      <c r="I3801" t="s">
        <v>31</v>
      </c>
      <c r="J3801" t="s">
        <v>107</v>
      </c>
      <c r="K3801" t="s">
        <v>95</v>
      </c>
      <c r="L3801" t="s">
        <v>96</v>
      </c>
      <c r="M3801">
        <v>1212.42</v>
      </c>
    </row>
    <row r="3802">
      <c r="A3802" s="2">
        <v>45454</v>
      </c>
      <c r="B3802">
        <v>2024.0</v>
      </c>
      <c r="C3802" t="s">
        <v>318</v>
      </c>
      <c r="D3802" t="s">
        <v>316</v>
      </c>
      <c r="E3802" t="s">
        <v>167</v>
      </c>
      <c r="F3802" t="s">
        <v>307</v>
      </c>
      <c r="G3802" t="s">
        <v>12</v>
      </c>
      <c r="H3802">
        <v>6030.0</v>
      </c>
      <c r="I3802" t="s">
        <v>31</v>
      </c>
      <c r="J3802" t="s">
        <v>102</v>
      </c>
      <c r="K3802" t="s">
        <v>57</v>
      </c>
      <c r="L3802" t="s">
        <v>58</v>
      </c>
      <c r="M3802">
        <v>1213.28</v>
      </c>
    </row>
    <row r="3803">
      <c r="A3803" s="2">
        <v>45777</v>
      </c>
      <c r="B3803">
        <v>2025.0</v>
      </c>
      <c r="C3803" t="s">
        <v>315</v>
      </c>
      <c r="D3803" t="s">
        <v>319</v>
      </c>
      <c r="E3803" t="s">
        <v>146</v>
      </c>
      <c r="F3803" t="s">
        <v>304</v>
      </c>
      <c r="G3803" t="s">
        <v>9</v>
      </c>
      <c r="H3803">
        <v>2790.0</v>
      </c>
      <c r="I3803" t="s">
        <v>31</v>
      </c>
      <c r="J3803" t="s">
        <v>75</v>
      </c>
      <c r="K3803" t="s">
        <v>57</v>
      </c>
      <c r="L3803" t="s">
        <v>58</v>
      </c>
      <c r="M3803">
        <v>1214.6100000000001</v>
      </c>
    </row>
    <row r="3804">
      <c r="A3804" s="2">
        <v>45771</v>
      </c>
      <c r="B3804">
        <v>2025.0</v>
      </c>
      <c r="C3804" t="s">
        <v>315</v>
      </c>
      <c r="D3804" t="s">
        <v>316</v>
      </c>
      <c r="E3804" t="s">
        <v>173</v>
      </c>
      <c r="F3804" t="s">
        <v>306</v>
      </c>
      <c r="G3804" t="s">
        <v>11</v>
      </c>
      <c r="H3804">
        <v>4220.0</v>
      </c>
      <c r="I3804" t="s">
        <v>31</v>
      </c>
      <c r="J3804" t="s">
        <v>61</v>
      </c>
      <c r="K3804" t="s">
        <v>57</v>
      </c>
      <c r="L3804" t="s">
        <v>58</v>
      </c>
      <c r="M3804">
        <v>1215.47</v>
      </c>
    </row>
    <row r="3805">
      <c r="A3805" s="2">
        <v>45684</v>
      </c>
      <c r="B3805">
        <v>2025.0</v>
      </c>
      <c r="C3805" t="s">
        <v>315</v>
      </c>
      <c r="D3805" t="s">
        <v>319</v>
      </c>
      <c r="E3805" t="s">
        <v>262</v>
      </c>
      <c r="F3805" t="s">
        <v>305</v>
      </c>
      <c r="G3805" t="s">
        <v>10</v>
      </c>
      <c r="H3805">
        <v>3018.0</v>
      </c>
      <c r="I3805" t="s">
        <v>31</v>
      </c>
      <c r="J3805" t="s">
        <v>120</v>
      </c>
      <c r="K3805" t="s">
        <v>43</v>
      </c>
      <c r="L3805" t="s">
        <v>44</v>
      </c>
      <c r="M3805">
        <v>1217.6699999999998</v>
      </c>
    </row>
    <row r="3806">
      <c r="A3806" s="2">
        <v>45919</v>
      </c>
      <c r="B3806">
        <v>2026.0</v>
      </c>
      <c r="C3806" t="s">
        <v>321</v>
      </c>
      <c r="D3806" t="s">
        <v>316</v>
      </c>
      <c r="E3806" t="s">
        <v>160</v>
      </c>
      <c r="F3806" t="s">
        <v>307</v>
      </c>
      <c r="G3806" t="s">
        <v>12</v>
      </c>
      <c r="H3806">
        <v>6280.0</v>
      </c>
      <c r="I3806" t="s">
        <v>31</v>
      </c>
      <c r="J3806" t="s">
        <v>162</v>
      </c>
      <c r="K3806" t="s">
        <v>71</v>
      </c>
      <c r="L3806" t="s">
        <v>72</v>
      </c>
      <c r="M3806">
        <v>1219.3799999999999</v>
      </c>
    </row>
    <row r="3807">
      <c r="A3807" s="2">
        <v>45844</v>
      </c>
      <c r="B3807">
        <v>2026.0</v>
      </c>
      <c r="C3807" t="s">
        <v>321</v>
      </c>
      <c r="D3807" t="s">
        <v>316</v>
      </c>
      <c r="E3807" t="s">
        <v>160</v>
      </c>
      <c r="F3807" t="s">
        <v>307</v>
      </c>
      <c r="G3807" t="s">
        <v>12</v>
      </c>
      <c r="H3807">
        <v>6280.0</v>
      </c>
      <c r="I3807" t="s">
        <v>31</v>
      </c>
      <c r="J3807" t="s">
        <v>162</v>
      </c>
      <c r="K3807" t="s">
        <v>46</v>
      </c>
      <c r="L3807" t="s">
        <v>47</v>
      </c>
      <c r="M3807">
        <v>1224.49</v>
      </c>
    </row>
    <row r="3808">
      <c r="A3808" s="2">
        <v>45788</v>
      </c>
      <c r="B3808">
        <v>2025.0</v>
      </c>
      <c r="C3808" t="s">
        <v>315</v>
      </c>
      <c r="D3808" t="s">
        <v>316</v>
      </c>
      <c r="E3808" t="s">
        <v>187</v>
      </c>
      <c r="F3808" t="s">
        <v>306</v>
      </c>
      <c r="G3808" t="s">
        <v>11</v>
      </c>
      <c r="H3808">
        <v>4870.0</v>
      </c>
      <c r="I3808" t="s">
        <v>31</v>
      </c>
      <c r="J3808" t="s">
        <v>78</v>
      </c>
      <c r="K3808" t="s">
        <v>46</v>
      </c>
      <c r="L3808" t="s">
        <v>47</v>
      </c>
      <c r="M3808">
        <v>1233.97</v>
      </c>
    </row>
    <row r="3809">
      <c r="A3809" s="2">
        <v>45603</v>
      </c>
      <c r="B3809">
        <v>2025.0</v>
      </c>
      <c r="C3809" t="s">
        <v>315</v>
      </c>
      <c r="D3809" t="s">
        <v>316</v>
      </c>
      <c r="E3809" t="s">
        <v>228</v>
      </c>
      <c r="F3809" t="s">
        <v>306</v>
      </c>
      <c r="G3809" t="s">
        <v>11</v>
      </c>
      <c r="H3809">
        <v>4680.0</v>
      </c>
      <c r="I3809" t="s">
        <v>31</v>
      </c>
      <c r="J3809" t="s">
        <v>32</v>
      </c>
      <c r="K3809" t="s">
        <v>95</v>
      </c>
      <c r="L3809" t="s">
        <v>96</v>
      </c>
      <c r="M3809">
        <v>1235.45</v>
      </c>
    </row>
    <row r="3810">
      <c r="A3810" s="2">
        <v>45747</v>
      </c>
      <c r="B3810">
        <v>2025.0</v>
      </c>
      <c r="C3810" t="s">
        <v>315</v>
      </c>
      <c r="D3810" t="s">
        <v>316</v>
      </c>
      <c r="E3810" t="s">
        <v>105</v>
      </c>
      <c r="F3810" t="s">
        <v>304</v>
      </c>
      <c r="G3810" t="s">
        <v>9</v>
      </c>
      <c r="H3810">
        <v>2541.0</v>
      </c>
      <c r="I3810" t="s">
        <v>31</v>
      </c>
      <c r="J3810" t="s">
        <v>107</v>
      </c>
      <c r="K3810" t="s">
        <v>112</v>
      </c>
      <c r="L3810" t="s">
        <v>113</v>
      </c>
      <c r="M3810">
        <v>1238.4</v>
      </c>
    </row>
    <row r="3811">
      <c r="A3811" s="2">
        <v>45412</v>
      </c>
      <c r="B3811">
        <v>2024.0</v>
      </c>
      <c r="C3811" t="s">
        <v>318</v>
      </c>
      <c r="D3811" t="s">
        <v>316</v>
      </c>
      <c r="E3811" t="s">
        <v>163</v>
      </c>
      <c r="F3811" t="s">
        <v>304</v>
      </c>
      <c r="G3811" t="s">
        <v>9</v>
      </c>
      <c r="H3811">
        <v>2154.0</v>
      </c>
      <c r="I3811" t="s">
        <v>31</v>
      </c>
      <c r="J3811" t="s">
        <v>81</v>
      </c>
      <c r="K3811" t="s">
        <v>112</v>
      </c>
      <c r="L3811" t="s">
        <v>113</v>
      </c>
      <c r="M3811">
        <v>1239.77</v>
      </c>
    </row>
    <row r="3812">
      <c r="A3812" s="2">
        <v>45646</v>
      </c>
      <c r="B3812">
        <v>2025.0</v>
      </c>
      <c r="C3812" t="s">
        <v>315</v>
      </c>
      <c r="D3812" t="s">
        <v>316</v>
      </c>
      <c r="E3812" t="s">
        <v>40</v>
      </c>
      <c r="F3812" t="s">
        <v>308</v>
      </c>
      <c r="G3812" t="s">
        <v>13</v>
      </c>
      <c r="H3812">
        <v>5011.0</v>
      </c>
      <c r="I3812" t="s">
        <v>31</v>
      </c>
      <c r="J3812" t="s">
        <v>42</v>
      </c>
      <c r="K3812" t="s">
        <v>71</v>
      </c>
      <c r="L3812" t="s">
        <v>72</v>
      </c>
      <c r="M3812">
        <v>1242.19</v>
      </c>
    </row>
    <row r="3813">
      <c r="A3813" s="2">
        <v>45447</v>
      </c>
      <c r="B3813">
        <v>2024.0</v>
      </c>
      <c r="C3813" t="s">
        <v>318</v>
      </c>
      <c r="D3813" t="s">
        <v>316</v>
      </c>
      <c r="E3813" t="s">
        <v>215</v>
      </c>
      <c r="F3813" t="s">
        <v>310</v>
      </c>
      <c r="G3813" t="s">
        <v>15</v>
      </c>
      <c r="H3813">
        <v>7320.0</v>
      </c>
      <c r="I3813" t="s">
        <v>31</v>
      </c>
      <c r="J3813" t="s">
        <v>53</v>
      </c>
      <c r="K3813" t="s">
        <v>57</v>
      </c>
      <c r="L3813" t="s">
        <v>58</v>
      </c>
      <c r="M3813">
        <v>1243.44</v>
      </c>
    </row>
    <row r="3814">
      <c r="A3814" s="2">
        <v>45510</v>
      </c>
      <c r="B3814">
        <v>2025.0</v>
      </c>
      <c r="C3814" t="s">
        <v>315</v>
      </c>
      <c r="D3814" t="s">
        <v>316</v>
      </c>
      <c r="E3814" t="s">
        <v>181</v>
      </c>
      <c r="F3814" t="s">
        <v>306</v>
      </c>
      <c r="G3814" t="s">
        <v>11</v>
      </c>
      <c r="H3814">
        <v>4119.0</v>
      </c>
      <c r="I3814" t="s">
        <v>31</v>
      </c>
      <c r="J3814" t="s">
        <v>56</v>
      </c>
      <c r="K3814" t="s">
        <v>112</v>
      </c>
      <c r="L3814" t="s">
        <v>113</v>
      </c>
      <c r="M3814">
        <v>1245.8799999999999</v>
      </c>
    </row>
    <row r="3815">
      <c r="A3815" s="2">
        <v>45501</v>
      </c>
      <c r="B3815">
        <v>2025.0</v>
      </c>
      <c r="C3815" t="s">
        <v>315</v>
      </c>
      <c r="D3815" t="s">
        <v>319</v>
      </c>
      <c r="E3815" t="s">
        <v>143</v>
      </c>
      <c r="F3815" t="s">
        <v>309</v>
      </c>
      <c r="G3815" t="s">
        <v>14</v>
      </c>
      <c r="H3815">
        <v>800.0</v>
      </c>
      <c r="I3815" t="s">
        <v>31</v>
      </c>
      <c r="J3815" t="s">
        <v>145</v>
      </c>
      <c r="K3815" t="s">
        <v>46</v>
      </c>
      <c r="L3815" t="s">
        <v>47</v>
      </c>
      <c r="M3815">
        <v>1248.66</v>
      </c>
    </row>
    <row r="3816">
      <c r="A3816" s="2">
        <v>45833</v>
      </c>
      <c r="B3816">
        <v>2025.0</v>
      </c>
      <c r="C3816" t="s">
        <v>315</v>
      </c>
      <c r="D3816" t="s">
        <v>316</v>
      </c>
      <c r="E3816" t="s">
        <v>181</v>
      </c>
      <c r="F3816" t="s">
        <v>306</v>
      </c>
      <c r="G3816" t="s">
        <v>11</v>
      </c>
      <c r="H3816">
        <v>4119.0</v>
      </c>
      <c r="I3816" t="s">
        <v>31</v>
      </c>
      <c r="J3816" t="s">
        <v>56</v>
      </c>
      <c r="K3816" t="s">
        <v>112</v>
      </c>
      <c r="L3816" t="s">
        <v>113</v>
      </c>
      <c r="M3816">
        <v>1249.0400000000002</v>
      </c>
    </row>
    <row r="3817">
      <c r="A3817" s="2">
        <v>45972</v>
      </c>
      <c r="B3817">
        <v>2026.0</v>
      </c>
      <c r="C3817" t="s">
        <v>321</v>
      </c>
      <c r="D3817" t="s">
        <v>319</v>
      </c>
      <c r="E3817" t="s">
        <v>146</v>
      </c>
      <c r="F3817" t="s">
        <v>304</v>
      </c>
      <c r="G3817" t="s">
        <v>9</v>
      </c>
      <c r="H3817">
        <v>2790.0</v>
      </c>
      <c r="I3817" t="s">
        <v>31</v>
      </c>
      <c r="J3817" t="s">
        <v>75</v>
      </c>
      <c r="K3817" t="s">
        <v>95</v>
      </c>
      <c r="L3817" t="s">
        <v>96</v>
      </c>
      <c r="M3817">
        <v>1250.54</v>
      </c>
    </row>
    <row r="3818">
      <c r="A3818" s="2">
        <v>45633</v>
      </c>
      <c r="B3818">
        <v>2025.0</v>
      </c>
      <c r="C3818" t="s">
        <v>315</v>
      </c>
      <c r="D3818" t="s">
        <v>316</v>
      </c>
      <c r="E3818" t="s">
        <v>193</v>
      </c>
      <c r="F3818" t="s">
        <v>304</v>
      </c>
      <c r="G3818" t="s">
        <v>9</v>
      </c>
      <c r="H3818">
        <v>2020.0</v>
      </c>
      <c r="I3818" t="s">
        <v>31</v>
      </c>
      <c r="J3818" t="s">
        <v>99</v>
      </c>
      <c r="K3818" t="s">
        <v>71</v>
      </c>
      <c r="L3818" t="s">
        <v>72</v>
      </c>
      <c r="M3818">
        <v>1252.6200000000001</v>
      </c>
    </row>
    <row r="3819">
      <c r="A3819" s="2">
        <v>45463</v>
      </c>
      <c r="B3819">
        <v>2024.0</v>
      </c>
      <c r="C3819" t="s">
        <v>318</v>
      </c>
      <c r="D3819" t="s">
        <v>319</v>
      </c>
      <c r="E3819" t="s">
        <v>209</v>
      </c>
      <c r="F3819" t="s">
        <v>304</v>
      </c>
      <c r="G3819" t="s">
        <v>9</v>
      </c>
      <c r="H3819">
        <v>2116.0</v>
      </c>
      <c r="I3819" t="s">
        <v>31</v>
      </c>
      <c r="J3819" t="s">
        <v>81</v>
      </c>
      <c r="K3819" t="s">
        <v>71</v>
      </c>
      <c r="L3819" t="s">
        <v>72</v>
      </c>
      <c r="M3819">
        <v>1253.29</v>
      </c>
    </row>
    <row r="3820">
      <c r="A3820" s="2">
        <v>45626</v>
      </c>
      <c r="B3820">
        <v>2025.0</v>
      </c>
      <c r="C3820" t="s">
        <v>315</v>
      </c>
      <c r="D3820" t="s">
        <v>319</v>
      </c>
      <c r="E3820" t="s">
        <v>179</v>
      </c>
      <c r="F3820" t="s">
        <v>304</v>
      </c>
      <c r="G3820" t="s">
        <v>9</v>
      </c>
      <c r="H3820">
        <v>2015.0</v>
      </c>
      <c r="I3820" t="s">
        <v>31</v>
      </c>
      <c r="J3820" t="s">
        <v>99</v>
      </c>
      <c r="K3820" t="s">
        <v>71</v>
      </c>
      <c r="L3820" t="s">
        <v>72</v>
      </c>
      <c r="M3820">
        <v>1254.36</v>
      </c>
    </row>
    <row r="3821">
      <c r="A3821" s="2">
        <v>45342</v>
      </c>
      <c r="B3821">
        <v>2024.0</v>
      </c>
      <c r="C3821" t="s">
        <v>318</v>
      </c>
      <c r="D3821" t="s">
        <v>319</v>
      </c>
      <c r="E3821" t="s">
        <v>85</v>
      </c>
      <c r="F3821" t="s">
        <v>304</v>
      </c>
      <c r="G3821" t="s">
        <v>9</v>
      </c>
      <c r="H3821">
        <v>2120.0</v>
      </c>
      <c r="I3821" t="s">
        <v>31</v>
      </c>
      <c r="J3821" t="s">
        <v>81</v>
      </c>
      <c r="K3821" t="s">
        <v>57</v>
      </c>
      <c r="L3821" t="s">
        <v>58</v>
      </c>
      <c r="M3821">
        <v>1254.73</v>
      </c>
    </row>
    <row r="3822">
      <c r="A3822" s="2">
        <v>45662</v>
      </c>
      <c r="B3822">
        <v>2025.0</v>
      </c>
      <c r="C3822" t="s">
        <v>315</v>
      </c>
      <c r="D3822" t="s">
        <v>316</v>
      </c>
      <c r="E3822" t="s">
        <v>137</v>
      </c>
      <c r="F3822" t="s">
        <v>305</v>
      </c>
      <c r="G3822" t="s">
        <v>10</v>
      </c>
      <c r="H3822">
        <v>3134.0</v>
      </c>
      <c r="I3822" t="s">
        <v>31</v>
      </c>
      <c r="J3822" t="s">
        <v>89</v>
      </c>
      <c r="K3822" t="s">
        <v>57</v>
      </c>
      <c r="L3822" t="s">
        <v>58</v>
      </c>
      <c r="M3822">
        <v>1254.78</v>
      </c>
    </row>
    <row r="3823">
      <c r="A3823" s="2">
        <v>45878</v>
      </c>
      <c r="B3823">
        <v>2026.0</v>
      </c>
      <c r="C3823" t="s">
        <v>321</v>
      </c>
      <c r="D3823" t="s">
        <v>316</v>
      </c>
      <c r="E3823" t="s">
        <v>197</v>
      </c>
      <c r="F3823" t="s">
        <v>304</v>
      </c>
      <c r="G3823" t="s">
        <v>9</v>
      </c>
      <c r="H3823">
        <v>2560.0</v>
      </c>
      <c r="I3823" t="s">
        <v>31</v>
      </c>
      <c r="J3823" t="s">
        <v>107</v>
      </c>
      <c r="K3823" t="s">
        <v>43</v>
      </c>
      <c r="L3823" t="s">
        <v>44</v>
      </c>
      <c r="M3823">
        <v>1257.97</v>
      </c>
    </row>
    <row r="3824">
      <c r="A3824" s="2">
        <v>45394</v>
      </c>
      <c r="B3824">
        <v>2024.0</v>
      </c>
      <c r="C3824" t="s">
        <v>318</v>
      </c>
      <c r="D3824" t="s">
        <v>319</v>
      </c>
      <c r="E3824" t="s">
        <v>139</v>
      </c>
      <c r="F3824" t="s">
        <v>305</v>
      </c>
      <c r="G3824" t="s">
        <v>10</v>
      </c>
      <c r="H3824">
        <v>3199.0</v>
      </c>
      <c r="I3824" t="s">
        <v>31</v>
      </c>
      <c r="J3824" t="s">
        <v>89</v>
      </c>
      <c r="K3824" t="s">
        <v>123</v>
      </c>
      <c r="L3824" t="s">
        <v>124</v>
      </c>
      <c r="M3824">
        <v>1261.9399999999996</v>
      </c>
    </row>
    <row r="3825">
      <c r="A3825" s="2">
        <v>45814</v>
      </c>
      <c r="B3825">
        <v>2025.0</v>
      </c>
      <c r="C3825" t="s">
        <v>315</v>
      </c>
      <c r="D3825" t="s">
        <v>319</v>
      </c>
      <c r="E3825" t="s">
        <v>146</v>
      </c>
      <c r="F3825" t="s">
        <v>304</v>
      </c>
      <c r="G3825" t="s">
        <v>9</v>
      </c>
      <c r="H3825">
        <v>2790.0</v>
      </c>
      <c r="I3825" t="s">
        <v>31</v>
      </c>
      <c r="J3825" t="s">
        <v>75</v>
      </c>
      <c r="K3825" t="s">
        <v>57</v>
      </c>
      <c r="L3825" t="s">
        <v>58</v>
      </c>
      <c r="M3825">
        <v>1266.28</v>
      </c>
    </row>
    <row r="3826">
      <c r="A3826" s="2">
        <v>45883</v>
      </c>
      <c r="B3826">
        <v>2026.0</v>
      </c>
      <c r="C3826" t="s">
        <v>321</v>
      </c>
      <c r="D3826" t="s">
        <v>316</v>
      </c>
      <c r="E3826" t="s">
        <v>219</v>
      </c>
      <c r="F3826" t="s">
        <v>306</v>
      </c>
      <c r="G3826" t="s">
        <v>11</v>
      </c>
      <c r="H3826">
        <v>4068.0</v>
      </c>
      <c r="I3826" t="s">
        <v>31</v>
      </c>
      <c r="J3826" t="s">
        <v>56</v>
      </c>
      <c r="K3826" t="s">
        <v>71</v>
      </c>
      <c r="L3826" t="s">
        <v>72</v>
      </c>
      <c r="M3826">
        <v>1267.02</v>
      </c>
    </row>
    <row r="3827">
      <c r="A3827" s="2">
        <v>45471</v>
      </c>
      <c r="B3827">
        <v>2024.0</v>
      </c>
      <c r="C3827" t="s">
        <v>318</v>
      </c>
      <c r="D3827" t="s">
        <v>316</v>
      </c>
      <c r="E3827" t="s">
        <v>236</v>
      </c>
      <c r="F3827" t="s">
        <v>307</v>
      </c>
      <c r="G3827" t="s">
        <v>12</v>
      </c>
      <c r="H3827">
        <v>6052.0</v>
      </c>
      <c r="I3827" t="s">
        <v>31</v>
      </c>
      <c r="J3827" t="s">
        <v>102</v>
      </c>
      <c r="K3827" t="s">
        <v>57</v>
      </c>
      <c r="L3827" t="s">
        <v>58</v>
      </c>
      <c r="M3827">
        <v>1267.2700000000002</v>
      </c>
    </row>
    <row r="3828">
      <c r="A3828" s="2">
        <v>45591</v>
      </c>
      <c r="B3828">
        <v>2025.0</v>
      </c>
      <c r="C3828" t="s">
        <v>315</v>
      </c>
      <c r="D3828" t="s">
        <v>316</v>
      </c>
      <c r="E3828" t="s">
        <v>135</v>
      </c>
      <c r="F3828" t="s">
        <v>311</v>
      </c>
      <c r="G3828" t="s">
        <v>16</v>
      </c>
      <c r="H3828">
        <v>2609.0</v>
      </c>
      <c r="I3828" t="s">
        <v>31</v>
      </c>
      <c r="J3828" t="s">
        <v>107</v>
      </c>
      <c r="K3828" t="s">
        <v>57</v>
      </c>
      <c r="L3828" t="s">
        <v>58</v>
      </c>
      <c r="M3828">
        <v>1268.5500000000002</v>
      </c>
    </row>
    <row r="3829">
      <c r="A3829" s="2">
        <v>45571</v>
      </c>
      <c r="B3829">
        <v>2025.0</v>
      </c>
      <c r="C3829" t="s">
        <v>315</v>
      </c>
      <c r="D3829" t="s">
        <v>316</v>
      </c>
      <c r="E3829" t="s">
        <v>116</v>
      </c>
      <c r="F3829" t="s">
        <v>304</v>
      </c>
      <c r="G3829" t="s">
        <v>9</v>
      </c>
      <c r="H3829">
        <v>2485.0</v>
      </c>
      <c r="I3829" t="s">
        <v>31</v>
      </c>
      <c r="J3829" t="s">
        <v>70</v>
      </c>
      <c r="K3829" t="s">
        <v>57</v>
      </c>
      <c r="L3829" t="s">
        <v>58</v>
      </c>
      <c r="M3829">
        <v>1268.6399999999999</v>
      </c>
    </row>
    <row r="3830">
      <c r="A3830" s="2">
        <v>45551</v>
      </c>
      <c r="B3830">
        <v>2025.0</v>
      </c>
      <c r="C3830" t="s">
        <v>315</v>
      </c>
      <c r="D3830" t="s">
        <v>316</v>
      </c>
      <c r="E3830" t="s">
        <v>187</v>
      </c>
      <c r="F3830" t="s">
        <v>306</v>
      </c>
      <c r="G3830" t="s">
        <v>11</v>
      </c>
      <c r="H3830">
        <v>4870.0</v>
      </c>
      <c r="I3830" t="s">
        <v>31</v>
      </c>
      <c r="J3830" t="s">
        <v>78</v>
      </c>
      <c r="K3830" t="s">
        <v>57</v>
      </c>
      <c r="L3830" t="s">
        <v>58</v>
      </c>
      <c r="M3830">
        <v>1269.76</v>
      </c>
    </row>
    <row r="3831">
      <c r="A3831" s="2">
        <v>45448</v>
      </c>
      <c r="B3831">
        <v>2024.0</v>
      </c>
      <c r="C3831" t="s">
        <v>318</v>
      </c>
      <c r="D3831" t="s">
        <v>316</v>
      </c>
      <c r="E3831" t="s">
        <v>139</v>
      </c>
      <c r="F3831" t="s">
        <v>305</v>
      </c>
      <c r="G3831" t="s">
        <v>10</v>
      </c>
      <c r="H3831">
        <v>3199.0</v>
      </c>
      <c r="I3831" t="s">
        <v>31</v>
      </c>
      <c r="J3831" t="s">
        <v>89</v>
      </c>
      <c r="K3831" t="s">
        <v>57</v>
      </c>
      <c r="L3831" t="s">
        <v>58</v>
      </c>
      <c r="M3831">
        <v>1270.9699999999998</v>
      </c>
    </row>
    <row r="3832">
      <c r="A3832" s="2">
        <v>45826</v>
      </c>
      <c r="B3832">
        <v>2025.0</v>
      </c>
      <c r="C3832" t="s">
        <v>315</v>
      </c>
      <c r="D3832" t="s">
        <v>316</v>
      </c>
      <c r="E3832" t="s">
        <v>197</v>
      </c>
      <c r="F3832" t="s">
        <v>304</v>
      </c>
      <c r="G3832" t="s">
        <v>9</v>
      </c>
      <c r="H3832">
        <v>2560.0</v>
      </c>
      <c r="I3832" t="s">
        <v>31</v>
      </c>
      <c r="J3832" t="s">
        <v>107</v>
      </c>
      <c r="K3832" t="s">
        <v>112</v>
      </c>
      <c r="L3832" t="s">
        <v>113</v>
      </c>
      <c r="M3832">
        <v>1271.2</v>
      </c>
    </row>
    <row r="3833">
      <c r="A3833" s="2">
        <v>45620</v>
      </c>
      <c r="B3833">
        <v>2025.0</v>
      </c>
      <c r="C3833" t="s">
        <v>315</v>
      </c>
      <c r="D3833" t="s">
        <v>319</v>
      </c>
      <c r="E3833" t="s">
        <v>171</v>
      </c>
      <c r="F3833" t="s">
        <v>305</v>
      </c>
      <c r="G3833" t="s">
        <v>10</v>
      </c>
      <c r="H3833">
        <v>3500.0</v>
      </c>
      <c r="I3833" t="s">
        <v>31</v>
      </c>
      <c r="J3833" t="s">
        <v>37</v>
      </c>
      <c r="K3833" t="s">
        <v>57</v>
      </c>
      <c r="L3833" t="s">
        <v>58</v>
      </c>
      <c r="M3833">
        <v>1271.7399999999998</v>
      </c>
    </row>
    <row r="3834">
      <c r="A3834" s="2">
        <v>45685</v>
      </c>
      <c r="B3834">
        <v>2025.0</v>
      </c>
      <c r="C3834" t="s">
        <v>315</v>
      </c>
      <c r="D3834" t="s">
        <v>316</v>
      </c>
      <c r="E3834" t="s">
        <v>92</v>
      </c>
      <c r="F3834" t="s">
        <v>305</v>
      </c>
      <c r="G3834" t="s">
        <v>10</v>
      </c>
      <c r="H3834">
        <v>3690.0</v>
      </c>
      <c r="I3834" t="s">
        <v>31</v>
      </c>
      <c r="J3834" t="s">
        <v>94</v>
      </c>
      <c r="K3834" t="s">
        <v>95</v>
      </c>
      <c r="L3834" t="s">
        <v>96</v>
      </c>
      <c r="M3834">
        <v>1274.13</v>
      </c>
    </row>
    <row r="3835">
      <c r="A3835" s="2">
        <v>45422</v>
      </c>
      <c r="B3835">
        <v>2024.0</v>
      </c>
      <c r="C3835" t="s">
        <v>318</v>
      </c>
      <c r="D3835" t="s">
        <v>316</v>
      </c>
      <c r="E3835" t="s">
        <v>156</v>
      </c>
      <c r="F3835" t="s">
        <v>304</v>
      </c>
      <c r="G3835" t="s">
        <v>9</v>
      </c>
      <c r="H3835">
        <v>2830.0</v>
      </c>
      <c r="I3835" t="s">
        <v>31</v>
      </c>
      <c r="J3835" t="s">
        <v>75</v>
      </c>
      <c r="K3835" t="s">
        <v>38</v>
      </c>
      <c r="L3835" t="s">
        <v>39</v>
      </c>
      <c r="M3835">
        <v>1276.37</v>
      </c>
    </row>
    <row r="3836">
      <c r="A3836" s="2">
        <v>45415</v>
      </c>
      <c r="B3836">
        <v>2024.0</v>
      </c>
      <c r="C3836" t="s">
        <v>318</v>
      </c>
      <c r="D3836" t="s">
        <v>316</v>
      </c>
      <c r="E3836" t="s">
        <v>129</v>
      </c>
      <c r="F3836" t="s">
        <v>305</v>
      </c>
      <c r="G3836" t="s">
        <v>10</v>
      </c>
      <c r="H3836">
        <v>3066.0</v>
      </c>
      <c r="I3836" t="s">
        <v>31</v>
      </c>
      <c r="J3836" t="s">
        <v>120</v>
      </c>
      <c r="K3836" t="s">
        <v>38</v>
      </c>
      <c r="L3836" t="s">
        <v>39</v>
      </c>
      <c r="M3836">
        <v>1281.54</v>
      </c>
    </row>
    <row r="3837">
      <c r="A3837" s="2">
        <v>45365</v>
      </c>
      <c r="B3837">
        <v>2024.0</v>
      </c>
      <c r="C3837" t="s">
        <v>318</v>
      </c>
      <c r="D3837" t="s">
        <v>316</v>
      </c>
      <c r="E3837" t="s">
        <v>133</v>
      </c>
      <c r="F3837" t="s">
        <v>305</v>
      </c>
      <c r="G3837" t="s">
        <v>10</v>
      </c>
      <c r="H3837">
        <v>3429.0</v>
      </c>
      <c r="I3837" t="s">
        <v>31</v>
      </c>
      <c r="J3837" t="s">
        <v>37</v>
      </c>
      <c r="K3837" t="s">
        <v>57</v>
      </c>
      <c r="L3837" t="s">
        <v>58</v>
      </c>
      <c r="M3837">
        <v>1285.48</v>
      </c>
    </row>
    <row r="3838">
      <c r="A3838" s="2">
        <v>45551</v>
      </c>
      <c r="B3838">
        <v>2025.0</v>
      </c>
      <c r="C3838" t="s">
        <v>315</v>
      </c>
      <c r="D3838" t="s">
        <v>316</v>
      </c>
      <c r="E3838" t="s">
        <v>108</v>
      </c>
      <c r="F3838" t="s">
        <v>304</v>
      </c>
      <c r="G3838" t="s">
        <v>9</v>
      </c>
      <c r="H3838">
        <v>2795.0</v>
      </c>
      <c r="I3838" t="s">
        <v>31</v>
      </c>
      <c r="J3838" t="s">
        <v>75</v>
      </c>
      <c r="K3838" t="s">
        <v>71</v>
      </c>
      <c r="L3838" t="s">
        <v>72</v>
      </c>
      <c r="M3838">
        <v>1290.23</v>
      </c>
    </row>
    <row r="3839">
      <c r="A3839" s="2">
        <v>45979</v>
      </c>
      <c r="B3839">
        <v>2026.0</v>
      </c>
      <c r="C3839" t="s">
        <v>321</v>
      </c>
      <c r="D3839" t="s">
        <v>316</v>
      </c>
      <c r="E3839" t="s">
        <v>246</v>
      </c>
      <c r="F3839" t="s">
        <v>305</v>
      </c>
      <c r="G3839" t="s">
        <v>10</v>
      </c>
      <c r="H3839">
        <v>3551.0</v>
      </c>
      <c r="I3839" t="s">
        <v>31</v>
      </c>
      <c r="J3839" t="s">
        <v>37</v>
      </c>
      <c r="K3839" t="s">
        <v>71</v>
      </c>
      <c r="L3839" t="s">
        <v>72</v>
      </c>
      <c r="M3839">
        <v>1291.34</v>
      </c>
    </row>
    <row r="3840">
      <c r="A3840" s="2">
        <v>45751</v>
      </c>
      <c r="B3840">
        <v>2025.0</v>
      </c>
      <c r="C3840" t="s">
        <v>315</v>
      </c>
      <c r="D3840" t="s">
        <v>319</v>
      </c>
      <c r="E3840" t="s">
        <v>143</v>
      </c>
      <c r="F3840" t="s">
        <v>309</v>
      </c>
      <c r="G3840" t="s">
        <v>14</v>
      </c>
      <c r="H3840">
        <v>800.0</v>
      </c>
      <c r="I3840" t="s">
        <v>31</v>
      </c>
      <c r="J3840" t="s">
        <v>145</v>
      </c>
      <c r="K3840" t="s">
        <v>38</v>
      </c>
      <c r="L3840" t="s">
        <v>39</v>
      </c>
      <c r="M3840">
        <v>1292.26</v>
      </c>
    </row>
    <row r="3841">
      <c r="A3841" s="2">
        <v>45886</v>
      </c>
      <c r="B3841">
        <v>2026.0</v>
      </c>
      <c r="C3841" t="s">
        <v>321</v>
      </c>
      <c r="D3841" t="s">
        <v>316</v>
      </c>
      <c r="E3841" t="s">
        <v>179</v>
      </c>
      <c r="F3841" t="s">
        <v>304</v>
      </c>
      <c r="G3841" t="s">
        <v>9</v>
      </c>
      <c r="H3841">
        <v>2015.0</v>
      </c>
      <c r="I3841" t="s">
        <v>31</v>
      </c>
      <c r="J3841" t="s">
        <v>99</v>
      </c>
      <c r="K3841" t="s">
        <v>112</v>
      </c>
      <c r="L3841" t="s">
        <v>113</v>
      </c>
      <c r="M3841">
        <v>1294.3400000000001</v>
      </c>
    </row>
    <row r="3842">
      <c r="A3842" s="2">
        <v>45725</v>
      </c>
      <c r="B3842">
        <v>2025.0</v>
      </c>
      <c r="C3842" t="s">
        <v>315</v>
      </c>
      <c r="D3842" t="s">
        <v>316</v>
      </c>
      <c r="E3842" t="s">
        <v>150</v>
      </c>
      <c r="F3842" t="s">
        <v>310</v>
      </c>
      <c r="G3842" t="s">
        <v>15</v>
      </c>
      <c r="H3842">
        <v>7250.0</v>
      </c>
      <c r="I3842" t="s">
        <v>31</v>
      </c>
      <c r="J3842" t="s">
        <v>53</v>
      </c>
      <c r="K3842" t="s">
        <v>95</v>
      </c>
      <c r="L3842" t="s">
        <v>96</v>
      </c>
      <c r="M3842">
        <v>1294.73</v>
      </c>
    </row>
    <row r="3843">
      <c r="A3843" s="2">
        <v>45478</v>
      </c>
      <c r="B3843">
        <v>2025.0</v>
      </c>
      <c r="C3843" t="s">
        <v>315</v>
      </c>
      <c r="D3843" t="s">
        <v>316</v>
      </c>
      <c r="E3843" t="s">
        <v>177</v>
      </c>
      <c r="F3843" t="s">
        <v>307</v>
      </c>
      <c r="G3843" t="s">
        <v>12</v>
      </c>
      <c r="H3843">
        <v>6330.0</v>
      </c>
      <c r="I3843" t="s">
        <v>31</v>
      </c>
      <c r="J3843" t="s">
        <v>162</v>
      </c>
      <c r="K3843" t="s">
        <v>66</v>
      </c>
      <c r="L3843" t="s">
        <v>67</v>
      </c>
      <c r="M3843">
        <v>1298.8799999999999</v>
      </c>
    </row>
    <row r="3844">
      <c r="A3844" s="2">
        <v>45568</v>
      </c>
      <c r="B3844">
        <v>2025.0</v>
      </c>
      <c r="C3844" t="s">
        <v>315</v>
      </c>
      <c r="D3844" t="s">
        <v>316</v>
      </c>
      <c r="E3844" t="s">
        <v>246</v>
      </c>
      <c r="F3844" t="s">
        <v>305</v>
      </c>
      <c r="G3844" t="s">
        <v>10</v>
      </c>
      <c r="H3844">
        <v>3551.0</v>
      </c>
      <c r="I3844" t="s">
        <v>31</v>
      </c>
      <c r="J3844" t="s">
        <v>37</v>
      </c>
      <c r="K3844" t="s">
        <v>46</v>
      </c>
      <c r="L3844" t="s">
        <v>47</v>
      </c>
      <c r="M3844">
        <v>1298.9299999999998</v>
      </c>
    </row>
    <row r="3845">
      <c r="A3845" s="2">
        <v>45890</v>
      </c>
      <c r="B3845">
        <v>2026.0</v>
      </c>
      <c r="C3845" t="s">
        <v>321</v>
      </c>
      <c r="D3845" t="s">
        <v>316</v>
      </c>
      <c r="E3845" t="s">
        <v>219</v>
      </c>
      <c r="F3845" t="s">
        <v>306</v>
      </c>
      <c r="G3845" t="s">
        <v>11</v>
      </c>
      <c r="H3845">
        <v>4068.0</v>
      </c>
      <c r="I3845" t="s">
        <v>31</v>
      </c>
      <c r="J3845" t="s">
        <v>56</v>
      </c>
      <c r="K3845" t="s">
        <v>71</v>
      </c>
      <c r="L3845" t="s">
        <v>72</v>
      </c>
      <c r="M3845">
        <v>1301.8</v>
      </c>
    </row>
    <row r="3846">
      <c r="A3846" s="2">
        <v>45973</v>
      </c>
      <c r="B3846">
        <v>2026.0</v>
      </c>
      <c r="C3846" t="s">
        <v>321</v>
      </c>
      <c r="D3846" t="s">
        <v>316</v>
      </c>
      <c r="E3846" t="s">
        <v>211</v>
      </c>
      <c r="F3846" t="s">
        <v>304</v>
      </c>
      <c r="G3846" t="s">
        <v>9</v>
      </c>
      <c r="H3846">
        <v>2650.0</v>
      </c>
      <c r="I3846" t="s">
        <v>31</v>
      </c>
      <c r="J3846" t="s">
        <v>75</v>
      </c>
      <c r="K3846" t="s">
        <v>43</v>
      </c>
      <c r="L3846" t="s">
        <v>44</v>
      </c>
      <c r="M3846">
        <v>1306.3</v>
      </c>
    </row>
    <row r="3847">
      <c r="A3847" s="2">
        <v>45357</v>
      </c>
      <c r="B3847">
        <v>2024.0</v>
      </c>
      <c r="C3847" t="s">
        <v>318</v>
      </c>
      <c r="D3847" t="s">
        <v>316</v>
      </c>
      <c r="E3847" t="s">
        <v>114</v>
      </c>
      <c r="F3847" t="s">
        <v>304</v>
      </c>
      <c r="G3847" t="s">
        <v>9</v>
      </c>
      <c r="H3847">
        <v>2031.0</v>
      </c>
      <c r="I3847" t="s">
        <v>31</v>
      </c>
      <c r="J3847" t="s">
        <v>99</v>
      </c>
      <c r="K3847" t="s">
        <v>112</v>
      </c>
      <c r="L3847" t="s">
        <v>113</v>
      </c>
      <c r="M3847">
        <v>1308.1899999999998</v>
      </c>
    </row>
    <row r="3848">
      <c r="A3848" s="2">
        <v>45480</v>
      </c>
      <c r="B3848">
        <v>2025.0</v>
      </c>
      <c r="C3848" t="s">
        <v>315</v>
      </c>
      <c r="D3848" t="s">
        <v>316</v>
      </c>
      <c r="E3848" t="s">
        <v>221</v>
      </c>
      <c r="F3848" t="s">
        <v>306</v>
      </c>
      <c r="G3848" t="s">
        <v>11</v>
      </c>
      <c r="H3848">
        <v>4053.0</v>
      </c>
      <c r="I3848" t="s">
        <v>31</v>
      </c>
      <c r="J3848" t="s">
        <v>56</v>
      </c>
      <c r="K3848" t="s">
        <v>46</v>
      </c>
      <c r="L3848" t="s">
        <v>47</v>
      </c>
      <c r="M3848">
        <v>1314.9799999999998</v>
      </c>
    </row>
    <row r="3849">
      <c r="A3849" s="2">
        <v>45405</v>
      </c>
      <c r="B3849">
        <v>2024.0</v>
      </c>
      <c r="C3849" t="s">
        <v>318</v>
      </c>
      <c r="D3849" t="s">
        <v>316</v>
      </c>
      <c r="E3849" t="s">
        <v>139</v>
      </c>
      <c r="F3849" t="s">
        <v>305</v>
      </c>
      <c r="G3849" t="s">
        <v>10</v>
      </c>
      <c r="H3849">
        <v>3199.0</v>
      </c>
      <c r="I3849" t="s">
        <v>31</v>
      </c>
      <c r="J3849" t="s">
        <v>89</v>
      </c>
      <c r="K3849" t="s">
        <v>43</v>
      </c>
      <c r="L3849" t="s">
        <v>44</v>
      </c>
      <c r="M3849">
        <v>1315.8399999999997</v>
      </c>
    </row>
    <row r="3850">
      <c r="A3850" s="2">
        <v>45394</v>
      </c>
      <c r="B3850">
        <v>2024.0</v>
      </c>
      <c r="C3850" t="s">
        <v>318</v>
      </c>
      <c r="D3850" t="s">
        <v>316</v>
      </c>
      <c r="E3850" t="s">
        <v>234</v>
      </c>
      <c r="F3850" t="s">
        <v>304</v>
      </c>
      <c r="G3850" t="s">
        <v>9</v>
      </c>
      <c r="H3850">
        <v>2158.0</v>
      </c>
      <c r="I3850" t="s">
        <v>31</v>
      </c>
      <c r="J3850" t="s">
        <v>81</v>
      </c>
      <c r="K3850" t="s">
        <v>95</v>
      </c>
      <c r="L3850" t="s">
        <v>96</v>
      </c>
      <c r="M3850">
        <v>1316.53</v>
      </c>
    </row>
    <row r="3851">
      <c r="A3851" s="2">
        <v>45322</v>
      </c>
      <c r="B3851">
        <v>2024.0</v>
      </c>
      <c r="C3851" t="s">
        <v>318</v>
      </c>
      <c r="D3851" t="s">
        <v>316</v>
      </c>
      <c r="E3851" t="s">
        <v>163</v>
      </c>
      <c r="F3851" t="s">
        <v>304</v>
      </c>
      <c r="G3851" t="s">
        <v>9</v>
      </c>
      <c r="H3851">
        <v>2154.0</v>
      </c>
      <c r="I3851" t="s">
        <v>31</v>
      </c>
      <c r="J3851" t="s">
        <v>81</v>
      </c>
      <c r="K3851" t="s">
        <v>71</v>
      </c>
      <c r="L3851" t="s">
        <v>72</v>
      </c>
      <c r="M3851">
        <v>1316.56</v>
      </c>
    </row>
    <row r="3852">
      <c r="A3852" s="2">
        <v>45397</v>
      </c>
      <c r="B3852">
        <v>2024.0</v>
      </c>
      <c r="C3852" t="s">
        <v>318</v>
      </c>
      <c r="D3852" t="s">
        <v>316</v>
      </c>
      <c r="E3852" t="s">
        <v>59</v>
      </c>
      <c r="F3852" t="s">
        <v>306</v>
      </c>
      <c r="G3852" t="s">
        <v>11</v>
      </c>
      <c r="H3852">
        <v>4509.0</v>
      </c>
      <c r="I3852" t="s">
        <v>31</v>
      </c>
      <c r="J3852" t="s">
        <v>61</v>
      </c>
      <c r="K3852" t="s">
        <v>71</v>
      </c>
      <c r="L3852" t="s">
        <v>72</v>
      </c>
      <c r="M3852">
        <v>1316.6</v>
      </c>
    </row>
    <row r="3853">
      <c r="A3853" s="2">
        <v>45656</v>
      </c>
      <c r="B3853">
        <v>2025.0</v>
      </c>
      <c r="C3853" t="s">
        <v>315</v>
      </c>
      <c r="D3853" t="s">
        <v>316</v>
      </c>
      <c r="E3853" t="s">
        <v>246</v>
      </c>
      <c r="F3853" t="s">
        <v>305</v>
      </c>
      <c r="G3853" t="s">
        <v>10</v>
      </c>
      <c r="H3853">
        <v>3551.0</v>
      </c>
      <c r="I3853" t="s">
        <v>31</v>
      </c>
      <c r="J3853" t="s">
        <v>37</v>
      </c>
      <c r="K3853" t="s">
        <v>43</v>
      </c>
      <c r="L3853" t="s">
        <v>44</v>
      </c>
      <c r="M3853">
        <v>1317.65</v>
      </c>
    </row>
    <row r="3854">
      <c r="A3854" s="2">
        <v>45367</v>
      </c>
      <c r="B3854">
        <v>2024.0</v>
      </c>
      <c r="C3854" t="s">
        <v>318</v>
      </c>
      <c r="D3854" t="s">
        <v>316</v>
      </c>
      <c r="E3854" t="s">
        <v>133</v>
      </c>
      <c r="F3854" t="s">
        <v>305</v>
      </c>
      <c r="G3854" t="s">
        <v>10</v>
      </c>
      <c r="H3854">
        <v>3429.0</v>
      </c>
      <c r="I3854" t="s">
        <v>31</v>
      </c>
      <c r="J3854" t="s">
        <v>37</v>
      </c>
      <c r="K3854" t="s">
        <v>46</v>
      </c>
      <c r="L3854" t="s">
        <v>47</v>
      </c>
      <c r="M3854">
        <v>1318.03</v>
      </c>
    </row>
    <row r="3855">
      <c r="A3855" s="2">
        <v>45566</v>
      </c>
      <c r="B3855">
        <v>2025.0</v>
      </c>
      <c r="C3855" t="s">
        <v>315</v>
      </c>
      <c r="D3855" t="s">
        <v>316</v>
      </c>
      <c r="E3855" t="s">
        <v>193</v>
      </c>
      <c r="F3855" t="s">
        <v>304</v>
      </c>
      <c r="G3855" t="s">
        <v>9</v>
      </c>
      <c r="H3855">
        <v>2020.0</v>
      </c>
      <c r="I3855" t="s">
        <v>31</v>
      </c>
      <c r="J3855" t="s">
        <v>99</v>
      </c>
      <c r="K3855" t="s">
        <v>71</v>
      </c>
      <c r="L3855" t="s">
        <v>72</v>
      </c>
      <c r="M3855">
        <v>1322.81</v>
      </c>
    </row>
    <row r="3856">
      <c r="A3856" s="2">
        <v>45582</v>
      </c>
      <c r="B3856">
        <v>2025.0</v>
      </c>
      <c r="C3856" t="s">
        <v>315</v>
      </c>
      <c r="D3856" t="s">
        <v>316</v>
      </c>
      <c r="E3856" t="s">
        <v>250</v>
      </c>
      <c r="F3856" t="s">
        <v>305</v>
      </c>
      <c r="G3856" t="s">
        <v>10</v>
      </c>
      <c r="H3856">
        <v>3550.0</v>
      </c>
      <c r="I3856" t="s">
        <v>31</v>
      </c>
      <c r="J3856" t="s">
        <v>37</v>
      </c>
      <c r="K3856" t="s">
        <v>38</v>
      </c>
      <c r="L3856" t="s">
        <v>39</v>
      </c>
      <c r="M3856">
        <v>1322.8999999999999</v>
      </c>
    </row>
    <row r="3857">
      <c r="A3857" s="2">
        <v>45453</v>
      </c>
      <c r="B3857">
        <v>2024.0</v>
      </c>
      <c r="C3857" t="s">
        <v>318</v>
      </c>
      <c r="D3857" t="s">
        <v>316</v>
      </c>
      <c r="E3857" t="s">
        <v>158</v>
      </c>
      <c r="F3857" t="s">
        <v>306</v>
      </c>
      <c r="G3857" t="s">
        <v>11</v>
      </c>
      <c r="H3857">
        <v>4570.0</v>
      </c>
      <c r="I3857" t="s">
        <v>31</v>
      </c>
      <c r="J3857" t="s">
        <v>84</v>
      </c>
      <c r="K3857" t="s">
        <v>57</v>
      </c>
      <c r="L3857" t="s">
        <v>58</v>
      </c>
      <c r="M3857">
        <v>1324.48</v>
      </c>
    </row>
    <row r="3858">
      <c r="A3858" s="2">
        <v>45703</v>
      </c>
      <c r="B3858">
        <v>2025.0</v>
      </c>
      <c r="C3858" t="s">
        <v>315</v>
      </c>
      <c r="D3858" t="s">
        <v>316</v>
      </c>
      <c r="E3858" t="s">
        <v>199</v>
      </c>
      <c r="F3858" t="s">
        <v>308</v>
      </c>
      <c r="G3858" t="s">
        <v>13</v>
      </c>
      <c r="H3858">
        <v>5169.0</v>
      </c>
      <c r="I3858" t="s">
        <v>31</v>
      </c>
      <c r="J3858" t="s">
        <v>42</v>
      </c>
      <c r="K3858" t="s">
        <v>57</v>
      </c>
      <c r="L3858" t="s">
        <v>58</v>
      </c>
      <c r="M3858">
        <v>1325.69</v>
      </c>
    </row>
    <row r="3859">
      <c r="A3859" s="2">
        <v>45486</v>
      </c>
      <c r="B3859">
        <v>2025.0</v>
      </c>
      <c r="C3859" t="s">
        <v>315</v>
      </c>
      <c r="D3859" t="s">
        <v>316</v>
      </c>
      <c r="E3859" t="s">
        <v>108</v>
      </c>
      <c r="F3859" t="s">
        <v>304</v>
      </c>
      <c r="G3859" t="s">
        <v>9</v>
      </c>
      <c r="H3859">
        <v>2795.0</v>
      </c>
      <c r="I3859" t="s">
        <v>31</v>
      </c>
      <c r="J3859" t="s">
        <v>75</v>
      </c>
      <c r="K3859" t="s">
        <v>112</v>
      </c>
      <c r="L3859" t="s">
        <v>113</v>
      </c>
      <c r="M3859">
        <v>1327.69</v>
      </c>
    </row>
    <row r="3860">
      <c r="A3860" s="2">
        <v>45469</v>
      </c>
      <c r="B3860">
        <v>2024.0</v>
      </c>
      <c r="C3860" t="s">
        <v>318</v>
      </c>
      <c r="D3860" t="s">
        <v>316</v>
      </c>
      <c r="E3860" t="s">
        <v>154</v>
      </c>
      <c r="F3860" t="s">
        <v>306</v>
      </c>
      <c r="G3860" t="s">
        <v>11</v>
      </c>
      <c r="H3860">
        <v>4551.0</v>
      </c>
      <c r="I3860" t="s">
        <v>31</v>
      </c>
      <c r="J3860" t="s">
        <v>84</v>
      </c>
      <c r="K3860" t="s">
        <v>71</v>
      </c>
      <c r="L3860" t="s">
        <v>72</v>
      </c>
      <c r="M3860">
        <v>1331.67</v>
      </c>
    </row>
    <row r="3861">
      <c r="A3861" s="2">
        <v>45729</v>
      </c>
      <c r="B3861">
        <v>2025.0</v>
      </c>
      <c r="C3861" t="s">
        <v>315</v>
      </c>
      <c r="D3861" t="s">
        <v>316</v>
      </c>
      <c r="E3861" t="s">
        <v>108</v>
      </c>
      <c r="F3861" t="s">
        <v>304</v>
      </c>
      <c r="G3861" t="s">
        <v>9</v>
      </c>
      <c r="H3861">
        <v>2795.0</v>
      </c>
      <c r="I3861" t="s">
        <v>31</v>
      </c>
      <c r="J3861" t="s">
        <v>75</v>
      </c>
      <c r="K3861" t="s">
        <v>43</v>
      </c>
      <c r="L3861" t="s">
        <v>44</v>
      </c>
      <c r="M3861">
        <v>1331.9500000000003</v>
      </c>
    </row>
    <row r="3862">
      <c r="A3862" s="2">
        <v>45645</v>
      </c>
      <c r="B3862">
        <v>2025.0</v>
      </c>
      <c r="C3862" t="s">
        <v>315</v>
      </c>
      <c r="D3862" t="s">
        <v>316</v>
      </c>
      <c r="E3862" t="s">
        <v>154</v>
      </c>
      <c r="F3862" t="s">
        <v>306</v>
      </c>
      <c r="G3862" t="s">
        <v>11</v>
      </c>
      <c r="H3862">
        <v>4551.0</v>
      </c>
      <c r="I3862" t="s">
        <v>31</v>
      </c>
      <c r="J3862" t="s">
        <v>84</v>
      </c>
      <c r="K3862" t="s">
        <v>71</v>
      </c>
      <c r="L3862" t="s">
        <v>72</v>
      </c>
      <c r="M3862">
        <v>1334.1699999999998</v>
      </c>
    </row>
    <row r="3863">
      <c r="A3863" s="2">
        <v>45950</v>
      </c>
      <c r="B3863">
        <v>2026.0</v>
      </c>
      <c r="C3863" t="s">
        <v>321</v>
      </c>
      <c r="D3863" t="s">
        <v>316</v>
      </c>
      <c r="E3863" t="s">
        <v>260</v>
      </c>
      <c r="F3863" t="s">
        <v>305</v>
      </c>
      <c r="G3863" t="s">
        <v>10</v>
      </c>
      <c r="H3863">
        <v>3179.0</v>
      </c>
      <c r="I3863" t="s">
        <v>31</v>
      </c>
      <c r="J3863" t="s">
        <v>89</v>
      </c>
      <c r="K3863" t="s">
        <v>57</v>
      </c>
      <c r="L3863" t="s">
        <v>58</v>
      </c>
      <c r="M3863">
        <v>1335.4099999999999</v>
      </c>
    </row>
    <row r="3864">
      <c r="A3864" s="2">
        <v>45737</v>
      </c>
      <c r="B3864">
        <v>2025.0</v>
      </c>
      <c r="C3864" t="s">
        <v>315</v>
      </c>
      <c r="D3864" t="s">
        <v>316</v>
      </c>
      <c r="E3864" t="s">
        <v>62</v>
      </c>
      <c r="F3864" t="s">
        <v>307</v>
      </c>
      <c r="G3864" t="s">
        <v>12</v>
      </c>
      <c r="H3864">
        <v>6530.0</v>
      </c>
      <c r="I3864" t="s">
        <v>31</v>
      </c>
      <c r="J3864" t="s">
        <v>50</v>
      </c>
      <c r="K3864" t="s">
        <v>43</v>
      </c>
      <c r="L3864" t="s">
        <v>44</v>
      </c>
      <c r="M3864">
        <v>1335.7900000000002</v>
      </c>
    </row>
    <row r="3865">
      <c r="A3865" s="2">
        <v>45311</v>
      </c>
      <c r="B3865">
        <v>2024.0</v>
      </c>
      <c r="C3865" t="s">
        <v>318</v>
      </c>
      <c r="D3865" t="s">
        <v>316</v>
      </c>
      <c r="E3865" t="s">
        <v>175</v>
      </c>
      <c r="F3865" t="s">
        <v>311</v>
      </c>
      <c r="G3865" t="s">
        <v>16</v>
      </c>
      <c r="H3865">
        <v>2617.0</v>
      </c>
      <c r="I3865" t="s">
        <v>31</v>
      </c>
      <c r="J3865" t="s">
        <v>107</v>
      </c>
      <c r="K3865" t="s">
        <v>123</v>
      </c>
      <c r="L3865" t="s">
        <v>124</v>
      </c>
      <c r="M3865">
        <v>1340.7800000000002</v>
      </c>
    </row>
    <row r="3866">
      <c r="A3866" s="2">
        <v>45423</v>
      </c>
      <c r="B3866">
        <v>2024.0</v>
      </c>
      <c r="C3866" t="s">
        <v>318</v>
      </c>
      <c r="D3866" t="s">
        <v>319</v>
      </c>
      <c r="E3866" t="s">
        <v>165</v>
      </c>
      <c r="F3866" t="s">
        <v>304</v>
      </c>
      <c r="G3866" t="s">
        <v>9</v>
      </c>
      <c r="H3866">
        <v>2064.0</v>
      </c>
      <c r="I3866" t="s">
        <v>31</v>
      </c>
      <c r="J3866" t="s">
        <v>99</v>
      </c>
      <c r="K3866" t="s">
        <v>57</v>
      </c>
      <c r="L3866" t="s">
        <v>58</v>
      </c>
      <c r="M3866">
        <v>1340.9499999999998</v>
      </c>
    </row>
    <row r="3867">
      <c r="A3867" s="2">
        <v>45736</v>
      </c>
      <c r="B3867">
        <v>2025.0</v>
      </c>
      <c r="C3867" t="s">
        <v>315</v>
      </c>
      <c r="D3867" t="s">
        <v>316</v>
      </c>
      <c r="E3867" t="s">
        <v>240</v>
      </c>
      <c r="F3867" t="s">
        <v>310</v>
      </c>
      <c r="G3867" t="s">
        <v>15</v>
      </c>
      <c r="H3867">
        <v>7010.0</v>
      </c>
      <c r="I3867" t="s">
        <v>31</v>
      </c>
      <c r="J3867" t="s">
        <v>53</v>
      </c>
      <c r="K3867" t="s">
        <v>46</v>
      </c>
      <c r="L3867" t="s">
        <v>47</v>
      </c>
      <c r="M3867">
        <v>1343.96</v>
      </c>
    </row>
    <row r="3868">
      <c r="A3868" s="2">
        <v>45766</v>
      </c>
      <c r="B3868">
        <v>2025.0</v>
      </c>
      <c r="C3868" t="s">
        <v>315</v>
      </c>
      <c r="D3868" t="s">
        <v>316</v>
      </c>
      <c r="E3868" t="s">
        <v>167</v>
      </c>
      <c r="F3868" t="s">
        <v>307</v>
      </c>
      <c r="G3868" t="s">
        <v>12</v>
      </c>
      <c r="H3868">
        <v>6030.0</v>
      </c>
      <c r="I3868" t="s">
        <v>31</v>
      </c>
      <c r="J3868" t="s">
        <v>102</v>
      </c>
      <c r="K3868" t="s">
        <v>57</v>
      </c>
      <c r="L3868" t="s">
        <v>58</v>
      </c>
      <c r="M3868">
        <v>1344.5700000000002</v>
      </c>
    </row>
    <row r="3869">
      <c r="A3869" s="2">
        <v>45304</v>
      </c>
      <c r="B3869">
        <v>2024.0</v>
      </c>
      <c r="C3869" t="s">
        <v>318</v>
      </c>
      <c r="D3869" t="s">
        <v>316</v>
      </c>
      <c r="E3869" t="s">
        <v>40</v>
      </c>
      <c r="F3869" t="s">
        <v>308</v>
      </c>
      <c r="G3869" t="s">
        <v>13</v>
      </c>
      <c r="H3869">
        <v>5011.0</v>
      </c>
      <c r="I3869" t="s">
        <v>31</v>
      </c>
      <c r="J3869" t="s">
        <v>42</v>
      </c>
      <c r="K3869" t="s">
        <v>46</v>
      </c>
      <c r="L3869" t="s">
        <v>47</v>
      </c>
      <c r="M3869">
        <v>1347.3</v>
      </c>
    </row>
    <row r="3870">
      <c r="A3870" s="2">
        <v>45535</v>
      </c>
      <c r="B3870">
        <v>2025.0</v>
      </c>
      <c r="C3870" t="s">
        <v>315</v>
      </c>
      <c r="D3870" t="s">
        <v>316</v>
      </c>
      <c r="E3870" t="s">
        <v>238</v>
      </c>
      <c r="F3870" t="s">
        <v>308</v>
      </c>
      <c r="G3870" t="s">
        <v>13</v>
      </c>
      <c r="H3870">
        <v>5082.0</v>
      </c>
      <c r="I3870" t="s">
        <v>31</v>
      </c>
      <c r="J3870" t="s">
        <v>42</v>
      </c>
      <c r="K3870" t="s">
        <v>57</v>
      </c>
      <c r="L3870" t="s">
        <v>58</v>
      </c>
      <c r="M3870">
        <v>1348.18</v>
      </c>
    </row>
    <row r="3871">
      <c r="A3871" s="2">
        <v>45809</v>
      </c>
      <c r="B3871">
        <v>2025.0</v>
      </c>
      <c r="C3871" t="s">
        <v>315</v>
      </c>
      <c r="D3871" t="s">
        <v>316</v>
      </c>
      <c r="E3871" t="s">
        <v>240</v>
      </c>
      <c r="F3871" t="s">
        <v>310</v>
      </c>
      <c r="G3871" t="s">
        <v>15</v>
      </c>
      <c r="H3871">
        <v>7010.0</v>
      </c>
      <c r="I3871" t="s">
        <v>31</v>
      </c>
      <c r="J3871" t="s">
        <v>53</v>
      </c>
      <c r="K3871" t="s">
        <v>95</v>
      </c>
      <c r="L3871" t="s">
        <v>96</v>
      </c>
      <c r="M3871">
        <v>1349.51</v>
      </c>
    </row>
    <row r="3872">
      <c r="A3872" s="2">
        <v>45625</v>
      </c>
      <c r="B3872">
        <v>2025.0</v>
      </c>
      <c r="C3872" t="s">
        <v>315</v>
      </c>
      <c r="D3872" t="s">
        <v>316</v>
      </c>
      <c r="E3872" t="s">
        <v>92</v>
      </c>
      <c r="F3872" t="s">
        <v>305</v>
      </c>
      <c r="G3872" t="s">
        <v>10</v>
      </c>
      <c r="H3872">
        <v>3690.0</v>
      </c>
      <c r="I3872" t="s">
        <v>31</v>
      </c>
      <c r="J3872" t="s">
        <v>94</v>
      </c>
      <c r="K3872" t="s">
        <v>95</v>
      </c>
      <c r="L3872" t="s">
        <v>96</v>
      </c>
      <c r="M3872">
        <v>1352.06</v>
      </c>
    </row>
    <row r="3873">
      <c r="A3873" s="2">
        <v>45292</v>
      </c>
      <c r="B3873">
        <v>2024.0</v>
      </c>
      <c r="C3873" t="s">
        <v>318</v>
      </c>
      <c r="D3873" t="s">
        <v>316</v>
      </c>
      <c r="E3873" t="s">
        <v>59</v>
      </c>
      <c r="F3873" t="s">
        <v>306</v>
      </c>
      <c r="G3873" t="s">
        <v>11</v>
      </c>
      <c r="H3873">
        <v>4509.0</v>
      </c>
      <c r="I3873" t="s">
        <v>31</v>
      </c>
      <c r="J3873" t="s">
        <v>61</v>
      </c>
      <c r="K3873" t="s">
        <v>43</v>
      </c>
      <c r="L3873" t="s">
        <v>44</v>
      </c>
      <c r="M3873">
        <v>1354.21</v>
      </c>
    </row>
    <row r="3874">
      <c r="A3874" s="2">
        <v>45448</v>
      </c>
      <c r="B3874">
        <v>2024.0</v>
      </c>
      <c r="C3874" t="s">
        <v>318</v>
      </c>
      <c r="D3874" t="s">
        <v>319</v>
      </c>
      <c r="E3874" t="s">
        <v>256</v>
      </c>
      <c r="F3874" t="s">
        <v>304</v>
      </c>
      <c r="G3874" t="s">
        <v>9</v>
      </c>
      <c r="H3874">
        <v>2350.0</v>
      </c>
      <c r="I3874" t="s">
        <v>31</v>
      </c>
      <c r="J3874" t="s">
        <v>70</v>
      </c>
      <c r="K3874" t="s">
        <v>71</v>
      </c>
      <c r="L3874" t="s">
        <v>72</v>
      </c>
      <c r="M3874">
        <v>1354.81</v>
      </c>
    </row>
    <row r="3875">
      <c r="A3875" s="2">
        <v>45592</v>
      </c>
      <c r="B3875">
        <v>2025.0</v>
      </c>
      <c r="C3875" t="s">
        <v>315</v>
      </c>
      <c r="D3875" t="s">
        <v>316</v>
      </c>
      <c r="E3875" t="s">
        <v>193</v>
      </c>
      <c r="F3875" t="s">
        <v>304</v>
      </c>
      <c r="G3875" t="s">
        <v>9</v>
      </c>
      <c r="H3875">
        <v>2020.0</v>
      </c>
      <c r="I3875" t="s">
        <v>31</v>
      </c>
      <c r="J3875" t="s">
        <v>99</v>
      </c>
      <c r="K3875" t="s">
        <v>71</v>
      </c>
      <c r="L3875" t="s">
        <v>72</v>
      </c>
      <c r="M3875">
        <v>1357.43</v>
      </c>
    </row>
    <row r="3876">
      <c r="A3876" s="2">
        <v>45815</v>
      </c>
      <c r="B3876">
        <v>2025.0</v>
      </c>
      <c r="C3876" t="s">
        <v>315</v>
      </c>
      <c r="D3876" t="s">
        <v>316</v>
      </c>
      <c r="E3876" t="s">
        <v>64</v>
      </c>
      <c r="F3876" t="s">
        <v>306</v>
      </c>
      <c r="G3876" t="s">
        <v>11</v>
      </c>
      <c r="H3876">
        <v>4215.0</v>
      </c>
      <c r="I3876" t="s">
        <v>31</v>
      </c>
      <c r="J3876" t="s">
        <v>61</v>
      </c>
      <c r="K3876" t="s">
        <v>71</v>
      </c>
      <c r="L3876" t="s">
        <v>72</v>
      </c>
      <c r="M3876">
        <v>1361.63</v>
      </c>
    </row>
    <row r="3877">
      <c r="A3877" s="2">
        <v>45789</v>
      </c>
      <c r="B3877">
        <v>2025.0</v>
      </c>
      <c r="C3877" t="s">
        <v>315</v>
      </c>
      <c r="D3877" t="s">
        <v>316</v>
      </c>
      <c r="E3877" t="s">
        <v>211</v>
      </c>
      <c r="F3877" t="s">
        <v>304</v>
      </c>
      <c r="G3877" t="s">
        <v>9</v>
      </c>
      <c r="H3877">
        <v>2650.0</v>
      </c>
      <c r="I3877" t="s">
        <v>31</v>
      </c>
      <c r="J3877" t="s">
        <v>75</v>
      </c>
      <c r="K3877" t="s">
        <v>71</v>
      </c>
      <c r="L3877" t="s">
        <v>72</v>
      </c>
      <c r="M3877">
        <v>1364.0400000000002</v>
      </c>
    </row>
    <row r="3878">
      <c r="A3878" s="2">
        <v>46020</v>
      </c>
      <c r="B3878">
        <v>2026.0</v>
      </c>
      <c r="C3878" t="s">
        <v>321</v>
      </c>
      <c r="D3878" t="s">
        <v>316</v>
      </c>
      <c r="E3878" t="s">
        <v>62</v>
      </c>
      <c r="F3878" t="s">
        <v>307</v>
      </c>
      <c r="G3878" t="s">
        <v>12</v>
      </c>
      <c r="H3878">
        <v>6530.0</v>
      </c>
      <c r="I3878" t="s">
        <v>31</v>
      </c>
      <c r="J3878" t="s">
        <v>50</v>
      </c>
      <c r="K3878" t="s">
        <v>71</v>
      </c>
      <c r="L3878" t="s">
        <v>72</v>
      </c>
      <c r="M3878">
        <v>1369.14</v>
      </c>
    </row>
    <row r="3879">
      <c r="A3879" s="2">
        <v>45336</v>
      </c>
      <c r="B3879">
        <v>2024.0</v>
      </c>
      <c r="C3879" t="s">
        <v>318</v>
      </c>
      <c r="D3879" t="s">
        <v>316</v>
      </c>
      <c r="E3879" t="s">
        <v>116</v>
      </c>
      <c r="F3879" t="s">
        <v>304</v>
      </c>
      <c r="G3879" t="s">
        <v>9</v>
      </c>
      <c r="H3879">
        <v>2485.0</v>
      </c>
      <c r="I3879" t="s">
        <v>31</v>
      </c>
      <c r="J3879" t="s">
        <v>70</v>
      </c>
      <c r="K3879" t="s">
        <v>57</v>
      </c>
      <c r="L3879" t="s">
        <v>58</v>
      </c>
      <c r="M3879">
        <v>1369.3999999999999</v>
      </c>
    </row>
    <row r="3880">
      <c r="A3880" s="2">
        <v>45962</v>
      </c>
      <c r="B3880">
        <v>2026.0</v>
      </c>
      <c r="C3880" t="s">
        <v>321</v>
      </c>
      <c r="D3880" t="s">
        <v>316</v>
      </c>
      <c r="E3880" t="s">
        <v>244</v>
      </c>
      <c r="F3880" t="s">
        <v>308</v>
      </c>
      <c r="G3880" t="s">
        <v>13</v>
      </c>
      <c r="H3880">
        <v>5168.0</v>
      </c>
      <c r="I3880" t="s">
        <v>31</v>
      </c>
      <c r="J3880" t="s">
        <v>42</v>
      </c>
      <c r="K3880" t="s">
        <v>95</v>
      </c>
      <c r="L3880" t="s">
        <v>96</v>
      </c>
      <c r="M3880">
        <v>1372.4099999999999</v>
      </c>
    </row>
    <row r="3881">
      <c r="A3881" s="2">
        <v>45779</v>
      </c>
      <c r="B3881">
        <v>2025.0</v>
      </c>
      <c r="C3881" t="s">
        <v>315</v>
      </c>
      <c r="D3881" t="s">
        <v>316</v>
      </c>
      <c r="E3881" t="s">
        <v>108</v>
      </c>
      <c r="F3881" t="s">
        <v>304</v>
      </c>
      <c r="G3881" t="s">
        <v>9</v>
      </c>
      <c r="H3881">
        <v>2795.0</v>
      </c>
      <c r="I3881" t="s">
        <v>31</v>
      </c>
      <c r="J3881" t="s">
        <v>75</v>
      </c>
      <c r="K3881" t="s">
        <v>71</v>
      </c>
      <c r="L3881" t="s">
        <v>72</v>
      </c>
      <c r="M3881">
        <v>1379.7000000000003</v>
      </c>
    </row>
    <row r="3882">
      <c r="A3882" s="2">
        <v>45968</v>
      </c>
      <c r="B3882">
        <v>2026.0</v>
      </c>
      <c r="C3882" t="s">
        <v>321</v>
      </c>
      <c r="D3882" t="s">
        <v>319</v>
      </c>
      <c r="E3882" t="s">
        <v>262</v>
      </c>
      <c r="F3882" t="s">
        <v>305</v>
      </c>
      <c r="G3882" t="s">
        <v>10</v>
      </c>
      <c r="H3882">
        <v>3018.0</v>
      </c>
      <c r="I3882" t="s">
        <v>31</v>
      </c>
      <c r="J3882" t="s">
        <v>120</v>
      </c>
      <c r="K3882" t="s">
        <v>112</v>
      </c>
      <c r="L3882" t="s">
        <v>113</v>
      </c>
      <c r="M3882">
        <v>1388.12</v>
      </c>
    </row>
    <row r="3883">
      <c r="A3883" s="2">
        <v>45823</v>
      </c>
      <c r="B3883">
        <v>2025.0</v>
      </c>
      <c r="C3883" t="s">
        <v>315</v>
      </c>
      <c r="D3883" t="s">
        <v>316</v>
      </c>
      <c r="E3883" t="s">
        <v>207</v>
      </c>
      <c r="F3883" t="s">
        <v>306</v>
      </c>
      <c r="G3883" t="s">
        <v>11</v>
      </c>
      <c r="H3883">
        <v>4825.0</v>
      </c>
      <c r="I3883" t="s">
        <v>31</v>
      </c>
      <c r="J3883" t="s">
        <v>78</v>
      </c>
      <c r="K3883" t="s">
        <v>57</v>
      </c>
      <c r="L3883" t="s">
        <v>58</v>
      </c>
      <c r="M3883">
        <v>1392.32</v>
      </c>
    </row>
    <row r="3884">
      <c r="A3884" s="2">
        <v>45532</v>
      </c>
      <c r="B3884">
        <v>2025.0</v>
      </c>
      <c r="C3884" t="s">
        <v>315</v>
      </c>
      <c r="D3884" t="s">
        <v>316</v>
      </c>
      <c r="E3884" t="s">
        <v>160</v>
      </c>
      <c r="F3884" t="s">
        <v>307</v>
      </c>
      <c r="G3884" t="s">
        <v>12</v>
      </c>
      <c r="H3884">
        <v>6280.0</v>
      </c>
      <c r="I3884" t="s">
        <v>31</v>
      </c>
      <c r="J3884" t="s">
        <v>162</v>
      </c>
      <c r="K3884" t="s">
        <v>71</v>
      </c>
      <c r="L3884" t="s">
        <v>72</v>
      </c>
      <c r="M3884">
        <v>1404.29</v>
      </c>
    </row>
    <row r="3885">
      <c r="A3885" s="2">
        <v>45718</v>
      </c>
      <c r="B3885">
        <v>2025.0</v>
      </c>
      <c r="C3885" t="s">
        <v>315</v>
      </c>
      <c r="D3885" t="s">
        <v>316</v>
      </c>
      <c r="E3885" t="s">
        <v>246</v>
      </c>
      <c r="F3885" t="s">
        <v>305</v>
      </c>
      <c r="G3885" t="s">
        <v>10</v>
      </c>
      <c r="H3885">
        <v>3551.0</v>
      </c>
      <c r="I3885" t="s">
        <v>31</v>
      </c>
      <c r="J3885" t="s">
        <v>37</v>
      </c>
      <c r="K3885" t="s">
        <v>71</v>
      </c>
      <c r="L3885" t="s">
        <v>72</v>
      </c>
      <c r="M3885">
        <v>1405.2700000000002</v>
      </c>
    </row>
    <row r="3886">
      <c r="A3886" s="2">
        <v>45456</v>
      </c>
      <c r="B3886">
        <v>2024.0</v>
      </c>
      <c r="C3886" t="s">
        <v>318</v>
      </c>
      <c r="D3886" t="s">
        <v>319</v>
      </c>
      <c r="E3886" t="s">
        <v>165</v>
      </c>
      <c r="F3886" t="s">
        <v>304</v>
      </c>
      <c r="G3886" t="s">
        <v>9</v>
      </c>
      <c r="H3886">
        <v>2064.0</v>
      </c>
      <c r="I3886" t="s">
        <v>31</v>
      </c>
      <c r="J3886" t="s">
        <v>99</v>
      </c>
      <c r="K3886" t="s">
        <v>43</v>
      </c>
      <c r="L3886" t="s">
        <v>44</v>
      </c>
      <c r="M3886">
        <v>1406.6399999999999</v>
      </c>
    </row>
    <row r="3887">
      <c r="A3887" s="2">
        <v>45949</v>
      </c>
      <c r="B3887">
        <v>2026.0</v>
      </c>
      <c r="C3887" t="s">
        <v>321</v>
      </c>
      <c r="D3887" t="s">
        <v>316</v>
      </c>
      <c r="E3887" t="s">
        <v>139</v>
      </c>
      <c r="F3887" t="s">
        <v>305</v>
      </c>
      <c r="G3887" t="s">
        <v>10</v>
      </c>
      <c r="H3887">
        <v>3199.0</v>
      </c>
      <c r="I3887" t="s">
        <v>31</v>
      </c>
      <c r="J3887" t="s">
        <v>89</v>
      </c>
      <c r="K3887" t="s">
        <v>46</v>
      </c>
      <c r="L3887" t="s">
        <v>47</v>
      </c>
      <c r="M3887">
        <v>1409.15</v>
      </c>
    </row>
    <row r="3888">
      <c r="A3888" s="2">
        <v>45950</v>
      </c>
      <c r="B3888">
        <v>2026.0</v>
      </c>
      <c r="C3888" t="s">
        <v>321</v>
      </c>
      <c r="D3888" t="s">
        <v>316</v>
      </c>
      <c r="E3888" t="s">
        <v>156</v>
      </c>
      <c r="F3888" t="s">
        <v>304</v>
      </c>
      <c r="G3888" t="s">
        <v>9</v>
      </c>
      <c r="H3888">
        <v>2830.0</v>
      </c>
      <c r="I3888" t="s">
        <v>31</v>
      </c>
      <c r="J3888" t="s">
        <v>75</v>
      </c>
      <c r="K3888" t="s">
        <v>43</v>
      </c>
      <c r="L3888" t="s">
        <v>44</v>
      </c>
      <c r="M3888">
        <v>1413.3300000000002</v>
      </c>
    </row>
    <row r="3889">
      <c r="A3889" s="2">
        <v>45381</v>
      </c>
      <c r="B3889">
        <v>2024.0</v>
      </c>
      <c r="C3889" t="s">
        <v>318</v>
      </c>
      <c r="D3889" t="s">
        <v>319</v>
      </c>
      <c r="E3889" t="s">
        <v>90</v>
      </c>
      <c r="F3889" t="s">
        <v>305</v>
      </c>
      <c r="G3889" t="s">
        <v>10</v>
      </c>
      <c r="H3889">
        <v>3353.0</v>
      </c>
      <c r="I3889" t="s">
        <v>31</v>
      </c>
      <c r="J3889" t="s">
        <v>37</v>
      </c>
      <c r="K3889" t="s">
        <v>66</v>
      </c>
      <c r="L3889" t="s">
        <v>67</v>
      </c>
      <c r="M3889">
        <v>1413.93</v>
      </c>
    </row>
    <row r="3890">
      <c r="A3890" s="2">
        <v>45754</v>
      </c>
      <c r="B3890">
        <v>2025.0</v>
      </c>
      <c r="C3890" t="s">
        <v>315</v>
      </c>
      <c r="D3890" t="s">
        <v>316</v>
      </c>
      <c r="E3890" t="s">
        <v>228</v>
      </c>
      <c r="F3890" t="s">
        <v>306</v>
      </c>
      <c r="G3890" t="s">
        <v>11</v>
      </c>
      <c r="H3890">
        <v>4680.0</v>
      </c>
      <c r="I3890" t="s">
        <v>31</v>
      </c>
      <c r="J3890" t="s">
        <v>32</v>
      </c>
      <c r="K3890" t="s">
        <v>46</v>
      </c>
      <c r="L3890" t="s">
        <v>47</v>
      </c>
      <c r="M3890">
        <v>1414.1299999999999</v>
      </c>
    </row>
    <row r="3891">
      <c r="A3891" s="2">
        <v>45481</v>
      </c>
      <c r="B3891">
        <v>2025.0</v>
      </c>
      <c r="C3891" t="s">
        <v>315</v>
      </c>
      <c r="D3891" t="s">
        <v>319</v>
      </c>
      <c r="E3891" t="s">
        <v>262</v>
      </c>
      <c r="F3891" t="s">
        <v>305</v>
      </c>
      <c r="G3891" t="s">
        <v>10</v>
      </c>
      <c r="H3891">
        <v>3018.0</v>
      </c>
      <c r="I3891" t="s">
        <v>31</v>
      </c>
      <c r="J3891" t="s">
        <v>120</v>
      </c>
      <c r="K3891" t="s">
        <v>46</v>
      </c>
      <c r="L3891" t="s">
        <v>47</v>
      </c>
      <c r="M3891">
        <v>1415.48</v>
      </c>
    </row>
    <row r="3892">
      <c r="A3892" s="2">
        <v>45736</v>
      </c>
      <c r="B3892">
        <v>2025.0</v>
      </c>
      <c r="C3892" t="s">
        <v>315</v>
      </c>
      <c r="D3892" t="s">
        <v>319</v>
      </c>
      <c r="E3892" t="s">
        <v>148</v>
      </c>
      <c r="F3892" t="s">
        <v>307</v>
      </c>
      <c r="G3892" t="s">
        <v>12</v>
      </c>
      <c r="H3892">
        <v>6450.0</v>
      </c>
      <c r="I3892" t="s">
        <v>31</v>
      </c>
      <c r="J3892" t="s">
        <v>50</v>
      </c>
      <c r="K3892" t="s">
        <v>46</v>
      </c>
      <c r="L3892" t="s">
        <v>47</v>
      </c>
      <c r="M3892">
        <v>1416.15</v>
      </c>
    </row>
    <row r="3893">
      <c r="A3893" s="2">
        <v>45665</v>
      </c>
      <c r="B3893">
        <v>2025.0</v>
      </c>
      <c r="C3893" t="s">
        <v>315</v>
      </c>
      <c r="D3893" t="s">
        <v>316</v>
      </c>
      <c r="E3893" t="s">
        <v>213</v>
      </c>
      <c r="F3893" t="s">
        <v>306</v>
      </c>
      <c r="G3893" t="s">
        <v>11</v>
      </c>
      <c r="H3893">
        <v>4740.0</v>
      </c>
      <c r="I3893" t="s">
        <v>31</v>
      </c>
      <c r="J3893" t="s">
        <v>32</v>
      </c>
      <c r="K3893" t="s">
        <v>46</v>
      </c>
      <c r="L3893" t="s">
        <v>47</v>
      </c>
      <c r="M3893">
        <v>1419.4699999999996</v>
      </c>
    </row>
    <row r="3894">
      <c r="A3894" s="2">
        <v>45901</v>
      </c>
      <c r="B3894">
        <v>2026.0</v>
      </c>
      <c r="C3894" t="s">
        <v>321</v>
      </c>
      <c r="D3894" t="s">
        <v>316</v>
      </c>
      <c r="E3894" t="s">
        <v>118</v>
      </c>
      <c r="F3894" t="s">
        <v>305</v>
      </c>
      <c r="G3894" t="s">
        <v>10</v>
      </c>
      <c r="H3894">
        <v>3076.0</v>
      </c>
      <c r="I3894" t="s">
        <v>31</v>
      </c>
      <c r="J3894" t="s">
        <v>120</v>
      </c>
      <c r="K3894" t="s">
        <v>71</v>
      </c>
      <c r="L3894" t="s">
        <v>72</v>
      </c>
      <c r="M3894">
        <v>1419.69</v>
      </c>
    </row>
    <row r="3895">
      <c r="A3895" s="2">
        <v>45701</v>
      </c>
      <c r="B3895">
        <v>2025.0</v>
      </c>
      <c r="C3895" t="s">
        <v>315</v>
      </c>
      <c r="D3895" t="s">
        <v>319</v>
      </c>
      <c r="E3895" t="s">
        <v>262</v>
      </c>
      <c r="F3895" t="s">
        <v>305</v>
      </c>
      <c r="G3895" t="s">
        <v>10</v>
      </c>
      <c r="H3895">
        <v>3018.0</v>
      </c>
      <c r="I3895" t="s">
        <v>31</v>
      </c>
      <c r="J3895" t="s">
        <v>120</v>
      </c>
      <c r="K3895" t="s">
        <v>71</v>
      </c>
      <c r="L3895" t="s">
        <v>72</v>
      </c>
      <c r="M3895">
        <v>1421.04</v>
      </c>
    </row>
    <row r="3896">
      <c r="A3896" s="2">
        <v>45319</v>
      </c>
      <c r="B3896">
        <v>2024.0</v>
      </c>
      <c r="C3896" t="s">
        <v>318</v>
      </c>
      <c r="D3896" t="s">
        <v>316</v>
      </c>
      <c r="E3896" t="s">
        <v>193</v>
      </c>
      <c r="F3896" t="s">
        <v>304</v>
      </c>
      <c r="G3896" t="s">
        <v>9</v>
      </c>
      <c r="H3896">
        <v>2020.0</v>
      </c>
      <c r="I3896" t="s">
        <v>31</v>
      </c>
      <c r="J3896" t="s">
        <v>99</v>
      </c>
      <c r="K3896" t="s">
        <v>43</v>
      </c>
      <c r="L3896" t="s">
        <v>44</v>
      </c>
      <c r="M3896">
        <v>1425.63</v>
      </c>
    </row>
    <row r="3897">
      <c r="A3897" s="2">
        <v>45649</v>
      </c>
      <c r="B3897">
        <v>2025.0</v>
      </c>
      <c r="C3897" t="s">
        <v>315</v>
      </c>
      <c r="D3897" t="s">
        <v>316</v>
      </c>
      <c r="E3897" t="s">
        <v>252</v>
      </c>
      <c r="F3897" t="s">
        <v>305</v>
      </c>
      <c r="G3897" t="s">
        <v>10</v>
      </c>
      <c r="H3897">
        <v>3630.0</v>
      </c>
      <c r="I3897" t="s">
        <v>31</v>
      </c>
      <c r="J3897" t="s">
        <v>94</v>
      </c>
      <c r="K3897" t="s">
        <v>95</v>
      </c>
      <c r="L3897" t="s">
        <v>96</v>
      </c>
      <c r="M3897">
        <v>1425.6599999999999</v>
      </c>
    </row>
    <row r="3898">
      <c r="A3898" s="2">
        <v>45927</v>
      </c>
      <c r="B3898">
        <v>2026.0</v>
      </c>
      <c r="C3898" t="s">
        <v>321</v>
      </c>
      <c r="D3898" t="s">
        <v>316</v>
      </c>
      <c r="E3898" t="s">
        <v>219</v>
      </c>
      <c r="F3898" t="s">
        <v>306</v>
      </c>
      <c r="G3898" t="s">
        <v>11</v>
      </c>
      <c r="H3898">
        <v>4068.0</v>
      </c>
      <c r="I3898" t="s">
        <v>31</v>
      </c>
      <c r="J3898" t="s">
        <v>56</v>
      </c>
      <c r="K3898" t="s">
        <v>71</v>
      </c>
      <c r="L3898" t="s">
        <v>72</v>
      </c>
      <c r="M3898">
        <v>1426.21</v>
      </c>
    </row>
    <row r="3899">
      <c r="A3899" s="2">
        <v>45578</v>
      </c>
      <c r="B3899">
        <v>2025.0</v>
      </c>
      <c r="C3899" t="s">
        <v>315</v>
      </c>
      <c r="D3899" t="s">
        <v>319</v>
      </c>
      <c r="E3899" t="s">
        <v>179</v>
      </c>
      <c r="F3899" t="s">
        <v>304</v>
      </c>
      <c r="G3899" t="s">
        <v>9</v>
      </c>
      <c r="H3899">
        <v>2015.0</v>
      </c>
      <c r="I3899" t="s">
        <v>31</v>
      </c>
      <c r="J3899" t="s">
        <v>99</v>
      </c>
      <c r="K3899" t="s">
        <v>46</v>
      </c>
      <c r="L3899" t="s">
        <v>47</v>
      </c>
      <c r="M3899">
        <v>1428.9</v>
      </c>
    </row>
    <row r="3900">
      <c r="A3900" s="2">
        <v>45961</v>
      </c>
      <c r="B3900">
        <v>2026.0</v>
      </c>
      <c r="C3900" t="s">
        <v>321</v>
      </c>
      <c r="D3900" t="s">
        <v>319</v>
      </c>
      <c r="E3900" t="s">
        <v>256</v>
      </c>
      <c r="F3900" t="s">
        <v>304</v>
      </c>
      <c r="G3900" t="s">
        <v>9</v>
      </c>
      <c r="H3900">
        <v>2350.0</v>
      </c>
      <c r="I3900" t="s">
        <v>31</v>
      </c>
      <c r="J3900" t="s">
        <v>70</v>
      </c>
      <c r="K3900" t="s">
        <v>43</v>
      </c>
      <c r="L3900" t="s">
        <v>44</v>
      </c>
      <c r="M3900">
        <v>1430.29</v>
      </c>
    </row>
    <row r="3901">
      <c r="A3901" s="2">
        <v>45430</v>
      </c>
      <c r="B3901">
        <v>2024.0</v>
      </c>
      <c r="C3901" t="s">
        <v>318</v>
      </c>
      <c r="D3901" t="s">
        <v>316</v>
      </c>
      <c r="E3901" t="s">
        <v>240</v>
      </c>
      <c r="F3901" t="s">
        <v>310</v>
      </c>
      <c r="G3901" t="s">
        <v>15</v>
      </c>
      <c r="H3901">
        <v>7010.0</v>
      </c>
      <c r="I3901" t="s">
        <v>31</v>
      </c>
      <c r="J3901" t="s">
        <v>53</v>
      </c>
      <c r="K3901" t="s">
        <v>57</v>
      </c>
      <c r="L3901" t="s">
        <v>58</v>
      </c>
      <c r="M3901">
        <v>1431.45</v>
      </c>
    </row>
    <row r="3902">
      <c r="A3902" s="2">
        <v>45658</v>
      </c>
      <c r="B3902">
        <v>2025.0</v>
      </c>
      <c r="C3902" t="s">
        <v>315</v>
      </c>
      <c r="D3902" t="s">
        <v>316</v>
      </c>
      <c r="E3902" t="s">
        <v>133</v>
      </c>
      <c r="F3902" t="s">
        <v>305</v>
      </c>
      <c r="G3902" t="s">
        <v>10</v>
      </c>
      <c r="H3902">
        <v>3429.0</v>
      </c>
      <c r="I3902" t="s">
        <v>31</v>
      </c>
      <c r="J3902" t="s">
        <v>37</v>
      </c>
      <c r="K3902" t="s">
        <v>57</v>
      </c>
      <c r="L3902" t="s">
        <v>58</v>
      </c>
      <c r="M3902">
        <v>1434.67</v>
      </c>
    </row>
    <row r="3903">
      <c r="A3903" s="2">
        <v>45551</v>
      </c>
      <c r="B3903">
        <v>2025.0</v>
      </c>
      <c r="C3903" t="s">
        <v>315</v>
      </c>
      <c r="D3903" t="s">
        <v>319</v>
      </c>
      <c r="E3903" t="s">
        <v>76</v>
      </c>
      <c r="F3903" t="s">
        <v>306</v>
      </c>
      <c r="G3903" t="s">
        <v>11</v>
      </c>
      <c r="H3903">
        <v>4883.0</v>
      </c>
      <c r="I3903" t="s">
        <v>31</v>
      </c>
      <c r="J3903" t="s">
        <v>78</v>
      </c>
      <c r="K3903" t="s">
        <v>95</v>
      </c>
      <c r="L3903" t="s">
        <v>96</v>
      </c>
      <c r="M3903">
        <v>1434.96</v>
      </c>
    </row>
    <row r="3904">
      <c r="A3904" s="2">
        <v>45879</v>
      </c>
      <c r="B3904">
        <v>2026.0</v>
      </c>
      <c r="C3904" t="s">
        <v>321</v>
      </c>
      <c r="D3904" t="s">
        <v>319</v>
      </c>
      <c r="E3904" t="s">
        <v>256</v>
      </c>
      <c r="F3904" t="s">
        <v>304</v>
      </c>
      <c r="G3904" t="s">
        <v>9</v>
      </c>
      <c r="H3904">
        <v>2350.0</v>
      </c>
      <c r="I3904" t="s">
        <v>31</v>
      </c>
      <c r="J3904" t="s">
        <v>70</v>
      </c>
      <c r="K3904" t="s">
        <v>57</v>
      </c>
      <c r="L3904" t="s">
        <v>58</v>
      </c>
      <c r="M3904">
        <v>1437.5700000000002</v>
      </c>
    </row>
    <row r="3905">
      <c r="A3905" s="2">
        <v>45470</v>
      </c>
      <c r="B3905">
        <v>2024.0</v>
      </c>
      <c r="C3905" t="s">
        <v>318</v>
      </c>
      <c r="D3905" t="s">
        <v>316</v>
      </c>
      <c r="E3905" t="s">
        <v>118</v>
      </c>
      <c r="F3905" t="s">
        <v>305</v>
      </c>
      <c r="G3905" t="s">
        <v>10</v>
      </c>
      <c r="H3905">
        <v>3076.0</v>
      </c>
      <c r="I3905" t="s">
        <v>31</v>
      </c>
      <c r="J3905" t="s">
        <v>120</v>
      </c>
      <c r="K3905" t="s">
        <v>33</v>
      </c>
      <c r="L3905" t="s">
        <v>34</v>
      </c>
      <c r="M3905">
        <v>1438.7499999999998</v>
      </c>
    </row>
    <row r="3906">
      <c r="A3906" s="2">
        <v>45472</v>
      </c>
      <c r="B3906">
        <v>2024.0</v>
      </c>
      <c r="C3906" t="s">
        <v>318</v>
      </c>
      <c r="D3906" t="s">
        <v>316</v>
      </c>
      <c r="E3906" t="s">
        <v>160</v>
      </c>
      <c r="F3906" t="s">
        <v>307</v>
      </c>
      <c r="G3906" t="s">
        <v>12</v>
      </c>
      <c r="H3906">
        <v>6280.0</v>
      </c>
      <c r="I3906" t="s">
        <v>31</v>
      </c>
      <c r="J3906" t="s">
        <v>162</v>
      </c>
      <c r="K3906" t="s">
        <v>43</v>
      </c>
      <c r="L3906" t="s">
        <v>44</v>
      </c>
      <c r="M3906">
        <v>1441.91</v>
      </c>
    </row>
    <row r="3907">
      <c r="A3907" s="2">
        <v>46011</v>
      </c>
      <c r="B3907">
        <v>2026.0</v>
      </c>
      <c r="C3907" t="s">
        <v>321</v>
      </c>
      <c r="D3907" t="s">
        <v>316</v>
      </c>
      <c r="E3907" t="s">
        <v>114</v>
      </c>
      <c r="F3907" t="s">
        <v>304</v>
      </c>
      <c r="G3907" t="s">
        <v>9</v>
      </c>
      <c r="H3907">
        <v>2031.0</v>
      </c>
      <c r="I3907" t="s">
        <v>31</v>
      </c>
      <c r="J3907" t="s">
        <v>99</v>
      </c>
      <c r="K3907" t="s">
        <v>71</v>
      </c>
      <c r="L3907" t="s">
        <v>72</v>
      </c>
      <c r="M3907">
        <v>1442.9899999999998</v>
      </c>
    </row>
    <row r="3908">
      <c r="A3908" s="2">
        <v>45758</v>
      </c>
      <c r="B3908">
        <v>2025.0</v>
      </c>
      <c r="C3908" t="s">
        <v>315</v>
      </c>
      <c r="D3908" t="s">
        <v>316</v>
      </c>
      <c r="E3908" t="s">
        <v>51</v>
      </c>
      <c r="F3908" t="s">
        <v>310</v>
      </c>
      <c r="G3908" t="s">
        <v>15</v>
      </c>
      <c r="H3908">
        <v>7018.0</v>
      </c>
      <c r="I3908" t="s">
        <v>31</v>
      </c>
      <c r="J3908" t="s">
        <v>53</v>
      </c>
      <c r="K3908" t="s">
        <v>57</v>
      </c>
      <c r="L3908" t="s">
        <v>58</v>
      </c>
      <c r="M3908">
        <v>1443.0800000000002</v>
      </c>
    </row>
    <row r="3909">
      <c r="A3909" s="2">
        <v>45885</v>
      </c>
      <c r="B3909">
        <v>2026.0</v>
      </c>
      <c r="C3909" t="s">
        <v>321</v>
      </c>
      <c r="D3909" t="s">
        <v>316</v>
      </c>
      <c r="E3909" t="s">
        <v>163</v>
      </c>
      <c r="F3909" t="s">
        <v>304</v>
      </c>
      <c r="G3909" t="s">
        <v>9</v>
      </c>
      <c r="H3909">
        <v>2154.0</v>
      </c>
      <c r="I3909" t="s">
        <v>31</v>
      </c>
      <c r="J3909" t="s">
        <v>81</v>
      </c>
      <c r="K3909" t="s">
        <v>57</v>
      </c>
      <c r="L3909" t="s">
        <v>58</v>
      </c>
      <c r="M3909">
        <v>1444.28</v>
      </c>
    </row>
    <row r="3910">
      <c r="A3910" s="2">
        <v>45563</v>
      </c>
      <c r="B3910">
        <v>2025.0</v>
      </c>
      <c r="C3910" t="s">
        <v>315</v>
      </c>
      <c r="D3910" t="s">
        <v>316</v>
      </c>
      <c r="E3910" t="s">
        <v>250</v>
      </c>
      <c r="F3910" t="s">
        <v>305</v>
      </c>
      <c r="G3910" t="s">
        <v>10</v>
      </c>
      <c r="H3910">
        <v>3550.0</v>
      </c>
      <c r="I3910" t="s">
        <v>31</v>
      </c>
      <c r="J3910" t="s">
        <v>37</v>
      </c>
      <c r="K3910" t="s">
        <v>71</v>
      </c>
      <c r="L3910" t="s">
        <v>72</v>
      </c>
      <c r="M3910">
        <v>1448.8899999999999</v>
      </c>
    </row>
    <row r="3911">
      <c r="A3911" s="2">
        <v>45879</v>
      </c>
      <c r="B3911">
        <v>2026.0</v>
      </c>
      <c r="C3911" t="s">
        <v>321</v>
      </c>
      <c r="D3911" t="s">
        <v>316</v>
      </c>
      <c r="E3911" t="s">
        <v>154</v>
      </c>
      <c r="F3911" t="s">
        <v>306</v>
      </c>
      <c r="G3911" t="s">
        <v>11</v>
      </c>
      <c r="H3911">
        <v>4551.0</v>
      </c>
      <c r="I3911" t="s">
        <v>31</v>
      </c>
      <c r="J3911" t="s">
        <v>84</v>
      </c>
      <c r="K3911" t="s">
        <v>43</v>
      </c>
      <c r="L3911" t="s">
        <v>44</v>
      </c>
      <c r="M3911">
        <v>1450.49</v>
      </c>
    </row>
    <row r="3912">
      <c r="A3912" s="2">
        <v>45419</v>
      </c>
      <c r="B3912">
        <v>2024.0</v>
      </c>
      <c r="C3912" t="s">
        <v>318</v>
      </c>
      <c r="D3912" t="s">
        <v>319</v>
      </c>
      <c r="E3912" t="s">
        <v>228</v>
      </c>
      <c r="F3912" t="s">
        <v>306</v>
      </c>
      <c r="G3912" t="s">
        <v>11</v>
      </c>
      <c r="H3912">
        <v>4680.0</v>
      </c>
      <c r="I3912" t="s">
        <v>31</v>
      </c>
      <c r="J3912" t="s">
        <v>32</v>
      </c>
      <c r="K3912" t="s">
        <v>57</v>
      </c>
      <c r="L3912" t="s">
        <v>58</v>
      </c>
      <c r="M3912">
        <v>1452.26</v>
      </c>
    </row>
    <row r="3913">
      <c r="A3913" s="2">
        <v>45957</v>
      </c>
      <c r="B3913">
        <v>2026.0</v>
      </c>
      <c r="C3913" t="s">
        <v>321</v>
      </c>
      <c r="D3913" t="s">
        <v>316</v>
      </c>
      <c r="E3913" t="s">
        <v>92</v>
      </c>
      <c r="F3913" t="s">
        <v>305</v>
      </c>
      <c r="G3913" t="s">
        <v>10</v>
      </c>
      <c r="H3913">
        <v>3690.0</v>
      </c>
      <c r="I3913" t="s">
        <v>31</v>
      </c>
      <c r="J3913" t="s">
        <v>94</v>
      </c>
      <c r="K3913" t="s">
        <v>57</v>
      </c>
      <c r="L3913" t="s">
        <v>58</v>
      </c>
      <c r="M3913">
        <v>1458.73</v>
      </c>
    </row>
    <row r="3914">
      <c r="A3914" s="2">
        <v>45875</v>
      </c>
      <c r="B3914">
        <v>2026.0</v>
      </c>
      <c r="C3914" t="s">
        <v>321</v>
      </c>
      <c r="D3914" t="s">
        <v>316</v>
      </c>
      <c r="E3914" t="s">
        <v>201</v>
      </c>
      <c r="F3914" t="s">
        <v>305</v>
      </c>
      <c r="G3914" t="s">
        <v>10</v>
      </c>
      <c r="H3914">
        <v>3131.0</v>
      </c>
      <c r="I3914" t="s">
        <v>31</v>
      </c>
      <c r="J3914" t="s">
        <v>89</v>
      </c>
      <c r="K3914" t="s">
        <v>46</v>
      </c>
      <c r="L3914" t="s">
        <v>47</v>
      </c>
      <c r="M3914">
        <v>1460.24</v>
      </c>
    </row>
    <row r="3915">
      <c r="A3915" s="2">
        <v>45380</v>
      </c>
      <c r="B3915">
        <v>2024.0</v>
      </c>
      <c r="C3915" t="s">
        <v>318</v>
      </c>
      <c r="D3915" t="s">
        <v>316</v>
      </c>
      <c r="E3915" t="s">
        <v>129</v>
      </c>
      <c r="F3915" t="s">
        <v>305</v>
      </c>
      <c r="G3915" t="s">
        <v>10</v>
      </c>
      <c r="H3915">
        <v>3066.0</v>
      </c>
      <c r="I3915" t="s">
        <v>31</v>
      </c>
      <c r="J3915" t="s">
        <v>120</v>
      </c>
      <c r="K3915" t="s">
        <v>57</v>
      </c>
      <c r="L3915" t="s">
        <v>58</v>
      </c>
      <c r="M3915">
        <v>1461.2600000000002</v>
      </c>
    </row>
    <row r="3916">
      <c r="A3916" s="2">
        <v>45579</v>
      </c>
      <c r="B3916">
        <v>2025.0</v>
      </c>
      <c r="C3916" t="s">
        <v>315</v>
      </c>
      <c r="D3916" t="s">
        <v>319</v>
      </c>
      <c r="E3916" t="s">
        <v>256</v>
      </c>
      <c r="F3916" t="s">
        <v>304</v>
      </c>
      <c r="G3916" t="s">
        <v>9</v>
      </c>
      <c r="H3916">
        <v>2350.0</v>
      </c>
      <c r="I3916" t="s">
        <v>31</v>
      </c>
      <c r="J3916" t="s">
        <v>70</v>
      </c>
      <c r="K3916" t="s">
        <v>66</v>
      </c>
      <c r="L3916" t="s">
        <v>67</v>
      </c>
      <c r="M3916">
        <v>1468.24</v>
      </c>
    </row>
    <row r="3917">
      <c r="A3917" s="2">
        <v>45924</v>
      </c>
      <c r="B3917">
        <v>2026.0</v>
      </c>
      <c r="C3917" t="s">
        <v>321</v>
      </c>
      <c r="D3917" t="s">
        <v>316</v>
      </c>
      <c r="E3917" t="s">
        <v>73</v>
      </c>
      <c r="F3917" t="s">
        <v>304</v>
      </c>
      <c r="G3917" t="s">
        <v>9</v>
      </c>
      <c r="H3917">
        <v>2750.0</v>
      </c>
      <c r="I3917" t="s">
        <v>31</v>
      </c>
      <c r="J3917" t="s">
        <v>75</v>
      </c>
      <c r="K3917" t="s">
        <v>71</v>
      </c>
      <c r="L3917" t="s">
        <v>72</v>
      </c>
      <c r="M3917">
        <v>1470.4000000000003</v>
      </c>
    </row>
    <row r="3918">
      <c r="A3918" s="2">
        <v>45394</v>
      </c>
      <c r="B3918">
        <v>2024.0</v>
      </c>
      <c r="C3918" t="s">
        <v>318</v>
      </c>
      <c r="D3918" t="s">
        <v>316</v>
      </c>
      <c r="E3918" t="s">
        <v>248</v>
      </c>
      <c r="F3918" t="s">
        <v>307</v>
      </c>
      <c r="G3918" t="s">
        <v>12</v>
      </c>
      <c r="H3918">
        <v>6112.0</v>
      </c>
      <c r="I3918" t="s">
        <v>31</v>
      </c>
      <c r="J3918" t="s">
        <v>162</v>
      </c>
      <c r="K3918" t="s">
        <v>71</v>
      </c>
      <c r="L3918" t="s">
        <v>72</v>
      </c>
      <c r="M3918">
        <v>1472.9199999999998</v>
      </c>
    </row>
    <row r="3919">
      <c r="A3919" s="2">
        <v>45668</v>
      </c>
      <c r="B3919">
        <v>2025.0</v>
      </c>
      <c r="C3919" t="s">
        <v>315</v>
      </c>
      <c r="D3919" t="s">
        <v>316</v>
      </c>
      <c r="E3919" t="s">
        <v>183</v>
      </c>
      <c r="F3919" t="s">
        <v>304</v>
      </c>
      <c r="G3919" t="s">
        <v>9</v>
      </c>
      <c r="H3919">
        <v>2480.0</v>
      </c>
      <c r="I3919" t="s">
        <v>31</v>
      </c>
      <c r="J3919" t="s">
        <v>70</v>
      </c>
      <c r="K3919" t="s">
        <v>71</v>
      </c>
      <c r="L3919" t="s">
        <v>72</v>
      </c>
      <c r="M3919">
        <v>1473.54</v>
      </c>
    </row>
    <row r="3920">
      <c r="A3920" s="2">
        <v>45322</v>
      </c>
      <c r="B3920">
        <v>2024.0</v>
      </c>
      <c r="C3920" t="s">
        <v>318</v>
      </c>
      <c r="D3920" t="s">
        <v>316</v>
      </c>
      <c r="E3920" t="s">
        <v>97</v>
      </c>
      <c r="F3920" t="s">
        <v>304</v>
      </c>
      <c r="G3920" t="s">
        <v>9</v>
      </c>
      <c r="H3920">
        <v>2067.0</v>
      </c>
      <c r="I3920" t="s">
        <v>31</v>
      </c>
      <c r="J3920" t="s">
        <v>99</v>
      </c>
      <c r="K3920" t="s">
        <v>71</v>
      </c>
      <c r="L3920" t="s">
        <v>72</v>
      </c>
      <c r="M3920">
        <v>1473.64</v>
      </c>
    </row>
    <row r="3921">
      <c r="A3921" s="2">
        <v>45427</v>
      </c>
      <c r="B3921">
        <v>2024.0</v>
      </c>
      <c r="C3921" t="s">
        <v>318</v>
      </c>
      <c r="D3921" t="s">
        <v>316</v>
      </c>
      <c r="E3921" t="s">
        <v>129</v>
      </c>
      <c r="F3921" t="s">
        <v>305</v>
      </c>
      <c r="G3921" t="s">
        <v>10</v>
      </c>
      <c r="H3921">
        <v>3066.0</v>
      </c>
      <c r="I3921" t="s">
        <v>31</v>
      </c>
      <c r="J3921" t="s">
        <v>120</v>
      </c>
      <c r="K3921" t="s">
        <v>71</v>
      </c>
      <c r="L3921" t="s">
        <v>72</v>
      </c>
      <c r="M3921">
        <v>1473.94</v>
      </c>
    </row>
    <row r="3922">
      <c r="A3922" s="2">
        <v>46011</v>
      </c>
      <c r="B3922">
        <v>2026.0</v>
      </c>
      <c r="C3922" t="s">
        <v>321</v>
      </c>
      <c r="D3922" t="s">
        <v>316</v>
      </c>
      <c r="E3922" t="s">
        <v>205</v>
      </c>
      <c r="F3922" t="s">
        <v>305</v>
      </c>
      <c r="G3922" t="s">
        <v>10</v>
      </c>
      <c r="H3922">
        <v>3400.0</v>
      </c>
      <c r="I3922" t="s">
        <v>31</v>
      </c>
      <c r="J3922" t="s">
        <v>37</v>
      </c>
      <c r="K3922" t="s">
        <v>71</v>
      </c>
      <c r="L3922" t="s">
        <v>72</v>
      </c>
      <c r="M3922">
        <v>1474.1</v>
      </c>
    </row>
    <row r="3923">
      <c r="A3923" s="2">
        <v>45317</v>
      </c>
      <c r="B3923">
        <v>2024.0</v>
      </c>
      <c r="C3923" t="s">
        <v>318</v>
      </c>
      <c r="D3923" t="s">
        <v>316</v>
      </c>
      <c r="E3923" t="s">
        <v>129</v>
      </c>
      <c r="F3923" t="s">
        <v>305</v>
      </c>
      <c r="G3923" t="s">
        <v>10</v>
      </c>
      <c r="H3923">
        <v>3066.0</v>
      </c>
      <c r="I3923" t="s">
        <v>31</v>
      </c>
      <c r="J3923" t="s">
        <v>120</v>
      </c>
      <c r="K3923" t="s">
        <v>66</v>
      </c>
      <c r="L3923" t="s">
        <v>67</v>
      </c>
      <c r="M3923">
        <v>1474.3000000000002</v>
      </c>
    </row>
    <row r="3924">
      <c r="A3924" s="2">
        <v>45552</v>
      </c>
      <c r="B3924">
        <v>2025.0</v>
      </c>
      <c r="C3924" t="s">
        <v>315</v>
      </c>
      <c r="D3924" t="s">
        <v>316</v>
      </c>
      <c r="E3924" t="s">
        <v>110</v>
      </c>
      <c r="F3924" t="s">
        <v>304</v>
      </c>
      <c r="G3924" t="s">
        <v>9</v>
      </c>
      <c r="H3924">
        <v>2101.0</v>
      </c>
      <c r="I3924" t="s">
        <v>31</v>
      </c>
      <c r="J3924" t="s">
        <v>81</v>
      </c>
      <c r="K3924" t="s">
        <v>71</v>
      </c>
      <c r="L3924" t="s">
        <v>72</v>
      </c>
      <c r="M3924">
        <v>1475.4399999999998</v>
      </c>
    </row>
    <row r="3925">
      <c r="A3925" s="2">
        <v>45583</v>
      </c>
      <c r="B3925">
        <v>2025.0</v>
      </c>
      <c r="C3925" t="s">
        <v>315</v>
      </c>
      <c r="D3925" t="s">
        <v>316</v>
      </c>
      <c r="E3925" t="s">
        <v>110</v>
      </c>
      <c r="F3925" t="s">
        <v>304</v>
      </c>
      <c r="G3925" t="s">
        <v>9</v>
      </c>
      <c r="H3925">
        <v>2101.0</v>
      </c>
      <c r="I3925" t="s">
        <v>31</v>
      </c>
      <c r="J3925" t="s">
        <v>81</v>
      </c>
      <c r="K3925" t="s">
        <v>66</v>
      </c>
      <c r="L3925" t="s">
        <v>67</v>
      </c>
      <c r="M3925">
        <v>1477.34</v>
      </c>
    </row>
    <row r="3926">
      <c r="A3926" s="2">
        <v>45959</v>
      </c>
      <c r="B3926">
        <v>2026.0</v>
      </c>
      <c r="C3926" t="s">
        <v>321</v>
      </c>
      <c r="D3926" t="s">
        <v>316</v>
      </c>
      <c r="E3926" t="s">
        <v>203</v>
      </c>
      <c r="F3926" t="s">
        <v>305</v>
      </c>
      <c r="G3926" t="s">
        <v>10</v>
      </c>
      <c r="H3926">
        <v>3175.0</v>
      </c>
      <c r="I3926" t="s">
        <v>31</v>
      </c>
      <c r="J3926" t="s">
        <v>89</v>
      </c>
      <c r="K3926" t="s">
        <v>66</v>
      </c>
      <c r="L3926" t="s">
        <v>67</v>
      </c>
      <c r="M3926">
        <v>1480.54</v>
      </c>
    </row>
    <row r="3927">
      <c r="A3927" s="2">
        <v>45506</v>
      </c>
      <c r="B3927">
        <v>2025.0</v>
      </c>
      <c r="C3927" t="s">
        <v>315</v>
      </c>
      <c r="D3927" t="s">
        <v>316</v>
      </c>
      <c r="E3927" t="s">
        <v>246</v>
      </c>
      <c r="F3927" t="s">
        <v>305</v>
      </c>
      <c r="G3927" t="s">
        <v>10</v>
      </c>
      <c r="H3927">
        <v>3551.0</v>
      </c>
      <c r="I3927" t="s">
        <v>31</v>
      </c>
      <c r="J3927" t="s">
        <v>37</v>
      </c>
      <c r="K3927" t="s">
        <v>33</v>
      </c>
      <c r="L3927" t="s">
        <v>34</v>
      </c>
      <c r="M3927">
        <v>1482.9900000000002</v>
      </c>
    </row>
    <row r="3928">
      <c r="A3928" s="2">
        <v>45595</v>
      </c>
      <c r="B3928">
        <v>2025.0</v>
      </c>
      <c r="C3928" t="s">
        <v>315</v>
      </c>
      <c r="D3928" t="s">
        <v>316</v>
      </c>
      <c r="E3928" t="s">
        <v>197</v>
      </c>
      <c r="F3928" t="s">
        <v>304</v>
      </c>
      <c r="G3928" t="s">
        <v>9</v>
      </c>
      <c r="H3928">
        <v>2560.0</v>
      </c>
      <c r="I3928" t="s">
        <v>31</v>
      </c>
      <c r="J3928" t="s">
        <v>107</v>
      </c>
      <c r="K3928" t="s">
        <v>112</v>
      </c>
      <c r="L3928" t="s">
        <v>113</v>
      </c>
      <c r="M3928">
        <v>1484.6099999999997</v>
      </c>
    </row>
    <row r="3929">
      <c r="A3929" s="2">
        <v>45405</v>
      </c>
      <c r="B3929">
        <v>2024.0</v>
      </c>
      <c r="C3929" t="s">
        <v>318</v>
      </c>
      <c r="D3929" t="s">
        <v>316</v>
      </c>
      <c r="E3929" t="s">
        <v>203</v>
      </c>
      <c r="F3929" t="s">
        <v>305</v>
      </c>
      <c r="G3929" t="s">
        <v>10</v>
      </c>
      <c r="H3929">
        <v>3175.0</v>
      </c>
      <c r="I3929" t="s">
        <v>31</v>
      </c>
      <c r="J3929" t="s">
        <v>89</v>
      </c>
      <c r="K3929" t="s">
        <v>43</v>
      </c>
      <c r="L3929" t="s">
        <v>44</v>
      </c>
      <c r="M3929">
        <v>1485.79</v>
      </c>
    </row>
    <row r="3930">
      <c r="A3930" s="2">
        <v>45372</v>
      </c>
      <c r="B3930">
        <v>2024.0</v>
      </c>
      <c r="C3930" t="s">
        <v>318</v>
      </c>
      <c r="D3930" t="s">
        <v>316</v>
      </c>
      <c r="E3930" t="s">
        <v>62</v>
      </c>
      <c r="F3930" t="s">
        <v>307</v>
      </c>
      <c r="G3930" t="s">
        <v>12</v>
      </c>
      <c r="H3930">
        <v>6530.0</v>
      </c>
      <c r="I3930" t="s">
        <v>31</v>
      </c>
      <c r="J3930" t="s">
        <v>50</v>
      </c>
      <c r="K3930" t="s">
        <v>71</v>
      </c>
      <c r="L3930" t="s">
        <v>72</v>
      </c>
      <c r="M3930">
        <v>1487.17</v>
      </c>
    </row>
    <row r="3931">
      <c r="A3931" s="2">
        <v>45649</v>
      </c>
      <c r="B3931">
        <v>2025.0</v>
      </c>
      <c r="C3931" t="s">
        <v>315</v>
      </c>
      <c r="D3931" t="s">
        <v>316</v>
      </c>
      <c r="E3931" t="s">
        <v>59</v>
      </c>
      <c r="F3931" t="s">
        <v>306</v>
      </c>
      <c r="G3931" t="s">
        <v>11</v>
      </c>
      <c r="H3931">
        <v>4509.0</v>
      </c>
      <c r="I3931" t="s">
        <v>31</v>
      </c>
      <c r="J3931" t="s">
        <v>61</v>
      </c>
      <c r="K3931" t="s">
        <v>46</v>
      </c>
      <c r="L3931" t="s">
        <v>47</v>
      </c>
      <c r="M3931">
        <v>1490.0799999999997</v>
      </c>
    </row>
    <row r="3932">
      <c r="A3932" s="2">
        <v>45486</v>
      </c>
      <c r="B3932">
        <v>2025.0</v>
      </c>
      <c r="C3932" t="s">
        <v>315</v>
      </c>
      <c r="D3932" t="s">
        <v>316</v>
      </c>
      <c r="E3932" t="s">
        <v>169</v>
      </c>
      <c r="F3932" t="s">
        <v>307</v>
      </c>
      <c r="G3932" t="s">
        <v>12</v>
      </c>
      <c r="H3932">
        <v>6027.0</v>
      </c>
      <c r="I3932" t="s">
        <v>31</v>
      </c>
      <c r="J3932" t="s">
        <v>102</v>
      </c>
      <c r="K3932" t="s">
        <v>57</v>
      </c>
      <c r="L3932" t="s">
        <v>58</v>
      </c>
      <c r="M3932">
        <v>1490.72</v>
      </c>
    </row>
    <row r="3933">
      <c r="A3933" s="2">
        <v>45825</v>
      </c>
      <c r="B3933">
        <v>2025.0</v>
      </c>
      <c r="C3933" t="s">
        <v>315</v>
      </c>
      <c r="D3933" t="s">
        <v>319</v>
      </c>
      <c r="E3933" t="s">
        <v>256</v>
      </c>
      <c r="F3933" t="s">
        <v>304</v>
      </c>
      <c r="G3933" t="s">
        <v>9</v>
      </c>
      <c r="H3933">
        <v>2350.0</v>
      </c>
      <c r="I3933" t="s">
        <v>31</v>
      </c>
      <c r="J3933" t="s">
        <v>70</v>
      </c>
      <c r="K3933" t="s">
        <v>71</v>
      </c>
      <c r="L3933" t="s">
        <v>72</v>
      </c>
      <c r="M3933">
        <v>1491.2399999999998</v>
      </c>
    </row>
    <row r="3934">
      <c r="A3934" s="2">
        <v>45673</v>
      </c>
      <c r="B3934">
        <v>2025.0</v>
      </c>
      <c r="C3934" t="s">
        <v>315</v>
      </c>
      <c r="D3934" t="s">
        <v>319</v>
      </c>
      <c r="E3934" t="s">
        <v>256</v>
      </c>
      <c r="F3934" t="s">
        <v>304</v>
      </c>
      <c r="G3934" t="s">
        <v>9</v>
      </c>
      <c r="H3934">
        <v>2350.0</v>
      </c>
      <c r="I3934" t="s">
        <v>31</v>
      </c>
      <c r="J3934" t="s">
        <v>70</v>
      </c>
      <c r="K3934" t="s">
        <v>71</v>
      </c>
      <c r="L3934" t="s">
        <v>72</v>
      </c>
      <c r="M3934">
        <v>1492.09</v>
      </c>
    </row>
    <row r="3935">
      <c r="A3935" s="2">
        <v>45812</v>
      </c>
      <c r="B3935">
        <v>2025.0</v>
      </c>
      <c r="C3935" t="s">
        <v>315</v>
      </c>
      <c r="D3935" t="s">
        <v>316</v>
      </c>
      <c r="E3935" t="s">
        <v>129</v>
      </c>
      <c r="F3935" t="s">
        <v>305</v>
      </c>
      <c r="G3935" t="s">
        <v>10</v>
      </c>
      <c r="H3935">
        <v>3066.0</v>
      </c>
      <c r="I3935" t="s">
        <v>31</v>
      </c>
      <c r="J3935" t="s">
        <v>120</v>
      </c>
      <c r="K3935" t="s">
        <v>71</v>
      </c>
      <c r="L3935" t="s">
        <v>72</v>
      </c>
      <c r="M3935">
        <v>1493.2400000000002</v>
      </c>
    </row>
    <row r="3936">
      <c r="A3936" s="2">
        <v>45648</v>
      </c>
      <c r="B3936">
        <v>2025.0</v>
      </c>
      <c r="C3936" t="s">
        <v>315</v>
      </c>
      <c r="D3936" t="s">
        <v>319</v>
      </c>
      <c r="E3936" t="s">
        <v>179</v>
      </c>
      <c r="F3936" t="s">
        <v>304</v>
      </c>
      <c r="G3936" t="s">
        <v>9</v>
      </c>
      <c r="H3936">
        <v>2015.0</v>
      </c>
      <c r="I3936" t="s">
        <v>31</v>
      </c>
      <c r="J3936" t="s">
        <v>99</v>
      </c>
      <c r="K3936" t="s">
        <v>71</v>
      </c>
      <c r="L3936" t="s">
        <v>72</v>
      </c>
      <c r="M3936">
        <v>1497.97</v>
      </c>
    </row>
    <row r="3937">
      <c r="A3937" s="2">
        <v>45676</v>
      </c>
      <c r="B3937">
        <v>2025.0</v>
      </c>
      <c r="C3937" t="s">
        <v>315</v>
      </c>
      <c r="D3937" t="s">
        <v>319</v>
      </c>
      <c r="E3937" t="s">
        <v>217</v>
      </c>
      <c r="F3937" t="s">
        <v>305</v>
      </c>
      <c r="G3937" t="s">
        <v>10</v>
      </c>
      <c r="H3937">
        <v>3136.0</v>
      </c>
      <c r="I3937" t="s">
        <v>31</v>
      </c>
      <c r="J3937" t="s">
        <v>89</v>
      </c>
      <c r="K3937" t="s">
        <v>46</v>
      </c>
      <c r="L3937" t="s">
        <v>47</v>
      </c>
      <c r="M3937">
        <v>1500.08</v>
      </c>
    </row>
    <row r="3938">
      <c r="A3938" s="2">
        <v>45817</v>
      </c>
      <c r="B3938">
        <v>2025.0</v>
      </c>
      <c r="C3938" t="s">
        <v>315</v>
      </c>
      <c r="D3938" t="s">
        <v>316</v>
      </c>
      <c r="E3938" t="s">
        <v>252</v>
      </c>
      <c r="F3938" t="s">
        <v>305</v>
      </c>
      <c r="G3938" t="s">
        <v>10</v>
      </c>
      <c r="H3938">
        <v>3630.0</v>
      </c>
      <c r="I3938" t="s">
        <v>31</v>
      </c>
      <c r="J3938" t="s">
        <v>94</v>
      </c>
      <c r="K3938" t="s">
        <v>71</v>
      </c>
      <c r="L3938" t="s">
        <v>72</v>
      </c>
      <c r="M3938">
        <v>1501.3999999999999</v>
      </c>
    </row>
    <row r="3939">
      <c r="A3939" s="2">
        <v>45365</v>
      </c>
      <c r="B3939">
        <v>2024.0</v>
      </c>
      <c r="C3939" t="s">
        <v>318</v>
      </c>
      <c r="D3939" t="s">
        <v>316</v>
      </c>
      <c r="E3939" t="s">
        <v>114</v>
      </c>
      <c r="F3939" t="s">
        <v>304</v>
      </c>
      <c r="G3939" t="s">
        <v>9</v>
      </c>
      <c r="H3939">
        <v>2031.0</v>
      </c>
      <c r="I3939" t="s">
        <v>31</v>
      </c>
      <c r="J3939" t="s">
        <v>99</v>
      </c>
      <c r="K3939" t="s">
        <v>33</v>
      </c>
      <c r="L3939" t="s">
        <v>34</v>
      </c>
      <c r="M3939">
        <v>1513.3800000000006</v>
      </c>
    </row>
    <row r="3940">
      <c r="A3940" s="2">
        <v>45647</v>
      </c>
      <c r="B3940">
        <v>2025.0</v>
      </c>
      <c r="C3940" t="s">
        <v>315</v>
      </c>
      <c r="D3940" t="s">
        <v>316</v>
      </c>
      <c r="E3940" t="s">
        <v>137</v>
      </c>
      <c r="F3940" t="s">
        <v>305</v>
      </c>
      <c r="G3940" t="s">
        <v>10</v>
      </c>
      <c r="H3940">
        <v>3134.0</v>
      </c>
      <c r="I3940" t="s">
        <v>31</v>
      </c>
      <c r="J3940" t="s">
        <v>89</v>
      </c>
      <c r="K3940" t="s">
        <v>71</v>
      </c>
      <c r="L3940" t="s">
        <v>72</v>
      </c>
      <c r="M3940">
        <v>1513.91</v>
      </c>
    </row>
    <row r="3941">
      <c r="A3941" s="2">
        <v>45674</v>
      </c>
      <c r="B3941">
        <v>2025.0</v>
      </c>
      <c r="C3941" t="s">
        <v>315</v>
      </c>
      <c r="D3941" t="s">
        <v>316</v>
      </c>
      <c r="E3941" t="s">
        <v>193</v>
      </c>
      <c r="F3941" t="s">
        <v>304</v>
      </c>
      <c r="G3941" t="s">
        <v>9</v>
      </c>
      <c r="H3941">
        <v>2020.0</v>
      </c>
      <c r="I3941" t="s">
        <v>31</v>
      </c>
      <c r="J3941" t="s">
        <v>99</v>
      </c>
      <c r="K3941" t="s">
        <v>123</v>
      </c>
      <c r="L3941" t="s">
        <v>124</v>
      </c>
      <c r="M3941">
        <v>1517.0400000000022</v>
      </c>
    </row>
    <row r="3942">
      <c r="A3942" s="2">
        <v>45375</v>
      </c>
      <c r="B3942">
        <v>2024.0</v>
      </c>
      <c r="C3942" t="s">
        <v>318</v>
      </c>
      <c r="D3942" t="s">
        <v>316</v>
      </c>
      <c r="E3942" t="s">
        <v>221</v>
      </c>
      <c r="F3942" t="s">
        <v>306</v>
      </c>
      <c r="G3942" t="s">
        <v>11</v>
      </c>
      <c r="H3942">
        <v>4053.0</v>
      </c>
      <c r="I3942" t="s">
        <v>31</v>
      </c>
      <c r="J3942" t="s">
        <v>56</v>
      </c>
      <c r="K3942" t="s">
        <v>71</v>
      </c>
      <c r="L3942" t="s">
        <v>72</v>
      </c>
      <c r="M3942">
        <v>1519.16</v>
      </c>
    </row>
    <row r="3943">
      <c r="A3943" s="2">
        <v>45687</v>
      </c>
      <c r="B3943">
        <v>2025.0</v>
      </c>
      <c r="C3943" t="s">
        <v>315</v>
      </c>
      <c r="D3943" t="s">
        <v>316</v>
      </c>
      <c r="E3943" t="s">
        <v>150</v>
      </c>
      <c r="F3943" t="s">
        <v>310</v>
      </c>
      <c r="G3943" t="s">
        <v>15</v>
      </c>
      <c r="H3943">
        <v>7250.0</v>
      </c>
      <c r="I3943" t="s">
        <v>31</v>
      </c>
      <c r="J3943" t="s">
        <v>53</v>
      </c>
      <c r="K3943" t="s">
        <v>57</v>
      </c>
      <c r="L3943" t="s">
        <v>58</v>
      </c>
      <c r="M3943">
        <v>1522.7399999999998</v>
      </c>
    </row>
    <row r="3944">
      <c r="A3944" s="2">
        <v>45584</v>
      </c>
      <c r="B3944">
        <v>2025.0</v>
      </c>
      <c r="C3944" t="s">
        <v>315</v>
      </c>
      <c r="D3944" t="s">
        <v>316</v>
      </c>
      <c r="E3944" t="s">
        <v>62</v>
      </c>
      <c r="F3944" t="s">
        <v>307</v>
      </c>
      <c r="G3944" t="s">
        <v>12</v>
      </c>
      <c r="H3944">
        <v>6530.0</v>
      </c>
      <c r="I3944" t="s">
        <v>31</v>
      </c>
      <c r="J3944" t="s">
        <v>50</v>
      </c>
      <c r="K3944" t="s">
        <v>57</v>
      </c>
      <c r="L3944" t="s">
        <v>58</v>
      </c>
      <c r="M3944">
        <v>1532.53</v>
      </c>
    </row>
    <row r="3945">
      <c r="A3945" s="2">
        <v>45681</v>
      </c>
      <c r="B3945">
        <v>2025.0</v>
      </c>
      <c r="C3945" t="s">
        <v>315</v>
      </c>
      <c r="D3945" t="s">
        <v>319</v>
      </c>
      <c r="E3945" t="s">
        <v>179</v>
      </c>
      <c r="F3945" t="s">
        <v>304</v>
      </c>
      <c r="G3945" t="s">
        <v>9</v>
      </c>
      <c r="H3945">
        <v>2015.0</v>
      </c>
      <c r="I3945" t="s">
        <v>31</v>
      </c>
      <c r="J3945" t="s">
        <v>99</v>
      </c>
      <c r="K3945" t="s">
        <v>43</v>
      </c>
      <c r="L3945" t="s">
        <v>44</v>
      </c>
      <c r="M3945">
        <v>1540.18</v>
      </c>
    </row>
    <row r="3946">
      <c r="A3946" s="2">
        <v>45835</v>
      </c>
      <c r="B3946">
        <v>2025.0</v>
      </c>
      <c r="C3946" t="s">
        <v>315</v>
      </c>
      <c r="D3946" t="s">
        <v>316</v>
      </c>
      <c r="E3946" t="s">
        <v>246</v>
      </c>
      <c r="F3946" t="s">
        <v>305</v>
      </c>
      <c r="G3946" t="s">
        <v>10</v>
      </c>
      <c r="H3946">
        <v>3551.0</v>
      </c>
      <c r="I3946" t="s">
        <v>31</v>
      </c>
      <c r="J3946" t="s">
        <v>37</v>
      </c>
      <c r="K3946" t="s">
        <v>57</v>
      </c>
      <c r="L3946" t="s">
        <v>58</v>
      </c>
      <c r="M3946">
        <v>1548.9099999999999</v>
      </c>
    </row>
    <row r="3947">
      <c r="A3947" s="2">
        <v>45508</v>
      </c>
      <c r="B3947">
        <v>2025.0</v>
      </c>
      <c r="C3947" t="s">
        <v>315</v>
      </c>
      <c r="D3947" t="s">
        <v>316</v>
      </c>
      <c r="E3947" t="s">
        <v>59</v>
      </c>
      <c r="F3947" t="s">
        <v>306</v>
      </c>
      <c r="G3947" t="s">
        <v>11</v>
      </c>
      <c r="H3947">
        <v>4509.0</v>
      </c>
      <c r="I3947" t="s">
        <v>31</v>
      </c>
      <c r="J3947" t="s">
        <v>61</v>
      </c>
      <c r="K3947" t="s">
        <v>66</v>
      </c>
      <c r="L3947" t="s">
        <v>67</v>
      </c>
      <c r="M3947">
        <v>1550.3300000000002</v>
      </c>
    </row>
    <row r="3948">
      <c r="A3948" s="2">
        <v>46014</v>
      </c>
      <c r="B3948">
        <v>2026.0</v>
      </c>
      <c r="C3948" t="s">
        <v>321</v>
      </c>
      <c r="D3948" t="s">
        <v>319</v>
      </c>
      <c r="E3948" t="s">
        <v>209</v>
      </c>
      <c r="F3948" t="s">
        <v>304</v>
      </c>
      <c r="G3948" t="s">
        <v>9</v>
      </c>
      <c r="H3948">
        <v>2116.0</v>
      </c>
      <c r="I3948" t="s">
        <v>31</v>
      </c>
      <c r="J3948" t="s">
        <v>81</v>
      </c>
      <c r="K3948" t="s">
        <v>43</v>
      </c>
      <c r="L3948" t="s">
        <v>44</v>
      </c>
      <c r="M3948">
        <v>1552.36</v>
      </c>
    </row>
    <row r="3949">
      <c r="A3949" s="2">
        <v>45748</v>
      </c>
      <c r="B3949">
        <v>2025.0</v>
      </c>
      <c r="C3949" t="s">
        <v>315</v>
      </c>
      <c r="D3949" t="s">
        <v>319</v>
      </c>
      <c r="E3949" t="s">
        <v>127</v>
      </c>
      <c r="F3949" t="s">
        <v>306</v>
      </c>
      <c r="G3949" t="s">
        <v>11</v>
      </c>
      <c r="H3949">
        <v>4802.0</v>
      </c>
      <c r="I3949" t="s">
        <v>31</v>
      </c>
      <c r="J3949" t="s">
        <v>78</v>
      </c>
      <c r="K3949" t="s">
        <v>46</v>
      </c>
      <c r="L3949" t="s">
        <v>47</v>
      </c>
      <c r="M3949">
        <v>1552.4099999999996</v>
      </c>
    </row>
    <row r="3950">
      <c r="A3950" s="2">
        <v>45593</v>
      </c>
      <c r="B3950">
        <v>2025.0</v>
      </c>
      <c r="C3950" t="s">
        <v>315</v>
      </c>
      <c r="D3950" t="s">
        <v>316</v>
      </c>
      <c r="E3950" t="s">
        <v>160</v>
      </c>
      <c r="F3950" t="s">
        <v>307</v>
      </c>
      <c r="G3950" t="s">
        <v>12</v>
      </c>
      <c r="H3950">
        <v>6280.0</v>
      </c>
      <c r="I3950" t="s">
        <v>31</v>
      </c>
      <c r="J3950" t="s">
        <v>162</v>
      </c>
      <c r="K3950" t="s">
        <v>33</v>
      </c>
      <c r="L3950" t="s">
        <v>34</v>
      </c>
      <c r="M3950">
        <v>1554.86</v>
      </c>
    </row>
    <row r="3951">
      <c r="A3951" s="2">
        <v>45386</v>
      </c>
      <c r="B3951">
        <v>2024.0</v>
      </c>
      <c r="C3951" t="s">
        <v>318</v>
      </c>
      <c r="D3951" t="s">
        <v>316</v>
      </c>
      <c r="E3951" t="s">
        <v>252</v>
      </c>
      <c r="F3951" t="s">
        <v>305</v>
      </c>
      <c r="G3951" t="s">
        <v>10</v>
      </c>
      <c r="H3951">
        <v>3630.0</v>
      </c>
      <c r="I3951" t="s">
        <v>31</v>
      </c>
      <c r="J3951" t="s">
        <v>94</v>
      </c>
      <c r="K3951" t="s">
        <v>95</v>
      </c>
      <c r="L3951" t="s">
        <v>96</v>
      </c>
      <c r="M3951">
        <v>1564.75</v>
      </c>
    </row>
    <row r="3952">
      <c r="A3952" s="2">
        <v>45420</v>
      </c>
      <c r="B3952">
        <v>2024.0</v>
      </c>
      <c r="C3952" t="s">
        <v>318</v>
      </c>
      <c r="D3952" t="s">
        <v>316</v>
      </c>
      <c r="E3952" t="s">
        <v>143</v>
      </c>
      <c r="F3952" t="s">
        <v>309</v>
      </c>
      <c r="G3952" t="s">
        <v>14</v>
      </c>
      <c r="H3952">
        <v>800.0</v>
      </c>
      <c r="I3952" t="s">
        <v>31</v>
      </c>
      <c r="J3952" t="s">
        <v>145</v>
      </c>
      <c r="K3952" t="s">
        <v>33</v>
      </c>
      <c r="L3952" t="s">
        <v>34</v>
      </c>
      <c r="M3952">
        <v>1571.03</v>
      </c>
    </row>
    <row r="3953">
      <c r="A3953" s="2">
        <v>45658</v>
      </c>
      <c r="B3953">
        <v>2025.0</v>
      </c>
      <c r="C3953" t="s">
        <v>315</v>
      </c>
      <c r="D3953" t="s">
        <v>316</v>
      </c>
      <c r="E3953" t="s">
        <v>118</v>
      </c>
      <c r="F3953" t="s">
        <v>305</v>
      </c>
      <c r="G3953" t="s">
        <v>10</v>
      </c>
      <c r="H3953">
        <v>3076.0</v>
      </c>
      <c r="I3953" t="s">
        <v>31</v>
      </c>
      <c r="J3953" t="s">
        <v>120</v>
      </c>
      <c r="K3953" t="s">
        <v>71</v>
      </c>
      <c r="L3953" t="s">
        <v>72</v>
      </c>
      <c r="M3953">
        <v>1572.1400000000003</v>
      </c>
    </row>
    <row r="3954">
      <c r="A3954" s="2">
        <v>45439</v>
      </c>
      <c r="B3954">
        <v>2024.0</v>
      </c>
      <c r="C3954" t="s">
        <v>318</v>
      </c>
      <c r="D3954" t="s">
        <v>316</v>
      </c>
      <c r="E3954" t="s">
        <v>183</v>
      </c>
      <c r="F3954" t="s">
        <v>304</v>
      </c>
      <c r="G3954" t="s">
        <v>9</v>
      </c>
      <c r="H3954">
        <v>2480.0</v>
      </c>
      <c r="I3954" t="s">
        <v>31</v>
      </c>
      <c r="J3954" t="s">
        <v>70</v>
      </c>
      <c r="K3954" t="s">
        <v>71</v>
      </c>
      <c r="L3954" t="s">
        <v>72</v>
      </c>
      <c r="M3954">
        <v>1574.01</v>
      </c>
    </row>
    <row r="3955">
      <c r="A3955" s="2">
        <v>45913</v>
      </c>
      <c r="B3955">
        <v>2026.0</v>
      </c>
      <c r="C3955" t="s">
        <v>321</v>
      </c>
      <c r="D3955" t="s">
        <v>319</v>
      </c>
      <c r="E3955" t="s">
        <v>258</v>
      </c>
      <c r="F3955" t="s">
        <v>309</v>
      </c>
      <c r="G3955" t="s">
        <v>14</v>
      </c>
      <c r="H3955">
        <v>870.0</v>
      </c>
      <c r="I3955" t="s">
        <v>31</v>
      </c>
      <c r="J3955" t="s">
        <v>145</v>
      </c>
      <c r="K3955" t="s">
        <v>71</v>
      </c>
      <c r="L3955" t="s">
        <v>72</v>
      </c>
      <c r="M3955">
        <v>1574.3799999999999</v>
      </c>
    </row>
    <row r="3956">
      <c r="A3956" s="2">
        <v>45578</v>
      </c>
      <c r="B3956">
        <v>2025.0</v>
      </c>
      <c r="C3956" t="s">
        <v>315</v>
      </c>
      <c r="D3956" t="s">
        <v>316</v>
      </c>
      <c r="E3956" t="s">
        <v>264</v>
      </c>
      <c r="F3956" t="s">
        <v>308</v>
      </c>
      <c r="G3956" t="s">
        <v>13</v>
      </c>
      <c r="H3956">
        <v>5043.0</v>
      </c>
      <c r="I3956" t="s">
        <v>31</v>
      </c>
      <c r="J3956" t="s">
        <v>42</v>
      </c>
      <c r="K3956" t="s">
        <v>46</v>
      </c>
      <c r="L3956" t="s">
        <v>47</v>
      </c>
      <c r="M3956">
        <v>1576.86</v>
      </c>
    </row>
    <row r="3957">
      <c r="A3957" s="2">
        <v>45579</v>
      </c>
      <c r="B3957">
        <v>2025.0</v>
      </c>
      <c r="C3957" t="s">
        <v>315</v>
      </c>
      <c r="D3957" t="s">
        <v>316</v>
      </c>
      <c r="E3957" t="s">
        <v>40</v>
      </c>
      <c r="F3957" t="s">
        <v>308</v>
      </c>
      <c r="G3957" t="s">
        <v>13</v>
      </c>
      <c r="H3957">
        <v>5011.0</v>
      </c>
      <c r="I3957" t="s">
        <v>31</v>
      </c>
      <c r="J3957" t="s">
        <v>42</v>
      </c>
      <c r="K3957" t="s">
        <v>57</v>
      </c>
      <c r="L3957" t="s">
        <v>58</v>
      </c>
      <c r="M3957">
        <v>1587.5</v>
      </c>
    </row>
    <row r="3958">
      <c r="A3958" s="2">
        <v>45847</v>
      </c>
      <c r="B3958">
        <v>2026.0</v>
      </c>
      <c r="C3958" t="s">
        <v>321</v>
      </c>
      <c r="D3958" t="s">
        <v>316</v>
      </c>
      <c r="E3958" t="s">
        <v>197</v>
      </c>
      <c r="F3958" t="s">
        <v>304</v>
      </c>
      <c r="G3958" t="s">
        <v>9</v>
      </c>
      <c r="H3958">
        <v>2560.0</v>
      </c>
      <c r="I3958" t="s">
        <v>31</v>
      </c>
      <c r="J3958" t="s">
        <v>107</v>
      </c>
      <c r="K3958" t="s">
        <v>71</v>
      </c>
      <c r="L3958" t="s">
        <v>72</v>
      </c>
      <c r="M3958">
        <v>1590.76</v>
      </c>
    </row>
    <row r="3959">
      <c r="A3959" s="2">
        <v>45921</v>
      </c>
      <c r="B3959">
        <v>2026.0</v>
      </c>
      <c r="C3959" t="s">
        <v>321</v>
      </c>
      <c r="D3959" t="s">
        <v>316</v>
      </c>
      <c r="E3959" t="s">
        <v>252</v>
      </c>
      <c r="F3959" t="s">
        <v>305</v>
      </c>
      <c r="G3959" t="s">
        <v>10</v>
      </c>
      <c r="H3959">
        <v>3630.0</v>
      </c>
      <c r="I3959" t="s">
        <v>31</v>
      </c>
      <c r="J3959" t="s">
        <v>94</v>
      </c>
      <c r="K3959" t="s">
        <v>57</v>
      </c>
      <c r="L3959" t="s">
        <v>58</v>
      </c>
      <c r="M3959">
        <v>1591.8200000000004</v>
      </c>
    </row>
    <row r="3960">
      <c r="A3960" s="2">
        <v>45417</v>
      </c>
      <c r="B3960">
        <v>2024.0</v>
      </c>
      <c r="C3960" t="s">
        <v>318</v>
      </c>
      <c r="D3960" t="s">
        <v>316</v>
      </c>
      <c r="E3960" t="s">
        <v>254</v>
      </c>
      <c r="F3960" t="s">
        <v>308</v>
      </c>
      <c r="G3960" t="s">
        <v>13</v>
      </c>
      <c r="H3960">
        <v>5343.0</v>
      </c>
      <c r="I3960" t="s">
        <v>31</v>
      </c>
      <c r="J3960" t="s">
        <v>227</v>
      </c>
      <c r="K3960" t="s">
        <v>71</v>
      </c>
      <c r="L3960" t="s">
        <v>72</v>
      </c>
      <c r="M3960">
        <v>1596.6399999999999</v>
      </c>
    </row>
    <row r="3961">
      <c r="A3961" s="2">
        <v>45617</v>
      </c>
      <c r="B3961">
        <v>2025.0</v>
      </c>
      <c r="C3961" t="s">
        <v>315</v>
      </c>
      <c r="D3961" t="s">
        <v>319</v>
      </c>
      <c r="E3961" t="s">
        <v>82</v>
      </c>
      <c r="F3961" t="s">
        <v>306</v>
      </c>
      <c r="G3961" t="s">
        <v>11</v>
      </c>
      <c r="H3961">
        <v>4558.0</v>
      </c>
      <c r="I3961" t="s">
        <v>31</v>
      </c>
      <c r="J3961" t="s">
        <v>84</v>
      </c>
      <c r="K3961" t="s">
        <v>71</v>
      </c>
      <c r="L3961" t="s">
        <v>72</v>
      </c>
      <c r="M3961">
        <v>1599.8400000000004</v>
      </c>
    </row>
    <row r="3962">
      <c r="A3962" s="2">
        <v>45443</v>
      </c>
      <c r="B3962">
        <v>2024.0</v>
      </c>
      <c r="C3962" t="s">
        <v>318</v>
      </c>
      <c r="D3962" t="s">
        <v>319</v>
      </c>
      <c r="E3962" t="s">
        <v>209</v>
      </c>
      <c r="F3962" t="s">
        <v>304</v>
      </c>
      <c r="G3962" t="s">
        <v>9</v>
      </c>
      <c r="H3962">
        <v>2116.0</v>
      </c>
      <c r="I3962" t="s">
        <v>31</v>
      </c>
      <c r="J3962" t="s">
        <v>81</v>
      </c>
      <c r="K3962" t="s">
        <v>71</v>
      </c>
      <c r="L3962" t="s">
        <v>72</v>
      </c>
      <c r="M3962">
        <v>1599.9899999999998</v>
      </c>
    </row>
    <row r="3963">
      <c r="A3963" s="2">
        <v>45381</v>
      </c>
      <c r="B3963">
        <v>2024.0</v>
      </c>
      <c r="C3963" t="s">
        <v>318</v>
      </c>
      <c r="D3963" t="s">
        <v>316</v>
      </c>
      <c r="E3963" t="s">
        <v>108</v>
      </c>
      <c r="F3963" t="s">
        <v>304</v>
      </c>
      <c r="G3963" t="s">
        <v>9</v>
      </c>
      <c r="H3963">
        <v>2795.0</v>
      </c>
      <c r="I3963" t="s">
        <v>31</v>
      </c>
      <c r="J3963" t="s">
        <v>75</v>
      </c>
      <c r="K3963" t="s">
        <v>33</v>
      </c>
      <c r="L3963" t="s">
        <v>34</v>
      </c>
      <c r="M3963">
        <v>1601.73</v>
      </c>
    </row>
    <row r="3964">
      <c r="A3964" s="2">
        <v>45807</v>
      </c>
      <c r="B3964">
        <v>2025.0</v>
      </c>
      <c r="C3964" t="s">
        <v>315</v>
      </c>
      <c r="D3964" t="s">
        <v>316</v>
      </c>
      <c r="E3964" t="s">
        <v>118</v>
      </c>
      <c r="F3964" t="s">
        <v>305</v>
      </c>
      <c r="G3964" t="s">
        <v>10</v>
      </c>
      <c r="H3964">
        <v>3076.0</v>
      </c>
      <c r="I3964" t="s">
        <v>31</v>
      </c>
      <c r="J3964" t="s">
        <v>120</v>
      </c>
      <c r="K3964" t="s">
        <v>66</v>
      </c>
      <c r="L3964" t="s">
        <v>67</v>
      </c>
      <c r="M3964">
        <v>1606.3</v>
      </c>
    </row>
    <row r="3965">
      <c r="A3965" s="2">
        <v>45661</v>
      </c>
      <c r="B3965">
        <v>2025.0</v>
      </c>
      <c r="C3965" t="s">
        <v>315</v>
      </c>
      <c r="D3965" t="s">
        <v>316</v>
      </c>
      <c r="E3965" t="s">
        <v>97</v>
      </c>
      <c r="F3965" t="s">
        <v>304</v>
      </c>
      <c r="G3965" t="s">
        <v>9</v>
      </c>
      <c r="H3965">
        <v>2067.0</v>
      </c>
      <c r="I3965" t="s">
        <v>31</v>
      </c>
      <c r="J3965" t="s">
        <v>99</v>
      </c>
      <c r="K3965" t="s">
        <v>46</v>
      </c>
      <c r="L3965" t="s">
        <v>47</v>
      </c>
      <c r="M3965">
        <v>1607.1399999999999</v>
      </c>
    </row>
    <row r="3966">
      <c r="A3966" s="2">
        <v>45713</v>
      </c>
      <c r="B3966">
        <v>2025.0</v>
      </c>
      <c r="C3966" t="s">
        <v>315</v>
      </c>
      <c r="D3966" t="s">
        <v>316</v>
      </c>
      <c r="E3966" t="s">
        <v>173</v>
      </c>
      <c r="F3966" t="s">
        <v>306</v>
      </c>
      <c r="G3966" t="s">
        <v>11</v>
      </c>
      <c r="H3966">
        <v>4220.0</v>
      </c>
      <c r="I3966" t="s">
        <v>31</v>
      </c>
      <c r="J3966" t="s">
        <v>61</v>
      </c>
      <c r="K3966" t="s">
        <v>57</v>
      </c>
      <c r="L3966" t="s">
        <v>58</v>
      </c>
      <c r="M3966">
        <v>1610.69</v>
      </c>
    </row>
    <row r="3967">
      <c r="A3967" s="2">
        <v>45394</v>
      </c>
      <c r="B3967">
        <v>2024.0</v>
      </c>
      <c r="C3967" t="s">
        <v>318</v>
      </c>
      <c r="D3967" t="s">
        <v>316</v>
      </c>
      <c r="E3967" t="s">
        <v>118</v>
      </c>
      <c r="F3967" t="s">
        <v>305</v>
      </c>
      <c r="G3967" t="s">
        <v>10</v>
      </c>
      <c r="H3967">
        <v>3076.0</v>
      </c>
      <c r="I3967" t="s">
        <v>31</v>
      </c>
      <c r="J3967" t="s">
        <v>120</v>
      </c>
      <c r="K3967" t="s">
        <v>46</v>
      </c>
      <c r="L3967" t="s">
        <v>47</v>
      </c>
      <c r="M3967">
        <v>1612.65</v>
      </c>
    </row>
    <row r="3968">
      <c r="A3968" s="2">
        <v>45977</v>
      </c>
      <c r="B3968">
        <v>2026.0</v>
      </c>
      <c r="C3968" t="s">
        <v>321</v>
      </c>
      <c r="D3968" t="s">
        <v>316</v>
      </c>
      <c r="E3968" t="s">
        <v>221</v>
      </c>
      <c r="F3968" t="s">
        <v>306</v>
      </c>
      <c r="G3968" t="s">
        <v>11</v>
      </c>
      <c r="H3968">
        <v>4053.0</v>
      </c>
      <c r="I3968" t="s">
        <v>31</v>
      </c>
      <c r="J3968" t="s">
        <v>56</v>
      </c>
      <c r="K3968" t="s">
        <v>33</v>
      </c>
      <c r="L3968" t="s">
        <v>34</v>
      </c>
      <c r="M3968">
        <v>1613.2200000000003</v>
      </c>
    </row>
    <row r="3969">
      <c r="A3969" s="2">
        <v>45496</v>
      </c>
      <c r="B3969">
        <v>2025.0</v>
      </c>
      <c r="C3969" t="s">
        <v>315</v>
      </c>
      <c r="D3969" t="s">
        <v>316</v>
      </c>
      <c r="E3969" t="s">
        <v>51</v>
      </c>
      <c r="F3969" t="s">
        <v>310</v>
      </c>
      <c r="G3969" t="s">
        <v>15</v>
      </c>
      <c r="H3969">
        <v>7018.0</v>
      </c>
      <c r="I3969" t="s">
        <v>31</v>
      </c>
      <c r="J3969" t="s">
        <v>53</v>
      </c>
      <c r="K3969" t="s">
        <v>57</v>
      </c>
      <c r="L3969" t="s">
        <v>58</v>
      </c>
      <c r="M3969">
        <v>1613.69</v>
      </c>
    </row>
    <row r="3970">
      <c r="A3970" s="2">
        <v>45379</v>
      </c>
      <c r="B3970">
        <v>2024.0</v>
      </c>
      <c r="C3970" t="s">
        <v>318</v>
      </c>
      <c r="D3970" t="s">
        <v>319</v>
      </c>
      <c r="E3970" t="s">
        <v>177</v>
      </c>
      <c r="F3970" t="s">
        <v>307</v>
      </c>
      <c r="G3970" t="s">
        <v>12</v>
      </c>
      <c r="H3970">
        <v>6330.0</v>
      </c>
      <c r="I3970" t="s">
        <v>31</v>
      </c>
      <c r="J3970" t="s">
        <v>162</v>
      </c>
      <c r="K3970" t="s">
        <v>123</v>
      </c>
      <c r="L3970" t="s">
        <v>124</v>
      </c>
      <c r="M3970">
        <v>1618.07</v>
      </c>
    </row>
    <row r="3971">
      <c r="A3971" s="2">
        <v>45297</v>
      </c>
      <c r="B3971">
        <v>2024.0</v>
      </c>
      <c r="C3971" t="s">
        <v>318</v>
      </c>
      <c r="D3971" t="s">
        <v>319</v>
      </c>
      <c r="E3971" t="s">
        <v>103</v>
      </c>
      <c r="F3971" t="s">
        <v>307</v>
      </c>
      <c r="G3971" t="s">
        <v>12</v>
      </c>
      <c r="H3971">
        <v>6021.0</v>
      </c>
      <c r="I3971" t="s">
        <v>31</v>
      </c>
      <c r="J3971" t="s">
        <v>102</v>
      </c>
      <c r="K3971" t="s">
        <v>57</v>
      </c>
      <c r="L3971" t="s">
        <v>58</v>
      </c>
      <c r="M3971">
        <v>1624.77</v>
      </c>
    </row>
    <row r="3972">
      <c r="A3972" s="2">
        <v>45624</v>
      </c>
      <c r="B3972">
        <v>2025.0</v>
      </c>
      <c r="C3972" t="s">
        <v>315</v>
      </c>
      <c r="D3972" t="s">
        <v>316</v>
      </c>
      <c r="E3972" t="s">
        <v>215</v>
      </c>
      <c r="F3972" t="s">
        <v>310</v>
      </c>
      <c r="G3972" t="s">
        <v>15</v>
      </c>
      <c r="H3972">
        <v>7320.0</v>
      </c>
      <c r="I3972" t="s">
        <v>31</v>
      </c>
      <c r="J3972" t="s">
        <v>53</v>
      </c>
      <c r="K3972" t="s">
        <v>57</v>
      </c>
      <c r="L3972" t="s">
        <v>58</v>
      </c>
      <c r="M3972">
        <v>1626.0800000000002</v>
      </c>
    </row>
    <row r="3973">
      <c r="A3973" s="2">
        <v>45615</v>
      </c>
      <c r="B3973">
        <v>2025.0</v>
      </c>
      <c r="C3973" t="s">
        <v>315</v>
      </c>
      <c r="D3973" t="s">
        <v>316</v>
      </c>
      <c r="E3973" t="s">
        <v>211</v>
      </c>
      <c r="F3973" t="s">
        <v>304</v>
      </c>
      <c r="G3973" t="s">
        <v>9</v>
      </c>
      <c r="H3973">
        <v>2650.0</v>
      </c>
      <c r="I3973" t="s">
        <v>31</v>
      </c>
      <c r="J3973" t="s">
        <v>75</v>
      </c>
      <c r="K3973" t="s">
        <v>71</v>
      </c>
      <c r="L3973" t="s">
        <v>72</v>
      </c>
      <c r="M3973">
        <v>1627.1999999999998</v>
      </c>
    </row>
    <row r="3974">
      <c r="A3974" s="2">
        <v>45819</v>
      </c>
      <c r="B3974">
        <v>2025.0</v>
      </c>
      <c r="C3974" t="s">
        <v>315</v>
      </c>
      <c r="D3974" t="s">
        <v>316</v>
      </c>
      <c r="E3974" t="s">
        <v>244</v>
      </c>
      <c r="F3974" t="s">
        <v>308</v>
      </c>
      <c r="G3974" t="s">
        <v>13</v>
      </c>
      <c r="H3974">
        <v>5168.0</v>
      </c>
      <c r="I3974" t="s">
        <v>31</v>
      </c>
      <c r="J3974" t="s">
        <v>42</v>
      </c>
      <c r="K3974" t="s">
        <v>71</v>
      </c>
      <c r="L3974" t="s">
        <v>72</v>
      </c>
      <c r="M3974">
        <v>1630.7900000000002</v>
      </c>
    </row>
    <row r="3975">
      <c r="A3975" s="2">
        <v>45876</v>
      </c>
      <c r="B3975">
        <v>2026.0</v>
      </c>
      <c r="C3975" t="s">
        <v>321</v>
      </c>
      <c r="D3975" t="s">
        <v>316</v>
      </c>
      <c r="E3975" t="s">
        <v>154</v>
      </c>
      <c r="F3975" t="s">
        <v>306</v>
      </c>
      <c r="G3975" t="s">
        <v>11</v>
      </c>
      <c r="H3975">
        <v>4551.0</v>
      </c>
      <c r="I3975" t="s">
        <v>31</v>
      </c>
      <c r="J3975" t="s">
        <v>84</v>
      </c>
      <c r="K3975" t="s">
        <v>66</v>
      </c>
      <c r="L3975" t="s">
        <v>67</v>
      </c>
      <c r="M3975">
        <v>1636.1100000000001</v>
      </c>
    </row>
    <row r="3976">
      <c r="A3976" s="2">
        <v>45872</v>
      </c>
      <c r="B3976">
        <v>2026.0</v>
      </c>
      <c r="C3976" t="s">
        <v>321</v>
      </c>
      <c r="D3976" t="s">
        <v>319</v>
      </c>
      <c r="E3976" t="s">
        <v>209</v>
      </c>
      <c r="F3976" t="s">
        <v>304</v>
      </c>
      <c r="G3976" t="s">
        <v>9</v>
      </c>
      <c r="H3976">
        <v>2116.0</v>
      </c>
      <c r="I3976" t="s">
        <v>31</v>
      </c>
      <c r="J3976" t="s">
        <v>81</v>
      </c>
      <c r="K3976" t="s">
        <v>46</v>
      </c>
      <c r="L3976" t="s">
        <v>47</v>
      </c>
      <c r="M3976">
        <v>1637.24</v>
      </c>
    </row>
    <row r="3977">
      <c r="A3977" s="2">
        <v>45845</v>
      </c>
      <c r="B3977">
        <v>2026.0</v>
      </c>
      <c r="C3977" t="s">
        <v>321</v>
      </c>
      <c r="D3977" t="s">
        <v>316</v>
      </c>
      <c r="E3977" t="s">
        <v>234</v>
      </c>
      <c r="F3977" t="s">
        <v>304</v>
      </c>
      <c r="G3977" t="s">
        <v>9</v>
      </c>
      <c r="H3977">
        <v>2158.0</v>
      </c>
      <c r="I3977" t="s">
        <v>31</v>
      </c>
      <c r="J3977" t="s">
        <v>81</v>
      </c>
      <c r="K3977" t="s">
        <v>46</v>
      </c>
      <c r="L3977" t="s">
        <v>47</v>
      </c>
      <c r="M3977">
        <v>1642.0000000000002</v>
      </c>
    </row>
    <row r="3978">
      <c r="A3978" s="2">
        <v>45735</v>
      </c>
      <c r="B3978">
        <v>2025.0</v>
      </c>
      <c r="C3978" t="s">
        <v>315</v>
      </c>
      <c r="D3978" t="s">
        <v>316</v>
      </c>
      <c r="E3978" t="s">
        <v>35</v>
      </c>
      <c r="F3978" t="s">
        <v>305</v>
      </c>
      <c r="G3978" t="s">
        <v>10</v>
      </c>
      <c r="H3978">
        <v>3280.0</v>
      </c>
      <c r="I3978" t="s">
        <v>31</v>
      </c>
      <c r="J3978" t="s">
        <v>37</v>
      </c>
      <c r="K3978" t="s">
        <v>95</v>
      </c>
      <c r="L3978" t="s">
        <v>96</v>
      </c>
      <c r="M3978">
        <v>1644.0900000000001</v>
      </c>
    </row>
    <row r="3979">
      <c r="A3979" s="2">
        <v>45469</v>
      </c>
      <c r="B3979">
        <v>2024.0</v>
      </c>
      <c r="C3979" t="s">
        <v>318</v>
      </c>
      <c r="D3979" t="s">
        <v>316</v>
      </c>
      <c r="E3979" t="s">
        <v>244</v>
      </c>
      <c r="F3979" t="s">
        <v>308</v>
      </c>
      <c r="G3979" t="s">
        <v>13</v>
      </c>
      <c r="H3979">
        <v>5168.0</v>
      </c>
      <c r="I3979" t="s">
        <v>31</v>
      </c>
      <c r="J3979" t="s">
        <v>42</v>
      </c>
      <c r="K3979" t="s">
        <v>46</v>
      </c>
      <c r="L3979" t="s">
        <v>47</v>
      </c>
      <c r="M3979">
        <v>1647.6399999999996</v>
      </c>
    </row>
    <row r="3980">
      <c r="A3980" s="2">
        <v>45550</v>
      </c>
      <c r="B3980">
        <v>2025.0</v>
      </c>
      <c r="C3980" t="s">
        <v>315</v>
      </c>
      <c r="D3980" t="s">
        <v>316</v>
      </c>
      <c r="E3980" t="s">
        <v>250</v>
      </c>
      <c r="F3980" t="s">
        <v>305</v>
      </c>
      <c r="G3980" t="s">
        <v>10</v>
      </c>
      <c r="H3980">
        <v>3550.0</v>
      </c>
      <c r="I3980" t="s">
        <v>31</v>
      </c>
      <c r="J3980" t="s">
        <v>37</v>
      </c>
      <c r="K3980" t="s">
        <v>43</v>
      </c>
      <c r="L3980" t="s">
        <v>44</v>
      </c>
      <c r="M3980">
        <v>1650.06</v>
      </c>
    </row>
    <row r="3981">
      <c r="A3981" s="2">
        <v>45343</v>
      </c>
      <c r="B3981">
        <v>2024.0</v>
      </c>
      <c r="C3981" t="s">
        <v>318</v>
      </c>
      <c r="D3981" t="s">
        <v>316</v>
      </c>
      <c r="E3981" t="s">
        <v>154</v>
      </c>
      <c r="F3981" t="s">
        <v>306</v>
      </c>
      <c r="G3981" t="s">
        <v>11</v>
      </c>
      <c r="H3981">
        <v>4551.0</v>
      </c>
      <c r="I3981" t="s">
        <v>31</v>
      </c>
      <c r="J3981" t="s">
        <v>84</v>
      </c>
      <c r="K3981" t="s">
        <v>46</v>
      </c>
      <c r="L3981" t="s">
        <v>47</v>
      </c>
      <c r="M3981">
        <v>1653.3899999999994</v>
      </c>
    </row>
    <row r="3982">
      <c r="A3982" s="2">
        <v>45804</v>
      </c>
      <c r="B3982">
        <v>2025.0</v>
      </c>
      <c r="C3982" t="s">
        <v>315</v>
      </c>
      <c r="D3982" t="s">
        <v>316</v>
      </c>
      <c r="E3982" t="s">
        <v>64</v>
      </c>
      <c r="F3982" t="s">
        <v>306</v>
      </c>
      <c r="G3982" t="s">
        <v>11</v>
      </c>
      <c r="H3982">
        <v>4215.0</v>
      </c>
      <c r="I3982" t="s">
        <v>31</v>
      </c>
      <c r="J3982" t="s">
        <v>61</v>
      </c>
      <c r="K3982" t="s">
        <v>66</v>
      </c>
      <c r="L3982" t="s">
        <v>67</v>
      </c>
      <c r="M3982">
        <v>1655.8599999999997</v>
      </c>
    </row>
    <row r="3983">
      <c r="A3983" s="2">
        <v>45899</v>
      </c>
      <c r="B3983">
        <v>2026.0</v>
      </c>
      <c r="C3983" t="s">
        <v>321</v>
      </c>
      <c r="D3983" t="s">
        <v>316</v>
      </c>
      <c r="E3983" t="s">
        <v>108</v>
      </c>
      <c r="F3983" t="s">
        <v>304</v>
      </c>
      <c r="G3983" t="s">
        <v>9</v>
      </c>
      <c r="H3983">
        <v>2795.0</v>
      </c>
      <c r="I3983" t="s">
        <v>31</v>
      </c>
      <c r="J3983" t="s">
        <v>75</v>
      </c>
      <c r="K3983" t="s">
        <v>57</v>
      </c>
      <c r="L3983" t="s">
        <v>58</v>
      </c>
      <c r="M3983">
        <v>1659.3600000000001</v>
      </c>
    </row>
    <row r="3984">
      <c r="A3984" s="2">
        <v>45495</v>
      </c>
      <c r="B3984">
        <v>2025.0</v>
      </c>
      <c r="C3984" t="s">
        <v>315</v>
      </c>
      <c r="D3984" t="s">
        <v>319</v>
      </c>
      <c r="E3984" t="s">
        <v>258</v>
      </c>
      <c r="F3984" t="s">
        <v>309</v>
      </c>
      <c r="G3984" t="s">
        <v>14</v>
      </c>
      <c r="H3984">
        <v>870.0</v>
      </c>
      <c r="I3984" t="s">
        <v>31</v>
      </c>
      <c r="J3984" t="s">
        <v>145</v>
      </c>
      <c r="K3984" t="s">
        <v>57</v>
      </c>
      <c r="L3984" t="s">
        <v>58</v>
      </c>
      <c r="M3984">
        <v>1666.6100000000001</v>
      </c>
    </row>
    <row r="3985">
      <c r="A3985" s="2">
        <v>46003</v>
      </c>
      <c r="B3985">
        <v>2026.0</v>
      </c>
      <c r="C3985" t="s">
        <v>321</v>
      </c>
      <c r="D3985" t="s">
        <v>316</v>
      </c>
      <c r="E3985" t="s">
        <v>35</v>
      </c>
      <c r="F3985" t="s">
        <v>305</v>
      </c>
      <c r="G3985" t="s">
        <v>10</v>
      </c>
      <c r="H3985">
        <v>3280.0</v>
      </c>
      <c r="I3985" t="s">
        <v>31</v>
      </c>
      <c r="J3985" t="s">
        <v>37</v>
      </c>
      <c r="K3985" t="s">
        <v>95</v>
      </c>
      <c r="L3985" t="s">
        <v>96</v>
      </c>
      <c r="M3985">
        <v>1668.9800000000002</v>
      </c>
    </row>
    <row r="3986">
      <c r="A3986" s="2">
        <v>45536</v>
      </c>
      <c r="B3986">
        <v>2025.0</v>
      </c>
      <c r="C3986" t="s">
        <v>315</v>
      </c>
      <c r="D3986" t="s">
        <v>319</v>
      </c>
      <c r="E3986" t="s">
        <v>179</v>
      </c>
      <c r="F3986" t="s">
        <v>304</v>
      </c>
      <c r="G3986" t="s">
        <v>9</v>
      </c>
      <c r="H3986">
        <v>2015.0</v>
      </c>
      <c r="I3986" t="s">
        <v>31</v>
      </c>
      <c r="J3986" t="s">
        <v>99</v>
      </c>
      <c r="K3986" t="s">
        <v>57</v>
      </c>
      <c r="L3986" t="s">
        <v>58</v>
      </c>
      <c r="M3986">
        <v>1676.7599999999998</v>
      </c>
    </row>
    <row r="3987">
      <c r="A3987" s="2">
        <v>45322</v>
      </c>
      <c r="B3987">
        <v>2024.0</v>
      </c>
      <c r="C3987" t="s">
        <v>318</v>
      </c>
      <c r="D3987" t="s">
        <v>319</v>
      </c>
      <c r="E3987" t="s">
        <v>82</v>
      </c>
      <c r="F3987" t="s">
        <v>306</v>
      </c>
      <c r="G3987" t="s">
        <v>11</v>
      </c>
      <c r="H3987">
        <v>4558.0</v>
      </c>
      <c r="I3987" t="s">
        <v>31</v>
      </c>
      <c r="J3987" t="s">
        <v>84</v>
      </c>
      <c r="K3987" t="s">
        <v>46</v>
      </c>
      <c r="L3987" t="s">
        <v>47</v>
      </c>
      <c r="M3987">
        <v>1678.2399999999998</v>
      </c>
    </row>
    <row r="3988">
      <c r="A3988" s="2">
        <v>45992</v>
      </c>
      <c r="B3988">
        <v>2026.0</v>
      </c>
      <c r="C3988" t="s">
        <v>321</v>
      </c>
      <c r="D3988" t="s">
        <v>316</v>
      </c>
      <c r="E3988" t="s">
        <v>183</v>
      </c>
      <c r="F3988" t="s">
        <v>304</v>
      </c>
      <c r="G3988" t="s">
        <v>9</v>
      </c>
      <c r="H3988">
        <v>2480.0</v>
      </c>
      <c r="I3988" t="s">
        <v>31</v>
      </c>
      <c r="J3988" t="s">
        <v>70</v>
      </c>
      <c r="K3988" t="s">
        <v>71</v>
      </c>
      <c r="L3988" t="s">
        <v>72</v>
      </c>
      <c r="M3988">
        <v>1679.6999999999998</v>
      </c>
    </row>
    <row r="3989">
      <c r="A3989" s="2">
        <v>45965</v>
      </c>
      <c r="B3989">
        <v>2026.0</v>
      </c>
      <c r="C3989" t="s">
        <v>321</v>
      </c>
      <c r="D3989" t="s">
        <v>316</v>
      </c>
      <c r="E3989" t="s">
        <v>187</v>
      </c>
      <c r="F3989" t="s">
        <v>306</v>
      </c>
      <c r="G3989" t="s">
        <v>11</v>
      </c>
      <c r="H3989">
        <v>4870.0</v>
      </c>
      <c r="I3989" t="s">
        <v>31</v>
      </c>
      <c r="J3989" t="s">
        <v>78</v>
      </c>
      <c r="K3989" t="s">
        <v>57</v>
      </c>
      <c r="L3989" t="s">
        <v>58</v>
      </c>
      <c r="M3989">
        <v>1681.4099999999999</v>
      </c>
    </row>
    <row r="3990">
      <c r="A3990" s="2">
        <v>45305</v>
      </c>
      <c r="B3990">
        <v>2024.0</v>
      </c>
      <c r="C3990" t="s">
        <v>318</v>
      </c>
      <c r="D3990" t="s">
        <v>319</v>
      </c>
      <c r="E3990" t="s">
        <v>179</v>
      </c>
      <c r="F3990" t="s">
        <v>304</v>
      </c>
      <c r="G3990" t="s">
        <v>9</v>
      </c>
      <c r="H3990">
        <v>2015.0</v>
      </c>
      <c r="I3990" t="s">
        <v>31</v>
      </c>
      <c r="J3990" t="s">
        <v>99</v>
      </c>
      <c r="K3990" t="s">
        <v>71</v>
      </c>
      <c r="L3990" t="s">
        <v>72</v>
      </c>
      <c r="M3990">
        <v>1685.24</v>
      </c>
    </row>
    <row r="3991">
      <c r="A3991" s="2">
        <v>45820</v>
      </c>
      <c r="B3991">
        <v>2025.0</v>
      </c>
      <c r="C3991" t="s">
        <v>315</v>
      </c>
      <c r="D3991" t="s">
        <v>316</v>
      </c>
      <c r="E3991" t="s">
        <v>108</v>
      </c>
      <c r="F3991" t="s">
        <v>304</v>
      </c>
      <c r="G3991" t="s">
        <v>9</v>
      </c>
      <c r="H3991">
        <v>2795.0</v>
      </c>
      <c r="I3991" t="s">
        <v>31</v>
      </c>
      <c r="J3991" t="s">
        <v>75</v>
      </c>
      <c r="K3991" t="s">
        <v>71</v>
      </c>
      <c r="L3991" t="s">
        <v>72</v>
      </c>
      <c r="M3991">
        <v>1685.32</v>
      </c>
    </row>
    <row r="3992">
      <c r="A3992" s="2">
        <v>45600</v>
      </c>
      <c r="B3992">
        <v>2025.0</v>
      </c>
      <c r="C3992" t="s">
        <v>315</v>
      </c>
      <c r="D3992" t="s">
        <v>316</v>
      </c>
      <c r="E3992" t="s">
        <v>171</v>
      </c>
      <c r="F3992" t="s">
        <v>305</v>
      </c>
      <c r="G3992" t="s">
        <v>10</v>
      </c>
      <c r="H3992">
        <v>3500.0</v>
      </c>
      <c r="I3992" t="s">
        <v>31</v>
      </c>
      <c r="J3992" t="s">
        <v>37</v>
      </c>
      <c r="K3992" t="s">
        <v>71</v>
      </c>
      <c r="L3992" t="s">
        <v>72</v>
      </c>
      <c r="M3992">
        <v>1694.0</v>
      </c>
    </row>
    <row r="3993">
      <c r="A3993" s="2">
        <v>45401</v>
      </c>
      <c r="B3993">
        <v>2024.0</v>
      </c>
      <c r="C3993" t="s">
        <v>318</v>
      </c>
      <c r="D3993" t="s">
        <v>319</v>
      </c>
      <c r="E3993" t="s">
        <v>100</v>
      </c>
      <c r="F3993" t="s">
        <v>307</v>
      </c>
      <c r="G3993" t="s">
        <v>12</v>
      </c>
      <c r="H3993">
        <v>6010.0</v>
      </c>
      <c r="I3993" t="s">
        <v>31</v>
      </c>
      <c r="J3993" t="s">
        <v>102</v>
      </c>
      <c r="K3993" t="s">
        <v>57</v>
      </c>
      <c r="L3993" t="s">
        <v>58</v>
      </c>
      <c r="M3993">
        <v>1695.33</v>
      </c>
    </row>
    <row r="3994">
      <c r="A3994" s="2">
        <v>45939</v>
      </c>
      <c r="B3994">
        <v>2026.0</v>
      </c>
      <c r="C3994" t="s">
        <v>321</v>
      </c>
      <c r="D3994" t="s">
        <v>319</v>
      </c>
      <c r="E3994" t="s">
        <v>177</v>
      </c>
      <c r="F3994" t="s">
        <v>307</v>
      </c>
      <c r="G3994" t="s">
        <v>12</v>
      </c>
      <c r="H3994">
        <v>6330.0</v>
      </c>
      <c r="I3994" t="s">
        <v>31</v>
      </c>
      <c r="J3994" t="s">
        <v>162</v>
      </c>
      <c r="K3994" t="s">
        <v>57</v>
      </c>
      <c r="L3994" t="s">
        <v>58</v>
      </c>
      <c r="M3994">
        <v>1696.4499999999998</v>
      </c>
    </row>
    <row r="3995">
      <c r="A3995" s="2">
        <v>45992</v>
      </c>
      <c r="B3995">
        <v>2026.0</v>
      </c>
      <c r="C3995" t="s">
        <v>321</v>
      </c>
      <c r="D3995" t="s">
        <v>316</v>
      </c>
      <c r="E3995" t="s">
        <v>154</v>
      </c>
      <c r="F3995" t="s">
        <v>306</v>
      </c>
      <c r="G3995" t="s">
        <v>11</v>
      </c>
      <c r="H3995">
        <v>4551.0</v>
      </c>
      <c r="I3995" t="s">
        <v>31</v>
      </c>
      <c r="J3995" t="s">
        <v>84</v>
      </c>
      <c r="K3995" t="s">
        <v>71</v>
      </c>
      <c r="L3995" t="s">
        <v>72</v>
      </c>
      <c r="M3995">
        <v>1700.33</v>
      </c>
    </row>
    <row r="3996">
      <c r="A3996" s="2">
        <v>45835</v>
      </c>
      <c r="B3996">
        <v>2025.0</v>
      </c>
      <c r="C3996" t="s">
        <v>315</v>
      </c>
      <c r="D3996" t="s">
        <v>316</v>
      </c>
      <c r="E3996" t="s">
        <v>105</v>
      </c>
      <c r="F3996" t="s">
        <v>304</v>
      </c>
      <c r="G3996" t="s">
        <v>9</v>
      </c>
      <c r="H3996">
        <v>2541.0</v>
      </c>
      <c r="I3996" t="s">
        <v>31</v>
      </c>
      <c r="J3996" t="s">
        <v>107</v>
      </c>
      <c r="K3996" t="s">
        <v>71</v>
      </c>
      <c r="L3996" t="s">
        <v>72</v>
      </c>
      <c r="M3996">
        <v>1704.66</v>
      </c>
    </row>
    <row r="3997">
      <c r="A3997" s="2">
        <v>45542</v>
      </c>
      <c r="B3997">
        <v>2025.0</v>
      </c>
      <c r="C3997" t="s">
        <v>315</v>
      </c>
      <c r="D3997" t="s">
        <v>316</v>
      </c>
      <c r="E3997" t="s">
        <v>183</v>
      </c>
      <c r="F3997" t="s">
        <v>304</v>
      </c>
      <c r="G3997" t="s">
        <v>9</v>
      </c>
      <c r="H3997">
        <v>2480.0</v>
      </c>
      <c r="I3997" t="s">
        <v>31</v>
      </c>
      <c r="J3997" t="s">
        <v>70</v>
      </c>
      <c r="K3997" t="s">
        <v>57</v>
      </c>
      <c r="L3997" t="s">
        <v>58</v>
      </c>
      <c r="M3997">
        <v>1710.4299999999998</v>
      </c>
    </row>
    <row r="3998">
      <c r="A3998" s="2">
        <v>45759</v>
      </c>
      <c r="B3998">
        <v>2025.0</v>
      </c>
      <c r="C3998" t="s">
        <v>315</v>
      </c>
      <c r="D3998" t="s">
        <v>319</v>
      </c>
      <c r="E3998" t="s">
        <v>85</v>
      </c>
      <c r="F3998" t="s">
        <v>304</v>
      </c>
      <c r="G3998" t="s">
        <v>9</v>
      </c>
      <c r="H3998">
        <v>2120.0</v>
      </c>
      <c r="I3998" t="s">
        <v>31</v>
      </c>
      <c r="J3998" t="s">
        <v>81</v>
      </c>
      <c r="K3998" t="s">
        <v>57</v>
      </c>
      <c r="L3998" t="s">
        <v>58</v>
      </c>
      <c r="M3998">
        <v>1712.8899999999999</v>
      </c>
    </row>
    <row r="3999">
      <c r="A3999" s="2">
        <v>45374</v>
      </c>
      <c r="B3999">
        <v>2024.0</v>
      </c>
      <c r="C3999" t="s">
        <v>318</v>
      </c>
      <c r="D3999" t="s">
        <v>316</v>
      </c>
      <c r="E3999" t="s">
        <v>139</v>
      </c>
      <c r="F3999" t="s">
        <v>305</v>
      </c>
      <c r="G3999" t="s">
        <v>10</v>
      </c>
      <c r="H3999">
        <v>3199.0</v>
      </c>
      <c r="I3999" t="s">
        <v>31</v>
      </c>
      <c r="J3999" t="s">
        <v>89</v>
      </c>
      <c r="K3999" t="s">
        <v>38</v>
      </c>
      <c r="L3999" t="s">
        <v>39</v>
      </c>
      <c r="M3999">
        <v>1717.0900000000004</v>
      </c>
    </row>
    <row r="4000">
      <c r="A4000" s="2">
        <v>45970</v>
      </c>
      <c r="B4000">
        <v>2026.0</v>
      </c>
      <c r="C4000" t="s">
        <v>321</v>
      </c>
      <c r="D4000" t="s">
        <v>319</v>
      </c>
      <c r="E4000" t="s">
        <v>262</v>
      </c>
      <c r="F4000" t="s">
        <v>305</v>
      </c>
      <c r="G4000" t="s">
        <v>10</v>
      </c>
      <c r="H4000">
        <v>3018.0</v>
      </c>
      <c r="I4000" t="s">
        <v>31</v>
      </c>
      <c r="J4000" t="s">
        <v>120</v>
      </c>
      <c r="K4000" t="s">
        <v>71</v>
      </c>
      <c r="L4000" t="s">
        <v>72</v>
      </c>
      <c r="M4000">
        <v>1719.85</v>
      </c>
    </row>
    <row r="4001">
      <c r="A4001" s="2">
        <v>45996</v>
      </c>
      <c r="B4001">
        <v>2026.0</v>
      </c>
      <c r="C4001" t="s">
        <v>321</v>
      </c>
      <c r="D4001" t="s">
        <v>319</v>
      </c>
      <c r="E4001" t="s">
        <v>262</v>
      </c>
      <c r="F4001" t="s">
        <v>305</v>
      </c>
      <c r="G4001" t="s">
        <v>10</v>
      </c>
      <c r="H4001">
        <v>3018.0</v>
      </c>
      <c r="I4001" t="s">
        <v>31</v>
      </c>
      <c r="J4001" t="s">
        <v>120</v>
      </c>
      <c r="K4001" t="s">
        <v>43</v>
      </c>
      <c r="L4001" t="s">
        <v>44</v>
      </c>
      <c r="M4001">
        <v>1721.62</v>
      </c>
    </row>
    <row r="4002">
      <c r="A4002" s="2">
        <v>45340</v>
      </c>
      <c r="B4002">
        <v>2024.0</v>
      </c>
      <c r="C4002" t="s">
        <v>318</v>
      </c>
      <c r="D4002" t="s">
        <v>316</v>
      </c>
      <c r="E4002" t="s">
        <v>100</v>
      </c>
      <c r="F4002" t="s">
        <v>307</v>
      </c>
      <c r="G4002" t="s">
        <v>12</v>
      </c>
      <c r="H4002">
        <v>6010.0</v>
      </c>
      <c r="I4002" t="s">
        <v>31</v>
      </c>
      <c r="J4002" t="s">
        <v>102</v>
      </c>
      <c r="K4002" t="s">
        <v>57</v>
      </c>
      <c r="L4002" t="s">
        <v>58</v>
      </c>
      <c r="M4002">
        <v>1722.97</v>
      </c>
    </row>
    <row r="4003">
      <c r="A4003" s="2">
        <v>45968</v>
      </c>
      <c r="B4003">
        <v>2026.0</v>
      </c>
      <c r="C4003" t="s">
        <v>321</v>
      </c>
      <c r="D4003" t="s">
        <v>316</v>
      </c>
      <c r="E4003" t="s">
        <v>105</v>
      </c>
      <c r="F4003" t="s">
        <v>304</v>
      </c>
      <c r="G4003" t="s">
        <v>9</v>
      </c>
      <c r="H4003">
        <v>2541.0</v>
      </c>
      <c r="I4003" t="s">
        <v>31</v>
      </c>
      <c r="J4003" t="s">
        <v>107</v>
      </c>
      <c r="K4003" t="s">
        <v>71</v>
      </c>
      <c r="L4003" t="s">
        <v>72</v>
      </c>
      <c r="M4003">
        <v>1724.36</v>
      </c>
    </row>
    <row r="4004">
      <c r="A4004" s="2">
        <v>45846</v>
      </c>
      <c r="B4004">
        <v>2026.0</v>
      </c>
      <c r="C4004" t="s">
        <v>321</v>
      </c>
      <c r="D4004" t="s">
        <v>316</v>
      </c>
      <c r="E4004" t="s">
        <v>160</v>
      </c>
      <c r="F4004" t="s">
        <v>307</v>
      </c>
      <c r="G4004" t="s">
        <v>12</v>
      </c>
      <c r="H4004">
        <v>6280.0</v>
      </c>
      <c r="I4004" t="s">
        <v>31</v>
      </c>
      <c r="J4004" t="s">
        <v>162</v>
      </c>
      <c r="K4004" t="s">
        <v>71</v>
      </c>
      <c r="L4004" t="s">
        <v>72</v>
      </c>
      <c r="M4004">
        <v>1724.3700000000001</v>
      </c>
    </row>
    <row r="4005">
      <c r="A4005" s="2">
        <v>46004</v>
      </c>
      <c r="B4005">
        <v>2026.0</v>
      </c>
      <c r="C4005" t="s">
        <v>321</v>
      </c>
      <c r="D4005" t="s">
        <v>316</v>
      </c>
      <c r="E4005" t="s">
        <v>48</v>
      </c>
      <c r="F4005" t="s">
        <v>307</v>
      </c>
      <c r="G4005" t="s">
        <v>12</v>
      </c>
      <c r="H4005">
        <v>6725.0</v>
      </c>
      <c r="I4005" t="s">
        <v>31</v>
      </c>
      <c r="J4005" t="s">
        <v>50</v>
      </c>
      <c r="K4005" t="s">
        <v>46</v>
      </c>
      <c r="L4005" t="s">
        <v>47</v>
      </c>
      <c r="M4005">
        <v>1725.2199999999998</v>
      </c>
    </row>
    <row r="4006">
      <c r="A4006" s="2">
        <v>45647</v>
      </c>
      <c r="B4006">
        <v>2025.0</v>
      </c>
      <c r="C4006" t="s">
        <v>315</v>
      </c>
      <c r="D4006" t="s">
        <v>316</v>
      </c>
      <c r="E4006" t="s">
        <v>185</v>
      </c>
      <c r="F4006" t="s">
        <v>307</v>
      </c>
      <c r="G4006" t="s">
        <v>12</v>
      </c>
      <c r="H4006">
        <v>6109.0</v>
      </c>
      <c r="I4006" t="s">
        <v>31</v>
      </c>
      <c r="J4006" t="s">
        <v>162</v>
      </c>
      <c r="K4006" t="s">
        <v>46</v>
      </c>
      <c r="L4006" t="s">
        <v>47</v>
      </c>
      <c r="M4006">
        <v>1726.45</v>
      </c>
    </row>
    <row r="4007">
      <c r="A4007" s="2">
        <v>45682</v>
      </c>
      <c r="B4007">
        <v>2025.0</v>
      </c>
      <c r="C4007" t="s">
        <v>315</v>
      </c>
      <c r="D4007" t="s">
        <v>319</v>
      </c>
      <c r="E4007" t="s">
        <v>256</v>
      </c>
      <c r="F4007" t="s">
        <v>304</v>
      </c>
      <c r="G4007" t="s">
        <v>9</v>
      </c>
      <c r="H4007">
        <v>2350.0</v>
      </c>
      <c r="I4007" t="s">
        <v>31</v>
      </c>
      <c r="J4007" t="s">
        <v>70</v>
      </c>
      <c r="K4007" t="s">
        <v>112</v>
      </c>
      <c r="L4007" t="s">
        <v>113</v>
      </c>
      <c r="M4007">
        <v>1739.97</v>
      </c>
    </row>
    <row r="4008">
      <c r="A4008" s="2">
        <v>45322</v>
      </c>
      <c r="B4008">
        <v>2024.0</v>
      </c>
      <c r="C4008" t="s">
        <v>318</v>
      </c>
      <c r="D4008" t="s">
        <v>316</v>
      </c>
      <c r="E4008" t="s">
        <v>97</v>
      </c>
      <c r="F4008" t="s">
        <v>304</v>
      </c>
      <c r="G4008" t="s">
        <v>9</v>
      </c>
      <c r="H4008">
        <v>2067.0</v>
      </c>
      <c r="I4008" t="s">
        <v>31</v>
      </c>
      <c r="J4008" t="s">
        <v>99</v>
      </c>
      <c r="K4008" t="s">
        <v>57</v>
      </c>
      <c r="L4008" t="s">
        <v>58</v>
      </c>
      <c r="M4008">
        <v>1741.8</v>
      </c>
    </row>
    <row r="4009">
      <c r="A4009" s="2">
        <v>45510</v>
      </c>
      <c r="B4009">
        <v>2025.0</v>
      </c>
      <c r="C4009" t="s">
        <v>315</v>
      </c>
      <c r="D4009" t="s">
        <v>319</v>
      </c>
      <c r="E4009" t="s">
        <v>90</v>
      </c>
      <c r="F4009" t="s">
        <v>305</v>
      </c>
      <c r="G4009" t="s">
        <v>10</v>
      </c>
      <c r="H4009">
        <v>3353.0</v>
      </c>
      <c r="I4009" t="s">
        <v>31</v>
      </c>
      <c r="J4009" t="s">
        <v>37</v>
      </c>
      <c r="K4009" t="s">
        <v>71</v>
      </c>
      <c r="L4009" t="s">
        <v>72</v>
      </c>
      <c r="M4009">
        <v>1744.54</v>
      </c>
    </row>
    <row r="4010">
      <c r="A4010" s="2">
        <v>45856</v>
      </c>
      <c r="B4010">
        <v>2026.0</v>
      </c>
      <c r="C4010" t="s">
        <v>321</v>
      </c>
      <c r="D4010" t="s">
        <v>316</v>
      </c>
      <c r="E4010" t="s">
        <v>105</v>
      </c>
      <c r="F4010" t="s">
        <v>304</v>
      </c>
      <c r="G4010" t="s">
        <v>9</v>
      </c>
      <c r="H4010">
        <v>2541.0</v>
      </c>
      <c r="I4010" t="s">
        <v>31</v>
      </c>
      <c r="J4010" t="s">
        <v>107</v>
      </c>
      <c r="K4010" t="s">
        <v>43</v>
      </c>
      <c r="L4010" t="s">
        <v>44</v>
      </c>
      <c r="M4010">
        <v>1745.6</v>
      </c>
    </row>
    <row r="4011">
      <c r="A4011" s="2">
        <v>45966</v>
      </c>
      <c r="B4011">
        <v>2026.0</v>
      </c>
      <c r="C4011" t="s">
        <v>321</v>
      </c>
      <c r="D4011" t="s">
        <v>319</v>
      </c>
      <c r="E4011" t="s">
        <v>103</v>
      </c>
      <c r="F4011" t="s">
        <v>307</v>
      </c>
      <c r="G4011" t="s">
        <v>12</v>
      </c>
      <c r="H4011">
        <v>6021.0</v>
      </c>
      <c r="I4011" t="s">
        <v>31</v>
      </c>
      <c r="J4011" t="s">
        <v>102</v>
      </c>
      <c r="K4011" t="s">
        <v>46</v>
      </c>
      <c r="L4011" t="s">
        <v>47</v>
      </c>
      <c r="M4011">
        <v>1746.3400000000001</v>
      </c>
    </row>
    <row r="4012">
      <c r="A4012" s="2">
        <v>45779</v>
      </c>
      <c r="B4012">
        <v>2025.0</v>
      </c>
      <c r="C4012" t="s">
        <v>315</v>
      </c>
      <c r="D4012" t="s">
        <v>316</v>
      </c>
      <c r="E4012" t="s">
        <v>152</v>
      </c>
      <c r="F4012" t="s">
        <v>306</v>
      </c>
      <c r="G4012" t="s">
        <v>11</v>
      </c>
      <c r="H4012">
        <v>4305.0</v>
      </c>
      <c r="I4012" t="s">
        <v>31</v>
      </c>
      <c r="J4012" t="s">
        <v>61</v>
      </c>
      <c r="K4012" t="s">
        <v>71</v>
      </c>
      <c r="L4012" t="s">
        <v>72</v>
      </c>
      <c r="M4012">
        <v>1751.7700000000002</v>
      </c>
    </row>
    <row r="4013">
      <c r="A4013" s="2">
        <v>45826</v>
      </c>
      <c r="B4013">
        <v>2025.0</v>
      </c>
      <c r="C4013" t="s">
        <v>315</v>
      </c>
      <c r="D4013" t="s">
        <v>316</v>
      </c>
      <c r="E4013" t="s">
        <v>108</v>
      </c>
      <c r="F4013" t="s">
        <v>304</v>
      </c>
      <c r="G4013" t="s">
        <v>9</v>
      </c>
      <c r="H4013">
        <v>2795.0</v>
      </c>
      <c r="I4013" t="s">
        <v>31</v>
      </c>
      <c r="J4013" t="s">
        <v>75</v>
      </c>
      <c r="K4013" t="s">
        <v>46</v>
      </c>
      <c r="L4013" t="s">
        <v>47</v>
      </c>
      <c r="M4013">
        <v>1754.39</v>
      </c>
    </row>
    <row r="4014">
      <c r="A4014" s="2">
        <v>45672</v>
      </c>
      <c r="B4014">
        <v>2025.0</v>
      </c>
      <c r="C4014" t="s">
        <v>315</v>
      </c>
      <c r="D4014" t="s">
        <v>316</v>
      </c>
      <c r="E4014" t="s">
        <v>163</v>
      </c>
      <c r="F4014" t="s">
        <v>304</v>
      </c>
      <c r="G4014" t="s">
        <v>9</v>
      </c>
      <c r="H4014">
        <v>2154.0</v>
      </c>
      <c r="I4014" t="s">
        <v>31</v>
      </c>
      <c r="J4014" t="s">
        <v>81</v>
      </c>
      <c r="K4014" t="s">
        <v>43</v>
      </c>
      <c r="L4014" t="s">
        <v>44</v>
      </c>
      <c r="M4014">
        <v>1761.7900000000002</v>
      </c>
    </row>
    <row r="4015">
      <c r="A4015" s="2">
        <v>45901</v>
      </c>
      <c r="B4015">
        <v>2026.0</v>
      </c>
      <c r="C4015" t="s">
        <v>321</v>
      </c>
      <c r="D4015" t="s">
        <v>316</v>
      </c>
      <c r="E4015" t="s">
        <v>213</v>
      </c>
      <c r="F4015" t="s">
        <v>306</v>
      </c>
      <c r="G4015" t="s">
        <v>11</v>
      </c>
      <c r="H4015">
        <v>4740.0</v>
      </c>
      <c r="I4015" t="s">
        <v>31</v>
      </c>
      <c r="J4015" t="s">
        <v>32</v>
      </c>
      <c r="K4015" t="s">
        <v>57</v>
      </c>
      <c r="L4015" t="s">
        <v>58</v>
      </c>
      <c r="M4015">
        <v>1764.82</v>
      </c>
    </row>
    <row r="4016">
      <c r="A4016" s="2">
        <v>45647</v>
      </c>
      <c r="B4016">
        <v>2025.0</v>
      </c>
      <c r="C4016" t="s">
        <v>315</v>
      </c>
      <c r="D4016" t="s">
        <v>319</v>
      </c>
      <c r="E4016" t="s">
        <v>177</v>
      </c>
      <c r="F4016" t="s">
        <v>307</v>
      </c>
      <c r="G4016" t="s">
        <v>12</v>
      </c>
      <c r="H4016">
        <v>6330.0</v>
      </c>
      <c r="I4016" t="s">
        <v>31</v>
      </c>
      <c r="J4016" t="s">
        <v>162</v>
      </c>
      <c r="K4016" t="s">
        <v>71</v>
      </c>
      <c r="L4016" t="s">
        <v>72</v>
      </c>
      <c r="M4016">
        <v>1765.1</v>
      </c>
    </row>
    <row r="4017">
      <c r="A4017" s="2">
        <v>45317</v>
      </c>
      <c r="B4017">
        <v>2024.0</v>
      </c>
      <c r="C4017" t="s">
        <v>318</v>
      </c>
      <c r="D4017" t="s">
        <v>316</v>
      </c>
      <c r="E4017" t="s">
        <v>215</v>
      </c>
      <c r="F4017" t="s">
        <v>310</v>
      </c>
      <c r="G4017" t="s">
        <v>15</v>
      </c>
      <c r="H4017">
        <v>7320.0</v>
      </c>
      <c r="I4017" t="s">
        <v>31</v>
      </c>
      <c r="J4017" t="s">
        <v>53</v>
      </c>
      <c r="K4017" t="s">
        <v>46</v>
      </c>
      <c r="L4017" t="s">
        <v>47</v>
      </c>
      <c r="M4017">
        <v>1765.4799999999993</v>
      </c>
    </row>
    <row r="4018">
      <c r="A4018" s="2">
        <v>45574</v>
      </c>
      <c r="B4018">
        <v>2025.0</v>
      </c>
      <c r="C4018" t="s">
        <v>315</v>
      </c>
      <c r="D4018" t="s">
        <v>316</v>
      </c>
      <c r="E4018" t="s">
        <v>137</v>
      </c>
      <c r="F4018" t="s">
        <v>305</v>
      </c>
      <c r="G4018" t="s">
        <v>10</v>
      </c>
      <c r="H4018">
        <v>3134.0</v>
      </c>
      <c r="I4018" t="s">
        <v>31</v>
      </c>
      <c r="J4018" t="s">
        <v>89</v>
      </c>
      <c r="K4018" t="s">
        <v>71</v>
      </c>
      <c r="L4018" t="s">
        <v>72</v>
      </c>
      <c r="M4018">
        <v>1774.84</v>
      </c>
    </row>
    <row r="4019">
      <c r="A4019" s="2">
        <v>45883</v>
      </c>
      <c r="B4019">
        <v>2026.0</v>
      </c>
      <c r="C4019" t="s">
        <v>321</v>
      </c>
      <c r="D4019" t="s">
        <v>316</v>
      </c>
      <c r="E4019" t="s">
        <v>129</v>
      </c>
      <c r="F4019" t="s">
        <v>305</v>
      </c>
      <c r="G4019" t="s">
        <v>10</v>
      </c>
      <c r="H4019">
        <v>3066.0</v>
      </c>
      <c r="I4019" t="s">
        <v>31</v>
      </c>
      <c r="J4019" t="s">
        <v>120</v>
      </c>
      <c r="K4019" t="s">
        <v>43</v>
      </c>
      <c r="L4019" t="s">
        <v>44</v>
      </c>
      <c r="M4019">
        <v>1778.2000000000003</v>
      </c>
    </row>
    <row r="4020">
      <c r="A4020" s="2">
        <v>45708</v>
      </c>
      <c r="B4020">
        <v>2025.0</v>
      </c>
      <c r="C4020" t="s">
        <v>315</v>
      </c>
      <c r="D4020" t="s">
        <v>316</v>
      </c>
      <c r="E4020" t="s">
        <v>156</v>
      </c>
      <c r="F4020" t="s">
        <v>304</v>
      </c>
      <c r="G4020" t="s">
        <v>9</v>
      </c>
      <c r="H4020">
        <v>2830.0</v>
      </c>
      <c r="I4020" t="s">
        <v>31</v>
      </c>
      <c r="J4020" t="s">
        <v>75</v>
      </c>
      <c r="K4020" t="s">
        <v>57</v>
      </c>
      <c r="L4020" t="s">
        <v>58</v>
      </c>
      <c r="M4020">
        <v>1780.1200000000001</v>
      </c>
    </row>
    <row r="4021">
      <c r="A4021" s="2">
        <v>45585</v>
      </c>
      <c r="B4021">
        <v>2025.0</v>
      </c>
      <c r="C4021" t="s">
        <v>315</v>
      </c>
      <c r="D4021" t="s">
        <v>319</v>
      </c>
      <c r="E4021" t="s">
        <v>40</v>
      </c>
      <c r="F4021" t="s">
        <v>308</v>
      </c>
      <c r="G4021" t="s">
        <v>13</v>
      </c>
      <c r="H4021">
        <v>5011.0</v>
      </c>
      <c r="I4021" t="s">
        <v>31</v>
      </c>
      <c r="J4021" t="s">
        <v>42</v>
      </c>
      <c r="K4021" t="s">
        <v>57</v>
      </c>
      <c r="L4021" t="s">
        <v>58</v>
      </c>
      <c r="M4021">
        <v>1784.0700000000002</v>
      </c>
    </row>
    <row r="4022">
      <c r="A4022" s="2">
        <v>45788</v>
      </c>
      <c r="B4022">
        <v>2025.0</v>
      </c>
      <c r="C4022" t="s">
        <v>315</v>
      </c>
      <c r="D4022" t="s">
        <v>316</v>
      </c>
      <c r="E4022" t="s">
        <v>114</v>
      </c>
      <c r="F4022" t="s">
        <v>304</v>
      </c>
      <c r="G4022" t="s">
        <v>9</v>
      </c>
      <c r="H4022">
        <v>2031.0</v>
      </c>
      <c r="I4022" t="s">
        <v>31</v>
      </c>
      <c r="J4022" t="s">
        <v>99</v>
      </c>
      <c r="K4022" t="s">
        <v>46</v>
      </c>
      <c r="L4022" t="s">
        <v>47</v>
      </c>
      <c r="M4022">
        <v>1789.2100000000003</v>
      </c>
    </row>
    <row r="4023">
      <c r="A4023" s="2">
        <v>45656</v>
      </c>
      <c r="B4023">
        <v>2025.0</v>
      </c>
      <c r="C4023" t="s">
        <v>315</v>
      </c>
      <c r="D4023" t="s">
        <v>319</v>
      </c>
      <c r="E4023" t="s">
        <v>209</v>
      </c>
      <c r="F4023" t="s">
        <v>304</v>
      </c>
      <c r="G4023" t="s">
        <v>9</v>
      </c>
      <c r="H4023">
        <v>2116.0</v>
      </c>
      <c r="I4023" t="s">
        <v>31</v>
      </c>
      <c r="J4023" t="s">
        <v>81</v>
      </c>
      <c r="K4023" t="s">
        <v>33</v>
      </c>
      <c r="L4023" t="s">
        <v>34</v>
      </c>
      <c r="M4023">
        <v>1791.0299999999997</v>
      </c>
    </row>
    <row r="4024">
      <c r="A4024" s="2">
        <v>45890</v>
      </c>
      <c r="B4024">
        <v>2026.0</v>
      </c>
      <c r="C4024" t="s">
        <v>321</v>
      </c>
      <c r="D4024" t="s">
        <v>316</v>
      </c>
      <c r="E4024" t="s">
        <v>211</v>
      </c>
      <c r="F4024" t="s">
        <v>304</v>
      </c>
      <c r="G4024" t="s">
        <v>9</v>
      </c>
      <c r="H4024">
        <v>2650.0</v>
      </c>
      <c r="I4024" t="s">
        <v>31</v>
      </c>
      <c r="J4024" t="s">
        <v>75</v>
      </c>
      <c r="K4024" t="s">
        <v>46</v>
      </c>
      <c r="L4024" t="s">
        <v>47</v>
      </c>
      <c r="M4024">
        <v>1791.4500000000003</v>
      </c>
    </row>
    <row r="4025">
      <c r="A4025" s="2">
        <v>45867</v>
      </c>
      <c r="B4025">
        <v>2026.0</v>
      </c>
      <c r="C4025" t="s">
        <v>321</v>
      </c>
      <c r="D4025" t="s">
        <v>319</v>
      </c>
      <c r="E4025" t="s">
        <v>165</v>
      </c>
      <c r="F4025" t="s">
        <v>304</v>
      </c>
      <c r="G4025" t="s">
        <v>9</v>
      </c>
      <c r="H4025">
        <v>2064.0</v>
      </c>
      <c r="I4025" t="s">
        <v>31</v>
      </c>
      <c r="J4025" t="s">
        <v>99</v>
      </c>
      <c r="K4025" t="s">
        <v>33</v>
      </c>
      <c r="L4025" t="s">
        <v>34</v>
      </c>
      <c r="M4025">
        <v>1793.64</v>
      </c>
    </row>
    <row r="4026">
      <c r="A4026" s="2">
        <v>45470</v>
      </c>
      <c r="B4026">
        <v>2024.0</v>
      </c>
      <c r="C4026" t="s">
        <v>318</v>
      </c>
      <c r="D4026" t="s">
        <v>316</v>
      </c>
      <c r="E4026" t="s">
        <v>219</v>
      </c>
      <c r="F4026" t="s">
        <v>306</v>
      </c>
      <c r="G4026" t="s">
        <v>11</v>
      </c>
      <c r="H4026">
        <v>4068.0</v>
      </c>
      <c r="I4026" t="s">
        <v>31</v>
      </c>
      <c r="J4026" t="s">
        <v>56</v>
      </c>
      <c r="K4026" t="s">
        <v>123</v>
      </c>
      <c r="L4026" t="s">
        <v>124</v>
      </c>
      <c r="M4026">
        <v>1803.82</v>
      </c>
    </row>
    <row r="4027">
      <c r="A4027" s="2">
        <v>45793</v>
      </c>
      <c r="B4027">
        <v>2025.0</v>
      </c>
      <c r="C4027" t="s">
        <v>315</v>
      </c>
      <c r="D4027" t="s">
        <v>316</v>
      </c>
      <c r="E4027" t="s">
        <v>87</v>
      </c>
      <c r="F4027" t="s">
        <v>305</v>
      </c>
      <c r="G4027" t="s">
        <v>10</v>
      </c>
      <c r="H4027">
        <v>3148.0</v>
      </c>
      <c r="I4027" t="s">
        <v>31</v>
      </c>
      <c r="J4027" t="s">
        <v>89</v>
      </c>
      <c r="K4027" t="s">
        <v>71</v>
      </c>
      <c r="L4027" t="s">
        <v>72</v>
      </c>
      <c r="M4027">
        <v>1807.66</v>
      </c>
    </row>
    <row r="4028">
      <c r="A4028" s="2">
        <v>45587</v>
      </c>
      <c r="B4028">
        <v>2025.0</v>
      </c>
      <c r="C4028" t="s">
        <v>315</v>
      </c>
      <c r="D4028" t="s">
        <v>316</v>
      </c>
      <c r="E4028" t="s">
        <v>114</v>
      </c>
      <c r="F4028" t="s">
        <v>304</v>
      </c>
      <c r="G4028" t="s">
        <v>9</v>
      </c>
      <c r="H4028">
        <v>2031.0</v>
      </c>
      <c r="I4028" t="s">
        <v>31</v>
      </c>
      <c r="J4028" t="s">
        <v>99</v>
      </c>
      <c r="K4028" t="s">
        <v>66</v>
      </c>
      <c r="L4028" t="s">
        <v>67</v>
      </c>
      <c r="M4028">
        <v>1809.2499999999998</v>
      </c>
    </row>
    <row r="4029">
      <c r="A4029" s="2">
        <v>45564</v>
      </c>
      <c r="B4029">
        <v>2025.0</v>
      </c>
      <c r="C4029" t="s">
        <v>315</v>
      </c>
      <c r="D4029" t="s">
        <v>319</v>
      </c>
      <c r="E4029" t="s">
        <v>256</v>
      </c>
      <c r="F4029" t="s">
        <v>304</v>
      </c>
      <c r="G4029" t="s">
        <v>9</v>
      </c>
      <c r="H4029">
        <v>2350.0</v>
      </c>
      <c r="I4029" t="s">
        <v>31</v>
      </c>
      <c r="J4029" t="s">
        <v>70</v>
      </c>
      <c r="K4029" t="s">
        <v>123</v>
      </c>
      <c r="L4029" t="s">
        <v>124</v>
      </c>
      <c r="M4029">
        <v>1810.51</v>
      </c>
    </row>
    <row r="4030">
      <c r="A4030" s="2">
        <v>45982</v>
      </c>
      <c r="B4030">
        <v>2026.0</v>
      </c>
      <c r="C4030" t="s">
        <v>321</v>
      </c>
      <c r="D4030" t="s">
        <v>316</v>
      </c>
      <c r="E4030" t="s">
        <v>203</v>
      </c>
      <c r="F4030" t="s">
        <v>305</v>
      </c>
      <c r="G4030" t="s">
        <v>10</v>
      </c>
      <c r="H4030">
        <v>3175.0</v>
      </c>
      <c r="I4030" t="s">
        <v>31</v>
      </c>
      <c r="J4030" t="s">
        <v>89</v>
      </c>
      <c r="K4030" t="s">
        <v>71</v>
      </c>
      <c r="L4030" t="s">
        <v>72</v>
      </c>
      <c r="M4030">
        <v>1817.0900000000001</v>
      </c>
    </row>
    <row r="4031">
      <c r="A4031" s="2">
        <v>45906</v>
      </c>
      <c r="B4031">
        <v>2026.0</v>
      </c>
      <c r="C4031" t="s">
        <v>321</v>
      </c>
      <c r="D4031" t="s">
        <v>316</v>
      </c>
      <c r="E4031" t="s">
        <v>35</v>
      </c>
      <c r="F4031" t="s">
        <v>305</v>
      </c>
      <c r="G4031" t="s">
        <v>10</v>
      </c>
      <c r="H4031">
        <v>3280.0</v>
      </c>
      <c r="I4031" t="s">
        <v>31</v>
      </c>
      <c r="J4031" t="s">
        <v>37</v>
      </c>
      <c r="K4031" t="s">
        <v>57</v>
      </c>
      <c r="L4031" t="s">
        <v>58</v>
      </c>
      <c r="M4031">
        <v>1821.3399999999997</v>
      </c>
    </row>
    <row r="4032">
      <c r="A4032" s="2">
        <v>45583</v>
      </c>
      <c r="B4032">
        <v>2025.0</v>
      </c>
      <c r="C4032" t="s">
        <v>315</v>
      </c>
      <c r="D4032" t="s">
        <v>316</v>
      </c>
      <c r="E4032" t="s">
        <v>87</v>
      </c>
      <c r="F4032" t="s">
        <v>305</v>
      </c>
      <c r="G4032" t="s">
        <v>10</v>
      </c>
      <c r="H4032">
        <v>3148.0</v>
      </c>
      <c r="I4032" t="s">
        <v>31</v>
      </c>
      <c r="J4032" t="s">
        <v>89</v>
      </c>
      <c r="K4032" t="s">
        <v>71</v>
      </c>
      <c r="L4032" t="s">
        <v>72</v>
      </c>
      <c r="M4032">
        <v>1821.5799999999997</v>
      </c>
    </row>
    <row r="4033">
      <c r="A4033" s="2">
        <v>46006</v>
      </c>
      <c r="B4033">
        <v>2026.0</v>
      </c>
      <c r="C4033" t="s">
        <v>321</v>
      </c>
      <c r="D4033" t="s">
        <v>316</v>
      </c>
      <c r="E4033" t="s">
        <v>79</v>
      </c>
      <c r="F4033" t="s">
        <v>304</v>
      </c>
      <c r="G4033" t="s">
        <v>9</v>
      </c>
      <c r="H4033">
        <v>2141.0</v>
      </c>
      <c r="I4033" t="s">
        <v>31</v>
      </c>
      <c r="J4033" t="s">
        <v>81</v>
      </c>
      <c r="K4033" t="s">
        <v>57</v>
      </c>
      <c r="L4033" t="s">
        <v>58</v>
      </c>
      <c r="M4033">
        <v>1825.67</v>
      </c>
    </row>
    <row r="4034">
      <c r="A4034" s="2">
        <v>45499</v>
      </c>
      <c r="B4034">
        <v>2025.0</v>
      </c>
      <c r="C4034" t="s">
        <v>315</v>
      </c>
      <c r="D4034" t="s">
        <v>316</v>
      </c>
      <c r="E4034" t="s">
        <v>110</v>
      </c>
      <c r="F4034" t="s">
        <v>304</v>
      </c>
      <c r="G4034" t="s">
        <v>9</v>
      </c>
      <c r="H4034">
        <v>2101.0</v>
      </c>
      <c r="I4034" t="s">
        <v>31</v>
      </c>
      <c r="J4034" t="s">
        <v>81</v>
      </c>
      <c r="K4034" t="s">
        <v>46</v>
      </c>
      <c r="L4034" t="s">
        <v>47</v>
      </c>
      <c r="M4034">
        <v>1826.9199999999998</v>
      </c>
    </row>
    <row r="4035">
      <c r="A4035" s="2">
        <v>45893</v>
      </c>
      <c r="B4035">
        <v>2026.0</v>
      </c>
      <c r="C4035" t="s">
        <v>321</v>
      </c>
      <c r="D4035" t="s">
        <v>316</v>
      </c>
      <c r="E4035" t="s">
        <v>118</v>
      </c>
      <c r="F4035" t="s">
        <v>305</v>
      </c>
      <c r="G4035" t="s">
        <v>10</v>
      </c>
      <c r="H4035">
        <v>3076.0</v>
      </c>
      <c r="I4035" t="s">
        <v>31</v>
      </c>
      <c r="J4035" t="s">
        <v>120</v>
      </c>
      <c r="K4035" t="s">
        <v>71</v>
      </c>
      <c r="L4035" t="s">
        <v>72</v>
      </c>
      <c r="M4035">
        <v>1828.1499999999999</v>
      </c>
    </row>
    <row r="4036">
      <c r="A4036" s="2">
        <v>45908</v>
      </c>
      <c r="B4036">
        <v>2026.0</v>
      </c>
      <c r="C4036" t="s">
        <v>321</v>
      </c>
      <c r="D4036" t="s">
        <v>316</v>
      </c>
      <c r="E4036" t="s">
        <v>158</v>
      </c>
      <c r="F4036" t="s">
        <v>306</v>
      </c>
      <c r="G4036" t="s">
        <v>11</v>
      </c>
      <c r="H4036">
        <v>4570.0</v>
      </c>
      <c r="I4036" t="s">
        <v>31</v>
      </c>
      <c r="J4036" t="s">
        <v>84</v>
      </c>
      <c r="K4036" t="s">
        <v>71</v>
      </c>
      <c r="L4036" t="s">
        <v>72</v>
      </c>
      <c r="M4036">
        <v>1836.5</v>
      </c>
    </row>
    <row r="4037">
      <c r="A4037" s="2">
        <v>45856</v>
      </c>
      <c r="B4037">
        <v>2026.0</v>
      </c>
      <c r="C4037" t="s">
        <v>321</v>
      </c>
      <c r="D4037" t="s">
        <v>316</v>
      </c>
      <c r="E4037" t="s">
        <v>195</v>
      </c>
      <c r="F4037" t="s">
        <v>306</v>
      </c>
      <c r="G4037" t="s">
        <v>11</v>
      </c>
      <c r="H4037">
        <v>4700.0</v>
      </c>
      <c r="I4037" t="s">
        <v>31</v>
      </c>
      <c r="J4037" t="s">
        <v>32</v>
      </c>
      <c r="K4037" t="s">
        <v>71</v>
      </c>
      <c r="L4037" t="s">
        <v>72</v>
      </c>
      <c r="M4037">
        <v>1839.3799999999997</v>
      </c>
    </row>
    <row r="4038">
      <c r="A4038" s="2">
        <v>45344</v>
      </c>
      <c r="B4038">
        <v>2024.0</v>
      </c>
      <c r="C4038" t="s">
        <v>318</v>
      </c>
      <c r="D4038" t="s">
        <v>316</v>
      </c>
      <c r="E4038" t="s">
        <v>62</v>
      </c>
      <c r="F4038" t="s">
        <v>307</v>
      </c>
      <c r="G4038" t="s">
        <v>12</v>
      </c>
      <c r="H4038">
        <v>6530.0</v>
      </c>
      <c r="I4038" t="s">
        <v>31</v>
      </c>
      <c r="J4038" t="s">
        <v>50</v>
      </c>
      <c r="K4038" t="s">
        <v>38</v>
      </c>
      <c r="L4038" t="s">
        <v>39</v>
      </c>
      <c r="M4038">
        <v>1849.1499999999999</v>
      </c>
    </row>
    <row r="4039">
      <c r="A4039" s="2">
        <v>45977</v>
      </c>
      <c r="B4039">
        <v>2026.0</v>
      </c>
      <c r="C4039" t="s">
        <v>321</v>
      </c>
      <c r="D4039" t="s">
        <v>316</v>
      </c>
      <c r="E4039" t="s">
        <v>110</v>
      </c>
      <c r="F4039" t="s">
        <v>304</v>
      </c>
      <c r="G4039" t="s">
        <v>9</v>
      </c>
      <c r="H4039">
        <v>2101.0</v>
      </c>
      <c r="I4039" t="s">
        <v>31</v>
      </c>
      <c r="J4039" t="s">
        <v>81</v>
      </c>
      <c r="K4039" t="s">
        <v>71</v>
      </c>
      <c r="L4039" t="s">
        <v>72</v>
      </c>
      <c r="M4039">
        <v>1851.43</v>
      </c>
    </row>
    <row r="4040">
      <c r="A4040" s="2">
        <v>45711</v>
      </c>
      <c r="B4040">
        <v>2025.0</v>
      </c>
      <c r="C4040" t="s">
        <v>315</v>
      </c>
      <c r="D4040" t="s">
        <v>319</v>
      </c>
      <c r="E4040" t="s">
        <v>240</v>
      </c>
      <c r="F4040" t="s">
        <v>310</v>
      </c>
      <c r="G4040" t="s">
        <v>15</v>
      </c>
      <c r="H4040">
        <v>7010.0</v>
      </c>
      <c r="I4040" t="s">
        <v>31</v>
      </c>
      <c r="J4040" t="s">
        <v>53</v>
      </c>
      <c r="K4040" t="s">
        <v>57</v>
      </c>
      <c r="L4040" t="s">
        <v>58</v>
      </c>
      <c r="M4040">
        <v>1853.17</v>
      </c>
    </row>
    <row r="4041">
      <c r="A4041" s="2">
        <v>45449</v>
      </c>
      <c r="B4041">
        <v>2024.0</v>
      </c>
      <c r="C4041" t="s">
        <v>318</v>
      </c>
      <c r="D4041" t="s">
        <v>316</v>
      </c>
      <c r="E4041" t="s">
        <v>260</v>
      </c>
      <c r="F4041" t="s">
        <v>305</v>
      </c>
      <c r="G4041" t="s">
        <v>10</v>
      </c>
      <c r="H4041">
        <v>3179.0</v>
      </c>
      <c r="I4041" t="s">
        <v>31</v>
      </c>
      <c r="J4041" t="s">
        <v>89</v>
      </c>
      <c r="K4041" t="s">
        <v>71</v>
      </c>
      <c r="L4041" t="s">
        <v>72</v>
      </c>
      <c r="M4041">
        <v>1854.48</v>
      </c>
    </row>
    <row r="4042">
      <c r="A4042" s="2">
        <v>45436</v>
      </c>
      <c r="B4042">
        <v>2024.0</v>
      </c>
      <c r="C4042" t="s">
        <v>318</v>
      </c>
      <c r="D4042" t="s">
        <v>319</v>
      </c>
      <c r="E4042" t="s">
        <v>148</v>
      </c>
      <c r="F4042" t="s">
        <v>307</v>
      </c>
      <c r="G4042" t="s">
        <v>12</v>
      </c>
      <c r="H4042">
        <v>6450.0</v>
      </c>
      <c r="I4042" t="s">
        <v>31</v>
      </c>
      <c r="J4042" t="s">
        <v>50</v>
      </c>
      <c r="K4042" t="s">
        <v>57</v>
      </c>
      <c r="L4042" t="s">
        <v>58</v>
      </c>
      <c r="M4042">
        <v>1857.1200000000001</v>
      </c>
    </row>
    <row r="4043">
      <c r="A4043" s="2">
        <v>45467</v>
      </c>
      <c r="B4043">
        <v>2024.0</v>
      </c>
      <c r="C4043" t="s">
        <v>318</v>
      </c>
      <c r="D4043" t="s">
        <v>316</v>
      </c>
      <c r="E4043" t="s">
        <v>62</v>
      </c>
      <c r="F4043" t="s">
        <v>307</v>
      </c>
      <c r="G4043" t="s">
        <v>12</v>
      </c>
      <c r="H4043">
        <v>6530.0</v>
      </c>
      <c r="I4043" t="s">
        <v>31</v>
      </c>
      <c r="J4043" t="s">
        <v>50</v>
      </c>
      <c r="K4043" t="s">
        <v>66</v>
      </c>
      <c r="L4043" t="s">
        <v>67</v>
      </c>
      <c r="M4043">
        <v>1859.42</v>
      </c>
    </row>
    <row r="4044">
      <c r="A4044" s="2">
        <v>45750</v>
      </c>
      <c r="B4044">
        <v>2025.0</v>
      </c>
      <c r="C4044" t="s">
        <v>315</v>
      </c>
      <c r="D4044" t="s">
        <v>316</v>
      </c>
      <c r="E4044" t="s">
        <v>129</v>
      </c>
      <c r="F4044" t="s">
        <v>305</v>
      </c>
      <c r="G4044" t="s">
        <v>10</v>
      </c>
      <c r="H4044">
        <v>3066.0</v>
      </c>
      <c r="I4044" t="s">
        <v>31</v>
      </c>
      <c r="J4044" t="s">
        <v>120</v>
      </c>
      <c r="K4044" t="s">
        <v>33</v>
      </c>
      <c r="L4044" t="s">
        <v>34</v>
      </c>
      <c r="M4044">
        <v>1870.0700000000002</v>
      </c>
    </row>
    <row r="4045">
      <c r="A4045" s="2">
        <v>45791</v>
      </c>
      <c r="B4045">
        <v>2025.0</v>
      </c>
      <c r="C4045" t="s">
        <v>315</v>
      </c>
      <c r="D4045" t="s">
        <v>319</v>
      </c>
      <c r="E4045" t="s">
        <v>177</v>
      </c>
      <c r="F4045" t="s">
        <v>307</v>
      </c>
      <c r="G4045" t="s">
        <v>12</v>
      </c>
      <c r="H4045">
        <v>6330.0</v>
      </c>
      <c r="I4045" t="s">
        <v>31</v>
      </c>
      <c r="J4045" t="s">
        <v>162</v>
      </c>
      <c r="K4045" t="s">
        <v>71</v>
      </c>
      <c r="L4045" t="s">
        <v>72</v>
      </c>
      <c r="M4045">
        <v>1870.51</v>
      </c>
    </row>
    <row r="4046">
      <c r="A4046" s="2">
        <v>46002</v>
      </c>
      <c r="B4046">
        <v>2026.0</v>
      </c>
      <c r="C4046" t="s">
        <v>321</v>
      </c>
      <c r="D4046" t="s">
        <v>316</v>
      </c>
      <c r="E4046" t="s">
        <v>73</v>
      </c>
      <c r="F4046" t="s">
        <v>304</v>
      </c>
      <c r="G4046" t="s">
        <v>9</v>
      </c>
      <c r="H4046">
        <v>2750.0</v>
      </c>
      <c r="I4046" t="s">
        <v>31</v>
      </c>
      <c r="J4046" t="s">
        <v>75</v>
      </c>
      <c r="K4046" t="s">
        <v>71</v>
      </c>
      <c r="L4046" t="s">
        <v>72</v>
      </c>
      <c r="M4046">
        <v>1872.8100000000002</v>
      </c>
    </row>
    <row r="4047">
      <c r="A4047" s="2">
        <v>45460</v>
      </c>
      <c r="B4047">
        <v>2024.0</v>
      </c>
      <c r="C4047" t="s">
        <v>318</v>
      </c>
      <c r="D4047" t="s">
        <v>316</v>
      </c>
      <c r="E4047" t="s">
        <v>260</v>
      </c>
      <c r="F4047" t="s">
        <v>305</v>
      </c>
      <c r="G4047" t="s">
        <v>10</v>
      </c>
      <c r="H4047">
        <v>3179.0</v>
      </c>
      <c r="I4047" t="s">
        <v>31</v>
      </c>
      <c r="J4047" t="s">
        <v>89</v>
      </c>
      <c r="K4047" t="s">
        <v>46</v>
      </c>
      <c r="L4047" t="s">
        <v>47</v>
      </c>
      <c r="M4047">
        <v>1878.0900000000001</v>
      </c>
    </row>
    <row r="4048">
      <c r="A4048" s="2">
        <v>45673</v>
      </c>
      <c r="B4048">
        <v>2025.0</v>
      </c>
      <c r="C4048" t="s">
        <v>315</v>
      </c>
      <c r="D4048" t="s">
        <v>316</v>
      </c>
      <c r="E4048" t="s">
        <v>221</v>
      </c>
      <c r="F4048" t="s">
        <v>306</v>
      </c>
      <c r="G4048" t="s">
        <v>11</v>
      </c>
      <c r="H4048">
        <v>4053.0</v>
      </c>
      <c r="I4048" t="s">
        <v>31</v>
      </c>
      <c r="J4048" t="s">
        <v>56</v>
      </c>
      <c r="K4048" t="s">
        <v>43</v>
      </c>
      <c r="L4048" t="s">
        <v>44</v>
      </c>
      <c r="M4048">
        <v>1882.03</v>
      </c>
    </row>
    <row r="4049">
      <c r="A4049" s="2">
        <v>45770</v>
      </c>
      <c r="B4049">
        <v>2025.0</v>
      </c>
      <c r="C4049" t="s">
        <v>315</v>
      </c>
      <c r="D4049" t="s">
        <v>316</v>
      </c>
      <c r="E4049" t="s">
        <v>79</v>
      </c>
      <c r="F4049" t="s">
        <v>304</v>
      </c>
      <c r="G4049" t="s">
        <v>9</v>
      </c>
      <c r="H4049">
        <v>2141.0</v>
      </c>
      <c r="I4049" t="s">
        <v>31</v>
      </c>
      <c r="J4049" t="s">
        <v>81</v>
      </c>
      <c r="K4049" t="s">
        <v>57</v>
      </c>
      <c r="L4049" t="s">
        <v>58</v>
      </c>
      <c r="M4049">
        <v>1884.95</v>
      </c>
    </row>
    <row r="4050">
      <c r="A4050" s="2">
        <v>45516</v>
      </c>
      <c r="B4050">
        <v>2025.0</v>
      </c>
      <c r="C4050" t="s">
        <v>315</v>
      </c>
      <c r="D4050" t="s">
        <v>316</v>
      </c>
      <c r="E4050" t="s">
        <v>116</v>
      </c>
      <c r="F4050" t="s">
        <v>304</v>
      </c>
      <c r="G4050" t="s">
        <v>9</v>
      </c>
      <c r="H4050">
        <v>2485.0</v>
      </c>
      <c r="I4050" t="s">
        <v>31</v>
      </c>
      <c r="J4050" t="s">
        <v>70</v>
      </c>
      <c r="K4050" t="s">
        <v>46</v>
      </c>
      <c r="L4050" t="s">
        <v>47</v>
      </c>
      <c r="M4050">
        <v>1888.4100000000003</v>
      </c>
    </row>
    <row r="4051">
      <c r="A4051" s="2">
        <v>45304</v>
      </c>
      <c r="B4051">
        <v>2024.0</v>
      </c>
      <c r="C4051" t="s">
        <v>318</v>
      </c>
      <c r="D4051" t="s">
        <v>316</v>
      </c>
      <c r="E4051" t="s">
        <v>156</v>
      </c>
      <c r="F4051" t="s">
        <v>304</v>
      </c>
      <c r="G4051" t="s">
        <v>9</v>
      </c>
      <c r="H4051">
        <v>2830.0</v>
      </c>
      <c r="I4051" t="s">
        <v>31</v>
      </c>
      <c r="J4051" t="s">
        <v>75</v>
      </c>
      <c r="K4051" t="s">
        <v>33</v>
      </c>
      <c r="L4051" t="s">
        <v>34</v>
      </c>
      <c r="M4051">
        <v>1890.1700000000008</v>
      </c>
    </row>
    <row r="4052">
      <c r="A4052" s="2">
        <v>45666</v>
      </c>
      <c r="B4052">
        <v>2025.0</v>
      </c>
      <c r="C4052" t="s">
        <v>315</v>
      </c>
      <c r="D4052" t="s">
        <v>319</v>
      </c>
      <c r="E4052" t="s">
        <v>189</v>
      </c>
      <c r="F4052" t="s">
        <v>304</v>
      </c>
      <c r="G4052" t="s">
        <v>9</v>
      </c>
      <c r="H4052">
        <v>2131.0</v>
      </c>
      <c r="I4052" t="s">
        <v>31</v>
      </c>
      <c r="J4052" t="s">
        <v>81</v>
      </c>
      <c r="K4052" t="s">
        <v>71</v>
      </c>
      <c r="L4052" t="s">
        <v>72</v>
      </c>
      <c r="M4052">
        <v>1892.6399999999999</v>
      </c>
    </row>
    <row r="4053">
      <c r="A4053" s="2">
        <v>45563</v>
      </c>
      <c r="B4053">
        <v>2025.0</v>
      </c>
      <c r="C4053" t="s">
        <v>315</v>
      </c>
      <c r="D4053" t="s">
        <v>316</v>
      </c>
      <c r="E4053" t="s">
        <v>154</v>
      </c>
      <c r="F4053" t="s">
        <v>306</v>
      </c>
      <c r="G4053" t="s">
        <v>11</v>
      </c>
      <c r="H4053">
        <v>4551.0</v>
      </c>
      <c r="I4053" t="s">
        <v>31</v>
      </c>
      <c r="J4053" t="s">
        <v>84</v>
      </c>
      <c r="K4053" t="s">
        <v>33</v>
      </c>
      <c r="L4053" t="s">
        <v>34</v>
      </c>
      <c r="M4053">
        <v>1893.1000000000008</v>
      </c>
    </row>
    <row r="4054">
      <c r="A4054" s="2">
        <v>45399</v>
      </c>
      <c r="B4054">
        <v>2024.0</v>
      </c>
      <c r="C4054" t="s">
        <v>318</v>
      </c>
      <c r="D4054" t="s">
        <v>316</v>
      </c>
      <c r="E4054" t="s">
        <v>175</v>
      </c>
      <c r="F4054" t="s">
        <v>311</v>
      </c>
      <c r="G4054" t="s">
        <v>16</v>
      </c>
      <c r="H4054">
        <v>2617.0</v>
      </c>
      <c r="I4054" t="s">
        <v>31</v>
      </c>
      <c r="J4054" t="s">
        <v>107</v>
      </c>
      <c r="K4054" t="s">
        <v>57</v>
      </c>
      <c r="L4054" t="s">
        <v>58</v>
      </c>
      <c r="M4054">
        <v>1905.38</v>
      </c>
    </row>
    <row r="4055">
      <c r="A4055" s="2">
        <v>45429</v>
      </c>
      <c r="B4055">
        <v>2024.0</v>
      </c>
      <c r="C4055" t="s">
        <v>318</v>
      </c>
      <c r="D4055" t="s">
        <v>316</v>
      </c>
      <c r="E4055" t="s">
        <v>203</v>
      </c>
      <c r="F4055" t="s">
        <v>305</v>
      </c>
      <c r="G4055" t="s">
        <v>10</v>
      </c>
      <c r="H4055">
        <v>3175.0</v>
      </c>
      <c r="I4055" t="s">
        <v>31</v>
      </c>
      <c r="J4055" t="s">
        <v>89</v>
      </c>
      <c r="K4055" t="s">
        <v>46</v>
      </c>
      <c r="L4055" t="s">
        <v>47</v>
      </c>
      <c r="M4055">
        <v>1905.3900000000003</v>
      </c>
    </row>
    <row r="4056">
      <c r="A4056" s="2">
        <v>45552</v>
      </c>
      <c r="B4056">
        <v>2025.0</v>
      </c>
      <c r="C4056" t="s">
        <v>315</v>
      </c>
      <c r="D4056" t="s">
        <v>316</v>
      </c>
      <c r="E4056" t="s">
        <v>191</v>
      </c>
      <c r="F4056" t="s">
        <v>305</v>
      </c>
      <c r="G4056" t="s">
        <v>10</v>
      </c>
      <c r="H4056">
        <v>3030.0</v>
      </c>
      <c r="I4056" t="s">
        <v>31</v>
      </c>
      <c r="J4056" t="s">
        <v>120</v>
      </c>
      <c r="K4056" t="s">
        <v>71</v>
      </c>
      <c r="L4056" t="s">
        <v>72</v>
      </c>
      <c r="M4056">
        <v>1906.3600000000001</v>
      </c>
    </row>
    <row r="4057">
      <c r="A4057" s="2">
        <v>45857</v>
      </c>
      <c r="B4057">
        <v>2026.0</v>
      </c>
      <c r="C4057" t="s">
        <v>321</v>
      </c>
      <c r="D4057" t="s">
        <v>316</v>
      </c>
      <c r="E4057" t="s">
        <v>54</v>
      </c>
      <c r="F4057" t="s">
        <v>306</v>
      </c>
      <c r="G4057" t="s">
        <v>11</v>
      </c>
      <c r="H4057">
        <v>4012.0</v>
      </c>
      <c r="I4057" t="s">
        <v>31</v>
      </c>
      <c r="J4057" t="s">
        <v>56</v>
      </c>
      <c r="K4057" t="s">
        <v>57</v>
      </c>
      <c r="L4057" t="s">
        <v>58</v>
      </c>
      <c r="M4057">
        <v>1913.18</v>
      </c>
    </row>
    <row r="4058">
      <c r="A4058" s="2">
        <v>45978</v>
      </c>
      <c r="B4058">
        <v>2026.0</v>
      </c>
      <c r="C4058" t="s">
        <v>321</v>
      </c>
      <c r="D4058" t="s">
        <v>316</v>
      </c>
      <c r="E4058" t="s">
        <v>252</v>
      </c>
      <c r="F4058" t="s">
        <v>305</v>
      </c>
      <c r="G4058" t="s">
        <v>10</v>
      </c>
      <c r="H4058">
        <v>3630.0</v>
      </c>
      <c r="I4058" t="s">
        <v>31</v>
      </c>
      <c r="J4058" t="s">
        <v>94</v>
      </c>
      <c r="K4058" t="s">
        <v>46</v>
      </c>
      <c r="L4058" t="s">
        <v>47</v>
      </c>
      <c r="M4058">
        <v>1921.9499999999998</v>
      </c>
    </row>
    <row r="4059">
      <c r="A4059" s="2">
        <v>45396</v>
      </c>
      <c r="B4059">
        <v>2024.0</v>
      </c>
      <c r="C4059" t="s">
        <v>318</v>
      </c>
      <c r="D4059" t="s">
        <v>316</v>
      </c>
      <c r="E4059" t="s">
        <v>181</v>
      </c>
      <c r="F4059" t="s">
        <v>306</v>
      </c>
      <c r="G4059" t="s">
        <v>11</v>
      </c>
      <c r="H4059">
        <v>4119.0</v>
      </c>
      <c r="I4059" t="s">
        <v>31</v>
      </c>
      <c r="J4059" t="s">
        <v>56</v>
      </c>
      <c r="K4059" t="s">
        <v>71</v>
      </c>
      <c r="L4059" t="s">
        <v>72</v>
      </c>
      <c r="M4059">
        <v>1925.47</v>
      </c>
    </row>
    <row r="4060">
      <c r="A4060" s="2">
        <v>45311</v>
      </c>
      <c r="B4060">
        <v>2024.0</v>
      </c>
      <c r="C4060" t="s">
        <v>318</v>
      </c>
      <c r="D4060" t="s">
        <v>316</v>
      </c>
      <c r="E4060" t="s">
        <v>171</v>
      </c>
      <c r="F4060" t="s">
        <v>305</v>
      </c>
      <c r="G4060" t="s">
        <v>10</v>
      </c>
      <c r="H4060">
        <v>3500.0</v>
      </c>
      <c r="I4060" t="s">
        <v>31</v>
      </c>
      <c r="J4060" t="s">
        <v>37</v>
      </c>
      <c r="K4060" t="s">
        <v>46</v>
      </c>
      <c r="L4060" t="s">
        <v>47</v>
      </c>
      <c r="M4060">
        <v>1927.9600000000003</v>
      </c>
    </row>
    <row r="4061">
      <c r="A4061" s="2">
        <v>45694</v>
      </c>
      <c r="B4061">
        <v>2025.0</v>
      </c>
      <c r="C4061" t="s">
        <v>315</v>
      </c>
      <c r="D4061" t="s">
        <v>316</v>
      </c>
      <c r="E4061" t="s">
        <v>250</v>
      </c>
      <c r="F4061" t="s">
        <v>305</v>
      </c>
      <c r="G4061" t="s">
        <v>10</v>
      </c>
      <c r="H4061">
        <v>3550.0</v>
      </c>
      <c r="I4061" t="s">
        <v>31</v>
      </c>
      <c r="J4061" t="s">
        <v>37</v>
      </c>
      <c r="K4061" t="s">
        <v>46</v>
      </c>
      <c r="L4061" t="s">
        <v>47</v>
      </c>
      <c r="M4061">
        <v>1930.6699999999998</v>
      </c>
    </row>
    <row r="4062">
      <c r="A4062" s="2">
        <v>45394</v>
      </c>
      <c r="B4062">
        <v>2024.0</v>
      </c>
      <c r="C4062" t="s">
        <v>318</v>
      </c>
      <c r="D4062" t="s">
        <v>319</v>
      </c>
      <c r="E4062" t="s">
        <v>141</v>
      </c>
      <c r="F4062" t="s">
        <v>304</v>
      </c>
      <c r="G4062" t="s">
        <v>9</v>
      </c>
      <c r="H4062">
        <v>2539.0</v>
      </c>
      <c r="I4062" t="s">
        <v>31</v>
      </c>
      <c r="J4062" t="s">
        <v>107</v>
      </c>
      <c r="K4062" t="s">
        <v>57</v>
      </c>
      <c r="L4062" t="s">
        <v>58</v>
      </c>
      <c r="M4062">
        <v>1933.56</v>
      </c>
    </row>
    <row r="4063">
      <c r="A4063" s="2">
        <v>45549</v>
      </c>
      <c r="B4063">
        <v>2025.0</v>
      </c>
      <c r="C4063" t="s">
        <v>315</v>
      </c>
      <c r="D4063" t="s">
        <v>316</v>
      </c>
      <c r="E4063" t="s">
        <v>219</v>
      </c>
      <c r="F4063" t="s">
        <v>306</v>
      </c>
      <c r="G4063" t="s">
        <v>11</v>
      </c>
      <c r="H4063">
        <v>4068.0</v>
      </c>
      <c r="I4063" t="s">
        <v>31</v>
      </c>
      <c r="J4063" t="s">
        <v>56</v>
      </c>
      <c r="K4063" t="s">
        <v>71</v>
      </c>
      <c r="L4063" t="s">
        <v>72</v>
      </c>
      <c r="M4063">
        <v>1942.3200000000002</v>
      </c>
    </row>
    <row r="4064">
      <c r="A4064" s="2">
        <v>45584</v>
      </c>
      <c r="B4064">
        <v>2025.0</v>
      </c>
      <c r="C4064" t="s">
        <v>315</v>
      </c>
      <c r="D4064" t="s">
        <v>316</v>
      </c>
      <c r="E4064" t="s">
        <v>150</v>
      </c>
      <c r="F4064" t="s">
        <v>310</v>
      </c>
      <c r="G4064" t="s">
        <v>15</v>
      </c>
      <c r="H4064">
        <v>7250.0</v>
      </c>
      <c r="I4064" t="s">
        <v>31</v>
      </c>
      <c r="J4064" t="s">
        <v>53</v>
      </c>
      <c r="K4064" t="s">
        <v>46</v>
      </c>
      <c r="L4064" t="s">
        <v>47</v>
      </c>
      <c r="M4064">
        <v>1944.79</v>
      </c>
    </row>
    <row r="4065">
      <c r="A4065" s="2">
        <v>45384</v>
      </c>
      <c r="B4065">
        <v>2024.0</v>
      </c>
      <c r="C4065" t="s">
        <v>318</v>
      </c>
      <c r="D4065" t="s">
        <v>316</v>
      </c>
      <c r="E4065" t="s">
        <v>232</v>
      </c>
      <c r="F4065" t="s">
        <v>304</v>
      </c>
      <c r="G4065" t="s">
        <v>9</v>
      </c>
      <c r="H4065">
        <v>2800.0</v>
      </c>
      <c r="I4065" t="s">
        <v>31</v>
      </c>
      <c r="J4065" t="s">
        <v>75</v>
      </c>
      <c r="K4065" t="s">
        <v>71</v>
      </c>
      <c r="L4065" t="s">
        <v>72</v>
      </c>
      <c r="M4065">
        <v>1945.35</v>
      </c>
    </row>
    <row r="4066">
      <c r="A4066" s="2">
        <v>45764</v>
      </c>
      <c r="B4066">
        <v>2025.0</v>
      </c>
      <c r="C4066" t="s">
        <v>315</v>
      </c>
      <c r="D4066" t="s">
        <v>316</v>
      </c>
      <c r="E4066" t="s">
        <v>121</v>
      </c>
      <c r="F4066" t="s">
        <v>306</v>
      </c>
      <c r="G4066" t="s">
        <v>11</v>
      </c>
      <c r="H4066">
        <v>4566.0</v>
      </c>
      <c r="I4066" t="s">
        <v>31</v>
      </c>
      <c r="J4066" t="s">
        <v>84</v>
      </c>
      <c r="K4066" t="s">
        <v>71</v>
      </c>
      <c r="L4066" t="s">
        <v>72</v>
      </c>
      <c r="M4066">
        <v>1948.58</v>
      </c>
    </row>
    <row r="4067">
      <c r="A4067" s="2">
        <v>45517</v>
      </c>
      <c r="B4067">
        <v>2025.0</v>
      </c>
      <c r="C4067" t="s">
        <v>315</v>
      </c>
      <c r="D4067" t="s">
        <v>316</v>
      </c>
      <c r="E4067" t="s">
        <v>35</v>
      </c>
      <c r="F4067" t="s">
        <v>305</v>
      </c>
      <c r="G4067" t="s">
        <v>10</v>
      </c>
      <c r="H4067">
        <v>3280.0</v>
      </c>
      <c r="I4067" t="s">
        <v>31</v>
      </c>
      <c r="J4067" t="s">
        <v>37</v>
      </c>
      <c r="K4067" t="s">
        <v>57</v>
      </c>
      <c r="L4067" t="s">
        <v>58</v>
      </c>
      <c r="M4067">
        <v>1952.6000000000001</v>
      </c>
    </row>
    <row r="4068">
      <c r="A4068" s="2">
        <v>45501</v>
      </c>
      <c r="B4068">
        <v>2025.0</v>
      </c>
      <c r="C4068" t="s">
        <v>315</v>
      </c>
      <c r="D4068" t="s">
        <v>316</v>
      </c>
      <c r="E4068" t="s">
        <v>163</v>
      </c>
      <c r="F4068" t="s">
        <v>304</v>
      </c>
      <c r="G4068" t="s">
        <v>9</v>
      </c>
      <c r="H4068">
        <v>2154.0</v>
      </c>
      <c r="I4068" t="s">
        <v>31</v>
      </c>
      <c r="J4068" t="s">
        <v>81</v>
      </c>
      <c r="K4068" t="s">
        <v>57</v>
      </c>
      <c r="L4068" t="s">
        <v>58</v>
      </c>
      <c r="M4068">
        <v>1956.56</v>
      </c>
    </row>
    <row r="4069">
      <c r="A4069" s="2">
        <v>45328</v>
      </c>
      <c r="B4069">
        <v>2024.0</v>
      </c>
      <c r="C4069" t="s">
        <v>318</v>
      </c>
      <c r="D4069" t="s">
        <v>316</v>
      </c>
      <c r="E4069" t="s">
        <v>143</v>
      </c>
      <c r="F4069" t="s">
        <v>309</v>
      </c>
      <c r="G4069" t="s">
        <v>14</v>
      </c>
      <c r="H4069">
        <v>800.0</v>
      </c>
      <c r="I4069" t="s">
        <v>31</v>
      </c>
      <c r="J4069" t="s">
        <v>145</v>
      </c>
      <c r="K4069" t="s">
        <v>71</v>
      </c>
      <c r="L4069" t="s">
        <v>72</v>
      </c>
      <c r="M4069">
        <v>1956.58</v>
      </c>
    </row>
    <row r="4070">
      <c r="A4070" s="2">
        <v>45970</v>
      </c>
      <c r="B4070">
        <v>2026.0</v>
      </c>
      <c r="C4070" t="s">
        <v>321</v>
      </c>
      <c r="D4070" t="s">
        <v>316</v>
      </c>
      <c r="E4070" t="s">
        <v>211</v>
      </c>
      <c r="F4070" t="s">
        <v>304</v>
      </c>
      <c r="G4070" t="s">
        <v>9</v>
      </c>
      <c r="H4070">
        <v>2650.0</v>
      </c>
      <c r="I4070" t="s">
        <v>31</v>
      </c>
      <c r="J4070" t="s">
        <v>75</v>
      </c>
      <c r="K4070" t="s">
        <v>71</v>
      </c>
      <c r="L4070" t="s">
        <v>72</v>
      </c>
      <c r="M4070">
        <v>1970.0800000000002</v>
      </c>
    </row>
    <row r="4071">
      <c r="A4071" s="2">
        <v>46018</v>
      </c>
      <c r="B4071">
        <v>2026.0</v>
      </c>
      <c r="C4071" t="s">
        <v>321</v>
      </c>
      <c r="D4071" t="s">
        <v>316</v>
      </c>
      <c r="E4071" t="s">
        <v>87</v>
      </c>
      <c r="F4071" t="s">
        <v>305</v>
      </c>
      <c r="G4071" t="s">
        <v>10</v>
      </c>
      <c r="H4071">
        <v>3148.0</v>
      </c>
      <c r="I4071" t="s">
        <v>31</v>
      </c>
      <c r="J4071" t="s">
        <v>89</v>
      </c>
      <c r="K4071" t="s">
        <v>46</v>
      </c>
      <c r="L4071" t="s">
        <v>47</v>
      </c>
      <c r="M4071">
        <v>1970.7899999999995</v>
      </c>
    </row>
    <row r="4072">
      <c r="A4072" s="2">
        <v>45620</v>
      </c>
      <c r="B4072">
        <v>2025.0</v>
      </c>
      <c r="C4072" t="s">
        <v>315</v>
      </c>
      <c r="D4072" t="s">
        <v>319</v>
      </c>
      <c r="E4072" t="s">
        <v>262</v>
      </c>
      <c r="F4072" t="s">
        <v>305</v>
      </c>
      <c r="G4072" t="s">
        <v>10</v>
      </c>
      <c r="H4072">
        <v>3018.0</v>
      </c>
      <c r="I4072" t="s">
        <v>31</v>
      </c>
      <c r="J4072" t="s">
        <v>120</v>
      </c>
      <c r="K4072" t="s">
        <v>66</v>
      </c>
      <c r="L4072" t="s">
        <v>67</v>
      </c>
      <c r="M4072">
        <v>1985.2800000000002</v>
      </c>
    </row>
    <row r="4073">
      <c r="A4073" s="2">
        <v>45820</v>
      </c>
      <c r="B4073">
        <v>2025.0</v>
      </c>
      <c r="C4073" t="s">
        <v>315</v>
      </c>
      <c r="D4073" t="s">
        <v>319</v>
      </c>
      <c r="E4073" t="s">
        <v>141</v>
      </c>
      <c r="F4073" t="s">
        <v>304</v>
      </c>
      <c r="G4073" t="s">
        <v>9</v>
      </c>
      <c r="H4073">
        <v>2539.0</v>
      </c>
      <c r="I4073" t="s">
        <v>31</v>
      </c>
      <c r="J4073" t="s">
        <v>107</v>
      </c>
      <c r="K4073" t="s">
        <v>71</v>
      </c>
      <c r="L4073" t="s">
        <v>72</v>
      </c>
      <c r="M4073">
        <v>1987.97</v>
      </c>
    </row>
    <row r="4074">
      <c r="A4074" s="2">
        <v>45452</v>
      </c>
      <c r="B4074">
        <v>2024.0</v>
      </c>
      <c r="C4074" t="s">
        <v>318</v>
      </c>
      <c r="D4074" t="s">
        <v>319</v>
      </c>
      <c r="E4074" t="s">
        <v>76</v>
      </c>
      <c r="F4074" t="s">
        <v>306</v>
      </c>
      <c r="G4074" t="s">
        <v>11</v>
      </c>
      <c r="H4074">
        <v>4883.0</v>
      </c>
      <c r="I4074" t="s">
        <v>31</v>
      </c>
      <c r="J4074" t="s">
        <v>78</v>
      </c>
      <c r="K4074" t="s">
        <v>46</v>
      </c>
      <c r="L4074" t="s">
        <v>47</v>
      </c>
      <c r="M4074">
        <v>1998.7800000000004</v>
      </c>
    </row>
    <row r="4075">
      <c r="A4075" s="2">
        <v>45860</v>
      </c>
      <c r="B4075">
        <v>2026.0</v>
      </c>
      <c r="C4075" t="s">
        <v>321</v>
      </c>
      <c r="D4075" t="s">
        <v>316</v>
      </c>
      <c r="E4075" t="s">
        <v>211</v>
      </c>
      <c r="F4075" t="s">
        <v>304</v>
      </c>
      <c r="G4075" t="s">
        <v>9</v>
      </c>
      <c r="H4075">
        <v>2650.0</v>
      </c>
      <c r="I4075" t="s">
        <v>31</v>
      </c>
      <c r="J4075" t="s">
        <v>75</v>
      </c>
      <c r="K4075" t="s">
        <v>43</v>
      </c>
      <c r="L4075" t="s">
        <v>44</v>
      </c>
      <c r="M4075">
        <v>2003.5599999999995</v>
      </c>
    </row>
    <row r="4076">
      <c r="A4076" s="2">
        <v>45387</v>
      </c>
      <c r="B4076">
        <v>2024.0</v>
      </c>
      <c r="C4076" t="s">
        <v>318</v>
      </c>
      <c r="D4076" t="s">
        <v>316</v>
      </c>
      <c r="E4076" t="s">
        <v>143</v>
      </c>
      <c r="F4076" t="s">
        <v>309</v>
      </c>
      <c r="G4076" t="s">
        <v>14</v>
      </c>
      <c r="H4076">
        <v>800.0</v>
      </c>
      <c r="I4076" t="s">
        <v>31</v>
      </c>
      <c r="J4076" t="s">
        <v>145</v>
      </c>
      <c r="K4076" t="s">
        <v>43</v>
      </c>
      <c r="L4076" t="s">
        <v>44</v>
      </c>
      <c r="M4076">
        <v>2004.58</v>
      </c>
    </row>
    <row r="4077">
      <c r="A4077" s="2">
        <v>45737</v>
      </c>
      <c r="B4077">
        <v>2025.0</v>
      </c>
      <c r="C4077" t="s">
        <v>315</v>
      </c>
      <c r="D4077" t="s">
        <v>316</v>
      </c>
      <c r="E4077" t="s">
        <v>97</v>
      </c>
      <c r="F4077" t="s">
        <v>304</v>
      </c>
      <c r="G4077" t="s">
        <v>9</v>
      </c>
      <c r="H4077">
        <v>2067.0</v>
      </c>
      <c r="I4077" t="s">
        <v>31</v>
      </c>
      <c r="J4077" t="s">
        <v>99</v>
      </c>
      <c r="K4077" t="s">
        <v>71</v>
      </c>
      <c r="L4077" t="s">
        <v>72</v>
      </c>
      <c r="M4077">
        <v>2005.3999999999999</v>
      </c>
    </row>
    <row r="4078">
      <c r="A4078" s="2">
        <v>45495</v>
      </c>
      <c r="B4078">
        <v>2025.0</v>
      </c>
      <c r="C4078" t="s">
        <v>315</v>
      </c>
      <c r="D4078" t="s">
        <v>316</v>
      </c>
      <c r="E4078" t="s">
        <v>175</v>
      </c>
      <c r="F4078" t="s">
        <v>311</v>
      </c>
      <c r="G4078" t="s">
        <v>16</v>
      </c>
      <c r="H4078">
        <v>2617.0</v>
      </c>
      <c r="I4078" t="s">
        <v>31</v>
      </c>
      <c r="J4078" t="s">
        <v>107</v>
      </c>
      <c r="K4078" t="s">
        <v>57</v>
      </c>
      <c r="L4078" t="s">
        <v>58</v>
      </c>
      <c r="M4078">
        <v>2006.2800000000002</v>
      </c>
    </row>
    <row r="4079">
      <c r="A4079" s="2">
        <v>45539</v>
      </c>
      <c r="B4079">
        <v>2025.0</v>
      </c>
      <c r="C4079" t="s">
        <v>315</v>
      </c>
      <c r="D4079" t="s">
        <v>316</v>
      </c>
      <c r="E4079" t="s">
        <v>232</v>
      </c>
      <c r="F4079" t="s">
        <v>304</v>
      </c>
      <c r="G4079" t="s">
        <v>9</v>
      </c>
      <c r="H4079">
        <v>2800.0</v>
      </c>
      <c r="I4079" t="s">
        <v>31</v>
      </c>
      <c r="J4079" t="s">
        <v>75</v>
      </c>
      <c r="K4079" t="s">
        <v>33</v>
      </c>
      <c r="L4079" t="s">
        <v>34</v>
      </c>
      <c r="M4079">
        <v>2011.12</v>
      </c>
    </row>
    <row r="4080">
      <c r="A4080" s="2">
        <v>45371</v>
      </c>
      <c r="B4080">
        <v>2024.0</v>
      </c>
      <c r="C4080" t="s">
        <v>318</v>
      </c>
      <c r="D4080" t="s">
        <v>316</v>
      </c>
      <c r="E4080" t="s">
        <v>234</v>
      </c>
      <c r="F4080" t="s">
        <v>304</v>
      </c>
      <c r="G4080" t="s">
        <v>9</v>
      </c>
      <c r="H4080">
        <v>2158.0</v>
      </c>
      <c r="I4080" t="s">
        <v>31</v>
      </c>
      <c r="J4080" t="s">
        <v>81</v>
      </c>
      <c r="K4080" t="s">
        <v>57</v>
      </c>
      <c r="L4080" t="s">
        <v>58</v>
      </c>
      <c r="M4080">
        <v>2013.6899999999998</v>
      </c>
    </row>
    <row r="4081">
      <c r="A4081" s="2">
        <v>45893</v>
      </c>
      <c r="B4081">
        <v>2026.0</v>
      </c>
      <c r="C4081" t="s">
        <v>321</v>
      </c>
      <c r="D4081" t="s">
        <v>319</v>
      </c>
      <c r="E4081" t="s">
        <v>179</v>
      </c>
      <c r="F4081" t="s">
        <v>304</v>
      </c>
      <c r="G4081" t="s">
        <v>9</v>
      </c>
      <c r="H4081">
        <v>2015.0</v>
      </c>
      <c r="I4081" t="s">
        <v>31</v>
      </c>
      <c r="J4081" t="s">
        <v>99</v>
      </c>
      <c r="K4081" t="s">
        <v>33</v>
      </c>
      <c r="L4081" t="s">
        <v>34</v>
      </c>
      <c r="M4081">
        <v>2017.0000000000005</v>
      </c>
    </row>
    <row r="4082">
      <c r="A4082" s="2">
        <v>45520</v>
      </c>
      <c r="B4082">
        <v>2025.0</v>
      </c>
      <c r="C4082" t="s">
        <v>315</v>
      </c>
      <c r="D4082" t="s">
        <v>319</v>
      </c>
      <c r="E4082" t="s">
        <v>177</v>
      </c>
      <c r="F4082" t="s">
        <v>307</v>
      </c>
      <c r="G4082" t="s">
        <v>12</v>
      </c>
      <c r="H4082">
        <v>6330.0</v>
      </c>
      <c r="I4082" t="s">
        <v>31</v>
      </c>
      <c r="J4082" t="s">
        <v>162</v>
      </c>
      <c r="K4082" t="s">
        <v>46</v>
      </c>
      <c r="L4082" t="s">
        <v>47</v>
      </c>
      <c r="M4082">
        <v>2022.7499999999995</v>
      </c>
    </row>
    <row r="4083">
      <c r="A4083" s="2">
        <v>45332</v>
      </c>
      <c r="B4083">
        <v>2024.0</v>
      </c>
      <c r="C4083" t="s">
        <v>318</v>
      </c>
      <c r="D4083" t="s">
        <v>316</v>
      </c>
      <c r="E4083" t="s">
        <v>154</v>
      </c>
      <c r="F4083" t="s">
        <v>306</v>
      </c>
      <c r="G4083" t="s">
        <v>11</v>
      </c>
      <c r="H4083">
        <v>4551.0</v>
      </c>
      <c r="I4083" t="s">
        <v>31</v>
      </c>
      <c r="J4083" t="s">
        <v>84</v>
      </c>
      <c r="K4083" t="s">
        <v>43</v>
      </c>
      <c r="L4083" t="s">
        <v>44</v>
      </c>
      <c r="M4083">
        <v>2026.4899999999998</v>
      </c>
    </row>
    <row r="4084">
      <c r="A4084" s="2">
        <v>45656</v>
      </c>
      <c r="B4084">
        <v>2025.0</v>
      </c>
      <c r="C4084" t="s">
        <v>315</v>
      </c>
      <c r="D4084" t="s">
        <v>316</v>
      </c>
      <c r="E4084" t="s">
        <v>59</v>
      </c>
      <c r="F4084" t="s">
        <v>306</v>
      </c>
      <c r="G4084" t="s">
        <v>11</v>
      </c>
      <c r="H4084">
        <v>4509.0</v>
      </c>
      <c r="I4084" t="s">
        <v>31</v>
      </c>
      <c r="J4084" t="s">
        <v>61</v>
      </c>
      <c r="K4084" t="s">
        <v>71</v>
      </c>
      <c r="L4084" t="s">
        <v>72</v>
      </c>
      <c r="M4084">
        <v>2028.3</v>
      </c>
    </row>
    <row r="4085">
      <c r="A4085" s="2">
        <v>45499</v>
      </c>
      <c r="B4085">
        <v>2025.0</v>
      </c>
      <c r="C4085" t="s">
        <v>315</v>
      </c>
      <c r="D4085" t="s">
        <v>316</v>
      </c>
      <c r="E4085" t="s">
        <v>181</v>
      </c>
      <c r="F4085" t="s">
        <v>306</v>
      </c>
      <c r="G4085" t="s">
        <v>11</v>
      </c>
      <c r="H4085">
        <v>4119.0</v>
      </c>
      <c r="I4085" t="s">
        <v>31</v>
      </c>
      <c r="J4085" t="s">
        <v>56</v>
      </c>
      <c r="K4085" t="s">
        <v>43</v>
      </c>
      <c r="L4085" t="s">
        <v>44</v>
      </c>
      <c r="M4085">
        <v>2031.5599999999997</v>
      </c>
    </row>
    <row r="4086">
      <c r="A4086" s="2">
        <v>45793</v>
      </c>
      <c r="B4086">
        <v>2025.0</v>
      </c>
      <c r="C4086" t="s">
        <v>315</v>
      </c>
      <c r="D4086" t="s">
        <v>316</v>
      </c>
      <c r="E4086" t="s">
        <v>175</v>
      </c>
      <c r="F4086" t="s">
        <v>311</v>
      </c>
      <c r="G4086" t="s">
        <v>16</v>
      </c>
      <c r="H4086">
        <v>2617.0</v>
      </c>
      <c r="I4086" t="s">
        <v>31</v>
      </c>
      <c r="J4086" t="s">
        <v>107</v>
      </c>
      <c r="K4086" t="s">
        <v>123</v>
      </c>
      <c r="L4086" t="s">
        <v>124</v>
      </c>
      <c r="M4086">
        <v>2032.0600000000009</v>
      </c>
    </row>
    <row r="4087">
      <c r="A4087" s="2">
        <v>45961</v>
      </c>
      <c r="B4087">
        <v>2026.0</v>
      </c>
      <c r="C4087" t="s">
        <v>321</v>
      </c>
      <c r="D4087" t="s">
        <v>316</v>
      </c>
      <c r="E4087" t="s">
        <v>238</v>
      </c>
      <c r="F4087" t="s">
        <v>308</v>
      </c>
      <c r="G4087" t="s">
        <v>13</v>
      </c>
      <c r="H4087">
        <v>5082.0</v>
      </c>
      <c r="I4087" t="s">
        <v>31</v>
      </c>
      <c r="J4087" t="s">
        <v>42</v>
      </c>
      <c r="K4087" t="s">
        <v>57</v>
      </c>
      <c r="L4087" t="s">
        <v>58</v>
      </c>
      <c r="M4087">
        <v>2034.7</v>
      </c>
    </row>
    <row r="4088">
      <c r="A4088" s="2">
        <v>45654</v>
      </c>
      <c r="B4088">
        <v>2025.0</v>
      </c>
      <c r="C4088" t="s">
        <v>315</v>
      </c>
      <c r="D4088" t="s">
        <v>316</v>
      </c>
      <c r="E4088" t="s">
        <v>87</v>
      </c>
      <c r="F4088" t="s">
        <v>305</v>
      </c>
      <c r="G4088" t="s">
        <v>10</v>
      </c>
      <c r="H4088">
        <v>3148.0</v>
      </c>
      <c r="I4088" t="s">
        <v>31</v>
      </c>
      <c r="J4088" t="s">
        <v>89</v>
      </c>
      <c r="K4088" t="s">
        <v>71</v>
      </c>
      <c r="L4088" t="s">
        <v>72</v>
      </c>
      <c r="M4088">
        <v>2036.75</v>
      </c>
    </row>
    <row r="4089">
      <c r="A4089" s="2">
        <v>45898</v>
      </c>
      <c r="B4089">
        <v>2026.0</v>
      </c>
      <c r="C4089" t="s">
        <v>321</v>
      </c>
      <c r="D4089" t="s">
        <v>319</v>
      </c>
      <c r="E4089" t="s">
        <v>90</v>
      </c>
      <c r="F4089" t="s">
        <v>305</v>
      </c>
      <c r="G4089" t="s">
        <v>10</v>
      </c>
      <c r="H4089">
        <v>3353.0</v>
      </c>
      <c r="I4089" t="s">
        <v>31</v>
      </c>
      <c r="J4089" t="s">
        <v>37</v>
      </c>
      <c r="K4089" t="s">
        <v>71</v>
      </c>
      <c r="L4089" t="s">
        <v>72</v>
      </c>
      <c r="M4089">
        <v>2037.5700000000002</v>
      </c>
    </row>
    <row r="4090">
      <c r="A4090" s="2">
        <v>45310</v>
      </c>
      <c r="B4090">
        <v>2024.0</v>
      </c>
      <c r="C4090" t="s">
        <v>318</v>
      </c>
      <c r="D4090" t="s">
        <v>319</v>
      </c>
      <c r="E4090" t="s">
        <v>90</v>
      </c>
      <c r="F4090" t="s">
        <v>305</v>
      </c>
      <c r="G4090" t="s">
        <v>10</v>
      </c>
      <c r="H4090">
        <v>3353.0</v>
      </c>
      <c r="I4090" t="s">
        <v>31</v>
      </c>
      <c r="J4090" t="s">
        <v>37</v>
      </c>
      <c r="K4090" t="s">
        <v>46</v>
      </c>
      <c r="L4090" t="s">
        <v>47</v>
      </c>
      <c r="M4090">
        <v>2043.5500000000002</v>
      </c>
    </row>
    <row r="4091">
      <c r="A4091" s="2">
        <v>45760</v>
      </c>
      <c r="B4091">
        <v>2025.0</v>
      </c>
      <c r="C4091" t="s">
        <v>315</v>
      </c>
      <c r="D4091" t="s">
        <v>319</v>
      </c>
      <c r="E4091" t="s">
        <v>129</v>
      </c>
      <c r="F4091" t="s">
        <v>305</v>
      </c>
      <c r="G4091" t="s">
        <v>10</v>
      </c>
      <c r="H4091">
        <v>3066.0</v>
      </c>
      <c r="I4091" t="s">
        <v>31</v>
      </c>
      <c r="J4091" t="s">
        <v>120</v>
      </c>
      <c r="K4091" t="s">
        <v>46</v>
      </c>
      <c r="L4091" t="s">
        <v>47</v>
      </c>
      <c r="M4091">
        <v>2046.0099999999998</v>
      </c>
    </row>
    <row r="4092">
      <c r="A4092" s="2">
        <v>45665</v>
      </c>
      <c r="B4092">
        <v>2025.0</v>
      </c>
      <c r="C4092" t="s">
        <v>315</v>
      </c>
      <c r="D4092" t="s">
        <v>316</v>
      </c>
      <c r="E4092" t="s">
        <v>197</v>
      </c>
      <c r="F4092" t="s">
        <v>304</v>
      </c>
      <c r="G4092" t="s">
        <v>9</v>
      </c>
      <c r="H4092">
        <v>2560.0</v>
      </c>
      <c r="I4092" t="s">
        <v>31</v>
      </c>
      <c r="J4092" t="s">
        <v>107</v>
      </c>
      <c r="K4092" t="s">
        <v>43</v>
      </c>
      <c r="L4092" t="s">
        <v>44</v>
      </c>
      <c r="M4092">
        <v>2050.27</v>
      </c>
    </row>
    <row r="4093">
      <c r="A4093" s="2">
        <v>45378</v>
      </c>
      <c r="B4093">
        <v>2024.0</v>
      </c>
      <c r="C4093" t="s">
        <v>318</v>
      </c>
      <c r="D4093" t="s">
        <v>319</v>
      </c>
      <c r="E4093" t="s">
        <v>262</v>
      </c>
      <c r="F4093" t="s">
        <v>305</v>
      </c>
      <c r="G4093" t="s">
        <v>10</v>
      </c>
      <c r="H4093">
        <v>3018.0</v>
      </c>
      <c r="I4093" t="s">
        <v>31</v>
      </c>
      <c r="J4093" t="s">
        <v>120</v>
      </c>
      <c r="K4093" t="s">
        <v>33</v>
      </c>
      <c r="L4093" t="s">
        <v>34</v>
      </c>
      <c r="M4093">
        <v>2052.5300000000007</v>
      </c>
    </row>
    <row r="4094">
      <c r="A4094" s="2">
        <v>45352</v>
      </c>
      <c r="B4094">
        <v>2024.0</v>
      </c>
      <c r="C4094" t="s">
        <v>318</v>
      </c>
      <c r="D4094" t="s">
        <v>316</v>
      </c>
      <c r="E4094" t="s">
        <v>90</v>
      </c>
      <c r="F4094" t="s">
        <v>305</v>
      </c>
      <c r="G4094" t="s">
        <v>10</v>
      </c>
      <c r="H4094">
        <v>3353.0</v>
      </c>
      <c r="I4094" t="s">
        <v>31</v>
      </c>
      <c r="J4094" t="s">
        <v>37</v>
      </c>
      <c r="K4094" t="s">
        <v>33</v>
      </c>
      <c r="L4094" t="s">
        <v>34</v>
      </c>
      <c r="M4094">
        <v>2054.2000000000003</v>
      </c>
    </row>
    <row r="4095">
      <c r="A4095" s="2">
        <v>45702</v>
      </c>
      <c r="B4095">
        <v>2025.0</v>
      </c>
      <c r="C4095" t="s">
        <v>315</v>
      </c>
      <c r="D4095" t="s">
        <v>316</v>
      </c>
      <c r="E4095" t="s">
        <v>221</v>
      </c>
      <c r="F4095" t="s">
        <v>306</v>
      </c>
      <c r="G4095" t="s">
        <v>11</v>
      </c>
      <c r="H4095">
        <v>4053.0</v>
      </c>
      <c r="I4095" t="s">
        <v>31</v>
      </c>
      <c r="J4095" t="s">
        <v>56</v>
      </c>
      <c r="K4095" t="s">
        <v>71</v>
      </c>
      <c r="L4095" t="s">
        <v>72</v>
      </c>
      <c r="M4095">
        <v>2064.2299999999996</v>
      </c>
    </row>
    <row r="4096">
      <c r="A4096" s="2">
        <v>45684</v>
      </c>
      <c r="B4096">
        <v>2025.0</v>
      </c>
      <c r="C4096" t="s">
        <v>315</v>
      </c>
      <c r="D4096" t="s">
        <v>316</v>
      </c>
      <c r="E4096" t="s">
        <v>250</v>
      </c>
      <c r="F4096" t="s">
        <v>305</v>
      </c>
      <c r="G4096" t="s">
        <v>10</v>
      </c>
      <c r="H4096">
        <v>3550.0</v>
      </c>
      <c r="I4096" t="s">
        <v>31</v>
      </c>
      <c r="J4096" t="s">
        <v>37</v>
      </c>
      <c r="K4096" t="s">
        <v>71</v>
      </c>
      <c r="L4096" t="s">
        <v>72</v>
      </c>
      <c r="M4096">
        <v>2070.02</v>
      </c>
    </row>
    <row r="4097">
      <c r="A4097" s="2">
        <v>45656</v>
      </c>
      <c r="B4097">
        <v>2025.0</v>
      </c>
      <c r="C4097" t="s">
        <v>315</v>
      </c>
      <c r="D4097" t="s">
        <v>316</v>
      </c>
      <c r="E4097" t="s">
        <v>232</v>
      </c>
      <c r="F4097" t="s">
        <v>304</v>
      </c>
      <c r="G4097" t="s">
        <v>9</v>
      </c>
      <c r="H4097">
        <v>2800.0</v>
      </c>
      <c r="I4097" t="s">
        <v>31</v>
      </c>
      <c r="J4097" t="s">
        <v>75</v>
      </c>
      <c r="K4097" t="s">
        <v>43</v>
      </c>
      <c r="L4097" t="s">
        <v>44</v>
      </c>
      <c r="M4097">
        <v>2075.2</v>
      </c>
    </row>
    <row r="4098">
      <c r="A4098" s="2">
        <v>45413</v>
      </c>
      <c r="B4098">
        <v>2024.0</v>
      </c>
      <c r="C4098" t="s">
        <v>318</v>
      </c>
      <c r="D4098" t="s">
        <v>319</v>
      </c>
      <c r="E4098" t="s">
        <v>189</v>
      </c>
      <c r="F4098" t="s">
        <v>304</v>
      </c>
      <c r="G4098" t="s">
        <v>9</v>
      </c>
      <c r="H4098">
        <v>2131.0</v>
      </c>
      <c r="I4098" t="s">
        <v>31</v>
      </c>
      <c r="J4098" t="s">
        <v>81</v>
      </c>
      <c r="K4098" t="s">
        <v>46</v>
      </c>
      <c r="L4098" t="s">
        <v>47</v>
      </c>
      <c r="M4098">
        <v>2075.67</v>
      </c>
    </row>
    <row r="4099">
      <c r="A4099" s="2">
        <v>45337</v>
      </c>
      <c r="B4099">
        <v>2024.0</v>
      </c>
      <c r="C4099" t="s">
        <v>318</v>
      </c>
      <c r="D4099" t="s">
        <v>316</v>
      </c>
      <c r="E4099" t="s">
        <v>29</v>
      </c>
      <c r="F4099" t="s">
        <v>306</v>
      </c>
      <c r="G4099" t="s">
        <v>11</v>
      </c>
      <c r="H4099">
        <v>4703.0</v>
      </c>
      <c r="I4099" t="s">
        <v>31</v>
      </c>
      <c r="J4099" t="s">
        <v>32</v>
      </c>
      <c r="K4099" t="s">
        <v>71</v>
      </c>
      <c r="L4099" t="s">
        <v>72</v>
      </c>
      <c r="M4099">
        <v>2078.84</v>
      </c>
    </row>
    <row r="4100">
      <c r="A4100" s="2">
        <v>45558</v>
      </c>
      <c r="B4100">
        <v>2025.0</v>
      </c>
      <c r="C4100" t="s">
        <v>315</v>
      </c>
      <c r="D4100" t="s">
        <v>316</v>
      </c>
      <c r="E4100" t="s">
        <v>87</v>
      </c>
      <c r="F4100" t="s">
        <v>305</v>
      </c>
      <c r="G4100" t="s">
        <v>10</v>
      </c>
      <c r="H4100">
        <v>3148.0</v>
      </c>
      <c r="I4100" t="s">
        <v>31</v>
      </c>
      <c r="J4100" t="s">
        <v>89</v>
      </c>
      <c r="K4100" t="s">
        <v>66</v>
      </c>
      <c r="L4100" t="s">
        <v>67</v>
      </c>
      <c r="M4100">
        <v>2084.89</v>
      </c>
    </row>
    <row r="4101">
      <c r="A4101" s="2">
        <v>45333</v>
      </c>
      <c r="B4101">
        <v>2024.0</v>
      </c>
      <c r="C4101" t="s">
        <v>318</v>
      </c>
      <c r="D4101" t="s">
        <v>316</v>
      </c>
      <c r="E4101" t="s">
        <v>79</v>
      </c>
      <c r="F4101" t="s">
        <v>304</v>
      </c>
      <c r="G4101" t="s">
        <v>9</v>
      </c>
      <c r="H4101">
        <v>2141.0</v>
      </c>
      <c r="I4101" t="s">
        <v>31</v>
      </c>
      <c r="J4101" t="s">
        <v>81</v>
      </c>
      <c r="K4101" t="s">
        <v>46</v>
      </c>
      <c r="L4101" t="s">
        <v>47</v>
      </c>
      <c r="M4101">
        <v>2088.8900000000003</v>
      </c>
    </row>
    <row r="4102">
      <c r="A4102" s="2">
        <v>45468</v>
      </c>
      <c r="B4102">
        <v>2024.0</v>
      </c>
      <c r="C4102" t="s">
        <v>318</v>
      </c>
      <c r="D4102" t="s">
        <v>316</v>
      </c>
      <c r="E4102" t="s">
        <v>54</v>
      </c>
      <c r="F4102" t="s">
        <v>306</v>
      </c>
      <c r="G4102" t="s">
        <v>11</v>
      </c>
      <c r="H4102">
        <v>4012.0</v>
      </c>
      <c r="I4102" t="s">
        <v>31</v>
      </c>
      <c r="J4102" t="s">
        <v>56</v>
      </c>
      <c r="K4102" t="s">
        <v>95</v>
      </c>
      <c r="L4102" t="s">
        <v>96</v>
      </c>
      <c r="M4102">
        <v>2096.44</v>
      </c>
    </row>
    <row r="4103">
      <c r="A4103" s="2">
        <v>45907</v>
      </c>
      <c r="B4103">
        <v>2026.0</v>
      </c>
      <c r="C4103" t="s">
        <v>321</v>
      </c>
      <c r="D4103" t="s">
        <v>319</v>
      </c>
      <c r="E4103" t="s">
        <v>209</v>
      </c>
      <c r="F4103" t="s">
        <v>304</v>
      </c>
      <c r="G4103" t="s">
        <v>9</v>
      </c>
      <c r="H4103">
        <v>2116.0</v>
      </c>
      <c r="I4103" t="s">
        <v>31</v>
      </c>
      <c r="J4103" t="s">
        <v>81</v>
      </c>
      <c r="K4103" t="s">
        <v>71</v>
      </c>
      <c r="L4103" t="s">
        <v>72</v>
      </c>
      <c r="M4103">
        <v>2100.3100000000004</v>
      </c>
    </row>
    <row r="4104">
      <c r="A4104" s="2">
        <v>45323</v>
      </c>
      <c r="B4104">
        <v>2024.0</v>
      </c>
      <c r="C4104" t="s">
        <v>318</v>
      </c>
      <c r="D4104" t="s">
        <v>316</v>
      </c>
      <c r="E4104" t="s">
        <v>193</v>
      </c>
      <c r="F4104" t="s">
        <v>304</v>
      </c>
      <c r="G4104" t="s">
        <v>9</v>
      </c>
      <c r="H4104">
        <v>2020.0</v>
      </c>
      <c r="I4104" t="s">
        <v>31</v>
      </c>
      <c r="J4104" t="s">
        <v>99</v>
      </c>
      <c r="K4104" t="s">
        <v>33</v>
      </c>
      <c r="L4104" t="s">
        <v>34</v>
      </c>
      <c r="M4104">
        <v>2102.9300000000007</v>
      </c>
    </row>
    <row r="4105">
      <c r="A4105" s="2">
        <v>45306</v>
      </c>
      <c r="B4105">
        <v>2024.0</v>
      </c>
      <c r="C4105" t="s">
        <v>318</v>
      </c>
      <c r="D4105" t="s">
        <v>316</v>
      </c>
      <c r="E4105" t="s">
        <v>181</v>
      </c>
      <c r="F4105" t="s">
        <v>306</v>
      </c>
      <c r="G4105" t="s">
        <v>11</v>
      </c>
      <c r="H4105">
        <v>4119.0</v>
      </c>
      <c r="I4105" t="s">
        <v>31</v>
      </c>
      <c r="J4105" t="s">
        <v>56</v>
      </c>
      <c r="K4105" t="s">
        <v>33</v>
      </c>
      <c r="L4105" t="s">
        <v>34</v>
      </c>
      <c r="M4105">
        <v>2104.5300000000007</v>
      </c>
    </row>
    <row r="4106">
      <c r="A4106" s="2">
        <v>45765</v>
      </c>
      <c r="B4106">
        <v>2025.0</v>
      </c>
      <c r="C4106" t="s">
        <v>315</v>
      </c>
      <c r="D4106" t="s">
        <v>316</v>
      </c>
      <c r="E4106" t="s">
        <v>139</v>
      </c>
      <c r="F4106" t="s">
        <v>305</v>
      </c>
      <c r="G4106" t="s">
        <v>10</v>
      </c>
      <c r="H4106">
        <v>3199.0</v>
      </c>
      <c r="I4106" t="s">
        <v>31</v>
      </c>
      <c r="J4106" t="s">
        <v>89</v>
      </c>
      <c r="K4106" t="s">
        <v>71</v>
      </c>
      <c r="L4106" t="s">
        <v>72</v>
      </c>
      <c r="M4106">
        <v>2109.84</v>
      </c>
    </row>
    <row r="4107">
      <c r="A4107" s="2">
        <v>45941</v>
      </c>
      <c r="B4107">
        <v>2026.0</v>
      </c>
      <c r="C4107" t="s">
        <v>321</v>
      </c>
      <c r="D4107" t="s">
        <v>316</v>
      </c>
      <c r="E4107" t="s">
        <v>219</v>
      </c>
      <c r="F4107" t="s">
        <v>306</v>
      </c>
      <c r="G4107" t="s">
        <v>11</v>
      </c>
      <c r="H4107">
        <v>4068.0</v>
      </c>
      <c r="I4107" t="s">
        <v>31</v>
      </c>
      <c r="J4107" t="s">
        <v>56</v>
      </c>
      <c r="K4107" t="s">
        <v>46</v>
      </c>
      <c r="L4107" t="s">
        <v>47</v>
      </c>
      <c r="M4107">
        <v>2111.92</v>
      </c>
    </row>
    <row r="4108">
      <c r="A4108" s="2">
        <v>45481</v>
      </c>
      <c r="B4108">
        <v>2025.0</v>
      </c>
      <c r="C4108" t="s">
        <v>315</v>
      </c>
      <c r="D4108" t="s">
        <v>319</v>
      </c>
      <c r="E4108" t="s">
        <v>90</v>
      </c>
      <c r="F4108" t="s">
        <v>305</v>
      </c>
      <c r="G4108" t="s">
        <v>10</v>
      </c>
      <c r="H4108">
        <v>3353.0</v>
      </c>
      <c r="I4108" t="s">
        <v>31</v>
      </c>
      <c r="J4108" t="s">
        <v>37</v>
      </c>
      <c r="K4108" t="s">
        <v>71</v>
      </c>
      <c r="L4108" t="s">
        <v>72</v>
      </c>
      <c r="M4108">
        <v>2117.17</v>
      </c>
    </row>
    <row r="4109">
      <c r="A4109" s="2">
        <v>45386</v>
      </c>
      <c r="B4109">
        <v>2024.0</v>
      </c>
      <c r="C4109" t="s">
        <v>318</v>
      </c>
      <c r="D4109" t="s">
        <v>316</v>
      </c>
      <c r="E4109" t="s">
        <v>110</v>
      </c>
      <c r="F4109" t="s">
        <v>304</v>
      </c>
      <c r="G4109" t="s">
        <v>9</v>
      </c>
      <c r="H4109">
        <v>2101.0</v>
      </c>
      <c r="I4109" t="s">
        <v>31</v>
      </c>
      <c r="J4109" t="s">
        <v>81</v>
      </c>
      <c r="K4109" t="s">
        <v>71</v>
      </c>
      <c r="L4109" t="s">
        <v>72</v>
      </c>
      <c r="M4109">
        <v>2121.4</v>
      </c>
    </row>
    <row r="4110">
      <c r="A4110" s="2">
        <v>45398</v>
      </c>
      <c r="B4110">
        <v>2024.0</v>
      </c>
      <c r="C4110" t="s">
        <v>318</v>
      </c>
      <c r="D4110" t="s">
        <v>316</v>
      </c>
      <c r="E4110" t="s">
        <v>64</v>
      </c>
      <c r="F4110" t="s">
        <v>306</v>
      </c>
      <c r="G4110" t="s">
        <v>11</v>
      </c>
      <c r="H4110">
        <v>4215.0</v>
      </c>
      <c r="I4110" t="s">
        <v>31</v>
      </c>
      <c r="J4110" t="s">
        <v>61</v>
      </c>
      <c r="K4110" t="s">
        <v>33</v>
      </c>
      <c r="L4110" t="s">
        <v>34</v>
      </c>
      <c r="M4110">
        <v>2139.3100000000004</v>
      </c>
    </row>
    <row r="4111">
      <c r="A4111" s="2">
        <v>45851</v>
      </c>
      <c r="B4111">
        <v>2026.0</v>
      </c>
      <c r="C4111" t="s">
        <v>321</v>
      </c>
      <c r="D4111" t="s">
        <v>316</v>
      </c>
      <c r="E4111" t="s">
        <v>228</v>
      </c>
      <c r="F4111" t="s">
        <v>306</v>
      </c>
      <c r="G4111" t="s">
        <v>11</v>
      </c>
      <c r="H4111">
        <v>4680.0</v>
      </c>
      <c r="I4111" t="s">
        <v>31</v>
      </c>
      <c r="J4111" t="s">
        <v>32</v>
      </c>
      <c r="K4111" t="s">
        <v>71</v>
      </c>
      <c r="L4111" t="s">
        <v>72</v>
      </c>
      <c r="M4111">
        <v>2140.92</v>
      </c>
    </row>
    <row r="4112">
      <c r="A4112" s="2">
        <v>45620</v>
      </c>
      <c r="B4112">
        <v>2025.0</v>
      </c>
      <c r="C4112" t="s">
        <v>315</v>
      </c>
      <c r="D4112" t="s">
        <v>316</v>
      </c>
      <c r="E4112" t="s">
        <v>90</v>
      </c>
      <c r="F4112" t="s">
        <v>305</v>
      </c>
      <c r="G4112" t="s">
        <v>10</v>
      </c>
      <c r="H4112">
        <v>3353.0</v>
      </c>
      <c r="I4112" t="s">
        <v>31</v>
      </c>
      <c r="J4112" t="s">
        <v>37</v>
      </c>
      <c r="K4112" t="s">
        <v>43</v>
      </c>
      <c r="L4112" t="s">
        <v>44</v>
      </c>
      <c r="M4112">
        <v>2150.0699999999997</v>
      </c>
    </row>
    <row r="4113">
      <c r="A4113" s="2">
        <v>45761</v>
      </c>
      <c r="B4113">
        <v>2025.0</v>
      </c>
      <c r="C4113" t="s">
        <v>315</v>
      </c>
      <c r="D4113" t="s">
        <v>319</v>
      </c>
      <c r="E4113" t="s">
        <v>179</v>
      </c>
      <c r="F4113" t="s">
        <v>304</v>
      </c>
      <c r="G4113" t="s">
        <v>9</v>
      </c>
      <c r="H4113">
        <v>2015.0</v>
      </c>
      <c r="I4113" t="s">
        <v>31</v>
      </c>
      <c r="J4113" t="s">
        <v>99</v>
      </c>
      <c r="K4113" t="s">
        <v>57</v>
      </c>
      <c r="L4113" t="s">
        <v>58</v>
      </c>
      <c r="M4113">
        <v>2150.67</v>
      </c>
    </row>
    <row r="4114">
      <c r="A4114" s="2">
        <v>45808</v>
      </c>
      <c r="B4114">
        <v>2025.0</v>
      </c>
      <c r="C4114" t="s">
        <v>315</v>
      </c>
      <c r="D4114" t="s">
        <v>316</v>
      </c>
      <c r="E4114" t="s">
        <v>35</v>
      </c>
      <c r="F4114" t="s">
        <v>305</v>
      </c>
      <c r="G4114" t="s">
        <v>10</v>
      </c>
      <c r="H4114">
        <v>3280.0</v>
      </c>
      <c r="I4114" t="s">
        <v>31</v>
      </c>
      <c r="J4114" t="s">
        <v>37</v>
      </c>
      <c r="K4114" t="s">
        <v>57</v>
      </c>
      <c r="L4114" t="s">
        <v>58</v>
      </c>
      <c r="M4114">
        <v>2151.63</v>
      </c>
    </row>
    <row r="4115">
      <c r="A4115" s="2">
        <v>45370</v>
      </c>
      <c r="B4115">
        <v>2024.0</v>
      </c>
      <c r="C4115" t="s">
        <v>318</v>
      </c>
      <c r="D4115" t="s">
        <v>316</v>
      </c>
      <c r="E4115" t="s">
        <v>197</v>
      </c>
      <c r="F4115" t="s">
        <v>304</v>
      </c>
      <c r="G4115" t="s">
        <v>9</v>
      </c>
      <c r="H4115">
        <v>2560.0</v>
      </c>
      <c r="I4115" t="s">
        <v>31</v>
      </c>
      <c r="J4115" t="s">
        <v>107</v>
      </c>
      <c r="K4115" t="s">
        <v>71</v>
      </c>
      <c r="L4115" t="s">
        <v>72</v>
      </c>
      <c r="M4115">
        <v>2156.38</v>
      </c>
    </row>
    <row r="4116">
      <c r="A4116" s="2">
        <v>45796</v>
      </c>
      <c r="B4116">
        <v>2025.0</v>
      </c>
      <c r="C4116" t="s">
        <v>315</v>
      </c>
      <c r="D4116" t="s">
        <v>319</v>
      </c>
      <c r="E4116" t="s">
        <v>256</v>
      </c>
      <c r="F4116" t="s">
        <v>304</v>
      </c>
      <c r="G4116" t="s">
        <v>9</v>
      </c>
      <c r="H4116">
        <v>2350.0</v>
      </c>
      <c r="I4116" t="s">
        <v>31</v>
      </c>
      <c r="J4116" t="s">
        <v>70</v>
      </c>
      <c r="K4116" t="s">
        <v>71</v>
      </c>
      <c r="L4116" t="s">
        <v>72</v>
      </c>
      <c r="M4116">
        <v>2156.83</v>
      </c>
    </row>
    <row r="4117">
      <c r="A4117" s="2">
        <v>45349</v>
      </c>
      <c r="B4117">
        <v>2024.0</v>
      </c>
      <c r="C4117" t="s">
        <v>318</v>
      </c>
      <c r="D4117" t="s">
        <v>316</v>
      </c>
      <c r="E4117" t="s">
        <v>215</v>
      </c>
      <c r="F4117" t="s">
        <v>310</v>
      </c>
      <c r="G4117" t="s">
        <v>15</v>
      </c>
      <c r="H4117">
        <v>7320.0</v>
      </c>
      <c r="I4117" t="s">
        <v>31</v>
      </c>
      <c r="J4117" t="s">
        <v>53</v>
      </c>
      <c r="K4117" t="s">
        <v>71</v>
      </c>
      <c r="L4117" t="s">
        <v>72</v>
      </c>
      <c r="M4117">
        <v>2156.9399999999996</v>
      </c>
    </row>
    <row r="4118">
      <c r="A4118" s="2">
        <v>45631</v>
      </c>
      <c r="B4118">
        <v>2025.0</v>
      </c>
      <c r="C4118" t="s">
        <v>315</v>
      </c>
      <c r="D4118" t="s">
        <v>316</v>
      </c>
      <c r="E4118" t="s">
        <v>156</v>
      </c>
      <c r="F4118" t="s">
        <v>304</v>
      </c>
      <c r="G4118" t="s">
        <v>9</v>
      </c>
      <c r="H4118">
        <v>2830.0</v>
      </c>
      <c r="I4118" t="s">
        <v>31</v>
      </c>
      <c r="J4118" t="s">
        <v>75</v>
      </c>
      <c r="K4118" t="s">
        <v>71</v>
      </c>
      <c r="L4118" t="s">
        <v>72</v>
      </c>
      <c r="M4118">
        <v>2169.37</v>
      </c>
    </row>
    <row r="4119">
      <c r="A4119" s="2">
        <v>45874</v>
      </c>
      <c r="B4119">
        <v>2026.0</v>
      </c>
      <c r="C4119" t="s">
        <v>321</v>
      </c>
      <c r="D4119" t="s">
        <v>316</v>
      </c>
      <c r="E4119" t="s">
        <v>105</v>
      </c>
      <c r="F4119" t="s">
        <v>304</v>
      </c>
      <c r="G4119" t="s">
        <v>9</v>
      </c>
      <c r="H4119">
        <v>2541.0</v>
      </c>
      <c r="I4119" t="s">
        <v>31</v>
      </c>
      <c r="J4119" t="s">
        <v>107</v>
      </c>
      <c r="K4119" t="s">
        <v>33</v>
      </c>
      <c r="L4119" t="s">
        <v>34</v>
      </c>
      <c r="M4119">
        <v>2171.88</v>
      </c>
    </row>
    <row r="4120">
      <c r="A4120" s="2">
        <v>45861</v>
      </c>
      <c r="B4120">
        <v>2026.0</v>
      </c>
      <c r="C4120" t="s">
        <v>321</v>
      </c>
      <c r="D4120" t="s">
        <v>316</v>
      </c>
      <c r="E4120" t="s">
        <v>68</v>
      </c>
      <c r="F4120" t="s">
        <v>304</v>
      </c>
      <c r="G4120" t="s">
        <v>9</v>
      </c>
      <c r="H4120">
        <v>2478.0</v>
      </c>
      <c r="I4120" t="s">
        <v>31</v>
      </c>
      <c r="J4120" t="s">
        <v>70</v>
      </c>
      <c r="K4120" t="s">
        <v>57</v>
      </c>
      <c r="L4120" t="s">
        <v>58</v>
      </c>
      <c r="M4120">
        <v>2181.59</v>
      </c>
    </row>
    <row r="4121">
      <c r="A4121" s="2">
        <v>45941</v>
      </c>
      <c r="B4121">
        <v>2026.0</v>
      </c>
      <c r="C4121" t="s">
        <v>321</v>
      </c>
      <c r="D4121" t="s">
        <v>319</v>
      </c>
      <c r="E4121" t="s">
        <v>103</v>
      </c>
      <c r="F4121" t="s">
        <v>307</v>
      </c>
      <c r="G4121" t="s">
        <v>12</v>
      </c>
      <c r="H4121">
        <v>6021.0</v>
      </c>
      <c r="I4121" t="s">
        <v>31</v>
      </c>
      <c r="J4121" t="s">
        <v>102</v>
      </c>
      <c r="K4121" t="s">
        <v>71</v>
      </c>
      <c r="L4121" t="s">
        <v>72</v>
      </c>
      <c r="M4121">
        <v>2190.23</v>
      </c>
    </row>
    <row r="4122">
      <c r="A4122" s="2">
        <v>45961</v>
      </c>
      <c r="B4122">
        <v>2026.0</v>
      </c>
      <c r="C4122" t="s">
        <v>321</v>
      </c>
      <c r="D4122" t="s">
        <v>316</v>
      </c>
      <c r="E4122" t="s">
        <v>105</v>
      </c>
      <c r="F4122" t="s">
        <v>304</v>
      </c>
      <c r="G4122" t="s">
        <v>9</v>
      </c>
      <c r="H4122">
        <v>2541.0</v>
      </c>
      <c r="I4122" t="s">
        <v>31</v>
      </c>
      <c r="J4122" t="s">
        <v>107</v>
      </c>
      <c r="K4122" t="s">
        <v>57</v>
      </c>
      <c r="L4122" t="s">
        <v>58</v>
      </c>
      <c r="M4122">
        <v>2200.87</v>
      </c>
    </row>
    <row r="4123">
      <c r="A4123" s="2">
        <v>45709</v>
      </c>
      <c r="B4123">
        <v>2025.0</v>
      </c>
      <c r="C4123" t="s">
        <v>315</v>
      </c>
      <c r="D4123" t="s">
        <v>316</v>
      </c>
      <c r="E4123" t="s">
        <v>250</v>
      </c>
      <c r="F4123" t="s">
        <v>305</v>
      </c>
      <c r="G4123" t="s">
        <v>10</v>
      </c>
      <c r="H4123">
        <v>3550.0</v>
      </c>
      <c r="I4123" t="s">
        <v>31</v>
      </c>
      <c r="J4123" t="s">
        <v>37</v>
      </c>
      <c r="K4123" t="s">
        <v>33</v>
      </c>
      <c r="L4123" t="s">
        <v>34</v>
      </c>
      <c r="M4123">
        <v>2202.71</v>
      </c>
    </row>
    <row r="4124">
      <c r="A4124" s="2">
        <v>45644</v>
      </c>
      <c r="B4124">
        <v>2025.0</v>
      </c>
      <c r="C4124" t="s">
        <v>315</v>
      </c>
      <c r="D4124" t="s">
        <v>316</v>
      </c>
      <c r="E4124" t="s">
        <v>193</v>
      </c>
      <c r="F4124" t="s">
        <v>304</v>
      </c>
      <c r="G4124" t="s">
        <v>9</v>
      </c>
      <c r="H4124">
        <v>2020.0</v>
      </c>
      <c r="I4124" t="s">
        <v>31</v>
      </c>
      <c r="J4124" t="s">
        <v>99</v>
      </c>
      <c r="K4124" t="s">
        <v>123</v>
      </c>
      <c r="L4124" t="s">
        <v>124</v>
      </c>
      <c r="M4124">
        <v>2210.1600000000008</v>
      </c>
    </row>
    <row r="4125">
      <c r="A4125" s="2">
        <v>45732</v>
      </c>
      <c r="B4125">
        <v>2025.0</v>
      </c>
      <c r="C4125" t="s">
        <v>315</v>
      </c>
      <c r="D4125" t="s">
        <v>316</v>
      </c>
      <c r="E4125" t="s">
        <v>143</v>
      </c>
      <c r="F4125" t="s">
        <v>309</v>
      </c>
      <c r="G4125" t="s">
        <v>14</v>
      </c>
      <c r="H4125">
        <v>800.0</v>
      </c>
      <c r="I4125" t="s">
        <v>31</v>
      </c>
      <c r="J4125" t="s">
        <v>145</v>
      </c>
      <c r="K4125" t="s">
        <v>71</v>
      </c>
      <c r="L4125" t="s">
        <v>72</v>
      </c>
      <c r="M4125">
        <v>2210.5899999999997</v>
      </c>
    </row>
    <row r="4126">
      <c r="A4126" s="2">
        <v>45801</v>
      </c>
      <c r="B4126">
        <v>2025.0</v>
      </c>
      <c r="C4126" t="s">
        <v>315</v>
      </c>
      <c r="D4126" t="s">
        <v>316</v>
      </c>
      <c r="E4126" t="s">
        <v>59</v>
      </c>
      <c r="F4126" t="s">
        <v>306</v>
      </c>
      <c r="G4126" t="s">
        <v>11</v>
      </c>
      <c r="H4126">
        <v>4509.0</v>
      </c>
      <c r="I4126" t="s">
        <v>31</v>
      </c>
      <c r="J4126" t="s">
        <v>61</v>
      </c>
      <c r="K4126" t="s">
        <v>33</v>
      </c>
      <c r="L4126" t="s">
        <v>34</v>
      </c>
      <c r="M4126">
        <v>2217.2600000000007</v>
      </c>
    </row>
    <row r="4127">
      <c r="A4127" s="2">
        <v>45754</v>
      </c>
      <c r="B4127">
        <v>2025.0</v>
      </c>
      <c r="C4127" t="s">
        <v>315</v>
      </c>
      <c r="D4127" t="s">
        <v>316</v>
      </c>
      <c r="E4127" t="s">
        <v>82</v>
      </c>
      <c r="F4127" t="s">
        <v>306</v>
      </c>
      <c r="G4127" t="s">
        <v>11</v>
      </c>
      <c r="H4127">
        <v>4558.0</v>
      </c>
      <c r="I4127" t="s">
        <v>31</v>
      </c>
      <c r="J4127" t="s">
        <v>84</v>
      </c>
      <c r="K4127" t="s">
        <v>43</v>
      </c>
      <c r="L4127" t="s">
        <v>44</v>
      </c>
      <c r="M4127">
        <v>2248.13</v>
      </c>
    </row>
    <row r="4128">
      <c r="A4128" s="2">
        <v>45713</v>
      </c>
      <c r="B4128">
        <v>2025.0</v>
      </c>
      <c r="C4128" t="s">
        <v>315</v>
      </c>
      <c r="D4128" t="s">
        <v>316</v>
      </c>
      <c r="E4128" t="s">
        <v>225</v>
      </c>
      <c r="F4128" t="s">
        <v>308</v>
      </c>
      <c r="G4128" t="s">
        <v>13</v>
      </c>
      <c r="H4128">
        <v>5607.0</v>
      </c>
      <c r="I4128" t="s">
        <v>31</v>
      </c>
      <c r="J4128" t="s">
        <v>227</v>
      </c>
      <c r="K4128" t="s">
        <v>71</v>
      </c>
      <c r="L4128" t="s">
        <v>72</v>
      </c>
      <c r="M4128">
        <v>2257.4</v>
      </c>
    </row>
    <row r="4129">
      <c r="A4129" s="2">
        <v>45651</v>
      </c>
      <c r="B4129">
        <v>2025.0</v>
      </c>
      <c r="C4129" t="s">
        <v>315</v>
      </c>
      <c r="D4129" t="s">
        <v>316</v>
      </c>
      <c r="E4129" t="s">
        <v>221</v>
      </c>
      <c r="F4129" t="s">
        <v>306</v>
      </c>
      <c r="G4129" t="s">
        <v>11</v>
      </c>
      <c r="H4129">
        <v>4053.0</v>
      </c>
      <c r="I4129" t="s">
        <v>31</v>
      </c>
      <c r="J4129" t="s">
        <v>56</v>
      </c>
      <c r="K4129" t="s">
        <v>71</v>
      </c>
      <c r="L4129" t="s">
        <v>72</v>
      </c>
      <c r="M4129">
        <v>2265.1299999999997</v>
      </c>
    </row>
    <row r="4130">
      <c r="A4130" s="2">
        <v>45734</v>
      </c>
      <c r="B4130">
        <v>2025.0</v>
      </c>
      <c r="C4130" t="s">
        <v>315</v>
      </c>
      <c r="D4130" t="s">
        <v>316</v>
      </c>
      <c r="E4130" t="s">
        <v>203</v>
      </c>
      <c r="F4130" t="s">
        <v>305</v>
      </c>
      <c r="G4130" t="s">
        <v>10</v>
      </c>
      <c r="H4130">
        <v>3175.0</v>
      </c>
      <c r="I4130" t="s">
        <v>31</v>
      </c>
      <c r="J4130" t="s">
        <v>89</v>
      </c>
      <c r="K4130" t="s">
        <v>33</v>
      </c>
      <c r="L4130" t="s">
        <v>34</v>
      </c>
      <c r="M4130">
        <v>2268.6199999999994</v>
      </c>
    </row>
    <row r="4131">
      <c r="A4131" s="2">
        <v>45563</v>
      </c>
      <c r="B4131">
        <v>2025.0</v>
      </c>
      <c r="C4131" t="s">
        <v>315</v>
      </c>
      <c r="D4131" t="s">
        <v>316</v>
      </c>
      <c r="E4131" t="s">
        <v>131</v>
      </c>
      <c r="F4131" t="s">
        <v>306</v>
      </c>
      <c r="G4131" t="s">
        <v>11</v>
      </c>
      <c r="H4131">
        <v>4655.0</v>
      </c>
      <c r="I4131" t="s">
        <v>31</v>
      </c>
      <c r="J4131" t="s">
        <v>32</v>
      </c>
      <c r="K4131" t="s">
        <v>71</v>
      </c>
      <c r="L4131" t="s">
        <v>72</v>
      </c>
      <c r="M4131">
        <v>2275.0</v>
      </c>
    </row>
    <row r="4132">
      <c r="A4132" s="2">
        <v>45403</v>
      </c>
      <c r="B4132">
        <v>2024.0</v>
      </c>
      <c r="C4132" t="s">
        <v>318</v>
      </c>
      <c r="D4132" t="s">
        <v>316</v>
      </c>
      <c r="E4132" t="s">
        <v>234</v>
      </c>
      <c r="F4132" t="s">
        <v>304</v>
      </c>
      <c r="G4132" t="s">
        <v>9</v>
      </c>
      <c r="H4132">
        <v>2158.0</v>
      </c>
      <c r="I4132" t="s">
        <v>31</v>
      </c>
      <c r="J4132" t="s">
        <v>81</v>
      </c>
      <c r="K4132" t="s">
        <v>95</v>
      </c>
      <c r="L4132" t="s">
        <v>96</v>
      </c>
      <c r="M4132">
        <v>2283.95</v>
      </c>
    </row>
    <row r="4133">
      <c r="A4133" s="2">
        <v>45543</v>
      </c>
      <c r="B4133">
        <v>2025.0</v>
      </c>
      <c r="C4133" t="s">
        <v>315</v>
      </c>
      <c r="D4133" t="s">
        <v>316</v>
      </c>
      <c r="E4133" t="s">
        <v>242</v>
      </c>
      <c r="F4133" t="s">
        <v>305</v>
      </c>
      <c r="G4133" t="s">
        <v>10</v>
      </c>
      <c r="H4133">
        <v>3977.0</v>
      </c>
      <c r="I4133" t="s">
        <v>31</v>
      </c>
      <c r="J4133" t="s">
        <v>94</v>
      </c>
      <c r="K4133" t="s">
        <v>71</v>
      </c>
      <c r="L4133" t="s">
        <v>72</v>
      </c>
      <c r="M4133">
        <v>2302.05</v>
      </c>
    </row>
    <row r="4134">
      <c r="A4134" s="2">
        <v>45620</v>
      </c>
      <c r="B4134">
        <v>2025.0</v>
      </c>
      <c r="C4134" t="s">
        <v>315</v>
      </c>
      <c r="D4134" t="s">
        <v>316</v>
      </c>
      <c r="E4134" t="s">
        <v>97</v>
      </c>
      <c r="F4134" t="s">
        <v>304</v>
      </c>
      <c r="G4134" t="s">
        <v>9</v>
      </c>
      <c r="H4134">
        <v>2067.0</v>
      </c>
      <c r="I4134" t="s">
        <v>31</v>
      </c>
      <c r="J4134" t="s">
        <v>99</v>
      </c>
      <c r="K4134" t="s">
        <v>57</v>
      </c>
      <c r="L4134" t="s">
        <v>58</v>
      </c>
      <c r="M4134">
        <v>2324.2400000000002</v>
      </c>
    </row>
    <row r="4135">
      <c r="A4135" s="2">
        <v>45389</v>
      </c>
      <c r="B4135">
        <v>2024.0</v>
      </c>
      <c r="C4135" t="s">
        <v>318</v>
      </c>
      <c r="D4135" t="s">
        <v>316</v>
      </c>
      <c r="E4135" t="s">
        <v>87</v>
      </c>
      <c r="F4135" t="s">
        <v>305</v>
      </c>
      <c r="G4135" t="s">
        <v>10</v>
      </c>
      <c r="H4135">
        <v>3148.0</v>
      </c>
      <c r="I4135" t="s">
        <v>31</v>
      </c>
      <c r="J4135" t="s">
        <v>89</v>
      </c>
      <c r="K4135" t="s">
        <v>33</v>
      </c>
      <c r="L4135" t="s">
        <v>34</v>
      </c>
      <c r="M4135">
        <v>2327.43</v>
      </c>
    </row>
    <row r="4136">
      <c r="A4136" s="2">
        <v>45925</v>
      </c>
      <c r="B4136">
        <v>2026.0</v>
      </c>
      <c r="C4136" t="s">
        <v>321</v>
      </c>
      <c r="D4136" t="s">
        <v>316</v>
      </c>
      <c r="E4136" t="s">
        <v>118</v>
      </c>
      <c r="F4136" t="s">
        <v>305</v>
      </c>
      <c r="G4136" t="s">
        <v>10</v>
      </c>
      <c r="H4136">
        <v>3076.0</v>
      </c>
      <c r="I4136" t="s">
        <v>31</v>
      </c>
      <c r="J4136" t="s">
        <v>120</v>
      </c>
      <c r="K4136" t="s">
        <v>43</v>
      </c>
      <c r="L4136" t="s">
        <v>44</v>
      </c>
      <c r="M4136">
        <v>2327.5600000000004</v>
      </c>
    </row>
    <row r="4137">
      <c r="A4137" s="2">
        <v>45804</v>
      </c>
      <c r="B4137">
        <v>2025.0</v>
      </c>
      <c r="C4137" t="s">
        <v>315</v>
      </c>
      <c r="D4137" t="s">
        <v>316</v>
      </c>
      <c r="E4137" t="s">
        <v>193</v>
      </c>
      <c r="F4137" t="s">
        <v>304</v>
      </c>
      <c r="G4137" t="s">
        <v>9</v>
      </c>
      <c r="H4137">
        <v>2020.0</v>
      </c>
      <c r="I4137" t="s">
        <v>31</v>
      </c>
      <c r="J4137" t="s">
        <v>99</v>
      </c>
      <c r="K4137" t="s">
        <v>71</v>
      </c>
      <c r="L4137" t="s">
        <v>72</v>
      </c>
      <c r="M4137">
        <v>2329.8199999999997</v>
      </c>
    </row>
    <row r="4138">
      <c r="A4138" s="2">
        <v>45327</v>
      </c>
      <c r="B4138">
        <v>2024.0</v>
      </c>
      <c r="C4138" t="s">
        <v>318</v>
      </c>
      <c r="D4138" t="s">
        <v>316</v>
      </c>
      <c r="E4138" t="s">
        <v>197</v>
      </c>
      <c r="F4138" t="s">
        <v>304</v>
      </c>
      <c r="G4138" t="s">
        <v>9</v>
      </c>
      <c r="H4138">
        <v>2560.0</v>
      </c>
      <c r="I4138" t="s">
        <v>31</v>
      </c>
      <c r="J4138" t="s">
        <v>107</v>
      </c>
      <c r="K4138" t="s">
        <v>46</v>
      </c>
      <c r="L4138" t="s">
        <v>47</v>
      </c>
      <c r="M4138">
        <v>2330.86</v>
      </c>
    </row>
    <row r="4139">
      <c r="A4139" s="2">
        <v>45752</v>
      </c>
      <c r="B4139">
        <v>2025.0</v>
      </c>
      <c r="C4139" t="s">
        <v>315</v>
      </c>
      <c r="D4139" t="s">
        <v>316</v>
      </c>
      <c r="E4139" t="s">
        <v>125</v>
      </c>
      <c r="F4139" t="s">
        <v>305</v>
      </c>
      <c r="G4139" t="s">
        <v>10</v>
      </c>
      <c r="H4139">
        <v>3931.0</v>
      </c>
      <c r="I4139" t="s">
        <v>31</v>
      </c>
      <c r="J4139" t="s">
        <v>94</v>
      </c>
      <c r="K4139" t="s">
        <v>71</v>
      </c>
      <c r="L4139" t="s">
        <v>72</v>
      </c>
      <c r="M4139">
        <v>2333.7799999999997</v>
      </c>
    </row>
    <row r="4140">
      <c r="A4140" s="2">
        <v>45354</v>
      </c>
      <c r="B4140">
        <v>2024.0</v>
      </c>
      <c r="C4140" t="s">
        <v>318</v>
      </c>
      <c r="D4140" t="s">
        <v>319</v>
      </c>
      <c r="E4140" t="s">
        <v>209</v>
      </c>
      <c r="F4140" t="s">
        <v>304</v>
      </c>
      <c r="G4140" t="s">
        <v>9</v>
      </c>
      <c r="H4140">
        <v>2116.0</v>
      </c>
      <c r="I4140" t="s">
        <v>31</v>
      </c>
      <c r="J4140" t="s">
        <v>81</v>
      </c>
      <c r="K4140" t="s">
        <v>123</v>
      </c>
      <c r="L4140" t="s">
        <v>124</v>
      </c>
      <c r="M4140">
        <v>2342.4600000000005</v>
      </c>
    </row>
    <row r="4141">
      <c r="A4141" s="2">
        <v>45502</v>
      </c>
      <c r="B4141">
        <v>2025.0</v>
      </c>
      <c r="C4141" t="s">
        <v>315</v>
      </c>
      <c r="D4141" t="s">
        <v>319</v>
      </c>
      <c r="E4141" t="s">
        <v>256</v>
      </c>
      <c r="F4141" t="s">
        <v>304</v>
      </c>
      <c r="G4141" t="s">
        <v>9</v>
      </c>
      <c r="H4141">
        <v>2350.0</v>
      </c>
      <c r="I4141" t="s">
        <v>31</v>
      </c>
      <c r="J4141" t="s">
        <v>70</v>
      </c>
      <c r="K4141" t="s">
        <v>46</v>
      </c>
      <c r="L4141" t="s">
        <v>47</v>
      </c>
      <c r="M4141">
        <v>2346.41</v>
      </c>
    </row>
    <row r="4142">
      <c r="A4142" s="2">
        <v>45487</v>
      </c>
      <c r="B4142">
        <v>2025.0</v>
      </c>
      <c r="C4142" t="s">
        <v>315</v>
      </c>
      <c r="D4142" t="s">
        <v>319</v>
      </c>
      <c r="E4142" t="s">
        <v>129</v>
      </c>
      <c r="F4142" t="s">
        <v>305</v>
      </c>
      <c r="G4142" t="s">
        <v>10</v>
      </c>
      <c r="H4142">
        <v>3066.0</v>
      </c>
      <c r="I4142" t="s">
        <v>31</v>
      </c>
      <c r="J4142" t="s">
        <v>120</v>
      </c>
      <c r="K4142" t="s">
        <v>71</v>
      </c>
      <c r="L4142" t="s">
        <v>72</v>
      </c>
      <c r="M4142">
        <v>2351.94</v>
      </c>
    </row>
    <row r="4143">
      <c r="A4143" s="2">
        <v>45816</v>
      </c>
      <c r="B4143">
        <v>2025.0</v>
      </c>
      <c r="C4143" t="s">
        <v>315</v>
      </c>
      <c r="D4143" t="s">
        <v>319</v>
      </c>
      <c r="E4143" t="s">
        <v>146</v>
      </c>
      <c r="F4143" t="s">
        <v>304</v>
      </c>
      <c r="G4143" t="s">
        <v>9</v>
      </c>
      <c r="H4143">
        <v>2790.0</v>
      </c>
      <c r="I4143" t="s">
        <v>31</v>
      </c>
      <c r="J4143" t="s">
        <v>75</v>
      </c>
      <c r="K4143" t="s">
        <v>46</v>
      </c>
      <c r="L4143" t="s">
        <v>47</v>
      </c>
      <c r="M4143">
        <v>2356.7299999999996</v>
      </c>
    </row>
    <row r="4144">
      <c r="A4144" s="2">
        <v>45551</v>
      </c>
      <c r="B4144">
        <v>2025.0</v>
      </c>
      <c r="C4144" t="s">
        <v>315</v>
      </c>
      <c r="D4144" t="s">
        <v>316</v>
      </c>
      <c r="E4144" t="s">
        <v>59</v>
      </c>
      <c r="F4144" t="s">
        <v>306</v>
      </c>
      <c r="G4144" t="s">
        <v>11</v>
      </c>
      <c r="H4144">
        <v>4509.0</v>
      </c>
      <c r="I4144" t="s">
        <v>31</v>
      </c>
      <c r="J4144" t="s">
        <v>61</v>
      </c>
      <c r="K4144" t="s">
        <v>57</v>
      </c>
      <c r="L4144" t="s">
        <v>58</v>
      </c>
      <c r="M4144">
        <v>2366.3100000000004</v>
      </c>
    </row>
    <row r="4145">
      <c r="A4145" s="2">
        <v>45665</v>
      </c>
      <c r="B4145">
        <v>2025.0</v>
      </c>
      <c r="C4145" t="s">
        <v>315</v>
      </c>
      <c r="D4145" t="s">
        <v>316</v>
      </c>
      <c r="E4145" t="s">
        <v>187</v>
      </c>
      <c r="F4145" t="s">
        <v>306</v>
      </c>
      <c r="G4145" t="s">
        <v>11</v>
      </c>
      <c r="H4145">
        <v>4870.0</v>
      </c>
      <c r="I4145" t="s">
        <v>31</v>
      </c>
      <c r="J4145" t="s">
        <v>78</v>
      </c>
      <c r="K4145" t="s">
        <v>71</v>
      </c>
      <c r="L4145" t="s">
        <v>72</v>
      </c>
      <c r="M4145">
        <v>2367.54</v>
      </c>
    </row>
    <row r="4146">
      <c r="A4146" s="2">
        <v>45948</v>
      </c>
      <c r="B4146">
        <v>2026.0</v>
      </c>
      <c r="C4146" t="s">
        <v>321</v>
      </c>
      <c r="D4146" t="s">
        <v>316</v>
      </c>
      <c r="E4146" t="s">
        <v>252</v>
      </c>
      <c r="F4146" t="s">
        <v>305</v>
      </c>
      <c r="G4146" t="s">
        <v>10</v>
      </c>
      <c r="H4146">
        <v>3630.0</v>
      </c>
      <c r="I4146" t="s">
        <v>31</v>
      </c>
      <c r="J4146" t="s">
        <v>94</v>
      </c>
      <c r="K4146" t="s">
        <v>71</v>
      </c>
      <c r="L4146" t="s">
        <v>72</v>
      </c>
      <c r="M4146">
        <v>2385.3700000000003</v>
      </c>
    </row>
    <row r="4147">
      <c r="A4147" s="2">
        <v>45926</v>
      </c>
      <c r="B4147">
        <v>2026.0</v>
      </c>
      <c r="C4147" t="s">
        <v>321</v>
      </c>
      <c r="D4147" t="s">
        <v>316</v>
      </c>
      <c r="E4147" t="s">
        <v>238</v>
      </c>
      <c r="F4147" t="s">
        <v>308</v>
      </c>
      <c r="G4147" t="s">
        <v>13</v>
      </c>
      <c r="H4147">
        <v>5082.0</v>
      </c>
      <c r="I4147" t="s">
        <v>31</v>
      </c>
      <c r="J4147" t="s">
        <v>42</v>
      </c>
      <c r="K4147" t="s">
        <v>71</v>
      </c>
      <c r="L4147" t="s">
        <v>72</v>
      </c>
      <c r="M4147">
        <v>2390.21</v>
      </c>
    </row>
    <row r="4148">
      <c r="A4148" s="2">
        <v>45698</v>
      </c>
      <c r="B4148">
        <v>2025.0</v>
      </c>
      <c r="C4148" t="s">
        <v>315</v>
      </c>
      <c r="D4148" t="s">
        <v>316</v>
      </c>
      <c r="E4148" t="s">
        <v>105</v>
      </c>
      <c r="F4148" t="s">
        <v>304</v>
      </c>
      <c r="G4148" t="s">
        <v>9</v>
      </c>
      <c r="H4148">
        <v>2541.0</v>
      </c>
      <c r="I4148" t="s">
        <v>31</v>
      </c>
      <c r="J4148" t="s">
        <v>107</v>
      </c>
      <c r="K4148" t="s">
        <v>71</v>
      </c>
      <c r="L4148" t="s">
        <v>72</v>
      </c>
      <c r="M4148">
        <v>2394.2199999999993</v>
      </c>
    </row>
    <row r="4149">
      <c r="A4149" s="2">
        <v>45405</v>
      </c>
      <c r="B4149">
        <v>2024.0</v>
      </c>
      <c r="C4149" t="s">
        <v>318</v>
      </c>
      <c r="D4149" t="s">
        <v>316</v>
      </c>
      <c r="E4149" t="s">
        <v>64</v>
      </c>
      <c r="F4149" t="s">
        <v>306</v>
      </c>
      <c r="G4149" t="s">
        <v>11</v>
      </c>
      <c r="H4149">
        <v>4215.0</v>
      </c>
      <c r="I4149" t="s">
        <v>31</v>
      </c>
      <c r="J4149" t="s">
        <v>61</v>
      </c>
      <c r="K4149" t="s">
        <v>71</v>
      </c>
      <c r="L4149" t="s">
        <v>72</v>
      </c>
      <c r="M4149">
        <v>2400.2299999999996</v>
      </c>
    </row>
    <row r="4150">
      <c r="A4150" s="2">
        <v>45527</v>
      </c>
      <c r="B4150">
        <v>2025.0</v>
      </c>
      <c r="C4150" t="s">
        <v>315</v>
      </c>
      <c r="D4150" t="s">
        <v>319</v>
      </c>
      <c r="E4150" t="s">
        <v>165</v>
      </c>
      <c r="F4150" t="s">
        <v>304</v>
      </c>
      <c r="G4150" t="s">
        <v>9</v>
      </c>
      <c r="H4150">
        <v>2064.0</v>
      </c>
      <c r="I4150" t="s">
        <v>31</v>
      </c>
      <c r="J4150" t="s">
        <v>99</v>
      </c>
      <c r="K4150" t="s">
        <v>46</v>
      </c>
      <c r="L4150" t="s">
        <v>47</v>
      </c>
      <c r="M4150">
        <v>2406.17</v>
      </c>
    </row>
    <row r="4151">
      <c r="A4151" s="2">
        <v>45420</v>
      </c>
      <c r="B4151">
        <v>2024.0</v>
      </c>
      <c r="C4151" t="s">
        <v>318</v>
      </c>
      <c r="D4151" t="s">
        <v>319</v>
      </c>
      <c r="E4151" t="s">
        <v>82</v>
      </c>
      <c r="F4151" t="s">
        <v>306</v>
      </c>
      <c r="G4151" t="s">
        <v>11</v>
      </c>
      <c r="H4151">
        <v>4558.0</v>
      </c>
      <c r="I4151" t="s">
        <v>31</v>
      </c>
      <c r="J4151" t="s">
        <v>84</v>
      </c>
      <c r="K4151" t="s">
        <v>71</v>
      </c>
      <c r="L4151" t="s">
        <v>72</v>
      </c>
      <c r="M4151">
        <v>2414.8599999999997</v>
      </c>
    </row>
    <row r="4152">
      <c r="A4152" s="2">
        <v>45390</v>
      </c>
      <c r="B4152">
        <v>2024.0</v>
      </c>
      <c r="C4152" t="s">
        <v>318</v>
      </c>
      <c r="D4152" t="s">
        <v>316</v>
      </c>
      <c r="E4152" t="s">
        <v>62</v>
      </c>
      <c r="F4152" t="s">
        <v>307</v>
      </c>
      <c r="G4152" t="s">
        <v>12</v>
      </c>
      <c r="H4152">
        <v>6530.0</v>
      </c>
      <c r="I4152" t="s">
        <v>31</v>
      </c>
      <c r="J4152" t="s">
        <v>50</v>
      </c>
      <c r="K4152" t="s">
        <v>33</v>
      </c>
      <c r="L4152" t="s">
        <v>34</v>
      </c>
      <c r="M4152">
        <v>2416.1600000000008</v>
      </c>
    </row>
    <row r="4153">
      <c r="A4153" s="2">
        <v>45615</v>
      </c>
      <c r="B4153">
        <v>2025.0</v>
      </c>
      <c r="C4153" t="s">
        <v>315</v>
      </c>
      <c r="D4153" t="s">
        <v>316</v>
      </c>
      <c r="E4153" t="s">
        <v>230</v>
      </c>
      <c r="F4153" t="s">
        <v>308</v>
      </c>
      <c r="G4153" t="s">
        <v>13</v>
      </c>
      <c r="H4153">
        <v>5290.0</v>
      </c>
      <c r="I4153" t="s">
        <v>31</v>
      </c>
      <c r="J4153" t="s">
        <v>227</v>
      </c>
      <c r="K4153" t="s">
        <v>71</v>
      </c>
      <c r="L4153" t="s">
        <v>72</v>
      </c>
      <c r="M4153">
        <v>2439.5699999999993</v>
      </c>
    </row>
    <row r="4154">
      <c r="A4154" s="2">
        <v>45717</v>
      </c>
      <c r="B4154">
        <v>2025.0</v>
      </c>
      <c r="C4154" t="s">
        <v>315</v>
      </c>
      <c r="D4154" t="s">
        <v>319</v>
      </c>
      <c r="E4154" t="s">
        <v>82</v>
      </c>
      <c r="F4154" t="s">
        <v>306</v>
      </c>
      <c r="G4154" t="s">
        <v>11</v>
      </c>
      <c r="H4154">
        <v>4558.0</v>
      </c>
      <c r="I4154" t="s">
        <v>31</v>
      </c>
      <c r="J4154" t="s">
        <v>84</v>
      </c>
      <c r="K4154" t="s">
        <v>33</v>
      </c>
      <c r="L4154" t="s">
        <v>34</v>
      </c>
      <c r="M4154">
        <v>2440.4200000000014</v>
      </c>
    </row>
    <row r="4155">
      <c r="A4155" s="2">
        <v>46018</v>
      </c>
      <c r="B4155">
        <v>2026.0</v>
      </c>
      <c r="C4155" t="s">
        <v>321</v>
      </c>
      <c r="D4155" t="s">
        <v>316</v>
      </c>
      <c r="E4155" t="s">
        <v>238</v>
      </c>
      <c r="F4155" t="s">
        <v>308</v>
      </c>
      <c r="G4155" t="s">
        <v>13</v>
      </c>
      <c r="H4155">
        <v>5082.0</v>
      </c>
      <c r="I4155" t="s">
        <v>31</v>
      </c>
      <c r="J4155" t="s">
        <v>42</v>
      </c>
      <c r="K4155" t="s">
        <v>46</v>
      </c>
      <c r="L4155" t="s">
        <v>47</v>
      </c>
      <c r="M4155">
        <v>2452.8799999999997</v>
      </c>
    </row>
    <row r="4156">
      <c r="A4156" s="2">
        <v>45973</v>
      </c>
      <c r="B4156">
        <v>2026.0</v>
      </c>
      <c r="C4156" t="s">
        <v>321</v>
      </c>
      <c r="D4156" t="s">
        <v>316</v>
      </c>
      <c r="E4156" t="s">
        <v>183</v>
      </c>
      <c r="F4156" t="s">
        <v>304</v>
      </c>
      <c r="G4156" t="s">
        <v>9</v>
      </c>
      <c r="H4156">
        <v>2480.0</v>
      </c>
      <c r="I4156" t="s">
        <v>31</v>
      </c>
      <c r="J4156" t="s">
        <v>70</v>
      </c>
      <c r="K4156" t="s">
        <v>66</v>
      </c>
      <c r="L4156" t="s">
        <v>67</v>
      </c>
      <c r="M4156">
        <v>2463.4100000000003</v>
      </c>
    </row>
    <row r="4157">
      <c r="A4157" s="2">
        <v>45547</v>
      </c>
      <c r="B4157">
        <v>2025.0</v>
      </c>
      <c r="C4157" t="s">
        <v>315</v>
      </c>
      <c r="D4157" t="s">
        <v>319</v>
      </c>
      <c r="E4157" t="s">
        <v>209</v>
      </c>
      <c r="F4157" t="s">
        <v>304</v>
      </c>
      <c r="G4157" t="s">
        <v>9</v>
      </c>
      <c r="H4157">
        <v>2116.0</v>
      </c>
      <c r="I4157" t="s">
        <v>31</v>
      </c>
      <c r="J4157" t="s">
        <v>81</v>
      </c>
      <c r="K4157" t="s">
        <v>123</v>
      </c>
      <c r="L4157" t="s">
        <v>124</v>
      </c>
      <c r="M4157">
        <v>2482.550000000002</v>
      </c>
    </row>
    <row r="4158">
      <c r="A4158" s="2">
        <v>45717</v>
      </c>
      <c r="B4158">
        <v>2025.0</v>
      </c>
      <c r="C4158" t="s">
        <v>315</v>
      </c>
      <c r="D4158" t="s">
        <v>316</v>
      </c>
      <c r="E4158" t="s">
        <v>197</v>
      </c>
      <c r="F4158" t="s">
        <v>304</v>
      </c>
      <c r="G4158" t="s">
        <v>9</v>
      </c>
      <c r="H4158">
        <v>2560.0</v>
      </c>
      <c r="I4158" t="s">
        <v>31</v>
      </c>
      <c r="J4158" t="s">
        <v>107</v>
      </c>
      <c r="K4158" t="s">
        <v>66</v>
      </c>
      <c r="L4158" t="s">
        <v>67</v>
      </c>
      <c r="M4158">
        <v>2485.3600000000006</v>
      </c>
    </row>
    <row r="4159">
      <c r="A4159" s="2">
        <v>45592</v>
      </c>
      <c r="B4159">
        <v>2025.0</v>
      </c>
      <c r="C4159" t="s">
        <v>315</v>
      </c>
      <c r="D4159" t="s">
        <v>316</v>
      </c>
      <c r="E4159" t="s">
        <v>118</v>
      </c>
      <c r="F4159" t="s">
        <v>305</v>
      </c>
      <c r="G4159" t="s">
        <v>10</v>
      </c>
      <c r="H4159">
        <v>3076.0</v>
      </c>
      <c r="I4159" t="s">
        <v>31</v>
      </c>
      <c r="J4159" t="s">
        <v>120</v>
      </c>
      <c r="K4159" t="s">
        <v>123</v>
      </c>
      <c r="L4159" t="s">
        <v>124</v>
      </c>
      <c r="M4159">
        <v>2485.440000000003</v>
      </c>
    </row>
    <row r="4160">
      <c r="A4160" s="2">
        <v>45744</v>
      </c>
      <c r="B4160">
        <v>2025.0</v>
      </c>
      <c r="C4160" t="s">
        <v>315</v>
      </c>
      <c r="D4160" t="s">
        <v>316</v>
      </c>
      <c r="E4160" t="s">
        <v>211</v>
      </c>
      <c r="F4160" t="s">
        <v>304</v>
      </c>
      <c r="G4160" t="s">
        <v>9</v>
      </c>
      <c r="H4160">
        <v>2650.0</v>
      </c>
      <c r="I4160" t="s">
        <v>31</v>
      </c>
      <c r="J4160" t="s">
        <v>75</v>
      </c>
      <c r="K4160" t="s">
        <v>33</v>
      </c>
      <c r="L4160" t="s">
        <v>34</v>
      </c>
      <c r="M4160">
        <v>2494.33</v>
      </c>
    </row>
    <row r="4161">
      <c r="A4161" s="2">
        <v>45671</v>
      </c>
      <c r="B4161">
        <v>2025.0</v>
      </c>
      <c r="C4161" t="s">
        <v>315</v>
      </c>
      <c r="D4161" t="s">
        <v>316</v>
      </c>
      <c r="E4161" t="s">
        <v>203</v>
      </c>
      <c r="F4161" t="s">
        <v>305</v>
      </c>
      <c r="G4161" t="s">
        <v>10</v>
      </c>
      <c r="H4161">
        <v>3175.0</v>
      </c>
      <c r="I4161" t="s">
        <v>31</v>
      </c>
      <c r="J4161" t="s">
        <v>89</v>
      </c>
      <c r="K4161" t="s">
        <v>43</v>
      </c>
      <c r="L4161" t="s">
        <v>44</v>
      </c>
      <c r="M4161">
        <v>2494.4300000000003</v>
      </c>
    </row>
    <row r="4162">
      <c r="A4162" s="2">
        <v>45985</v>
      </c>
      <c r="B4162">
        <v>2026.0</v>
      </c>
      <c r="C4162" t="s">
        <v>321</v>
      </c>
      <c r="D4162" t="s">
        <v>316</v>
      </c>
      <c r="E4162" t="s">
        <v>219</v>
      </c>
      <c r="F4162" t="s">
        <v>306</v>
      </c>
      <c r="G4162" t="s">
        <v>11</v>
      </c>
      <c r="H4162">
        <v>4068.0</v>
      </c>
      <c r="I4162" t="s">
        <v>31</v>
      </c>
      <c r="J4162" t="s">
        <v>56</v>
      </c>
      <c r="K4162" t="s">
        <v>57</v>
      </c>
      <c r="L4162" t="s">
        <v>58</v>
      </c>
      <c r="M4162">
        <v>2507.75</v>
      </c>
    </row>
    <row r="4163">
      <c r="A4163" s="2">
        <v>45474</v>
      </c>
      <c r="B4163">
        <v>2025.0</v>
      </c>
      <c r="C4163" t="s">
        <v>315</v>
      </c>
      <c r="D4163" t="s">
        <v>319</v>
      </c>
      <c r="E4163" t="s">
        <v>76</v>
      </c>
      <c r="F4163" t="s">
        <v>306</v>
      </c>
      <c r="G4163" t="s">
        <v>11</v>
      </c>
      <c r="H4163">
        <v>4883.0</v>
      </c>
      <c r="I4163" t="s">
        <v>31</v>
      </c>
      <c r="J4163" t="s">
        <v>78</v>
      </c>
      <c r="K4163" t="s">
        <v>71</v>
      </c>
      <c r="L4163" t="s">
        <v>72</v>
      </c>
      <c r="M4163">
        <v>2528.04</v>
      </c>
    </row>
    <row r="4164">
      <c r="A4164" s="2">
        <v>45572</v>
      </c>
      <c r="B4164">
        <v>2025.0</v>
      </c>
      <c r="C4164" t="s">
        <v>315</v>
      </c>
      <c r="D4164" t="s">
        <v>316</v>
      </c>
      <c r="E4164" t="s">
        <v>193</v>
      </c>
      <c r="F4164" t="s">
        <v>304</v>
      </c>
      <c r="G4164" t="s">
        <v>9</v>
      </c>
      <c r="H4164">
        <v>2020.0</v>
      </c>
      <c r="I4164" t="s">
        <v>31</v>
      </c>
      <c r="J4164" t="s">
        <v>99</v>
      </c>
      <c r="K4164" t="s">
        <v>57</v>
      </c>
      <c r="L4164" t="s">
        <v>58</v>
      </c>
      <c r="M4164">
        <v>2537.39</v>
      </c>
    </row>
    <row r="4165">
      <c r="A4165" s="2">
        <v>45740</v>
      </c>
      <c r="B4165">
        <v>2025.0</v>
      </c>
      <c r="C4165" t="s">
        <v>315</v>
      </c>
      <c r="D4165" t="s">
        <v>316</v>
      </c>
      <c r="E4165" t="s">
        <v>193</v>
      </c>
      <c r="F4165" t="s">
        <v>304</v>
      </c>
      <c r="G4165" t="s">
        <v>9</v>
      </c>
      <c r="H4165">
        <v>2020.0</v>
      </c>
      <c r="I4165" t="s">
        <v>31</v>
      </c>
      <c r="J4165" t="s">
        <v>99</v>
      </c>
      <c r="K4165" t="s">
        <v>95</v>
      </c>
      <c r="L4165" t="s">
        <v>96</v>
      </c>
      <c r="M4165">
        <v>2537.63</v>
      </c>
    </row>
    <row r="4166">
      <c r="A4166" s="2">
        <v>45988</v>
      </c>
      <c r="B4166">
        <v>2026.0</v>
      </c>
      <c r="C4166" t="s">
        <v>321</v>
      </c>
      <c r="D4166" t="s">
        <v>319</v>
      </c>
      <c r="E4166" t="s">
        <v>189</v>
      </c>
      <c r="F4166" t="s">
        <v>304</v>
      </c>
      <c r="G4166" t="s">
        <v>9</v>
      </c>
      <c r="H4166">
        <v>2131.0</v>
      </c>
      <c r="I4166" t="s">
        <v>31</v>
      </c>
      <c r="J4166" t="s">
        <v>81</v>
      </c>
      <c r="K4166" t="s">
        <v>57</v>
      </c>
      <c r="L4166" t="s">
        <v>58</v>
      </c>
      <c r="M4166">
        <v>2544.1800000000003</v>
      </c>
    </row>
    <row r="4167">
      <c r="A4167" s="2">
        <v>46002</v>
      </c>
      <c r="B4167">
        <v>2026.0</v>
      </c>
      <c r="C4167" t="s">
        <v>321</v>
      </c>
      <c r="D4167" t="s">
        <v>316</v>
      </c>
      <c r="E4167" t="s">
        <v>181</v>
      </c>
      <c r="F4167" t="s">
        <v>306</v>
      </c>
      <c r="G4167" t="s">
        <v>11</v>
      </c>
      <c r="H4167">
        <v>4119.0</v>
      </c>
      <c r="I4167" t="s">
        <v>31</v>
      </c>
      <c r="J4167" t="s">
        <v>56</v>
      </c>
      <c r="K4167" t="s">
        <v>46</v>
      </c>
      <c r="L4167" t="s">
        <v>47</v>
      </c>
      <c r="M4167">
        <v>2545.48</v>
      </c>
    </row>
    <row r="4168">
      <c r="A4168" s="2">
        <v>45343</v>
      </c>
      <c r="B4168">
        <v>2024.0</v>
      </c>
      <c r="C4168" t="s">
        <v>318</v>
      </c>
      <c r="D4168" t="s">
        <v>316</v>
      </c>
      <c r="E4168" t="s">
        <v>219</v>
      </c>
      <c r="F4168" t="s">
        <v>306</v>
      </c>
      <c r="G4168" t="s">
        <v>11</v>
      </c>
      <c r="H4168">
        <v>4068.0</v>
      </c>
      <c r="I4168" t="s">
        <v>31</v>
      </c>
      <c r="J4168" t="s">
        <v>56</v>
      </c>
      <c r="K4168" t="s">
        <v>33</v>
      </c>
      <c r="L4168" t="s">
        <v>34</v>
      </c>
      <c r="M4168">
        <v>2547.4100000000003</v>
      </c>
    </row>
    <row r="4169">
      <c r="A4169" s="2">
        <v>45412</v>
      </c>
      <c r="B4169">
        <v>2024.0</v>
      </c>
      <c r="C4169" t="s">
        <v>318</v>
      </c>
      <c r="D4169" t="s">
        <v>316</v>
      </c>
      <c r="E4169" t="s">
        <v>183</v>
      </c>
      <c r="F4169" t="s">
        <v>304</v>
      </c>
      <c r="G4169" t="s">
        <v>9</v>
      </c>
      <c r="H4169">
        <v>2480.0</v>
      </c>
      <c r="I4169" t="s">
        <v>31</v>
      </c>
      <c r="J4169" t="s">
        <v>70</v>
      </c>
      <c r="K4169" t="s">
        <v>33</v>
      </c>
      <c r="L4169" t="s">
        <v>34</v>
      </c>
      <c r="M4169">
        <v>2554.5700000000006</v>
      </c>
    </row>
    <row r="4170">
      <c r="A4170" s="2">
        <v>45540</v>
      </c>
      <c r="B4170">
        <v>2025.0</v>
      </c>
      <c r="C4170" t="s">
        <v>315</v>
      </c>
      <c r="D4170" t="s">
        <v>316</v>
      </c>
      <c r="E4170" t="s">
        <v>213</v>
      </c>
      <c r="F4170" t="s">
        <v>306</v>
      </c>
      <c r="G4170" t="s">
        <v>11</v>
      </c>
      <c r="H4170">
        <v>4740.0</v>
      </c>
      <c r="I4170" t="s">
        <v>31</v>
      </c>
      <c r="J4170" t="s">
        <v>32</v>
      </c>
      <c r="K4170" t="s">
        <v>71</v>
      </c>
      <c r="L4170" t="s">
        <v>72</v>
      </c>
      <c r="M4170">
        <v>2556.18</v>
      </c>
    </row>
    <row r="4171">
      <c r="A4171" s="2">
        <v>45653</v>
      </c>
      <c r="B4171">
        <v>2025.0</v>
      </c>
      <c r="C4171" t="s">
        <v>315</v>
      </c>
      <c r="D4171" t="s">
        <v>316</v>
      </c>
      <c r="E4171" t="s">
        <v>203</v>
      </c>
      <c r="F4171" t="s">
        <v>305</v>
      </c>
      <c r="G4171" t="s">
        <v>10</v>
      </c>
      <c r="H4171">
        <v>3175.0</v>
      </c>
      <c r="I4171" t="s">
        <v>31</v>
      </c>
      <c r="J4171" t="s">
        <v>89</v>
      </c>
      <c r="K4171" t="s">
        <v>71</v>
      </c>
      <c r="L4171" t="s">
        <v>72</v>
      </c>
      <c r="M4171">
        <v>2558.73</v>
      </c>
    </row>
    <row r="4172">
      <c r="A4172" s="2">
        <v>45694</v>
      </c>
      <c r="B4172">
        <v>2025.0</v>
      </c>
      <c r="C4172" t="s">
        <v>315</v>
      </c>
      <c r="D4172" t="s">
        <v>316</v>
      </c>
      <c r="E4172" t="s">
        <v>201</v>
      </c>
      <c r="F4172" t="s">
        <v>305</v>
      </c>
      <c r="G4172" t="s">
        <v>10</v>
      </c>
      <c r="H4172">
        <v>3131.0</v>
      </c>
      <c r="I4172" t="s">
        <v>31</v>
      </c>
      <c r="J4172" t="s">
        <v>89</v>
      </c>
      <c r="K4172" t="s">
        <v>71</v>
      </c>
      <c r="L4172" t="s">
        <v>72</v>
      </c>
      <c r="M4172">
        <v>2560.05</v>
      </c>
    </row>
    <row r="4173">
      <c r="A4173" s="2">
        <v>45555</v>
      </c>
      <c r="B4173">
        <v>2025.0</v>
      </c>
      <c r="C4173" t="s">
        <v>315</v>
      </c>
      <c r="D4173" t="s">
        <v>316</v>
      </c>
      <c r="E4173" t="s">
        <v>92</v>
      </c>
      <c r="F4173" t="s">
        <v>305</v>
      </c>
      <c r="G4173" t="s">
        <v>10</v>
      </c>
      <c r="H4173">
        <v>3690.0</v>
      </c>
      <c r="I4173" t="s">
        <v>31</v>
      </c>
      <c r="J4173" t="s">
        <v>94</v>
      </c>
      <c r="K4173" t="s">
        <v>46</v>
      </c>
      <c r="L4173" t="s">
        <v>47</v>
      </c>
      <c r="M4173">
        <v>2567.609999999999</v>
      </c>
    </row>
    <row r="4174">
      <c r="A4174" s="2">
        <v>45471</v>
      </c>
      <c r="B4174">
        <v>2024.0</v>
      </c>
      <c r="C4174" t="s">
        <v>318</v>
      </c>
      <c r="D4174" t="s">
        <v>316</v>
      </c>
      <c r="E4174" t="s">
        <v>193</v>
      </c>
      <c r="F4174" t="s">
        <v>304</v>
      </c>
      <c r="G4174" t="s">
        <v>9</v>
      </c>
      <c r="H4174">
        <v>2020.0</v>
      </c>
      <c r="I4174" t="s">
        <v>31</v>
      </c>
      <c r="J4174" t="s">
        <v>99</v>
      </c>
      <c r="K4174" t="s">
        <v>46</v>
      </c>
      <c r="L4174" t="s">
        <v>47</v>
      </c>
      <c r="M4174">
        <v>2570.690000000001</v>
      </c>
    </row>
    <row r="4175">
      <c r="A4175" s="2">
        <v>45675</v>
      </c>
      <c r="B4175">
        <v>2025.0</v>
      </c>
      <c r="C4175" t="s">
        <v>315</v>
      </c>
      <c r="D4175" t="s">
        <v>316</v>
      </c>
      <c r="E4175" t="s">
        <v>207</v>
      </c>
      <c r="F4175" t="s">
        <v>306</v>
      </c>
      <c r="G4175" t="s">
        <v>11</v>
      </c>
      <c r="H4175">
        <v>4825.0</v>
      </c>
      <c r="I4175" t="s">
        <v>31</v>
      </c>
      <c r="J4175" t="s">
        <v>78</v>
      </c>
      <c r="K4175" t="s">
        <v>71</v>
      </c>
      <c r="L4175" t="s">
        <v>72</v>
      </c>
      <c r="M4175">
        <v>2571.899999999999</v>
      </c>
    </row>
    <row r="4176">
      <c r="A4176" s="2">
        <v>45647</v>
      </c>
      <c r="B4176">
        <v>2025.0</v>
      </c>
      <c r="C4176" t="s">
        <v>315</v>
      </c>
      <c r="D4176" t="s">
        <v>316</v>
      </c>
      <c r="E4176" t="s">
        <v>232</v>
      </c>
      <c r="F4176" t="s">
        <v>304</v>
      </c>
      <c r="G4176" t="s">
        <v>9</v>
      </c>
      <c r="H4176">
        <v>2800.0</v>
      </c>
      <c r="I4176" t="s">
        <v>31</v>
      </c>
      <c r="J4176" t="s">
        <v>75</v>
      </c>
      <c r="K4176" t="s">
        <v>71</v>
      </c>
      <c r="L4176" t="s">
        <v>72</v>
      </c>
      <c r="M4176">
        <v>2576.2599999999998</v>
      </c>
    </row>
    <row r="4177">
      <c r="A4177" s="2">
        <v>45638</v>
      </c>
      <c r="B4177">
        <v>2025.0</v>
      </c>
      <c r="C4177" t="s">
        <v>315</v>
      </c>
      <c r="D4177" t="s">
        <v>316</v>
      </c>
      <c r="E4177" t="s">
        <v>232</v>
      </c>
      <c r="F4177" t="s">
        <v>304</v>
      </c>
      <c r="G4177" t="s">
        <v>9</v>
      </c>
      <c r="H4177">
        <v>2800.0</v>
      </c>
      <c r="I4177" t="s">
        <v>31</v>
      </c>
      <c r="J4177" t="s">
        <v>75</v>
      </c>
      <c r="K4177" t="s">
        <v>123</v>
      </c>
      <c r="L4177" t="s">
        <v>124</v>
      </c>
      <c r="M4177">
        <v>2593.020000000002</v>
      </c>
    </row>
    <row r="4178">
      <c r="A4178" s="2">
        <v>45474</v>
      </c>
      <c r="B4178">
        <v>2025.0</v>
      </c>
      <c r="C4178" t="s">
        <v>315</v>
      </c>
      <c r="D4178" t="s">
        <v>316</v>
      </c>
      <c r="E4178" t="s">
        <v>64</v>
      </c>
      <c r="F4178" t="s">
        <v>306</v>
      </c>
      <c r="G4178" t="s">
        <v>11</v>
      </c>
      <c r="H4178">
        <v>4215.0</v>
      </c>
      <c r="I4178" t="s">
        <v>31</v>
      </c>
      <c r="J4178" t="s">
        <v>61</v>
      </c>
      <c r="K4178" t="s">
        <v>123</v>
      </c>
      <c r="L4178" t="s">
        <v>124</v>
      </c>
      <c r="M4178">
        <v>2601.7200000000016</v>
      </c>
    </row>
    <row r="4179">
      <c r="A4179" s="2">
        <v>45632</v>
      </c>
      <c r="B4179">
        <v>2025.0</v>
      </c>
      <c r="C4179" t="s">
        <v>315</v>
      </c>
      <c r="D4179" t="s">
        <v>319</v>
      </c>
      <c r="E4179" t="s">
        <v>177</v>
      </c>
      <c r="F4179" t="s">
        <v>307</v>
      </c>
      <c r="G4179" t="s">
        <v>12</v>
      </c>
      <c r="H4179">
        <v>6330.0</v>
      </c>
      <c r="I4179" t="s">
        <v>31</v>
      </c>
      <c r="J4179" t="s">
        <v>162</v>
      </c>
      <c r="K4179" t="s">
        <v>71</v>
      </c>
      <c r="L4179" t="s">
        <v>72</v>
      </c>
      <c r="M4179">
        <v>2604.84</v>
      </c>
    </row>
    <row r="4180">
      <c r="A4180" s="2">
        <v>45607</v>
      </c>
      <c r="B4180">
        <v>2025.0</v>
      </c>
      <c r="C4180" t="s">
        <v>315</v>
      </c>
      <c r="D4180" t="s">
        <v>316</v>
      </c>
      <c r="E4180" t="s">
        <v>105</v>
      </c>
      <c r="F4180" t="s">
        <v>304</v>
      </c>
      <c r="G4180" t="s">
        <v>9</v>
      </c>
      <c r="H4180">
        <v>2541.0</v>
      </c>
      <c r="I4180" t="s">
        <v>31</v>
      </c>
      <c r="J4180" t="s">
        <v>107</v>
      </c>
      <c r="K4180" t="s">
        <v>71</v>
      </c>
      <c r="L4180" t="s">
        <v>72</v>
      </c>
      <c r="M4180">
        <v>2608.59</v>
      </c>
    </row>
    <row r="4181">
      <c r="A4181" s="2">
        <v>45913</v>
      </c>
      <c r="B4181">
        <v>2026.0</v>
      </c>
      <c r="C4181" t="s">
        <v>321</v>
      </c>
      <c r="D4181" t="s">
        <v>316</v>
      </c>
      <c r="E4181" t="s">
        <v>139</v>
      </c>
      <c r="F4181" t="s">
        <v>305</v>
      </c>
      <c r="G4181" t="s">
        <v>10</v>
      </c>
      <c r="H4181">
        <v>3199.0</v>
      </c>
      <c r="I4181" t="s">
        <v>31</v>
      </c>
      <c r="J4181" t="s">
        <v>89</v>
      </c>
      <c r="K4181" t="s">
        <v>43</v>
      </c>
      <c r="L4181" t="s">
        <v>44</v>
      </c>
      <c r="M4181">
        <v>2614.2999999999997</v>
      </c>
    </row>
    <row r="4182">
      <c r="A4182" s="2">
        <v>45785</v>
      </c>
      <c r="B4182">
        <v>2025.0</v>
      </c>
      <c r="C4182" t="s">
        <v>315</v>
      </c>
      <c r="D4182" t="s">
        <v>316</v>
      </c>
      <c r="E4182" t="s">
        <v>156</v>
      </c>
      <c r="F4182" t="s">
        <v>304</v>
      </c>
      <c r="G4182" t="s">
        <v>9</v>
      </c>
      <c r="H4182">
        <v>2830.0</v>
      </c>
      <c r="I4182" t="s">
        <v>31</v>
      </c>
      <c r="J4182" t="s">
        <v>75</v>
      </c>
      <c r="K4182" t="s">
        <v>71</v>
      </c>
      <c r="L4182" t="s">
        <v>72</v>
      </c>
      <c r="M4182">
        <v>2621.51</v>
      </c>
    </row>
    <row r="4183">
      <c r="A4183" s="2">
        <v>45383</v>
      </c>
      <c r="B4183">
        <v>2024.0</v>
      </c>
      <c r="C4183" t="s">
        <v>318</v>
      </c>
      <c r="D4183" t="s">
        <v>316</v>
      </c>
      <c r="E4183" t="s">
        <v>223</v>
      </c>
      <c r="F4183" t="s">
        <v>305</v>
      </c>
      <c r="G4183" t="s">
        <v>10</v>
      </c>
      <c r="H4183">
        <v>3915.0</v>
      </c>
      <c r="I4183" t="s">
        <v>31</v>
      </c>
      <c r="J4183" t="s">
        <v>94</v>
      </c>
      <c r="K4183" t="s">
        <v>71</v>
      </c>
      <c r="L4183" t="s">
        <v>72</v>
      </c>
      <c r="M4183">
        <v>2625.179999999999</v>
      </c>
    </row>
    <row r="4184">
      <c r="A4184" s="2">
        <v>45668</v>
      </c>
      <c r="B4184">
        <v>2025.0</v>
      </c>
      <c r="C4184" t="s">
        <v>315</v>
      </c>
      <c r="D4184" t="s">
        <v>316</v>
      </c>
      <c r="E4184" t="s">
        <v>246</v>
      </c>
      <c r="F4184" t="s">
        <v>305</v>
      </c>
      <c r="G4184" t="s">
        <v>10</v>
      </c>
      <c r="H4184">
        <v>3551.0</v>
      </c>
      <c r="I4184" t="s">
        <v>31</v>
      </c>
      <c r="J4184" t="s">
        <v>37</v>
      </c>
      <c r="K4184" t="s">
        <v>123</v>
      </c>
      <c r="L4184" t="s">
        <v>124</v>
      </c>
      <c r="M4184">
        <v>2628.3700000000044</v>
      </c>
    </row>
    <row r="4185">
      <c r="A4185" s="2">
        <v>45363</v>
      </c>
      <c r="B4185">
        <v>2024.0</v>
      </c>
      <c r="C4185" t="s">
        <v>318</v>
      </c>
      <c r="D4185" t="s">
        <v>316</v>
      </c>
      <c r="E4185" t="s">
        <v>181</v>
      </c>
      <c r="F4185" t="s">
        <v>306</v>
      </c>
      <c r="G4185" t="s">
        <v>11</v>
      </c>
      <c r="H4185">
        <v>4119.0</v>
      </c>
      <c r="I4185" t="s">
        <v>31</v>
      </c>
      <c r="J4185" t="s">
        <v>56</v>
      </c>
      <c r="K4185" t="s">
        <v>71</v>
      </c>
      <c r="L4185" t="s">
        <v>72</v>
      </c>
      <c r="M4185">
        <v>2631.58</v>
      </c>
    </row>
    <row r="4186">
      <c r="A4186" s="2">
        <v>45626</v>
      </c>
      <c r="B4186">
        <v>2025.0</v>
      </c>
      <c r="C4186" t="s">
        <v>315</v>
      </c>
      <c r="D4186" t="s">
        <v>316</v>
      </c>
      <c r="E4186" t="s">
        <v>54</v>
      </c>
      <c r="F4186" t="s">
        <v>306</v>
      </c>
      <c r="G4186" t="s">
        <v>11</v>
      </c>
      <c r="H4186">
        <v>4012.0</v>
      </c>
      <c r="I4186" t="s">
        <v>31</v>
      </c>
      <c r="J4186" t="s">
        <v>56</v>
      </c>
      <c r="K4186" t="s">
        <v>46</v>
      </c>
      <c r="L4186" t="s">
        <v>47</v>
      </c>
      <c r="M4186">
        <v>2653.0699999999993</v>
      </c>
    </row>
    <row r="4187">
      <c r="A4187" s="2">
        <v>45965</v>
      </c>
      <c r="B4187">
        <v>2026.0</v>
      </c>
      <c r="C4187" t="s">
        <v>321</v>
      </c>
      <c r="D4187" t="s">
        <v>316</v>
      </c>
      <c r="E4187" t="s">
        <v>143</v>
      </c>
      <c r="F4187" t="s">
        <v>309</v>
      </c>
      <c r="G4187" t="s">
        <v>14</v>
      </c>
      <c r="H4187">
        <v>800.0</v>
      </c>
      <c r="I4187" t="s">
        <v>31</v>
      </c>
      <c r="J4187" t="s">
        <v>145</v>
      </c>
      <c r="K4187" t="s">
        <v>57</v>
      </c>
      <c r="L4187" t="s">
        <v>58</v>
      </c>
      <c r="M4187">
        <v>2654.02</v>
      </c>
    </row>
    <row r="4188">
      <c r="A4188" s="2">
        <v>45588</v>
      </c>
      <c r="B4188">
        <v>2025.0</v>
      </c>
      <c r="C4188" t="s">
        <v>315</v>
      </c>
      <c r="D4188" t="s">
        <v>316</v>
      </c>
      <c r="E4188" t="s">
        <v>217</v>
      </c>
      <c r="F4188" t="s">
        <v>305</v>
      </c>
      <c r="G4188" t="s">
        <v>10</v>
      </c>
      <c r="H4188">
        <v>3136.0</v>
      </c>
      <c r="I4188" t="s">
        <v>31</v>
      </c>
      <c r="J4188" t="s">
        <v>89</v>
      </c>
      <c r="K4188" t="s">
        <v>71</v>
      </c>
      <c r="L4188" t="s">
        <v>72</v>
      </c>
      <c r="M4188">
        <v>2657.48</v>
      </c>
    </row>
    <row r="4189">
      <c r="A4189" s="2">
        <v>45783</v>
      </c>
      <c r="B4189">
        <v>2025.0</v>
      </c>
      <c r="C4189" t="s">
        <v>315</v>
      </c>
      <c r="D4189" t="s">
        <v>316</v>
      </c>
      <c r="E4189" t="s">
        <v>181</v>
      </c>
      <c r="F4189" t="s">
        <v>306</v>
      </c>
      <c r="G4189" t="s">
        <v>11</v>
      </c>
      <c r="H4189">
        <v>4119.0</v>
      </c>
      <c r="I4189" t="s">
        <v>31</v>
      </c>
      <c r="J4189" t="s">
        <v>56</v>
      </c>
      <c r="K4189" t="s">
        <v>71</v>
      </c>
      <c r="L4189" t="s">
        <v>72</v>
      </c>
      <c r="M4189">
        <v>2670.66</v>
      </c>
    </row>
    <row r="4190">
      <c r="A4190" s="2">
        <v>45756</v>
      </c>
      <c r="B4190">
        <v>2025.0</v>
      </c>
      <c r="C4190" t="s">
        <v>315</v>
      </c>
      <c r="D4190" t="s">
        <v>316</v>
      </c>
      <c r="E4190" t="s">
        <v>97</v>
      </c>
      <c r="F4190" t="s">
        <v>304</v>
      </c>
      <c r="G4190" t="s">
        <v>9</v>
      </c>
      <c r="H4190">
        <v>2067.0</v>
      </c>
      <c r="I4190" t="s">
        <v>31</v>
      </c>
      <c r="J4190" t="s">
        <v>99</v>
      </c>
      <c r="K4190" t="s">
        <v>71</v>
      </c>
      <c r="L4190" t="s">
        <v>72</v>
      </c>
      <c r="M4190">
        <v>2677.43</v>
      </c>
    </row>
    <row r="4191">
      <c r="A4191" s="2">
        <v>45764</v>
      </c>
      <c r="B4191">
        <v>2025.0</v>
      </c>
      <c r="C4191" t="s">
        <v>315</v>
      </c>
      <c r="D4191" t="s">
        <v>316</v>
      </c>
      <c r="E4191" t="s">
        <v>234</v>
      </c>
      <c r="F4191" t="s">
        <v>304</v>
      </c>
      <c r="G4191" t="s">
        <v>9</v>
      </c>
      <c r="H4191">
        <v>2158.0</v>
      </c>
      <c r="I4191" t="s">
        <v>31</v>
      </c>
      <c r="J4191" t="s">
        <v>81</v>
      </c>
      <c r="K4191" t="s">
        <v>71</v>
      </c>
      <c r="L4191" t="s">
        <v>72</v>
      </c>
      <c r="M4191">
        <v>2682.1099999999997</v>
      </c>
    </row>
    <row r="4192">
      <c r="A4192" s="2">
        <v>45702</v>
      </c>
      <c r="B4192">
        <v>2025.0</v>
      </c>
      <c r="C4192" t="s">
        <v>315</v>
      </c>
      <c r="D4192" t="s">
        <v>316</v>
      </c>
      <c r="E4192" t="s">
        <v>139</v>
      </c>
      <c r="F4192" t="s">
        <v>305</v>
      </c>
      <c r="G4192" t="s">
        <v>10</v>
      </c>
      <c r="H4192">
        <v>3199.0</v>
      </c>
      <c r="I4192" t="s">
        <v>31</v>
      </c>
      <c r="J4192" t="s">
        <v>89</v>
      </c>
      <c r="K4192" t="s">
        <v>71</v>
      </c>
      <c r="L4192" t="s">
        <v>72</v>
      </c>
      <c r="M4192">
        <v>2682.17</v>
      </c>
    </row>
    <row r="4193">
      <c r="A4193" s="2">
        <v>45309</v>
      </c>
      <c r="B4193">
        <v>2024.0</v>
      </c>
      <c r="C4193" t="s">
        <v>318</v>
      </c>
      <c r="D4193" t="s">
        <v>316</v>
      </c>
      <c r="E4193" t="s">
        <v>139</v>
      </c>
      <c r="F4193" t="s">
        <v>305</v>
      </c>
      <c r="G4193" t="s">
        <v>10</v>
      </c>
      <c r="H4193">
        <v>3199.0</v>
      </c>
      <c r="I4193" t="s">
        <v>31</v>
      </c>
      <c r="J4193" t="s">
        <v>89</v>
      </c>
      <c r="K4193" t="s">
        <v>66</v>
      </c>
      <c r="L4193" t="s">
        <v>67</v>
      </c>
      <c r="M4193">
        <v>2690.3299999999995</v>
      </c>
    </row>
    <row r="4194">
      <c r="A4194" s="2">
        <v>45763</v>
      </c>
      <c r="B4194">
        <v>2025.0</v>
      </c>
      <c r="C4194" t="s">
        <v>315</v>
      </c>
      <c r="D4194" t="s">
        <v>316</v>
      </c>
      <c r="E4194" t="s">
        <v>203</v>
      </c>
      <c r="F4194" t="s">
        <v>305</v>
      </c>
      <c r="G4194" t="s">
        <v>10</v>
      </c>
      <c r="H4194">
        <v>3175.0</v>
      </c>
      <c r="I4194" t="s">
        <v>31</v>
      </c>
      <c r="J4194" t="s">
        <v>89</v>
      </c>
      <c r="K4194" t="s">
        <v>71</v>
      </c>
      <c r="L4194" t="s">
        <v>72</v>
      </c>
      <c r="M4194">
        <v>2692.99</v>
      </c>
    </row>
    <row r="4195">
      <c r="A4195" s="2">
        <v>45610</v>
      </c>
      <c r="B4195">
        <v>2025.0</v>
      </c>
      <c r="C4195" t="s">
        <v>315</v>
      </c>
      <c r="D4195" t="s">
        <v>316</v>
      </c>
      <c r="E4195" t="s">
        <v>163</v>
      </c>
      <c r="F4195" t="s">
        <v>304</v>
      </c>
      <c r="G4195" t="s">
        <v>9</v>
      </c>
      <c r="H4195">
        <v>2154.0</v>
      </c>
      <c r="I4195" t="s">
        <v>31</v>
      </c>
      <c r="J4195" t="s">
        <v>81</v>
      </c>
      <c r="K4195" t="s">
        <v>71</v>
      </c>
      <c r="L4195" t="s">
        <v>72</v>
      </c>
      <c r="M4195">
        <v>2699.6499999999996</v>
      </c>
    </row>
    <row r="4196">
      <c r="A4196" s="2">
        <v>45889</v>
      </c>
      <c r="B4196">
        <v>2026.0</v>
      </c>
      <c r="C4196" t="s">
        <v>321</v>
      </c>
      <c r="D4196" t="s">
        <v>316</v>
      </c>
      <c r="E4196" t="s">
        <v>90</v>
      </c>
      <c r="F4196" t="s">
        <v>305</v>
      </c>
      <c r="G4196" t="s">
        <v>10</v>
      </c>
      <c r="H4196">
        <v>3353.0</v>
      </c>
      <c r="I4196" t="s">
        <v>31</v>
      </c>
      <c r="J4196" t="s">
        <v>37</v>
      </c>
      <c r="K4196" t="s">
        <v>71</v>
      </c>
      <c r="L4196" t="s">
        <v>72</v>
      </c>
      <c r="M4196">
        <v>2709.600000000001</v>
      </c>
    </row>
    <row r="4197">
      <c r="A4197" s="2">
        <v>45778</v>
      </c>
      <c r="B4197">
        <v>2025.0</v>
      </c>
      <c r="C4197" t="s">
        <v>315</v>
      </c>
      <c r="D4197" t="s">
        <v>316</v>
      </c>
      <c r="E4197" t="s">
        <v>110</v>
      </c>
      <c r="F4197" t="s">
        <v>304</v>
      </c>
      <c r="G4197" t="s">
        <v>9</v>
      </c>
      <c r="H4197">
        <v>2101.0</v>
      </c>
      <c r="I4197" t="s">
        <v>31</v>
      </c>
      <c r="J4197" t="s">
        <v>81</v>
      </c>
      <c r="K4197" t="s">
        <v>57</v>
      </c>
      <c r="L4197" t="s">
        <v>58</v>
      </c>
      <c r="M4197">
        <v>2715.92</v>
      </c>
    </row>
    <row r="4198">
      <c r="A4198" s="2">
        <v>45350</v>
      </c>
      <c r="B4198">
        <v>2024.0</v>
      </c>
      <c r="C4198" t="s">
        <v>318</v>
      </c>
      <c r="D4198" t="s">
        <v>316</v>
      </c>
      <c r="E4198" t="s">
        <v>97</v>
      </c>
      <c r="F4198" t="s">
        <v>304</v>
      </c>
      <c r="G4198" t="s">
        <v>9</v>
      </c>
      <c r="H4198">
        <v>2067.0</v>
      </c>
      <c r="I4198" t="s">
        <v>31</v>
      </c>
      <c r="J4198" t="s">
        <v>99</v>
      </c>
      <c r="K4198" t="s">
        <v>71</v>
      </c>
      <c r="L4198" t="s">
        <v>72</v>
      </c>
      <c r="M4198">
        <v>2741.97</v>
      </c>
    </row>
    <row r="4199">
      <c r="A4199" s="2">
        <v>45880</v>
      </c>
      <c r="B4199">
        <v>2026.0</v>
      </c>
      <c r="C4199" t="s">
        <v>321</v>
      </c>
      <c r="D4199" t="s">
        <v>316</v>
      </c>
      <c r="E4199" t="s">
        <v>118</v>
      </c>
      <c r="F4199" t="s">
        <v>305</v>
      </c>
      <c r="G4199" t="s">
        <v>10</v>
      </c>
      <c r="H4199">
        <v>3076.0</v>
      </c>
      <c r="I4199" t="s">
        <v>31</v>
      </c>
      <c r="J4199" t="s">
        <v>120</v>
      </c>
      <c r="K4199" t="s">
        <v>123</v>
      </c>
      <c r="L4199" t="s">
        <v>124</v>
      </c>
      <c r="M4199">
        <v>2752.150000000001</v>
      </c>
    </row>
    <row r="4200">
      <c r="A4200" s="2">
        <v>45531</v>
      </c>
      <c r="B4200">
        <v>2025.0</v>
      </c>
      <c r="C4200" t="s">
        <v>315</v>
      </c>
      <c r="D4200" t="s">
        <v>316</v>
      </c>
      <c r="E4200" t="s">
        <v>163</v>
      </c>
      <c r="F4200" t="s">
        <v>304</v>
      </c>
      <c r="G4200" t="s">
        <v>9</v>
      </c>
      <c r="H4200">
        <v>2154.0</v>
      </c>
      <c r="I4200" t="s">
        <v>31</v>
      </c>
      <c r="J4200" t="s">
        <v>81</v>
      </c>
      <c r="K4200" t="s">
        <v>46</v>
      </c>
      <c r="L4200" t="s">
        <v>47</v>
      </c>
      <c r="M4200">
        <v>2754.4399999999996</v>
      </c>
    </row>
    <row r="4201">
      <c r="A4201" s="2">
        <v>46007</v>
      </c>
      <c r="B4201">
        <v>2026.0</v>
      </c>
      <c r="C4201" t="s">
        <v>321</v>
      </c>
      <c r="D4201" t="s">
        <v>316</v>
      </c>
      <c r="E4201" t="s">
        <v>211</v>
      </c>
      <c r="F4201" t="s">
        <v>304</v>
      </c>
      <c r="G4201" t="s">
        <v>9</v>
      </c>
      <c r="H4201">
        <v>2650.0</v>
      </c>
      <c r="I4201" t="s">
        <v>31</v>
      </c>
      <c r="J4201" t="s">
        <v>75</v>
      </c>
      <c r="K4201" t="s">
        <v>71</v>
      </c>
      <c r="L4201" t="s">
        <v>72</v>
      </c>
      <c r="M4201">
        <v>2774.370000000001</v>
      </c>
    </row>
    <row r="4202">
      <c r="A4202" s="2">
        <v>45904</v>
      </c>
      <c r="B4202">
        <v>2026.0</v>
      </c>
      <c r="C4202" t="s">
        <v>321</v>
      </c>
      <c r="D4202" t="s">
        <v>316</v>
      </c>
      <c r="E4202" t="s">
        <v>211</v>
      </c>
      <c r="F4202" t="s">
        <v>304</v>
      </c>
      <c r="G4202" t="s">
        <v>9</v>
      </c>
      <c r="H4202">
        <v>2650.0</v>
      </c>
      <c r="I4202" t="s">
        <v>31</v>
      </c>
      <c r="J4202" t="s">
        <v>75</v>
      </c>
      <c r="K4202" t="s">
        <v>123</v>
      </c>
      <c r="L4202" t="s">
        <v>124</v>
      </c>
      <c r="M4202">
        <v>2807.3000000000015</v>
      </c>
    </row>
    <row r="4203">
      <c r="A4203" s="2">
        <v>45988</v>
      </c>
      <c r="B4203">
        <v>2026.0</v>
      </c>
      <c r="C4203" t="s">
        <v>321</v>
      </c>
      <c r="D4203" t="s">
        <v>316</v>
      </c>
      <c r="E4203" t="s">
        <v>143</v>
      </c>
      <c r="F4203" t="s">
        <v>309</v>
      </c>
      <c r="G4203" t="s">
        <v>14</v>
      </c>
      <c r="H4203">
        <v>800.0</v>
      </c>
      <c r="I4203" t="s">
        <v>31</v>
      </c>
      <c r="J4203" t="s">
        <v>145</v>
      </c>
      <c r="K4203" t="s">
        <v>123</v>
      </c>
      <c r="L4203" t="s">
        <v>124</v>
      </c>
      <c r="M4203">
        <v>2809.2600000000025</v>
      </c>
    </row>
    <row r="4204">
      <c r="A4204" s="2">
        <v>45969</v>
      </c>
      <c r="B4204">
        <v>2026.0</v>
      </c>
      <c r="C4204" t="s">
        <v>321</v>
      </c>
      <c r="D4204" t="s">
        <v>319</v>
      </c>
      <c r="E4204" t="s">
        <v>82</v>
      </c>
      <c r="F4204" t="s">
        <v>306</v>
      </c>
      <c r="G4204" t="s">
        <v>11</v>
      </c>
      <c r="H4204">
        <v>4558.0</v>
      </c>
      <c r="I4204" t="s">
        <v>31</v>
      </c>
      <c r="J4204" t="s">
        <v>84</v>
      </c>
      <c r="K4204" t="s">
        <v>57</v>
      </c>
      <c r="L4204" t="s">
        <v>58</v>
      </c>
      <c r="M4204">
        <v>2825.4700000000003</v>
      </c>
    </row>
    <row r="4205">
      <c r="A4205" s="2">
        <v>45751</v>
      </c>
      <c r="B4205">
        <v>2025.0</v>
      </c>
      <c r="C4205" t="s">
        <v>315</v>
      </c>
      <c r="D4205" t="s">
        <v>316</v>
      </c>
      <c r="E4205" t="s">
        <v>64</v>
      </c>
      <c r="F4205" t="s">
        <v>306</v>
      </c>
      <c r="G4205" t="s">
        <v>11</v>
      </c>
      <c r="H4205">
        <v>4215.0</v>
      </c>
      <c r="I4205" t="s">
        <v>31</v>
      </c>
      <c r="J4205" t="s">
        <v>61</v>
      </c>
      <c r="K4205" t="s">
        <v>123</v>
      </c>
      <c r="L4205" t="s">
        <v>124</v>
      </c>
      <c r="M4205">
        <v>2830.6300000000024</v>
      </c>
    </row>
    <row r="4206">
      <c r="A4206" s="2">
        <v>45790</v>
      </c>
      <c r="B4206">
        <v>2025.0</v>
      </c>
      <c r="C4206" t="s">
        <v>315</v>
      </c>
      <c r="D4206" t="s">
        <v>316</v>
      </c>
      <c r="E4206" t="s">
        <v>232</v>
      </c>
      <c r="F4206" t="s">
        <v>304</v>
      </c>
      <c r="G4206" t="s">
        <v>9</v>
      </c>
      <c r="H4206">
        <v>2800.0</v>
      </c>
      <c r="I4206" t="s">
        <v>31</v>
      </c>
      <c r="J4206" t="s">
        <v>75</v>
      </c>
      <c r="K4206" t="s">
        <v>46</v>
      </c>
      <c r="L4206" t="s">
        <v>47</v>
      </c>
      <c r="M4206">
        <v>2836.6000000000004</v>
      </c>
    </row>
    <row r="4207">
      <c r="A4207" s="2">
        <v>45593</v>
      </c>
      <c r="B4207">
        <v>2025.0</v>
      </c>
      <c r="C4207" t="s">
        <v>315</v>
      </c>
      <c r="D4207" t="s">
        <v>316</v>
      </c>
      <c r="E4207" t="s">
        <v>160</v>
      </c>
      <c r="F4207" t="s">
        <v>307</v>
      </c>
      <c r="G4207" t="s">
        <v>12</v>
      </c>
      <c r="H4207">
        <v>6280.0</v>
      </c>
      <c r="I4207" t="s">
        <v>31</v>
      </c>
      <c r="J4207" t="s">
        <v>162</v>
      </c>
      <c r="K4207" t="s">
        <v>46</v>
      </c>
      <c r="L4207" t="s">
        <v>47</v>
      </c>
      <c r="M4207">
        <v>2839.21</v>
      </c>
    </row>
    <row r="4208">
      <c r="A4208" s="2">
        <v>45956</v>
      </c>
      <c r="B4208">
        <v>2026.0</v>
      </c>
      <c r="C4208" t="s">
        <v>321</v>
      </c>
      <c r="D4208" t="s">
        <v>316</v>
      </c>
      <c r="E4208" t="s">
        <v>175</v>
      </c>
      <c r="F4208" t="s">
        <v>311</v>
      </c>
      <c r="G4208" t="s">
        <v>16</v>
      </c>
      <c r="H4208">
        <v>2617.0</v>
      </c>
      <c r="I4208" t="s">
        <v>31</v>
      </c>
      <c r="J4208" t="s">
        <v>107</v>
      </c>
      <c r="K4208" t="s">
        <v>95</v>
      </c>
      <c r="L4208" t="s">
        <v>96</v>
      </c>
      <c r="M4208">
        <v>2856.0199999999995</v>
      </c>
    </row>
    <row r="4209">
      <c r="A4209" s="2">
        <v>45413</v>
      </c>
      <c r="B4209">
        <v>2024.0</v>
      </c>
      <c r="C4209" t="s">
        <v>318</v>
      </c>
      <c r="D4209" t="s">
        <v>316</v>
      </c>
      <c r="E4209" t="s">
        <v>64</v>
      </c>
      <c r="F4209" t="s">
        <v>306</v>
      </c>
      <c r="G4209" t="s">
        <v>11</v>
      </c>
      <c r="H4209">
        <v>4215.0</v>
      </c>
      <c r="I4209" t="s">
        <v>31</v>
      </c>
      <c r="J4209" t="s">
        <v>61</v>
      </c>
      <c r="K4209" t="s">
        <v>46</v>
      </c>
      <c r="L4209" t="s">
        <v>47</v>
      </c>
      <c r="M4209">
        <v>2866.54</v>
      </c>
    </row>
    <row r="4210">
      <c r="A4210" s="2">
        <v>45726</v>
      </c>
      <c r="B4210">
        <v>2025.0</v>
      </c>
      <c r="C4210" t="s">
        <v>315</v>
      </c>
      <c r="D4210" t="s">
        <v>316</v>
      </c>
      <c r="E4210" t="s">
        <v>35</v>
      </c>
      <c r="F4210" t="s">
        <v>305</v>
      </c>
      <c r="G4210" t="s">
        <v>10</v>
      </c>
      <c r="H4210">
        <v>3280.0</v>
      </c>
      <c r="I4210" t="s">
        <v>31</v>
      </c>
      <c r="J4210" t="s">
        <v>37</v>
      </c>
      <c r="K4210" t="s">
        <v>46</v>
      </c>
      <c r="L4210" t="s">
        <v>47</v>
      </c>
      <c r="M4210">
        <v>2866.8700000000013</v>
      </c>
    </row>
    <row r="4211">
      <c r="A4211" s="2">
        <v>45918</v>
      </c>
      <c r="B4211">
        <v>2026.0</v>
      </c>
      <c r="C4211" t="s">
        <v>321</v>
      </c>
      <c r="D4211" t="s">
        <v>316</v>
      </c>
      <c r="E4211" t="s">
        <v>156</v>
      </c>
      <c r="F4211" t="s">
        <v>304</v>
      </c>
      <c r="G4211" t="s">
        <v>9</v>
      </c>
      <c r="H4211">
        <v>2830.0</v>
      </c>
      <c r="I4211" t="s">
        <v>31</v>
      </c>
      <c r="J4211" t="s">
        <v>75</v>
      </c>
      <c r="K4211" t="s">
        <v>123</v>
      </c>
      <c r="L4211" t="s">
        <v>124</v>
      </c>
      <c r="M4211">
        <v>2869.6000000000035</v>
      </c>
    </row>
    <row r="4212">
      <c r="A4212" s="2">
        <v>45886</v>
      </c>
      <c r="B4212">
        <v>2026.0</v>
      </c>
      <c r="C4212" t="s">
        <v>321</v>
      </c>
      <c r="D4212" t="s">
        <v>316</v>
      </c>
      <c r="E4212" t="s">
        <v>62</v>
      </c>
      <c r="F4212" t="s">
        <v>307</v>
      </c>
      <c r="G4212" t="s">
        <v>12</v>
      </c>
      <c r="H4212">
        <v>6530.0</v>
      </c>
      <c r="I4212" t="s">
        <v>31</v>
      </c>
      <c r="J4212" t="s">
        <v>50</v>
      </c>
      <c r="K4212" t="s">
        <v>57</v>
      </c>
      <c r="L4212" t="s">
        <v>58</v>
      </c>
      <c r="M4212">
        <v>2881.7000000000007</v>
      </c>
    </row>
    <row r="4213">
      <c r="A4213" s="2">
        <v>45541</v>
      </c>
      <c r="B4213">
        <v>2025.0</v>
      </c>
      <c r="C4213" t="s">
        <v>315</v>
      </c>
      <c r="D4213" t="s">
        <v>316</v>
      </c>
      <c r="E4213" t="s">
        <v>150</v>
      </c>
      <c r="F4213" t="s">
        <v>310</v>
      </c>
      <c r="G4213" t="s">
        <v>15</v>
      </c>
      <c r="H4213">
        <v>7250.0</v>
      </c>
      <c r="I4213" t="s">
        <v>31</v>
      </c>
      <c r="J4213" t="s">
        <v>53</v>
      </c>
      <c r="K4213" t="s">
        <v>71</v>
      </c>
      <c r="L4213" t="s">
        <v>72</v>
      </c>
      <c r="M4213">
        <v>2891.7299999999996</v>
      </c>
    </row>
    <row r="4214">
      <c r="A4214" s="2">
        <v>45827</v>
      </c>
      <c r="B4214">
        <v>2025.0</v>
      </c>
      <c r="C4214" t="s">
        <v>315</v>
      </c>
      <c r="D4214" t="s">
        <v>316</v>
      </c>
      <c r="E4214" t="s">
        <v>114</v>
      </c>
      <c r="F4214" t="s">
        <v>304</v>
      </c>
      <c r="G4214" t="s">
        <v>9</v>
      </c>
      <c r="H4214">
        <v>2031.0</v>
      </c>
      <c r="I4214" t="s">
        <v>31</v>
      </c>
      <c r="J4214" t="s">
        <v>99</v>
      </c>
      <c r="K4214" t="s">
        <v>123</v>
      </c>
      <c r="L4214" t="s">
        <v>124</v>
      </c>
      <c r="M4214">
        <v>2892.300000000001</v>
      </c>
    </row>
    <row r="4215">
      <c r="A4215" s="2">
        <v>45705</v>
      </c>
      <c r="B4215">
        <v>2025.0</v>
      </c>
      <c r="C4215" t="s">
        <v>315</v>
      </c>
      <c r="D4215" t="s">
        <v>316</v>
      </c>
      <c r="E4215" t="s">
        <v>105</v>
      </c>
      <c r="F4215" t="s">
        <v>304</v>
      </c>
      <c r="G4215" t="s">
        <v>9</v>
      </c>
      <c r="H4215">
        <v>2541.0</v>
      </c>
      <c r="I4215" t="s">
        <v>31</v>
      </c>
      <c r="J4215" t="s">
        <v>107</v>
      </c>
      <c r="K4215" t="s">
        <v>123</v>
      </c>
      <c r="L4215" t="s">
        <v>124</v>
      </c>
      <c r="M4215">
        <v>2914.8700000000035</v>
      </c>
    </row>
    <row r="4216">
      <c r="A4216" s="2">
        <v>45415</v>
      </c>
      <c r="B4216">
        <v>2024.0</v>
      </c>
      <c r="C4216" t="s">
        <v>318</v>
      </c>
      <c r="D4216" t="s">
        <v>319</v>
      </c>
      <c r="E4216" t="s">
        <v>148</v>
      </c>
      <c r="F4216" t="s">
        <v>307</v>
      </c>
      <c r="G4216" t="s">
        <v>12</v>
      </c>
      <c r="H4216">
        <v>6450.0</v>
      </c>
      <c r="I4216" t="s">
        <v>31</v>
      </c>
      <c r="J4216" t="s">
        <v>50</v>
      </c>
      <c r="K4216" t="s">
        <v>71</v>
      </c>
      <c r="L4216" t="s">
        <v>72</v>
      </c>
      <c r="M4216">
        <v>2916.7</v>
      </c>
    </row>
    <row r="4217">
      <c r="A4217" s="2">
        <v>45808</v>
      </c>
      <c r="B4217">
        <v>2025.0</v>
      </c>
      <c r="C4217" t="s">
        <v>315</v>
      </c>
      <c r="D4217" t="s">
        <v>319</v>
      </c>
      <c r="E4217" t="s">
        <v>256</v>
      </c>
      <c r="F4217" t="s">
        <v>304</v>
      </c>
      <c r="G4217" t="s">
        <v>9</v>
      </c>
      <c r="H4217">
        <v>2350.0</v>
      </c>
      <c r="I4217" t="s">
        <v>31</v>
      </c>
      <c r="J4217" t="s">
        <v>70</v>
      </c>
      <c r="K4217" t="s">
        <v>123</v>
      </c>
      <c r="L4217" t="s">
        <v>124</v>
      </c>
      <c r="M4217">
        <v>2919.720000000002</v>
      </c>
    </row>
    <row r="4218">
      <c r="A4218" s="2">
        <v>45516</v>
      </c>
      <c r="B4218">
        <v>2025.0</v>
      </c>
      <c r="C4218" t="s">
        <v>315</v>
      </c>
      <c r="D4218" t="s">
        <v>316</v>
      </c>
      <c r="E4218" t="s">
        <v>195</v>
      </c>
      <c r="F4218" t="s">
        <v>306</v>
      </c>
      <c r="G4218" t="s">
        <v>11</v>
      </c>
      <c r="H4218">
        <v>4700.0</v>
      </c>
      <c r="I4218" t="s">
        <v>31</v>
      </c>
      <c r="J4218" t="s">
        <v>32</v>
      </c>
      <c r="K4218" t="s">
        <v>57</v>
      </c>
      <c r="L4218" t="s">
        <v>58</v>
      </c>
      <c r="M4218">
        <v>2943.69</v>
      </c>
    </row>
    <row r="4219">
      <c r="A4219" s="2">
        <v>45393</v>
      </c>
      <c r="B4219">
        <v>2024.0</v>
      </c>
      <c r="C4219" t="s">
        <v>318</v>
      </c>
      <c r="D4219" t="s">
        <v>316</v>
      </c>
      <c r="E4219" t="s">
        <v>221</v>
      </c>
      <c r="F4219" t="s">
        <v>306</v>
      </c>
      <c r="G4219" t="s">
        <v>11</v>
      </c>
      <c r="H4219">
        <v>4053.0</v>
      </c>
      <c r="I4219" t="s">
        <v>31</v>
      </c>
      <c r="J4219" t="s">
        <v>56</v>
      </c>
      <c r="K4219" t="s">
        <v>57</v>
      </c>
      <c r="L4219" t="s">
        <v>58</v>
      </c>
      <c r="M4219">
        <v>2950.4599999999996</v>
      </c>
    </row>
    <row r="4220">
      <c r="A4220" s="2">
        <v>45334</v>
      </c>
      <c r="B4220">
        <v>2024.0</v>
      </c>
      <c r="C4220" t="s">
        <v>318</v>
      </c>
      <c r="D4220" t="s">
        <v>316</v>
      </c>
      <c r="E4220" t="s">
        <v>160</v>
      </c>
      <c r="F4220" t="s">
        <v>307</v>
      </c>
      <c r="G4220" t="s">
        <v>12</v>
      </c>
      <c r="H4220">
        <v>6280.0</v>
      </c>
      <c r="I4220" t="s">
        <v>31</v>
      </c>
      <c r="J4220" t="s">
        <v>162</v>
      </c>
      <c r="K4220" t="s">
        <v>123</v>
      </c>
      <c r="L4220" t="s">
        <v>124</v>
      </c>
      <c r="M4220">
        <v>2951.130000000003</v>
      </c>
    </row>
    <row r="4221">
      <c r="A4221" s="2">
        <v>45875</v>
      </c>
      <c r="B4221">
        <v>2026.0</v>
      </c>
      <c r="C4221" t="s">
        <v>321</v>
      </c>
      <c r="D4221" t="s">
        <v>316</v>
      </c>
      <c r="E4221" t="s">
        <v>48</v>
      </c>
      <c r="F4221" t="s">
        <v>307</v>
      </c>
      <c r="G4221" t="s">
        <v>12</v>
      </c>
      <c r="H4221">
        <v>6725.0</v>
      </c>
      <c r="I4221" t="s">
        <v>31</v>
      </c>
      <c r="J4221" t="s">
        <v>50</v>
      </c>
      <c r="K4221" t="s">
        <v>71</v>
      </c>
      <c r="L4221" t="s">
        <v>72</v>
      </c>
      <c r="M4221">
        <v>2957.0199999999995</v>
      </c>
    </row>
    <row r="4222">
      <c r="A4222" s="2">
        <v>45712</v>
      </c>
      <c r="B4222">
        <v>2025.0</v>
      </c>
      <c r="C4222" t="s">
        <v>315</v>
      </c>
      <c r="D4222" t="s">
        <v>319</v>
      </c>
      <c r="E4222" t="s">
        <v>262</v>
      </c>
      <c r="F4222" t="s">
        <v>305</v>
      </c>
      <c r="G4222" t="s">
        <v>10</v>
      </c>
      <c r="H4222">
        <v>3018.0</v>
      </c>
      <c r="I4222" t="s">
        <v>31</v>
      </c>
      <c r="J4222" t="s">
        <v>120</v>
      </c>
      <c r="K4222" t="s">
        <v>71</v>
      </c>
      <c r="L4222" t="s">
        <v>72</v>
      </c>
      <c r="M4222">
        <v>2967.7599999999993</v>
      </c>
    </row>
    <row r="4223">
      <c r="A4223" s="2">
        <v>45706</v>
      </c>
      <c r="B4223">
        <v>2025.0</v>
      </c>
      <c r="C4223" t="s">
        <v>315</v>
      </c>
      <c r="D4223" t="s">
        <v>316</v>
      </c>
      <c r="E4223" t="s">
        <v>156</v>
      </c>
      <c r="F4223" t="s">
        <v>304</v>
      </c>
      <c r="G4223" t="s">
        <v>9</v>
      </c>
      <c r="H4223">
        <v>2830.0</v>
      </c>
      <c r="I4223" t="s">
        <v>31</v>
      </c>
      <c r="J4223" t="s">
        <v>75</v>
      </c>
      <c r="K4223" t="s">
        <v>123</v>
      </c>
      <c r="L4223" t="s">
        <v>124</v>
      </c>
      <c r="M4223">
        <v>2972.070000000002</v>
      </c>
    </row>
    <row r="4224">
      <c r="A4224" s="2">
        <v>45418</v>
      </c>
      <c r="B4224">
        <v>2024.0</v>
      </c>
      <c r="C4224" t="s">
        <v>318</v>
      </c>
      <c r="D4224" t="s">
        <v>319</v>
      </c>
      <c r="E4224" t="s">
        <v>179</v>
      </c>
      <c r="F4224" t="s">
        <v>304</v>
      </c>
      <c r="G4224" t="s">
        <v>9</v>
      </c>
      <c r="H4224">
        <v>2015.0</v>
      </c>
      <c r="I4224" t="s">
        <v>31</v>
      </c>
      <c r="J4224" t="s">
        <v>99</v>
      </c>
      <c r="K4224" t="s">
        <v>66</v>
      </c>
      <c r="L4224" t="s">
        <v>67</v>
      </c>
      <c r="M4224">
        <v>2977.15</v>
      </c>
    </row>
    <row r="4225">
      <c r="A4225" s="2">
        <v>45624</v>
      </c>
      <c r="B4225">
        <v>2025.0</v>
      </c>
      <c r="C4225" t="s">
        <v>315</v>
      </c>
      <c r="D4225" t="s">
        <v>319</v>
      </c>
      <c r="E4225" t="s">
        <v>177</v>
      </c>
      <c r="F4225" t="s">
        <v>307</v>
      </c>
      <c r="G4225" t="s">
        <v>12</v>
      </c>
      <c r="H4225">
        <v>6330.0</v>
      </c>
      <c r="I4225" t="s">
        <v>31</v>
      </c>
      <c r="J4225" t="s">
        <v>162</v>
      </c>
      <c r="K4225" t="s">
        <v>57</v>
      </c>
      <c r="L4225" t="s">
        <v>58</v>
      </c>
      <c r="M4225">
        <v>3026.71</v>
      </c>
    </row>
    <row r="4226">
      <c r="A4226" s="2">
        <v>45420</v>
      </c>
      <c r="B4226">
        <v>2024.0</v>
      </c>
      <c r="C4226" t="s">
        <v>318</v>
      </c>
      <c r="D4226" t="s">
        <v>316</v>
      </c>
      <c r="E4226" t="s">
        <v>236</v>
      </c>
      <c r="F4226" t="s">
        <v>307</v>
      </c>
      <c r="G4226" t="s">
        <v>12</v>
      </c>
      <c r="H4226">
        <v>6052.0</v>
      </c>
      <c r="I4226" t="s">
        <v>31</v>
      </c>
      <c r="J4226" t="s">
        <v>102</v>
      </c>
      <c r="K4226" t="s">
        <v>71</v>
      </c>
      <c r="L4226" t="s">
        <v>72</v>
      </c>
      <c r="M4226">
        <v>3048.109999999999</v>
      </c>
    </row>
    <row r="4227">
      <c r="A4227" s="2">
        <v>45907</v>
      </c>
      <c r="B4227">
        <v>2026.0</v>
      </c>
      <c r="C4227" t="s">
        <v>321</v>
      </c>
      <c r="D4227" t="s">
        <v>316</v>
      </c>
      <c r="E4227" t="s">
        <v>221</v>
      </c>
      <c r="F4227" t="s">
        <v>306</v>
      </c>
      <c r="G4227" t="s">
        <v>11</v>
      </c>
      <c r="H4227">
        <v>4053.0</v>
      </c>
      <c r="I4227" t="s">
        <v>31</v>
      </c>
      <c r="J4227" t="s">
        <v>56</v>
      </c>
      <c r="K4227" t="s">
        <v>46</v>
      </c>
      <c r="L4227" t="s">
        <v>47</v>
      </c>
      <c r="M4227">
        <v>3050.32</v>
      </c>
    </row>
    <row r="4228">
      <c r="A4228" s="2">
        <v>45773</v>
      </c>
      <c r="B4228">
        <v>2025.0</v>
      </c>
      <c r="C4228" t="s">
        <v>315</v>
      </c>
      <c r="D4228" t="s">
        <v>319</v>
      </c>
      <c r="E4228" t="s">
        <v>262</v>
      </c>
      <c r="F4228" t="s">
        <v>305</v>
      </c>
      <c r="G4228" t="s">
        <v>10</v>
      </c>
      <c r="H4228">
        <v>3018.0</v>
      </c>
      <c r="I4228" t="s">
        <v>31</v>
      </c>
      <c r="J4228" t="s">
        <v>120</v>
      </c>
      <c r="K4228" t="s">
        <v>123</v>
      </c>
      <c r="L4228" t="s">
        <v>124</v>
      </c>
      <c r="M4228">
        <v>3058.640000000002</v>
      </c>
    </row>
    <row r="4229">
      <c r="A4229" s="2">
        <v>45426</v>
      </c>
      <c r="B4229">
        <v>2024.0</v>
      </c>
      <c r="C4229" t="s">
        <v>318</v>
      </c>
      <c r="D4229" t="s">
        <v>316</v>
      </c>
      <c r="E4229" t="s">
        <v>219</v>
      </c>
      <c r="F4229" t="s">
        <v>306</v>
      </c>
      <c r="G4229" t="s">
        <v>11</v>
      </c>
      <c r="H4229">
        <v>4068.0</v>
      </c>
      <c r="I4229" t="s">
        <v>31</v>
      </c>
      <c r="J4229" t="s">
        <v>56</v>
      </c>
      <c r="K4229" t="s">
        <v>71</v>
      </c>
      <c r="L4229" t="s">
        <v>72</v>
      </c>
      <c r="M4229">
        <v>3061.9299999999994</v>
      </c>
    </row>
    <row r="4230">
      <c r="A4230" s="2">
        <v>45955</v>
      </c>
      <c r="B4230">
        <v>2026.0</v>
      </c>
      <c r="C4230" t="s">
        <v>321</v>
      </c>
      <c r="D4230" t="s">
        <v>316</v>
      </c>
      <c r="E4230" t="s">
        <v>197</v>
      </c>
      <c r="F4230" t="s">
        <v>304</v>
      </c>
      <c r="G4230" t="s">
        <v>9</v>
      </c>
      <c r="H4230">
        <v>2560.0</v>
      </c>
      <c r="I4230" t="s">
        <v>31</v>
      </c>
      <c r="J4230" t="s">
        <v>107</v>
      </c>
      <c r="K4230" t="s">
        <v>71</v>
      </c>
      <c r="L4230" t="s">
        <v>72</v>
      </c>
      <c r="M4230">
        <v>3080.4100000000003</v>
      </c>
    </row>
    <row r="4231">
      <c r="A4231" s="2">
        <v>45764</v>
      </c>
      <c r="B4231">
        <v>2025.0</v>
      </c>
      <c r="C4231" t="s">
        <v>315</v>
      </c>
      <c r="D4231" t="s">
        <v>319</v>
      </c>
      <c r="E4231" t="s">
        <v>179</v>
      </c>
      <c r="F4231" t="s">
        <v>304</v>
      </c>
      <c r="G4231" t="s">
        <v>9</v>
      </c>
      <c r="H4231">
        <v>2015.0</v>
      </c>
      <c r="I4231" t="s">
        <v>31</v>
      </c>
      <c r="J4231" t="s">
        <v>99</v>
      </c>
      <c r="K4231" t="s">
        <v>71</v>
      </c>
      <c r="L4231" t="s">
        <v>72</v>
      </c>
      <c r="M4231">
        <v>3123.46</v>
      </c>
    </row>
    <row r="4232">
      <c r="A4232" s="2">
        <v>45833</v>
      </c>
      <c r="B4232">
        <v>2025.0</v>
      </c>
      <c r="C4232" t="s">
        <v>315</v>
      </c>
      <c r="D4232" t="s">
        <v>316</v>
      </c>
      <c r="E4232" t="s">
        <v>175</v>
      </c>
      <c r="F4232" t="s">
        <v>311</v>
      </c>
      <c r="G4232" t="s">
        <v>16</v>
      </c>
      <c r="H4232">
        <v>2617.0</v>
      </c>
      <c r="I4232" t="s">
        <v>31</v>
      </c>
      <c r="J4232" t="s">
        <v>107</v>
      </c>
      <c r="K4232" t="s">
        <v>95</v>
      </c>
      <c r="L4232" t="s">
        <v>96</v>
      </c>
      <c r="M4232">
        <v>3129.960000000001</v>
      </c>
    </row>
    <row r="4233">
      <c r="A4233" s="2">
        <v>45329</v>
      </c>
      <c r="B4233">
        <v>2024.0</v>
      </c>
      <c r="C4233" t="s">
        <v>318</v>
      </c>
      <c r="D4233" t="s">
        <v>316</v>
      </c>
      <c r="E4233" t="s">
        <v>105</v>
      </c>
      <c r="F4233" t="s">
        <v>304</v>
      </c>
      <c r="G4233" t="s">
        <v>9</v>
      </c>
      <c r="H4233">
        <v>2541.0</v>
      </c>
      <c r="I4233" t="s">
        <v>31</v>
      </c>
      <c r="J4233" t="s">
        <v>107</v>
      </c>
      <c r="K4233" t="s">
        <v>66</v>
      </c>
      <c r="L4233" t="s">
        <v>67</v>
      </c>
      <c r="M4233">
        <v>3134.8800000000006</v>
      </c>
    </row>
    <row r="4234">
      <c r="A4234" s="2">
        <v>45377</v>
      </c>
      <c r="B4234">
        <v>2024.0</v>
      </c>
      <c r="C4234" t="s">
        <v>318</v>
      </c>
      <c r="D4234" t="s">
        <v>316</v>
      </c>
      <c r="E4234" t="s">
        <v>129</v>
      </c>
      <c r="F4234" t="s">
        <v>305</v>
      </c>
      <c r="G4234" t="s">
        <v>10</v>
      </c>
      <c r="H4234">
        <v>3066.0</v>
      </c>
      <c r="I4234" t="s">
        <v>31</v>
      </c>
      <c r="J4234" t="s">
        <v>120</v>
      </c>
      <c r="K4234" t="s">
        <v>57</v>
      </c>
      <c r="L4234" t="s">
        <v>58</v>
      </c>
      <c r="M4234">
        <v>3137.0400000000004</v>
      </c>
    </row>
    <row r="4235">
      <c r="A4235" s="2">
        <v>45769</v>
      </c>
      <c r="B4235">
        <v>2025.0</v>
      </c>
      <c r="C4235" t="s">
        <v>315</v>
      </c>
      <c r="D4235" t="s">
        <v>316</v>
      </c>
      <c r="E4235" t="s">
        <v>181</v>
      </c>
      <c r="F4235" t="s">
        <v>306</v>
      </c>
      <c r="G4235" t="s">
        <v>11</v>
      </c>
      <c r="H4235">
        <v>4119.0</v>
      </c>
      <c r="I4235" t="s">
        <v>31</v>
      </c>
      <c r="J4235" t="s">
        <v>56</v>
      </c>
      <c r="K4235" t="s">
        <v>46</v>
      </c>
      <c r="L4235" t="s">
        <v>47</v>
      </c>
      <c r="M4235">
        <v>3138.9400000000005</v>
      </c>
    </row>
    <row r="4236">
      <c r="A4236" s="2">
        <v>45989</v>
      </c>
      <c r="B4236">
        <v>2026.0</v>
      </c>
      <c r="C4236" t="s">
        <v>321</v>
      </c>
      <c r="D4236" t="s">
        <v>316</v>
      </c>
      <c r="E4236" t="s">
        <v>97</v>
      </c>
      <c r="F4236" t="s">
        <v>304</v>
      </c>
      <c r="G4236" t="s">
        <v>9</v>
      </c>
      <c r="H4236">
        <v>2067.0</v>
      </c>
      <c r="I4236" t="s">
        <v>31</v>
      </c>
      <c r="J4236" t="s">
        <v>99</v>
      </c>
      <c r="K4236" t="s">
        <v>123</v>
      </c>
      <c r="L4236" t="s">
        <v>124</v>
      </c>
      <c r="M4236">
        <v>3143.540000000002</v>
      </c>
    </row>
    <row r="4237">
      <c r="A4237" s="2">
        <v>45615</v>
      </c>
      <c r="B4237">
        <v>2025.0</v>
      </c>
      <c r="C4237" t="s">
        <v>315</v>
      </c>
      <c r="D4237" t="s">
        <v>316</v>
      </c>
      <c r="E4237" t="s">
        <v>232</v>
      </c>
      <c r="F4237" t="s">
        <v>304</v>
      </c>
      <c r="G4237" t="s">
        <v>9</v>
      </c>
      <c r="H4237">
        <v>2800.0</v>
      </c>
      <c r="I4237" t="s">
        <v>31</v>
      </c>
      <c r="J4237" t="s">
        <v>75</v>
      </c>
      <c r="K4237" t="s">
        <v>71</v>
      </c>
      <c r="L4237" t="s">
        <v>72</v>
      </c>
      <c r="M4237">
        <v>3157.17</v>
      </c>
    </row>
    <row r="4238">
      <c r="A4238" s="2">
        <v>45665</v>
      </c>
      <c r="B4238">
        <v>2025.0</v>
      </c>
      <c r="C4238" t="s">
        <v>315</v>
      </c>
      <c r="D4238" t="s">
        <v>316</v>
      </c>
      <c r="E4238" t="s">
        <v>108</v>
      </c>
      <c r="F4238" t="s">
        <v>304</v>
      </c>
      <c r="G4238" t="s">
        <v>9</v>
      </c>
      <c r="H4238">
        <v>2795.0</v>
      </c>
      <c r="I4238" t="s">
        <v>31</v>
      </c>
      <c r="J4238" t="s">
        <v>75</v>
      </c>
      <c r="K4238" t="s">
        <v>46</v>
      </c>
      <c r="L4238" t="s">
        <v>47</v>
      </c>
      <c r="M4238">
        <v>3166.3100000000013</v>
      </c>
    </row>
    <row r="4239">
      <c r="A4239" s="2">
        <v>45659</v>
      </c>
      <c r="B4239">
        <v>2025.0</v>
      </c>
      <c r="C4239" t="s">
        <v>315</v>
      </c>
      <c r="D4239" t="s">
        <v>316</v>
      </c>
      <c r="E4239" t="s">
        <v>163</v>
      </c>
      <c r="F4239" t="s">
        <v>304</v>
      </c>
      <c r="G4239" t="s">
        <v>9</v>
      </c>
      <c r="H4239">
        <v>2154.0</v>
      </c>
      <c r="I4239" t="s">
        <v>31</v>
      </c>
      <c r="J4239" t="s">
        <v>81</v>
      </c>
      <c r="K4239" t="s">
        <v>71</v>
      </c>
      <c r="L4239" t="s">
        <v>72</v>
      </c>
      <c r="M4239">
        <v>3180.58</v>
      </c>
    </row>
    <row r="4240">
      <c r="A4240" s="2">
        <v>45407</v>
      </c>
      <c r="B4240">
        <v>2024.0</v>
      </c>
      <c r="C4240" t="s">
        <v>318</v>
      </c>
      <c r="D4240" t="s">
        <v>316</v>
      </c>
      <c r="E4240" t="s">
        <v>156</v>
      </c>
      <c r="F4240" t="s">
        <v>304</v>
      </c>
      <c r="G4240" t="s">
        <v>9</v>
      </c>
      <c r="H4240">
        <v>2830.0</v>
      </c>
      <c r="I4240" t="s">
        <v>31</v>
      </c>
      <c r="J4240" t="s">
        <v>75</v>
      </c>
      <c r="K4240" t="s">
        <v>71</v>
      </c>
      <c r="L4240" t="s">
        <v>72</v>
      </c>
      <c r="M4240">
        <v>3180.779999999999</v>
      </c>
    </row>
    <row r="4241">
      <c r="A4241" s="2">
        <v>45863</v>
      </c>
      <c r="B4241">
        <v>2026.0</v>
      </c>
      <c r="C4241" t="s">
        <v>321</v>
      </c>
      <c r="D4241" t="s">
        <v>319</v>
      </c>
      <c r="E4241" t="s">
        <v>177</v>
      </c>
      <c r="F4241" t="s">
        <v>307</v>
      </c>
      <c r="G4241" t="s">
        <v>12</v>
      </c>
      <c r="H4241">
        <v>6330.0</v>
      </c>
      <c r="I4241" t="s">
        <v>31</v>
      </c>
      <c r="J4241" t="s">
        <v>162</v>
      </c>
      <c r="K4241" t="s">
        <v>33</v>
      </c>
      <c r="L4241" t="s">
        <v>34</v>
      </c>
      <c r="M4241">
        <v>3186.850000000001</v>
      </c>
    </row>
    <row r="4242">
      <c r="A4242" s="2">
        <v>45377</v>
      </c>
      <c r="B4242">
        <v>2024.0</v>
      </c>
      <c r="C4242" t="s">
        <v>318</v>
      </c>
      <c r="D4242" t="s">
        <v>316</v>
      </c>
      <c r="E4242" t="s">
        <v>114</v>
      </c>
      <c r="F4242" t="s">
        <v>304</v>
      </c>
      <c r="G4242" t="s">
        <v>9</v>
      </c>
      <c r="H4242">
        <v>2031.0</v>
      </c>
      <c r="I4242" t="s">
        <v>31</v>
      </c>
      <c r="J4242" t="s">
        <v>99</v>
      </c>
      <c r="K4242" t="s">
        <v>46</v>
      </c>
      <c r="L4242" t="s">
        <v>47</v>
      </c>
      <c r="M4242">
        <v>3188.1200000000003</v>
      </c>
    </row>
    <row r="4243">
      <c r="A4243" s="2">
        <v>45966</v>
      </c>
      <c r="B4243">
        <v>2026.0</v>
      </c>
      <c r="C4243" t="s">
        <v>321</v>
      </c>
      <c r="D4243" t="s">
        <v>316</v>
      </c>
      <c r="E4243" t="s">
        <v>254</v>
      </c>
      <c r="F4243" t="s">
        <v>308</v>
      </c>
      <c r="G4243" t="s">
        <v>13</v>
      </c>
      <c r="H4243">
        <v>5343.0</v>
      </c>
      <c r="I4243" t="s">
        <v>31</v>
      </c>
      <c r="J4243" t="s">
        <v>227</v>
      </c>
      <c r="K4243" t="s">
        <v>71</v>
      </c>
      <c r="L4243" t="s">
        <v>72</v>
      </c>
      <c r="M4243">
        <v>3190.32</v>
      </c>
    </row>
    <row r="4244">
      <c r="A4244" s="2">
        <v>45446</v>
      </c>
      <c r="B4244">
        <v>2024.0</v>
      </c>
      <c r="C4244" t="s">
        <v>318</v>
      </c>
      <c r="D4244" t="s">
        <v>316</v>
      </c>
      <c r="E4244" t="s">
        <v>193</v>
      </c>
      <c r="F4244" t="s">
        <v>304</v>
      </c>
      <c r="G4244" t="s">
        <v>9</v>
      </c>
      <c r="H4244">
        <v>2020.0</v>
      </c>
      <c r="I4244" t="s">
        <v>31</v>
      </c>
      <c r="J4244" t="s">
        <v>99</v>
      </c>
      <c r="K4244" t="s">
        <v>57</v>
      </c>
      <c r="L4244" t="s">
        <v>58</v>
      </c>
      <c r="M4244">
        <v>3212.5600000000004</v>
      </c>
    </row>
    <row r="4245">
      <c r="A4245" s="2">
        <v>45982</v>
      </c>
      <c r="B4245">
        <v>2026.0</v>
      </c>
      <c r="C4245" t="s">
        <v>321</v>
      </c>
      <c r="D4245" t="s">
        <v>316</v>
      </c>
      <c r="E4245" t="s">
        <v>110</v>
      </c>
      <c r="F4245" t="s">
        <v>304</v>
      </c>
      <c r="G4245" t="s">
        <v>9</v>
      </c>
      <c r="H4245">
        <v>2101.0</v>
      </c>
      <c r="I4245" t="s">
        <v>31</v>
      </c>
      <c r="J4245" t="s">
        <v>81</v>
      </c>
      <c r="K4245" t="s">
        <v>123</v>
      </c>
      <c r="L4245" t="s">
        <v>124</v>
      </c>
      <c r="M4245">
        <v>3214.7600000000016</v>
      </c>
    </row>
    <row r="4246">
      <c r="A4246" s="2">
        <v>45729</v>
      </c>
      <c r="B4246">
        <v>2025.0</v>
      </c>
      <c r="C4246" t="s">
        <v>315</v>
      </c>
      <c r="D4246" t="s">
        <v>316</v>
      </c>
      <c r="E4246" t="s">
        <v>154</v>
      </c>
      <c r="F4246" t="s">
        <v>306</v>
      </c>
      <c r="G4246" t="s">
        <v>11</v>
      </c>
      <c r="H4246">
        <v>4551.0</v>
      </c>
      <c r="I4246" t="s">
        <v>31</v>
      </c>
      <c r="J4246" t="s">
        <v>84</v>
      </c>
      <c r="K4246" t="s">
        <v>123</v>
      </c>
      <c r="L4246" t="s">
        <v>124</v>
      </c>
      <c r="M4246">
        <v>3229.3500000000026</v>
      </c>
    </row>
    <row r="4247">
      <c r="A4247" s="2">
        <v>45853</v>
      </c>
      <c r="B4247">
        <v>2026.0</v>
      </c>
      <c r="C4247" t="s">
        <v>321</v>
      </c>
      <c r="D4247" t="s">
        <v>316</v>
      </c>
      <c r="E4247" t="s">
        <v>143</v>
      </c>
      <c r="F4247" t="s">
        <v>309</v>
      </c>
      <c r="G4247" t="s">
        <v>14</v>
      </c>
      <c r="H4247">
        <v>800.0</v>
      </c>
      <c r="I4247" t="s">
        <v>31</v>
      </c>
      <c r="J4247" t="s">
        <v>145</v>
      </c>
      <c r="K4247" t="s">
        <v>71</v>
      </c>
      <c r="L4247" t="s">
        <v>72</v>
      </c>
      <c r="M4247">
        <v>3245.1399999999994</v>
      </c>
    </row>
    <row r="4248">
      <c r="A4248" s="2">
        <v>45419</v>
      </c>
      <c r="B4248">
        <v>2024.0</v>
      </c>
      <c r="C4248" t="s">
        <v>318</v>
      </c>
      <c r="D4248" t="s">
        <v>316</v>
      </c>
      <c r="E4248" t="s">
        <v>97</v>
      </c>
      <c r="F4248" t="s">
        <v>304</v>
      </c>
      <c r="G4248" t="s">
        <v>9</v>
      </c>
      <c r="H4248">
        <v>2067.0</v>
      </c>
      <c r="I4248" t="s">
        <v>31</v>
      </c>
      <c r="J4248" t="s">
        <v>99</v>
      </c>
      <c r="K4248" t="s">
        <v>57</v>
      </c>
      <c r="L4248" t="s">
        <v>58</v>
      </c>
      <c r="M4248">
        <v>3248.45</v>
      </c>
    </row>
    <row r="4249">
      <c r="A4249" s="2">
        <v>45872</v>
      </c>
      <c r="B4249">
        <v>2026.0</v>
      </c>
      <c r="C4249" t="s">
        <v>321</v>
      </c>
      <c r="D4249" t="s">
        <v>319</v>
      </c>
      <c r="E4249" t="s">
        <v>256</v>
      </c>
      <c r="F4249" t="s">
        <v>304</v>
      </c>
      <c r="G4249" t="s">
        <v>9</v>
      </c>
      <c r="H4249">
        <v>2350.0</v>
      </c>
      <c r="I4249" t="s">
        <v>31</v>
      </c>
      <c r="J4249" t="s">
        <v>70</v>
      </c>
      <c r="K4249" t="s">
        <v>33</v>
      </c>
      <c r="L4249" t="s">
        <v>34</v>
      </c>
      <c r="M4249">
        <v>3254.7700000000013</v>
      </c>
    </row>
    <row r="4250">
      <c r="A4250" s="2">
        <v>45552</v>
      </c>
      <c r="B4250">
        <v>2025.0</v>
      </c>
      <c r="C4250" t="s">
        <v>315</v>
      </c>
      <c r="D4250" t="s">
        <v>316</v>
      </c>
      <c r="E4250" t="s">
        <v>114</v>
      </c>
      <c r="F4250" t="s">
        <v>304</v>
      </c>
      <c r="G4250" t="s">
        <v>9</v>
      </c>
      <c r="H4250">
        <v>2031.0</v>
      </c>
      <c r="I4250" t="s">
        <v>31</v>
      </c>
      <c r="J4250" t="s">
        <v>99</v>
      </c>
      <c r="K4250" t="s">
        <v>123</v>
      </c>
      <c r="L4250" t="s">
        <v>124</v>
      </c>
      <c r="M4250">
        <v>3257.500000000003</v>
      </c>
    </row>
    <row r="4251">
      <c r="A4251" s="2">
        <v>45535</v>
      </c>
      <c r="B4251">
        <v>2025.0</v>
      </c>
      <c r="C4251" t="s">
        <v>315</v>
      </c>
      <c r="D4251" t="s">
        <v>316</v>
      </c>
      <c r="E4251" t="s">
        <v>59</v>
      </c>
      <c r="F4251" t="s">
        <v>306</v>
      </c>
      <c r="G4251" t="s">
        <v>11</v>
      </c>
      <c r="H4251">
        <v>4509.0</v>
      </c>
      <c r="I4251" t="s">
        <v>31</v>
      </c>
      <c r="J4251" t="s">
        <v>61</v>
      </c>
      <c r="K4251" t="s">
        <v>123</v>
      </c>
      <c r="L4251" t="s">
        <v>124</v>
      </c>
      <c r="M4251">
        <v>3269.1200000000026</v>
      </c>
    </row>
    <row r="4252">
      <c r="A4252" s="2">
        <v>46000</v>
      </c>
      <c r="B4252">
        <v>2026.0</v>
      </c>
      <c r="C4252" t="s">
        <v>321</v>
      </c>
      <c r="D4252" t="s">
        <v>316</v>
      </c>
      <c r="E4252" t="s">
        <v>160</v>
      </c>
      <c r="F4252" t="s">
        <v>307</v>
      </c>
      <c r="G4252" t="s">
        <v>12</v>
      </c>
      <c r="H4252">
        <v>6280.0</v>
      </c>
      <c r="I4252" t="s">
        <v>31</v>
      </c>
      <c r="J4252" t="s">
        <v>162</v>
      </c>
      <c r="K4252" t="s">
        <v>95</v>
      </c>
      <c r="L4252" t="s">
        <v>96</v>
      </c>
      <c r="M4252">
        <v>3277.93</v>
      </c>
    </row>
    <row r="4253">
      <c r="A4253" s="2">
        <v>45896</v>
      </c>
      <c r="B4253">
        <v>2026.0</v>
      </c>
      <c r="C4253" t="s">
        <v>321</v>
      </c>
      <c r="D4253" t="s">
        <v>316</v>
      </c>
      <c r="E4253" t="s">
        <v>250</v>
      </c>
      <c r="F4253" t="s">
        <v>305</v>
      </c>
      <c r="G4253" t="s">
        <v>10</v>
      </c>
      <c r="H4253">
        <v>3550.0</v>
      </c>
      <c r="I4253" t="s">
        <v>31</v>
      </c>
      <c r="J4253" t="s">
        <v>37</v>
      </c>
      <c r="K4253" t="s">
        <v>57</v>
      </c>
      <c r="L4253" t="s">
        <v>58</v>
      </c>
      <c r="M4253">
        <v>3282.9</v>
      </c>
    </row>
    <row r="4254">
      <c r="A4254" s="2">
        <v>45324</v>
      </c>
      <c r="B4254">
        <v>2024.0</v>
      </c>
      <c r="C4254" t="s">
        <v>318</v>
      </c>
      <c r="D4254" t="s">
        <v>316</v>
      </c>
      <c r="E4254" t="s">
        <v>163</v>
      </c>
      <c r="F4254" t="s">
        <v>304</v>
      </c>
      <c r="G4254" t="s">
        <v>9</v>
      </c>
      <c r="H4254">
        <v>2154.0</v>
      </c>
      <c r="I4254" t="s">
        <v>31</v>
      </c>
      <c r="J4254" t="s">
        <v>81</v>
      </c>
      <c r="K4254" t="s">
        <v>33</v>
      </c>
      <c r="L4254" t="s">
        <v>34</v>
      </c>
      <c r="M4254">
        <v>3296.710000000001</v>
      </c>
    </row>
    <row r="4255">
      <c r="A4255" s="2">
        <v>45783</v>
      </c>
      <c r="B4255">
        <v>2025.0</v>
      </c>
      <c r="C4255" t="s">
        <v>315</v>
      </c>
      <c r="D4255" t="s">
        <v>316</v>
      </c>
      <c r="E4255" t="s">
        <v>90</v>
      </c>
      <c r="F4255" t="s">
        <v>305</v>
      </c>
      <c r="G4255" t="s">
        <v>10</v>
      </c>
      <c r="H4255">
        <v>3353.0</v>
      </c>
      <c r="I4255" t="s">
        <v>31</v>
      </c>
      <c r="J4255" t="s">
        <v>37</v>
      </c>
      <c r="K4255" t="s">
        <v>57</v>
      </c>
      <c r="L4255" t="s">
        <v>58</v>
      </c>
      <c r="M4255">
        <v>3300.7599999999998</v>
      </c>
    </row>
    <row r="4256">
      <c r="A4256" s="2">
        <v>45481</v>
      </c>
      <c r="B4256">
        <v>2025.0</v>
      </c>
      <c r="C4256" t="s">
        <v>315</v>
      </c>
      <c r="D4256" t="s">
        <v>316</v>
      </c>
      <c r="E4256" t="s">
        <v>183</v>
      </c>
      <c r="F4256" t="s">
        <v>304</v>
      </c>
      <c r="G4256" t="s">
        <v>9</v>
      </c>
      <c r="H4256">
        <v>2480.0</v>
      </c>
      <c r="I4256" t="s">
        <v>31</v>
      </c>
      <c r="J4256" t="s">
        <v>70</v>
      </c>
      <c r="K4256" t="s">
        <v>71</v>
      </c>
      <c r="L4256" t="s">
        <v>72</v>
      </c>
      <c r="M4256">
        <v>3317.3999999999996</v>
      </c>
    </row>
    <row r="4257">
      <c r="A4257" s="2">
        <v>45357</v>
      </c>
      <c r="B4257">
        <v>2024.0</v>
      </c>
      <c r="C4257" t="s">
        <v>318</v>
      </c>
      <c r="D4257" t="s">
        <v>319</v>
      </c>
      <c r="E4257" t="s">
        <v>262</v>
      </c>
      <c r="F4257" t="s">
        <v>305</v>
      </c>
      <c r="G4257" t="s">
        <v>10</v>
      </c>
      <c r="H4257">
        <v>3018.0</v>
      </c>
      <c r="I4257" t="s">
        <v>31</v>
      </c>
      <c r="J4257" t="s">
        <v>120</v>
      </c>
      <c r="K4257" t="s">
        <v>46</v>
      </c>
      <c r="L4257" t="s">
        <v>47</v>
      </c>
      <c r="M4257">
        <v>3326.51</v>
      </c>
    </row>
    <row r="4258">
      <c r="A4258" s="2">
        <v>45901</v>
      </c>
      <c r="B4258">
        <v>2026.0</v>
      </c>
      <c r="C4258" t="s">
        <v>321</v>
      </c>
      <c r="D4258" t="s">
        <v>316</v>
      </c>
      <c r="E4258" t="s">
        <v>51</v>
      </c>
      <c r="F4258" t="s">
        <v>310</v>
      </c>
      <c r="G4258" t="s">
        <v>15</v>
      </c>
      <c r="H4258">
        <v>7018.0</v>
      </c>
      <c r="I4258" t="s">
        <v>31</v>
      </c>
      <c r="J4258" t="s">
        <v>53</v>
      </c>
      <c r="K4258" t="s">
        <v>71</v>
      </c>
      <c r="L4258" t="s">
        <v>72</v>
      </c>
      <c r="M4258">
        <v>3332.7200000000003</v>
      </c>
    </row>
    <row r="4259">
      <c r="A4259" s="2">
        <v>45546</v>
      </c>
      <c r="B4259">
        <v>2025.0</v>
      </c>
      <c r="C4259" t="s">
        <v>315</v>
      </c>
      <c r="D4259" t="s">
        <v>319</v>
      </c>
      <c r="E4259" t="s">
        <v>262</v>
      </c>
      <c r="F4259" t="s">
        <v>305</v>
      </c>
      <c r="G4259" t="s">
        <v>10</v>
      </c>
      <c r="H4259">
        <v>3018.0</v>
      </c>
      <c r="I4259" t="s">
        <v>31</v>
      </c>
      <c r="J4259" t="s">
        <v>120</v>
      </c>
      <c r="K4259" t="s">
        <v>123</v>
      </c>
      <c r="L4259" t="s">
        <v>124</v>
      </c>
      <c r="M4259">
        <v>3341.270000000001</v>
      </c>
    </row>
    <row r="4260">
      <c r="A4260" s="2">
        <v>45846</v>
      </c>
      <c r="B4260">
        <v>2026.0</v>
      </c>
      <c r="C4260" t="s">
        <v>321</v>
      </c>
      <c r="D4260" t="s">
        <v>316</v>
      </c>
      <c r="E4260" t="s">
        <v>217</v>
      </c>
      <c r="F4260" t="s">
        <v>305</v>
      </c>
      <c r="G4260" t="s">
        <v>10</v>
      </c>
      <c r="H4260">
        <v>3136.0</v>
      </c>
      <c r="I4260" t="s">
        <v>31</v>
      </c>
      <c r="J4260" t="s">
        <v>89</v>
      </c>
      <c r="K4260" t="s">
        <v>57</v>
      </c>
      <c r="L4260" t="s">
        <v>58</v>
      </c>
      <c r="M4260">
        <v>3343.95</v>
      </c>
    </row>
    <row r="4261">
      <c r="A4261" s="2">
        <v>45914</v>
      </c>
      <c r="B4261">
        <v>2026.0</v>
      </c>
      <c r="C4261" t="s">
        <v>321</v>
      </c>
      <c r="D4261" t="s">
        <v>316</v>
      </c>
      <c r="E4261" t="s">
        <v>62</v>
      </c>
      <c r="F4261" t="s">
        <v>307</v>
      </c>
      <c r="G4261" t="s">
        <v>12</v>
      </c>
      <c r="H4261">
        <v>6530.0</v>
      </c>
      <c r="I4261" t="s">
        <v>31</v>
      </c>
      <c r="J4261" t="s">
        <v>50</v>
      </c>
      <c r="K4261" t="s">
        <v>123</v>
      </c>
      <c r="L4261" t="s">
        <v>124</v>
      </c>
      <c r="M4261">
        <v>3344.7700000000013</v>
      </c>
    </row>
    <row r="4262">
      <c r="A4262" s="2">
        <v>46014</v>
      </c>
      <c r="B4262">
        <v>2026.0</v>
      </c>
      <c r="C4262" t="s">
        <v>321</v>
      </c>
      <c r="D4262" t="s">
        <v>316</v>
      </c>
      <c r="E4262" t="s">
        <v>105</v>
      </c>
      <c r="F4262" t="s">
        <v>304</v>
      </c>
      <c r="G4262" t="s">
        <v>9</v>
      </c>
      <c r="H4262">
        <v>2541.0</v>
      </c>
      <c r="I4262" t="s">
        <v>31</v>
      </c>
      <c r="J4262" t="s">
        <v>107</v>
      </c>
      <c r="K4262" t="s">
        <v>123</v>
      </c>
      <c r="L4262" t="s">
        <v>124</v>
      </c>
      <c r="M4262">
        <v>3350.6400000000012</v>
      </c>
    </row>
    <row r="4263">
      <c r="A4263" s="2">
        <v>45356</v>
      </c>
      <c r="B4263">
        <v>2024.0</v>
      </c>
      <c r="C4263" t="s">
        <v>318</v>
      </c>
      <c r="D4263" t="s">
        <v>316</v>
      </c>
      <c r="E4263" t="s">
        <v>64</v>
      </c>
      <c r="F4263" t="s">
        <v>306</v>
      </c>
      <c r="G4263" t="s">
        <v>11</v>
      </c>
      <c r="H4263">
        <v>4215.0</v>
      </c>
      <c r="I4263" t="s">
        <v>31</v>
      </c>
      <c r="J4263" t="s">
        <v>61</v>
      </c>
      <c r="K4263" t="s">
        <v>57</v>
      </c>
      <c r="L4263" t="s">
        <v>58</v>
      </c>
      <c r="M4263">
        <v>3350.8000000000006</v>
      </c>
    </row>
    <row r="4264">
      <c r="A4264" s="2">
        <v>45447</v>
      </c>
      <c r="B4264">
        <v>2024.0</v>
      </c>
      <c r="C4264" t="s">
        <v>318</v>
      </c>
      <c r="D4264" t="s">
        <v>319</v>
      </c>
      <c r="E4264" t="s">
        <v>179</v>
      </c>
      <c r="F4264" t="s">
        <v>304</v>
      </c>
      <c r="G4264" t="s">
        <v>9</v>
      </c>
      <c r="H4264">
        <v>2015.0</v>
      </c>
      <c r="I4264" t="s">
        <v>31</v>
      </c>
      <c r="J4264" t="s">
        <v>99</v>
      </c>
      <c r="K4264" t="s">
        <v>123</v>
      </c>
      <c r="L4264" t="s">
        <v>124</v>
      </c>
      <c r="M4264">
        <v>3351.8200000000033</v>
      </c>
    </row>
    <row r="4265">
      <c r="A4265" s="2">
        <v>45446</v>
      </c>
      <c r="B4265">
        <v>2024.0</v>
      </c>
      <c r="C4265" t="s">
        <v>318</v>
      </c>
      <c r="D4265" t="s">
        <v>316</v>
      </c>
      <c r="E4265" t="s">
        <v>108</v>
      </c>
      <c r="F4265" t="s">
        <v>304</v>
      </c>
      <c r="G4265" t="s">
        <v>9</v>
      </c>
      <c r="H4265">
        <v>2795.0</v>
      </c>
      <c r="I4265" t="s">
        <v>31</v>
      </c>
      <c r="J4265" t="s">
        <v>75</v>
      </c>
      <c r="K4265" t="s">
        <v>57</v>
      </c>
      <c r="L4265" t="s">
        <v>58</v>
      </c>
      <c r="M4265">
        <v>3355.05</v>
      </c>
    </row>
    <row r="4266">
      <c r="A4266" s="2">
        <v>45549</v>
      </c>
      <c r="B4266">
        <v>2025.0</v>
      </c>
      <c r="C4266" t="s">
        <v>315</v>
      </c>
      <c r="D4266" t="s">
        <v>316</v>
      </c>
      <c r="E4266" t="s">
        <v>221</v>
      </c>
      <c r="F4266" t="s">
        <v>306</v>
      </c>
      <c r="G4266" t="s">
        <v>11</v>
      </c>
      <c r="H4266">
        <v>4053.0</v>
      </c>
      <c r="I4266" t="s">
        <v>31</v>
      </c>
      <c r="J4266" t="s">
        <v>56</v>
      </c>
      <c r="K4266" t="s">
        <v>123</v>
      </c>
      <c r="L4266" t="s">
        <v>124</v>
      </c>
      <c r="M4266">
        <v>3372.2800000000025</v>
      </c>
    </row>
    <row r="4267">
      <c r="A4267" s="2">
        <v>45847</v>
      </c>
      <c r="B4267">
        <v>2026.0</v>
      </c>
      <c r="C4267" t="s">
        <v>321</v>
      </c>
      <c r="D4267" t="s">
        <v>316</v>
      </c>
      <c r="E4267" t="s">
        <v>110</v>
      </c>
      <c r="F4267" t="s">
        <v>304</v>
      </c>
      <c r="G4267" t="s">
        <v>9</v>
      </c>
      <c r="H4267">
        <v>2101.0</v>
      </c>
      <c r="I4267" t="s">
        <v>31</v>
      </c>
      <c r="J4267" t="s">
        <v>81</v>
      </c>
      <c r="K4267" t="s">
        <v>33</v>
      </c>
      <c r="L4267" t="s">
        <v>34</v>
      </c>
      <c r="M4267">
        <v>3377.2000000000007</v>
      </c>
    </row>
    <row r="4268">
      <c r="A4268" s="2">
        <v>45710</v>
      </c>
      <c r="B4268">
        <v>2025.0</v>
      </c>
      <c r="C4268" t="s">
        <v>315</v>
      </c>
      <c r="D4268" t="s">
        <v>316</v>
      </c>
      <c r="E4268" t="s">
        <v>160</v>
      </c>
      <c r="F4268" t="s">
        <v>307</v>
      </c>
      <c r="G4268" t="s">
        <v>12</v>
      </c>
      <c r="H4268">
        <v>6280.0</v>
      </c>
      <c r="I4268" t="s">
        <v>31</v>
      </c>
      <c r="J4268" t="s">
        <v>162</v>
      </c>
      <c r="K4268" t="s">
        <v>71</v>
      </c>
      <c r="L4268" t="s">
        <v>72</v>
      </c>
      <c r="M4268">
        <v>3397.3100000000004</v>
      </c>
    </row>
    <row r="4269">
      <c r="A4269" s="2">
        <v>45949</v>
      </c>
      <c r="B4269">
        <v>2026.0</v>
      </c>
      <c r="C4269" t="s">
        <v>321</v>
      </c>
      <c r="D4269" t="s">
        <v>316</v>
      </c>
      <c r="E4269" t="s">
        <v>108</v>
      </c>
      <c r="F4269" t="s">
        <v>304</v>
      </c>
      <c r="G4269" t="s">
        <v>9</v>
      </c>
      <c r="H4269">
        <v>2795.0</v>
      </c>
      <c r="I4269" t="s">
        <v>31</v>
      </c>
      <c r="J4269" t="s">
        <v>75</v>
      </c>
      <c r="K4269" t="s">
        <v>123</v>
      </c>
      <c r="L4269" t="s">
        <v>124</v>
      </c>
      <c r="M4269">
        <v>3399.230000000002</v>
      </c>
    </row>
    <row r="4270">
      <c r="A4270" s="2">
        <v>45815</v>
      </c>
      <c r="B4270">
        <v>2025.0</v>
      </c>
      <c r="C4270" t="s">
        <v>315</v>
      </c>
      <c r="D4270" t="s">
        <v>316</v>
      </c>
      <c r="E4270" t="s">
        <v>246</v>
      </c>
      <c r="F4270" t="s">
        <v>305</v>
      </c>
      <c r="G4270" t="s">
        <v>10</v>
      </c>
      <c r="H4270">
        <v>3551.0</v>
      </c>
      <c r="I4270" t="s">
        <v>31</v>
      </c>
      <c r="J4270" t="s">
        <v>37</v>
      </c>
      <c r="K4270" t="s">
        <v>123</v>
      </c>
      <c r="L4270" t="s">
        <v>124</v>
      </c>
      <c r="M4270">
        <v>3415.0300000000016</v>
      </c>
    </row>
    <row r="4271">
      <c r="A4271" s="2">
        <v>45727</v>
      </c>
      <c r="B4271">
        <v>2025.0</v>
      </c>
      <c r="C4271" t="s">
        <v>315</v>
      </c>
      <c r="D4271" t="s">
        <v>316</v>
      </c>
      <c r="E4271" t="s">
        <v>240</v>
      </c>
      <c r="F4271" t="s">
        <v>310</v>
      </c>
      <c r="G4271" t="s">
        <v>15</v>
      </c>
      <c r="H4271">
        <v>7010.0</v>
      </c>
      <c r="I4271" t="s">
        <v>31</v>
      </c>
      <c r="J4271" t="s">
        <v>53</v>
      </c>
      <c r="K4271" t="s">
        <v>71</v>
      </c>
      <c r="L4271" t="s">
        <v>72</v>
      </c>
      <c r="M4271">
        <v>3417.23</v>
      </c>
    </row>
    <row r="4272">
      <c r="A4272" s="2">
        <v>45969</v>
      </c>
      <c r="B4272">
        <v>2026.0</v>
      </c>
      <c r="C4272" t="s">
        <v>321</v>
      </c>
      <c r="D4272" t="s">
        <v>316</v>
      </c>
      <c r="E4272" t="s">
        <v>173</v>
      </c>
      <c r="F4272" t="s">
        <v>306</v>
      </c>
      <c r="G4272" t="s">
        <v>11</v>
      </c>
      <c r="H4272">
        <v>4220.0</v>
      </c>
      <c r="I4272" t="s">
        <v>31</v>
      </c>
      <c r="J4272" t="s">
        <v>61</v>
      </c>
      <c r="K4272" t="s">
        <v>71</v>
      </c>
      <c r="L4272" t="s">
        <v>72</v>
      </c>
      <c r="M4272">
        <v>3443.64</v>
      </c>
    </row>
    <row r="4273">
      <c r="A4273" s="2">
        <v>45758</v>
      </c>
      <c r="B4273">
        <v>2025.0</v>
      </c>
      <c r="C4273" t="s">
        <v>315</v>
      </c>
      <c r="D4273" t="s">
        <v>316</v>
      </c>
      <c r="E4273" t="s">
        <v>250</v>
      </c>
      <c r="F4273" t="s">
        <v>305</v>
      </c>
      <c r="G4273" t="s">
        <v>10</v>
      </c>
      <c r="H4273">
        <v>3550.0</v>
      </c>
      <c r="I4273" t="s">
        <v>31</v>
      </c>
      <c r="J4273" t="s">
        <v>37</v>
      </c>
      <c r="K4273" t="s">
        <v>123</v>
      </c>
      <c r="L4273" t="s">
        <v>124</v>
      </c>
      <c r="M4273">
        <v>3453.170000000001</v>
      </c>
    </row>
    <row r="4274">
      <c r="A4274" s="2">
        <v>45496</v>
      </c>
      <c r="B4274">
        <v>2025.0</v>
      </c>
      <c r="C4274" t="s">
        <v>315</v>
      </c>
      <c r="D4274" t="s">
        <v>316</v>
      </c>
      <c r="E4274" t="s">
        <v>139</v>
      </c>
      <c r="F4274" t="s">
        <v>305</v>
      </c>
      <c r="G4274" t="s">
        <v>10</v>
      </c>
      <c r="H4274">
        <v>3199.0</v>
      </c>
      <c r="I4274" t="s">
        <v>31</v>
      </c>
      <c r="J4274" t="s">
        <v>89</v>
      </c>
      <c r="K4274" t="s">
        <v>71</v>
      </c>
      <c r="L4274" t="s">
        <v>72</v>
      </c>
      <c r="M4274">
        <v>3458.11</v>
      </c>
    </row>
    <row r="4275">
      <c r="A4275" s="2">
        <v>45546</v>
      </c>
      <c r="B4275">
        <v>2025.0</v>
      </c>
      <c r="C4275" t="s">
        <v>315</v>
      </c>
      <c r="D4275" t="s">
        <v>316</v>
      </c>
      <c r="E4275" t="s">
        <v>133</v>
      </c>
      <c r="F4275" t="s">
        <v>305</v>
      </c>
      <c r="G4275" t="s">
        <v>10</v>
      </c>
      <c r="H4275">
        <v>3429.0</v>
      </c>
      <c r="I4275" t="s">
        <v>31</v>
      </c>
      <c r="J4275" t="s">
        <v>37</v>
      </c>
      <c r="K4275" t="s">
        <v>71</v>
      </c>
      <c r="L4275" t="s">
        <v>72</v>
      </c>
      <c r="M4275">
        <v>3460.189999999999</v>
      </c>
    </row>
    <row r="4276">
      <c r="A4276" s="2">
        <v>45369</v>
      </c>
      <c r="B4276">
        <v>2024.0</v>
      </c>
      <c r="C4276" t="s">
        <v>318</v>
      </c>
      <c r="D4276" t="s">
        <v>316</v>
      </c>
      <c r="E4276" t="s">
        <v>183</v>
      </c>
      <c r="F4276" t="s">
        <v>304</v>
      </c>
      <c r="G4276" t="s">
        <v>9</v>
      </c>
      <c r="H4276">
        <v>2480.0</v>
      </c>
      <c r="I4276" t="s">
        <v>31</v>
      </c>
      <c r="J4276" t="s">
        <v>70</v>
      </c>
      <c r="K4276" t="s">
        <v>57</v>
      </c>
      <c r="L4276" t="s">
        <v>58</v>
      </c>
      <c r="M4276">
        <v>3460.9100000000003</v>
      </c>
    </row>
    <row r="4277">
      <c r="A4277" s="2">
        <v>45671</v>
      </c>
      <c r="B4277">
        <v>2025.0</v>
      </c>
      <c r="C4277" t="s">
        <v>315</v>
      </c>
      <c r="D4277" t="s">
        <v>319</v>
      </c>
      <c r="E4277" t="s">
        <v>209</v>
      </c>
      <c r="F4277" t="s">
        <v>304</v>
      </c>
      <c r="G4277" t="s">
        <v>9</v>
      </c>
      <c r="H4277">
        <v>2116.0</v>
      </c>
      <c r="I4277" t="s">
        <v>31</v>
      </c>
      <c r="J4277" t="s">
        <v>81</v>
      </c>
      <c r="K4277" t="s">
        <v>57</v>
      </c>
      <c r="L4277" t="s">
        <v>58</v>
      </c>
      <c r="M4277">
        <v>3464.83</v>
      </c>
    </row>
    <row r="4278">
      <c r="A4278" s="2">
        <v>45744</v>
      </c>
      <c r="B4278">
        <v>2025.0</v>
      </c>
      <c r="C4278" t="s">
        <v>315</v>
      </c>
      <c r="D4278" t="s">
        <v>316</v>
      </c>
      <c r="E4278" t="s">
        <v>183</v>
      </c>
      <c r="F4278" t="s">
        <v>304</v>
      </c>
      <c r="G4278" t="s">
        <v>9</v>
      </c>
      <c r="H4278">
        <v>2480.0</v>
      </c>
      <c r="I4278" t="s">
        <v>31</v>
      </c>
      <c r="J4278" t="s">
        <v>70</v>
      </c>
      <c r="K4278" t="s">
        <v>95</v>
      </c>
      <c r="L4278" t="s">
        <v>96</v>
      </c>
      <c r="M4278">
        <v>3467.9799999999996</v>
      </c>
    </row>
    <row r="4279">
      <c r="A4279" s="2">
        <v>45575</v>
      </c>
      <c r="B4279">
        <v>2025.0</v>
      </c>
      <c r="C4279" t="s">
        <v>315</v>
      </c>
      <c r="D4279" t="s">
        <v>316</v>
      </c>
      <c r="E4279" t="s">
        <v>246</v>
      </c>
      <c r="F4279" t="s">
        <v>305</v>
      </c>
      <c r="G4279" t="s">
        <v>10</v>
      </c>
      <c r="H4279">
        <v>3551.0</v>
      </c>
      <c r="I4279" t="s">
        <v>31</v>
      </c>
      <c r="J4279" t="s">
        <v>37</v>
      </c>
      <c r="K4279" t="s">
        <v>95</v>
      </c>
      <c r="L4279" t="s">
        <v>96</v>
      </c>
      <c r="M4279">
        <v>3473.19</v>
      </c>
    </row>
    <row r="4280">
      <c r="A4280" s="2">
        <v>45946</v>
      </c>
      <c r="B4280">
        <v>2026.0</v>
      </c>
      <c r="C4280" t="s">
        <v>321</v>
      </c>
      <c r="D4280" t="s">
        <v>316</v>
      </c>
      <c r="E4280" t="s">
        <v>62</v>
      </c>
      <c r="F4280" t="s">
        <v>307</v>
      </c>
      <c r="G4280" t="s">
        <v>12</v>
      </c>
      <c r="H4280">
        <v>6530.0</v>
      </c>
      <c r="I4280" t="s">
        <v>31</v>
      </c>
      <c r="J4280" t="s">
        <v>50</v>
      </c>
      <c r="K4280" t="s">
        <v>71</v>
      </c>
      <c r="L4280" t="s">
        <v>72</v>
      </c>
      <c r="M4280">
        <v>3474.51</v>
      </c>
    </row>
    <row r="4281">
      <c r="A4281" s="2">
        <v>45737</v>
      </c>
      <c r="B4281">
        <v>2025.0</v>
      </c>
      <c r="C4281" t="s">
        <v>315</v>
      </c>
      <c r="D4281" t="s">
        <v>316</v>
      </c>
      <c r="E4281" t="s">
        <v>97</v>
      </c>
      <c r="F4281" t="s">
        <v>304</v>
      </c>
      <c r="G4281" t="s">
        <v>9</v>
      </c>
      <c r="H4281">
        <v>2067.0</v>
      </c>
      <c r="I4281" t="s">
        <v>31</v>
      </c>
      <c r="J4281" t="s">
        <v>99</v>
      </c>
      <c r="K4281" t="s">
        <v>33</v>
      </c>
      <c r="L4281" t="s">
        <v>34</v>
      </c>
      <c r="M4281">
        <v>3492.9100000000008</v>
      </c>
    </row>
    <row r="4282">
      <c r="A4282" s="2">
        <v>45887</v>
      </c>
      <c r="B4282">
        <v>2026.0</v>
      </c>
      <c r="C4282" t="s">
        <v>321</v>
      </c>
      <c r="D4282" t="s">
        <v>316</v>
      </c>
      <c r="E4282" t="s">
        <v>199</v>
      </c>
      <c r="F4282" t="s">
        <v>308</v>
      </c>
      <c r="G4282" t="s">
        <v>13</v>
      </c>
      <c r="H4282">
        <v>5169.0</v>
      </c>
      <c r="I4282" t="s">
        <v>31</v>
      </c>
      <c r="J4282" t="s">
        <v>42</v>
      </c>
      <c r="K4282" t="s">
        <v>71</v>
      </c>
      <c r="L4282" t="s">
        <v>72</v>
      </c>
      <c r="M4282">
        <v>3516.87</v>
      </c>
    </row>
    <row r="4283">
      <c r="A4283" s="2">
        <v>45451</v>
      </c>
      <c r="B4283">
        <v>2024.0</v>
      </c>
      <c r="C4283" t="s">
        <v>318</v>
      </c>
      <c r="D4283" t="s">
        <v>316</v>
      </c>
      <c r="E4283" t="s">
        <v>232</v>
      </c>
      <c r="F4283" t="s">
        <v>304</v>
      </c>
      <c r="G4283" t="s">
        <v>9</v>
      </c>
      <c r="H4283">
        <v>2800.0</v>
      </c>
      <c r="I4283" t="s">
        <v>31</v>
      </c>
      <c r="J4283" t="s">
        <v>75</v>
      </c>
      <c r="K4283" t="s">
        <v>57</v>
      </c>
      <c r="L4283" t="s">
        <v>58</v>
      </c>
      <c r="M4283">
        <v>3557.790000000001</v>
      </c>
    </row>
    <row r="4284">
      <c r="A4284" s="2">
        <v>45368</v>
      </c>
      <c r="B4284">
        <v>2024.0</v>
      </c>
      <c r="C4284" t="s">
        <v>318</v>
      </c>
      <c r="D4284" t="s">
        <v>316</v>
      </c>
      <c r="E4284" t="s">
        <v>118</v>
      </c>
      <c r="F4284" t="s">
        <v>305</v>
      </c>
      <c r="G4284" t="s">
        <v>10</v>
      </c>
      <c r="H4284">
        <v>3076.0</v>
      </c>
      <c r="I4284" t="s">
        <v>31</v>
      </c>
      <c r="J4284" t="s">
        <v>120</v>
      </c>
      <c r="K4284" t="s">
        <v>71</v>
      </c>
      <c r="L4284" t="s">
        <v>72</v>
      </c>
      <c r="M4284">
        <v>3579.119999999999</v>
      </c>
    </row>
    <row r="4285">
      <c r="A4285" s="2">
        <v>45598</v>
      </c>
      <c r="B4285">
        <v>2025.0</v>
      </c>
      <c r="C4285" t="s">
        <v>315</v>
      </c>
      <c r="D4285" t="s">
        <v>316</v>
      </c>
      <c r="E4285" t="s">
        <v>82</v>
      </c>
      <c r="F4285" t="s">
        <v>306</v>
      </c>
      <c r="G4285" t="s">
        <v>11</v>
      </c>
      <c r="H4285">
        <v>4558.0</v>
      </c>
      <c r="I4285" t="s">
        <v>31</v>
      </c>
      <c r="J4285" t="s">
        <v>84</v>
      </c>
      <c r="K4285" t="s">
        <v>123</v>
      </c>
      <c r="L4285" t="s">
        <v>124</v>
      </c>
      <c r="M4285">
        <v>3581.990000000002</v>
      </c>
    </row>
    <row r="4286">
      <c r="A4286" s="2">
        <v>45829</v>
      </c>
      <c r="B4286">
        <v>2025.0</v>
      </c>
      <c r="C4286" t="s">
        <v>315</v>
      </c>
      <c r="D4286" t="s">
        <v>316</v>
      </c>
      <c r="E4286" t="s">
        <v>181</v>
      </c>
      <c r="F4286" t="s">
        <v>306</v>
      </c>
      <c r="G4286" t="s">
        <v>11</v>
      </c>
      <c r="H4286">
        <v>4119.0</v>
      </c>
      <c r="I4286" t="s">
        <v>31</v>
      </c>
      <c r="J4286" t="s">
        <v>56</v>
      </c>
      <c r="K4286" t="s">
        <v>71</v>
      </c>
      <c r="L4286" t="s">
        <v>72</v>
      </c>
      <c r="M4286">
        <v>3603.14</v>
      </c>
    </row>
    <row r="4287">
      <c r="A4287" s="2">
        <v>46001</v>
      </c>
      <c r="B4287">
        <v>2026.0</v>
      </c>
      <c r="C4287" t="s">
        <v>321</v>
      </c>
      <c r="D4287" t="s">
        <v>316</v>
      </c>
      <c r="E4287" t="s">
        <v>221</v>
      </c>
      <c r="F4287" t="s">
        <v>306</v>
      </c>
      <c r="G4287" t="s">
        <v>11</v>
      </c>
      <c r="H4287">
        <v>4053.0</v>
      </c>
      <c r="I4287" t="s">
        <v>31</v>
      </c>
      <c r="J4287" t="s">
        <v>56</v>
      </c>
      <c r="K4287" t="s">
        <v>95</v>
      </c>
      <c r="L4287" t="s">
        <v>96</v>
      </c>
      <c r="M4287">
        <v>3603.7299999999996</v>
      </c>
    </row>
    <row r="4288">
      <c r="A4288" s="2">
        <v>45718</v>
      </c>
      <c r="B4288">
        <v>2025.0</v>
      </c>
      <c r="C4288" t="s">
        <v>315</v>
      </c>
      <c r="D4288" t="s">
        <v>316</v>
      </c>
      <c r="E4288" t="s">
        <v>221</v>
      </c>
      <c r="F4288" t="s">
        <v>306</v>
      </c>
      <c r="G4288" t="s">
        <v>11</v>
      </c>
      <c r="H4288">
        <v>4053.0</v>
      </c>
      <c r="I4288" t="s">
        <v>31</v>
      </c>
      <c r="J4288" t="s">
        <v>56</v>
      </c>
      <c r="K4288" t="s">
        <v>57</v>
      </c>
      <c r="L4288" t="s">
        <v>58</v>
      </c>
      <c r="M4288">
        <v>3625.08</v>
      </c>
    </row>
    <row r="4289">
      <c r="A4289" s="2">
        <v>45731</v>
      </c>
      <c r="B4289">
        <v>2025.0</v>
      </c>
      <c r="C4289" t="s">
        <v>315</v>
      </c>
      <c r="D4289" t="s">
        <v>316</v>
      </c>
      <c r="E4289" t="s">
        <v>110</v>
      </c>
      <c r="F4289" t="s">
        <v>304</v>
      </c>
      <c r="G4289" t="s">
        <v>9</v>
      </c>
      <c r="H4289">
        <v>2101.0</v>
      </c>
      <c r="I4289" t="s">
        <v>31</v>
      </c>
      <c r="J4289" t="s">
        <v>81</v>
      </c>
      <c r="K4289" t="s">
        <v>43</v>
      </c>
      <c r="L4289" t="s">
        <v>44</v>
      </c>
      <c r="M4289">
        <v>3650.8499999999995</v>
      </c>
    </row>
    <row r="4290">
      <c r="A4290" s="2">
        <v>45972</v>
      </c>
      <c r="B4290">
        <v>2026.0</v>
      </c>
      <c r="C4290" t="s">
        <v>321</v>
      </c>
      <c r="D4290" t="s">
        <v>316</v>
      </c>
      <c r="E4290" t="s">
        <v>108</v>
      </c>
      <c r="F4290" t="s">
        <v>304</v>
      </c>
      <c r="G4290" t="s">
        <v>9</v>
      </c>
      <c r="H4290">
        <v>2795.0</v>
      </c>
      <c r="I4290" t="s">
        <v>31</v>
      </c>
      <c r="J4290" t="s">
        <v>75</v>
      </c>
      <c r="K4290" t="s">
        <v>71</v>
      </c>
      <c r="L4290" t="s">
        <v>72</v>
      </c>
      <c r="M4290">
        <v>3668.899999999999</v>
      </c>
    </row>
    <row r="4291">
      <c r="A4291" s="2">
        <v>45531</v>
      </c>
      <c r="B4291">
        <v>2025.0</v>
      </c>
      <c r="C4291" t="s">
        <v>315</v>
      </c>
      <c r="D4291" t="s">
        <v>316</v>
      </c>
      <c r="E4291" t="s">
        <v>64</v>
      </c>
      <c r="F4291" t="s">
        <v>306</v>
      </c>
      <c r="G4291" t="s">
        <v>11</v>
      </c>
      <c r="H4291">
        <v>4215.0</v>
      </c>
      <c r="I4291" t="s">
        <v>31</v>
      </c>
      <c r="J4291" t="s">
        <v>61</v>
      </c>
      <c r="K4291" t="s">
        <v>95</v>
      </c>
      <c r="L4291" t="s">
        <v>96</v>
      </c>
      <c r="M4291">
        <v>3673.19</v>
      </c>
    </row>
    <row r="4292">
      <c r="A4292" s="2">
        <v>45670</v>
      </c>
      <c r="B4292">
        <v>2025.0</v>
      </c>
      <c r="C4292" t="s">
        <v>315</v>
      </c>
      <c r="D4292" t="s">
        <v>319</v>
      </c>
      <c r="E4292" t="s">
        <v>256</v>
      </c>
      <c r="F4292" t="s">
        <v>304</v>
      </c>
      <c r="G4292" t="s">
        <v>9</v>
      </c>
      <c r="H4292">
        <v>2350.0</v>
      </c>
      <c r="I4292" t="s">
        <v>31</v>
      </c>
      <c r="J4292" t="s">
        <v>70</v>
      </c>
      <c r="K4292" t="s">
        <v>71</v>
      </c>
      <c r="L4292" t="s">
        <v>72</v>
      </c>
      <c r="M4292">
        <v>3688.2400000000002</v>
      </c>
    </row>
    <row r="4293">
      <c r="A4293" s="2">
        <v>45874</v>
      </c>
      <c r="B4293">
        <v>2026.0</v>
      </c>
      <c r="C4293" t="s">
        <v>321</v>
      </c>
      <c r="D4293" t="s">
        <v>319</v>
      </c>
      <c r="E4293" t="s">
        <v>256</v>
      </c>
      <c r="F4293" t="s">
        <v>304</v>
      </c>
      <c r="G4293" t="s">
        <v>9</v>
      </c>
      <c r="H4293">
        <v>2350.0</v>
      </c>
      <c r="I4293" t="s">
        <v>31</v>
      </c>
      <c r="J4293" t="s">
        <v>70</v>
      </c>
      <c r="K4293" t="s">
        <v>123</v>
      </c>
      <c r="L4293" t="s">
        <v>124</v>
      </c>
      <c r="M4293">
        <v>3713.3600000000024</v>
      </c>
    </row>
    <row r="4294">
      <c r="A4294" s="2">
        <v>45536</v>
      </c>
      <c r="B4294">
        <v>2025.0</v>
      </c>
      <c r="C4294" t="s">
        <v>315</v>
      </c>
      <c r="D4294" t="s">
        <v>316</v>
      </c>
      <c r="E4294" t="s">
        <v>141</v>
      </c>
      <c r="F4294" t="s">
        <v>304</v>
      </c>
      <c r="G4294" t="s">
        <v>9</v>
      </c>
      <c r="H4294">
        <v>2539.0</v>
      </c>
      <c r="I4294" t="s">
        <v>31</v>
      </c>
      <c r="J4294" t="s">
        <v>107</v>
      </c>
      <c r="K4294" t="s">
        <v>71</v>
      </c>
      <c r="L4294" t="s">
        <v>72</v>
      </c>
      <c r="M4294">
        <v>3731.6399999999994</v>
      </c>
    </row>
    <row r="4295">
      <c r="A4295" s="2">
        <v>45797</v>
      </c>
      <c r="B4295">
        <v>2025.0</v>
      </c>
      <c r="C4295" t="s">
        <v>315</v>
      </c>
      <c r="D4295" t="s">
        <v>316</v>
      </c>
      <c r="E4295" t="s">
        <v>183</v>
      </c>
      <c r="F4295" t="s">
        <v>304</v>
      </c>
      <c r="G4295" t="s">
        <v>9</v>
      </c>
      <c r="H4295">
        <v>2480.0</v>
      </c>
      <c r="I4295" t="s">
        <v>31</v>
      </c>
      <c r="J4295" t="s">
        <v>70</v>
      </c>
      <c r="K4295" t="s">
        <v>123</v>
      </c>
      <c r="L4295" t="s">
        <v>124</v>
      </c>
      <c r="M4295">
        <v>3740.5200000000023</v>
      </c>
    </row>
    <row r="4296">
      <c r="A4296" s="2">
        <v>45473</v>
      </c>
      <c r="B4296">
        <v>2024.0</v>
      </c>
      <c r="C4296" t="s">
        <v>318</v>
      </c>
      <c r="D4296" t="s">
        <v>316</v>
      </c>
      <c r="E4296" t="s">
        <v>154</v>
      </c>
      <c r="F4296" t="s">
        <v>306</v>
      </c>
      <c r="G4296" t="s">
        <v>11</v>
      </c>
      <c r="H4296">
        <v>4551.0</v>
      </c>
      <c r="I4296" t="s">
        <v>31</v>
      </c>
      <c r="J4296" t="s">
        <v>84</v>
      </c>
      <c r="K4296" t="s">
        <v>71</v>
      </c>
      <c r="L4296" t="s">
        <v>72</v>
      </c>
      <c r="M4296">
        <v>3745.479999999999</v>
      </c>
    </row>
    <row r="4297">
      <c r="A4297" s="2">
        <v>45337</v>
      </c>
      <c r="B4297">
        <v>2024.0</v>
      </c>
      <c r="C4297" t="s">
        <v>318</v>
      </c>
      <c r="D4297" t="s">
        <v>316</v>
      </c>
      <c r="E4297" t="s">
        <v>87</v>
      </c>
      <c r="F4297" t="s">
        <v>305</v>
      </c>
      <c r="G4297" t="s">
        <v>10</v>
      </c>
      <c r="H4297">
        <v>3148.0</v>
      </c>
      <c r="I4297" t="s">
        <v>31</v>
      </c>
      <c r="J4297" t="s">
        <v>89</v>
      </c>
      <c r="K4297" t="s">
        <v>57</v>
      </c>
      <c r="L4297" t="s">
        <v>58</v>
      </c>
      <c r="M4297">
        <v>3753.87</v>
      </c>
    </row>
    <row r="4298">
      <c r="A4298" s="2">
        <v>45710</v>
      </c>
      <c r="B4298">
        <v>2025.0</v>
      </c>
      <c r="C4298" t="s">
        <v>315</v>
      </c>
      <c r="D4298" t="s">
        <v>316</v>
      </c>
      <c r="E4298" t="s">
        <v>219</v>
      </c>
      <c r="F4298" t="s">
        <v>306</v>
      </c>
      <c r="G4298" t="s">
        <v>11</v>
      </c>
      <c r="H4298">
        <v>4068.0</v>
      </c>
      <c r="I4298" t="s">
        <v>31</v>
      </c>
      <c r="J4298" t="s">
        <v>56</v>
      </c>
      <c r="K4298" t="s">
        <v>123</v>
      </c>
      <c r="L4298" t="s">
        <v>124</v>
      </c>
      <c r="M4298">
        <v>3761.3200000000006</v>
      </c>
    </row>
    <row r="4299">
      <c r="A4299" s="2">
        <v>45489</v>
      </c>
      <c r="B4299">
        <v>2025.0</v>
      </c>
      <c r="C4299" t="s">
        <v>315</v>
      </c>
      <c r="D4299" t="s">
        <v>316</v>
      </c>
      <c r="E4299" t="s">
        <v>163</v>
      </c>
      <c r="F4299" t="s">
        <v>304</v>
      </c>
      <c r="G4299" t="s">
        <v>9</v>
      </c>
      <c r="H4299">
        <v>2154.0</v>
      </c>
      <c r="I4299" t="s">
        <v>31</v>
      </c>
      <c r="J4299" t="s">
        <v>81</v>
      </c>
      <c r="K4299" t="s">
        <v>123</v>
      </c>
      <c r="L4299" t="s">
        <v>124</v>
      </c>
      <c r="M4299">
        <v>3762.8000000000015</v>
      </c>
    </row>
    <row r="4300">
      <c r="A4300" s="2">
        <v>45672</v>
      </c>
      <c r="B4300">
        <v>2025.0</v>
      </c>
      <c r="C4300" t="s">
        <v>315</v>
      </c>
      <c r="D4300" t="s">
        <v>316</v>
      </c>
      <c r="E4300" t="s">
        <v>82</v>
      </c>
      <c r="F4300" t="s">
        <v>306</v>
      </c>
      <c r="G4300" t="s">
        <v>11</v>
      </c>
      <c r="H4300">
        <v>4558.0</v>
      </c>
      <c r="I4300" t="s">
        <v>31</v>
      </c>
      <c r="J4300" t="s">
        <v>84</v>
      </c>
      <c r="K4300" t="s">
        <v>57</v>
      </c>
      <c r="L4300" t="s">
        <v>58</v>
      </c>
      <c r="M4300">
        <v>3763.5100000000007</v>
      </c>
    </row>
    <row r="4301">
      <c r="A4301" s="2">
        <v>45668</v>
      </c>
      <c r="B4301">
        <v>2025.0</v>
      </c>
      <c r="C4301" t="s">
        <v>315</v>
      </c>
      <c r="D4301" t="s">
        <v>316</v>
      </c>
      <c r="E4301" t="s">
        <v>232</v>
      </c>
      <c r="F4301" t="s">
        <v>304</v>
      </c>
      <c r="G4301" t="s">
        <v>9</v>
      </c>
      <c r="H4301">
        <v>2800.0</v>
      </c>
      <c r="I4301" t="s">
        <v>31</v>
      </c>
      <c r="J4301" t="s">
        <v>75</v>
      </c>
      <c r="K4301" t="s">
        <v>57</v>
      </c>
      <c r="L4301" t="s">
        <v>58</v>
      </c>
      <c r="M4301">
        <v>3773.6500000000005</v>
      </c>
    </row>
    <row r="4302">
      <c r="A4302" s="2">
        <v>45456</v>
      </c>
      <c r="B4302">
        <v>2024.0</v>
      </c>
      <c r="C4302" t="s">
        <v>318</v>
      </c>
      <c r="D4302" t="s">
        <v>316</v>
      </c>
      <c r="E4302" t="s">
        <v>197</v>
      </c>
      <c r="F4302" t="s">
        <v>304</v>
      </c>
      <c r="G4302" t="s">
        <v>9</v>
      </c>
      <c r="H4302">
        <v>2560.0</v>
      </c>
      <c r="I4302" t="s">
        <v>31</v>
      </c>
      <c r="J4302" t="s">
        <v>107</v>
      </c>
      <c r="K4302" t="s">
        <v>33</v>
      </c>
      <c r="L4302" t="s">
        <v>34</v>
      </c>
      <c r="M4302">
        <v>3776.9799999999996</v>
      </c>
    </row>
    <row r="4303">
      <c r="A4303" s="2">
        <v>46006</v>
      </c>
      <c r="B4303">
        <v>2026.0</v>
      </c>
      <c r="C4303" t="s">
        <v>321</v>
      </c>
      <c r="D4303" t="s">
        <v>316</v>
      </c>
      <c r="E4303" t="s">
        <v>185</v>
      </c>
      <c r="F4303" t="s">
        <v>307</v>
      </c>
      <c r="G4303" t="s">
        <v>12</v>
      </c>
      <c r="H4303">
        <v>6109.0</v>
      </c>
      <c r="I4303" t="s">
        <v>31</v>
      </c>
      <c r="J4303" t="s">
        <v>162</v>
      </c>
      <c r="K4303" t="s">
        <v>71</v>
      </c>
      <c r="L4303" t="s">
        <v>72</v>
      </c>
      <c r="M4303">
        <v>3793.35</v>
      </c>
    </row>
    <row r="4304">
      <c r="A4304" s="2">
        <v>45766</v>
      </c>
      <c r="B4304">
        <v>2025.0</v>
      </c>
      <c r="C4304" t="s">
        <v>315</v>
      </c>
      <c r="D4304" t="s">
        <v>316</v>
      </c>
      <c r="E4304" t="s">
        <v>244</v>
      </c>
      <c r="F4304" t="s">
        <v>308</v>
      </c>
      <c r="G4304" t="s">
        <v>13</v>
      </c>
      <c r="H4304">
        <v>5168.0</v>
      </c>
      <c r="I4304" t="s">
        <v>31</v>
      </c>
      <c r="J4304" t="s">
        <v>42</v>
      </c>
      <c r="K4304" t="s">
        <v>71</v>
      </c>
      <c r="L4304" t="s">
        <v>72</v>
      </c>
      <c r="M4304">
        <v>3831.5299999999997</v>
      </c>
    </row>
    <row r="4305">
      <c r="A4305" s="2">
        <v>45874</v>
      </c>
      <c r="B4305">
        <v>2026.0</v>
      </c>
      <c r="C4305" t="s">
        <v>321</v>
      </c>
      <c r="D4305" t="s">
        <v>319</v>
      </c>
      <c r="E4305" t="s">
        <v>129</v>
      </c>
      <c r="F4305" t="s">
        <v>305</v>
      </c>
      <c r="G4305" t="s">
        <v>10</v>
      </c>
      <c r="H4305">
        <v>3066.0</v>
      </c>
      <c r="I4305" t="s">
        <v>31</v>
      </c>
      <c r="J4305" t="s">
        <v>120</v>
      </c>
      <c r="K4305" t="s">
        <v>71</v>
      </c>
      <c r="L4305" t="s">
        <v>72</v>
      </c>
      <c r="M4305">
        <v>3852.2499999999995</v>
      </c>
    </row>
    <row r="4306">
      <c r="A4306" s="2">
        <v>45520</v>
      </c>
      <c r="B4306">
        <v>2025.0</v>
      </c>
      <c r="C4306" t="s">
        <v>315</v>
      </c>
      <c r="D4306" t="s">
        <v>319</v>
      </c>
      <c r="E4306" t="s">
        <v>209</v>
      </c>
      <c r="F4306" t="s">
        <v>304</v>
      </c>
      <c r="G4306" t="s">
        <v>9</v>
      </c>
      <c r="H4306">
        <v>2116.0</v>
      </c>
      <c r="I4306" t="s">
        <v>31</v>
      </c>
      <c r="J4306" t="s">
        <v>81</v>
      </c>
      <c r="K4306" t="s">
        <v>57</v>
      </c>
      <c r="L4306" t="s">
        <v>58</v>
      </c>
      <c r="M4306">
        <v>3856.9400000000005</v>
      </c>
    </row>
    <row r="4307">
      <c r="A4307" s="2">
        <v>45637</v>
      </c>
      <c r="B4307">
        <v>2025.0</v>
      </c>
      <c r="C4307" t="s">
        <v>315</v>
      </c>
      <c r="D4307" t="s">
        <v>316</v>
      </c>
      <c r="E4307" t="s">
        <v>154</v>
      </c>
      <c r="F4307" t="s">
        <v>306</v>
      </c>
      <c r="G4307" t="s">
        <v>11</v>
      </c>
      <c r="H4307">
        <v>4551.0</v>
      </c>
      <c r="I4307" t="s">
        <v>31</v>
      </c>
      <c r="J4307" t="s">
        <v>84</v>
      </c>
      <c r="K4307" t="s">
        <v>57</v>
      </c>
      <c r="L4307" t="s">
        <v>58</v>
      </c>
      <c r="M4307">
        <v>3857.2400000000002</v>
      </c>
    </row>
    <row r="4308">
      <c r="A4308" s="2">
        <v>45655</v>
      </c>
      <c r="B4308">
        <v>2025.0</v>
      </c>
      <c r="C4308" t="s">
        <v>315</v>
      </c>
      <c r="D4308" t="s">
        <v>316</v>
      </c>
      <c r="E4308" t="s">
        <v>108</v>
      </c>
      <c r="F4308" t="s">
        <v>304</v>
      </c>
      <c r="G4308" t="s">
        <v>9</v>
      </c>
      <c r="H4308">
        <v>2795.0</v>
      </c>
      <c r="I4308" t="s">
        <v>31</v>
      </c>
      <c r="J4308" t="s">
        <v>75</v>
      </c>
      <c r="K4308" t="s">
        <v>95</v>
      </c>
      <c r="L4308" t="s">
        <v>96</v>
      </c>
      <c r="M4308">
        <v>3864.9400000000005</v>
      </c>
    </row>
    <row r="4309">
      <c r="A4309" s="2">
        <v>45424</v>
      </c>
      <c r="B4309">
        <v>2024.0</v>
      </c>
      <c r="C4309" t="s">
        <v>318</v>
      </c>
      <c r="D4309" t="s">
        <v>316</v>
      </c>
      <c r="E4309" t="s">
        <v>87</v>
      </c>
      <c r="F4309" t="s">
        <v>305</v>
      </c>
      <c r="G4309" t="s">
        <v>10</v>
      </c>
      <c r="H4309">
        <v>3148.0</v>
      </c>
      <c r="I4309" t="s">
        <v>31</v>
      </c>
      <c r="J4309" t="s">
        <v>89</v>
      </c>
      <c r="K4309" t="s">
        <v>123</v>
      </c>
      <c r="L4309" t="s">
        <v>124</v>
      </c>
      <c r="M4309">
        <v>3867.6000000000026</v>
      </c>
    </row>
    <row r="4310">
      <c r="A4310" s="2">
        <v>45872</v>
      </c>
      <c r="B4310">
        <v>2026.0</v>
      </c>
      <c r="C4310" t="s">
        <v>321</v>
      </c>
      <c r="D4310" t="s">
        <v>316</v>
      </c>
      <c r="E4310" t="s">
        <v>193</v>
      </c>
      <c r="F4310" t="s">
        <v>304</v>
      </c>
      <c r="G4310" t="s">
        <v>9</v>
      </c>
      <c r="H4310">
        <v>2020.0</v>
      </c>
      <c r="I4310" t="s">
        <v>31</v>
      </c>
      <c r="J4310" t="s">
        <v>99</v>
      </c>
      <c r="K4310" t="s">
        <v>95</v>
      </c>
      <c r="L4310" t="s">
        <v>96</v>
      </c>
      <c r="M4310">
        <v>3870.9900000000025</v>
      </c>
    </row>
    <row r="4311">
      <c r="A4311" s="2">
        <v>45750</v>
      </c>
      <c r="B4311">
        <v>2025.0</v>
      </c>
      <c r="C4311" t="s">
        <v>315</v>
      </c>
      <c r="D4311" t="s">
        <v>316</v>
      </c>
      <c r="E4311" t="s">
        <v>116</v>
      </c>
      <c r="F4311" t="s">
        <v>304</v>
      </c>
      <c r="G4311" t="s">
        <v>9</v>
      </c>
      <c r="H4311">
        <v>2485.0</v>
      </c>
      <c r="I4311" t="s">
        <v>31</v>
      </c>
      <c r="J4311" t="s">
        <v>70</v>
      </c>
      <c r="K4311" t="s">
        <v>71</v>
      </c>
      <c r="L4311" t="s">
        <v>72</v>
      </c>
      <c r="M4311">
        <v>3874.62</v>
      </c>
    </row>
    <row r="4312">
      <c r="A4312" s="2">
        <v>45316</v>
      </c>
      <c r="B4312">
        <v>2024.0</v>
      </c>
      <c r="C4312" t="s">
        <v>318</v>
      </c>
      <c r="D4312" t="s">
        <v>316</v>
      </c>
      <c r="E4312" t="s">
        <v>160</v>
      </c>
      <c r="F4312" t="s">
        <v>307</v>
      </c>
      <c r="G4312" t="s">
        <v>12</v>
      </c>
      <c r="H4312">
        <v>6280.0</v>
      </c>
      <c r="I4312" t="s">
        <v>31</v>
      </c>
      <c r="J4312" t="s">
        <v>162</v>
      </c>
      <c r="K4312" t="s">
        <v>57</v>
      </c>
      <c r="L4312" t="s">
        <v>58</v>
      </c>
      <c r="M4312">
        <v>3893.05</v>
      </c>
    </row>
    <row r="4313">
      <c r="A4313" s="2">
        <v>45557</v>
      </c>
      <c r="B4313">
        <v>2025.0</v>
      </c>
      <c r="C4313" t="s">
        <v>315</v>
      </c>
      <c r="D4313" t="s">
        <v>316</v>
      </c>
      <c r="E4313" t="s">
        <v>90</v>
      </c>
      <c r="F4313" t="s">
        <v>305</v>
      </c>
      <c r="G4313" t="s">
        <v>10</v>
      </c>
      <c r="H4313">
        <v>3353.0</v>
      </c>
      <c r="I4313" t="s">
        <v>31</v>
      </c>
      <c r="J4313" t="s">
        <v>37</v>
      </c>
      <c r="K4313" t="s">
        <v>123</v>
      </c>
      <c r="L4313" t="s">
        <v>124</v>
      </c>
      <c r="M4313">
        <v>3911.400000000002</v>
      </c>
    </row>
    <row r="4314">
      <c r="A4314" s="2">
        <v>45644</v>
      </c>
      <c r="B4314">
        <v>2025.0</v>
      </c>
      <c r="C4314" t="s">
        <v>315</v>
      </c>
      <c r="D4314" t="s">
        <v>316</v>
      </c>
      <c r="E4314" t="s">
        <v>250</v>
      </c>
      <c r="F4314" t="s">
        <v>305</v>
      </c>
      <c r="G4314" t="s">
        <v>10</v>
      </c>
      <c r="H4314">
        <v>3550.0</v>
      </c>
      <c r="I4314" t="s">
        <v>31</v>
      </c>
      <c r="J4314" t="s">
        <v>37</v>
      </c>
      <c r="K4314" t="s">
        <v>46</v>
      </c>
      <c r="L4314" t="s">
        <v>47</v>
      </c>
      <c r="M4314">
        <v>3914.42</v>
      </c>
    </row>
    <row r="4315">
      <c r="A4315" s="2">
        <v>45532</v>
      </c>
      <c r="B4315">
        <v>2025.0</v>
      </c>
      <c r="C4315" t="s">
        <v>315</v>
      </c>
      <c r="D4315" t="s">
        <v>316</v>
      </c>
      <c r="E4315" t="s">
        <v>92</v>
      </c>
      <c r="F4315" t="s">
        <v>305</v>
      </c>
      <c r="G4315" t="s">
        <v>10</v>
      </c>
      <c r="H4315">
        <v>3690.0</v>
      </c>
      <c r="I4315" t="s">
        <v>31</v>
      </c>
      <c r="J4315" t="s">
        <v>94</v>
      </c>
      <c r="K4315" t="s">
        <v>71</v>
      </c>
      <c r="L4315" t="s">
        <v>72</v>
      </c>
      <c r="M4315">
        <v>3964.38</v>
      </c>
    </row>
    <row r="4316">
      <c r="A4316" s="2">
        <v>45671</v>
      </c>
      <c r="B4316">
        <v>2025.0</v>
      </c>
      <c r="C4316" t="s">
        <v>315</v>
      </c>
      <c r="D4316" t="s">
        <v>316</v>
      </c>
      <c r="E4316" t="s">
        <v>160</v>
      </c>
      <c r="F4316" t="s">
        <v>307</v>
      </c>
      <c r="G4316" t="s">
        <v>12</v>
      </c>
      <c r="H4316">
        <v>6280.0</v>
      </c>
      <c r="I4316" t="s">
        <v>31</v>
      </c>
      <c r="J4316" t="s">
        <v>162</v>
      </c>
      <c r="K4316" t="s">
        <v>123</v>
      </c>
      <c r="L4316" t="s">
        <v>124</v>
      </c>
      <c r="M4316">
        <v>3969.240000000002</v>
      </c>
    </row>
    <row r="4317">
      <c r="A4317" s="2">
        <v>45353</v>
      </c>
      <c r="B4317">
        <v>2024.0</v>
      </c>
      <c r="C4317" t="s">
        <v>318</v>
      </c>
      <c r="D4317" t="s">
        <v>316</v>
      </c>
      <c r="E4317" t="s">
        <v>114</v>
      </c>
      <c r="F4317" t="s">
        <v>304</v>
      </c>
      <c r="G4317" t="s">
        <v>9</v>
      </c>
      <c r="H4317">
        <v>2031.0</v>
      </c>
      <c r="I4317" t="s">
        <v>31</v>
      </c>
      <c r="J4317" t="s">
        <v>99</v>
      </c>
      <c r="K4317" t="s">
        <v>71</v>
      </c>
      <c r="L4317" t="s">
        <v>72</v>
      </c>
      <c r="M4317">
        <v>3979.8100000000004</v>
      </c>
    </row>
    <row r="4318">
      <c r="A4318" s="2">
        <v>45984</v>
      </c>
      <c r="B4318">
        <v>2026.0</v>
      </c>
      <c r="C4318" t="s">
        <v>321</v>
      </c>
      <c r="D4318" t="s">
        <v>319</v>
      </c>
      <c r="E4318" t="s">
        <v>209</v>
      </c>
      <c r="F4318" t="s">
        <v>304</v>
      </c>
      <c r="G4318" t="s">
        <v>9</v>
      </c>
      <c r="H4318">
        <v>2116.0</v>
      </c>
      <c r="I4318" t="s">
        <v>31</v>
      </c>
      <c r="J4318" t="s">
        <v>81</v>
      </c>
      <c r="K4318" t="s">
        <v>95</v>
      </c>
      <c r="L4318" t="s">
        <v>96</v>
      </c>
      <c r="M4318">
        <v>3985.06</v>
      </c>
    </row>
    <row r="4319">
      <c r="A4319" s="2">
        <v>45451</v>
      </c>
      <c r="B4319">
        <v>2024.0</v>
      </c>
      <c r="C4319" t="s">
        <v>318</v>
      </c>
      <c r="D4319" t="s">
        <v>316</v>
      </c>
      <c r="E4319" t="s">
        <v>146</v>
      </c>
      <c r="F4319" t="s">
        <v>304</v>
      </c>
      <c r="G4319" t="s">
        <v>9</v>
      </c>
      <c r="H4319">
        <v>2790.0</v>
      </c>
      <c r="I4319" t="s">
        <v>31</v>
      </c>
      <c r="J4319" t="s">
        <v>75</v>
      </c>
      <c r="K4319" t="s">
        <v>71</v>
      </c>
      <c r="L4319" t="s">
        <v>72</v>
      </c>
      <c r="M4319">
        <v>3988.85</v>
      </c>
    </row>
    <row r="4320">
      <c r="A4320" s="2">
        <v>46008</v>
      </c>
      <c r="B4320">
        <v>2026.0</v>
      </c>
      <c r="C4320" t="s">
        <v>321</v>
      </c>
      <c r="D4320" t="s">
        <v>319</v>
      </c>
      <c r="E4320" t="s">
        <v>129</v>
      </c>
      <c r="F4320" t="s">
        <v>305</v>
      </c>
      <c r="G4320" t="s">
        <v>10</v>
      </c>
      <c r="H4320">
        <v>3066.0</v>
      </c>
      <c r="I4320" t="s">
        <v>31</v>
      </c>
      <c r="J4320" t="s">
        <v>120</v>
      </c>
      <c r="K4320" t="s">
        <v>123</v>
      </c>
      <c r="L4320" t="s">
        <v>124</v>
      </c>
      <c r="M4320">
        <v>3990.0600000000036</v>
      </c>
    </row>
    <row r="4321">
      <c r="A4321" s="2">
        <v>45362</v>
      </c>
      <c r="B4321">
        <v>2024.0</v>
      </c>
      <c r="C4321" t="s">
        <v>318</v>
      </c>
      <c r="D4321" t="s">
        <v>316</v>
      </c>
      <c r="E4321" t="s">
        <v>203</v>
      </c>
      <c r="F4321" t="s">
        <v>305</v>
      </c>
      <c r="G4321" t="s">
        <v>10</v>
      </c>
      <c r="H4321">
        <v>3175.0</v>
      </c>
      <c r="I4321" t="s">
        <v>31</v>
      </c>
      <c r="J4321" t="s">
        <v>89</v>
      </c>
      <c r="K4321" t="s">
        <v>123</v>
      </c>
      <c r="L4321" t="s">
        <v>124</v>
      </c>
      <c r="M4321">
        <v>4015.2300000000014</v>
      </c>
    </row>
    <row r="4322">
      <c r="A4322" s="2">
        <v>45393</v>
      </c>
      <c r="B4322">
        <v>2024.0</v>
      </c>
      <c r="C4322" t="s">
        <v>318</v>
      </c>
      <c r="D4322" t="s">
        <v>316</v>
      </c>
      <c r="E4322" t="s">
        <v>87</v>
      </c>
      <c r="F4322" t="s">
        <v>305</v>
      </c>
      <c r="G4322" t="s">
        <v>10</v>
      </c>
      <c r="H4322">
        <v>3148.0</v>
      </c>
      <c r="I4322" t="s">
        <v>31</v>
      </c>
      <c r="J4322" t="s">
        <v>89</v>
      </c>
      <c r="K4322" t="s">
        <v>123</v>
      </c>
      <c r="L4322" t="s">
        <v>124</v>
      </c>
      <c r="M4322">
        <v>4040.8800000000015</v>
      </c>
    </row>
    <row r="4323">
      <c r="A4323" s="2">
        <v>45991</v>
      </c>
      <c r="B4323">
        <v>2026.0</v>
      </c>
      <c r="C4323" t="s">
        <v>321</v>
      </c>
      <c r="D4323" t="s">
        <v>319</v>
      </c>
      <c r="E4323" t="s">
        <v>256</v>
      </c>
      <c r="F4323" t="s">
        <v>304</v>
      </c>
      <c r="G4323" t="s">
        <v>9</v>
      </c>
      <c r="H4323">
        <v>2350.0</v>
      </c>
      <c r="I4323" t="s">
        <v>31</v>
      </c>
      <c r="J4323" t="s">
        <v>70</v>
      </c>
      <c r="K4323" t="s">
        <v>57</v>
      </c>
      <c r="L4323" t="s">
        <v>58</v>
      </c>
      <c r="M4323">
        <v>4041.0700000000006</v>
      </c>
    </row>
    <row r="4324">
      <c r="A4324" s="2">
        <v>46010</v>
      </c>
      <c r="B4324">
        <v>2026.0</v>
      </c>
      <c r="C4324" t="s">
        <v>321</v>
      </c>
      <c r="D4324" t="s">
        <v>316</v>
      </c>
      <c r="E4324" t="s">
        <v>183</v>
      </c>
      <c r="F4324" t="s">
        <v>304</v>
      </c>
      <c r="G4324" t="s">
        <v>9</v>
      </c>
      <c r="H4324">
        <v>2480.0</v>
      </c>
      <c r="I4324" t="s">
        <v>31</v>
      </c>
      <c r="J4324" t="s">
        <v>70</v>
      </c>
      <c r="K4324" t="s">
        <v>123</v>
      </c>
      <c r="L4324" t="s">
        <v>124</v>
      </c>
      <c r="M4324">
        <v>4042.050000000003</v>
      </c>
    </row>
    <row r="4325">
      <c r="A4325" s="2">
        <v>45533</v>
      </c>
      <c r="B4325">
        <v>2025.0</v>
      </c>
      <c r="C4325" t="s">
        <v>315</v>
      </c>
      <c r="D4325" t="s">
        <v>316</v>
      </c>
      <c r="E4325" t="s">
        <v>118</v>
      </c>
      <c r="F4325" t="s">
        <v>305</v>
      </c>
      <c r="G4325" t="s">
        <v>10</v>
      </c>
      <c r="H4325">
        <v>3076.0</v>
      </c>
      <c r="I4325" t="s">
        <v>31</v>
      </c>
      <c r="J4325" t="s">
        <v>120</v>
      </c>
      <c r="K4325" t="s">
        <v>57</v>
      </c>
      <c r="L4325" t="s">
        <v>58</v>
      </c>
      <c r="M4325">
        <v>4044.6700000000005</v>
      </c>
    </row>
    <row r="4326">
      <c r="A4326" s="2">
        <v>45466</v>
      </c>
      <c r="B4326">
        <v>2024.0</v>
      </c>
      <c r="C4326" t="s">
        <v>318</v>
      </c>
      <c r="D4326" t="s">
        <v>316</v>
      </c>
      <c r="E4326" t="s">
        <v>219</v>
      </c>
      <c r="F4326" t="s">
        <v>306</v>
      </c>
      <c r="G4326" t="s">
        <v>11</v>
      </c>
      <c r="H4326">
        <v>4068.0</v>
      </c>
      <c r="I4326" t="s">
        <v>31</v>
      </c>
      <c r="J4326" t="s">
        <v>56</v>
      </c>
      <c r="K4326" t="s">
        <v>123</v>
      </c>
      <c r="L4326" t="s">
        <v>124</v>
      </c>
      <c r="M4326">
        <v>4044.6900000000023</v>
      </c>
    </row>
    <row r="4327">
      <c r="A4327" s="2">
        <v>45761</v>
      </c>
      <c r="B4327">
        <v>2025.0</v>
      </c>
      <c r="C4327" t="s">
        <v>315</v>
      </c>
      <c r="D4327" t="s">
        <v>316</v>
      </c>
      <c r="E4327" t="s">
        <v>211</v>
      </c>
      <c r="F4327" t="s">
        <v>304</v>
      </c>
      <c r="G4327" t="s">
        <v>9</v>
      </c>
      <c r="H4327">
        <v>2650.0</v>
      </c>
      <c r="I4327" t="s">
        <v>31</v>
      </c>
      <c r="J4327" t="s">
        <v>75</v>
      </c>
      <c r="K4327" t="s">
        <v>71</v>
      </c>
      <c r="L4327" t="s">
        <v>72</v>
      </c>
      <c r="M4327">
        <v>4052.4399999999996</v>
      </c>
    </row>
    <row r="4328">
      <c r="A4328" s="2">
        <v>45504</v>
      </c>
      <c r="B4328">
        <v>2025.0</v>
      </c>
      <c r="C4328" t="s">
        <v>315</v>
      </c>
      <c r="D4328" t="s">
        <v>316</v>
      </c>
      <c r="E4328" t="s">
        <v>110</v>
      </c>
      <c r="F4328" t="s">
        <v>304</v>
      </c>
      <c r="G4328" t="s">
        <v>9</v>
      </c>
      <c r="H4328">
        <v>2101.0</v>
      </c>
      <c r="I4328" t="s">
        <v>31</v>
      </c>
      <c r="J4328" t="s">
        <v>81</v>
      </c>
      <c r="K4328" t="s">
        <v>123</v>
      </c>
      <c r="L4328" t="s">
        <v>124</v>
      </c>
      <c r="M4328">
        <v>4062.0000000000027</v>
      </c>
    </row>
    <row r="4329">
      <c r="A4329" s="2">
        <v>45882</v>
      </c>
      <c r="B4329">
        <v>2026.0</v>
      </c>
      <c r="C4329" t="s">
        <v>321</v>
      </c>
      <c r="D4329" t="s">
        <v>316</v>
      </c>
      <c r="E4329" t="s">
        <v>97</v>
      </c>
      <c r="F4329" t="s">
        <v>304</v>
      </c>
      <c r="G4329" t="s">
        <v>9</v>
      </c>
      <c r="H4329">
        <v>2067.0</v>
      </c>
      <c r="I4329" t="s">
        <v>31</v>
      </c>
      <c r="J4329" t="s">
        <v>99</v>
      </c>
      <c r="K4329" t="s">
        <v>43</v>
      </c>
      <c r="L4329" t="s">
        <v>44</v>
      </c>
      <c r="M4329">
        <v>4074.37</v>
      </c>
    </row>
    <row r="4330">
      <c r="A4330" s="2">
        <v>45381</v>
      </c>
      <c r="B4330">
        <v>2024.0</v>
      </c>
      <c r="C4330" t="s">
        <v>318</v>
      </c>
      <c r="D4330" t="s">
        <v>316</v>
      </c>
      <c r="E4330" t="s">
        <v>156</v>
      </c>
      <c r="F4330" t="s">
        <v>304</v>
      </c>
      <c r="G4330" t="s">
        <v>9</v>
      </c>
      <c r="H4330">
        <v>2830.0</v>
      </c>
      <c r="I4330" t="s">
        <v>31</v>
      </c>
      <c r="J4330" t="s">
        <v>75</v>
      </c>
      <c r="K4330" t="s">
        <v>57</v>
      </c>
      <c r="L4330" t="s">
        <v>58</v>
      </c>
      <c r="M4330">
        <v>4082.2000000000003</v>
      </c>
    </row>
    <row r="4331">
      <c r="A4331" s="2">
        <v>46016</v>
      </c>
      <c r="B4331">
        <v>2026.0</v>
      </c>
      <c r="C4331" t="s">
        <v>321</v>
      </c>
      <c r="D4331" t="s">
        <v>316</v>
      </c>
      <c r="E4331" t="s">
        <v>139</v>
      </c>
      <c r="F4331" t="s">
        <v>305</v>
      </c>
      <c r="G4331" t="s">
        <v>10</v>
      </c>
      <c r="H4331">
        <v>3199.0</v>
      </c>
      <c r="I4331" t="s">
        <v>31</v>
      </c>
      <c r="J4331" t="s">
        <v>89</v>
      </c>
      <c r="K4331" t="s">
        <v>71</v>
      </c>
      <c r="L4331" t="s">
        <v>72</v>
      </c>
      <c r="M4331">
        <v>4096.79</v>
      </c>
    </row>
    <row r="4332">
      <c r="A4332" s="2">
        <v>45550</v>
      </c>
      <c r="B4332">
        <v>2025.0</v>
      </c>
      <c r="C4332" t="s">
        <v>315</v>
      </c>
      <c r="D4332" t="s">
        <v>316</v>
      </c>
      <c r="E4332" t="s">
        <v>154</v>
      </c>
      <c r="F4332" t="s">
        <v>306</v>
      </c>
      <c r="G4332" t="s">
        <v>11</v>
      </c>
      <c r="H4332">
        <v>4551.0</v>
      </c>
      <c r="I4332" t="s">
        <v>31</v>
      </c>
      <c r="J4332" t="s">
        <v>84</v>
      </c>
      <c r="K4332" t="s">
        <v>57</v>
      </c>
      <c r="L4332" t="s">
        <v>58</v>
      </c>
      <c r="M4332">
        <v>4097.290000000001</v>
      </c>
    </row>
    <row r="4333">
      <c r="A4333" s="2">
        <v>45708</v>
      </c>
      <c r="B4333">
        <v>2025.0</v>
      </c>
      <c r="C4333" t="s">
        <v>315</v>
      </c>
      <c r="D4333" t="s">
        <v>316</v>
      </c>
      <c r="E4333" t="s">
        <v>64</v>
      </c>
      <c r="F4333" t="s">
        <v>306</v>
      </c>
      <c r="G4333" t="s">
        <v>11</v>
      </c>
      <c r="H4333">
        <v>4215.0</v>
      </c>
      <c r="I4333" t="s">
        <v>31</v>
      </c>
      <c r="J4333" t="s">
        <v>61</v>
      </c>
      <c r="K4333" t="s">
        <v>95</v>
      </c>
      <c r="L4333" t="s">
        <v>96</v>
      </c>
      <c r="M4333">
        <v>4100.71</v>
      </c>
    </row>
    <row r="4334">
      <c r="A4334" s="2">
        <v>45798</v>
      </c>
      <c r="B4334">
        <v>2025.0</v>
      </c>
      <c r="C4334" t="s">
        <v>315</v>
      </c>
      <c r="D4334" t="s">
        <v>316</v>
      </c>
      <c r="E4334" t="s">
        <v>154</v>
      </c>
      <c r="F4334" t="s">
        <v>306</v>
      </c>
      <c r="G4334" t="s">
        <v>11</v>
      </c>
      <c r="H4334">
        <v>4551.0</v>
      </c>
      <c r="I4334" t="s">
        <v>31</v>
      </c>
      <c r="J4334" t="s">
        <v>84</v>
      </c>
      <c r="K4334" t="s">
        <v>46</v>
      </c>
      <c r="L4334" t="s">
        <v>47</v>
      </c>
      <c r="M4334">
        <v>4107.510000000001</v>
      </c>
    </row>
    <row r="4335">
      <c r="A4335" s="2">
        <v>45756</v>
      </c>
      <c r="B4335">
        <v>2025.0</v>
      </c>
      <c r="C4335" t="s">
        <v>315</v>
      </c>
      <c r="D4335" t="s">
        <v>319</v>
      </c>
      <c r="E4335" t="s">
        <v>179</v>
      </c>
      <c r="F4335" t="s">
        <v>304</v>
      </c>
      <c r="G4335" t="s">
        <v>9</v>
      </c>
      <c r="H4335">
        <v>2015.0</v>
      </c>
      <c r="I4335" t="s">
        <v>31</v>
      </c>
      <c r="J4335" t="s">
        <v>99</v>
      </c>
      <c r="K4335" t="s">
        <v>71</v>
      </c>
      <c r="L4335" t="s">
        <v>72</v>
      </c>
      <c r="M4335">
        <v>4140.609999999999</v>
      </c>
    </row>
    <row r="4336">
      <c r="A4336" s="2">
        <v>45577</v>
      </c>
      <c r="B4336">
        <v>2025.0</v>
      </c>
      <c r="C4336" t="s">
        <v>315</v>
      </c>
      <c r="D4336" t="s">
        <v>316</v>
      </c>
      <c r="E4336" t="s">
        <v>143</v>
      </c>
      <c r="F4336" t="s">
        <v>309</v>
      </c>
      <c r="G4336" t="s">
        <v>14</v>
      </c>
      <c r="H4336">
        <v>800.0</v>
      </c>
      <c r="I4336" t="s">
        <v>31</v>
      </c>
      <c r="J4336" t="s">
        <v>145</v>
      </c>
      <c r="K4336" t="s">
        <v>46</v>
      </c>
      <c r="L4336" t="s">
        <v>47</v>
      </c>
      <c r="M4336">
        <v>4177.0</v>
      </c>
    </row>
    <row r="4337">
      <c r="A4337" s="2">
        <v>45663</v>
      </c>
      <c r="B4337">
        <v>2025.0</v>
      </c>
      <c r="C4337" t="s">
        <v>315</v>
      </c>
      <c r="D4337" t="s">
        <v>316</v>
      </c>
      <c r="E4337" t="s">
        <v>97</v>
      </c>
      <c r="F4337" t="s">
        <v>304</v>
      </c>
      <c r="G4337" t="s">
        <v>9</v>
      </c>
      <c r="H4337">
        <v>2067.0</v>
      </c>
      <c r="I4337" t="s">
        <v>31</v>
      </c>
      <c r="J4337" t="s">
        <v>99</v>
      </c>
      <c r="K4337" t="s">
        <v>123</v>
      </c>
      <c r="L4337" t="s">
        <v>124</v>
      </c>
      <c r="M4337">
        <v>4192.27</v>
      </c>
    </row>
    <row r="4338">
      <c r="A4338" s="2">
        <v>45338</v>
      </c>
      <c r="B4338">
        <v>2024.0</v>
      </c>
      <c r="C4338" t="s">
        <v>318</v>
      </c>
      <c r="D4338" t="s">
        <v>316</v>
      </c>
      <c r="E4338" t="s">
        <v>219</v>
      </c>
      <c r="F4338" t="s">
        <v>306</v>
      </c>
      <c r="G4338" t="s">
        <v>11</v>
      </c>
      <c r="H4338">
        <v>4068.0</v>
      </c>
      <c r="I4338" t="s">
        <v>31</v>
      </c>
      <c r="J4338" t="s">
        <v>56</v>
      </c>
      <c r="K4338" t="s">
        <v>95</v>
      </c>
      <c r="L4338" t="s">
        <v>96</v>
      </c>
      <c r="M4338">
        <v>4192.789999999999</v>
      </c>
    </row>
    <row r="4339">
      <c r="A4339" s="2">
        <v>45386</v>
      </c>
      <c r="B4339">
        <v>2024.0</v>
      </c>
      <c r="C4339" t="s">
        <v>318</v>
      </c>
      <c r="D4339" t="s">
        <v>316</v>
      </c>
      <c r="E4339" t="s">
        <v>154</v>
      </c>
      <c r="F4339" t="s">
        <v>306</v>
      </c>
      <c r="G4339" t="s">
        <v>11</v>
      </c>
      <c r="H4339">
        <v>4551.0</v>
      </c>
      <c r="I4339" t="s">
        <v>31</v>
      </c>
      <c r="J4339" t="s">
        <v>84</v>
      </c>
      <c r="K4339" t="s">
        <v>123</v>
      </c>
      <c r="L4339" t="s">
        <v>124</v>
      </c>
      <c r="M4339">
        <v>4197.760000000003</v>
      </c>
    </row>
    <row r="4340">
      <c r="A4340" s="2">
        <v>45530</v>
      </c>
      <c r="B4340">
        <v>2025.0</v>
      </c>
      <c r="C4340" t="s">
        <v>315</v>
      </c>
      <c r="D4340" t="s">
        <v>319</v>
      </c>
      <c r="E4340" t="s">
        <v>209</v>
      </c>
      <c r="F4340" t="s">
        <v>304</v>
      </c>
      <c r="G4340" t="s">
        <v>9</v>
      </c>
      <c r="H4340">
        <v>2116.0</v>
      </c>
      <c r="I4340" t="s">
        <v>31</v>
      </c>
      <c r="J4340" t="s">
        <v>81</v>
      </c>
      <c r="K4340" t="s">
        <v>71</v>
      </c>
      <c r="L4340" t="s">
        <v>72</v>
      </c>
      <c r="M4340">
        <v>4227.74</v>
      </c>
    </row>
    <row r="4341">
      <c r="A4341" s="2">
        <v>45859</v>
      </c>
      <c r="B4341">
        <v>2026.0</v>
      </c>
      <c r="C4341" t="s">
        <v>321</v>
      </c>
      <c r="D4341" t="s">
        <v>316</v>
      </c>
      <c r="E4341" t="s">
        <v>118</v>
      </c>
      <c r="F4341" t="s">
        <v>305</v>
      </c>
      <c r="G4341" t="s">
        <v>10</v>
      </c>
      <c r="H4341">
        <v>3076.0</v>
      </c>
      <c r="I4341" t="s">
        <v>31</v>
      </c>
      <c r="J4341" t="s">
        <v>120</v>
      </c>
      <c r="K4341" t="s">
        <v>57</v>
      </c>
      <c r="L4341" t="s">
        <v>58</v>
      </c>
      <c r="M4341">
        <v>4231.64</v>
      </c>
    </row>
    <row r="4342">
      <c r="A4342" s="2">
        <v>45690</v>
      </c>
      <c r="B4342">
        <v>2025.0</v>
      </c>
      <c r="C4342" t="s">
        <v>315</v>
      </c>
      <c r="D4342" t="s">
        <v>316</v>
      </c>
      <c r="E4342" t="s">
        <v>82</v>
      </c>
      <c r="F4342" t="s">
        <v>306</v>
      </c>
      <c r="G4342" t="s">
        <v>11</v>
      </c>
      <c r="H4342">
        <v>4558.0</v>
      </c>
      <c r="I4342" t="s">
        <v>31</v>
      </c>
      <c r="J4342" t="s">
        <v>84</v>
      </c>
      <c r="K4342" t="s">
        <v>71</v>
      </c>
      <c r="L4342" t="s">
        <v>72</v>
      </c>
      <c r="M4342">
        <v>4236.429999999999</v>
      </c>
    </row>
    <row r="4343">
      <c r="A4343" s="2">
        <v>45752</v>
      </c>
      <c r="B4343">
        <v>2025.0</v>
      </c>
      <c r="C4343" t="s">
        <v>315</v>
      </c>
      <c r="D4343" t="s">
        <v>316</v>
      </c>
      <c r="E4343" t="s">
        <v>209</v>
      </c>
      <c r="F4343" t="s">
        <v>304</v>
      </c>
      <c r="G4343" t="s">
        <v>9</v>
      </c>
      <c r="H4343">
        <v>2116.0</v>
      </c>
      <c r="I4343" t="s">
        <v>31</v>
      </c>
      <c r="J4343" t="s">
        <v>81</v>
      </c>
      <c r="K4343" t="s">
        <v>46</v>
      </c>
      <c r="L4343" t="s">
        <v>47</v>
      </c>
      <c r="M4343">
        <v>4241.4</v>
      </c>
    </row>
    <row r="4344">
      <c r="A4344" s="2">
        <v>45874</v>
      </c>
      <c r="B4344">
        <v>2026.0</v>
      </c>
      <c r="C4344" t="s">
        <v>321</v>
      </c>
      <c r="D4344" t="s">
        <v>316</v>
      </c>
      <c r="E4344" t="s">
        <v>246</v>
      </c>
      <c r="F4344" t="s">
        <v>305</v>
      </c>
      <c r="G4344" t="s">
        <v>10</v>
      </c>
      <c r="H4344">
        <v>3551.0</v>
      </c>
      <c r="I4344" t="s">
        <v>31</v>
      </c>
      <c r="J4344" t="s">
        <v>37</v>
      </c>
      <c r="K4344" t="s">
        <v>57</v>
      </c>
      <c r="L4344" t="s">
        <v>58</v>
      </c>
      <c r="M4344">
        <v>4245.89</v>
      </c>
    </row>
    <row r="4345">
      <c r="A4345" s="2">
        <v>45513</v>
      </c>
      <c r="B4345">
        <v>2025.0</v>
      </c>
      <c r="C4345" t="s">
        <v>315</v>
      </c>
      <c r="D4345" t="s">
        <v>316</v>
      </c>
      <c r="E4345" t="s">
        <v>211</v>
      </c>
      <c r="F4345" t="s">
        <v>304</v>
      </c>
      <c r="G4345" t="s">
        <v>9</v>
      </c>
      <c r="H4345">
        <v>2650.0</v>
      </c>
      <c r="I4345" t="s">
        <v>31</v>
      </c>
      <c r="J4345" t="s">
        <v>75</v>
      </c>
      <c r="K4345" t="s">
        <v>95</v>
      </c>
      <c r="L4345" t="s">
        <v>96</v>
      </c>
      <c r="M4345">
        <v>4251.049999999999</v>
      </c>
    </row>
    <row r="4346">
      <c r="A4346" s="2">
        <v>45296</v>
      </c>
      <c r="B4346">
        <v>2024.0</v>
      </c>
      <c r="C4346" t="s">
        <v>318</v>
      </c>
      <c r="D4346" t="s">
        <v>316</v>
      </c>
      <c r="E4346" t="s">
        <v>40</v>
      </c>
      <c r="F4346" t="s">
        <v>308</v>
      </c>
      <c r="G4346" t="s">
        <v>13</v>
      </c>
      <c r="H4346">
        <v>5011.0</v>
      </c>
      <c r="I4346" t="s">
        <v>31</v>
      </c>
      <c r="J4346" t="s">
        <v>42</v>
      </c>
      <c r="K4346" t="s">
        <v>71</v>
      </c>
      <c r="L4346" t="s">
        <v>72</v>
      </c>
      <c r="M4346">
        <v>4282.26</v>
      </c>
    </row>
    <row r="4347">
      <c r="A4347" s="2">
        <v>46000</v>
      </c>
      <c r="B4347">
        <v>2026.0</v>
      </c>
      <c r="C4347" t="s">
        <v>321</v>
      </c>
      <c r="D4347" t="s">
        <v>316</v>
      </c>
      <c r="E4347" t="s">
        <v>246</v>
      </c>
      <c r="F4347" t="s">
        <v>305</v>
      </c>
      <c r="G4347" t="s">
        <v>10</v>
      </c>
      <c r="H4347">
        <v>3551.0</v>
      </c>
      <c r="I4347" t="s">
        <v>31</v>
      </c>
      <c r="J4347" t="s">
        <v>37</v>
      </c>
      <c r="K4347" t="s">
        <v>95</v>
      </c>
      <c r="L4347" t="s">
        <v>96</v>
      </c>
      <c r="M4347">
        <v>4292.929999999999</v>
      </c>
    </row>
    <row r="4348">
      <c r="A4348" s="2">
        <v>45298</v>
      </c>
      <c r="B4348">
        <v>2024.0</v>
      </c>
      <c r="C4348" t="s">
        <v>318</v>
      </c>
      <c r="D4348" t="s">
        <v>316</v>
      </c>
      <c r="E4348" t="s">
        <v>68</v>
      </c>
      <c r="F4348" t="s">
        <v>304</v>
      </c>
      <c r="G4348" t="s">
        <v>9</v>
      </c>
      <c r="H4348">
        <v>2478.0</v>
      </c>
      <c r="I4348" t="s">
        <v>31</v>
      </c>
      <c r="J4348" t="s">
        <v>70</v>
      </c>
      <c r="K4348" t="s">
        <v>71</v>
      </c>
      <c r="L4348" t="s">
        <v>72</v>
      </c>
      <c r="M4348">
        <v>4324.250000000001</v>
      </c>
    </row>
    <row r="4349">
      <c r="A4349" s="2">
        <v>45387</v>
      </c>
      <c r="B4349">
        <v>2024.0</v>
      </c>
      <c r="C4349" t="s">
        <v>318</v>
      </c>
      <c r="D4349" t="s">
        <v>316</v>
      </c>
      <c r="E4349" t="s">
        <v>197</v>
      </c>
      <c r="F4349" t="s">
        <v>304</v>
      </c>
      <c r="G4349" t="s">
        <v>9</v>
      </c>
      <c r="H4349">
        <v>2560.0</v>
      </c>
      <c r="I4349" t="s">
        <v>31</v>
      </c>
      <c r="J4349" t="s">
        <v>107</v>
      </c>
      <c r="K4349" t="s">
        <v>123</v>
      </c>
      <c r="L4349" t="s">
        <v>124</v>
      </c>
      <c r="M4349">
        <v>4329.039999999999</v>
      </c>
    </row>
    <row r="4350">
      <c r="A4350" s="2">
        <v>45975</v>
      </c>
      <c r="B4350">
        <v>2026.0</v>
      </c>
      <c r="C4350" t="s">
        <v>321</v>
      </c>
      <c r="D4350" t="s">
        <v>316</v>
      </c>
      <c r="E4350" t="s">
        <v>143</v>
      </c>
      <c r="F4350" t="s">
        <v>309</v>
      </c>
      <c r="G4350" t="s">
        <v>14</v>
      </c>
      <c r="H4350">
        <v>800.0</v>
      </c>
      <c r="I4350" t="s">
        <v>31</v>
      </c>
      <c r="J4350" t="s">
        <v>145</v>
      </c>
      <c r="K4350" t="s">
        <v>123</v>
      </c>
      <c r="L4350" t="s">
        <v>124</v>
      </c>
      <c r="M4350">
        <v>4330.6500000000015</v>
      </c>
    </row>
    <row r="4351">
      <c r="A4351" s="2">
        <v>45526</v>
      </c>
      <c r="B4351">
        <v>2025.0</v>
      </c>
      <c r="C4351" t="s">
        <v>315</v>
      </c>
      <c r="D4351" t="s">
        <v>319</v>
      </c>
      <c r="E4351" t="s">
        <v>177</v>
      </c>
      <c r="F4351" t="s">
        <v>307</v>
      </c>
      <c r="G4351" t="s">
        <v>12</v>
      </c>
      <c r="H4351">
        <v>6330.0</v>
      </c>
      <c r="I4351" t="s">
        <v>31</v>
      </c>
      <c r="J4351" t="s">
        <v>162</v>
      </c>
      <c r="K4351" t="s">
        <v>123</v>
      </c>
      <c r="L4351" t="s">
        <v>124</v>
      </c>
      <c r="M4351">
        <v>4333.85</v>
      </c>
    </row>
    <row r="4352">
      <c r="A4352" s="2">
        <v>45700</v>
      </c>
      <c r="B4352">
        <v>2025.0</v>
      </c>
      <c r="C4352" t="s">
        <v>315</v>
      </c>
      <c r="D4352" t="s">
        <v>319</v>
      </c>
      <c r="E4352" t="s">
        <v>262</v>
      </c>
      <c r="F4352" t="s">
        <v>305</v>
      </c>
      <c r="G4352" t="s">
        <v>10</v>
      </c>
      <c r="H4352">
        <v>3018.0</v>
      </c>
      <c r="I4352" t="s">
        <v>31</v>
      </c>
      <c r="J4352" t="s">
        <v>120</v>
      </c>
      <c r="K4352" t="s">
        <v>71</v>
      </c>
      <c r="L4352" t="s">
        <v>72</v>
      </c>
      <c r="M4352">
        <v>4340.58</v>
      </c>
    </row>
    <row r="4353">
      <c r="A4353" s="2">
        <v>45333</v>
      </c>
      <c r="B4353">
        <v>2024.0</v>
      </c>
      <c r="C4353" t="s">
        <v>318</v>
      </c>
      <c r="D4353" t="s">
        <v>316</v>
      </c>
      <c r="E4353" t="s">
        <v>143</v>
      </c>
      <c r="F4353" t="s">
        <v>309</v>
      </c>
      <c r="G4353" t="s">
        <v>14</v>
      </c>
      <c r="H4353">
        <v>800.0</v>
      </c>
      <c r="I4353" t="s">
        <v>31</v>
      </c>
      <c r="J4353" t="s">
        <v>145</v>
      </c>
      <c r="K4353" t="s">
        <v>57</v>
      </c>
      <c r="L4353" t="s">
        <v>58</v>
      </c>
      <c r="M4353">
        <v>4345.0599999999995</v>
      </c>
    </row>
    <row r="4354">
      <c r="A4354" s="2">
        <v>45897</v>
      </c>
      <c r="B4354">
        <v>2026.0</v>
      </c>
      <c r="C4354" t="s">
        <v>321</v>
      </c>
      <c r="D4354" t="s">
        <v>316</v>
      </c>
      <c r="E4354" t="s">
        <v>139</v>
      </c>
      <c r="F4354" t="s">
        <v>305</v>
      </c>
      <c r="G4354" t="s">
        <v>10</v>
      </c>
      <c r="H4354">
        <v>3199.0</v>
      </c>
      <c r="I4354" t="s">
        <v>31</v>
      </c>
      <c r="J4354" t="s">
        <v>89</v>
      </c>
      <c r="K4354" t="s">
        <v>33</v>
      </c>
      <c r="L4354" t="s">
        <v>34</v>
      </c>
      <c r="M4354">
        <v>4354.210000000002</v>
      </c>
    </row>
    <row r="4355">
      <c r="A4355" s="2">
        <v>45472</v>
      </c>
      <c r="B4355">
        <v>2024.0</v>
      </c>
      <c r="C4355" t="s">
        <v>318</v>
      </c>
      <c r="D4355" t="s">
        <v>316</v>
      </c>
      <c r="E4355" t="s">
        <v>183</v>
      </c>
      <c r="F4355" t="s">
        <v>304</v>
      </c>
      <c r="G4355" t="s">
        <v>9</v>
      </c>
      <c r="H4355">
        <v>2480.0</v>
      </c>
      <c r="I4355" t="s">
        <v>31</v>
      </c>
      <c r="J4355" t="s">
        <v>70</v>
      </c>
      <c r="K4355" t="s">
        <v>46</v>
      </c>
      <c r="L4355" t="s">
        <v>47</v>
      </c>
      <c r="M4355">
        <v>4396.46</v>
      </c>
    </row>
    <row r="4356">
      <c r="A4356" s="2">
        <v>45635</v>
      </c>
      <c r="B4356">
        <v>2025.0</v>
      </c>
      <c r="C4356" t="s">
        <v>315</v>
      </c>
      <c r="D4356" t="s">
        <v>316</v>
      </c>
      <c r="E4356" t="s">
        <v>250</v>
      </c>
      <c r="F4356" t="s">
        <v>305</v>
      </c>
      <c r="G4356" t="s">
        <v>10</v>
      </c>
      <c r="H4356">
        <v>3550.0</v>
      </c>
      <c r="I4356" t="s">
        <v>31</v>
      </c>
      <c r="J4356" t="s">
        <v>37</v>
      </c>
      <c r="K4356" t="s">
        <v>71</v>
      </c>
      <c r="L4356" t="s">
        <v>72</v>
      </c>
      <c r="M4356">
        <v>4402.299999999999</v>
      </c>
    </row>
    <row r="4357">
      <c r="A4357" s="2">
        <v>45537</v>
      </c>
      <c r="B4357">
        <v>2025.0</v>
      </c>
      <c r="C4357" t="s">
        <v>315</v>
      </c>
      <c r="D4357" t="s">
        <v>316</v>
      </c>
      <c r="E4357" t="s">
        <v>250</v>
      </c>
      <c r="F4357" t="s">
        <v>305</v>
      </c>
      <c r="G4357" t="s">
        <v>10</v>
      </c>
      <c r="H4357">
        <v>3550.0</v>
      </c>
      <c r="I4357" t="s">
        <v>31</v>
      </c>
      <c r="J4357" t="s">
        <v>37</v>
      </c>
      <c r="K4357" t="s">
        <v>57</v>
      </c>
      <c r="L4357" t="s">
        <v>58</v>
      </c>
      <c r="M4357">
        <v>4471.37</v>
      </c>
    </row>
    <row r="4358">
      <c r="A4358" s="2">
        <v>45355</v>
      </c>
      <c r="B4358">
        <v>2024.0</v>
      </c>
      <c r="C4358" t="s">
        <v>318</v>
      </c>
      <c r="D4358" t="s">
        <v>316</v>
      </c>
      <c r="E4358" t="s">
        <v>203</v>
      </c>
      <c r="F4358" t="s">
        <v>305</v>
      </c>
      <c r="G4358" t="s">
        <v>10</v>
      </c>
      <c r="H4358">
        <v>3175.0</v>
      </c>
      <c r="I4358" t="s">
        <v>31</v>
      </c>
      <c r="J4358" t="s">
        <v>89</v>
      </c>
      <c r="K4358" t="s">
        <v>46</v>
      </c>
      <c r="L4358" t="s">
        <v>47</v>
      </c>
      <c r="M4358">
        <v>4474.44</v>
      </c>
    </row>
    <row r="4359">
      <c r="A4359" s="2">
        <v>46001</v>
      </c>
      <c r="B4359">
        <v>2026.0</v>
      </c>
      <c r="C4359" t="s">
        <v>321</v>
      </c>
      <c r="D4359" t="s">
        <v>316</v>
      </c>
      <c r="E4359" t="s">
        <v>90</v>
      </c>
      <c r="F4359" t="s">
        <v>305</v>
      </c>
      <c r="G4359" t="s">
        <v>10</v>
      </c>
      <c r="H4359">
        <v>3353.0</v>
      </c>
      <c r="I4359" t="s">
        <v>31</v>
      </c>
      <c r="J4359" t="s">
        <v>37</v>
      </c>
      <c r="K4359" t="s">
        <v>123</v>
      </c>
      <c r="L4359" t="s">
        <v>124</v>
      </c>
      <c r="M4359">
        <v>4487.68</v>
      </c>
    </row>
    <row r="4360">
      <c r="A4360" s="2">
        <v>45452</v>
      </c>
      <c r="B4360">
        <v>2024.0</v>
      </c>
      <c r="C4360" t="s">
        <v>318</v>
      </c>
      <c r="D4360" t="s">
        <v>316</v>
      </c>
      <c r="E4360" t="s">
        <v>85</v>
      </c>
      <c r="F4360" t="s">
        <v>304</v>
      </c>
      <c r="G4360" t="s">
        <v>9</v>
      </c>
      <c r="H4360">
        <v>2120.0</v>
      </c>
      <c r="I4360" t="s">
        <v>31</v>
      </c>
      <c r="J4360" t="s">
        <v>81</v>
      </c>
      <c r="K4360" t="s">
        <v>71</v>
      </c>
      <c r="L4360" t="s">
        <v>72</v>
      </c>
      <c r="M4360">
        <v>4519.53</v>
      </c>
    </row>
    <row r="4361">
      <c r="A4361" s="2">
        <v>45885</v>
      </c>
      <c r="B4361">
        <v>2026.0</v>
      </c>
      <c r="C4361" t="s">
        <v>321</v>
      </c>
      <c r="D4361" t="s">
        <v>316</v>
      </c>
      <c r="E4361" t="s">
        <v>108</v>
      </c>
      <c r="F4361" t="s">
        <v>304</v>
      </c>
      <c r="G4361" t="s">
        <v>9</v>
      </c>
      <c r="H4361">
        <v>2795.0</v>
      </c>
      <c r="I4361" t="s">
        <v>31</v>
      </c>
      <c r="J4361" t="s">
        <v>75</v>
      </c>
      <c r="K4361" t="s">
        <v>95</v>
      </c>
      <c r="L4361" t="s">
        <v>96</v>
      </c>
      <c r="M4361">
        <v>4529.5300000000025</v>
      </c>
    </row>
    <row r="4362">
      <c r="A4362" s="2">
        <v>45523</v>
      </c>
      <c r="B4362">
        <v>2025.0</v>
      </c>
      <c r="C4362" t="s">
        <v>315</v>
      </c>
      <c r="D4362" t="s">
        <v>316</v>
      </c>
      <c r="E4362" t="s">
        <v>250</v>
      </c>
      <c r="F4362" t="s">
        <v>305</v>
      </c>
      <c r="G4362" t="s">
        <v>10</v>
      </c>
      <c r="H4362">
        <v>3550.0</v>
      </c>
      <c r="I4362" t="s">
        <v>31</v>
      </c>
      <c r="J4362" t="s">
        <v>37</v>
      </c>
      <c r="K4362" t="s">
        <v>123</v>
      </c>
      <c r="L4362" t="s">
        <v>124</v>
      </c>
      <c r="M4362">
        <v>4544.010000000002</v>
      </c>
    </row>
    <row r="4363">
      <c r="A4363" s="2">
        <v>45399</v>
      </c>
      <c r="B4363">
        <v>2024.0</v>
      </c>
      <c r="C4363" t="s">
        <v>318</v>
      </c>
      <c r="D4363" t="s">
        <v>319</v>
      </c>
      <c r="E4363" t="s">
        <v>262</v>
      </c>
      <c r="F4363" t="s">
        <v>305</v>
      </c>
      <c r="G4363" t="s">
        <v>10</v>
      </c>
      <c r="H4363">
        <v>3018.0</v>
      </c>
      <c r="I4363" t="s">
        <v>31</v>
      </c>
      <c r="J4363" t="s">
        <v>120</v>
      </c>
      <c r="K4363" t="s">
        <v>95</v>
      </c>
      <c r="L4363" t="s">
        <v>96</v>
      </c>
      <c r="M4363">
        <v>4557.68</v>
      </c>
    </row>
    <row r="4364">
      <c r="A4364" s="2">
        <v>45479</v>
      </c>
      <c r="B4364">
        <v>2025.0</v>
      </c>
      <c r="C4364" t="s">
        <v>315</v>
      </c>
      <c r="D4364" t="s">
        <v>316</v>
      </c>
      <c r="E4364" t="s">
        <v>160</v>
      </c>
      <c r="F4364" t="s">
        <v>307</v>
      </c>
      <c r="G4364" t="s">
        <v>12</v>
      </c>
      <c r="H4364">
        <v>6280.0</v>
      </c>
      <c r="I4364" t="s">
        <v>31</v>
      </c>
      <c r="J4364" t="s">
        <v>162</v>
      </c>
      <c r="K4364" t="s">
        <v>57</v>
      </c>
      <c r="L4364" t="s">
        <v>58</v>
      </c>
      <c r="M4364">
        <v>4576.260000000001</v>
      </c>
    </row>
    <row r="4365">
      <c r="A4365" s="2">
        <v>45412</v>
      </c>
      <c r="B4365">
        <v>2024.0</v>
      </c>
      <c r="C4365" t="s">
        <v>318</v>
      </c>
      <c r="D4365" t="s">
        <v>316</v>
      </c>
      <c r="E4365" t="s">
        <v>211</v>
      </c>
      <c r="F4365" t="s">
        <v>304</v>
      </c>
      <c r="G4365" t="s">
        <v>9</v>
      </c>
      <c r="H4365">
        <v>2650.0</v>
      </c>
      <c r="I4365" t="s">
        <v>31</v>
      </c>
      <c r="J4365" t="s">
        <v>75</v>
      </c>
      <c r="K4365" t="s">
        <v>57</v>
      </c>
      <c r="L4365" t="s">
        <v>58</v>
      </c>
      <c r="M4365">
        <v>4593.59</v>
      </c>
    </row>
    <row r="4366">
      <c r="A4366" s="2">
        <v>45399</v>
      </c>
      <c r="B4366">
        <v>2024.0</v>
      </c>
      <c r="C4366" t="s">
        <v>318</v>
      </c>
      <c r="D4366" t="s">
        <v>316</v>
      </c>
      <c r="E4366" t="s">
        <v>197</v>
      </c>
      <c r="F4366" t="s">
        <v>304</v>
      </c>
      <c r="G4366" t="s">
        <v>9</v>
      </c>
      <c r="H4366">
        <v>2560.0</v>
      </c>
      <c r="I4366" t="s">
        <v>31</v>
      </c>
      <c r="J4366" t="s">
        <v>107</v>
      </c>
      <c r="K4366" t="s">
        <v>71</v>
      </c>
      <c r="L4366" t="s">
        <v>72</v>
      </c>
      <c r="M4366">
        <v>4624.000000000001</v>
      </c>
    </row>
    <row r="4367">
      <c r="A4367" s="2">
        <v>45453</v>
      </c>
      <c r="B4367">
        <v>2024.0</v>
      </c>
      <c r="C4367" t="s">
        <v>318</v>
      </c>
      <c r="D4367" t="s">
        <v>316</v>
      </c>
      <c r="E4367" t="s">
        <v>97</v>
      </c>
      <c r="F4367" t="s">
        <v>304</v>
      </c>
      <c r="G4367" t="s">
        <v>9</v>
      </c>
      <c r="H4367">
        <v>2067.0</v>
      </c>
      <c r="I4367" t="s">
        <v>31</v>
      </c>
      <c r="J4367" t="s">
        <v>99</v>
      </c>
      <c r="K4367" t="s">
        <v>95</v>
      </c>
      <c r="L4367" t="s">
        <v>96</v>
      </c>
      <c r="M4367">
        <v>4644.71</v>
      </c>
    </row>
    <row r="4368">
      <c r="A4368" s="2">
        <v>45628</v>
      </c>
      <c r="B4368">
        <v>2025.0</v>
      </c>
      <c r="C4368" t="s">
        <v>315</v>
      </c>
      <c r="D4368" t="s">
        <v>316</v>
      </c>
      <c r="E4368" t="s">
        <v>129</v>
      </c>
      <c r="F4368" t="s">
        <v>305</v>
      </c>
      <c r="G4368" t="s">
        <v>10</v>
      </c>
      <c r="H4368">
        <v>3066.0</v>
      </c>
      <c r="I4368" t="s">
        <v>31</v>
      </c>
      <c r="J4368" t="s">
        <v>120</v>
      </c>
      <c r="K4368" t="s">
        <v>123</v>
      </c>
      <c r="L4368" t="s">
        <v>124</v>
      </c>
      <c r="M4368">
        <v>4645.920000000001</v>
      </c>
    </row>
    <row r="4369">
      <c r="A4369" s="2">
        <v>45377</v>
      </c>
      <c r="B4369">
        <v>2024.0</v>
      </c>
      <c r="C4369" t="s">
        <v>318</v>
      </c>
      <c r="D4369" t="s">
        <v>319</v>
      </c>
      <c r="E4369" t="s">
        <v>189</v>
      </c>
      <c r="F4369" t="s">
        <v>304</v>
      </c>
      <c r="G4369" t="s">
        <v>9</v>
      </c>
      <c r="H4369">
        <v>2131.0</v>
      </c>
      <c r="I4369" t="s">
        <v>31</v>
      </c>
      <c r="J4369" t="s">
        <v>81</v>
      </c>
      <c r="K4369" t="s">
        <v>71</v>
      </c>
      <c r="L4369" t="s">
        <v>72</v>
      </c>
      <c r="M4369">
        <v>4650.509999999999</v>
      </c>
    </row>
    <row r="4370">
      <c r="A4370" s="2">
        <v>45791</v>
      </c>
      <c r="B4370">
        <v>2025.0</v>
      </c>
      <c r="C4370" t="s">
        <v>315</v>
      </c>
      <c r="D4370" t="s">
        <v>316</v>
      </c>
      <c r="E4370" t="s">
        <v>35</v>
      </c>
      <c r="F4370" t="s">
        <v>305</v>
      </c>
      <c r="G4370" t="s">
        <v>10</v>
      </c>
      <c r="H4370">
        <v>3280.0</v>
      </c>
      <c r="I4370" t="s">
        <v>31</v>
      </c>
      <c r="J4370" t="s">
        <v>37</v>
      </c>
      <c r="K4370" t="s">
        <v>71</v>
      </c>
      <c r="L4370" t="s">
        <v>72</v>
      </c>
      <c r="M4370">
        <v>4667.360000000001</v>
      </c>
    </row>
    <row r="4371">
      <c r="A4371" s="2">
        <v>45342</v>
      </c>
      <c r="B4371">
        <v>2024.0</v>
      </c>
      <c r="C4371" t="s">
        <v>318</v>
      </c>
      <c r="D4371" t="s">
        <v>319</v>
      </c>
      <c r="E4371" t="s">
        <v>177</v>
      </c>
      <c r="F4371" t="s">
        <v>307</v>
      </c>
      <c r="G4371" t="s">
        <v>12</v>
      </c>
      <c r="H4371">
        <v>6330.0</v>
      </c>
      <c r="I4371" t="s">
        <v>31</v>
      </c>
      <c r="J4371" t="s">
        <v>162</v>
      </c>
      <c r="K4371" t="s">
        <v>71</v>
      </c>
      <c r="L4371" t="s">
        <v>72</v>
      </c>
      <c r="M4371">
        <v>4750.719999999999</v>
      </c>
    </row>
    <row r="4372">
      <c r="A4372" s="2">
        <v>45322</v>
      </c>
      <c r="B4372">
        <v>2024.0</v>
      </c>
      <c r="C4372" t="s">
        <v>318</v>
      </c>
      <c r="D4372" t="s">
        <v>316</v>
      </c>
      <c r="E4372" t="s">
        <v>114</v>
      </c>
      <c r="F4372" t="s">
        <v>304</v>
      </c>
      <c r="G4372" t="s">
        <v>9</v>
      </c>
      <c r="H4372">
        <v>2031.0</v>
      </c>
      <c r="I4372" t="s">
        <v>31</v>
      </c>
      <c r="J4372" t="s">
        <v>99</v>
      </c>
      <c r="K4372" t="s">
        <v>57</v>
      </c>
      <c r="L4372" t="s">
        <v>58</v>
      </c>
      <c r="M4372">
        <v>4783.68</v>
      </c>
    </row>
    <row r="4373">
      <c r="A4373" s="2">
        <v>45980</v>
      </c>
      <c r="B4373">
        <v>2026.0</v>
      </c>
      <c r="C4373" t="s">
        <v>321</v>
      </c>
      <c r="D4373" t="s">
        <v>316</v>
      </c>
      <c r="E4373" t="s">
        <v>221</v>
      </c>
      <c r="F4373" t="s">
        <v>306</v>
      </c>
      <c r="G4373" t="s">
        <v>11</v>
      </c>
      <c r="H4373">
        <v>4053.0</v>
      </c>
      <c r="I4373" t="s">
        <v>31</v>
      </c>
      <c r="J4373" t="s">
        <v>56</v>
      </c>
      <c r="K4373" t="s">
        <v>95</v>
      </c>
      <c r="L4373" t="s">
        <v>96</v>
      </c>
      <c r="M4373">
        <v>4824.82</v>
      </c>
    </row>
    <row r="4374">
      <c r="A4374" s="2">
        <v>45740</v>
      </c>
      <c r="B4374">
        <v>2025.0</v>
      </c>
      <c r="C4374" t="s">
        <v>315</v>
      </c>
      <c r="D4374" t="s">
        <v>316</v>
      </c>
      <c r="E4374" t="s">
        <v>97</v>
      </c>
      <c r="F4374" t="s">
        <v>304</v>
      </c>
      <c r="G4374" t="s">
        <v>9</v>
      </c>
      <c r="H4374">
        <v>2067.0</v>
      </c>
      <c r="I4374" t="s">
        <v>31</v>
      </c>
      <c r="J4374" t="s">
        <v>99</v>
      </c>
      <c r="K4374" t="s">
        <v>46</v>
      </c>
      <c r="L4374" t="s">
        <v>47</v>
      </c>
      <c r="M4374">
        <v>4830.820000000001</v>
      </c>
    </row>
    <row r="4375">
      <c r="A4375" s="2">
        <v>45814</v>
      </c>
      <c r="B4375">
        <v>2025.0</v>
      </c>
      <c r="C4375" t="s">
        <v>315</v>
      </c>
      <c r="D4375" t="s">
        <v>316</v>
      </c>
      <c r="E4375" t="s">
        <v>59</v>
      </c>
      <c r="F4375" t="s">
        <v>306</v>
      </c>
      <c r="G4375" t="s">
        <v>11</v>
      </c>
      <c r="H4375">
        <v>4509.0</v>
      </c>
      <c r="I4375" t="s">
        <v>31</v>
      </c>
      <c r="J4375" t="s">
        <v>61</v>
      </c>
      <c r="K4375" t="s">
        <v>46</v>
      </c>
      <c r="L4375" t="s">
        <v>47</v>
      </c>
      <c r="M4375">
        <v>4838.31</v>
      </c>
    </row>
    <row r="4376">
      <c r="A4376" s="2">
        <v>45980</v>
      </c>
      <c r="B4376">
        <v>2026.0</v>
      </c>
      <c r="C4376" t="s">
        <v>321</v>
      </c>
      <c r="D4376" t="s">
        <v>316</v>
      </c>
      <c r="E4376" t="s">
        <v>181</v>
      </c>
      <c r="F4376" t="s">
        <v>306</v>
      </c>
      <c r="G4376" t="s">
        <v>11</v>
      </c>
      <c r="H4376">
        <v>4119.0</v>
      </c>
      <c r="I4376" t="s">
        <v>31</v>
      </c>
      <c r="J4376" t="s">
        <v>56</v>
      </c>
      <c r="K4376" t="s">
        <v>123</v>
      </c>
      <c r="L4376" t="s">
        <v>124</v>
      </c>
      <c r="M4376">
        <v>4846.610000000003</v>
      </c>
    </row>
    <row r="4377">
      <c r="A4377" s="2">
        <v>45462</v>
      </c>
      <c r="B4377">
        <v>2024.0</v>
      </c>
      <c r="C4377" t="s">
        <v>318</v>
      </c>
      <c r="D4377" t="s">
        <v>316</v>
      </c>
      <c r="E4377" t="s">
        <v>154</v>
      </c>
      <c r="F4377" t="s">
        <v>306</v>
      </c>
      <c r="G4377" t="s">
        <v>11</v>
      </c>
      <c r="H4377">
        <v>4551.0</v>
      </c>
      <c r="I4377" t="s">
        <v>31</v>
      </c>
      <c r="J4377" t="s">
        <v>84</v>
      </c>
      <c r="K4377" t="s">
        <v>95</v>
      </c>
      <c r="L4377" t="s">
        <v>96</v>
      </c>
      <c r="M4377">
        <v>4884.709999999999</v>
      </c>
    </row>
    <row r="4378">
      <c r="A4378" s="2">
        <v>45573</v>
      </c>
      <c r="B4378">
        <v>2025.0</v>
      </c>
      <c r="C4378" t="s">
        <v>315</v>
      </c>
      <c r="D4378" t="s">
        <v>316</v>
      </c>
      <c r="E4378" t="s">
        <v>246</v>
      </c>
      <c r="F4378" t="s">
        <v>305</v>
      </c>
      <c r="G4378" t="s">
        <v>10</v>
      </c>
      <c r="H4378">
        <v>3551.0</v>
      </c>
      <c r="I4378" t="s">
        <v>31</v>
      </c>
      <c r="J4378" t="s">
        <v>37</v>
      </c>
      <c r="K4378" t="s">
        <v>46</v>
      </c>
      <c r="L4378" t="s">
        <v>47</v>
      </c>
      <c r="M4378">
        <v>4887.799999999999</v>
      </c>
    </row>
    <row r="4379">
      <c r="A4379" s="2">
        <v>46006</v>
      </c>
      <c r="B4379">
        <v>2026.0</v>
      </c>
      <c r="C4379" t="s">
        <v>321</v>
      </c>
      <c r="D4379" t="s">
        <v>316</v>
      </c>
      <c r="E4379" t="s">
        <v>118</v>
      </c>
      <c r="F4379" t="s">
        <v>305</v>
      </c>
      <c r="G4379" t="s">
        <v>10</v>
      </c>
      <c r="H4379">
        <v>3076.0</v>
      </c>
      <c r="I4379" t="s">
        <v>31</v>
      </c>
      <c r="J4379" t="s">
        <v>120</v>
      </c>
      <c r="K4379" t="s">
        <v>46</v>
      </c>
      <c r="L4379" t="s">
        <v>47</v>
      </c>
      <c r="M4379">
        <v>4893.720000000001</v>
      </c>
    </row>
    <row r="4380">
      <c r="A4380" s="2">
        <v>45518</v>
      </c>
      <c r="B4380">
        <v>2025.0</v>
      </c>
      <c r="C4380" t="s">
        <v>315</v>
      </c>
      <c r="D4380" t="s">
        <v>316</v>
      </c>
      <c r="E4380" t="s">
        <v>79</v>
      </c>
      <c r="F4380" t="s">
        <v>304</v>
      </c>
      <c r="G4380" t="s">
        <v>9</v>
      </c>
      <c r="H4380">
        <v>2141.0</v>
      </c>
      <c r="I4380" t="s">
        <v>31</v>
      </c>
      <c r="J4380" t="s">
        <v>81</v>
      </c>
      <c r="K4380" t="s">
        <v>71</v>
      </c>
      <c r="L4380" t="s">
        <v>72</v>
      </c>
      <c r="M4380">
        <v>4907.9</v>
      </c>
    </row>
    <row r="4381">
      <c r="A4381" s="2">
        <v>45730</v>
      </c>
      <c r="B4381">
        <v>2025.0</v>
      </c>
      <c r="C4381" t="s">
        <v>315</v>
      </c>
      <c r="D4381" t="s">
        <v>316</v>
      </c>
      <c r="E4381" t="s">
        <v>160</v>
      </c>
      <c r="F4381" t="s">
        <v>307</v>
      </c>
      <c r="G4381" t="s">
        <v>12</v>
      </c>
      <c r="H4381">
        <v>6280.0</v>
      </c>
      <c r="I4381" t="s">
        <v>31</v>
      </c>
      <c r="J4381" t="s">
        <v>162</v>
      </c>
      <c r="K4381" t="s">
        <v>95</v>
      </c>
      <c r="L4381" t="s">
        <v>96</v>
      </c>
      <c r="M4381">
        <v>4908.059999999999</v>
      </c>
    </row>
    <row r="4382">
      <c r="A4382" s="2">
        <v>46004</v>
      </c>
      <c r="B4382">
        <v>2026.0</v>
      </c>
      <c r="C4382" t="s">
        <v>321</v>
      </c>
      <c r="D4382" t="s">
        <v>316</v>
      </c>
      <c r="E4382" t="s">
        <v>90</v>
      </c>
      <c r="F4382" t="s">
        <v>305</v>
      </c>
      <c r="G4382" t="s">
        <v>10</v>
      </c>
      <c r="H4382">
        <v>3353.0</v>
      </c>
      <c r="I4382" t="s">
        <v>31</v>
      </c>
      <c r="J4382" t="s">
        <v>37</v>
      </c>
      <c r="K4382" t="s">
        <v>46</v>
      </c>
      <c r="L4382" t="s">
        <v>47</v>
      </c>
      <c r="M4382">
        <v>4950.160000000001</v>
      </c>
    </row>
    <row r="4383">
      <c r="A4383" s="2">
        <v>45935</v>
      </c>
      <c r="B4383">
        <v>2026.0</v>
      </c>
      <c r="C4383" t="s">
        <v>321</v>
      </c>
      <c r="D4383" t="s">
        <v>316</v>
      </c>
      <c r="E4383" t="s">
        <v>232</v>
      </c>
      <c r="F4383" t="s">
        <v>304</v>
      </c>
      <c r="G4383" t="s">
        <v>9</v>
      </c>
      <c r="H4383">
        <v>2800.0</v>
      </c>
      <c r="I4383" t="s">
        <v>31</v>
      </c>
      <c r="J4383" t="s">
        <v>75</v>
      </c>
      <c r="K4383" t="s">
        <v>71</v>
      </c>
      <c r="L4383" t="s">
        <v>72</v>
      </c>
      <c r="M4383">
        <v>4960.19</v>
      </c>
    </row>
    <row r="4384">
      <c r="A4384" s="2">
        <v>45544</v>
      </c>
      <c r="B4384">
        <v>2025.0</v>
      </c>
      <c r="C4384" t="s">
        <v>315</v>
      </c>
      <c r="D4384" t="s">
        <v>319</v>
      </c>
      <c r="E4384" t="s">
        <v>256</v>
      </c>
      <c r="F4384" t="s">
        <v>304</v>
      </c>
      <c r="G4384" t="s">
        <v>9</v>
      </c>
      <c r="H4384">
        <v>2350.0</v>
      </c>
      <c r="I4384" t="s">
        <v>31</v>
      </c>
      <c r="J4384" t="s">
        <v>70</v>
      </c>
      <c r="K4384" t="s">
        <v>95</v>
      </c>
      <c r="L4384" t="s">
        <v>96</v>
      </c>
      <c r="M4384">
        <v>4992.08</v>
      </c>
    </row>
    <row r="4385">
      <c r="A4385" s="2">
        <v>45944</v>
      </c>
      <c r="B4385">
        <v>2026.0</v>
      </c>
      <c r="C4385" t="s">
        <v>321</v>
      </c>
      <c r="D4385" t="s">
        <v>316</v>
      </c>
      <c r="E4385" t="s">
        <v>169</v>
      </c>
      <c r="F4385" t="s">
        <v>307</v>
      </c>
      <c r="G4385" t="s">
        <v>12</v>
      </c>
      <c r="H4385">
        <v>6027.0</v>
      </c>
      <c r="I4385" t="s">
        <v>31</v>
      </c>
      <c r="J4385" t="s">
        <v>102</v>
      </c>
      <c r="K4385" t="s">
        <v>71</v>
      </c>
      <c r="L4385" t="s">
        <v>72</v>
      </c>
      <c r="M4385">
        <v>4995.61</v>
      </c>
    </row>
    <row r="4386">
      <c r="A4386" s="2">
        <v>45916</v>
      </c>
      <c r="B4386">
        <v>2026.0</v>
      </c>
      <c r="C4386" t="s">
        <v>321</v>
      </c>
      <c r="D4386" t="s">
        <v>316</v>
      </c>
      <c r="E4386" t="s">
        <v>105</v>
      </c>
      <c r="F4386" t="s">
        <v>304</v>
      </c>
      <c r="G4386" t="s">
        <v>9</v>
      </c>
      <c r="H4386">
        <v>2541.0</v>
      </c>
      <c r="I4386" t="s">
        <v>31</v>
      </c>
      <c r="J4386" t="s">
        <v>107</v>
      </c>
      <c r="K4386" t="s">
        <v>71</v>
      </c>
      <c r="L4386" t="s">
        <v>72</v>
      </c>
      <c r="M4386">
        <v>5012.209999999998</v>
      </c>
    </row>
    <row r="4387">
      <c r="A4387" s="2">
        <v>45858</v>
      </c>
      <c r="B4387">
        <v>2026.0</v>
      </c>
      <c r="C4387" t="s">
        <v>321</v>
      </c>
      <c r="D4387" t="s">
        <v>316</v>
      </c>
      <c r="E4387" t="s">
        <v>232</v>
      </c>
      <c r="F4387" t="s">
        <v>304</v>
      </c>
      <c r="G4387" t="s">
        <v>9</v>
      </c>
      <c r="H4387">
        <v>2800.0</v>
      </c>
      <c r="I4387" t="s">
        <v>31</v>
      </c>
      <c r="J4387" t="s">
        <v>75</v>
      </c>
      <c r="K4387" t="s">
        <v>123</v>
      </c>
      <c r="L4387" t="s">
        <v>124</v>
      </c>
      <c r="M4387">
        <v>5012.690000000002</v>
      </c>
    </row>
    <row r="4388">
      <c r="A4388" s="2">
        <v>45464</v>
      </c>
      <c r="B4388">
        <v>2024.0</v>
      </c>
      <c r="C4388" t="s">
        <v>318</v>
      </c>
      <c r="D4388" t="s">
        <v>316</v>
      </c>
      <c r="E4388" t="s">
        <v>59</v>
      </c>
      <c r="F4388" t="s">
        <v>306</v>
      </c>
      <c r="G4388" t="s">
        <v>11</v>
      </c>
      <c r="H4388">
        <v>4509.0</v>
      </c>
      <c r="I4388" t="s">
        <v>31</v>
      </c>
      <c r="J4388" t="s">
        <v>61</v>
      </c>
      <c r="K4388" t="s">
        <v>95</v>
      </c>
      <c r="L4388" t="s">
        <v>96</v>
      </c>
      <c r="M4388">
        <v>5032.379999999999</v>
      </c>
    </row>
    <row r="4389">
      <c r="A4389" s="2">
        <v>45409</v>
      </c>
      <c r="B4389">
        <v>2024.0</v>
      </c>
      <c r="C4389" t="s">
        <v>318</v>
      </c>
      <c r="D4389" t="s">
        <v>316</v>
      </c>
      <c r="E4389" t="s">
        <v>209</v>
      </c>
      <c r="F4389" t="s">
        <v>304</v>
      </c>
      <c r="G4389" t="s">
        <v>9</v>
      </c>
      <c r="H4389">
        <v>2116.0</v>
      </c>
      <c r="I4389" t="s">
        <v>31</v>
      </c>
      <c r="J4389" t="s">
        <v>81</v>
      </c>
      <c r="K4389" t="s">
        <v>95</v>
      </c>
      <c r="L4389" t="s">
        <v>96</v>
      </c>
      <c r="M4389">
        <v>5062.93</v>
      </c>
    </row>
    <row r="4390">
      <c r="A4390" s="2">
        <v>45389</v>
      </c>
      <c r="B4390">
        <v>2024.0</v>
      </c>
      <c r="C4390" t="s">
        <v>318</v>
      </c>
      <c r="D4390" t="s">
        <v>316</v>
      </c>
      <c r="E4390" t="s">
        <v>114</v>
      </c>
      <c r="F4390" t="s">
        <v>304</v>
      </c>
      <c r="G4390" t="s">
        <v>9</v>
      </c>
      <c r="H4390">
        <v>2031.0</v>
      </c>
      <c r="I4390" t="s">
        <v>31</v>
      </c>
      <c r="J4390" t="s">
        <v>99</v>
      </c>
      <c r="K4390" t="s">
        <v>95</v>
      </c>
      <c r="L4390" t="s">
        <v>96</v>
      </c>
      <c r="M4390">
        <v>5111.370000000001</v>
      </c>
    </row>
    <row r="4391">
      <c r="A4391" s="2">
        <v>45876</v>
      </c>
      <c r="B4391">
        <v>2026.0</v>
      </c>
      <c r="C4391" t="s">
        <v>321</v>
      </c>
      <c r="D4391" t="s">
        <v>316</v>
      </c>
      <c r="E4391" t="s">
        <v>197</v>
      </c>
      <c r="F4391" t="s">
        <v>304</v>
      </c>
      <c r="G4391" t="s">
        <v>9</v>
      </c>
      <c r="H4391">
        <v>2560.0</v>
      </c>
      <c r="I4391" t="s">
        <v>31</v>
      </c>
      <c r="J4391" t="s">
        <v>107</v>
      </c>
      <c r="K4391" t="s">
        <v>71</v>
      </c>
      <c r="L4391" t="s">
        <v>72</v>
      </c>
      <c r="M4391">
        <v>5184.95</v>
      </c>
    </row>
    <row r="4392">
      <c r="A4392" s="2">
        <v>45949</v>
      </c>
      <c r="B4392">
        <v>2026.0</v>
      </c>
      <c r="C4392" t="s">
        <v>321</v>
      </c>
      <c r="D4392" t="s">
        <v>316</v>
      </c>
      <c r="E4392" t="s">
        <v>203</v>
      </c>
      <c r="F4392" t="s">
        <v>305</v>
      </c>
      <c r="G4392" t="s">
        <v>10</v>
      </c>
      <c r="H4392">
        <v>3175.0</v>
      </c>
      <c r="I4392" t="s">
        <v>31</v>
      </c>
      <c r="J4392" t="s">
        <v>89</v>
      </c>
      <c r="K4392" t="s">
        <v>123</v>
      </c>
      <c r="L4392" t="s">
        <v>124</v>
      </c>
      <c r="M4392">
        <v>5209.540000000002</v>
      </c>
    </row>
    <row r="4393">
      <c r="A4393" s="2">
        <v>45401</v>
      </c>
      <c r="B4393">
        <v>2024.0</v>
      </c>
      <c r="C4393" t="s">
        <v>318</v>
      </c>
      <c r="D4393" t="s">
        <v>319</v>
      </c>
      <c r="E4393" t="s">
        <v>129</v>
      </c>
      <c r="F4393" t="s">
        <v>305</v>
      </c>
      <c r="G4393" t="s">
        <v>10</v>
      </c>
      <c r="H4393">
        <v>3066.0</v>
      </c>
      <c r="I4393" t="s">
        <v>31</v>
      </c>
      <c r="J4393" t="s">
        <v>120</v>
      </c>
      <c r="K4393" t="s">
        <v>46</v>
      </c>
      <c r="L4393" t="s">
        <v>47</v>
      </c>
      <c r="M4393">
        <v>5220.719999999998</v>
      </c>
    </row>
    <row r="4394">
      <c r="A4394" s="2">
        <v>46016</v>
      </c>
      <c r="B4394">
        <v>2026.0</v>
      </c>
      <c r="C4394" t="s">
        <v>321</v>
      </c>
      <c r="D4394" t="s">
        <v>319</v>
      </c>
      <c r="E4394" t="s">
        <v>129</v>
      </c>
      <c r="F4394" t="s">
        <v>305</v>
      </c>
      <c r="G4394" t="s">
        <v>10</v>
      </c>
      <c r="H4394">
        <v>3066.0</v>
      </c>
      <c r="I4394" t="s">
        <v>31</v>
      </c>
      <c r="J4394" t="s">
        <v>120</v>
      </c>
      <c r="K4394" t="s">
        <v>95</v>
      </c>
      <c r="L4394" t="s">
        <v>96</v>
      </c>
      <c r="M4394">
        <v>5236.06</v>
      </c>
    </row>
    <row r="4395">
      <c r="A4395" s="2">
        <v>45901</v>
      </c>
      <c r="B4395">
        <v>2026.0</v>
      </c>
      <c r="C4395" t="s">
        <v>321</v>
      </c>
      <c r="D4395" t="s">
        <v>316</v>
      </c>
      <c r="E4395" t="s">
        <v>163</v>
      </c>
      <c r="F4395" t="s">
        <v>304</v>
      </c>
      <c r="G4395" t="s">
        <v>9</v>
      </c>
      <c r="H4395">
        <v>2154.0</v>
      </c>
      <c r="I4395" t="s">
        <v>31</v>
      </c>
      <c r="J4395" t="s">
        <v>81</v>
      </c>
      <c r="K4395" t="s">
        <v>57</v>
      </c>
      <c r="L4395" t="s">
        <v>58</v>
      </c>
      <c r="M4395">
        <v>5238.66</v>
      </c>
    </row>
    <row r="4396">
      <c r="A4396" s="2">
        <v>45862</v>
      </c>
      <c r="B4396">
        <v>2026.0</v>
      </c>
      <c r="C4396" t="s">
        <v>321</v>
      </c>
      <c r="D4396" t="s">
        <v>316</v>
      </c>
      <c r="E4396" t="s">
        <v>264</v>
      </c>
      <c r="F4396" t="s">
        <v>308</v>
      </c>
      <c r="G4396" t="s">
        <v>13</v>
      </c>
      <c r="H4396">
        <v>5043.0</v>
      </c>
      <c r="I4396" t="s">
        <v>31</v>
      </c>
      <c r="J4396" t="s">
        <v>42</v>
      </c>
      <c r="K4396" t="s">
        <v>71</v>
      </c>
      <c r="L4396" t="s">
        <v>72</v>
      </c>
      <c r="M4396">
        <v>5286.4800000000005</v>
      </c>
    </row>
    <row r="4397">
      <c r="A4397" s="2">
        <v>45535</v>
      </c>
      <c r="B4397">
        <v>2025.0</v>
      </c>
      <c r="C4397" t="s">
        <v>315</v>
      </c>
      <c r="D4397" t="s">
        <v>316</v>
      </c>
      <c r="E4397" t="s">
        <v>181</v>
      </c>
      <c r="F4397" t="s">
        <v>306</v>
      </c>
      <c r="G4397" t="s">
        <v>11</v>
      </c>
      <c r="H4397">
        <v>4119.0</v>
      </c>
      <c r="I4397" t="s">
        <v>31</v>
      </c>
      <c r="J4397" t="s">
        <v>56</v>
      </c>
      <c r="K4397" t="s">
        <v>57</v>
      </c>
      <c r="L4397" t="s">
        <v>58</v>
      </c>
      <c r="M4397">
        <v>5292.9800000000005</v>
      </c>
    </row>
    <row r="4398">
      <c r="A4398" s="2">
        <v>45897</v>
      </c>
      <c r="B4398">
        <v>2026.0</v>
      </c>
      <c r="C4398" t="s">
        <v>321</v>
      </c>
      <c r="D4398" t="s">
        <v>316</v>
      </c>
      <c r="E4398" t="s">
        <v>82</v>
      </c>
      <c r="F4398" t="s">
        <v>306</v>
      </c>
      <c r="G4398" t="s">
        <v>11</v>
      </c>
      <c r="H4398">
        <v>4558.0</v>
      </c>
      <c r="I4398" t="s">
        <v>31</v>
      </c>
      <c r="J4398" t="s">
        <v>84</v>
      </c>
      <c r="K4398" t="s">
        <v>123</v>
      </c>
      <c r="L4398" t="s">
        <v>124</v>
      </c>
      <c r="M4398">
        <v>5294.920000000001</v>
      </c>
    </row>
    <row r="4399">
      <c r="A4399" s="2">
        <v>45878</v>
      </c>
      <c r="B4399">
        <v>2026.0</v>
      </c>
      <c r="C4399" t="s">
        <v>321</v>
      </c>
      <c r="D4399" t="s">
        <v>319</v>
      </c>
      <c r="E4399" t="s">
        <v>262</v>
      </c>
      <c r="F4399" t="s">
        <v>305</v>
      </c>
      <c r="G4399" t="s">
        <v>10</v>
      </c>
      <c r="H4399">
        <v>3018.0</v>
      </c>
      <c r="I4399" t="s">
        <v>31</v>
      </c>
      <c r="J4399" t="s">
        <v>120</v>
      </c>
      <c r="K4399" t="s">
        <v>57</v>
      </c>
      <c r="L4399" t="s">
        <v>58</v>
      </c>
      <c r="M4399">
        <v>5306.62</v>
      </c>
    </row>
    <row r="4400">
      <c r="A4400" s="2">
        <v>45932</v>
      </c>
      <c r="B4400">
        <v>2026.0</v>
      </c>
      <c r="C4400" t="s">
        <v>321</v>
      </c>
      <c r="D4400" t="s">
        <v>316</v>
      </c>
      <c r="E4400" t="s">
        <v>163</v>
      </c>
      <c r="F4400" t="s">
        <v>304</v>
      </c>
      <c r="G4400" t="s">
        <v>9</v>
      </c>
      <c r="H4400">
        <v>2154.0</v>
      </c>
      <c r="I4400" t="s">
        <v>31</v>
      </c>
      <c r="J4400" t="s">
        <v>81</v>
      </c>
      <c r="K4400" t="s">
        <v>123</v>
      </c>
      <c r="L4400" t="s">
        <v>124</v>
      </c>
      <c r="M4400">
        <v>5309.030000000001</v>
      </c>
    </row>
    <row r="4401">
      <c r="A4401" s="2">
        <v>46014</v>
      </c>
      <c r="B4401">
        <v>2026.0</v>
      </c>
      <c r="C4401" t="s">
        <v>321</v>
      </c>
      <c r="D4401" t="s">
        <v>316</v>
      </c>
      <c r="E4401" t="s">
        <v>82</v>
      </c>
      <c r="F4401" t="s">
        <v>306</v>
      </c>
      <c r="G4401" t="s">
        <v>11</v>
      </c>
      <c r="H4401">
        <v>4558.0</v>
      </c>
      <c r="I4401" t="s">
        <v>31</v>
      </c>
      <c r="J4401" t="s">
        <v>84</v>
      </c>
      <c r="K4401" t="s">
        <v>95</v>
      </c>
      <c r="L4401" t="s">
        <v>96</v>
      </c>
      <c r="M4401">
        <v>5318.670000000001</v>
      </c>
    </row>
    <row r="4402">
      <c r="A4402" s="2">
        <v>45469</v>
      </c>
      <c r="B4402">
        <v>2024.0</v>
      </c>
      <c r="C4402" t="s">
        <v>318</v>
      </c>
      <c r="D4402" t="s">
        <v>316</v>
      </c>
      <c r="E4402" t="s">
        <v>219</v>
      </c>
      <c r="F4402" t="s">
        <v>306</v>
      </c>
      <c r="G4402" t="s">
        <v>11</v>
      </c>
      <c r="H4402">
        <v>4068.0</v>
      </c>
      <c r="I4402" t="s">
        <v>31</v>
      </c>
      <c r="J4402" t="s">
        <v>56</v>
      </c>
      <c r="K4402" t="s">
        <v>46</v>
      </c>
      <c r="L4402" t="s">
        <v>47</v>
      </c>
      <c r="M4402">
        <v>5338.4800000000005</v>
      </c>
    </row>
    <row r="4403">
      <c r="A4403" s="2">
        <v>45453</v>
      </c>
      <c r="B4403">
        <v>2024.0</v>
      </c>
      <c r="C4403" t="s">
        <v>318</v>
      </c>
      <c r="D4403" t="s">
        <v>316</v>
      </c>
      <c r="E4403" t="s">
        <v>163</v>
      </c>
      <c r="F4403" t="s">
        <v>304</v>
      </c>
      <c r="G4403" t="s">
        <v>9</v>
      </c>
      <c r="H4403">
        <v>2154.0</v>
      </c>
      <c r="I4403" t="s">
        <v>31</v>
      </c>
      <c r="J4403" t="s">
        <v>81</v>
      </c>
      <c r="K4403" t="s">
        <v>71</v>
      </c>
      <c r="L4403" t="s">
        <v>72</v>
      </c>
      <c r="M4403">
        <v>5356.169999999999</v>
      </c>
    </row>
    <row r="4404">
      <c r="A4404" s="2">
        <v>45866</v>
      </c>
      <c r="B4404">
        <v>2026.0</v>
      </c>
      <c r="C4404" t="s">
        <v>321</v>
      </c>
      <c r="D4404" t="s">
        <v>316</v>
      </c>
      <c r="E4404" t="s">
        <v>203</v>
      </c>
      <c r="F4404" t="s">
        <v>305</v>
      </c>
      <c r="G4404" t="s">
        <v>10</v>
      </c>
      <c r="H4404">
        <v>3175.0</v>
      </c>
      <c r="I4404" t="s">
        <v>31</v>
      </c>
      <c r="J4404" t="s">
        <v>89</v>
      </c>
      <c r="K4404" t="s">
        <v>57</v>
      </c>
      <c r="L4404" t="s">
        <v>58</v>
      </c>
      <c r="M4404">
        <v>5375.47</v>
      </c>
    </row>
    <row r="4405">
      <c r="A4405" s="2">
        <v>45594</v>
      </c>
      <c r="B4405">
        <v>2025.0</v>
      </c>
      <c r="C4405" t="s">
        <v>315</v>
      </c>
      <c r="D4405" t="s">
        <v>316</v>
      </c>
      <c r="E4405" t="s">
        <v>211</v>
      </c>
      <c r="F4405" t="s">
        <v>304</v>
      </c>
      <c r="G4405" t="s">
        <v>9</v>
      </c>
      <c r="H4405">
        <v>2650.0</v>
      </c>
      <c r="I4405" t="s">
        <v>31</v>
      </c>
      <c r="J4405" t="s">
        <v>75</v>
      </c>
      <c r="K4405" t="s">
        <v>46</v>
      </c>
      <c r="L4405" t="s">
        <v>47</v>
      </c>
      <c r="M4405">
        <v>5409.860000000001</v>
      </c>
    </row>
    <row r="4406">
      <c r="A4406" s="2">
        <v>45859</v>
      </c>
      <c r="B4406">
        <v>2026.0</v>
      </c>
      <c r="C4406" t="s">
        <v>321</v>
      </c>
      <c r="D4406" t="s">
        <v>316</v>
      </c>
      <c r="E4406" t="s">
        <v>59</v>
      </c>
      <c r="F4406" t="s">
        <v>306</v>
      </c>
      <c r="G4406" t="s">
        <v>11</v>
      </c>
      <c r="H4406">
        <v>4509.0</v>
      </c>
      <c r="I4406" t="s">
        <v>31</v>
      </c>
      <c r="J4406" t="s">
        <v>61</v>
      </c>
      <c r="K4406" t="s">
        <v>123</v>
      </c>
      <c r="L4406" t="s">
        <v>124</v>
      </c>
      <c r="M4406">
        <v>5429.459999999999</v>
      </c>
    </row>
    <row r="4407">
      <c r="A4407" s="2">
        <v>45946</v>
      </c>
      <c r="B4407">
        <v>2026.0</v>
      </c>
      <c r="C4407" t="s">
        <v>321</v>
      </c>
      <c r="D4407" t="s">
        <v>319</v>
      </c>
      <c r="E4407" t="s">
        <v>129</v>
      </c>
      <c r="F4407" t="s">
        <v>305</v>
      </c>
      <c r="G4407" t="s">
        <v>10</v>
      </c>
      <c r="H4407">
        <v>3066.0</v>
      </c>
      <c r="I4407" t="s">
        <v>31</v>
      </c>
      <c r="J4407" t="s">
        <v>120</v>
      </c>
      <c r="K4407" t="s">
        <v>57</v>
      </c>
      <c r="L4407" t="s">
        <v>58</v>
      </c>
      <c r="M4407">
        <v>5433.6900000000005</v>
      </c>
    </row>
    <row r="4408">
      <c r="A4408" s="2">
        <v>45983</v>
      </c>
      <c r="B4408">
        <v>2026.0</v>
      </c>
      <c r="C4408" t="s">
        <v>321</v>
      </c>
      <c r="D4408" t="s">
        <v>319</v>
      </c>
      <c r="E4408" t="s">
        <v>177</v>
      </c>
      <c r="F4408" t="s">
        <v>307</v>
      </c>
      <c r="G4408" t="s">
        <v>12</v>
      </c>
      <c r="H4408">
        <v>6330.0</v>
      </c>
      <c r="I4408" t="s">
        <v>31</v>
      </c>
      <c r="J4408" t="s">
        <v>162</v>
      </c>
      <c r="K4408" t="s">
        <v>46</v>
      </c>
      <c r="L4408" t="s">
        <v>47</v>
      </c>
      <c r="M4408">
        <v>5438.420000000002</v>
      </c>
    </row>
    <row r="4409">
      <c r="A4409" s="2">
        <v>45892</v>
      </c>
      <c r="B4409">
        <v>2026.0</v>
      </c>
      <c r="C4409" t="s">
        <v>321</v>
      </c>
      <c r="D4409" t="s">
        <v>316</v>
      </c>
      <c r="E4409" t="s">
        <v>163</v>
      </c>
      <c r="F4409" t="s">
        <v>304</v>
      </c>
      <c r="G4409" t="s">
        <v>9</v>
      </c>
      <c r="H4409">
        <v>2154.0</v>
      </c>
      <c r="I4409" t="s">
        <v>31</v>
      </c>
      <c r="J4409" t="s">
        <v>81</v>
      </c>
      <c r="K4409" t="s">
        <v>46</v>
      </c>
      <c r="L4409" t="s">
        <v>47</v>
      </c>
      <c r="M4409">
        <v>5438.450000000002</v>
      </c>
    </row>
    <row r="4410">
      <c r="A4410" s="2">
        <v>45300</v>
      </c>
      <c r="B4410">
        <v>2024.0</v>
      </c>
      <c r="C4410" t="s">
        <v>318</v>
      </c>
      <c r="D4410" t="s">
        <v>316</v>
      </c>
      <c r="E4410" t="s">
        <v>143</v>
      </c>
      <c r="F4410" t="s">
        <v>309</v>
      </c>
      <c r="G4410" t="s">
        <v>14</v>
      </c>
      <c r="H4410">
        <v>800.0</v>
      </c>
      <c r="I4410" t="s">
        <v>31</v>
      </c>
      <c r="J4410" t="s">
        <v>145</v>
      </c>
      <c r="K4410" t="s">
        <v>95</v>
      </c>
      <c r="L4410" t="s">
        <v>96</v>
      </c>
      <c r="M4410">
        <v>5444.25</v>
      </c>
    </row>
    <row r="4411">
      <c r="A4411" s="2">
        <v>45565</v>
      </c>
      <c r="B4411">
        <v>2025.0</v>
      </c>
      <c r="C4411" t="s">
        <v>315</v>
      </c>
      <c r="D4411" t="s">
        <v>316</v>
      </c>
      <c r="E4411" t="s">
        <v>219</v>
      </c>
      <c r="F4411" t="s">
        <v>306</v>
      </c>
      <c r="G4411" t="s">
        <v>11</v>
      </c>
      <c r="H4411">
        <v>4068.0</v>
      </c>
      <c r="I4411" t="s">
        <v>31</v>
      </c>
      <c r="J4411" t="s">
        <v>56</v>
      </c>
      <c r="K4411" t="s">
        <v>57</v>
      </c>
      <c r="L4411" t="s">
        <v>58</v>
      </c>
      <c r="M4411">
        <v>5454.290000000001</v>
      </c>
    </row>
    <row r="4412">
      <c r="A4412" s="2">
        <v>45932</v>
      </c>
      <c r="B4412">
        <v>2026.0</v>
      </c>
      <c r="C4412" t="s">
        <v>321</v>
      </c>
      <c r="D4412" t="s">
        <v>316</v>
      </c>
      <c r="E4412" t="s">
        <v>246</v>
      </c>
      <c r="F4412" t="s">
        <v>305</v>
      </c>
      <c r="G4412" t="s">
        <v>10</v>
      </c>
      <c r="H4412">
        <v>3551.0</v>
      </c>
      <c r="I4412" t="s">
        <v>31</v>
      </c>
      <c r="J4412" t="s">
        <v>37</v>
      </c>
      <c r="K4412" t="s">
        <v>57</v>
      </c>
      <c r="L4412" t="s">
        <v>58</v>
      </c>
      <c r="M4412">
        <v>5464.639999999999</v>
      </c>
    </row>
    <row r="4413">
      <c r="A4413" s="2">
        <v>45473</v>
      </c>
      <c r="B4413">
        <v>2024.0</v>
      </c>
      <c r="C4413" t="s">
        <v>318</v>
      </c>
      <c r="D4413" t="s">
        <v>319</v>
      </c>
      <c r="E4413" t="s">
        <v>177</v>
      </c>
      <c r="F4413" t="s">
        <v>307</v>
      </c>
      <c r="G4413" t="s">
        <v>12</v>
      </c>
      <c r="H4413">
        <v>6330.0</v>
      </c>
      <c r="I4413" t="s">
        <v>31</v>
      </c>
      <c r="J4413" t="s">
        <v>162</v>
      </c>
      <c r="K4413" t="s">
        <v>95</v>
      </c>
      <c r="L4413" t="s">
        <v>96</v>
      </c>
      <c r="M4413">
        <v>5499.11</v>
      </c>
    </row>
    <row r="4414">
      <c r="A4414" s="2">
        <v>45955</v>
      </c>
      <c r="B4414">
        <v>2026.0</v>
      </c>
      <c r="C4414" t="s">
        <v>321</v>
      </c>
      <c r="D4414" t="s">
        <v>316</v>
      </c>
      <c r="E4414" t="s">
        <v>139</v>
      </c>
      <c r="F4414" t="s">
        <v>305</v>
      </c>
      <c r="G4414" t="s">
        <v>10</v>
      </c>
      <c r="H4414">
        <v>3199.0</v>
      </c>
      <c r="I4414" t="s">
        <v>31</v>
      </c>
      <c r="J4414" t="s">
        <v>89</v>
      </c>
      <c r="K4414" t="s">
        <v>46</v>
      </c>
      <c r="L4414" t="s">
        <v>47</v>
      </c>
      <c r="M4414">
        <v>5521.919999999998</v>
      </c>
    </row>
    <row r="4415">
      <c r="A4415" s="2">
        <v>45794</v>
      </c>
      <c r="B4415">
        <v>2025.0</v>
      </c>
      <c r="C4415" t="s">
        <v>315</v>
      </c>
      <c r="D4415" t="s">
        <v>316</v>
      </c>
      <c r="E4415" t="s">
        <v>110</v>
      </c>
      <c r="F4415" t="s">
        <v>304</v>
      </c>
      <c r="G4415" t="s">
        <v>9</v>
      </c>
      <c r="H4415">
        <v>2101.0</v>
      </c>
      <c r="I4415" t="s">
        <v>31</v>
      </c>
      <c r="J4415" t="s">
        <v>81</v>
      </c>
      <c r="K4415" t="s">
        <v>57</v>
      </c>
      <c r="L4415" t="s">
        <v>58</v>
      </c>
      <c r="M4415">
        <v>5537.780000000001</v>
      </c>
    </row>
    <row r="4416">
      <c r="A4416" s="2">
        <v>45618</v>
      </c>
      <c r="B4416">
        <v>2025.0</v>
      </c>
      <c r="C4416" t="s">
        <v>315</v>
      </c>
      <c r="D4416" t="s">
        <v>316</v>
      </c>
      <c r="E4416" t="s">
        <v>154</v>
      </c>
      <c r="F4416" t="s">
        <v>306</v>
      </c>
      <c r="G4416" t="s">
        <v>11</v>
      </c>
      <c r="H4416">
        <v>4551.0</v>
      </c>
      <c r="I4416" t="s">
        <v>31</v>
      </c>
      <c r="J4416" t="s">
        <v>84</v>
      </c>
      <c r="K4416" t="s">
        <v>95</v>
      </c>
      <c r="L4416" t="s">
        <v>96</v>
      </c>
      <c r="M4416">
        <v>5541.1100000000015</v>
      </c>
    </row>
    <row r="4417">
      <c r="A4417" s="2">
        <v>45814</v>
      </c>
      <c r="B4417">
        <v>2025.0</v>
      </c>
      <c r="C4417" t="s">
        <v>315</v>
      </c>
      <c r="D4417" t="s">
        <v>316</v>
      </c>
      <c r="E4417" t="s">
        <v>59</v>
      </c>
      <c r="F4417" t="s">
        <v>306</v>
      </c>
      <c r="G4417" t="s">
        <v>11</v>
      </c>
      <c r="H4417">
        <v>4509.0</v>
      </c>
      <c r="I4417" t="s">
        <v>31</v>
      </c>
      <c r="J4417" t="s">
        <v>61</v>
      </c>
      <c r="K4417" t="s">
        <v>57</v>
      </c>
      <c r="L4417" t="s">
        <v>58</v>
      </c>
      <c r="M4417">
        <v>5557.4800000000005</v>
      </c>
    </row>
    <row r="4418">
      <c r="A4418" s="2">
        <v>45368</v>
      </c>
      <c r="B4418">
        <v>2024.0</v>
      </c>
      <c r="C4418" t="s">
        <v>318</v>
      </c>
      <c r="D4418" t="s">
        <v>316</v>
      </c>
      <c r="E4418" t="s">
        <v>82</v>
      </c>
      <c r="F4418" t="s">
        <v>306</v>
      </c>
      <c r="G4418" t="s">
        <v>11</v>
      </c>
      <c r="H4418">
        <v>4558.0</v>
      </c>
      <c r="I4418" t="s">
        <v>31</v>
      </c>
      <c r="J4418" t="s">
        <v>84</v>
      </c>
      <c r="K4418" t="s">
        <v>46</v>
      </c>
      <c r="L4418" t="s">
        <v>47</v>
      </c>
      <c r="M4418">
        <v>5564.140000000001</v>
      </c>
    </row>
    <row r="4419">
      <c r="A4419" s="2">
        <v>45453</v>
      </c>
      <c r="B4419">
        <v>2024.0</v>
      </c>
      <c r="C4419" t="s">
        <v>318</v>
      </c>
      <c r="D4419" t="s">
        <v>316</v>
      </c>
      <c r="E4419" t="s">
        <v>250</v>
      </c>
      <c r="F4419" t="s">
        <v>305</v>
      </c>
      <c r="G4419" t="s">
        <v>10</v>
      </c>
      <c r="H4419">
        <v>3550.0</v>
      </c>
      <c r="I4419" t="s">
        <v>31</v>
      </c>
      <c r="J4419" t="s">
        <v>37</v>
      </c>
      <c r="K4419" t="s">
        <v>95</v>
      </c>
      <c r="L4419" t="s">
        <v>96</v>
      </c>
      <c r="M4419">
        <v>5591.950000000001</v>
      </c>
    </row>
    <row r="4420">
      <c r="A4420" s="2">
        <v>45569</v>
      </c>
      <c r="B4420">
        <v>2025.0</v>
      </c>
      <c r="C4420" t="s">
        <v>315</v>
      </c>
      <c r="D4420" t="s">
        <v>319</v>
      </c>
      <c r="E4420" t="s">
        <v>177</v>
      </c>
      <c r="F4420" t="s">
        <v>307</v>
      </c>
      <c r="G4420" t="s">
        <v>12</v>
      </c>
      <c r="H4420">
        <v>6330.0</v>
      </c>
      <c r="I4420" t="s">
        <v>31</v>
      </c>
      <c r="J4420" t="s">
        <v>162</v>
      </c>
      <c r="K4420" t="s">
        <v>123</v>
      </c>
      <c r="L4420" t="s">
        <v>124</v>
      </c>
      <c r="M4420">
        <v>5608.339999999999</v>
      </c>
    </row>
    <row r="4421">
      <c r="A4421" s="2">
        <v>45484</v>
      </c>
      <c r="B4421">
        <v>2025.0</v>
      </c>
      <c r="C4421" t="s">
        <v>315</v>
      </c>
      <c r="D4421" t="s">
        <v>316</v>
      </c>
      <c r="E4421" t="s">
        <v>211</v>
      </c>
      <c r="F4421" t="s">
        <v>304</v>
      </c>
      <c r="G4421" t="s">
        <v>9</v>
      </c>
      <c r="H4421">
        <v>2650.0</v>
      </c>
      <c r="I4421" t="s">
        <v>31</v>
      </c>
      <c r="J4421" t="s">
        <v>75</v>
      </c>
      <c r="K4421" t="s">
        <v>123</v>
      </c>
      <c r="L4421" t="s">
        <v>124</v>
      </c>
      <c r="M4421">
        <v>5611.500000000002</v>
      </c>
    </row>
    <row r="4422">
      <c r="A4422" s="2">
        <v>45716</v>
      </c>
      <c r="B4422">
        <v>2025.0</v>
      </c>
      <c r="C4422" t="s">
        <v>315</v>
      </c>
      <c r="D4422" t="s">
        <v>316</v>
      </c>
      <c r="E4422" t="s">
        <v>62</v>
      </c>
      <c r="F4422" t="s">
        <v>307</v>
      </c>
      <c r="G4422" t="s">
        <v>12</v>
      </c>
      <c r="H4422">
        <v>6530.0</v>
      </c>
      <c r="I4422" t="s">
        <v>31</v>
      </c>
      <c r="J4422" t="s">
        <v>50</v>
      </c>
      <c r="K4422" t="s">
        <v>46</v>
      </c>
      <c r="L4422" t="s">
        <v>47</v>
      </c>
      <c r="M4422">
        <v>5620.150000000001</v>
      </c>
    </row>
    <row r="4423">
      <c r="A4423" s="2">
        <v>45738</v>
      </c>
      <c r="B4423">
        <v>2025.0</v>
      </c>
      <c r="C4423" t="s">
        <v>315</v>
      </c>
      <c r="D4423" t="s">
        <v>316</v>
      </c>
      <c r="E4423" t="s">
        <v>90</v>
      </c>
      <c r="F4423" t="s">
        <v>305</v>
      </c>
      <c r="G4423" t="s">
        <v>10</v>
      </c>
      <c r="H4423">
        <v>3353.0</v>
      </c>
      <c r="I4423" t="s">
        <v>31</v>
      </c>
      <c r="J4423" t="s">
        <v>37</v>
      </c>
      <c r="K4423" t="s">
        <v>71</v>
      </c>
      <c r="L4423" t="s">
        <v>72</v>
      </c>
      <c r="M4423">
        <v>5647.9</v>
      </c>
    </row>
    <row r="4424">
      <c r="A4424" s="2">
        <v>45456</v>
      </c>
      <c r="B4424">
        <v>2024.0</v>
      </c>
      <c r="C4424" t="s">
        <v>318</v>
      </c>
      <c r="D4424" t="s">
        <v>319</v>
      </c>
      <c r="E4424" t="s">
        <v>262</v>
      </c>
      <c r="F4424" t="s">
        <v>305</v>
      </c>
      <c r="G4424" t="s">
        <v>10</v>
      </c>
      <c r="H4424">
        <v>3018.0</v>
      </c>
      <c r="I4424" t="s">
        <v>31</v>
      </c>
      <c r="J4424" t="s">
        <v>120</v>
      </c>
      <c r="K4424" t="s">
        <v>57</v>
      </c>
      <c r="L4424" t="s">
        <v>58</v>
      </c>
      <c r="M4424">
        <v>5652.74</v>
      </c>
    </row>
    <row r="4425">
      <c r="A4425" s="2">
        <v>45839</v>
      </c>
      <c r="B4425">
        <v>2026.0</v>
      </c>
      <c r="C4425" t="s">
        <v>321</v>
      </c>
      <c r="D4425" t="s">
        <v>316</v>
      </c>
      <c r="E4425" t="s">
        <v>203</v>
      </c>
      <c r="F4425" t="s">
        <v>305</v>
      </c>
      <c r="G4425" t="s">
        <v>10</v>
      </c>
      <c r="H4425">
        <v>3175.0</v>
      </c>
      <c r="I4425" t="s">
        <v>31</v>
      </c>
      <c r="J4425" t="s">
        <v>89</v>
      </c>
      <c r="K4425" t="s">
        <v>71</v>
      </c>
      <c r="L4425" t="s">
        <v>72</v>
      </c>
      <c r="M4425">
        <v>5715.179999999999</v>
      </c>
    </row>
    <row r="4426">
      <c r="A4426" s="2">
        <v>45310</v>
      </c>
      <c r="B4426">
        <v>2024.0</v>
      </c>
      <c r="C4426" t="s">
        <v>318</v>
      </c>
      <c r="D4426" t="s">
        <v>316</v>
      </c>
      <c r="E4426" t="s">
        <v>114</v>
      </c>
      <c r="F4426" t="s">
        <v>304</v>
      </c>
      <c r="G4426" t="s">
        <v>9</v>
      </c>
      <c r="H4426">
        <v>2031.0</v>
      </c>
      <c r="I4426" t="s">
        <v>31</v>
      </c>
      <c r="J4426" t="s">
        <v>99</v>
      </c>
      <c r="K4426" t="s">
        <v>57</v>
      </c>
      <c r="L4426" t="s">
        <v>58</v>
      </c>
      <c r="M4426">
        <v>5722.39</v>
      </c>
    </row>
    <row r="4427">
      <c r="A4427" s="2">
        <v>45513</v>
      </c>
      <c r="B4427">
        <v>2025.0</v>
      </c>
      <c r="C4427" t="s">
        <v>315</v>
      </c>
      <c r="D4427" t="s">
        <v>316</v>
      </c>
      <c r="E4427" t="s">
        <v>108</v>
      </c>
      <c r="F4427" t="s">
        <v>304</v>
      </c>
      <c r="G4427" t="s">
        <v>9</v>
      </c>
      <c r="H4427">
        <v>2795.0</v>
      </c>
      <c r="I4427" t="s">
        <v>31</v>
      </c>
      <c r="J4427" t="s">
        <v>75</v>
      </c>
      <c r="K4427" t="s">
        <v>123</v>
      </c>
      <c r="L4427" t="s">
        <v>124</v>
      </c>
      <c r="M4427">
        <v>5754.129999999999</v>
      </c>
    </row>
    <row r="4428">
      <c r="A4428" s="2">
        <v>45653</v>
      </c>
      <c r="B4428">
        <v>2025.0</v>
      </c>
      <c r="C4428" t="s">
        <v>315</v>
      </c>
      <c r="D4428" t="s">
        <v>319</v>
      </c>
      <c r="E4428" t="s">
        <v>179</v>
      </c>
      <c r="F4428" t="s">
        <v>304</v>
      </c>
      <c r="G4428" t="s">
        <v>9</v>
      </c>
      <c r="H4428">
        <v>2015.0</v>
      </c>
      <c r="I4428" t="s">
        <v>31</v>
      </c>
      <c r="J4428" t="s">
        <v>99</v>
      </c>
      <c r="K4428" t="s">
        <v>123</v>
      </c>
      <c r="L4428" t="s">
        <v>124</v>
      </c>
      <c r="M4428">
        <v>5761.56</v>
      </c>
    </row>
    <row r="4429">
      <c r="A4429" s="2">
        <v>45759</v>
      </c>
      <c r="B4429">
        <v>2025.0</v>
      </c>
      <c r="C4429" t="s">
        <v>315</v>
      </c>
      <c r="D4429" t="s">
        <v>316</v>
      </c>
      <c r="E4429" t="s">
        <v>59</v>
      </c>
      <c r="F4429" t="s">
        <v>306</v>
      </c>
      <c r="G4429" t="s">
        <v>11</v>
      </c>
      <c r="H4429">
        <v>4509.0</v>
      </c>
      <c r="I4429" t="s">
        <v>31</v>
      </c>
      <c r="J4429" t="s">
        <v>61</v>
      </c>
      <c r="K4429" t="s">
        <v>95</v>
      </c>
      <c r="L4429" t="s">
        <v>96</v>
      </c>
      <c r="M4429">
        <v>5802.100000000002</v>
      </c>
    </row>
    <row r="4430">
      <c r="A4430" s="2">
        <v>45342</v>
      </c>
      <c r="B4430">
        <v>2024.0</v>
      </c>
      <c r="C4430" t="s">
        <v>318</v>
      </c>
      <c r="D4430" t="s">
        <v>316</v>
      </c>
      <c r="E4430" t="s">
        <v>139</v>
      </c>
      <c r="F4430" t="s">
        <v>305</v>
      </c>
      <c r="G4430" t="s">
        <v>10</v>
      </c>
      <c r="H4430">
        <v>3199.0</v>
      </c>
      <c r="I4430" t="s">
        <v>31</v>
      </c>
      <c r="J4430" t="s">
        <v>89</v>
      </c>
      <c r="K4430" t="s">
        <v>123</v>
      </c>
      <c r="L4430" t="s">
        <v>124</v>
      </c>
      <c r="M4430">
        <v>5804.51</v>
      </c>
    </row>
    <row r="4431">
      <c r="A4431" s="2">
        <v>45392</v>
      </c>
      <c r="B4431">
        <v>2024.0</v>
      </c>
      <c r="C4431" t="s">
        <v>318</v>
      </c>
      <c r="D4431" t="s">
        <v>316</v>
      </c>
      <c r="E4431" t="s">
        <v>181</v>
      </c>
      <c r="F4431" t="s">
        <v>306</v>
      </c>
      <c r="G4431" t="s">
        <v>11</v>
      </c>
      <c r="H4431">
        <v>4119.0</v>
      </c>
      <c r="I4431" t="s">
        <v>31</v>
      </c>
      <c r="J4431" t="s">
        <v>56</v>
      </c>
      <c r="K4431" t="s">
        <v>57</v>
      </c>
      <c r="L4431" t="s">
        <v>58</v>
      </c>
      <c r="M4431">
        <v>5809.870000000002</v>
      </c>
    </row>
    <row r="4432">
      <c r="A4432" s="2">
        <v>45535</v>
      </c>
      <c r="B4432">
        <v>2025.0</v>
      </c>
      <c r="C4432" t="s">
        <v>315</v>
      </c>
      <c r="D4432" t="s">
        <v>316</v>
      </c>
      <c r="E4432" t="s">
        <v>64</v>
      </c>
      <c r="F4432" t="s">
        <v>306</v>
      </c>
      <c r="G4432" t="s">
        <v>11</v>
      </c>
      <c r="H4432">
        <v>4215.0</v>
      </c>
      <c r="I4432" t="s">
        <v>31</v>
      </c>
      <c r="J4432" t="s">
        <v>61</v>
      </c>
      <c r="K4432" t="s">
        <v>57</v>
      </c>
      <c r="L4432" t="s">
        <v>58</v>
      </c>
      <c r="M4432">
        <v>5832.199999999998</v>
      </c>
    </row>
    <row r="4433">
      <c r="A4433" s="2">
        <v>45884</v>
      </c>
      <c r="B4433">
        <v>2026.0</v>
      </c>
      <c r="C4433" t="s">
        <v>321</v>
      </c>
      <c r="D4433" t="s">
        <v>319</v>
      </c>
      <c r="E4433" t="s">
        <v>256</v>
      </c>
      <c r="F4433" t="s">
        <v>304</v>
      </c>
      <c r="G4433" t="s">
        <v>9</v>
      </c>
      <c r="H4433">
        <v>2350.0</v>
      </c>
      <c r="I4433" t="s">
        <v>31</v>
      </c>
      <c r="J4433" t="s">
        <v>70</v>
      </c>
      <c r="K4433" t="s">
        <v>46</v>
      </c>
      <c r="L4433" t="s">
        <v>47</v>
      </c>
      <c r="M4433">
        <v>5894.890000000001</v>
      </c>
    </row>
    <row r="4434">
      <c r="A4434" s="2">
        <v>45855</v>
      </c>
      <c r="B4434">
        <v>2026.0</v>
      </c>
      <c r="C4434" t="s">
        <v>321</v>
      </c>
      <c r="D4434" t="s">
        <v>316</v>
      </c>
      <c r="E4434" t="s">
        <v>135</v>
      </c>
      <c r="F4434" t="s">
        <v>311</v>
      </c>
      <c r="G4434" t="s">
        <v>16</v>
      </c>
      <c r="H4434">
        <v>2609.0</v>
      </c>
      <c r="I4434" t="s">
        <v>31</v>
      </c>
      <c r="J4434" t="s">
        <v>107</v>
      </c>
      <c r="K4434" t="s">
        <v>71</v>
      </c>
      <c r="L4434" t="s">
        <v>72</v>
      </c>
      <c r="M4434">
        <v>5935.05</v>
      </c>
    </row>
    <row r="4435">
      <c r="A4435" s="2">
        <v>45821</v>
      </c>
      <c r="B4435">
        <v>2025.0</v>
      </c>
      <c r="C4435" t="s">
        <v>315</v>
      </c>
      <c r="D4435" t="s">
        <v>319</v>
      </c>
      <c r="E4435" t="s">
        <v>100</v>
      </c>
      <c r="F4435" t="s">
        <v>307</v>
      </c>
      <c r="G4435" t="s">
        <v>12</v>
      </c>
      <c r="H4435">
        <v>6010.0</v>
      </c>
      <c r="I4435" t="s">
        <v>31</v>
      </c>
      <c r="J4435" t="s">
        <v>102</v>
      </c>
      <c r="K4435" t="s">
        <v>71</v>
      </c>
      <c r="L4435" t="s">
        <v>72</v>
      </c>
      <c r="M4435">
        <v>5936.02</v>
      </c>
    </row>
    <row r="4436">
      <c r="A4436" s="2">
        <v>45331</v>
      </c>
      <c r="B4436">
        <v>2024.0</v>
      </c>
      <c r="C4436" t="s">
        <v>318</v>
      </c>
      <c r="D4436" t="s">
        <v>316</v>
      </c>
      <c r="E4436" t="s">
        <v>197</v>
      </c>
      <c r="F4436" t="s">
        <v>304</v>
      </c>
      <c r="G4436" t="s">
        <v>9</v>
      </c>
      <c r="H4436">
        <v>2560.0</v>
      </c>
      <c r="I4436" t="s">
        <v>31</v>
      </c>
      <c r="J4436" t="s">
        <v>107</v>
      </c>
      <c r="K4436" t="s">
        <v>57</v>
      </c>
      <c r="L4436" t="s">
        <v>58</v>
      </c>
      <c r="M4436">
        <v>6008.17</v>
      </c>
    </row>
    <row r="4437">
      <c r="A4437" s="2">
        <v>45326</v>
      </c>
      <c r="B4437">
        <v>2024.0</v>
      </c>
      <c r="C4437" t="s">
        <v>318</v>
      </c>
      <c r="D4437" t="s">
        <v>316</v>
      </c>
      <c r="E4437" t="s">
        <v>110</v>
      </c>
      <c r="F4437" t="s">
        <v>304</v>
      </c>
      <c r="G4437" t="s">
        <v>9</v>
      </c>
      <c r="H4437">
        <v>2101.0</v>
      </c>
      <c r="I4437" t="s">
        <v>31</v>
      </c>
      <c r="J4437" t="s">
        <v>81</v>
      </c>
      <c r="K4437" t="s">
        <v>71</v>
      </c>
      <c r="L4437" t="s">
        <v>72</v>
      </c>
      <c r="M4437">
        <v>6048.969999999998</v>
      </c>
    </row>
    <row r="4438">
      <c r="A4438" s="2">
        <v>45450</v>
      </c>
      <c r="B4438">
        <v>2024.0</v>
      </c>
      <c r="C4438" t="s">
        <v>318</v>
      </c>
      <c r="D4438" t="s">
        <v>316</v>
      </c>
      <c r="E4438" t="s">
        <v>197</v>
      </c>
      <c r="F4438" t="s">
        <v>304</v>
      </c>
      <c r="G4438" t="s">
        <v>9</v>
      </c>
      <c r="H4438">
        <v>2560.0</v>
      </c>
      <c r="I4438" t="s">
        <v>31</v>
      </c>
      <c r="J4438" t="s">
        <v>107</v>
      </c>
      <c r="K4438" t="s">
        <v>46</v>
      </c>
      <c r="L4438" t="s">
        <v>47</v>
      </c>
      <c r="M4438">
        <v>6061.11</v>
      </c>
    </row>
    <row r="4439">
      <c r="A4439" s="2">
        <v>45400</v>
      </c>
      <c r="B4439">
        <v>2024.0</v>
      </c>
      <c r="C4439" t="s">
        <v>318</v>
      </c>
      <c r="D4439" t="s">
        <v>316</v>
      </c>
      <c r="E4439" t="s">
        <v>118</v>
      </c>
      <c r="F4439" t="s">
        <v>305</v>
      </c>
      <c r="G4439" t="s">
        <v>10</v>
      </c>
      <c r="H4439">
        <v>3076.0</v>
      </c>
      <c r="I4439" t="s">
        <v>31</v>
      </c>
      <c r="J4439" t="s">
        <v>120</v>
      </c>
      <c r="K4439" t="s">
        <v>95</v>
      </c>
      <c r="L4439" t="s">
        <v>96</v>
      </c>
      <c r="M4439">
        <v>6065.880000000001</v>
      </c>
    </row>
    <row r="4440">
      <c r="A4440" s="2">
        <v>45659</v>
      </c>
      <c r="B4440">
        <v>2025.0</v>
      </c>
      <c r="C4440" t="s">
        <v>315</v>
      </c>
      <c r="D4440" t="s">
        <v>316</v>
      </c>
      <c r="E4440" t="s">
        <v>221</v>
      </c>
      <c r="F4440" t="s">
        <v>306</v>
      </c>
      <c r="G4440" t="s">
        <v>11</v>
      </c>
      <c r="H4440">
        <v>4053.0</v>
      </c>
      <c r="I4440" t="s">
        <v>31</v>
      </c>
      <c r="J4440" t="s">
        <v>56</v>
      </c>
      <c r="K4440" t="s">
        <v>123</v>
      </c>
      <c r="L4440" t="s">
        <v>124</v>
      </c>
      <c r="M4440">
        <v>6066.260000000002</v>
      </c>
    </row>
    <row r="4441">
      <c r="A4441" s="2">
        <v>45466</v>
      </c>
      <c r="B4441">
        <v>2024.0</v>
      </c>
      <c r="C4441" t="s">
        <v>318</v>
      </c>
      <c r="D4441" t="s">
        <v>319</v>
      </c>
      <c r="E4441" t="s">
        <v>177</v>
      </c>
      <c r="F4441" t="s">
        <v>307</v>
      </c>
      <c r="G4441" t="s">
        <v>12</v>
      </c>
      <c r="H4441">
        <v>6330.0</v>
      </c>
      <c r="I4441" t="s">
        <v>31</v>
      </c>
      <c r="J4441" t="s">
        <v>162</v>
      </c>
      <c r="K4441" t="s">
        <v>57</v>
      </c>
      <c r="L4441" t="s">
        <v>58</v>
      </c>
      <c r="M4441">
        <v>6080.339999999999</v>
      </c>
    </row>
    <row r="4442">
      <c r="A4442" s="2">
        <v>45696</v>
      </c>
      <c r="B4442">
        <v>2025.0</v>
      </c>
      <c r="C4442" t="s">
        <v>315</v>
      </c>
      <c r="D4442" t="s">
        <v>316</v>
      </c>
      <c r="E4442" t="s">
        <v>156</v>
      </c>
      <c r="F4442" t="s">
        <v>304</v>
      </c>
      <c r="G4442" t="s">
        <v>9</v>
      </c>
      <c r="H4442">
        <v>2830.0</v>
      </c>
      <c r="I4442" t="s">
        <v>31</v>
      </c>
      <c r="J4442" t="s">
        <v>75</v>
      </c>
      <c r="K4442" t="s">
        <v>46</v>
      </c>
      <c r="L4442" t="s">
        <v>47</v>
      </c>
      <c r="M4442">
        <v>6156.3099999999995</v>
      </c>
    </row>
    <row r="4443">
      <c r="A4443" s="2">
        <v>45730</v>
      </c>
      <c r="B4443">
        <v>2025.0</v>
      </c>
      <c r="C4443" t="s">
        <v>315</v>
      </c>
      <c r="D4443" t="s">
        <v>316</v>
      </c>
      <c r="E4443" t="s">
        <v>211</v>
      </c>
      <c r="F4443" t="s">
        <v>304</v>
      </c>
      <c r="G4443" t="s">
        <v>9</v>
      </c>
      <c r="H4443">
        <v>2650.0</v>
      </c>
      <c r="I4443" t="s">
        <v>31</v>
      </c>
      <c r="J4443" t="s">
        <v>75</v>
      </c>
      <c r="K4443" t="s">
        <v>57</v>
      </c>
      <c r="L4443" t="s">
        <v>58</v>
      </c>
      <c r="M4443">
        <v>6198.020000000001</v>
      </c>
    </row>
    <row r="4444">
      <c r="A4444" s="2">
        <v>45889</v>
      </c>
      <c r="B4444">
        <v>2026.0</v>
      </c>
      <c r="C4444" t="s">
        <v>321</v>
      </c>
      <c r="D4444" t="s">
        <v>316</v>
      </c>
      <c r="E4444" t="s">
        <v>110</v>
      </c>
      <c r="F4444" t="s">
        <v>304</v>
      </c>
      <c r="G4444" t="s">
        <v>9</v>
      </c>
      <c r="H4444">
        <v>2101.0</v>
      </c>
      <c r="I4444" t="s">
        <v>31</v>
      </c>
      <c r="J4444" t="s">
        <v>81</v>
      </c>
      <c r="K4444" t="s">
        <v>46</v>
      </c>
      <c r="L4444" t="s">
        <v>47</v>
      </c>
      <c r="M4444">
        <v>6228.030000000002</v>
      </c>
    </row>
    <row r="4445">
      <c r="A4445" s="2">
        <v>45493</v>
      </c>
      <c r="B4445">
        <v>2025.0</v>
      </c>
      <c r="C4445" t="s">
        <v>315</v>
      </c>
      <c r="D4445" t="s">
        <v>316</v>
      </c>
      <c r="E4445" t="s">
        <v>105</v>
      </c>
      <c r="F4445" t="s">
        <v>304</v>
      </c>
      <c r="G4445" t="s">
        <v>9</v>
      </c>
      <c r="H4445">
        <v>2541.0</v>
      </c>
      <c r="I4445" t="s">
        <v>31</v>
      </c>
      <c r="J4445" t="s">
        <v>107</v>
      </c>
      <c r="K4445" t="s">
        <v>46</v>
      </c>
      <c r="L4445" t="s">
        <v>47</v>
      </c>
      <c r="M4445">
        <v>6251.500000000001</v>
      </c>
    </row>
    <row r="4446">
      <c r="A4446" s="2">
        <v>45951</v>
      </c>
      <c r="B4446">
        <v>2026.0</v>
      </c>
      <c r="C4446" t="s">
        <v>321</v>
      </c>
      <c r="D4446" t="s">
        <v>316</v>
      </c>
      <c r="E4446" t="s">
        <v>105</v>
      </c>
      <c r="F4446" t="s">
        <v>304</v>
      </c>
      <c r="G4446" t="s">
        <v>9</v>
      </c>
      <c r="H4446">
        <v>2541.0</v>
      </c>
      <c r="I4446" t="s">
        <v>31</v>
      </c>
      <c r="J4446" t="s">
        <v>107</v>
      </c>
      <c r="K4446" t="s">
        <v>95</v>
      </c>
      <c r="L4446" t="s">
        <v>96</v>
      </c>
      <c r="M4446">
        <v>6304.049999999999</v>
      </c>
    </row>
    <row r="4447">
      <c r="A4447" s="2">
        <v>45309</v>
      </c>
      <c r="B4447">
        <v>2024.0</v>
      </c>
      <c r="C4447" t="s">
        <v>318</v>
      </c>
      <c r="D4447" t="s">
        <v>316</v>
      </c>
      <c r="E4447" t="s">
        <v>181</v>
      </c>
      <c r="F4447" t="s">
        <v>306</v>
      </c>
      <c r="G4447" t="s">
        <v>11</v>
      </c>
      <c r="H4447">
        <v>4119.0</v>
      </c>
      <c r="I4447" t="s">
        <v>31</v>
      </c>
      <c r="J4447" t="s">
        <v>56</v>
      </c>
      <c r="K4447" t="s">
        <v>95</v>
      </c>
      <c r="L4447" t="s">
        <v>96</v>
      </c>
      <c r="M4447">
        <v>6393.689999999999</v>
      </c>
    </row>
    <row r="4448">
      <c r="A4448" s="2">
        <v>45602</v>
      </c>
      <c r="B4448">
        <v>2025.0</v>
      </c>
      <c r="C4448" t="s">
        <v>315</v>
      </c>
      <c r="D4448" t="s">
        <v>316</v>
      </c>
      <c r="E4448" t="s">
        <v>232</v>
      </c>
      <c r="F4448" t="s">
        <v>304</v>
      </c>
      <c r="G4448" t="s">
        <v>9</v>
      </c>
      <c r="H4448">
        <v>2800.0</v>
      </c>
      <c r="I4448" t="s">
        <v>31</v>
      </c>
      <c r="J4448" t="s">
        <v>75</v>
      </c>
      <c r="K4448" t="s">
        <v>95</v>
      </c>
      <c r="L4448" t="s">
        <v>96</v>
      </c>
      <c r="M4448">
        <v>6426.4800000000005</v>
      </c>
    </row>
    <row r="4449">
      <c r="A4449" s="2">
        <v>45419</v>
      </c>
      <c r="B4449">
        <v>2024.0</v>
      </c>
      <c r="C4449" t="s">
        <v>318</v>
      </c>
      <c r="D4449" t="s">
        <v>316</v>
      </c>
      <c r="E4449" t="s">
        <v>183</v>
      </c>
      <c r="F4449" t="s">
        <v>304</v>
      </c>
      <c r="G4449" t="s">
        <v>9</v>
      </c>
      <c r="H4449">
        <v>2480.0</v>
      </c>
      <c r="I4449" t="s">
        <v>31</v>
      </c>
      <c r="J4449" t="s">
        <v>70</v>
      </c>
      <c r="K4449" t="s">
        <v>95</v>
      </c>
      <c r="L4449" t="s">
        <v>96</v>
      </c>
      <c r="M4449">
        <v>6442.170000000005</v>
      </c>
    </row>
    <row r="4450">
      <c r="A4450" s="2">
        <v>45532</v>
      </c>
      <c r="B4450">
        <v>2025.0</v>
      </c>
      <c r="C4450" t="s">
        <v>315</v>
      </c>
      <c r="D4450" t="s">
        <v>316</v>
      </c>
      <c r="E4450" t="s">
        <v>110</v>
      </c>
      <c r="F4450" t="s">
        <v>304</v>
      </c>
      <c r="G4450" t="s">
        <v>9</v>
      </c>
      <c r="H4450">
        <v>2101.0</v>
      </c>
      <c r="I4450" t="s">
        <v>31</v>
      </c>
      <c r="J4450" t="s">
        <v>81</v>
      </c>
      <c r="K4450" t="s">
        <v>95</v>
      </c>
      <c r="L4450" t="s">
        <v>96</v>
      </c>
      <c r="M4450">
        <v>6445.050000000001</v>
      </c>
    </row>
    <row r="4451">
      <c r="A4451" s="2">
        <v>45329</v>
      </c>
      <c r="B4451">
        <v>2024.0</v>
      </c>
      <c r="C4451" t="s">
        <v>318</v>
      </c>
      <c r="D4451" t="s">
        <v>316</v>
      </c>
      <c r="E4451" t="s">
        <v>139</v>
      </c>
      <c r="F4451" t="s">
        <v>305</v>
      </c>
      <c r="G4451" t="s">
        <v>10</v>
      </c>
      <c r="H4451">
        <v>3199.0</v>
      </c>
      <c r="I4451" t="s">
        <v>31</v>
      </c>
      <c r="J4451" t="s">
        <v>89</v>
      </c>
      <c r="K4451" t="s">
        <v>71</v>
      </c>
      <c r="L4451" t="s">
        <v>72</v>
      </c>
      <c r="M4451">
        <v>6446.120000000001</v>
      </c>
    </row>
    <row r="4452">
      <c r="A4452" s="2">
        <v>45567</v>
      </c>
      <c r="B4452">
        <v>2025.0</v>
      </c>
      <c r="C4452" t="s">
        <v>315</v>
      </c>
      <c r="D4452" t="s">
        <v>316</v>
      </c>
      <c r="E4452" t="s">
        <v>163</v>
      </c>
      <c r="F4452" t="s">
        <v>304</v>
      </c>
      <c r="G4452" t="s">
        <v>9</v>
      </c>
      <c r="H4452">
        <v>2154.0</v>
      </c>
      <c r="I4452" t="s">
        <v>31</v>
      </c>
      <c r="J4452" t="s">
        <v>81</v>
      </c>
      <c r="K4452" t="s">
        <v>95</v>
      </c>
      <c r="L4452" t="s">
        <v>96</v>
      </c>
      <c r="M4452">
        <v>6492.489999999999</v>
      </c>
    </row>
    <row r="4453">
      <c r="A4453" s="2">
        <v>45530</v>
      </c>
      <c r="B4453">
        <v>2025.0</v>
      </c>
      <c r="C4453" t="s">
        <v>315</v>
      </c>
      <c r="D4453" t="s">
        <v>316</v>
      </c>
      <c r="E4453" t="s">
        <v>59</v>
      </c>
      <c r="F4453" t="s">
        <v>306</v>
      </c>
      <c r="G4453" t="s">
        <v>11</v>
      </c>
      <c r="H4453">
        <v>4509.0</v>
      </c>
      <c r="I4453" t="s">
        <v>31</v>
      </c>
      <c r="J4453" t="s">
        <v>61</v>
      </c>
      <c r="K4453" t="s">
        <v>71</v>
      </c>
      <c r="L4453" t="s">
        <v>72</v>
      </c>
      <c r="M4453">
        <v>6508.58</v>
      </c>
    </row>
    <row r="4454">
      <c r="A4454" s="2">
        <v>45604</v>
      </c>
      <c r="B4454">
        <v>2025.0</v>
      </c>
      <c r="C4454" t="s">
        <v>315</v>
      </c>
      <c r="D4454" t="s">
        <v>316</v>
      </c>
      <c r="E4454" t="s">
        <v>90</v>
      </c>
      <c r="F4454" t="s">
        <v>305</v>
      </c>
      <c r="G4454" t="s">
        <v>10</v>
      </c>
      <c r="H4454">
        <v>3353.0</v>
      </c>
      <c r="I4454" t="s">
        <v>31</v>
      </c>
      <c r="J4454" t="s">
        <v>37</v>
      </c>
      <c r="K4454" t="s">
        <v>57</v>
      </c>
      <c r="L4454" t="s">
        <v>58</v>
      </c>
      <c r="M4454">
        <v>6511.67</v>
      </c>
    </row>
    <row r="4455">
      <c r="A4455" s="2">
        <v>45508</v>
      </c>
      <c r="B4455">
        <v>2025.0</v>
      </c>
      <c r="C4455" t="s">
        <v>315</v>
      </c>
      <c r="D4455" t="s">
        <v>316</v>
      </c>
      <c r="E4455" t="s">
        <v>114</v>
      </c>
      <c r="F4455" t="s">
        <v>304</v>
      </c>
      <c r="G4455" t="s">
        <v>9</v>
      </c>
      <c r="H4455">
        <v>2031.0</v>
      </c>
      <c r="I4455" t="s">
        <v>31</v>
      </c>
      <c r="J4455" t="s">
        <v>99</v>
      </c>
      <c r="K4455" t="s">
        <v>95</v>
      </c>
      <c r="L4455" t="s">
        <v>96</v>
      </c>
      <c r="M4455">
        <v>6526.579999999999</v>
      </c>
    </row>
    <row r="4456">
      <c r="A4456" s="2">
        <v>45853</v>
      </c>
      <c r="B4456">
        <v>2026.0</v>
      </c>
      <c r="C4456" t="s">
        <v>321</v>
      </c>
      <c r="D4456" t="s">
        <v>316</v>
      </c>
      <c r="E4456" t="s">
        <v>139</v>
      </c>
      <c r="F4456" t="s">
        <v>305</v>
      </c>
      <c r="G4456" t="s">
        <v>10</v>
      </c>
      <c r="H4456">
        <v>3199.0</v>
      </c>
      <c r="I4456" t="s">
        <v>31</v>
      </c>
      <c r="J4456" t="s">
        <v>89</v>
      </c>
      <c r="K4456" t="s">
        <v>57</v>
      </c>
      <c r="L4456" t="s">
        <v>58</v>
      </c>
      <c r="M4456">
        <v>6630.370000000001</v>
      </c>
    </row>
    <row r="4457">
      <c r="A4457" s="2">
        <v>45911</v>
      </c>
      <c r="B4457">
        <v>2026.0</v>
      </c>
      <c r="C4457" t="s">
        <v>321</v>
      </c>
      <c r="D4457" t="s">
        <v>316</v>
      </c>
      <c r="E4457" t="s">
        <v>97</v>
      </c>
      <c r="F4457" t="s">
        <v>304</v>
      </c>
      <c r="G4457" t="s">
        <v>9</v>
      </c>
      <c r="H4457">
        <v>2067.0</v>
      </c>
      <c r="I4457" t="s">
        <v>31</v>
      </c>
      <c r="J4457" t="s">
        <v>99</v>
      </c>
      <c r="K4457" t="s">
        <v>95</v>
      </c>
      <c r="L4457" t="s">
        <v>96</v>
      </c>
      <c r="M4457">
        <v>6641.990000000002</v>
      </c>
    </row>
    <row r="4458">
      <c r="A4458" s="2">
        <v>45589</v>
      </c>
      <c r="B4458">
        <v>2025.0</v>
      </c>
      <c r="C4458" t="s">
        <v>315</v>
      </c>
      <c r="D4458" t="s">
        <v>316</v>
      </c>
      <c r="E4458" t="s">
        <v>87</v>
      </c>
      <c r="F4458" t="s">
        <v>305</v>
      </c>
      <c r="G4458" t="s">
        <v>10</v>
      </c>
      <c r="H4458">
        <v>3148.0</v>
      </c>
      <c r="I4458" t="s">
        <v>31</v>
      </c>
      <c r="J4458" t="s">
        <v>89</v>
      </c>
      <c r="K4458" t="s">
        <v>71</v>
      </c>
      <c r="L4458" t="s">
        <v>72</v>
      </c>
      <c r="M4458">
        <v>6642.2</v>
      </c>
    </row>
    <row r="4459">
      <c r="A4459" s="2">
        <v>45439</v>
      </c>
      <c r="B4459">
        <v>2024.0</v>
      </c>
      <c r="C4459" t="s">
        <v>318</v>
      </c>
      <c r="D4459" t="s">
        <v>319</v>
      </c>
      <c r="E4459" t="s">
        <v>129</v>
      </c>
      <c r="F4459" t="s">
        <v>305</v>
      </c>
      <c r="G4459" t="s">
        <v>10</v>
      </c>
      <c r="H4459">
        <v>3066.0</v>
      </c>
      <c r="I4459" t="s">
        <v>31</v>
      </c>
      <c r="J4459" t="s">
        <v>120</v>
      </c>
      <c r="K4459" t="s">
        <v>95</v>
      </c>
      <c r="L4459" t="s">
        <v>96</v>
      </c>
      <c r="M4459">
        <v>6701.990000000001</v>
      </c>
    </row>
    <row r="4460">
      <c r="A4460" s="2">
        <v>45532</v>
      </c>
      <c r="B4460">
        <v>2025.0</v>
      </c>
      <c r="C4460" t="s">
        <v>315</v>
      </c>
      <c r="D4460" t="s">
        <v>316</v>
      </c>
      <c r="E4460" t="s">
        <v>87</v>
      </c>
      <c r="F4460" t="s">
        <v>305</v>
      </c>
      <c r="G4460" t="s">
        <v>10</v>
      </c>
      <c r="H4460">
        <v>3148.0</v>
      </c>
      <c r="I4460" t="s">
        <v>31</v>
      </c>
      <c r="J4460" t="s">
        <v>89</v>
      </c>
      <c r="K4460" t="s">
        <v>46</v>
      </c>
      <c r="L4460" t="s">
        <v>47</v>
      </c>
      <c r="M4460">
        <v>6708.390000000001</v>
      </c>
    </row>
    <row r="4461">
      <c r="A4461" s="2">
        <v>45481</v>
      </c>
      <c r="B4461">
        <v>2025.0</v>
      </c>
      <c r="C4461" t="s">
        <v>315</v>
      </c>
      <c r="D4461" t="s">
        <v>316</v>
      </c>
      <c r="E4461" t="s">
        <v>118</v>
      </c>
      <c r="F4461" t="s">
        <v>305</v>
      </c>
      <c r="G4461" t="s">
        <v>10</v>
      </c>
      <c r="H4461">
        <v>3076.0</v>
      </c>
      <c r="I4461" t="s">
        <v>31</v>
      </c>
      <c r="J4461" t="s">
        <v>120</v>
      </c>
      <c r="K4461" t="s">
        <v>95</v>
      </c>
      <c r="L4461" t="s">
        <v>96</v>
      </c>
      <c r="M4461">
        <v>6740.72</v>
      </c>
    </row>
    <row r="4462">
      <c r="A4462" s="2">
        <v>45902</v>
      </c>
      <c r="B4462">
        <v>2026.0</v>
      </c>
      <c r="C4462" t="s">
        <v>321</v>
      </c>
      <c r="D4462" t="s">
        <v>316</v>
      </c>
      <c r="E4462" t="s">
        <v>211</v>
      </c>
      <c r="F4462" t="s">
        <v>304</v>
      </c>
      <c r="G4462" t="s">
        <v>9</v>
      </c>
      <c r="H4462">
        <v>2650.0</v>
      </c>
      <c r="I4462" t="s">
        <v>31</v>
      </c>
      <c r="J4462" t="s">
        <v>75</v>
      </c>
      <c r="K4462" t="s">
        <v>95</v>
      </c>
      <c r="L4462" t="s">
        <v>96</v>
      </c>
      <c r="M4462">
        <v>6879.290000000001</v>
      </c>
    </row>
    <row r="4463">
      <c r="A4463" s="2">
        <v>45584</v>
      </c>
      <c r="B4463">
        <v>2025.0</v>
      </c>
      <c r="C4463" t="s">
        <v>315</v>
      </c>
      <c r="D4463" t="s">
        <v>316</v>
      </c>
      <c r="E4463" t="s">
        <v>62</v>
      </c>
      <c r="F4463" t="s">
        <v>307</v>
      </c>
      <c r="G4463" t="s">
        <v>12</v>
      </c>
      <c r="H4463">
        <v>6530.0</v>
      </c>
      <c r="I4463" t="s">
        <v>31</v>
      </c>
      <c r="J4463" t="s">
        <v>50</v>
      </c>
      <c r="K4463" t="s">
        <v>123</v>
      </c>
      <c r="L4463" t="s">
        <v>124</v>
      </c>
      <c r="M4463">
        <v>6890.950000000002</v>
      </c>
    </row>
    <row r="4464">
      <c r="A4464" s="2">
        <v>45915</v>
      </c>
      <c r="B4464">
        <v>2026.0</v>
      </c>
      <c r="C4464" t="s">
        <v>321</v>
      </c>
      <c r="D4464" t="s">
        <v>319</v>
      </c>
      <c r="E4464" t="s">
        <v>165</v>
      </c>
      <c r="F4464" t="s">
        <v>304</v>
      </c>
      <c r="G4464" t="s">
        <v>9</v>
      </c>
      <c r="H4464">
        <v>2064.0</v>
      </c>
      <c r="I4464" t="s">
        <v>31</v>
      </c>
      <c r="J4464" t="s">
        <v>99</v>
      </c>
      <c r="K4464" t="s">
        <v>71</v>
      </c>
      <c r="L4464" t="s">
        <v>72</v>
      </c>
      <c r="M4464">
        <v>6954.599999999999</v>
      </c>
    </row>
    <row r="4465">
      <c r="A4465" s="2">
        <v>45957</v>
      </c>
      <c r="B4465">
        <v>2026.0</v>
      </c>
      <c r="C4465" t="s">
        <v>321</v>
      </c>
      <c r="D4465" t="s">
        <v>316</v>
      </c>
      <c r="E4465" t="s">
        <v>181</v>
      </c>
      <c r="F4465" t="s">
        <v>306</v>
      </c>
      <c r="G4465" t="s">
        <v>11</v>
      </c>
      <c r="H4465">
        <v>4119.0</v>
      </c>
      <c r="I4465" t="s">
        <v>31</v>
      </c>
      <c r="J4465" t="s">
        <v>56</v>
      </c>
      <c r="K4465" t="s">
        <v>123</v>
      </c>
      <c r="L4465" t="s">
        <v>124</v>
      </c>
      <c r="M4465">
        <v>6972.079999999998</v>
      </c>
    </row>
    <row r="4466">
      <c r="A4466" s="2">
        <v>45886</v>
      </c>
      <c r="B4466">
        <v>2026.0</v>
      </c>
      <c r="C4466" t="s">
        <v>321</v>
      </c>
      <c r="D4466" t="s">
        <v>316</v>
      </c>
      <c r="E4466" t="s">
        <v>250</v>
      </c>
      <c r="F4466" t="s">
        <v>305</v>
      </c>
      <c r="G4466" t="s">
        <v>10</v>
      </c>
      <c r="H4466">
        <v>3550.0</v>
      </c>
      <c r="I4466" t="s">
        <v>31</v>
      </c>
      <c r="J4466" t="s">
        <v>37</v>
      </c>
      <c r="K4466" t="s">
        <v>95</v>
      </c>
      <c r="L4466" t="s">
        <v>96</v>
      </c>
      <c r="M4466">
        <v>7040.840000000004</v>
      </c>
    </row>
    <row r="4467">
      <c r="A4467" s="2">
        <v>45431</v>
      </c>
      <c r="B4467">
        <v>2024.0</v>
      </c>
      <c r="C4467" t="s">
        <v>318</v>
      </c>
      <c r="D4467" t="s">
        <v>316</v>
      </c>
      <c r="E4467" t="s">
        <v>219</v>
      </c>
      <c r="F4467" t="s">
        <v>306</v>
      </c>
      <c r="G4467" t="s">
        <v>11</v>
      </c>
      <c r="H4467">
        <v>4068.0</v>
      </c>
      <c r="I4467" t="s">
        <v>31</v>
      </c>
      <c r="J4467" t="s">
        <v>56</v>
      </c>
      <c r="K4467" t="s">
        <v>95</v>
      </c>
      <c r="L4467" t="s">
        <v>96</v>
      </c>
      <c r="M4467">
        <v>7049.450000000003</v>
      </c>
    </row>
    <row r="4468">
      <c r="A4468" s="2">
        <v>45297</v>
      </c>
      <c r="B4468">
        <v>2024.0</v>
      </c>
      <c r="C4468" t="s">
        <v>318</v>
      </c>
      <c r="D4468" t="s">
        <v>316</v>
      </c>
      <c r="E4468" t="s">
        <v>62</v>
      </c>
      <c r="F4468" t="s">
        <v>307</v>
      </c>
      <c r="G4468" t="s">
        <v>12</v>
      </c>
      <c r="H4468">
        <v>6530.0</v>
      </c>
      <c r="I4468" t="s">
        <v>31</v>
      </c>
      <c r="J4468" t="s">
        <v>50</v>
      </c>
      <c r="K4468" t="s">
        <v>95</v>
      </c>
      <c r="L4468" t="s">
        <v>96</v>
      </c>
      <c r="M4468">
        <v>7077.929999999999</v>
      </c>
    </row>
    <row r="4469">
      <c r="A4469" s="2">
        <v>45756</v>
      </c>
      <c r="B4469">
        <v>2025.0</v>
      </c>
      <c r="C4469" t="s">
        <v>315</v>
      </c>
      <c r="D4469" t="s">
        <v>319</v>
      </c>
      <c r="E4469" t="s">
        <v>179</v>
      </c>
      <c r="F4469" t="s">
        <v>304</v>
      </c>
      <c r="G4469" t="s">
        <v>9</v>
      </c>
      <c r="H4469">
        <v>2015.0</v>
      </c>
      <c r="I4469" t="s">
        <v>31</v>
      </c>
      <c r="J4469" t="s">
        <v>99</v>
      </c>
      <c r="K4469" t="s">
        <v>46</v>
      </c>
      <c r="L4469" t="s">
        <v>47</v>
      </c>
      <c r="M4469">
        <v>7096.9500000000035</v>
      </c>
    </row>
    <row r="4470">
      <c r="A4470" s="2">
        <v>45995</v>
      </c>
      <c r="B4470">
        <v>2026.0</v>
      </c>
      <c r="C4470" t="s">
        <v>321</v>
      </c>
      <c r="D4470" t="s">
        <v>316</v>
      </c>
      <c r="E4470" t="s">
        <v>82</v>
      </c>
      <c r="F4470" t="s">
        <v>306</v>
      </c>
      <c r="G4470" t="s">
        <v>11</v>
      </c>
      <c r="H4470">
        <v>4558.0</v>
      </c>
      <c r="I4470" t="s">
        <v>31</v>
      </c>
      <c r="J4470" t="s">
        <v>84</v>
      </c>
      <c r="K4470" t="s">
        <v>95</v>
      </c>
      <c r="L4470" t="s">
        <v>96</v>
      </c>
      <c r="M4470">
        <v>7110.980000000003</v>
      </c>
    </row>
    <row r="4471">
      <c r="A4471" s="2">
        <v>45874</v>
      </c>
      <c r="B4471">
        <v>2026.0</v>
      </c>
      <c r="C4471" t="s">
        <v>321</v>
      </c>
      <c r="D4471" t="s">
        <v>316</v>
      </c>
      <c r="E4471" t="s">
        <v>110</v>
      </c>
      <c r="F4471" t="s">
        <v>304</v>
      </c>
      <c r="G4471" t="s">
        <v>9</v>
      </c>
      <c r="H4471">
        <v>2101.0</v>
      </c>
      <c r="I4471" t="s">
        <v>31</v>
      </c>
      <c r="J4471" t="s">
        <v>81</v>
      </c>
      <c r="K4471" t="s">
        <v>95</v>
      </c>
      <c r="L4471" t="s">
        <v>96</v>
      </c>
      <c r="M4471">
        <v>7135.280000000004</v>
      </c>
    </row>
    <row r="4472">
      <c r="A4472" s="2">
        <v>45694</v>
      </c>
      <c r="B4472">
        <v>2025.0</v>
      </c>
      <c r="C4472" t="s">
        <v>315</v>
      </c>
      <c r="D4472" t="s">
        <v>319</v>
      </c>
      <c r="E4472" t="s">
        <v>179</v>
      </c>
      <c r="F4472" t="s">
        <v>304</v>
      </c>
      <c r="G4472" t="s">
        <v>9</v>
      </c>
      <c r="H4472">
        <v>2015.0</v>
      </c>
      <c r="I4472" t="s">
        <v>31</v>
      </c>
      <c r="J4472" t="s">
        <v>99</v>
      </c>
      <c r="K4472" t="s">
        <v>57</v>
      </c>
      <c r="L4472" t="s">
        <v>58</v>
      </c>
      <c r="M4472">
        <v>7207.76</v>
      </c>
    </row>
    <row r="4473">
      <c r="A4473" s="2">
        <v>45322</v>
      </c>
      <c r="B4473">
        <v>2024.0</v>
      </c>
      <c r="C4473" t="s">
        <v>318</v>
      </c>
      <c r="D4473" t="s">
        <v>316</v>
      </c>
      <c r="E4473" t="s">
        <v>139</v>
      </c>
      <c r="F4473" t="s">
        <v>305</v>
      </c>
      <c r="G4473" t="s">
        <v>10</v>
      </c>
      <c r="H4473">
        <v>3199.0</v>
      </c>
      <c r="I4473" t="s">
        <v>31</v>
      </c>
      <c r="J4473" t="s">
        <v>89</v>
      </c>
      <c r="K4473" t="s">
        <v>123</v>
      </c>
      <c r="L4473" t="s">
        <v>124</v>
      </c>
      <c r="M4473">
        <v>7284.179999999999</v>
      </c>
    </row>
    <row r="4474">
      <c r="A4474" s="2">
        <v>45582</v>
      </c>
      <c r="B4474">
        <v>2025.0</v>
      </c>
      <c r="C4474" t="s">
        <v>315</v>
      </c>
      <c r="D4474" t="s">
        <v>316</v>
      </c>
      <c r="E4474" t="s">
        <v>62</v>
      </c>
      <c r="F4474" t="s">
        <v>307</v>
      </c>
      <c r="G4474" t="s">
        <v>12</v>
      </c>
      <c r="H4474">
        <v>6530.0</v>
      </c>
      <c r="I4474" t="s">
        <v>31</v>
      </c>
      <c r="J4474" t="s">
        <v>50</v>
      </c>
      <c r="K4474" t="s">
        <v>95</v>
      </c>
      <c r="L4474" t="s">
        <v>96</v>
      </c>
      <c r="M4474">
        <v>7309.910000000002</v>
      </c>
    </row>
    <row r="4475">
      <c r="A4475" s="2">
        <v>45644</v>
      </c>
      <c r="B4475">
        <v>2025.0</v>
      </c>
      <c r="C4475" t="s">
        <v>315</v>
      </c>
      <c r="D4475" t="s">
        <v>316</v>
      </c>
      <c r="E4475" t="s">
        <v>203</v>
      </c>
      <c r="F4475" t="s">
        <v>305</v>
      </c>
      <c r="G4475" t="s">
        <v>10</v>
      </c>
      <c r="H4475">
        <v>3175.0</v>
      </c>
      <c r="I4475" t="s">
        <v>31</v>
      </c>
      <c r="J4475" t="s">
        <v>89</v>
      </c>
      <c r="K4475" t="s">
        <v>95</v>
      </c>
      <c r="L4475" t="s">
        <v>96</v>
      </c>
      <c r="M4475">
        <v>7339.49</v>
      </c>
    </row>
    <row r="4476">
      <c r="A4476" s="2">
        <v>45459</v>
      </c>
      <c r="B4476">
        <v>2024.0</v>
      </c>
      <c r="C4476" t="s">
        <v>318</v>
      </c>
      <c r="D4476" t="s">
        <v>316</v>
      </c>
      <c r="E4476" t="s">
        <v>105</v>
      </c>
      <c r="F4476" t="s">
        <v>304</v>
      </c>
      <c r="G4476" t="s">
        <v>9</v>
      </c>
      <c r="H4476">
        <v>2541.0</v>
      </c>
      <c r="I4476" t="s">
        <v>31</v>
      </c>
      <c r="J4476" t="s">
        <v>107</v>
      </c>
      <c r="K4476" t="s">
        <v>57</v>
      </c>
      <c r="L4476" t="s">
        <v>58</v>
      </c>
      <c r="M4476">
        <v>7343.310000000001</v>
      </c>
    </row>
    <row r="4477">
      <c r="A4477" s="2">
        <v>45870</v>
      </c>
      <c r="B4477">
        <v>2026.0</v>
      </c>
      <c r="C4477" t="s">
        <v>321</v>
      </c>
      <c r="D4477" t="s">
        <v>316</v>
      </c>
      <c r="E4477" t="s">
        <v>197</v>
      </c>
      <c r="F4477" t="s">
        <v>304</v>
      </c>
      <c r="G4477" t="s">
        <v>9</v>
      </c>
      <c r="H4477">
        <v>2560.0</v>
      </c>
      <c r="I4477" t="s">
        <v>31</v>
      </c>
      <c r="J4477" t="s">
        <v>107</v>
      </c>
      <c r="K4477" t="s">
        <v>123</v>
      </c>
      <c r="L4477" t="s">
        <v>124</v>
      </c>
      <c r="M4477">
        <v>7487.490000000003</v>
      </c>
    </row>
    <row r="4478">
      <c r="A4478" s="2">
        <v>45443</v>
      </c>
      <c r="B4478">
        <v>2024.0</v>
      </c>
      <c r="C4478" t="s">
        <v>318</v>
      </c>
      <c r="D4478" t="s">
        <v>316</v>
      </c>
      <c r="E4478" t="s">
        <v>197</v>
      </c>
      <c r="F4478" t="s">
        <v>304</v>
      </c>
      <c r="G4478" t="s">
        <v>9</v>
      </c>
      <c r="H4478">
        <v>2560.0</v>
      </c>
      <c r="I4478" t="s">
        <v>31</v>
      </c>
      <c r="J4478" t="s">
        <v>107</v>
      </c>
      <c r="K4478" t="s">
        <v>57</v>
      </c>
      <c r="L4478" t="s">
        <v>58</v>
      </c>
      <c r="M4478">
        <v>7520.87</v>
      </c>
    </row>
    <row r="4479">
      <c r="A4479" s="2">
        <v>45360</v>
      </c>
      <c r="B4479">
        <v>2024.0</v>
      </c>
      <c r="C4479" t="s">
        <v>318</v>
      </c>
      <c r="D4479" t="s">
        <v>319</v>
      </c>
      <c r="E4479" t="s">
        <v>179</v>
      </c>
      <c r="F4479" t="s">
        <v>304</v>
      </c>
      <c r="G4479" t="s">
        <v>9</v>
      </c>
      <c r="H4479">
        <v>2015.0</v>
      </c>
      <c r="I4479" t="s">
        <v>31</v>
      </c>
      <c r="J4479" t="s">
        <v>99</v>
      </c>
      <c r="K4479" t="s">
        <v>95</v>
      </c>
      <c r="L4479" t="s">
        <v>96</v>
      </c>
      <c r="M4479">
        <v>7676.07</v>
      </c>
    </row>
    <row r="4480">
      <c r="A4480" s="2">
        <v>46022</v>
      </c>
      <c r="B4480">
        <v>2026.0</v>
      </c>
      <c r="C4480" t="s">
        <v>321</v>
      </c>
      <c r="D4480" t="s">
        <v>316</v>
      </c>
      <c r="E4480" t="s">
        <v>232</v>
      </c>
      <c r="F4480" t="s">
        <v>304</v>
      </c>
      <c r="G4480" t="s">
        <v>9</v>
      </c>
      <c r="H4480">
        <v>2800.0</v>
      </c>
      <c r="I4480" t="s">
        <v>31</v>
      </c>
      <c r="J4480" t="s">
        <v>75</v>
      </c>
      <c r="K4480" t="s">
        <v>95</v>
      </c>
      <c r="L4480" t="s">
        <v>96</v>
      </c>
      <c r="M4480">
        <v>7691.8700000000035</v>
      </c>
    </row>
    <row r="4481">
      <c r="A4481" s="2">
        <v>45947</v>
      </c>
      <c r="B4481">
        <v>2026.0</v>
      </c>
      <c r="C4481" t="s">
        <v>321</v>
      </c>
      <c r="D4481" t="s">
        <v>319</v>
      </c>
      <c r="E4481" t="s">
        <v>256</v>
      </c>
      <c r="F4481" t="s">
        <v>304</v>
      </c>
      <c r="G4481" t="s">
        <v>9</v>
      </c>
      <c r="H4481">
        <v>2350.0</v>
      </c>
      <c r="I4481" t="s">
        <v>31</v>
      </c>
      <c r="J4481" t="s">
        <v>70</v>
      </c>
      <c r="K4481" t="s">
        <v>95</v>
      </c>
      <c r="L4481" t="s">
        <v>96</v>
      </c>
      <c r="M4481">
        <v>7792.92</v>
      </c>
    </row>
    <row r="4482">
      <c r="A4482" s="2">
        <v>45966</v>
      </c>
      <c r="B4482">
        <v>2026.0</v>
      </c>
      <c r="C4482" t="s">
        <v>321</v>
      </c>
      <c r="D4482" t="s">
        <v>316</v>
      </c>
      <c r="E4482" t="s">
        <v>203</v>
      </c>
      <c r="F4482" t="s">
        <v>305</v>
      </c>
      <c r="G4482" t="s">
        <v>10</v>
      </c>
      <c r="H4482">
        <v>3175.0</v>
      </c>
      <c r="I4482" t="s">
        <v>31</v>
      </c>
      <c r="J4482" t="s">
        <v>89</v>
      </c>
      <c r="K4482" t="s">
        <v>95</v>
      </c>
      <c r="L4482" t="s">
        <v>96</v>
      </c>
      <c r="M4482">
        <v>7828.060000000003</v>
      </c>
    </row>
    <row r="4483">
      <c r="A4483" s="2">
        <v>45805</v>
      </c>
      <c r="B4483">
        <v>2025.0</v>
      </c>
      <c r="C4483" t="s">
        <v>315</v>
      </c>
      <c r="D4483" t="s">
        <v>319</v>
      </c>
      <c r="E4483" t="s">
        <v>262</v>
      </c>
      <c r="F4483" t="s">
        <v>305</v>
      </c>
      <c r="G4483" t="s">
        <v>10</v>
      </c>
      <c r="H4483">
        <v>3018.0</v>
      </c>
      <c r="I4483" t="s">
        <v>31</v>
      </c>
      <c r="J4483" t="s">
        <v>120</v>
      </c>
      <c r="K4483" t="s">
        <v>95</v>
      </c>
      <c r="L4483" t="s">
        <v>96</v>
      </c>
      <c r="M4483">
        <v>7862.59</v>
      </c>
    </row>
    <row r="4484">
      <c r="A4484" s="2">
        <v>45980</v>
      </c>
      <c r="B4484">
        <v>2026.0</v>
      </c>
      <c r="C4484" t="s">
        <v>321</v>
      </c>
      <c r="D4484" t="s">
        <v>316</v>
      </c>
      <c r="E4484" t="s">
        <v>62</v>
      </c>
      <c r="F4484" t="s">
        <v>307</v>
      </c>
      <c r="G4484" t="s">
        <v>12</v>
      </c>
      <c r="H4484">
        <v>6530.0</v>
      </c>
      <c r="I4484" t="s">
        <v>31</v>
      </c>
      <c r="J4484" t="s">
        <v>50</v>
      </c>
      <c r="K4484" t="s">
        <v>57</v>
      </c>
      <c r="L4484" t="s">
        <v>58</v>
      </c>
      <c r="M4484">
        <v>7890.830000000001</v>
      </c>
    </row>
    <row r="4485">
      <c r="A4485" s="2">
        <v>45785</v>
      </c>
      <c r="B4485">
        <v>2025.0</v>
      </c>
      <c r="C4485" t="s">
        <v>315</v>
      </c>
      <c r="D4485" t="s">
        <v>316</v>
      </c>
      <c r="E4485" t="s">
        <v>108</v>
      </c>
      <c r="F4485" t="s">
        <v>304</v>
      </c>
      <c r="G4485" t="s">
        <v>9</v>
      </c>
      <c r="H4485">
        <v>2795.0</v>
      </c>
      <c r="I4485" t="s">
        <v>31</v>
      </c>
      <c r="J4485" t="s">
        <v>75</v>
      </c>
      <c r="K4485" t="s">
        <v>57</v>
      </c>
      <c r="L4485" t="s">
        <v>58</v>
      </c>
      <c r="M4485">
        <v>7909.750000000001</v>
      </c>
    </row>
    <row r="4486">
      <c r="A4486" s="2">
        <v>45311</v>
      </c>
      <c r="B4486">
        <v>2024.0</v>
      </c>
      <c r="C4486" t="s">
        <v>318</v>
      </c>
      <c r="D4486" t="s">
        <v>316</v>
      </c>
      <c r="E4486" t="s">
        <v>90</v>
      </c>
      <c r="F4486" t="s">
        <v>305</v>
      </c>
      <c r="G4486" t="s">
        <v>10</v>
      </c>
      <c r="H4486">
        <v>3353.0</v>
      </c>
      <c r="I4486" t="s">
        <v>31</v>
      </c>
      <c r="J4486" t="s">
        <v>37</v>
      </c>
      <c r="K4486" t="s">
        <v>95</v>
      </c>
      <c r="L4486" t="s">
        <v>96</v>
      </c>
      <c r="M4486">
        <v>8030.140000000001</v>
      </c>
    </row>
    <row r="4487">
      <c r="A4487" s="2">
        <v>45927</v>
      </c>
      <c r="B4487">
        <v>2026.0</v>
      </c>
      <c r="C4487" t="s">
        <v>321</v>
      </c>
      <c r="D4487" t="s">
        <v>316</v>
      </c>
      <c r="E4487" t="s">
        <v>143</v>
      </c>
      <c r="F4487" t="s">
        <v>309</v>
      </c>
      <c r="G4487" t="s">
        <v>14</v>
      </c>
      <c r="H4487">
        <v>800.0</v>
      </c>
      <c r="I4487" t="s">
        <v>31</v>
      </c>
      <c r="J4487" t="s">
        <v>145</v>
      </c>
      <c r="K4487" t="s">
        <v>95</v>
      </c>
      <c r="L4487" t="s">
        <v>96</v>
      </c>
      <c r="M4487">
        <v>8078.870000000001</v>
      </c>
    </row>
    <row r="4488">
      <c r="A4488" s="2">
        <v>45980</v>
      </c>
      <c r="B4488">
        <v>2026.0</v>
      </c>
      <c r="C4488" t="s">
        <v>321</v>
      </c>
      <c r="D4488" t="s">
        <v>316</v>
      </c>
      <c r="E4488" t="s">
        <v>139</v>
      </c>
      <c r="F4488" t="s">
        <v>305</v>
      </c>
      <c r="G4488" t="s">
        <v>10</v>
      </c>
      <c r="H4488">
        <v>3199.0</v>
      </c>
      <c r="I4488" t="s">
        <v>31</v>
      </c>
      <c r="J4488" t="s">
        <v>89</v>
      </c>
      <c r="K4488" t="s">
        <v>57</v>
      </c>
      <c r="L4488" t="s">
        <v>58</v>
      </c>
      <c r="M4488">
        <v>8106.36</v>
      </c>
    </row>
    <row r="4489">
      <c r="A4489" s="2">
        <v>45549</v>
      </c>
      <c r="B4489">
        <v>2025.0</v>
      </c>
      <c r="C4489" t="s">
        <v>315</v>
      </c>
      <c r="D4489" t="s">
        <v>316</v>
      </c>
      <c r="E4489" t="s">
        <v>54</v>
      </c>
      <c r="F4489" t="s">
        <v>306</v>
      </c>
      <c r="G4489" t="s">
        <v>11</v>
      </c>
      <c r="H4489">
        <v>4012.0</v>
      </c>
      <c r="I4489" t="s">
        <v>31</v>
      </c>
      <c r="J4489" t="s">
        <v>56</v>
      </c>
      <c r="K4489" t="s">
        <v>71</v>
      </c>
      <c r="L4489" t="s">
        <v>72</v>
      </c>
      <c r="M4489">
        <v>8438.789999999997</v>
      </c>
    </row>
    <row r="4490">
      <c r="A4490" s="2">
        <v>45942</v>
      </c>
      <c r="B4490">
        <v>2026.0</v>
      </c>
      <c r="C4490" t="s">
        <v>321</v>
      </c>
      <c r="D4490" t="s">
        <v>316</v>
      </c>
      <c r="E4490" t="s">
        <v>156</v>
      </c>
      <c r="F4490" t="s">
        <v>304</v>
      </c>
      <c r="G4490" t="s">
        <v>9</v>
      </c>
      <c r="H4490">
        <v>2830.0</v>
      </c>
      <c r="I4490" t="s">
        <v>31</v>
      </c>
      <c r="J4490" t="s">
        <v>75</v>
      </c>
      <c r="K4490" t="s">
        <v>57</v>
      </c>
      <c r="L4490" t="s">
        <v>58</v>
      </c>
      <c r="M4490">
        <v>8620.210000000001</v>
      </c>
    </row>
    <row r="4491">
      <c r="A4491" s="2">
        <v>45294</v>
      </c>
      <c r="B4491">
        <v>2024.0</v>
      </c>
      <c r="C4491" t="s">
        <v>318</v>
      </c>
      <c r="D4491" t="s">
        <v>316</v>
      </c>
      <c r="E4491" t="s">
        <v>87</v>
      </c>
      <c r="F4491" t="s">
        <v>305</v>
      </c>
      <c r="G4491" t="s">
        <v>10</v>
      </c>
      <c r="H4491">
        <v>3148.0</v>
      </c>
      <c r="I4491" t="s">
        <v>31</v>
      </c>
      <c r="J4491" t="s">
        <v>89</v>
      </c>
      <c r="K4491" t="s">
        <v>57</v>
      </c>
      <c r="L4491" t="s">
        <v>58</v>
      </c>
      <c r="M4491">
        <v>8918.280000000002</v>
      </c>
    </row>
    <row r="4492">
      <c r="A4492" s="2">
        <v>45499</v>
      </c>
      <c r="B4492">
        <v>2025.0</v>
      </c>
      <c r="C4492" t="s">
        <v>315</v>
      </c>
      <c r="D4492" t="s">
        <v>316</v>
      </c>
      <c r="E4492" t="s">
        <v>87</v>
      </c>
      <c r="F4492" t="s">
        <v>305</v>
      </c>
      <c r="G4492" t="s">
        <v>10</v>
      </c>
      <c r="H4492">
        <v>3148.0</v>
      </c>
      <c r="I4492" t="s">
        <v>31</v>
      </c>
      <c r="J4492" t="s">
        <v>89</v>
      </c>
      <c r="K4492" t="s">
        <v>95</v>
      </c>
      <c r="L4492" t="s">
        <v>96</v>
      </c>
      <c r="M4492">
        <v>9049.980000000001</v>
      </c>
    </row>
    <row r="4493">
      <c r="A4493" s="2">
        <v>45404</v>
      </c>
      <c r="B4493">
        <v>2024.0</v>
      </c>
      <c r="C4493" t="s">
        <v>318</v>
      </c>
      <c r="D4493" t="s">
        <v>316</v>
      </c>
      <c r="E4493" t="s">
        <v>197</v>
      </c>
      <c r="F4493" t="s">
        <v>304</v>
      </c>
      <c r="G4493" t="s">
        <v>9</v>
      </c>
      <c r="H4493">
        <v>2560.0</v>
      </c>
      <c r="I4493" t="s">
        <v>31</v>
      </c>
      <c r="J4493" t="s">
        <v>107</v>
      </c>
      <c r="K4493" t="s">
        <v>95</v>
      </c>
      <c r="L4493" t="s">
        <v>96</v>
      </c>
      <c r="M4493">
        <v>9101.490000000002</v>
      </c>
    </row>
    <row r="4494">
      <c r="A4494" s="2">
        <v>45740</v>
      </c>
      <c r="B4494">
        <v>2025.0</v>
      </c>
      <c r="C4494" t="s">
        <v>315</v>
      </c>
      <c r="D4494" t="s">
        <v>316</v>
      </c>
      <c r="E4494" t="s">
        <v>163</v>
      </c>
      <c r="F4494" t="s">
        <v>304</v>
      </c>
      <c r="G4494" t="s">
        <v>9</v>
      </c>
      <c r="H4494">
        <v>2154.0</v>
      </c>
      <c r="I4494" t="s">
        <v>31</v>
      </c>
      <c r="J4494" t="s">
        <v>81</v>
      </c>
      <c r="K4494" t="s">
        <v>95</v>
      </c>
      <c r="L4494" t="s">
        <v>96</v>
      </c>
      <c r="M4494">
        <v>9522.949999999999</v>
      </c>
    </row>
    <row r="4495">
      <c r="A4495" s="2">
        <v>45805</v>
      </c>
      <c r="B4495">
        <v>2025.0</v>
      </c>
      <c r="C4495" t="s">
        <v>315</v>
      </c>
      <c r="D4495" t="s">
        <v>316</v>
      </c>
      <c r="E4495" t="s">
        <v>156</v>
      </c>
      <c r="F4495" t="s">
        <v>304</v>
      </c>
      <c r="G4495" t="s">
        <v>9</v>
      </c>
      <c r="H4495">
        <v>2830.0</v>
      </c>
      <c r="I4495" t="s">
        <v>31</v>
      </c>
      <c r="J4495" t="s">
        <v>75</v>
      </c>
      <c r="K4495" t="s">
        <v>95</v>
      </c>
      <c r="L4495" t="s">
        <v>96</v>
      </c>
      <c r="M4495">
        <v>9866.440000000002</v>
      </c>
    </row>
    <row r="4496">
      <c r="A4496" s="2">
        <v>45463</v>
      </c>
      <c r="B4496">
        <v>2024.0</v>
      </c>
      <c r="C4496" t="s">
        <v>318</v>
      </c>
      <c r="D4496" t="s">
        <v>316</v>
      </c>
      <c r="E4496" t="s">
        <v>90</v>
      </c>
      <c r="F4496" t="s">
        <v>305</v>
      </c>
      <c r="G4496" t="s">
        <v>10</v>
      </c>
      <c r="H4496">
        <v>3353.0</v>
      </c>
      <c r="I4496" t="s">
        <v>31</v>
      </c>
      <c r="J4496" t="s">
        <v>37</v>
      </c>
      <c r="K4496" t="s">
        <v>95</v>
      </c>
      <c r="L4496" t="s">
        <v>96</v>
      </c>
      <c r="M4496">
        <v>9965.91</v>
      </c>
    </row>
    <row r="4497">
      <c r="A4497" s="2">
        <v>45634</v>
      </c>
      <c r="B4497">
        <v>2025.0</v>
      </c>
      <c r="C4497" t="s">
        <v>315</v>
      </c>
      <c r="D4497" t="s">
        <v>319</v>
      </c>
      <c r="E4497" t="s">
        <v>179</v>
      </c>
      <c r="F4497" t="s">
        <v>304</v>
      </c>
      <c r="G4497" t="s">
        <v>9</v>
      </c>
      <c r="H4497">
        <v>2015.0</v>
      </c>
      <c r="I4497" t="s">
        <v>31</v>
      </c>
      <c r="J4497" t="s">
        <v>99</v>
      </c>
      <c r="K4497" t="s">
        <v>95</v>
      </c>
      <c r="L4497" t="s">
        <v>96</v>
      </c>
      <c r="M4497">
        <v>10021.37</v>
      </c>
    </row>
    <row r="4498">
      <c r="A4498" s="2">
        <v>45643</v>
      </c>
      <c r="B4498">
        <v>2025.0</v>
      </c>
      <c r="C4498" t="s">
        <v>315</v>
      </c>
      <c r="D4498" t="s">
        <v>316</v>
      </c>
      <c r="E4498" t="s">
        <v>105</v>
      </c>
      <c r="F4498" t="s">
        <v>304</v>
      </c>
      <c r="G4498" t="s">
        <v>9</v>
      </c>
      <c r="H4498">
        <v>2541.0</v>
      </c>
      <c r="I4498" t="s">
        <v>31</v>
      </c>
      <c r="J4498" t="s">
        <v>107</v>
      </c>
      <c r="K4498" t="s">
        <v>95</v>
      </c>
      <c r="L4498" t="s">
        <v>96</v>
      </c>
      <c r="M4498">
        <v>10174.520000000002</v>
      </c>
    </row>
    <row r="4499">
      <c r="A4499" s="2">
        <v>45421</v>
      </c>
      <c r="B4499">
        <v>2024.0</v>
      </c>
      <c r="C4499" t="s">
        <v>318</v>
      </c>
      <c r="D4499" t="s">
        <v>316</v>
      </c>
      <c r="E4499" t="s">
        <v>181</v>
      </c>
      <c r="F4499" t="s">
        <v>306</v>
      </c>
      <c r="G4499" t="s">
        <v>11</v>
      </c>
      <c r="H4499">
        <v>4119.0</v>
      </c>
      <c r="I4499" t="s">
        <v>31</v>
      </c>
      <c r="J4499" t="s">
        <v>56</v>
      </c>
      <c r="K4499" t="s">
        <v>95</v>
      </c>
      <c r="L4499" t="s">
        <v>96</v>
      </c>
      <c r="M4499">
        <v>10233.570000000007</v>
      </c>
    </row>
    <row r="4500">
      <c r="A4500" s="2">
        <v>45898</v>
      </c>
      <c r="B4500">
        <v>2026.0</v>
      </c>
      <c r="C4500" t="s">
        <v>321</v>
      </c>
      <c r="D4500" t="s">
        <v>319</v>
      </c>
      <c r="E4500" t="s">
        <v>177</v>
      </c>
      <c r="F4500" t="s">
        <v>307</v>
      </c>
      <c r="G4500" t="s">
        <v>12</v>
      </c>
      <c r="H4500">
        <v>6330.0</v>
      </c>
      <c r="I4500" t="s">
        <v>31</v>
      </c>
      <c r="J4500" t="s">
        <v>162</v>
      </c>
      <c r="K4500" t="s">
        <v>95</v>
      </c>
      <c r="L4500" t="s">
        <v>96</v>
      </c>
      <c r="M4500">
        <v>10622.689999999999</v>
      </c>
    </row>
    <row r="4501">
      <c r="A4501" s="2">
        <v>45859</v>
      </c>
      <c r="B4501">
        <v>2026.0</v>
      </c>
      <c r="C4501" t="s">
        <v>321</v>
      </c>
      <c r="D4501" t="s">
        <v>319</v>
      </c>
      <c r="E4501" t="s">
        <v>256</v>
      </c>
      <c r="F4501" t="s">
        <v>304</v>
      </c>
      <c r="G4501" t="s">
        <v>9</v>
      </c>
      <c r="H4501">
        <v>2350.0</v>
      </c>
      <c r="I4501" t="s">
        <v>31</v>
      </c>
      <c r="J4501" t="s">
        <v>70</v>
      </c>
      <c r="K4501" t="s">
        <v>57</v>
      </c>
      <c r="L4501" t="s">
        <v>58</v>
      </c>
      <c r="M4501">
        <v>10648.29</v>
      </c>
    </row>
    <row r="4502">
      <c r="A4502" s="2">
        <v>45489</v>
      </c>
      <c r="B4502">
        <v>2025.0</v>
      </c>
      <c r="C4502" t="s">
        <v>315</v>
      </c>
      <c r="D4502" t="s">
        <v>316</v>
      </c>
      <c r="E4502" t="s">
        <v>139</v>
      </c>
      <c r="F4502" t="s">
        <v>305</v>
      </c>
      <c r="G4502" t="s">
        <v>10</v>
      </c>
      <c r="H4502">
        <v>3199.0</v>
      </c>
      <c r="I4502" t="s">
        <v>31</v>
      </c>
      <c r="J4502" t="s">
        <v>89</v>
      </c>
      <c r="K4502" t="s">
        <v>95</v>
      </c>
      <c r="L4502" t="s">
        <v>96</v>
      </c>
      <c r="M4502">
        <v>10866.589999999998</v>
      </c>
    </row>
    <row r="4503">
      <c r="A4503" s="2">
        <v>45875</v>
      </c>
      <c r="B4503">
        <v>2026.0</v>
      </c>
      <c r="C4503" t="s">
        <v>321</v>
      </c>
      <c r="D4503" t="s">
        <v>316</v>
      </c>
      <c r="E4503" t="s">
        <v>156</v>
      </c>
      <c r="F4503" t="s">
        <v>304</v>
      </c>
      <c r="G4503" t="s">
        <v>9</v>
      </c>
      <c r="H4503">
        <v>2830.0</v>
      </c>
      <c r="I4503" t="s">
        <v>31</v>
      </c>
      <c r="J4503" t="s">
        <v>75</v>
      </c>
      <c r="K4503" t="s">
        <v>95</v>
      </c>
      <c r="L4503" t="s">
        <v>96</v>
      </c>
      <c r="M4503">
        <v>11753.830000000004</v>
      </c>
    </row>
    <row r="4504">
      <c r="A4504" s="2">
        <v>45870</v>
      </c>
      <c r="B4504">
        <v>2026.0</v>
      </c>
      <c r="C4504" t="s">
        <v>321</v>
      </c>
      <c r="D4504" t="s">
        <v>316</v>
      </c>
      <c r="E4504" t="s">
        <v>87</v>
      </c>
      <c r="F4504" t="s">
        <v>305</v>
      </c>
      <c r="G4504" t="s">
        <v>10</v>
      </c>
      <c r="H4504">
        <v>3148.0</v>
      </c>
      <c r="I4504" t="s">
        <v>31</v>
      </c>
      <c r="J4504" t="s">
        <v>89</v>
      </c>
      <c r="K4504" t="s">
        <v>95</v>
      </c>
      <c r="L4504" t="s">
        <v>96</v>
      </c>
      <c r="M4504">
        <v>11864.76</v>
      </c>
    </row>
    <row r="4505">
      <c r="A4505" s="2">
        <v>45389</v>
      </c>
      <c r="B4505">
        <v>2024.0</v>
      </c>
      <c r="C4505" t="s">
        <v>318</v>
      </c>
      <c r="D4505" t="s">
        <v>316</v>
      </c>
      <c r="E4505" t="s">
        <v>139</v>
      </c>
      <c r="F4505" t="s">
        <v>305</v>
      </c>
      <c r="G4505" t="s">
        <v>10</v>
      </c>
      <c r="H4505">
        <v>3199.0</v>
      </c>
      <c r="I4505" t="s">
        <v>31</v>
      </c>
      <c r="J4505" t="s">
        <v>89</v>
      </c>
      <c r="K4505" t="s">
        <v>95</v>
      </c>
      <c r="L4505" t="s">
        <v>96</v>
      </c>
      <c r="M4505">
        <v>12583.420000000004</v>
      </c>
    </row>
    <row r="4506">
      <c r="A4506" s="2">
        <v>45325</v>
      </c>
      <c r="B4506">
        <v>2024.0</v>
      </c>
      <c r="C4506" t="s">
        <v>318</v>
      </c>
      <c r="D4506" t="s">
        <v>316</v>
      </c>
      <c r="E4506" t="s">
        <v>197</v>
      </c>
      <c r="F4506" t="s">
        <v>304</v>
      </c>
      <c r="G4506" t="s">
        <v>9</v>
      </c>
      <c r="H4506">
        <v>2560.0</v>
      </c>
      <c r="I4506" t="s">
        <v>31</v>
      </c>
      <c r="J4506" t="s">
        <v>107</v>
      </c>
      <c r="K4506" t="s">
        <v>95</v>
      </c>
      <c r="L4506" t="s">
        <v>96</v>
      </c>
      <c r="M4506">
        <v>12653.070000000003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BFBFBF"/>
  </sheetPr>
  <sheetViews>
    <sheetView showGridLines="0" workbookViewId="0"/>
  </sheetViews>
  <sheetFormatPr defaultRowHeight="15"/>
  <cols>
    <col min="1" max="1" width="24" customWidth="1"/>
    <col min="2" max="2" width="120" customWidth="1"/>
  </cols>
  <sheetData>
    <row r="1">
      <c r="A1" s="32" t="s">
        <v>322</v>
      </c>
    </row>
    <row r="3">
      <c r="A3" s="33" t="s">
        <v>323</v>
      </c>
      <c r="B3" s="34" t="s">
        <v>324</v>
      </c>
    </row>
    <row r="4">
      <c r="A4" s="33" t="s">
        <v>325</v>
      </c>
      <c r="B4" s="34" t="s">
        <v>326</v>
      </c>
    </row>
    <row r="5">
      <c r="A5" s="33" t="s">
        <v>327</v>
      </c>
      <c r="B5" s="34" t="s">
        <v>328</v>
      </c>
    </row>
    <row r="6">
      <c r="A6" s="33" t="s">
        <v>329</v>
      </c>
      <c r="B6" s="34" t="s">
        <v>330</v>
      </c>
    </row>
    <row r="7">
      <c r="A7" s="33" t="s">
        <v>331</v>
      </c>
      <c r="B7" s="34" t="s">
        <v>332</v>
      </c>
    </row>
    <row r="8">
      <c r="A8" s="33" t="s">
        <v>333</v>
      </c>
      <c r="B8" s="34" t="s">
        <v>334</v>
      </c>
    </row>
    <row r="9">
      <c r="A9" s="33" t="s">
        <v>335</v>
      </c>
      <c r="B9" s="34" t="s">
        <v>336</v>
      </c>
    </row>
    <row r="10">
      <c r="A10" s="33" t="s">
        <v>337</v>
      </c>
      <c r="B10" s="34" t="s">
        <v>338</v>
      </c>
    </row>
    <row r="12">
      <c r="A12" s="32" t="s">
        <v>339</v>
      </c>
    </row>
    <row r="14">
      <c r="A14" s="33" t="s">
        <v>17</v>
      </c>
      <c r="B14" s="34" t="s">
        <v>340</v>
      </c>
    </row>
    <row r="15">
      <c r="A15" s="33" t="s">
        <v>20</v>
      </c>
      <c r="B15" s="34" t="s">
        <v>341</v>
      </c>
    </row>
    <row r="16">
      <c r="A16" s="33" t="s">
        <v>21</v>
      </c>
      <c r="B16" s="34" t="s">
        <v>342</v>
      </c>
    </row>
    <row r="17">
      <c r="A17" s="33" t="s">
        <v>23</v>
      </c>
      <c r="B17" s="34" t="s">
        <v>343</v>
      </c>
    </row>
    <row r="18">
      <c r="A18" s="33" t="s">
        <v>18</v>
      </c>
      <c r="B18" s="34" t="s">
        <v>344</v>
      </c>
    </row>
    <row r="19">
      <c r="A19" s="33" t="s">
        <v>19</v>
      </c>
      <c r="B19" s="34" t="s">
        <v>345</v>
      </c>
    </row>
    <row r="20">
      <c r="A20" s="33" t="s">
        <v>22</v>
      </c>
      <c r="B20" s="34" t="s">
        <v>346</v>
      </c>
    </row>
    <row r="21">
      <c r="A21" s="33" t="s">
        <v>314</v>
      </c>
      <c r="B21" s="34" t="s">
        <v>347</v>
      </c>
    </row>
    <row r="22">
      <c r="A22" s="33" t="s">
        <v>348</v>
      </c>
      <c r="B22" s="34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Kmart Sales Dashboard</dc:title>
  <dc:creator>Kmart Analytics</dc:creator>
  <dcterms:created xsi:type="dcterms:W3CDTF">2026-10-06T00:00:00Z</dcterms:created>
  <dcterms:modified xsi:type="dcterms:W3CDTF">2026-10-06T00:00:00Z</dcterms:modified>
</cp:coreProperties>
</file>